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aryland/"/>
    </mc:Choice>
  </mc:AlternateContent>
  <xr:revisionPtr revIDLastSave="0" documentId="13_ncr:1_{AF28A085-C2F8-7840-87CC-C3F397F71484}" xr6:coauthVersionLast="47" xr6:coauthVersionMax="47" xr10:uidLastSave="{00000000-0000-0000-0000-000000000000}"/>
  <bookViews>
    <workbookView xWindow="3080" yWindow="780" windowWidth="28040" windowHeight="17080" xr2:uid="{D5461F76-A3B4-8C4C-A6FA-542DDCF1A6C1}"/>
  </bookViews>
  <sheets>
    <sheet name="Final Data" sheetId="5" r:id="rId1"/>
    <sheet name="Sheet1" sheetId="6" r:id="rId2"/>
    <sheet name="Almost Final Data" sheetId="3" r:id="rId3"/>
    <sheet name="Check" sheetId="4" r:id="rId4"/>
    <sheet name="Data as Collected" sheetId="1" r:id="rId5"/>
  </sheets>
  <definedNames>
    <definedName name="_xlnm._FilterDatabase" localSheetId="0" hidden="1">'Final Data'!$A$1:$I$1812</definedName>
    <definedName name="_xlnm._FilterDatabase" localSheetId="1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A490" i="5" s="1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A522" i="5" s="1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A554" i="5" s="1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A586" i="5" s="1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A618" i="5" s="1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A650" i="5" s="1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A678" i="5" s="1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2" i="5"/>
  <c r="C5" i="4"/>
  <c r="C6" i="4"/>
  <c r="C7" i="4"/>
  <c r="C8" i="4"/>
  <c r="C9" i="4"/>
  <c r="C10" i="4"/>
  <c r="C11" i="4"/>
  <c r="A1809" i="5" l="1"/>
  <c r="I1809" i="5"/>
  <c r="A1793" i="5"/>
  <c r="I1793" i="5"/>
  <c r="A1777" i="5"/>
  <c r="I1777" i="5"/>
  <c r="A1761" i="5"/>
  <c r="I1761" i="5"/>
  <c r="A1745" i="5"/>
  <c r="I1745" i="5"/>
  <c r="A1729" i="5"/>
  <c r="I1729" i="5"/>
  <c r="A1721" i="5"/>
  <c r="I1721" i="5"/>
  <c r="A1705" i="5"/>
  <c r="I1705" i="5"/>
  <c r="A1689" i="5"/>
  <c r="I1689" i="5"/>
  <c r="A1673" i="5"/>
  <c r="I1673" i="5"/>
  <c r="A1657" i="5"/>
  <c r="I1657" i="5"/>
  <c r="A1641" i="5"/>
  <c r="I1641" i="5"/>
  <c r="A1625" i="5"/>
  <c r="I1625" i="5"/>
  <c r="A1609" i="5"/>
  <c r="I1609" i="5"/>
  <c r="A1593" i="5"/>
  <c r="I1593" i="5"/>
  <c r="A1577" i="5"/>
  <c r="I1577" i="5"/>
  <c r="A1553" i="5"/>
  <c r="I1553" i="5"/>
  <c r="A1545" i="5"/>
  <c r="I1545" i="5"/>
  <c r="A1529" i="5"/>
  <c r="I1529" i="5"/>
  <c r="A1521" i="5"/>
  <c r="I1521" i="5"/>
  <c r="A1513" i="5"/>
  <c r="I1513" i="5"/>
  <c r="A1497" i="5"/>
  <c r="I1497" i="5"/>
  <c r="A1481" i="5"/>
  <c r="I1481" i="5"/>
  <c r="A1465" i="5"/>
  <c r="I1465" i="5"/>
  <c r="A1449" i="5"/>
  <c r="I1449" i="5"/>
  <c r="A1433" i="5"/>
  <c r="I1433" i="5"/>
  <c r="A1417" i="5"/>
  <c r="I1417" i="5"/>
  <c r="A1401" i="5"/>
  <c r="I1401" i="5"/>
  <c r="A1385" i="5"/>
  <c r="I1385" i="5"/>
  <c r="A1369" i="5"/>
  <c r="I1369" i="5"/>
  <c r="A1345" i="5"/>
  <c r="I1345" i="5"/>
  <c r="A1321" i="5"/>
  <c r="I1321" i="5"/>
  <c r="A1305" i="5"/>
  <c r="I1305" i="5"/>
  <c r="A1297" i="5"/>
  <c r="I1297" i="5"/>
  <c r="A1281" i="5"/>
  <c r="I1281" i="5"/>
  <c r="A1265" i="5"/>
  <c r="I1265" i="5"/>
  <c r="A1249" i="5"/>
  <c r="I1249" i="5"/>
  <c r="A1241" i="5"/>
  <c r="I1241" i="5"/>
  <c r="A1225" i="5"/>
  <c r="I1225" i="5"/>
  <c r="A1209" i="5"/>
  <c r="I1209" i="5"/>
  <c r="A1193" i="5"/>
  <c r="I1193" i="5"/>
  <c r="A1177" i="5"/>
  <c r="I1177" i="5"/>
  <c r="A1161" i="5"/>
  <c r="I1161" i="5"/>
  <c r="A1145" i="5"/>
  <c r="I1145" i="5"/>
  <c r="A1129" i="5"/>
  <c r="I1129" i="5"/>
  <c r="A1113" i="5"/>
  <c r="I1113" i="5"/>
  <c r="A1105" i="5"/>
  <c r="I1105" i="5"/>
  <c r="A1081" i="5"/>
  <c r="I1081" i="5"/>
  <c r="A1065" i="5"/>
  <c r="I1065" i="5"/>
  <c r="A1049" i="5"/>
  <c r="I1049" i="5"/>
  <c r="A1033" i="5"/>
  <c r="I1033" i="5"/>
  <c r="A1017" i="5"/>
  <c r="I1017" i="5"/>
  <c r="A1001" i="5"/>
  <c r="I1001" i="5"/>
  <c r="A977" i="5"/>
  <c r="I977" i="5"/>
  <c r="A961" i="5"/>
  <c r="I961" i="5"/>
  <c r="A945" i="5"/>
  <c r="I945" i="5"/>
  <c r="A929" i="5"/>
  <c r="I929" i="5"/>
  <c r="A913" i="5"/>
  <c r="I913" i="5"/>
  <c r="A905" i="5"/>
  <c r="I905" i="5"/>
  <c r="A889" i="5"/>
  <c r="I889" i="5"/>
  <c r="A873" i="5"/>
  <c r="I873" i="5"/>
  <c r="A865" i="5"/>
  <c r="I865" i="5"/>
  <c r="A857" i="5"/>
  <c r="I857" i="5"/>
  <c r="A841" i="5"/>
  <c r="I841" i="5"/>
  <c r="A825" i="5"/>
  <c r="I825" i="5"/>
  <c r="A809" i="5"/>
  <c r="I809" i="5"/>
  <c r="A801" i="5"/>
  <c r="I801" i="5"/>
  <c r="A785" i="5"/>
  <c r="I785" i="5"/>
  <c r="A769" i="5"/>
  <c r="I769" i="5"/>
  <c r="A761" i="5"/>
  <c r="I761" i="5"/>
  <c r="A753" i="5"/>
  <c r="I753" i="5"/>
  <c r="A745" i="5"/>
  <c r="I745" i="5"/>
  <c r="A737" i="5"/>
  <c r="I737" i="5"/>
  <c r="A729" i="5"/>
  <c r="I729" i="5"/>
  <c r="A721" i="5"/>
  <c r="I721" i="5"/>
  <c r="A713" i="5"/>
  <c r="I713" i="5"/>
  <c r="A697" i="5"/>
  <c r="I697" i="5"/>
  <c r="A689" i="5"/>
  <c r="I689" i="5"/>
  <c r="A681" i="5"/>
  <c r="I681" i="5"/>
  <c r="A673" i="5"/>
  <c r="I673" i="5"/>
  <c r="A665" i="5"/>
  <c r="I665" i="5"/>
  <c r="A657" i="5"/>
  <c r="I657" i="5"/>
  <c r="A649" i="5"/>
  <c r="I649" i="5"/>
  <c r="A641" i="5"/>
  <c r="I641" i="5"/>
  <c r="A1810" i="5"/>
  <c r="I1810" i="5"/>
  <c r="A1802" i="5"/>
  <c r="I1802" i="5"/>
  <c r="A1794" i="5"/>
  <c r="I1794" i="5"/>
  <c r="A1786" i="5"/>
  <c r="I1786" i="5"/>
  <c r="A1778" i="5"/>
  <c r="I1778" i="5"/>
  <c r="A1770" i="5"/>
  <c r="I1770" i="5"/>
  <c r="A1762" i="5"/>
  <c r="I1762" i="5"/>
  <c r="A1754" i="5"/>
  <c r="I1754" i="5"/>
  <c r="A1746" i="5"/>
  <c r="I1746" i="5"/>
  <c r="A1738" i="5"/>
  <c r="I1738" i="5"/>
  <c r="A1730" i="5"/>
  <c r="I1730" i="5"/>
  <c r="A1722" i="5"/>
  <c r="I1722" i="5"/>
  <c r="A1714" i="5"/>
  <c r="I1714" i="5"/>
  <c r="A1706" i="5"/>
  <c r="I1706" i="5"/>
  <c r="A1698" i="5"/>
  <c r="I1698" i="5"/>
  <c r="A1690" i="5"/>
  <c r="I1690" i="5"/>
  <c r="A1682" i="5"/>
  <c r="I1682" i="5"/>
  <c r="A1674" i="5"/>
  <c r="I1674" i="5"/>
  <c r="A1666" i="5"/>
  <c r="I1666" i="5"/>
  <c r="A1658" i="5"/>
  <c r="I1658" i="5"/>
  <c r="A1650" i="5"/>
  <c r="I1650" i="5"/>
  <c r="A1642" i="5"/>
  <c r="I1642" i="5"/>
  <c r="A1634" i="5"/>
  <c r="I1634" i="5"/>
  <c r="A1626" i="5"/>
  <c r="I1626" i="5"/>
  <c r="A1618" i="5"/>
  <c r="I1618" i="5"/>
  <c r="A1610" i="5"/>
  <c r="I1610" i="5"/>
  <c r="A1602" i="5"/>
  <c r="I1602" i="5"/>
  <c r="A1594" i="5"/>
  <c r="I1594" i="5"/>
  <c r="A1586" i="5"/>
  <c r="I1586" i="5"/>
  <c r="A1578" i="5"/>
  <c r="I1578" i="5"/>
  <c r="A1570" i="5"/>
  <c r="I1570" i="5"/>
  <c r="A1562" i="5"/>
  <c r="I1562" i="5"/>
  <c r="A1554" i="5"/>
  <c r="I1554" i="5"/>
  <c r="A1546" i="5"/>
  <c r="I1546" i="5"/>
  <c r="A1538" i="5"/>
  <c r="I1538" i="5"/>
  <c r="A1530" i="5"/>
  <c r="I1530" i="5"/>
  <c r="A1522" i="5"/>
  <c r="I1522" i="5"/>
  <c r="A1514" i="5"/>
  <c r="I1514" i="5"/>
  <c r="A1506" i="5"/>
  <c r="I1506" i="5"/>
  <c r="A1498" i="5"/>
  <c r="I1498" i="5"/>
  <c r="A1490" i="5"/>
  <c r="I1490" i="5"/>
  <c r="A1482" i="5"/>
  <c r="I1482" i="5"/>
  <c r="A1474" i="5"/>
  <c r="I1474" i="5"/>
  <c r="A1466" i="5"/>
  <c r="I1466" i="5"/>
  <c r="A1458" i="5"/>
  <c r="I1458" i="5"/>
  <c r="A1450" i="5"/>
  <c r="I1450" i="5"/>
  <c r="A1442" i="5"/>
  <c r="I1442" i="5"/>
  <c r="A1434" i="5"/>
  <c r="I1434" i="5"/>
  <c r="A1426" i="5"/>
  <c r="I1426" i="5"/>
  <c r="A1418" i="5"/>
  <c r="I1418" i="5"/>
  <c r="A1410" i="5"/>
  <c r="I1410" i="5"/>
  <c r="A1402" i="5"/>
  <c r="I1402" i="5"/>
  <c r="A1394" i="5"/>
  <c r="I1394" i="5"/>
  <c r="A1386" i="5"/>
  <c r="I1386" i="5"/>
  <c r="A1378" i="5"/>
  <c r="I1378" i="5"/>
  <c r="A1370" i="5"/>
  <c r="I1370" i="5"/>
  <c r="A1362" i="5"/>
  <c r="I1362" i="5"/>
  <c r="A1354" i="5"/>
  <c r="I1354" i="5"/>
  <c r="A1346" i="5"/>
  <c r="I1346" i="5"/>
  <c r="A1338" i="5"/>
  <c r="I1338" i="5"/>
  <c r="A1330" i="5"/>
  <c r="I1330" i="5"/>
  <c r="A1322" i="5"/>
  <c r="I1322" i="5"/>
  <c r="A1314" i="5"/>
  <c r="I1314" i="5"/>
  <c r="A1306" i="5"/>
  <c r="I1306" i="5"/>
  <c r="A1298" i="5"/>
  <c r="I1298" i="5"/>
  <c r="A1290" i="5"/>
  <c r="I1290" i="5"/>
  <c r="A1282" i="5"/>
  <c r="I1282" i="5"/>
  <c r="A1274" i="5"/>
  <c r="I1274" i="5"/>
  <c r="A1266" i="5"/>
  <c r="I1266" i="5"/>
  <c r="A1258" i="5"/>
  <c r="I1258" i="5"/>
  <c r="A1250" i="5"/>
  <c r="I1250" i="5"/>
  <c r="A1242" i="5"/>
  <c r="I1242" i="5"/>
  <c r="A1234" i="5"/>
  <c r="I1234" i="5"/>
  <c r="A1226" i="5"/>
  <c r="I1226" i="5"/>
  <c r="A1218" i="5"/>
  <c r="I1218" i="5"/>
  <c r="A1210" i="5"/>
  <c r="I1210" i="5"/>
  <c r="A1202" i="5"/>
  <c r="I1202" i="5"/>
  <c r="A1194" i="5"/>
  <c r="I1194" i="5"/>
  <c r="A1186" i="5"/>
  <c r="I1186" i="5"/>
  <c r="A1178" i="5"/>
  <c r="I1178" i="5"/>
  <c r="A1170" i="5"/>
  <c r="I1170" i="5"/>
  <c r="A1162" i="5"/>
  <c r="I1162" i="5"/>
  <c r="A1154" i="5"/>
  <c r="I1154" i="5"/>
  <c r="A1146" i="5"/>
  <c r="I1146" i="5"/>
  <c r="A1138" i="5"/>
  <c r="I1138" i="5"/>
  <c r="A1130" i="5"/>
  <c r="I1130" i="5"/>
  <c r="A1122" i="5"/>
  <c r="I1122" i="5"/>
  <c r="A1801" i="5"/>
  <c r="I1801" i="5"/>
  <c r="A1785" i="5"/>
  <c r="I1785" i="5"/>
  <c r="A1769" i="5"/>
  <c r="I1769" i="5"/>
  <c r="A1753" i="5"/>
  <c r="I1753" i="5"/>
  <c r="A1737" i="5"/>
  <c r="I1737" i="5"/>
  <c r="A1713" i="5"/>
  <c r="I1713" i="5"/>
  <c r="A1697" i="5"/>
  <c r="I1697" i="5"/>
  <c r="A1681" i="5"/>
  <c r="I1681" i="5"/>
  <c r="A1665" i="5"/>
  <c r="I1665" i="5"/>
  <c r="A1649" i="5"/>
  <c r="I1649" i="5"/>
  <c r="A1633" i="5"/>
  <c r="I1633" i="5"/>
  <c r="A1617" i="5"/>
  <c r="I1617" i="5"/>
  <c r="A1601" i="5"/>
  <c r="I1601" i="5"/>
  <c r="A1585" i="5"/>
  <c r="I1585" i="5"/>
  <c r="A1569" i="5"/>
  <c r="I1569" i="5"/>
  <c r="A1561" i="5"/>
  <c r="I1561" i="5"/>
  <c r="A1537" i="5"/>
  <c r="I1537" i="5"/>
  <c r="A1505" i="5"/>
  <c r="I1505" i="5"/>
  <c r="A1489" i="5"/>
  <c r="I1489" i="5"/>
  <c r="A1473" i="5"/>
  <c r="I1473" i="5"/>
  <c r="A1457" i="5"/>
  <c r="I1457" i="5"/>
  <c r="A1441" i="5"/>
  <c r="I1441" i="5"/>
  <c r="A1425" i="5"/>
  <c r="I1425" i="5"/>
  <c r="A1409" i="5"/>
  <c r="I1409" i="5"/>
  <c r="A1393" i="5"/>
  <c r="I1393" i="5"/>
  <c r="A1377" i="5"/>
  <c r="I1377" i="5"/>
  <c r="A1361" i="5"/>
  <c r="I1361" i="5"/>
  <c r="A1353" i="5"/>
  <c r="I1353" i="5"/>
  <c r="A1337" i="5"/>
  <c r="I1337" i="5"/>
  <c r="A1329" i="5"/>
  <c r="I1329" i="5"/>
  <c r="A1313" i="5"/>
  <c r="I1313" i="5"/>
  <c r="A1289" i="5"/>
  <c r="I1289" i="5"/>
  <c r="A1273" i="5"/>
  <c r="I1273" i="5"/>
  <c r="A1257" i="5"/>
  <c r="I1257" i="5"/>
  <c r="A1233" i="5"/>
  <c r="I1233" i="5"/>
  <c r="A1217" i="5"/>
  <c r="I1217" i="5"/>
  <c r="A1201" i="5"/>
  <c r="I1201" i="5"/>
  <c r="A1185" i="5"/>
  <c r="I1185" i="5"/>
  <c r="A1169" i="5"/>
  <c r="I1169" i="5"/>
  <c r="A1153" i="5"/>
  <c r="I1153" i="5"/>
  <c r="A1137" i="5"/>
  <c r="I1137" i="5"/>
  <c r="A1121" i="5"/>
  <c r="I1121" i="5"/>
  <c r="A1097" i="5"/>
  <c r="I1097" i="5"/>
  <c r="A1089" i="5"/>
  <c r="I1089" i="5"/>
  <c r="A1073" i="5"/>
  <c r="I1073" i="5"/>
  <c r="A1057" i="5"/>
  <c r="I1057" i="5"/>
  <c r="A1041" i="5"/>
  <c r="I1041" i="5"/>
  <c r="A1025" i="5"/>
  <c r="I1025" i="5"/>
  <c r="A1009" i="5"/>
  <c r="I1009" i="5"/>
  <c r="A993" i="5"/>
  <c r="I993" i="5"/>
  <c r="A985" i="5"/>
  <c r="I985" i="5"/>
  <c r="A969" i="5"/>
  <c r="I969" i="5"/>
  <c r="A953" i="5"/>
  <c r="I953" i="5"/>
  <c r="A937" i="5"/>
  <c r="I937" i="5"/>
  <c r="A921" i="5"/>
  <c r="I921" i="5"/>
  <c r="A897" i="5"/>
  <c r="I897" i="5"/>
  <c r="A881" i="5"/>
  <c r="I881" i="5"/>
  <c r="A849" i="5"/>
  <c r="I849" i="5"/>
  <c r="A833" i="5"/>
  <c r="I833" i="5"/>
  <c r="A817" i="5"/>
  <c r="I817" i="5"/>
  <c r="A793" i="5"/>
  <c r="I793" i="5"/>
  <c r="A777" i="5"/>
  <c r="I777" i="5"/>
  <c r="A705" i="5"/>
  <c r="I705" i="5"/>
  <c r="A1808" i="5"/>
  <c r="I1808" i="5"/>
  <c r="A1800" i="5"/>
  <c r="I1800" i="5"/>
  <c r="A1792" i="5"/>
  <c r="I1792" i="5"/>
  <c r="A1784" i="5"/>
  <c r="I1784" i="5"/>
  <c r="A1776" i="5"/>
  <c r="I1776" i="5"/>
  <c r="A1768" i="5"/>
  <c r="I1768" i="5"/>
  <c r="A1760" i="5"/>
  <c r="I1760" i="5"/>
  <c r="A1752" i="5"/>
  <c r="I1752" i="5"/>
  <c r="A1744" i="5"/>
  <c r="I1744" i="5"/>
  <c r="A1736" i="5"/>
  <c r="I1736" i="5"/>
  <c r="A1728" i="5"/>
  <c r="I1728" i="5"/>
  <c r="A1720" i="5"/>
  <c r="I1720" i="5"/>
  <c r="A1712" i="5"/>
  <c r="I1712" i="5"/>
  <c r="A1704" i="5"/>
  <c r="I1704" i="5"/>
  <c r="A1696" i="5"/>
  <c r="I1696" i="5"/>
  <c r="A1688" i="5"/>
  <c r="I1688" i="5"/>
  <c r="A1680" i="5"/>
  <c r="I1680" i="5"/>
  <c r="A1672" i="5"/>
  <c r="I1672" i="5"/>
  <c r="A1664" i="5"/>
  <c r="I1664" i="5"/>
  <c r="A1656" i="5"/>
  <c r="I1656" i="5"/>
  <c r="A1648" i="5"/>
  <c r="I1648" i="5"/>
  <c r="A1640" i="5"/>
  <c r="I1640" i="5"/>
  <c r="A1632" i="5"/>
  <c r="I1632" i="5"/>
  <c r="A1624" i="5"/>
  <c r="I1624" i="5"/>
  <c r="A1616" i="5"/>
  <c r="I1616" i="5"/>
  <c r="A1608" i="5"/>
  <c r="I1608" i="5"/>
  <c r="A1600" i="5"/>
  <c r="I1600" i="5"/>
  <c r="A1592" i="5"/>
  <c r="I1592" i="5"/>
  <c r="A1584" i="5"/>
  <c r="I1584" i="5"/>
  <c r="A1576" i="5"/>
  <c r="I1576" i="5"/>
  <c r="A1568" i="5"/>
  <c r="I1568" i="5"/>
  <c r="A1560" i="5"/>
  <c r="I1560" i="5"/>
  <c r="A1552" i="5"/>
  <c r="I1552" i="5"/>
  <c r="A1544" i="5"/>
  <c r="I1544" i="5"/>
  <c r="A1536" i="5"/>
  <c r="I1536" i="5"/>
  <c r="A1528" i="5"/>
  <c r="I1528" i="5"/>
  <c r="A1520" i="5"/>
  <c r="I1520" i="5"/>
  <c r="A1512" i="5"/>
  <c r="I1512" i="5"/>
  <c r="A1504" i="5"/>
  <c r="I1504" i="5"/>
  <c r="A1496" i="5"/>
  <c r="I1496" i="5"/>
  <c r="A1488" i="5"/>
  <c r="I1488" i="5"/>
  <c r="A1480" i="5"/>
  <c r="I1480" i="5"/>
  <c r="A1472" i="5"/>
  <c r="I1472" i="5"/>
  <c r="A1464" i="5"/>
  <c r="I1464" i="5"/>
  <c r="A1456" i="5"/>
  <c r="I1456" i="5"/>
  <c r="A1448" i="5"/>
  <c r="I1448" i="5"/>
  <c r="A1440" i="5"/>
  <c r="I1440" i="5"/>
  <c r="A1432" i="5"/>
  <c r="I1432" i="5"/>
  <c r="A1424" i="5"/>
  <c r="I1424" i="5"/>
  <c r="A1416" i="5"/>
  <c r="I1416" i="5"/>
  <c r="A1408" i="5"/>
  <c r="I1408" i="5"/>
  <c r="A1400" i="5"/>
  <c r="I1400" i="5"/>
  <c r="A1392" i="5"/>
  <c r="I1392" i="5"/>
  <c r="A1384" i="5"/>
  <c r="I1384" i="5"/>
  <c r="A1376" i="5"/>
  <c r="I1376" i="5"/>
  <c r="A1368" i="5"/>
  <c r="I1368" i="5"/>
  <c r="A1360" i="5"/>
  <c r="I1360" i="5"/>
  <c r="A1352" i="5"/>
  <c r="I1352" i="5"/>
  <c r="A1344" i="5"/>
  <c r="I1344" i="5"/>
  <c r="A1336" i="5"/>
  <c r="I1336" i="5"/>
  <c r="A1328" i="5"/>
  <c r="I1328" i="5"/>
  <c r="A1320" i="5"/>
  <c r="I1320" i="5"/>
  <c r="A1312" i="5"/>
  <c r="I1312" i="5"/>
  <c r="A1304" i="5"/>
  <c r="I1304" i="5"/>
  <c r="A1296" i="5"/>
  <c r="I1296" i="5"/>
  <c r="A1288" i="5"/>
  <c r="I1288" i="5"/>
  <c r="A1280" i="5"/>
  <c r="I1280" i="5"/>
  <c r="A1272" i="5"/>
  <c r="I1272" i="5"/>
  <c r="A1264" i="5"/>
  <c r="I1264" i="5"/>
  <c r="A1256" i="5"/>
  <c r="I1256" i="5"/>
  <c r="A1248" i="5"/>
  <c r="I1248" i="5"/>
  <c r="A1240" i="5"/>
  <c r="I1240" i="5"/>
  <c r="A1232" i="5"/>
  <c r="I1232" i="5"/>
  <c r="A1224" i="5"/>
  <c r="I1224" i="5"/>
  <c r="A1216" i="5"/>
  <c r="I1216" i="5"/>
  <c r="A1208" i="5"/>
  <c r="I1208" i="5"/>
  <c r="A1200" i="5"/>
  <c r="I1200" i="5"/>
  <c r="A1192" i="5"/>
  <c r="I1192" i="5"/>
  <c r="A1184" i="5"/>
  <c r="I1184" i="5"/>
  <c r="A1176" i="5"/>
  <c r="I1176" i="5"/>
  <c r="A1168" i="5"/>
  <c r="I1168" i="5"/>
  <c r="A1160" i="5"/>
  <c r="I1160" i="5"/>
  <c r="A1152" i="5"/>
  <c r="I1152" i="5"/>
  <c r="A1144" i="5"/>
  <c r="I1144" i="5"/>
  <c r="A1136" i="5"/>
  <c r="I1136" i="5"/>
  <c r="A1128" i="5"/>
  <c r="I1128" i="5"/>
  <c r="A1120" i="5"/>
  <c r="I1120" i="5"/>
  <c r="A1112" i="5"/>
  <c r="I1112" i="5"/>
  <c r="A1104" i="5"/>
  <c r="I1104" i="5"/>
  <c r="A1096" i="5"/>
  <c r="I1096" i="5"/>
  <c r="A1088" i="5"/>
  <c r="I1088" i="5"/>
  <c r="A1080" i="5"/>
  <c r="I1080" i="5"/>
  <c r="A1072" i="5"/>
  <c r="I1072" i="5"/>
  <c r="A1064" i="5"/>
  <c r="I1064" i="5"/>
  <c r="A1056" i="5"/>
  <c r="I1056" i="5"/>
  <c r="A1048" i="5"/>
  <c r="I1048" i="5"/>
  <c r="A1040" i="5"/>
  <c r="I1040" i="5"/>
  <c r="A1032" i="5"/>
  <c r="I1032" i="5"/>
  <c r="A1024" i="5"/>
  <c r="I1024" i="5"/>
  <c r="A1016" i="5"/>
  <c r="I1016" i="5"/>
  <c r="A1008" i="5"/>
  <c r="I1008" i="5"/>
  <c r="A1807" i="5"/>
  <c r="I1807" i="5"/>
  <c r="A1799" i="5"/>
  <c r="I1799" i="5"/>
  <c r="A1791" i="5"/>
  <c r="I1791" i="5"/>
  <c r="A1783" i="5"/>
  <c r="I1783" i="5"/>
  <c r="A1775" i="5"/>
  <c r="I1775" i="5"/>
  <c r="A1767" i="5"/>
  <c r="I1767" i="5"/>
  <c r="A1759" i="5"/>
  <c r="I1759" i="5"/>
  <c r="A1751" i="5"/>
  <c r="I1751" i="5"/>
  <c r="A1743" i="5"/>
  <c r="I1743" i="5"/>
  <c r="A1735" i="5"/>
  <c r="I1735" i="5"/>
  <c r="A1727" i="5"/>
  <c r="I1727" i="5"/>
  <c r="A1719" i="5"/>
  <c r="I1719" i="5"/>
  <c r="A1711" i="5"/>
  <c r="I1711" i="5"/>
  <c r="A1703" i="5"/>
  <c r="I1703" i="5"/>
  <c r="A1695" i="5"/>
  <c r="I1695" i="5"/>
  <c r="A1687" i="5"/>
  <c r="I1687" i="5"/>
  <c r="A1679" i="5"/>
  <c r="I1679" i="5"/>
  <c r="A1671" i="5"/>
  <c r="I1671" i="5"/>
  <c r="A1663" i="5"/>
  <c r="I1663" i="5"/>
  <c r="A1655" i="5"/>
  <c r="I1655" i="5"/>
  <c r="A1647" i="5"/>
  <c r="I1647" i="5"/>
  <c r="A1639" i="5"/>
  <c r="I1639" i="5"/>
  <c r="A1631" i="5"/>
  <c r="I1631" i="5"/>
  <c r="A1623" i="5"/>
  <c r="I1623" i="5"/>
  <c r="A1615" i="5"/>
  <c r="I1615" i="5"/>
  <c r="A1607" i="5"/>
  <c r="I1607" i="5"/>
  <c r="A1599" i="5"/>
  <c r="I1599" i="5"/>
  <c r="A1591" i="5"/>
  <c r="I1591" i="5"/>
  <c r="A1583" i="5"/>
  <c r="I1583" i="5"/>
  <c r="A1575" i="5"/>
  <c r="I1575" i="5"/>
  <c r="A1567" i="5"/>
  <c r="I1567" i="5"/>
  <c r="A1559" i="5"/>
  <c r="I1559" i="5"/>
  <c r="A1551" i="5"/>
  <c r="I1551" i="5"/>
  <c r="A1543" i="5"/>
  <c r="I1543" i="5"/>
  <c r="A1535" i="5"/>
  <c r="I1535" i="5"/>
  <c r="A1527" i="5"/>
  <c r="I1527" i="5"/>
  <c r="A1519" i="5"/>
  <c r="I1519" i="5"/>
  <c r="A1511" i="5"/>
  <c r="I1511" i="5"/>
  <c r="A1503" i="5"/>
  <c r="I1503" i="5"/>
  <c r="A1495" i="5"/>
  <c r="I1495" i="5"/>
  <c r="A1487" i="5"/>
  <c r="I1487" i="5"/>
  <c r="A1479" i="5"/>
  <c r="I1479" i="5"/>
  <c r="A1471" i="5"/>
  <c r="I1471" i="5"/>
  <c r="A1463" i="5"/>
  <c r="I1463" i="5"/>
  <c r="A1455" i="5"/>
  <c r="I1455" i="5"/>
  <c r="A1447" i="5"/>
  <c r="I1447" i="5"/>
  <c r="A1439" i="5"/>
  <c r="I1439" i="5"/>
  <c r="A1431" i="5"/>
  <c r="I1431" i="5"/>
  <c r="A1423" i="5"/>
  <c r="I1423" i="5"/>
  <c r="A1415" i="5"/>
  <c r="I1415" i="5"/>
  <c r="A1407" i="5"/>
  <c r="I1407" i="5"/>
  <c r="A1399" i="5"/>
  <c r="I1399" i="5"/>
  <c r="A1391" i="5"/>
  <c r="I1391" i="5"/>
  <c r="A1383" i="5"/>
  <c r="I1383" i="5"/>
  <c r="A1375" i="5"/>
  <c r="I1375" i="5"/>
  <c r="A1367" i="5"/>
  <c r="I1367" i="5"/>
  <c r="A1359" i="5"/>
  <c r="I1359" i="5"/>
  <c r="A1351" i="5"/>
  <c r="I1351" i="5"/>
  <c r="A1343" i="5"/>
  <c r="I1343" i="5"/>
  <c r="A1335" i="5"/>
  <c r="I1335" i="5"/>
  <c r="A1327" i="5"/>
  <c r="I1327" i="5"/>
  <c r="A1319" i="5"/>
  <c r="I1319" i="5"/>
  <c r="A1311" i="5"/>
  <c r="I1311" i="5"/>
  <c r="A1303" i="5"/>
  <c r="I1303" i="5"/>
  <c r="A1295" i="5"/>
  <c r="I1295" i="5"/>
  <c r="A1287" i="5"/>
  <c r="I1287" i="5"/>
  <c r="A1279" i="5"/>
  <c r="I1279" i="5"/>
  <c r="A1271" i="5"/>
  <c r="I1271" i="5"/>
  <c r="A1263" i="5"/>
  <c r="I1263" i="5"/>
  <c r="A1255" i="5"/>
  <c r="I1255" i="5"/>
  <c r="A1247" i="5"/>
  <c r="I1247" i="5"/>
  <c r="A1239" i="5"/>
  <c r="I1239" i="5"/>
  <c r="A1231" i="5"/>
  <c r="I1231" i="5"/>
  <c r="A1223" i="5"/>
  <c r="I1223" i="5"/>
  <c r="A1215" i="5"/>
  <c r="I1215" i="5"/>
  <c r="A1207" i="5"/>
  <c r="I1207" i="5"/>
  <c r="A1199" i="5"/>
  <c r="I1199" i="5"/>
  <c r="A1191" i="5"/>
  <c r="I1191" i="5"/>
  <c r="A1183" i="5"/>
  <c r="I1183" i="5"/>
  <c r="A1175" i="5"/>
  <c r="I1175" i="5"/>
  <c r="A1167" i="5"/>
  <c r="I1167" i="5"/>
  <c r="A1159" i="5"/>
  <c r="I1159" i="5"/>
  <c r="A1151" i="5"/>
  <c r="I1151" i="5"/>
  <c r="A1143" i="5"/>
  <c r="I1143" i="5"/>
  <c r="A1135" i="5"/>
  <c r="I1135" i="5"/>
  <c r="A1127" i="5"/>
  <c r="I1127" i="5"/>
  <c r="A1119" i="5"/>
  <c r="I1119" i="5"/>
  <c r="A1111" i="5"/>
  <c r="I1111" i="5"/>
  <c r="A1103" i="5"/>
  <c r="I1103" i="5"/>
  <c r="A1095" i="5"/>
  <c r="I1095" i="5"/>
  <c r="A1087" i="5"/>
  <c r="I1087" i="5"/>
  <c r="A1079" i="5"/>
  <c r="I1079" i="5"/>
  <c r="A1071" i="5"/>
  <c r="I1071" i="5"/>
  <c r="A1063" i="5"/>
  <c r="I1063" i="5"/>
  <c r="A1055" i="5"/>
  <c r="I1055" i="5"/>
  <c r="A1047" i="5"/>
  <c r="I1047" i="5"/>
  <c r="A1039" i="5"/>
  <c r="I1039" i="5"/>
  <c r="A1031" i="5"/>
  <c r="I1031" i="5"/>
  <c r="A1023" i="5"/>
  <c r="I1023" i="5"/>
  <c r="A1015" i="5"/>
  <c r="I1015" i="5"/>
  <c r="A1007" i="5"/>
  <c r="I1007" i="5"/>
  <c r="A999" i="5"/>
  <c r="I999" i="5"/>
  <c r="A991" i="5"/>
  <c r="I991" i="5"/>
  <c r="A983" i="5"/>
  <c r="I983" i="5"/>
  <c r="A975" i="5"/>
  <c r="I975" i="5"/>
  <c r="A967" i="5"/>
  <c r="I967" i="5"/>
  <c r="A959" i="5"/>
  <c r="I959" i="5"/>
  <c r="A951" i="5"/>
  <c r="I951" i="5"/>
  <c r="A943" i="5"/>
  <c r="I943" i="5"/>
  <c r="A935" i="5"/>
  <c r="I935" i="5"/>
  <c r="A927" i="5"/>
  <c r="I927" i="5"/>
  <c r="A919" i="5"/>
  <c r="I919" i="5"/>
  <c r="A911" i="5"/>
  <c r="I911" i="5"/>
  <c r="A903" i="5"/>
  <c r="I903" i="5"/>
  <c r="A895" i="5"/>
  <c r="I895" i="5"/>
  <c r="A887" i="5"/>
  <c r="I887" i="5"/>
  <c r="A879" i="5"/>
  <c r="I879" i="5"/>
  <c r="A871" i="5"/>
  <c r="I871" i="5"/>
  <c r="A863" i="5"/>
  <c r="I863" i="5"/>
  <c r="A855" i="5"/>
  <c r="I855" i="5"/>
  <c r="A847" i="5"/>
  <c r="I847" i="5"/>
  <c r="A839" i="5"/>
  <c r="I839" i="5"/>
  <c r="A831" i="5"/>
  <c r="I831" i="5"/>
  <c r="A823" i="5"/>
  <c r="I823" i="5"/>
  <c r="A815" i="5"/>
  <c r="I815" i="5"/>
  <c r="A807" i="5"/>
  <c r="I807" i="5"/>
  <c r="A799" i="5"/>
  <c r="I799" i="5"/>
  <c r="A791" i="5"/>
  <c r="I791" i="5"/>
  <c r="A783" i="5"/>
  <c r="I783" i="5"/>
  <c r="A775" i="5"/>
  <c r="I775" i="5"/>
  <c r="A767" i="5"/>
  <c r="I767" i="5"/>
  <c r="A759" i="5"/>
  <c r="I759" i="5"/>
  <c r="A751" i="5"/>
  <c r="I751" i="5"/>
  <c r="A743" i="5"/>
  <c r="I743" i="5"/>
  <c r="A735" i="5"/>
  <c r="I735" i="5"/>
  <c r="A727" i="5"/>
  <c r="I727" i="5"/>
  <c r="A719" i="5"/>
  <c r="I719" i="5"/>
  <c r="A711" i="5"/>
  <c r="I711" i="5"/>
  <c r="A703" i="5"/>
  <c r="I703" i="5"/>
  <c r="A695" i="5"/>
  <c r="I695" i="5"/>
  <c r="A687" i="5"/>
  <c r="I687" i="5"/>
  <c r="A679" i="5"/>
  <c r="I679" i="5"/>
  <c r="A671" i="5"/>
  <c r="I671" i="5"/>
  <c r="A663" i="5"/>
  <c r="I663" i="5"/>
  <c r="A655" i="5"/>
  <c r="I655" i="5"/>
  <c r="A647" i="5"/>
  <c r="I647" i="5"/>
  <c r="A639" i="5"/>
  <c r="I639" i="5"/>
  <c r="A631" i="5"/>
  <c r="I631" i="5"/>
  <c r="A623" i="5"/>
  <c r="I623" i="5"/>
  <c r="A615" i="5"/>
  <c r="I615" i="5"/>
  <c r="A607" i="5"/>
  <c r="I607" i="5"/>
  <c r="A1806" i="5"/>
  <c r="I1806" i="5"/>
  <c r="A1798" i="5"/>
  <c r="I1798" i="5"/>
  <c r="A1790" i="5"/>
  <c r="I1790" i="5"/>
  <c r="A1782" i="5"/>
  <c r="I1782" i="5"/>
  <c r="A1774" i="5"/>
  <c r="I1774" i="5"/>
  <c r="A1766" i="5"/>
  <c r="I1766" i="5"/>
  <c r="A1758" i="5"/>
  <c r="I1758" i="5"/>
  <c r="A1750" i="5"/>
  <c r="I1750" i="5"/>
  <c r="A1742" i="5"/>
  <c r="I1742" i="5"/>
  <c r="A1734" i="5"/>
  <c r="I1734" i="5"/>
  <c r="A1726" i="5"/>
  <c r="I1726" i="5"/>
  <c r="A1718" i="5"/>
  <c r="I1718" i="5"/>
  <c r="A1710" i="5"/>
  <c r="I1710" i="5"/>
  <c r="A1702" i="5"/>
  <c r="I1702" i="5"/>
  <c r="A1694" i="5"/>
  <c r="I1694" i="5"/>
  <c r="A1686" i="5"/>
  <c r="I1686" i="5"/>
  <c r="A1678" i="5"/>
  <c r="I1678" i="5"/>
  <c r="A1670" i="5"/>
  <c r="I1670" i="5"/>
  <c r="A1662" i="5"/>
  <c r="I1662" i="5"/>
  <c r="A1654" i="5"/>
  <c r="I1654" i="5"/>
  <c r="A1646" i="5"/>
  <c r="I1646" i="5"/>
  <c r="A1638" i="5"/>
  <c r="I1638" i="5"/>
  <c r="A1630" i="5"/>
  <c r="I1630" i="5"/>
  <c r="A1622" i="5"/>
  <c r="I1622" i="5"/>
  <c r="A1614" i="5"/>
  <c r="I1614" i="5"/>
  <c r="A1606" i="5"/>
  <c r="I1606" i="5"/>
  <c r="A1598" i="5"/>
  <c r="I1598" i="5"/>
  <c r="A1590" i="5"/>
  <c r="I1590" i="5"/>
  <c r="A1582" i="5"/>
  <c r="I1582" i="5"/>
  <c r="A1574" i="5"/>
  <c r="I1574" i="5"/>
  <c r="A1566" i="5"/>
  <c r="I1566" i="5"/>
  <c r="A1558" i="5"/>
  <c r="I1558" i="5"/>
  <c r="A1550" i="5"/>
  <c r="I1550" i="5"/>
  <c r="A1542" i="5"/>
  <c r="I1542" i="5"/>
  <c r="A1534" i="5"/>
  <c r="I1534" i="5"/>
  <c r="A1526" i="5"/>
  <c r="I1526" i="5"/>
  <c r="A1518" i="5"/>
  <c r="I1518" i="5"/>
  <c r="A1510" i="5"/>
  <c r="I1510" i="5"/>
  <c r="A1502" i="5"/>
  <c r="I1502" i="5"/>
  <c r="A1494" i="5"/>
  <c r="I1494" i="5"/>
  <c r="A1486" i="5"/>
  <c r="I1486" i="5"/>
  <c r="A1478" i="5"/>
  <c r="I1478" i="5"/>
  <c r="A1470" i="5"/>
  <c r="I1470" i="5"/>
  <c r="A1462" i="5"/>
  <c r="I1462" i="5"/>
  <c r="A1454" i="5"/>
  <c r="I1454" i="5"/>
  <c r="A1446" i="5"/>
  <c r="I1446" i="5"/>
  <c r="A1438" i="5"/>
  <c r="I1438" i="5"/>
  <c r="A1430" i="5"/>
  <c r="I1430" i="5"/>
  <c r="A1422" i="5"/>
  <c r="I1422" i="5"/>
  <c r="A1414" i="5"/>
  <c r="I1414" i="5"/>
  <c r="A1406" i="5"/>
  <c r="I1406" i="5"/>
  <c r="A1398" i="5"/>
  <c r="I1398" i="5"/>
  <c r="A1390" i="5"/>
  <c r="I1390" i="5"/>
  <c r="A1382" i="5"/>
  <c r="I1382" i="5"/>
  <c r="A1374" i="5"/>
  <c r="I1374" i="5"/>
  <c r="A1366" i="5"/>
  <c r="I1366" i="5"/>
  <c r="A1358" i="5"/>
  <c r="I1358" i="5"/>
  <c r="A1350" i="5"/>
  <c r="I1350" i="5"/>
  <c r="A1342" i="5"/>
  <c r="I1342" i="5"/>
  <c r="A1334" i="5"/>
  <c r="I1334" i="5"/>
  <c r="A1326" i="5"/>
  <c r="I1326" i="5"/>
  <c r="A1318" i="5"/>
  <c r="I1318" i="5"/>
  <c r="A1310" i="5"/>
  <c r="I1310" i="5"/>
  <c r="A1302" i="5"/>
  <c r="I1302" i="5"/>
  <c r="A1294" i="5"/>
  <c r="I1294" i="5"/>
  <c r="A1286" i="5"/>
  <c r="I1286" i="5"/>
  <c r="A1278" i="5"/>
  <c r="I1278" i="5"/>
  <c r="A1270" i="5"/>
  <c r="I1270" i="5"/>
  <c r="A1262" i="5"/>
  <c r="I1262" i="5"/>
  <c r="A1254" i="5"/>
  <c r="I1254" i="5"/>
  <c r="A1246" i="5"/>
  <c r="I1246" i="5"/>
  <c r="A1238" i="5"/>
  <c r="I1238" i="5"/>
  <c r="A1230" i="5"/>
  <c r="I1230" i="5"/>
  <c r="A1222" i="5"/>
  <c r="I1222" i="5"/>
  <c r="A1214" i="5"/>
  <c r="I1214" i="5"/>
  <c r="A1206" i="5"/>
  <c r="I1206" i="5"/>
  <c r="A1198" i="5"/>
  <c r="I1198" i="5"/>
  <c r="A1190" i="5"/>
  <c r="I1190" i="5"/>
  <c r="A1182" i="5"/>
  <c r="I1182" i="5"/>
  <c r="A1174" i="5"/>
  <c r="I1174" i="5"/>
  <c r="A1166" i="5"/>
  <c r="I1166" i="5"/>
  <c r="A1158" i="5"/>
  <c r="I1158" i="5"/>
  <c r="A1150" i="5"/>
  <c r="I1150" i="5"/>
  <c r="A1142" i="5"/>
  <c r="I1142" i="5"/>
  <c r="A1134" i="5"/>
  <c r="I1134" i="5"/>
  <c r="A1126" i="5"/>
  <c r="I1126" i="5"/>
  <c r="A1118" i="5"/>
  <c r="I1118" i="5"/>
  <c r="A1110" i="5"/>
  <c r="I1110" i="5"/>
  <c r="A1102" i="5"/>
  <c r="I1102" i="5"/>
  <c r="A1094" i="5"/>
  <c r="I1094" i="5"/>
  <c r="A1086" i="5"/>
  <c r="I1086" i="5"/>
  <c r="A1078" i="5"/>
  <c r="I1078" i="5"/>
  <c r="A1070" i="5"/>
  <c r="I1070" i="5"/>
  <c r="A1062" i="5"/>
  <c r="I1062" i="5"/>
  <c r="A1054" i="5"/>
  <c r="I1054" i="5"/>
  <c r="A1046" i="5"/>
  <c r="I1046" i="5"/>
  <c r="A1581" i="5"/>
  <c r="I1581" i="5"/>
  <c r="A1573" i="5"/>
  <c r="I1573" i="5"/>
  <c r="A1565" i="5"/>
  <c r="I1565" i="5"/>
  <c r="A1557" i="5"/>
  <c r="I1557" i="5"/>
  <c r="A1549" i="5"/>
  <c r="I1549" i="5"/>
  <c r="A1541" i="5"/>
  <c r="I1541" i="5"/>
  <c r="A1533" i="5"/>
  <c r="I1533" i="5"/>
  <c r="A1525" i="5"/>
  <c r="I1525" i="5"/>
  <c r="A1517" i="5"/>
  <c r="I1517" i="5"/>
  <c r="A1509" i="5"/>
  <c r="I1509" i="5"/>
  <c r="A1501" i="5"/>
  <c r="I1501" i="5"/>
  <c r="A1493" i="5"/>
  <c r="I1493" i="5"/>
  <c r="A1485" i="5"/>
  <c r="I1485" i="5"/>
  <c r="A1477" i="5"/>
  <c r="I1477" i="5"/>
  <c r="A1469" i="5"/>
  <c r="I1469" i="5"/>
  <c r="A1461" i="5"/>
  <c r="I1461" i="5"/>
  <c r="A1453" i="5"/>
  <c r="I1453" i="5"/>
  <c r="A1445" i="5"/>
  <c r="I1445" i="5"/>
  <c r="A1437" i="5"/>
  <c r="I1437" i="5"/>
  <c r="A1429" i="5"/>
  <c r="I1429" i="5"/>
  <c r="A1421" i="5"/>
  <c r="I1421" i="5"/>
  <c r="A1413" i="5"/>
  <c r="I1413" i="5"/>
  <c r="A1405" i="5"/>
  <c r="I1405" i="5"/>
  <c r="A1397" i="5"/>
  <c r="I1397" i="5"/>
  <c r="A1389" i="5"/>
  <c r="I1389" i="5"/>
  <c r="A1381" i="5"/>
  <c r="I1381" i="5"/>
  <c r="A1373" i="5"/>
  <c r="I1373" i="5"/>
  <c r="A1365" i="5"/>
  <c r="I1365" i="5"/>
  <c r="A1357" i="5"/>
  <c r="I1357" i="5"/>
  <c r="A1349" i="5"/>
  <c r="I1349" i="5"/>
  <c r="A1341" i="5"/>
  <c r="I1341" i="5"/>
  <c r="A1333" i="5"/>
  <c r="I1333" i="5"/>
  <c r="A1325" i="5"/>
  <c r="I1325" i="5"/>
  <c r="A1317" i="5"/>
  <c r="I1317" i="5"/>
  <c r="A1309" i="5"/>
  <c r="I1309" i="5"/>
  <c r="A1301" i="5"/>
  <c r="I1301" i="5"/>
  <c r="A1293" i="5"/>
  <c r="I1293" i="5"/>
  <c r="A1285" i="5"/>
  <c r="I1285" i="5"/>
  <c r="A1277" i="5"/>
  <c r="I1277" i="5"/>
  <c r="A1269" i="5"/>
  <c r="I1269" i="5"/>
  <c r="A1261" i="5"/>
  <c r="I1261" i="5"/>
  <c r="A1253" i="5"/>
  <c r="I1253" i="5"/>
  <c r="A1245" i="5"/>
  <c r="I1245" i="5"/>
  <c r="A1237" i="5"/>
  <c r="I1237" i="5"/>
  <c r="A1229" i="5"/>
  <c r="I1229" i="5"/>
  <c r="A1221" i="5"/>
  <c r="I1221" i="5"/>
  <c r="A1213" i="5"/>
  <c r="I1213" i="5"/>
  <c r="A1205" i="5"/>
  <c r="I1205" i="5"/>
  <c r="A1197" i="5"/>
  <c r="I1197" i="5"/>
  <c r="A1189" i="5"/>
  <c r="I1189" i="5"/>
  <c r="A1181" i="5"/>
  <c r="I1181" i="5"/>
  <c r="A1173" i="5"/>
  <c r="I1173" i="5"/>
  <c r="A1165" i="5"/>
  <c r="I1165" i="5"/>
  <c r="A1157" i="5"/>
  <c r="I1157" i="5"/>
  <c r="A1149" i="5"/>
  <c r="I1149" i="5"/>
  <c r="A1141" i="5"/>
  <c r="I1141" i="5"/>
  <c r="A1133" i="5"/>
  <c r="I1133" i="5"/>
  <c r="A1125" i="5"/>
  <c r="I1125" i="5"/>
  <c r="A1117" i="5"/>
  <c r="I1117" i="5"/>
  <c r="A1109" i="5"/>
  <c r="I1109" i="5"/>
  <c r="A1101" i="5"/>
  <c r="I1101" i="5"/>
  <c r="A1093" i="5"/>
  <c r="I1093" i="5"/>
  <c r="A1085" i="5"/>
  <c r="I1085" i="5"/>
  <c r="A1077" i="5"/>
  <c r="I1077" i="5"/>
  <c r="A1069" i="5"/>
  <c r="I1069" i="5"/>
  <c r="A1061" i="5"/>
  <c r="I1061" i="5"/>
  <c r="A1053" i="5"/>
  <c r="I1053" i="5"/>
  <c r="A1045" i="5"/>
  <c r="I1045" i="5"/>
  <c r="A1037" i="5"/>
  <c r="I1037" i="5"/>
  <c r="A1029" i="5"/>
  <c r="I1029" i="5"/>
  <c r="A1021" i="5"/>
  <c r="I1021" i="5"/>
  <c r="A1013" i="5"/>
  <c r="I1013" i="5"/>
  <c r="A1005" i="5"/>
  <c r="I1005" i="5"/>
  <c r="A997" i="5"/>
  <c r="I997" i="5"/>
  <c r="A989" i="5"/>
  <c r="I989" i="5"/>
  <c r="A981" i="5"/>
  <c r="I981" i="5"/>
  <c r="A973" i="5"/>
  <c r="I973" i="5"/>
  <c r="A965" i="5"/>
  <c r="I965" i="5"/>
  <c r="A957" i="5"/>
  <c r="I957" i="5"/>
  <c r="A949" i="5"/>
  <c r="I949" i="5"/>
  <c r="A941" i="5"/>
  <c r="I941" i="5"/>
  <c r="A933" i="5"/>
  <c r="I933" i="5"/>
  <c r="A925" i="5"/>
  <c r="I925" i="5"/>
  <c r="A917" i="5"/>
  <c r="I917" i="5"/>
  <c r="A909" i="5"/>
  <c r="I909" i="5"/>
  <c r="A901" i="5"/>
  <c r="I901" i="5"/>
  <c r="A893" i="5"/>
  <c r="I893" i="5"/>
  <c r="A885" i="5"/>
  <c r="I885" i="5"/>
  <c r="A877" i="5"/>
  <c r="I877" i="5"/>
  <c r="A869" i="5"/>
  <c r="I869" i="5"/>
  <c r="A861" i="5"/>
  <c r="I861" i="5"/>
  <c r="A853" i="5"/>
  <c r="I853" i="5"/>
  <c r="A845" i="5"/>
  <c r="I845" i="5"/>
  <c r="A837" i="5"/>
  <c r="I837" i="5"/>
  <c r="A829" i="5"/>
  <c r="I829" i="5"/>
  <c r="A821" i="5"/>
  <c r="I821" i="5"/>
  <c r="A813" i="5"/>
  <c r="I813" i="5"/>
  <c r="A805" i="5"/>
  <c r="I805" i="5"/>
  <c r="A797" i="5"/>
  <c r="I797" i="5"/>
  <c r="A789" i="5"/>
  <c r="I789" i="5"/>
  <c r="A781" i="5"/>
  <c r="I781" i="5"/>
  <c r="A773" i="5"/>
  <c r="I773" i="5"/>
  <c r="A765" i="5"/>
  <c r="I765" i="5"/>
  <c r="A757" i="5"/>
  <c r="I757" i="5"/>
  <c r="A749" i="5"/>
  <c r="I749" i="5"/>
  <c r="A741" i="5"/>
  <c r="I741" i="5"/>
  <c r="A733" i="5"/>
  <c r="I733" i="5"/>
  <c r="A725" i="5"/>
  <c r="I725" i="5"/>
  <c r="A717" i="5"/>
  <c r="I717" i="5"/>
  <c r="A709" i="5"/>
  <c r="I709" i="5"/>
  <c r="A701" i="5"/>
  <c r="I701" i="5"/>
  <c r="A693" i="5"/>
  <c r="I693" i="5"/>
  <c r="A685" i="5"/>
  <c r="I685" i="5"/>
  <c r="A677" i="5"/>
  <c r="I677" i="5"/>
  <c r="A669" i="5"/>
  <c r="I669" i="5"/>
  <c r="A661" i="5"/>
  <c r="I661" i="5"/>
  <c r="A653" i="5"/>
  <c r="I653" i="5"/>
  <c r="A645" i="5"/>
  <c r="I645" i="5"/>
  <c r="A637" i="5"/>
  <c r="I637" i="5"/>
  <c r="A629" i="5"/>
  <c r="I629" i="5"/>
  <c r="A621" i="5"/>
  <c r="I621" i="5"/>
  <c r="A613" i="5"/>
  <c r="I613" i="5"/>
  <c r="A605" i="5"/>
  <c r="I605" i="5"/>
  <c r="A597" i="5"/>
  <c r="I597" i="5"/>
  <c r="A589" i="5"/>
  <c r="I589" i="5"/>
  <c r="A581" i="5"/>
  <c r="I581" i="5"/>
  <c r="A573" i="5"/>
  <c r="I573" i="5"/>
  <c r="A565" i="5"/>
  <c r="I565" i="5"/>
  <c r="A557" i="5"/>
  <c r="I557" i="5"/>
  <c r="A549" i="5"/>
  <c r="I549" i="5"/>
  <c r="A541" i="5"/>
  <c r="I541" i="5"/>
  <c r="A533" i="5"/>
  <c r="I533" i="5"/>
  <c r="A525" i="5"/>
  <c r="I525" i="5"/>
  <c r="A517" i="5"/>
  <c r="I517" i="5"/>
  <c r="A509" i="5"/>
  <c r="I509" i="5"/>
  <c r="A501" i="5"/>
  <c r="I501" i="5"/>
  <c r="A493" i="5"/>
  <c r="I493" i="5"/>
  <c r="A485" i="5"/>
  <c r="I485" i="5"/>
  <c r="A477" i="5"/>
  <c r="I477" i="5"/>
  <c r="A469" i="5"/>
  <c r="I469" i="5"/>
  <c r="A461" i="5"/>
  <c r="I461" i="5"/>
  <c r="A453" i="5"/>
  <c r="I453" i="5"/>
  <c r="A445" i="5"/>
  <c r="I445" i="5"/>
  <c r="A437" i="5"/>
  <c r="I437" i="5"/>
  <c r="A429" i="5"/>
  <c r="I429" i="5"/>
  <c r="A421" i="5"/>
  <c r="I421" i="5"/>
  <c r="A413" i="5"/>
  <c r="I413" i="5"/>
  <c r="A405" i="5"/>
  <c r="I405" i="5"/>
  <c r="A397" i="5"/>
  <c r="I397" i="5"/>
  <c r="A389" i="5"/>
  <c r="I389" i="5"/>
  <c r="A381" i="5"/>
  <c r="I381" i="5"/>
  <c r="A373" i="5"/>
  <c r="I373" i="5"/>
  <c r="A365" i="5"/>
  <c r="I365" i="5"/>
  <c r="A357" i="5"/>
  <c r="I357" i="5"/>
  <c r="A349" i="5"/>
  <c r="I349" i="5"/>
  <c r="A341" i="5"/>
  <c r="I341" i="5"/>
  <c r="A333" i="5"/>
  <c r="I333" i="5"/>
  <c r="A325" i="5"/>
  <c r="I325" i="5"/>
  <c r="A317" i="5"/>
  <c r="I317" i="5"/>
  <c r="A309" i="5"/>
  <c r="I309" i="5"/>
  <c r="A301" i="5"/>
  <c r="I301" i="5"/>
  <c r="A293" i="5"/>
  <c r="I293" i="5"/>
  <c r="A285" i="5"/>
  <c r="I285" i="5"/>
  <c r="A277" i="5"/>
  <c r="I277" i="5"/>
  <c r="A269" i="5"/>
  <c r="I269" i="5"/>
  <c r="A261" i="5"/>
  <c r="I261" i="5"/>
  <c r="A253" i="5"/>
  <c r="I253" i="5"/>
  <c r="A245" i="5"/>
  <c r="I245" i="5"/>
  <c r="A237" i="5"/>
  <c r="I237" i="5"/>
  <c r="A229" i="5"/>
  <c r="I229" i="5"/>
  <c r="A221" i="5"/>
  <c r="I221" i="5"/>
  <c r="A213" i="5"/>
  <c r="I213" i="5"/>
  <c r="A205" i="5"/>
  <c r="I205" i="5"/>
  <c r="A197" i="5"/>
  <c r="I197" i="5"/>
  <c r="A189" i="5"/>
  <c r="I189" i="5"/>
  <c r="A181" i="5"/>
  <c r="I181" i="5"/>
  <c r="A173" i="5"/>
  <c r="I173" i="5"/>
  <c r="A165" i="5"/>
  <c r="I165" i="5"/>
  <c r="A157" i="5"/>
  <c r="I157" i="5"/>
  <c r="A149" i="5"/>
  <c r="I149" i="5"/>
  <c r="A141" i="5"/>
  <c r="I141" i="5"/>
  <c r="A133" i="5"/>
  <c r="I133" i="5"/>
  <c r="A125" i="5"/>
  <c r="I125" i="5"/>
  <c r="A117" i="5"/>
  <c r="I117" i="5"/>
  <c r="A2" i="5"/>
  <c r="I2" i="5"/>
  <c r="A1805" i="5"/>
  <c r="I1805" i="5"/>
  <c r="A1797" i="5"/>
  <c r="I1797" i="5"/>
  <c r="A1789" i="5"/>
  <c r="I1789" i="5"/>
  <c r="A1781" i="5"/>
  <c r="I1781" i="5"/>
  <c r="A1773" i="5"/>
  <c r="I1773" i="5"/>
  <c r="A1765" i="5"/>
  <c r="I1765" i="5"/>
  <c r="A1757" i="5"/>
  <c r="I1757" i="5"/>
  <c r="A1749" i="5"/>
  <c r="I1749" i="5"/>
  <c r="A1741" i="5"/>
  <c r="I1741" i="5"/>
  <c r="A1733" i="5"/>
  <c r="I1733" i="5"/>
  <c r="A1725" i="5"/>
  <c r="I1725" i="5"/>
  <c r="A1717" i="5"/>
  <c r="I1717" i="5"/>
  <c r="A1709" i="5"/>
  <c r="I1709" i="5"/>
  <c r="A1701" i="5"/>
  <c r="I1701" i="5"/>
  <c r="A1693" i="5"/>
  <c r="I1693" i="5"/>
  <c r="A1685" i="5"/>
  <c r="I1685" i="5"/>
  <c r="A1677" i="5"/>
  <c r="I1677" i="5"/>
  <c r="A1669" i="5"/>
  <c r="I1669" i="5"/>
  <c r="A1661" i="5"/>
  <c r="I1661" i="5"/>
  <c r="A1653" i="5"/>
  <c r="I1653" i="5"/>
  <c r="A1645" i="5"/>
  <c r="I1645" i="5"/>
  <c r="A1637" i="5"/>
  <c r="I1637" i="5"/>
  <c r="A1629" i="5"/>
  <c r="I1629" i="5"/>
  <c r="A1621" i="5"/>
  <c r="I1621" i="5"/>
  <c r="A1613" i="5"/>
  <c r="I1613" i="5"/>
  <c r="A1605" i="5"/>
  <c r="I1605" i="5"/>
  <c r="A1597" i="5"/>
  <c r="I1597" i="5"/>
  <c r="A1589" i="5"/>
  <c r="I1589" i="5"/>
  <c r="A1812" i="5"/>
  <c r="I1812" i="5"/>
  <c r="A1804" i="5"/>
  <c r="I1804" i="5"/>
  <c r="A1796" i="5"/>
  <c r="I1796" i="5"/>
  <c r="A1788" i="5"/>
  <c r="I1788" i="5"/>
  <c r="A1780" i="5"/>
  <c r="I1780" i="5"/>
  <c r="A1772" i="5"/>
  <c r="I1772" i="5"/>
  <c r="A1764" i="5"/>
  <c r="I1764" i="5"/>
  <c r="A1756" i="5"/>
  <c r="I1756" i="5"/>
  <c r="A1748" i="5"/>
  <c r="I1748" i="5"/>
  <c r="A1740" i="5"/>
  <c r="I1740" i="5"/>
  <c r="A1732" i="5"/>
  <c r="I1732" i="5"/>
  <c r="A1724" i="5"/>
  <c r="I1724" i="5"/>
  <c r="A1716" i="5"/>
  <c r="I1716" i="5"/>
  <c r="A1708" i="5"/>
  <c r="I1708" i="5"/>
  <c r="A1700" i="5"/>
  <c r="I1700" i="5"/>
  <c r="A1692" i="5"/>
  <c r="I1692" i="5"/>
  <c r="A1684" i="5"/>
  <c r="I1684" i="5"/>
  <c r="A1676" i="5"/>
  <c r="I1676" i="5"/>
  <c r="A1668" i="5"/>
  <c r="I1668" i="5"/>
  <c r="A1660" i="5"/>
  <c r="I1660" i="5"/>
  <c r="A1652" i="5"/>
  <c r="I1652" i="5"/>
  <c r="A1644" i="5"/>
  <c r="I1644" i="5"/>
  <c r="A1636" i="5"/>
  <c r="I1636" i="5"/>
  <c r="A1628" i="5"/>
  <c r="I1628" i="5"/>
  <c r="A1620" i="5"/>
  <c r="I1620" i="5"/>
  <c r="A1612" i="5"/>
  <c r="I1612" i="5"/>
  <c r="A1604" i="5"/>
  <c r="I1604" i="5"/>
  <c r="A1596" i="5"/>
  <c r="I1596" i="5"/>
  <c r="A1588" i="5"/>
  <c r="I1588" i="5"/>
  <c r="A1580" i="5"/>
  <c r="I1580" i="5"/>
  <c r="A1572" i="5"/>
  <c r="I1572" i="5"/>
  <c r="A1564" i="5"/>
  <c r="I1564" i="5"/>
  <c r="A1556" i="5"/>
  <c r="I1556" i="5"/>
  <c r="A1548" i="5"/>
  <c r="I1548" i="5"/>
  <c r="A1540" i="5"/>
  <c r="I1540" i="5"/>
  <c r="A1532" i="5"/>
  <c r="I1532" i="5"/>
  <c r="A1524" i="5"/>
  <c r="I1524" i="5"/>
  <c r="A1516" i="5"/>
  <c r="I1516" i="5"/>
  <c r="A1508" i="5"/>
  <c r="I1508" i="5"/>
  <c r="A1500" i="5"/>
  <c r="I1500" i="5"/>
  <c r="A1492" i="5"/>
  <c r="I1492" i="5"/>
  <c r="A1484" i="5"/>
  <c r="I1484" i="5"/>
  <c r="A1476" i="5"/>
  <c r="I1476" i="5"/>
  <c r="A1468" i="5"/>
  <c r="I1468" i="5"/>
  <c r="A1460" i="5"/>
  <c r="I1460" i="5"/>
  <c r="A1452" i="5"/>
  <c r="I1452" i="5"/>
  <c r="A1444" i="5"/>
  <c r="I1444" i="5"/>
  <c r="A1436" i="5"/>
  <c r="I1436" i="5"/>
  <c r="A1428" i="5"/>
  <c r="I1428" i="5"/>
  <c r="A1420" i="5"/>
  <c r="I1420" i="5"/>
  <c r="A1412" i="5"/>
  <c r="I1412" i="5"/>
  <c r="A1404" i="5"/>
  <c r="I1404" i="5"/>
  <c r="A1396" i="5"/>
  <c r="I1396" i="5"/>
  <c r="A1388" i="5"/>
  <c r="I1388" i="5"/>
  <c r="A1380" i="5"/>
  <c r="I1380" i="5"/>
  <c r="A1372" i="5"/>
  <c r="I1372" i="5"/>
  <c r="A1364" i="5"/>
  <c r="I1364" i="5"/>
  <c r="A1356" i="5"/>
  <c r="I1356" i="5"/>
  <c r="A1348" i="5"/>
  <c r="I1348" i="5"/>
  <c r="A1340" i="5"/>
  <c r="I1340" i="5"/>
  <c r="A1332" i="5"/>
  <c r="I1332" i="5"/>
  <c r="A1324" i="5"/>
  <c r="I1324" i="5"/>
  <c r="A1316" i="5"/>
  <c r="I1316" i="5"/>
  <c r="A1308" i="5"/>
  <c r="I1308" i="5"/>
  <c r="A1300" i="5"/>
  <c r="I1300" i="5"/>
  <c r="A1292" i="5"/>
  <c r="I1292" i="5"/>
  <c r="A1284" i="5"/>
  <c r="I1284" i="5"/>
  <c r="A1276" i="5"/>
  <c r="I1276" i="5"/>
  <c r="A1268" i="5"/>
  <c r="I1268" i="5"/>
  <c r="A1260" i="5"/>
  <c r="I1260" i="5"/>
  <c r="A1252" i="5"/>
  <c r="I1252" i="5"/>
  <c r="A1244" i="5"/>
  <c r="I1244" i="5"/>
  <c r="A1236" i="5"/>
  <c r="I1236" i="5"/>
  <c r="A1228" i="5"/>
  <c r="I1228" i="5"/>
  <c r="A1220" i="5"/>
  <c r="I1220" i="5"/>
  <c r="A1212" i="5"/>
  <c r="I1212" i="5"/>
  <c r="A1204" i="5"/>
  <c r="I1204" i="5"/>
  <c r="A1196" i="5"/>
  <c r="I1196" i="5"/>
  <c r="A1188" i="5"/>
  <c r="I1188" i="5"/>
  <c r="A1180" i="5"/>
  <c r="I1180" i="5"/>
  <c r="A1172" i="5"/>
  <c r="I1172" i="5"/>
  <c r="A1164" i="5"/>
  <c r="I1164" i="5"/>
  <c r="A1156" i="5"/>
  <c r="I1156" i="5"/>
  <c r="A1148" i="5"/>
  <c r="I1148" i="5"/>
  <c r="A1140" i="5"/>
  <c r="I1140" i="5"/>
  <c r="A1132" i="5"/>
  <c r="I1132" i="5"/>
  <c r="A1124" i="5"/>
  <c r="I1124" i="5"/>
  <c r="A1116" i="5"/>
  <c r="I1116" i="5"/>
  <c r="A1108" i="5"/>
  <c r="I1108" i="5"/>
  <c r="A1100" i="5"/>
  <c r="I1100" i="5"/>
  <c r="A1092" i="5"/>
  <c r="I1092" i="5"/>
  <c r="A1084" i="5"/>
  <c r="I1084" i="5"/>
  <c r="A1076" i="5"/>
  <c r="I1076" i="5"/>
  <c r="A1068" i="5"/>
  <c r="I1068" i="5"/>
  <c r="A1060" i="5"/>
  <c r="I1060" i="5"/>
  <c r="A1052" i="5"/>
  <c r="I1052" i="5"/>
  <c r="A1044" i="5"/>
  <c r="I1044" i="5"/>
  <c r="A1036" i="5"/>
  <c r="I1036" i="5"/>
  <c r="A1028" i="5"/>
  <c r="I1028" i="5"/>
  <c r="A1020" i="5"/>
  <c r="I1020" i="5"/>
  <c r="A1012" i="5"/>
  <c r="I1012" i="5"/>
  <c r="A1004" i="5"/>
  <c r="I1004" i="5"/>
  <c r="A996" i="5"/>
  <c r="I996" i="5"/>
  <c r="A988" i="5"/>
  <c r="I988" i="5"/>
  <c r="A980" i="5"/>
  <c r="I980" i="5"/>
  <c r="A972" i="5"/>
  <c r="I972" i="5"/>
  <c r="A964" i="5"/>
  <c r="I964" i="5"/>
  <c r="A956" i="5"/>
  <c r="I956" i="5"/>
  <c r="A948" i="5"/>
  <c r="I948" i="5"/>
  <c r="A940" i="5"/>
  <c r="I940" i="5"/>
  <c r="A932" i="5"/>
  <c r="I932" i="5"/>
  <c r="A924" i="5"/>
  <c r="I924" i="5"/>
  <c r="A916" i="5"/>
  <c r="I916" i="5"/>
  <c r="A908" i="5"/>
  <c r="I908" i="5"/>
  <c r="A900" i="5"/>
  <c r="I900" i="5"/>
  <c r="A892" i="5"/>
  <c r="I892" i="5"/>
  <c r="A884" i="5"/>
  <c r="I884" i="5"/>
  <c r="A876" i="5"/>
  <c r="I876" i="5"/>
  <c r="A868" i="5"/>
  <c r="I868" i="5"/>
  <c r="A860" i="5"/>
  <c r="I860" i="5"/>
  <c r="A852" i="5"/>
  <c r="I852" i="5"/>
  <c r="A844" i="5"/>
  <c r="I844" i="5"/>
  <c r="A836" i="5"/>
  <c r="I836" i="5"/>
  <c r="A828" i="5"/>
  <c r="I828" i="5"/>
  <c r="A1811" i="5"/>
  <c r="I1811" i="5"/>
  <c r="A1803" i="5"/>
  <c r="I1803" i="5"/>
  <c r="A1795" i="5"/>
  <c r="I1795" i="5"/>
  <c r="A1787" i="5"/>
  <c r="I1787" i="5"/>
  <c r="A1779" i="5"/>
  <c r="I1779" i="5"/>
  <c r="A1771" i="5"/>
  <c r="I1771" i="5"/>
  <c r="A1763" i="5"/>
  <c r="I1763" i="5"/>
  <c r="A1755" i="5"/>
  <c r="I1755" i="5"/>
  <c r="A1747" i="5"/>
  <c r="I1747" i="5"/>
  <c r="A1739" i="5"/>
  <c r="I1739" i="5"/>
  <c r="A1731" i="5"/>
  <c r="I1731" i="5"/>
  <c r="A1723" i="5"/>
  <c r="I1723" i="5"/>
  <c r="A1715" i="5"/>
  <c r="I1715" i="5"/>
  <c r="A1707" i="5"/>
  <c r="I1707" i="5"/>
  <c r="A1699" i="5"/>
  <c r="I1699" i="5"/>
  <c r="A1691" i="5"/>
  <c r="I1691" i="5"/>
  <c r="A1683" i="5"/>
  <c r="I1683" i="5"/>
  <c r="A1675" i="5"/>
  <c r="I1675" i="5"/>
  <c r="A1667" i="5"/>
  <c r="I1667" i="5"/>
  <c r="A1659" i="5"/>
  <c r="I1659" i="5"/>
  <c r="A1651" i="5"/>
  <c r="I1651" i="5"/>
  <c r="A1643" i="5"/>
  <c r="I1643" i="5"/>
  <c r="A1635" i="5"/>
  <c r="I1635" i="5"/>
  <c r="A1627" i="5"/>
  <c r="I1627" i="5"/>
  <c r="A1619" i="5"/>
  <c r="I1619" i="5"/>
  <c r="A1611" i="5"/>
  <c r="I1611" i="5"/>
  <c r="A1603" i="5"/>
  <c r="I1603" i="5"/>
  <c r="A1595" i="5"/>
  <c r="I1595" i="5"/>
  <c r="A1587" i="5"/>
  <c r="I1587" i="5"/>
  <c r="A1579" i="5"/>
  <c r="I1579" i="5"/>
  <c r="A1571" i="5"/>
  <c r="I1571" i="5"/>
  <c r="A1563" i="5"/>
  <c r="I1563" i="5"/>
  <c r="A1555" i="5"/>
  <c r="I1555" i="5"/>
  <c r="A1547" i="5"/>
  <c r="I1547" i="5"/>
  <c r="A1539" i="5"/>
  <c r="I1539" i="5"/>
  <c r="A1531" i="5"/>
  <c r="I1531" i="5"/>
  <c r="A1523" i="5"/>
  <c r="I1523" i="5"/>
  <c r="A1515" i="5"/>
  <c r="I1515" i="5"/>
  <c r="A1507" i="5"/>
  <c r="I1507" i="5"/>
  <c r="A1499" i="5"/>
  <c r="I1499" i="5"/>
  <c r="A1491" i="5"/>
  <c r="I1491" i="5"/>
  <c r="A1483" i="5"/>
  <c r="I1483" i="5"/>
  <c r="A1475" i="5"/>
  <c r="I1475" i="5"/>
  <c r="A1467" i="5"/>
  <c r="I1467" i="5"/>
  <c r="A1459" i="5"/>
  <c r="I1459" i="5"/>
  <c r="A1451" i="5"/>
  <c r="I1451" i="5"/>
  <c r="A1443" i="5"/>
  <c r="I1443" i="5"/>
  <c r="A1435" i="5"/>
  <c r="I1435" i="5"/>
  <c r="A1427" i="5"/>
  <c r="I1427" i="5"/>
  <c r="A1419" i="5"/>
  <c r="I1419" i="5"/>
  <c r="A1411" i="5"/>
  <c r="I1411" i="5"/>
  <c r="A1403" i="5"/>
  <c r="I1403" i="5"/>
  <c r="A1395" i="5"/>
  <c r="I1395" i="5"/>
  <c r="A1387" i="5"/>
  <c r="I1387" i="5"/>
  <c r="A1379" i="5"/>
  <c r="I1379" i="5"/>
  <c r="A1371" i="5"/>
  <c r="I1371" i="5"/>
  <c r="A1363" i="5"/>
  <c r="I1363" i="5"/>
  <c r="A1355" i="5"/>
  <c r="I1355" i="5"/>
  <c r="A1347" i="5"/>
  <c r="I1347" i="5"/>
  <c r="A1339" i="5"/>
  <c r="I1339" i="5"/>
  <c r="A1331" i="5"/>
  <c r="I1331" i="5"/>
  <c r="A1323" i="5"/>
  <c r="I1323" i="5"/>
  <c r="A1315" i="5"/>
  <c r="I1315" i="5"/>
  <c r="A1307" i="5"/>
  <c r="I1307" i="5"/>
  <c r="A1299" i="5"/>
  <c r="I1299" i="5"/>
  <c r="A1291" i="5"/>
  <c r="I1291" i="5"/>
  <c r="A1283" i="5"/>
  <c r="I1283" i="5"/>
  <c r="A1275" i="5"/>
  <c r="I1275" i="5"/>
  <c r="A1267" i="5"/>
  <c r="I1267" i="5"/>
  <c r="A1259" i="5"/>
  <c r="I1259" i="5"/>
  <c r="A1251" i="5"/>
  <c r="I1251" i="5"/>
  <c r="A1243" i="5"/>
  <c r="I1243" i="5"/>
  <c r="A1235" i="5"/>
  <c r="I1235" i="5"/>
  <c r="A1227" i="5"/>
  <c r="I1227" i="5"/>
  <c r="A1219" i="5"/>
  <c r="I1219" i="5"/>
  <c r="A1211" i="5"/>
  <c r="I1211" i="5"/>
  <c r="A1203" i="5"/>
  <c r="I1203" i="5"/>
  <c r="A1195" i="5"/>
  <c r="I1195" i="5"/>
  <c r="A1187" i="5"/>
  <c r="I1187" i="5"/>
  <c r="A1179" i="5"/>
  <c r="I1179" i="5"/>
  <c r="A1171" i="5"/>
  <c r="I1171" i="5"/>
  <c r="A1163" i="5"/>
  <c r="I1163" i="5"/>
  <c r="A1155" i="5"/>
  <c r="I1155" i="5"/>
  <c r="A1147" i="5"/>
  <c r="I1147" i="5"/>
  <c r="A1139" i="5"/>
  <c r="I1139" i="5"/>
  <c r="A1131" i="5"/>
  <c r="I1131" i="5"/>
  <c r="A1123" i="5"/>
  <c r="I1123" i="5"/>
  <c r="A1115" i="5"/>
  <c r="I1115" i="5"/>
  <c r="A1107" i="5"/>
  <c r="I1107" i="5"/>
  <c r="A1099" i="5"/>
  <c r="I1099" i="5"/>
  <c r="A1091" i="5"/>
  <c r="I1091" i="5"/>
  <c r="A1083" i="5"/>
  <c r="I1083" i="5"/>
  <c r="A1075" i="5"/>
  <c r="I1075" i="5"/>
  <c r="A1067" i="5"/>
  <c r="I1067" i="5"/>
  <c r="A1059" i="5"/>
  <c r="I1059" i="5"/>
  <c r="A1051" i="5"/>
  <c r="I1051" i="5"/>
  <c r="A1043" i="5"/>
  <c r="I1043" i="5"/>
  <c r="A1035" i="5"/>
  <c r="I1035" i="5"/>
  <c r="A1027" i="5"/>
  <c r="I1027" i="5"/>
  <c r="A1019" i="5"/>
  <c r="I1019" i="5"/>
  <c r="A1011" i="5"/>
  <c r="I1011" i="5"/>
  <c r="A1003" i="5"/>
  <c r="I1003" i="5"/>
  <c r="A995" i="5"/>
  <c r="I995" i="5"/>
  <c r="A987" i="5"/>
  <c r="I987" i="5"/>
  <c r="A979" i="5"/>
  <c r="I979" i="5"/>
  <c r="A971" i="5"/>
  <c r="I971" i="5"/>
  <c r="A963" i="5"/>
  <c r="I963" i="5"/>
  <c r="A955" i="5"/>
  <c r="I955" i="5"/>
  <c r="A947" i="5"/>
  <c r="I947" i="5"/>
  <c r="A939" i="5"/>
  <c r="I939" i="5"/>
  <c r="A931" i="5"/>
  <c r="I931" i="5"/>
  <c r="A923" i="5"/>
  <c r="I923" i="5"/>
  <c r="A915" i="5"/>
  <c r="I915" i="5"/>
  <c r="A907" i="5"/>
  <c r="I907" i="5"/>
  <c r="A899" i="5"/>
  <c r="I899" i="5"/>
  <c r="A891" i="5"/>
  <c r="I891" i="5"/>
  <c r="A883" i="5"/>
  <c r="I883" i="5"/>
  <c r="A875" i="5"/>
  <c r="I875" i="5"/>
  <c r="A867" i="5"/>
  <c r="I867" i="5"/>
  <c r="A859" i="5"/>
  <c r="I859" i="5"/>
  <c r="A851" i="5"/>
  <c r="I851" i="5"/>
  <c r="A843" i="5"/>
  <c r="I843" i="5"/>
  <c r="A835" i="5"/>
  <c r="I835" i="5"/>
  <c r="A827" i="5"/>
  <c r="I827" i="5"/>
  <c r="A819" i="5"/>
  <c r="I819" i="5"/>
  <c r="A811" i="5"/>
  <c r="I811" i="5"/>
  <c r="A803" i="5"/>
  <c r="I803" i="5"/>
  <c r="A795" i="5"/>
  <c r="I795" i="5"/>
  <c r="A787" i="5"/>
  <c r="I787" i="5"/>
  <c r="A779" i="5"/>
  <c r="I779" i="5"/>
  <c r="A771" i="5"/>
  <c r="I771" i="5"/>
  <c r="A763" i="5"/>
  <c r="I763" i="5"/>
  <c r="A755" i="5"/>
  <c r="I755" i="5"/>
  <c r="A747" i="5"/>
  <c r="I747" i="5"/>
  <c r="A739" i="5"/>
  <c r="I739" i="5"/>
  <c r="A731" i="5"/>
  <c r="I731" i="5"/>
  <c r="A723" i="5"/>
  <c r="I723" i="5"/>
  <c r="A715" i="5"/>
  <c r="I715" i="5"/>
  <c r="A707" i="5"/>
  <c r="I707" i="5"/>
  <c r="A699" i="5"/>
  <c r="I699" i="5"/>
  <c r="A691" i="5"/>
  <c r="I691" i="5"/>
  <c r="A683" i="5"/>
  <c r="I683" i="5"/>
  <c r="A675" i="5"/>
  <c r="I675" i="5"/>
  <c r="A667" i="5"/>
  <c r="I667" i="5"/>
  <c r="A659" i="5"/>
  <c r="I659" i="5"/>
  <c r="A651" i="5"/>
  <c r="I651" i="5"/>
  <c r="A643" i="5"/>
  <c r="I643" i="5"/>
  <c r="A635" i="5"/>
  <c r="I635" i="5"/>
  <c r="A627" i="5"/>
  <c r="I627" i="5"/>
  <c r="A619" i="5"/>
  <c r="I619" i="5"/>
  <c r="A611" i="5"/>
  <c r="I611" i="5"/>
  <c r="A603" i="5"/>
  <c r="I603" i="5"/>
  <c r="A595" i="5"/>
  <c r="I595" i="5"/>
  <c r="A587" i="5"/>
  <c r="I587" i="5"/>
  <c r="A579" i="5"/>
  <c r="I579" i="5"/>
  <c r="A571" i="5"/>
  <c r="I571" i="5"/>
  <c r="A563" i="5"/>
  <c r="I563" i="5"/>
  <c r="A555" i="5"/>
  <c r="I555" i="5"/>
  <c r="A547" i="5"/>
  <c r="I547" i="5"/>
  <c r="A539" i="5"/>
  <c r="I539" i="5"/>
  <c r="A531" i="5"/>
  <c r="I531" i="5"/>
  <c r="A523" i="5"/>
  <c r="I523" i="5"/>
  <c r="A515" i="5"/>
  <c r="I515" i="5"/>
  <c r="A507" i="5"/>
  <c r="I507" i="5"/>
  <c r="A499" i="5"/>
  <c r="I499" i="5"/>
  <c r="A491" i="5"/>
  <c r="I491" i="5"/>
  <c r="A483" i="5"/>
  <c r="I483" i="5"/>
  <c r="A475" i="5"/>
  <c r="I475" i="5"/>
  <c r="A467" i="5"/>
  <c r="I467" i="5"/>
  <c r="A459" i="5"/>
  <c r="I459" i="5"/>
  <c r="A451" i="5"/>
  <c r="I451" i="5"/>
  <c r="A443" i="5"/>
  <c r="I443" i="5"/>
  <c r="A435" i="5"/>
  <c r="I435" i="5"/>
  <c r="A427" i="5"/>
  <c r="I427" i="5"/>
  <c r="A419" i="5"/>
  <c r="I419" i="5"/>
  <c r="A411" i="5"/>
  <c r="I411" i="5"/>
  <c r="A403" i="5"/>
  <c r="I403" i="5"/>
  <c r="A395" i="5"/>
  <c r="I395" i="5"/>
  <c r="A387" i="5"/>
  <c r="I387" i="5"/>
  <c r="A379" i="5"/>
  <c r="I379" i="5"/>
  <c r="A371" i="5"/>
  <c r="I371" i="5"/>
  <c r="A363" i="5"/>
  <c r="I363" i="5"/>
  <c r="A355" i="5"/>
  <c r="I355" i="5"/>
  <c r="A347" i="5"/>
  <c r="I347" i="5"/>
  <c r="A339" i="5"/>
  <c r="I339" i="5"/>
  <c r="A331" i="5"/>
  <c r="I331" i="5"/>
  <c r="A323" i="5"/>
  <c r="I323" i="5"/>
  <c r="A315" i="5"/>
  <c r="I315" i="5"/>
  <c r="A307" i="5"/>
  <c r="I307" i="5"/>
  <c r="A299" i="5"/>
  <c r="I299" i="5"/>
  <c r="A291" i="5"/>
  <c r="I291" i="5"/>
  <c r="A283" i="5"/>
  <c r="I283" i="5"/>
  <c r="A275" i="5"/>
  <c r="I275" i="5"/>
  <c r="A267" i="5"/>
  <c r="I267" i="5"/>
  <c r="A259" i="5"/>
  <c r="I259" i="5"/>
  <c r="A251" i="5"/>
  <c r="I251" i="5"/>
  <c r="A243" i="5"/>
  <c r="I243" i="5"/>
  <c r="A235" i="5"/>
  <c r="I235" i="5"/>
  <c r="A227" i="5"/>
  <c r="I227" i="5"/>
  <c r="A219" i="5"/>
  <c r="I219" i="5"/>
  <c r="A211" i="5"/>
  <c r="I211" i="5"/>
  <c r="A203" i="5"/>
  <c r="I203" i="5"/>
  <c r="A195" i="5"/>
  <c r="I195" i="5"/>
  <c r="A187" i="5"/>
  <c r="I187" i="5"/>
  <c r="A179" i="5"/>
  <c r="I179" i="5"/>
  <c r="A171" i="5"/>
  <c r="I171" i="5"/>
  <c r="A163" i="5"/>
  <c r="I163" i="5"/>
  <c r="A155" i="5"/>
  <c r="I155" i="5"/>
  <c r="A147" i="5"/>
  <c r="I147" i="5"/>
  <c r="A139" i="5"/>
  <c r="I139" i="5"/>
  <c r="A131" i="5"/>
  <c r="I131" i="5"/>
  <c r="A123" i="5"/>
  <c r="I123" i="5"/>
  <c r="A115" i="5"/>
  <c r="I115" i="5"/>
  <c r="A107" i="5"/>
  <c r="I107" i="5"/>
  <c r="A99" i="5"/>
  <c r="I99" i="5"/>
  <c r="A91" i="5"/>
  <c r="I91" i="5"/>
  <c r="A83" i="5"/>
  <c r="I83" i="5"/>
  <c r="A75" i="5"/>
  <c r="I75" i="5"/>
  <c r="A633" i="5"/>
  <c r="I633" i="5"/>
  <c r="A625" i="5"/>
  <c r="I625" i="5"/>
  <c r="A617" i="5"/>
  <c r="I617" i="5"/>
  <c r="A609" i="5"/>
  <c r="I609" i="5"/>
  <c r="A601" i="5"/>
  <c r="I601" i="5"/>
  <c r="A593" i="5"/>
  <c r="I593" i="5"/>
  <c r="A585" i="5"/>
  <c r="I585" i="5"/>
  <c r="A577" i="5"/>
  <c r="I577" i="5"/>
  <c r="A569" i="5"/>
  <c r="I569" i="5"/>
  <c r="A561" i="5"/>
  <c r="I561" i="5"/>
  <c r="A553" i="5"/>
  <c r="I553" i="5"/>
  <c r="A545" i="5"/>
  <c r="I545" i="5"/>
  <c r="A537" i="5"/>
  <c r="I537" i="5"/>
  <c r="A529" i="5"/>
  <c r="I529" i="5"/>
  <c r="A521" i="5"/>
  <c r="I521" i="5"/>
  <c r="A513" i="5"/>
  <c r="I513" i="5"/>
  <c r="A505" i="5"/>
  <c r="I505" i="5"/>
  <c r="A497" i="5"/>
  <c r="I497" i="5"/>
  <c r="A489" i="5"/>
  <c r="I489" i="5"/>
  <c r="A481" i="5"/>
  <c r="I481" i="5"/>
  <c r="A473" i="5"/>
  <c r="I473" i="5"/>
  <c r="A465" i="5"/>
  <c r="I465" i="5"/>
  <c r="A457" i="5"/>
  <c r="I457" i="5"/>
  <c r="A449" i="5"/>
  <c r="I449" i="5"/>
  <c r="A441" i="5"/>
  <c r="I441" i="5"/>
  <c r="A433" i="5"/>
  <c r="I433" i="5"/>
  <c r="A425" i="5"/>
  <c r="I425" i="5"/>
  <c r="A417" i="5"/>
  <c r="I417" i="5"/>
  <c r="A409" i="5"/>
  <c r="I409" i="5"/>
  <c r="A401" i="5"/>
  <c r="I401" i="5"/>
  <c r="A393" i="5"/>
  <c r="I393" i="5"/>
  <c r="A385" i="5"/>
  <c r="I385" i="5"/>
  <c r="A377" i="5"/>
  <c r="I377" i="5"/>
  <c r="A369" i="5"/>
  <c r="I369" i="5"/>
  <c r="A361" i="5"/>
  <c r="I361" i="5"/>
  <c r="A353" i="5"/>
  <c r="I353" i="5"/>
  <c r="A345" i="5"/>
  <c r="I345" i="5"/>
  <c r="A337" i="5"/>
  <c r="I337" i="5"/>
  <c r="A329" i="5"/>
  <c r="I329" i="5"/>
  <c r="A321" i="5"/>
  <c r="I321" i="5"/>
  <c r="A313" i="5"/>
  <c r="I313" i="5"/>
  <c r="A305" i="5"/>
  <c r="I305" i="5"/>
  <c r="A297" i="5"/>
  <c r="I297" i="5"/>
  <c r="A289" i="5"/>
  <c r="I289" i="5"/>
  <c r="A281" i="5"/>
  <c r="I281" i="5"/>
  <c r="A273" i="5"/>
  <c r="I273" i="5"/>
  <c r="A265" i="5"/>
  <c r="I265" i="5"/>
  <c r="A257" i="5"/>
  <c r="I257" i="5"/>
  <c r="A249" i="5"/>
  <c r="I249" i="5"/>
  <c r="A241" i="5"/>
  <c r="I241" i="5"/>
  <c r="A233" i="5"/>
  <c r="I233" i="5"/>
  <c r="A225" i="5"/>
  <c r="I225" i="5"/>
  <c r="A217" i="5"/>
  <c r="I217" i="5"/>
  <c r="A209" i="5"/>
  <c r="I209" i="5"/>
  <c r="A201" i="5"/>
  <c r="I201" i="5"/>
  <c r="A193" i="5"/>
  <c r="I193" i="5"/>
  <c r="A185" i="5"/>
  <c r="I185" i="5"/>
  <c r="A177" i="5"/>
  <c r="I177" i="5"/>
  <c r="A169" i="5"/>
  <c r="I169" i="5"/>
  <c r="A161" i="5"/>
  <c r="I161" i="5"/>
  <c r="A153" i="5"/>
  <c r="I153" i="5"/>
  <c r="A145" i="5"/>
  <c r="I145" i="5"/>
  <c r="A137" i="5"/>
  <c r="I137" i="5"/>
  <c r="A129" i="5"/>
  <c r="I129" i="5"/>
  <c r="A121" i="5"/>
  <c r="I121" i="5"/>
  <c r="A113" i="5"/>
  <c r="I113" i="5"/>
  <c r="A105" i="5"/>
  <c r="I105" i="5"/>
  <c r="A97" i="5"/>
  <c r="I97" i="5"/>
  <c r="A89" i="5"/>
  <c r="I89" i="5"/>
  <c r="A81" i="5"/>
  <c r="I81" i="5"/>
  <c r="A73" i="5"/>
  <c r="I73" i="5"/>
  <c r="A65" i="5"/>
  <c r="I65" i="5"/>
  <c r="A57" i="5"/>
  <c r="I57" i="5"/>
  <c r="A49" i="5"/>
  <c r="I49" i="5"/>
  <c r="A41" i="5"/>
  <c r="I41" i="5"/>
  <c r="A33" i="5"/>
  <c r="I33" i="5"/>
  <c r="A25" i="5"/>
  <c r="I25" i="5"/>
  <c r="A17" i="5"/>
  <c r="I17" i="5"/>
  <c r="A9" i="5"/>
  <c r="I9" i="5"/>
  <c r="A1000" i="5"/>
  <c r="I1000" i="5"/>
  <c r="A992" i="5"/>
  <c r="I992" i="5"/>
  <c r="A984" i="5"/>
  <c r="I984" i="5"/>
  <c r="A976" i="5"/>
  <c r="I976" i="5"/>
  <c r="A968" i="5"/>
  <c r="I968" i="5"/>
  <c r="A960" i="5"/>
  <c r="I960" i="5"/>
  <c r="A952" i="5"/>
  <c r="I952" i="5"/>
  <c r="A944" i="5"/>
  <c r="I944" i="5"/>
  <c r="A936" i="5"/>
  <c r="I936" i="5"/>
  <c r="A928" i="5"/>
  <c r="I928" i="5"/>
  <c r="A920" i="5"/>
  <c r="I920" i="5"/>
  <c r="A912" i="5"/>
  <c r="I912" i="5"/>
  <c r="A904" i="5"/>
  <c r="I904" i="5"/>
  <c r="A896" i="5"/>
  <c r="I896" i="5"/>
  <c r="A888" i="5"/>
  <c r="I888" i="5"/>
  <c r="A880" i="5"/>
  <c r="I880" i="5"/>
  <c r="A872" i="5"/>
  <c r="I872" i="5"/>
  <c r="A864" i="5"/>
  <c r="I864" i="5"/>
  <c r="A856" i="5"/>
  <c r="I856" i="5"/>
  <c r="A848" i="5"/>
  <c r="I848" i="5"/>
  <c r="A840" i="5"/>
  <c r="I840" i="5"/>
  <c r="A832" i="5"/>
  <c r="I832" i="5"/>
  <c r="A824" i="5"/>
  <c r="I824" i="5"/>
  <c r="A816" i="5"/>
  <c r="I816" i="5"/>
  <c r="A808" i="5"/>
  <c r="I808" i="5"/>
  <c r="A800" i="5"/>
  <c r="I800" i="5"/>
  <c r="A792" i="5"/>
  <c r="I792" i="5"/>
  <c r="A784" i="5"/>
  <c r="I784" i="5"/>
  <c r="A776" i="5"/>
  <c r="I776" i="5"/>
  <c r="A768" i="5"/>
  <c r="I768" i="5"/>
  <c r="A760" i="5"/>
  <c r="I760" i="5"/>
  <c r="A752" i="5"/>
  <c r="I752" i="5"/>
  <c r="A744" i="5"/>
  <c r="I744" i="5"/>
  <c r="A736" i="5"/>
  <c r="I736" i="5"/>
  <c r="A728" i="5"/>
  <c r="I728" i="5"/>
  <c r="A720" i="5"/>
  <c r="I720" i="5"/>
  <c r="A712" i="5"/>
  <c r="I712" i="5"/>
  <c r="A704" i="5"/>
  <c r="I704" i="5"/>
  <c r="A696" i="5"/>
  <c r="I696" i="5"/>
  <c r="A688" i="5"/>
  <c r="I688" i="5"/>
  <c r="A680" i="5"/>
  <c r="I680" i="5"/>
  <c r="A672" i="5"/>
  <c r="I672" i="5"/>
  <c r="A664" i="5"/>
  <c r="I664" i="5"/>
  <c r="A656" i="5"/>
  <c r="I656" i="5"/>
  <c r="A648" i="5"/>
  <c r="I648" i="5"/>
  <c r="A640" i="5"/>
  <c r="I640" i="5"/>
  <c r="A632" i="5"/>
  <c r="I632" i="5"/>
  <c r="A624" i="5"/>
  <c r="I624" i="5"/>
  <c r="A616" i="5"/>
  <c r="I616" i="5"/>
  <c r="A608" i="5"/>
  <c r="I608" i="5"/>
  <c r="A600" i="5"/>
  <c r="I600" i="5"/>
  <c r="A592" i="5"/>
  <c r="I592" i="5"/>
  <c r="A584" i="5"/>
  <c r="I584" i="5"/>
  <c r="A576" i="5"/>
  <c r="I576" i="5"/>
  <c r="A568" i="5"/>
  <c r="I568" i="5"/>
  <c r="A560" i="5"/>
  <c r="I560" i="5"/>
  <c r="A552" i="5"/>
  <c r="I552" i="5"/>
  <c r="A544" i="5"/>
  <c r="I544" i="5"/>
  <c r="A536" i="5"/>
  <c r="I536" i="5"/>
  <c r="A528" i="5"/>
  <c r="I528" i="5"/>
  <c r="A520" i="5"/>
  <c r="I520" i="5"/>
  <c r="A512" i="5"/>
  <c r="I512" i="5"/>
  <c r="A504" i="5"/>
  <c r="I504" i="5"/>
  <c r="A496" i="5"/>
  <c r="I496" i="5"/>
  <c r="A488" i="5"/>
  <c r="I488" i="5"/>
  <c r="A480" i="5"/>
  <c r="I480" i="5"/>
  <c r="A472" i="5"/>
  <c r="I472" i="5"/>
  <c r="A464" i="5"/>
  <c r="I464" i="5"/>
  <c r="A456" i="5"/>
  <c r="I456" i="5"/>
  <c r="A448" i="5"/>
  <c r="I448" i="5"/>
  <c r="A440" i="5"/>
  <c r="I440" i="5"/>
  <c r="A432" i="5"/>
  <c r="I432" i="5"/>
  <c r="A424" i="5"/>
  <c r="I424" i="5"/>
  <c r="A416" i="5"/>
  <c r="I416" i="5"/>
  <c r="A408" i="5"/>
  <c r="I408" i="5"/>
  <c r="A400" i="5"/>
  <c r="I400" i="5"/>
  <c r="A392" i="5"/>
  <c r="I392" i="5"/>
  <c r="A384" i="5"/>
  <c r="I384" i="5"/>
  <c r="A376" i="5"/>
  <c r="I376" i="5"/>
  <c r="A368" i="5"/>
  <c r="I368" i="5"/>
  <c r="A360" i="5"/>
  <c r="I360" i="5"/>
  <c r="A352" i="5"/>
  <c r="I352" i="5"/>
  <c r="A344" i="5"/>
  <c r="I344" i="5"/>
  <c r="A336" i="5"/>
  <c r="I336" i="5"/>
  <c r="A328" i="5"/>
  <c r="I328" i="5"/>
  <c r="A320" i="5"/>
  <c r="I320" i="5"/>
  <c r="A312" i="5"/>
  <c r="I312" i="5"/>
  <c r="A304" i="5"/>
  <c r="I304" i="5"/>
  <c r="A296" i="5"/>
  <c r="I296" i="5"/>
  <c r="A288" i="5"/>
  <c r="I288" i="5"/>
  <c r="A280" i="5"/>
  <c r="I280" i="5"/>
  <c r="A272" i="5"/>
  <c r="I272" i="5"/>
  <c r="A264" i="5"/>
  <c r="I264" i="5"/>
  <c r="A256" i="5"/>
  <c r="I256" i="5"/>
  <c r="A248" i="5"/>
  <c r="I248" i="5"/>
  <c r="A240" i="5"/>
  <c r="I240" i="5"/>
  <c r="A232" i="5"/>
  <c r="I232" i="5"/>
  <c r="A224" i="5"/>
  <c r="I224" i="5"/>
  <c r="A216" i="5"/>
  <c r="I216" i="5"/>
  <c r="A208" i="5"/>
  <c r="I208" i="5"/>
  <c r="A200" i="5"/>
  <c r="I200" i="5"/>
  <c r="A192" i="5"/>
  <c r="I192" i="5"/>
  <c r="A184" i="5"/>
  <c r="I184" i="5"/>
  <c r="A176" i="5"/>
  <c r="I176" i="5"/>
  <c r="A168" i="5"/>
  <c r="I168" i="5"/>
  <c r="A160" i="5"/>
  <c r="I160" i="5"/>
  <c r="A152" i="5"/>
  <c r="I152" i="5"/>
  <c r="A144" i="5"/>
  <c r="I144" i="5"/>
  <c r="A136" i="5"/>
  <c r="I136" i="5"/>
  <c r="A128" i="5"/>
  <c r="I128" i="5"/>
  <c r="A120" i="5"/>
  <c r="I120" i="5"/>
  <c r="A112" i="5"/>
  <c r="I112" i="5"/>
  <c r="A104" i="5"/>
  <c r="I104" i="5"/>
  <c r="A96" i="5"/>
  <c r="I96" i="5"/>
  <c r="A88" i="5"/>
  <c r="I88" i="5"/>
  <c r="A80" i="5"/>
  <c r="I80" i="5"/>
  <c r="A72" i="5"/>
  <c r="I72" i="5"/>
  <c r="A64" i="5"/>
  <c r="I64" i="5"/>
  <c r="A56" i="5"/>
  <c r="I56" i="5"/>
  <c r="A48" i="5"/>
  <c r="I48" i="5"/>
  <c r="A40" i="5"/>
  <c r="I40" i="5"/>
  <c r="A32" i="5"/>
  <c r="I32" i="5"/>
  <c r="A24" i="5"/>
  <c r="I24" i="5"/>
  <c r="A16" i="5"/>
  <c r="I16" i="5"/>
  <c r="A8" i="5"/>
  <c r="I8" i="5"/>
  <c r="I678" i="5"/>
  <c r="A599" i="5"/>
  <c r="I599" i="5"/>
  <c r="A591" i="5"/>
  <c r="I591" i="5"/>
  <c r="A583" i="5"/>
  <c r="I583" i="5"/>
  <c r="A575" i="5"/>
  <c r="I575" i="5"/>
  <c r="A567" i="5"/>
  <c r="I567" i="5"/>
  <c r="A559" i="5"/>
  <c r="I559" i="5"/>
  <c r="A551" i="5"/>
  <c r="I551" i="5"/>
  <c r="A543" i="5"/>
  <c r="I543" i="5"/>
  <c r="A535" i="5"/>
  <c r="I535" i="5"/>
  <c r="A527" i="5"/>
  <c r="I527" i="5"/>
  <c r="A519" i="5"/>
  <c r="I519" i="5"/>
  <c r="A511" i="5"/>
  <c r="I511" i="5"/>
  <c r="A503" i="5"/>
  <c r="I503" i="5"/>
  <c r="A495" i="5"/>
  <c r="I495" i="5"/>
  <c r="A487" i="5"/>
  <c r="I487" i="5"/>
  <c r="A479" i="5"/>
  <c r="I479" i="5"/>
  <c r="A471" i="5"/>
  <c r="I471" i="5"/>
  <c r="A463" i="5"/>
  <c r="I463" i="5"/>
  <c r="A455" i="5"/>
  <c r="I455" i="5"/>
  <c r="A447" i="5"/>
  <c r="I447" i="5"/>
  <c r="A439" i="5"/>
  <c r="I439" i="5"/>
  <c r="A431" i="5"/>
  <c r="I431" i="5"/>
  <c r="A423" i="5"/>
  <c r="I423" i="5"/>
  <c r="A415" i="5"/>
  <c r="I415" i="5"/>
  <c r="A407" i="5"/>
  <c r="I407" i="5"/>
  <c r="A399" i="5"/>
  <c r="I399" i="5"/>
  <c r="A391" i="5"/>
  <c r="I391" i="5"/>
  <c r="A383" i="5"/>
  <c r="I383" i="5"/>
  <c r="A375" i="5"/>
  <c r="I375" i="5"/>
  <c r="A367" i="5"/>
  <c r="I367" i="5"/>
  <c r="A359" i="5"/>
  <c r="I359" i="5"/>
  <c r="A351" i="5"/>
  <c r="I351" i="5"/>
  <c r="A343" i="5"/>
  <c r="I343" i="5"/>
  <c r="A335" i="5"/>
  <c r="I335" i="5"/>
  <c r="A327" i="5"/>
  <c r="I327" i="5"/>
  <c r="A319" i="5"/>
  <c r="I319" i="5"/>
  <c r="A311" i="5"/>
  <c r="I311" i="5"/>
  <c r="A303" i="5"/>
  <c r="I303" i="5"/>
  <c r="A295" i="5"/>
  <c r="I295" i="5"/>
  <c r="A287" i="5"/>
  <c r="I287" i="5"/>
  <c r="A279" i="5"/>
  <c r="I279" i="5"/>
  <c r="A271" i="5"/>
  <c r="I271" i="5"/>
  <c r="A263" i="5"/>
  <c r="I263" i="5"/>
  <c r="A255" i="5"/>
  <c r="I255" i="5"/>
  <c r="A247" i="5"/>
  <c r="I247" i="5"/>
  <c r="A239" i="5"/>
  <c r="I239" i="5"/>
  <c r="A231" i="5"/>
  <c r="I231" i="5"/>
  <c r="A223" i="5"/>
  <c r="I223" i="5"/>
  <c r="A215" i="5"/>
  <c r="I215" i="5"/>
  <c r="A207" i="5"/>
  <c r="I207" i="5"/>
  <c r="A199" i="5"/>
  <c r="I199" i="5"/>
  <c r="A191" i="5"/>
  <c r="I191" i="5"/>
  <c r="A183" i="5"/>
  <c r="I183" i="5"/>
  <c r="A175" i="5"/>
  <c r="I175" i="5"/>
  <c r="A167" i="5"/>
  <c r="I167" i="5"/>
  <c r="A159" i="5"/>
  <c r="I159" i="5"/>
  <c r="A151" i="5"/>
  <c r="I151" i="5"/>
  <c r="A143" i="5"/>
  <c r="I143" i="5"/>
  <c r="A135" i="5"/>
  <c r="I135" i="5"/>
  <c r="A127" i="5"/>
  <c r="I127" i="5"/>
  <c r="A119" i="5"/>
  <c r="I119" i="5"/>
  <c r="A111" i="5"/>
  <c r="I111" i="5"/>
  <c r="A103" i="5"/>
  <c r="I103" i="5"/>
  <c r="A95" i="5"/>
  <c r="I95" i="5"/>
  <c r="A87" i="5"/>
  <c r="I87" i="5"/>
  <c r="A79" i="5"/>
  <c r="I79" i="5"/>
  <c r="A71" i="5"/>
  <c r="I71" i="5"/>
  <c r="A63" i="5"/>
  <c r="I63" i="5"/>
  <c r="A55" i="5"/>
  <c r="I55" i="5"/>
  <c r="A47" i="5"/>
  <c r="I47" i="5"/>
  <c r="A39" i="5"/>
  <c r="I39" i="5"/>
  <c r="A31" i="5"/>
  <c r="I31" i="5"/>
  <c r="A23" i="5"/>
  <c r="I23" i="5"/>
  <c r="A15" i="5"/>
  <c r="I15" i="5"/>
  <c r="A7" i="5"/>
  <c r="I7" i="5"/>
  <c r="I650" i="5"/>
  <c r="A1038" i="5"/>
  <c r="I1038" i="5"/>
  <c r="A1030" i="5"/>
  <c r="I1030" i="5"/>
  <c r="A1022" i="5"/>
  <c r="I1022" i="5"/>
  <c r="A1014" i="5"/>
  <c r="I1014" i="5"/>
  <c r="A1006" i="5"/>
  <c r="I1006" i="5"/>
  <c r="A998" i="5"/>
  <c r="I998" i="5"/>
  <c r="A990" i="5"/>
  <c r="I990" i="5"/>
  <c r="A982" i="5"/>
  <c r="I982" i="5"/>
  <c r="A974" i="5"/>
  <c r="I974" i="5"/>
  <c r="A966" i="5"/>
  <c r="I966" i="5"/>
  <c r="A958" i="5"/>
  <c r="I958" i="5"/>
  <c r="A950" i="5"/>
  <c r="I950" i="5"/>
  <c r="A942" i="5"/>
  <c r="I942" i="5"/>
  <c r="A934" i="5"/>
  <c r="I934" i="5"/>
  <c r="A926" i="5"/>
  <c r="I926" i="5"/>
  <c r="A918" i="5"/>
  <c r="I918" i="5"/>
  <c r="A910" i="5"/>
  <c r="I910" i="5"/>
  <c r="A902" i="5"/>
  <c r="I902" i="5"/>
  <c r="A894" i="5"/>
  <c r="I894" i="5"/>
  <c r="A886" i="5"/>
  <c r="I886" i="5"/>
  <c r="A878" i="5"/>
  <c r="I878" i="5"/>
  <c r="A870" i="5"/>
  <c r="I870" i="5"/>
  <c r="A862" i="5"/>
  <c r="I862" i="5"/>
  <c r="A854" i="5"/>
  <c r="I854" i="5"/>
  <c r="A846" i="5"/>
  <c r="I846" i="5"/>
  <c r="A838" i="5"/>
  <c r="I838" i="5"/>
  <c r="A830" i="5"/>
  <c r="I830" i="5"/>
  <c r="A822" i="5"/>
  <c r="I822" i="5"/>
  <c r="A814" i="5"/>
  <c r="I814" i="5"/>
  <c r="A806" i="5"/>
  <c r="I806" i="5"/>
  <c r="A798" i="5"/>
  <c r="I798" i="5"/>
  <c r="A790" i="5"/>
  <c r="I790" i="5"/>
  <c r="A782" i="5"/>
  <c r="I782" i="5"/>
  <c r="A774" i="5"/>
  <c r="I774" i="5"/>
  <c r="A766" i="5"/>
  <c r="I766" i="5"/>
  <c r="A758" i="5"/>
  <c r="I758" i="5"/>
  <c r="A750" i="5"/>
  <c r="I750" i="5"/>
  <c r="A742" i="5"/>
  <c r="I742" i="5"/>
  <c r="A734" i="5"/>
  <c r="I734" i="5"/>
  <c r="A726" i="5"/>
  <c r="I726" i="5"/>
  <c r="A718" i="5"/>
  <c r="I718" i="5"/>
  <c r="A710" i="5"/>
  <c r="I710" i="5"/>
  <c r="A702" i="5"/>
  <c r="I702" i="5"/>
  <c r="A694" i="5"/>
  <c r="I694" i="5"/>
  <c r="A686" i="5"/>
  <c r="I686" i="5"/>
  <c r="A670" i="5"/>
  <c r="I670" i="5"/>
  <c r="A662" i="5"/>
  <c r="I662" i="5"/>
  <c r="A654" i="5"/>
  <c r="I654" i="5"/>
  <c r="A646" i="5"/>
  <c r="I646" i="5"/>
  <c r="A638" i="5"/>
  <c r="I638" i="5"/>
  <c r="A630" i="5"/>
  <c r="I630" i="5"/>
  <c r="A622" i="5"/>
  <c r="I622" i="5"/>
  <c r="A614" i="5"/>
  <c r="I614" i="5"/>
  <c r="A606" i="5"/>
  <c r="I606" i="5"/>
  <c r="A598" i="5"/>
  <c r="I598" i="5"/>
  <c r="A590" i="5"/>
  <c r="I590" i="5"/>
  <c r="A582" i="5"/>
  <c r="I582" i="5"/>
  <c r="A574" i="5"/>
  <c r="I574" i="5"/>
  <c r="A566" i="5"/>
  <c r="I566" i="5"/>
  <c r="A558" i="5"/>
  <c r="I558" i="5"/>
  <c r="A550" i="5"/>
  <c r="I550" i="5"/>
  <c r="A542" i="5"/>
  <c r="I542" i="5"/>
  <c r="A534" i="5"/>
  <c r="I534" i="5"/>
  <c r="A526" i="5"/>
  <c r="I526" i="5"/>
  <c r="A518" i="5"/>
  <c r="I518" i="5"/>
  <c r="A510" i="5"/>
  <c r="I510" i="5"/>
  <c r="A502" i="5"/>
  <c r="I502" i="5"/>
  <c r="A494" i="5"/>
  <c r="I494" i="5"/>
  <c r="A486" i="5"/>
  <c r="I486" i="5"/>
  <c r="A478" i="5"/>
  <c r="I478" i="5"/>
  <c r="A470" i="5"/>
  <c r="I470" i="5"/>
  <c r="A462" i="5"/>
  <c r="I462" i="5"/>
  <c r="A454" i="5"/>
  <c r="I454" i="5"/>
  <c r="A446" i="5"/>
  <c r="I446" i="5"/>
  <c r="A438" i="5"/>
  <c r="I438" i="5"/>
  <c r="A430" i="5"/>
  <c r="I430" i="5"/>
  <c r="A422" i="5"/>
  <c r="I422" i="5"/>
  <c r="A414" i="5"/>
  <c r="I414" i="5"/>
  <c r="A406" i="5"/>
  <c r="I406" i="5"/>
  <c r="A398" i="5"/>
  <c r="I398" i="5"/>
  <c r="A390" i="5"/>
  <c r="I390" i="5"/>
  <c r="A382" i="5"/>
  <c r="I382" i="5"/>
  <c r="A374" i="5"/>
  <c r="I374" i="5"/>
  <c r="A366" i="5"/>
  <c r="I366" i="5"/>
  <c r="A358" i="5"/>
  <c r="I358" i="5"/>
  <c r="A350" i="5"/>
  <c r="I350" i="5"/>
  <c r="A342" i="5"/>
  <c r="I342" i="5"/>
  <c r="A334" i="5"/>
  <c r="I334" i="5"/>
  <c r="A326" i="5"/>
  <c r="I326" i="5"/>
  <c r="A318" i="5"/>
  <c r="I318" i="5"/>
  <c r="A310" i="5"/>
  <c r="I310" i="5"/>
  <c r="A302" i="5"/>
  <c r="I302" i="5"/>
  <c r="A294" i="5"/>
  <c r="I294" i="5"/>
  <c r="A286" i="5"/>
  <c r="I286" i="5"/>
  <c r="A278" i="5"/>
  <c r="I278" i="5"/>
  <c r="A270" i="5"/>
  <c r="I270" i="5"/>
  <c r="A262" i="5"/>
  <c r="I262" i="5"/>
  <c r="A254" i="5"/>
  <c r="I254" i="5"/>
  <c r="A246" i="5"/>
  <c r="I246" i="5"/>
  <c r="A238" i="5"/>
  <c r="I238" i="5"/>
  <c r="A230" i="5"/>
  <c r="I230" i="5"/>
  <c r="A222" i="5"/>
  <c r="I222" i="5"/>
  <c r="A214" i="5"/>
  <c r="I214" i="5"/>
  <c r="A206" i="5"/>
  <c r="I206" i="5"/>
  <c r="A198" i="5"/>
  <c r="I198" i="5"/>
  <c r="A190" i="5"/>
  <c r="I190" i="5"/>
  <c r="A182" i="5"/>
  <c r="I182" i="5"/>
  <c r="A174" i="5"/>
  <c r="I174" i="5"/>
  <c r="A166" i="5"/>
  <c r="I166" i="5"/>
  <c r="A158" i="5"/>
  <c r="I158" i="5"/>
  <c r="A150" i="5"/>
  <c r="I150" i="5"/>
  <c r="A142" i="5"/>
  <c r="I142" i="5"/>
  <c r="A134" i="5"/>
  <c r="I134" i="5"/>
  <c r="A126" i="5"/>
  <c r="I126" i="5"/>
  <c r="A118" i="5"/>
  <c r="I118" i="5"/>
  <c r="A110" i="5"/>
  <c r="I110" i="5"/>
  <c r="A102" i="5"/>
  <c r="I102" i="5"/>
  <c r="A94" i="5"/>
  <c r="I94" i="5"/>
  <c r="A86" i="5"/>
  <c r="I86" i="5"/>
  <c r="A78" i="5"/>
  <c r="I78" i="5"/>
  <c r="A70" i="5"/>
  <c r="I70" i="5"/>
  <c r="A62" i="5"/>
  <c r="I62" i="5"/>
  <c r="A54" i="5"/>
  <c r="I54" i="5"/>
  <c r="A46" i="5"/>
  <c r="I46" i="5"/>
  <c r="A38" i="5"/>
  <c r="I38" i="5"/>
  <c r="A30" i="5"/>
  <c r="I30" i="5"/>
  <c r="A22" i="5"/>
  <c r="I22" i="5"/>
  <c r="A14" i="5"/>
  <c r="I14" i="5"/>
  <c r="I618" i="5"/>
  <c r="A109" i="5"/>
  <c r="I109" i="5"/>
  <c r="A101" i="5"/>
  <c r="I101" i="5"/>
  <c r="A93" i="5"/>
  <c r="I93" i="5"/>
  <c r="A85" i="5"/>
  <c r="I85" i="5"/>
  <c r="A77" i="5"/>
  <c r="I77" i="5"/>
  <c r="A69" i="5"/>
  <c r="I69" i="5"/>
  <c r="A61" i="5"/>
  <c r="I61" i="5"/>
  <c r="A53" i="5"/>
  <c r="I53" i="5"/>
  <c r="A45" i="5"/>
  <c r="I45" i="5"/>
  <c r="A37" i="5"/>
  <c r="I37" i="5"/>
  <c r="A29" i="5"/>
  <c r="I29" i="5"/>
  <c r="A21" i="5"/>
  <c r="I21" i="5"/>
  <c r="A13" i="5"/>
  <c r="I13" i="5"/>
  <c r="A5" i="5"/>
  <c r="I5" i="5"/>
  <c r="I586" i="5"/>
  <c r="A820" i="5"/>
  <c r="I820" i="5"/>
  <c r="A812" i="5"/>
  <c r="I812" i="5"/>
  <c r="A804" i="5"/>
  <c r="I804" i="5"/>
  <c r="A796" i="5"/>
  <c r="I796" i="5"/>
  <c r="A788" i="5"/>
  <c r="I788" i="5"/>
  <c r="A780" i="5"/>
  <c r="I780" i="5"/>
  <c r="A772" i="5"/>
  <c r="I772" i="5"/>
  <c r="A764" i="5"/>
  <c r="I764" i="5"/>
  <c r="A756" i="5"/>
  <c r="I756" i="5"/>
  <c r="A748" i="5"/>
  <c r="I748" i="5"/>
  <c r="A740" i="5"/>
  <c r="I740" i="5"/>
  <c r="A732" i="5"/>
  <c r="I732" i="5"/>
  <c r="A724" i="5"/>
  <c r="I724" i="5"/>
  <c r="A716" i="5"/>
  <c r="I716" i="5"/>
  <c r="A708" i="5"/>
  <c r="I708" i="5"/>
  <c r="A700" i="5"/>
  <c r="I700" i="5"/>
  <c r="A692" i="5"/>
  <c r="I692" i="5"/>
  <c r="A684" i="5"/>
  <c r="I684" i="5"/>
  <c r="A676" i="5"/>
  <c r="I676" i="5"/>
  <c r="A668" i="5"/>
  <c r="I668" i="5"/>
  <c r="A660" i="5"/>
  <c r="I660" i="5"/>
  <c r="A652" i="5"/>
  <c r="I652" i="5"/>
  <c r="A644" i="5"/>
  <c r="I644" i="5"/>
  <c r="A636" i="5"/>
  <c r="I636" i="5"/>
  <c r="A628" i="5"/>
  <c r="I628" i="5"/>
  <c r="A620" i="5"/>
  <c r="I620" i="5"/>
  <c r="A612" i="5"/>
  <c r="I612" i="5"/>
  <c r="A604" i="5"/>
  <c r="I604" i="5"/>
  <c r="A596" i="5"/>
  <c r="I596" i="5"/>
  <c r="A588" i="5"/>
  <c r="I588" i="5"/>
  <c r="A580" i="5"/>
  <c r="I580" i="5"/>
  <c r="A572" i="5"/>
  <c r="I572" i="5"/>
  <c r="A564" i="5"/>
  <c r="I564" i="5"/>
  <c r="A556" i="5"/>
  <c r="I556" i="5"/>
  <c r="A548" i="5"/>
  <c r="I548" i="5"/>
  <c r="A540" i="5"/>
  <c r="I540" i="5"/>
  <c r="A532" i="5"/>
  <c r="I532" i="5"/>
  <c r="A524" i="5"/>
  <c r="I524" i="5"/>
  <c r="A516" i="5"/>
  <c r="I516" i="5"/>
  <c r="A508" i="5"/>
  <c r="I508" i="5"/>
  <c r="A500" i="5"/>
  <c r="I500" i="5"/>
  <c r="A492" i="5"/>
  <c r="I492" i="5"/>
  <c r="A484" i="5"/>
  <c r="I484" i="5"/>
  <c r="A476" i="5"/>
  <c r="I476" i="5"/>
  <c r="A468" i="5"/>
  <c r="I468" i="5"/>
  <c r="A460" i="5"/>
  <c r="I460" i="5"/>
  <c r="A452" i="5"/>
  <c r="I452" i="5"/>
  <c r="A444" i="5"/>
  <c r="I444" i="5"/>
  <c r="A436" i="5"/>
  <c r="I436" i="5"/>
  <c r="A428" i="5"/>
  <c r="I428" i="5"/>
  <c r="A420" i="5"/>
  <c r="I420" i="5"/>
  <c r="A412" i="5"/>
  <c r="I412" i="5"/>
  <c r="A404" i="5"/>
  <c r="I404" i="5"/>
  <c r="A396" i="5"/>
  <c r="I396" i="5"/>
  <c r="A388" i="5"/>
  <c r="I388" i="5"/>
  <c r="A380" i="5"/>
  <c r="I380" i="5"/>
  <c r="A372" i="5"/>
  <c r="I372" i="5"/>
  <c r="A364" i="5"/>
  <c r="I364" i="5"/>
  <c r="A356" i="5"/>
  <c r="I356" i="5"/>
  <c r="A348" i="5"/>
  <c r="I348" i="5"/>
  <c r="A340" i="5"/>
  <c r="I340" i="5"/>
  <c r="A332" i="5"/>
  <c r="I332" i="5"/>
  <c r="A324" i="5"/>
  <c r="I324" i="5"/>
  <c r="A316" i="5"/>
  <c r="I316" i="5"/>
  <c r="A308" i="5"/>
  <c r="I308" i="5"/>
  <c r="A300" i="5"/>
  <c r="I300" i="5"/>
  <c r="A292" i="5"/>
  <c r="I292" i="5"/>
  <c r="A284" i="5"/>
  <c r="I284" i="5"/>
  <c r="A276" i="5"/>
  <c r="I276" i="5"/>
  <c r="A268" i="5"/>
  <c r="I268" i="5"/>
  <c r="A260" i="5"/>
  <c r="I260" i="5"/>
  <c r="A252" i="5"/>
  <c r="I252" i="5"/>
  <c r="A244" i="5"/>
  <c r="I244" i="5"/>
  <c r="A236" i="5"/>
  <c r="I236" i="5"/>
  <c r="A228" i="5"/>
  <c r="I228" i="5"/>
  <c r="A220" i="5"/>
  <c r="I220" i="5"/>
  <c r="A212" i="5"/>
  <c r="I212" i="5"/>
  <c r="A204" i="5"/>
  <c r="I204" i="5"/>
  <c r="A196" i="5"/>
  <c r="I196" i="5"/>
  <c r="A188" i="5"/>
  <c r="I188" i="5"/>
  <c r="A180" i="5"/>
  <c r="I180" i="5"/>
  <c r="A172" i="5"/>
  <c r="I172" i="5"/>
  <c r="A164" i="5"/>
  <c r="I164" i="5"/>
  <c r="A156" i="5"/>
  <c r="I156" i="5"/>
  <c r="A148" i="5"/>
  <c r="I148" i="5"/>
  <c r="A140" i="5"/>
  <c r="I140" i="5"/>
  <c r="A132" i="5"/>
  <c r="I132" i="5"/>
  <c r="A124" i="5"/>
  <c r="I124" i="5"/>
  <c r="A116" i="5"/>
  <c r="I116" i="5"/>
  <c r="A108" i="5"/>
  <c r="I108" i="5"/>
  <c r="A100" i="5"/>
  <c r="I100" i="5"/>
  <c r="A92" i="5"/>
  <c r="I92" i="5"/>
  <c r="A84" i="5"/>
  <c r="I84" i="5"/>
  <c r="A76" i="5"/>
  <c r="I76" i="5"/>
  <c r="A68" i="5"/>
  <c r="I68" i="5"/>
  <c r="A60" i="5"/>
  <c r="I60" i="5"/>
  <c r="A52" i="5"/>
  <c r="I52" i="5"/>
  <c r="A44" i="5"/>
  <c r="I44" i="5"/>
  <c r="A36" i="5"/>
  <c r="I36" i="5"/>
  <c r="A28" i="5"/>
  <c r="I28" i="5"/>
  <c r="A20" i="5"/>
  <c r="I20" i="5"/>
  <c r="A12" i="5"/>
  <c r="I12" i="5"/>
  <c r="I554" i="5"/>
  <c r="A67" i="5"/>
  <c r="I67" i="5"/>
  <c r="A59" i="5"/>
  <c r="I59" i="5"/>
  <c r="A51" i="5"/>
  <c r="I51" i="5"/>
  <c r="A43" i="5"/>
  <c r="I43" i="5"/>
  <c r="A35" i="5"/>
  <c r="I35" i="5"/>
  <c r="A27" i="5"/>
  <c r="I27" i="5"/>
  <c r="A19" i="5"/>
  <c r="I19" i="5"/>
  <c r="A11" i="5"/>
  <c r="I11" i="5"/>
  <c r="I522" i="5"/>
  <c r="A1114" i="5"/>
  <c r="I1114" i="5"/>
  <c r="A1106" i="5"/>
  <c r="I1106" i="5"/>
  <c r="A1098" i="5"/>
  <c r="I1098" i="5"/>
  <c r="A1090" i="5"/>
  <c r="I1090" i="5"/>
  <c r="A1082" i="5"/>
  <c r="I1082" i="5"/>
  <c r="A1074" i="5"/>
  <c r="I1074" i="5"/>
  <c r="A1066" i="5"/>
  <c r="I1066" i="5"/>
  <c r="A1058" i="5"/>
  <c r="I1058" i="5"/>
  <c r="A1050" i="5"/>
  <c r="I1050" i="5"/>
  <c r="A1042" i="5"/>
  <c r="I1042" i="5"/>
  <c r="A1034" i="5"/>
  <c r="I1034" i="5"/>
  <c r="A1026" i="5"/>
  <c r="I1026" i="5"/>
  <c r="A1018" i="5"/>
  <c r="I1018" i="5"/>
  <c r="A1010" i="5"/>
  <c r="I1010" i="5"/>
  <c r="A1002" i="5"/>
  <c r="I1002" i="5"/>
  <c r="A994" i="5"/>
  <c r="I994" i="5"/>
  <c r="A986" i="5"/>
  <c r="I986" i="5"/>
  <c r="A978" i="5"/>
  <c r="I978" i="5"/>
  <c r="A970" i="5"/>
  <c r="I970" i="5"/>
  <c r="A962" i="5"/>
  <c r="I962" i="5"/>
  <c r="A954" i="5"/>
  <c r="I954" i="5"/>
  <c r="A946" i="5"/>
  <c r="I946" i="5"/>
  <c r="A938" i="5"/>
  <c r="I938" i="5"/>
  <c r="A930" i="5"/>
  <c r="I930" i="5"/>
  <c r="A922" i="5"/>
  <c r="I922" i="5"/>
  <c r="A914" i="5"/>
  <c r="I914" i="5"/>
  <c r="A906" i="5"/>
  <c r="I906" i="5"/>
  <c r="A898" i="5"/>
  <c r="I898" i="5"/>
  <c r="A890" i="5"/>
  <c r="I890" i="5"/>
  <c r="A882" i="5"/>
  <c r="I882" i="5"/>
  <c r="A874" i="5"/>
  <c r="I874" i="5"/>
  <c r="A866" i="5"/>
  <c r="I866" i="5"/>
  <c r="A858" i="5"/>
  <c r="I858" i="5"/>
  <c r="A850" i="5"/>
  <c r="I850" i="5"/>
  <c r="A842" i="5"/>
  <c r="I842" i="5"/>
  <c r="A834" i="5"/>
  <c r="I834" i="5"/>
  <c r="A826" i="5"/>
  <c r="I826" i="5"/>
  <c r="A818" i="5"/>
  <c r="I818" i="5"/>
  <c r="A810" i="5"/>
  <c r="I810" i="5"/>
  <c r="A802" i="5"/>
  <c r="I802" i="5"/>
  <c r="A794" i="5"/>
  <c r="I794" i="5"/>
  <c r="A786" i="5"/>
  <c r="I786" i="5"/>
  <c r="A778" i="5"/>
  <c r="I778" i="5"/>
  <c r="A770" i="5"/>
  <c r="I770" i="5"/>
  <c r="A762" i="5"/>
  <c r="I762" i="5"/>
  <c r="A754" i="5"/>
  <c r="I754" i="5"/>
  <c r="A746" i="5"/>
  <c r="I746" i="5"/>
  <c r="A738" i="5"/>
  <c r="I738" i="5"/>
  <c r="A730" i="5"/>
  <c r="I730" i="5"/>
  <c r="A722" i="5"/>
  <c r="I722" i="5"/>
  <c r="A714" i="5"/>
  <c r="I714" i="5"/>
  <c r="A706" i="5"/>
  <c r="I706" i="5"/>
  <c r="A698" i="5"/>
  <c r="I698" i="5"/>
  <c r="A690" i="5"/>
  <c r="I690" i="5"/>
  <c r="A682" i="5"/>
  <c r="I682" i="5"/>
  <c r="A674" i="5"/>
  <c r="I674" i="5"/>
  <c r="A666" i="5"/>
  <c r="I666" i="5"/>
  <c r="A658" i="5"/>
  <c r="I658" i="5"/>
  <c r="A642" i="5"/>
  <c r="I642" i="5"/>
  <c r="A634" i="5"/>
  <c r="I634" i="5"/>
  <c r="A626" i="5"/>
  <c r="I626" i="5"/>
  <c r="A610" i="5"/>
  <c r="I610" i="5"/>
  <c r="A602" i="5"/>
  <c r="I602" i="5"/>
  <c r="A594" i="5"/>
  <c r="I594" i="5"/>
  <c r="A578" i="5"/>
  <c r="I578" i="5"/>
  <c r="A570" i="5"/>
  <c r="I570" i="5"/>
  <c r="A562" i="5"/>
  <c r="I562" i="5"/>
  <c r="A546" i="5"/>
  <c r="I546" i="5"/>
  <c r="A538" i="5"/>
  <c r="I538" i="5"/>
  <c r="A530" i="5"/>
  <c r="I530" i="5"/>
  <c r="A514" i="5"/>
  <c r="I514" i="5"/>
  <c r="A506" i="5"/>
  <c r="I506" i="5"/>
  <c r="A498" i="5"/>
  <c r="I498" i="5"/>
  <c r="A482" i="5"/>
  <c r="I482" i="5"/>
  <c r="A474" i="5"/>
  <c r="I474" i="5"/>
  <c r="A466" i="5"/>
  <c r="I466" i="5"/>
  <c r="A458" i="5"/>
  <c r="I458" i="5"/>
  <c r="A450" i="5"/>
  <c r="I450" i="5"/>
  <c r="A442" i="5"/>
  <c r="I442" i="5"/>
  <c r="A434" i="5"/>
  <c r="I434" i="5"/>
  <c r="A426" i="5"/>
  <c r="I426" i="5"/>
  <c r="A418" i="5"/>
  <c r="I418" i="5"/>
  <c r="A410" i="5"/>
  <c r="I410" i="5"/>
  <c r="A402" i="5"/>
  <c r="I402" i="5"/>
  <c r="A394" i="5"/>
  <c r="I394" i="5"/>
  <c r="A386" i="5"/>
  <c r="I386" i="5"/>
  <c r="A378" i="5"/>
  <c r="I378" i="5"/>
  <c r="A370" i="5"/>
  <c r="I370" i="5"/>
  <c r="A362" i="5"/>
  <c r="I362" i="5"/>
  <c r="A354" i="5"/>
  <c r="I354" i="5"/>
  <c r="A346" i="5"/>
  <c r="I346" i="5"/>
  <c r="A338" i="5"/>
  <c r="I338" i="5"/>
  <c r="A330" i="5"/>
  <c r="I330" i="5"/>
  <c r="A322" i="5"/>
  <c r="I322" i="5"/>
  <c r="A314" i="5"/>
  <c r="I314" i="5"/>
  <c r="A306" i="5"/>
  <c r="I306" i="5"/>
  <c r="A298" i="5"/>
  <c r="I298" i="5"/>
  <c r="A290" i="5"/>
  <c r="I290" i="5"/>
  <c r="A282" i="5"/>
  <c r="I282" i="5"/>
  <c r="A274" i="5"/>
  <c r="I274" i="5"/>
  <c r="A266" i="5"/>
  <c r="I266" i="5"/>
  <c r="A258" i="5"/>
  <c r="I258" i="5"/>
  <c r="A250" i="5"/>
  <c r="I250" i="5"/>
  <c r="A242" i="5"/>
  <c r="I242" i="5"/>
  <c r="A234" i="5"/>
  <c r="I234" i="5"/>
  <c r="A226" i="5"/>
  <c r="I226" i="5"/>
  <c r="A218" i="5"/>
  <c r="I218" i="5"/>
  <c r="A210" i="5"/>
  <c r="I210" i="5"/>
  <c r="A202" i="5"/>
  <c r="I202" i="5"/>
  <c r="A194" i="5"/>
  <c r="I194" i="5"/>
  <c r="A186" i="5"/>
  <c r="I186" i="5"/>
  <c r="A178" i="5"/>
  <c r="I178" i="5"/>
  <c r="A170" i="5"/>
  <c r="I170" i="5"/>
  <c r="A162" i="5"/>
  <c r="I162" i="5"/>
  <c r="A154" i="5"/>
  <c r="I154" i="5"/>
  <c r="A146" i="5"/>
  <c r="I146" i="5"/>
  <c r="A138" i="5"/>
  <c r="I138" i="5"/>
  <c r="A130" i="5"/>
  <c r="I130" i="5"/>
  <c r="A122" i="5"/>
  <c r="I122" i="5"/>
  <c r="A114" i="5"/>
  <c r="I114" i="5"/>
  <c r="A106" i="5"/>
  <c r="I106" i="5"/>
  <c r="A98" i="5"/>
  <c r="I98" i="5"/>
  <c r="A90" i="5"/>
  <c r="I90" i="5"/>
  <c r="A82" i="5"/>
  <c r="I82" i="5"/>
  <c r="A74" i="5"/>
  <c r="I74" i="5"/>
  <c r="A66" i="5"/>
  <c r="I66" i="5"/>
  <c r="A58" i="5"/>
  <c r="I58" i="5"/>
  <c r="A50" i="5"/>
  <c r="I50" i="5"/>
  <c r="A42" i="5"/>
  <c r="I42" i="5"/>
  <c r="A34" i="5"/>
  <c r="I34" i="5"/>
  <c r="A26" i="5"/>
  <c r="I26" i="5"/>
  <c r="A18" i="5"/>
  <c r="I18" i="5"/>
  <c r="I490" i="5"/>
  <c r="A6" i="5"/>
  <c r="I6" i="5"/>
  <c r="A4" i="5"/>
  <c r="I4" i="5"/>
  <c r="A3" i="5"/>
  <c r="I3" i="5"/>
  <c r="A10" i="5"/>
  <c r="I10" i="5"/>
  <c r="C3" i="4"/>
  <c r="E3" i="4" s="1"/>
  <c r="F3" i="4" s="1"/>
  <c r="C4" i="4"/>
  <c r="E4" i="4" s="1"/>
  <c r="F4" i="4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2" i="3"/>
  <c r="E5" i="4"/>
  <c r="F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</calcChain>
</file>

<file path=xl/sharedStrings.xml><?xml version="1.0" encoding="utf-8"?>
<sst xmlns="http://schemas.openxmlformats.org/spreadsheetml/2006/main" count="7464" uniqueCount="283">
  <si>
    <t>year</t>
  </si>
  <si>
    <t>employer_name</t>
  </si>
  <si>
    <t>employer_contributions</t>
  </si>
  <si>
    <t>employer_allocation</t>
  </si>
  <si>
    <t>State of Maryland</t>
  </si>
  <si>
    <t>Allegany County Board of Elections Supervisors</t>
  </si>
  <si>
    <t>-</t>
  </si>
  <si>
    <t>Allegany County College of Maryland</t>
  </si>
  <si>
    <t>Allegany County Commission</t>
  </si>
  <si>
    <t>Allegany County Library</t>
  </si>
  <si>
    <t>Allegany County Officials</t>
  </si>
  <si>
    <t>Allegany County Public Schools</t>
  </si>
  <si>
    <t>Allegany County Transit Authority</t>
  </si>
  <si>
    <t>WMHPA (Allegany County Gov't)</t>
  </si>
  <si>
    <t>Allegany, Housing Authority of</t>
  </si>
  <si>
    <t>Annapolis, City of</t>
  </si>
  <si>
    <t>Anne Arundel County Community College</t>
  </si>
  <si>
    <t>Anne Arundel County Economic Opp. Com.</t>
  </si>
  <si>
    <t>Anne Arundel County Commission</t>
  </si>
  <si>
    <t>Anne Arundel County Master Judges</t>
  </si>
  <si>
    <t>Anne Arundel County Officials</t>
  </si>
  <si>
    <t>Anne Arundel County Public Schools</t>
  </si>
  <si>
    <t>Baltimore City Master Judges</t>
  </si>
  <si>
    <t>Baltimore City Sheriffs Department- ref:HB 101</t>
  </si>
  <si>
    <t>Baltimore City Sheriffs Department- ref:HB 101 (LEOPS)</t>
  </si>
  <si>
    <t>Baltimore County Master Judges</t>
  </si>
  <si>
    <t>Baltimore County Officials</t>
  </si>
  <si>
    <t>Baltimore Metropolitan Council</t>
  </si>
  <si>
    <t>Berlin, Town of</t>
  </si>
  <si>
    <t>Berwyn Heights, Town of</t>
  </si>
  <si>
    <t>Bethesda Fire Department</t>
  </si>
  <si>
    <t>Bladensburg, Town of</t>
  </si>
  <si>
    <t>Bowie, City of (LEOPS)</t>
  </si>
  <si>
    <t>Brunswick, Town of</t>
  </si>
  <si>
    <t>Calvert County Public Schools</t>
  </si>
  <si>
    <t>Cambridge, City of</t>
  </si>
  <si>
    <t>Cambridge, City of (LEOPS)</t>
  </si>
  <si>
    <t>Cambridge, Housing Authority of</t>
  </si>
  <si>
    <t>Caroline County Officials</t>
  </si>
  <si>
    <t>Caroline County Public Schools</t>
  </si>
  <si>
    <t>Caroline County Roads Board</t>
  </si>
  <si>
    <t>Caroline County Sheriff Deputies</t>
  </si>
  <si>
    <t>Carroll County Officials</t>
  </si>
  <si>
    <t>Carroll County Library</t>
  </si>
  <si>
    <t>Carroll County Public Schools</t>
  </si>
  <si>
    <t>Carroll Soil Conservation District</t>
  </si>
  <si>
    <t>Catoctin &amp; Frederick Soil Conser. Dist.</t>
  </si>
  <si>
    <t>Cecil County Commission</t>
  </si>
  <si>
    <t>Cecil County Library</t>
  </si>
  <si>
    <t>Cecil County Officials</t>
  </si>
  <si>
    <t>Cecil County Public Schools</t>
  </si>
  <si>
    <t>Centreville, Town of</t>
  </si>
  <si>
    <t>Chesapeake Bay Commission</t>
  </si>
  <si>
    <t>Chesapeake Employers Insurance</t>
  </si>
  <si>
    <t>Chestertown, Town of</t>
  </si>
  <si>
    <t>Chestertown, Town of (LEOPS)</t>
  </si>
  <si>
    <t>Cheverly, Town of</t>
  </si>
  <si>
    <t>Chevy Chase Fire Department</t>
  </si>
  <si>
    <t>College of Southern Maryland</t>
  </si>
  <si>
    <t>College Park, City of</t>
  </si>
  <si>
    <t>Crisfield, City of</t>
  </si>
  <si>
    <t>Crisfield, Housing Authority of</t>
  </si>
  <si>
    <t>Cumberland Police Department, City of</t>
  </si>
  <si>
    <t>Cumberland, City of</t>
  </si>
  <si>
    <t>Denton, Town of</t>
  </si>
  <si>
    <t>District Heights, City of</t>
  </si>
  <si>
    <t>Dorchester County Commission</t>
  </si>
  <si>
    <t>Dorchester County Commission (LEOPS)</t>
  </si>
  <si>
    <t>Dorchester County Officials</t>
  </si>
  <si>
    <t>Dorchester County Public Schools</t>
  </si>
  <si>
    <t>Dorchester County Roads Board</t>
  </si>
  <si>
    <t>Dorchester County Sanitary Commission</t>
  </si>
  <si>
    <t>Eastern Shore Regional Library</t>
  </si>
  <si>
    <t>Edmonston, Town of</t>
  </si>
  <si>
    <t>Elkton, Town of</t>
  </si>
  <si>
    <t>Emmitsburg, Town of</t>
  </si>
  <si>
    <t>Federalsburg, Town of</t>
  </si>
  <si>
    <t>WMHPA (Frederick County Gov't)</t>
  </si>
  <si>
    <t>Frederick County Public Schools</t>
  </si>
  <si>
    <t>Frostburg, City of</t>
  </si>
  <si>
    <t>Fruitland, City of</t>
  </si>
  <si>
    <t>Fruitland, City of (LEOPS)</t>
  </si>
  <si>
    <t>Garrett County Commission</t>
  </si>
  <si>
    <t>Garrett County Community Action Comm.</t>
  </si>
  <si>
    <t>Garrett County Officials</t>
  </si>
  <si>
    <t>Garrett County Public Schools</t>
  </si>
  <si>
    <t>Garrett County Roads Board</t>
  </si>
  <si>
    <t>WMHPA (Garrett County Gov't)</t>
  </si>
  <si>
    <t>Greenbelt, City of</t>
  </si>
  <si>
    <t>Greenbelt, City of (LEOPS)</t>
  </si>
  <si>
    <t>Greensboro, Town of</t>
  </si>
  <si>
    <t>Hagerstown Community College</t>
  </si>
  <si>
    <t>Hagerstown, City of</t>
  </si>
  <si>
    <t>Hampstead, Town of (LEOPS)</t>
  </si>
  <si>
    <t>Harford County Board of Education</t>
  </si>
  <si>
    <t>Harford County Community College</t>
  </si>
  <si>
    <t>Harford County Government</t>
  </si>
  <si>
    <t>Harford County Government (LEOPS)</t>
  </si>
  <si>
    <t>Harford County Library</t>
  </si>
  <si>
    <t>Harford County Liquor Board</t>
  </si>
  <si>
    <t>Howard Community College</t>
  </si>
  <si>
    <t>Howard County Com. Action Committee</t>
  </si>
  <si>
    <t>Howard County Officials</t>
  </si>
  <si>
    <t>Howard County Public Schools</t>
  </si>
  <si>
    <t>Hurlock, Town of</t>
  </si>
  <si>
    <t>Hurlock, Town of (LEOPS)</t>
  </si>
  <si>
    <t>Hyattsville, City of</t>
  </si>
  <si>
    <t>Hyattsville, City of (LEOPS)</t>
  </si>
  <si>
    <t>Kent County Commissioners</t>
  </si>
  <si>
    <t>Kent County Commissioners (LEOPS)</t>
  </si>
  <si>
    <t>Kent County Public Schools</t>
  </si>
  <si>
    <t>Kent Soil and Water Conservation District</t>
  </si>
  <si>
    <t>Landover Hills, Town of</t>
  </si>
  <si>
    <t>LaPlata, Town of</t>
  </si>
  <si>
    <t>Lexington Market Authority</t>
  </si>
  <si>
    <t>Manchester, Town of</t>
  </si>
  <si>
    <t>Maryland Environmental Service</t>
  </si>
  <si>
    <t>MD Nat. Cap. Park &amp; Plan Com.</t>
  </si>
  <si>
    <t>MD Health &amp; Higher Edu. Facilities Auth.</t>
  </si>
  <si>
    <t>Middleton, Burgess and Commissioners</t>
  </si>
  <si>
    <t>Montgomery County Gov't. (Supplemental Bill)</t>
  </si>
  <si>
    <t>Montgomery College</t>
  </si>
  <si>
    <t>Montgomery County Board of Education</t>
  </si>
  <si>
    <t>Montgomery County Government</t>
  </si>
  <si>
    <t>Montgomery County Public Library</t>
  </si>
  <si>
    <t>Morningside, Town of</t>
  </si>
  <si>
    <t>Mount Airy, Town of</t>
  </si>
  <si>
    <t>Mount Rainier, City of</t>
  </si>
  <si>
    <t>New Carrollton, City of</t>
  </si>
  <si>
    <t>North Beach, Town of</t>
  </si>
  <si>
    <t>Northeast Maryland Waste Disposal Auth.</t>
  </si>
  <si>
    <t>Oakland, Town of</t>
  </si>
  <si>
    <t>Oakland, Town of (LEOPS)</t>
  </si>
  <si>
    <t>Oxford, Town of</t>
  </si>
  <si>
    <t>Pocomoke, City of</t>
  </si>
  <si>
    <t>Preston, Town of</t>
  </si>
  <si>
    <t>Prince George's County Community College</t>
  </si>
  <si>
    <t>Prince George's County Government</t>
  </si>
  <si>
    <t>Prince George's County Memorial Library</t>
  </si>
  <si>
    <t>Prince George's County Public Schools</t>
  </si>
  <si>
    <t>Prince George's County Board of Elections Supervisors</t>
  </si>
  <si>
    <t>Prince George's County Crossing Guards</t>
  </si>
  <si>
    <t>Prince George's County Officials</t>
  </si>
  <si>
    <t>Princess Anne, Town of</t>
  </si>
  <si>
    <t>Princess Anne, Town of (LEOPS)</t>
  </si>
  <si>
    <t>Queen Anne's County Commission</t>
  </si>
  <si>
    <t>Queen Anne's County Public Schools</t>
  </si>
  <si>
    <t>Queen Anne's County</t>
  </si>
  <si>
    <t>Queen Anne's County Commissioners (LEOPS)</t>
  </si>
  <si>
    <t>Queenstown, Town of</t>
  </si>
  <si>
    <t>Ridgely, Town of</t>
  </si>
  <si>
    <t>Rock Hall, Town of</t>
  </si>
  <si>
    <t>Salisbury, City of</t>
  </si>
  <si>
    <t>Salisbury's Police Officers &amp; Fire Dept., City of</t>
  </si>
  <si>
    <t>Shore Up!</t>
  </si>
  <si>
    <t>Snow Hill, Town of</t>
  </si>
  <si>
    <t>Somerset County Commission</t>
  </si>
  <si>
    <t>Somerset County Economic Development Commission</t>
  </si>
  <si>
    <t>Somerset County Public Schools</t>
  </si>
  <si>
    <t>Somerset County Sanitary District</t>
  </si>
  <si>
    <t>Southern MD Tri-County Commun. Action</t>
  </si>
  <si>
    <t>St. Mary's County Metropolitan Commission</t>
  </si>
  <si>
    <t>St. Mary's County Board of Education</t>
  </si>
  <si>
    <t>St. Mary's County Government</t>
  </si>
  <si>
    <t>St. Mary's County Officials</t>
  </si>
  <si>
    <t>St. Mary's County, Housing Authority of</t>
  </si>
  <si>
    <t>St. Mary's Nursing Home</t>
  </si>
  <si>
    <t>St. Michael's, Commissioners of</t>
  </si>
  <si>
    <t>Sykesville, Town of</t>
  </si>
  <si>
    <t>Takoma Park, City of</t>
  </si>
  <si>
    <t>Talbot County Council</t>
  </si>
  <si>
    <t>Talbot County Officials</t>
  </si>
  <si>
    <t>Talbot County Public Schools</t>
  </si>
  <si>
    <t>Taneytown, City of</t>
  </si>
  <si>
    <t>Taneytown, City of (LEOPS)</t>
  </si>
  <si>
    <t>Thurmont, Town of</t>
  </si>
  <si>
    <t>Tri-County Council for Lower Eastern Shore</t>
  </si>
  <si>
    <t>Tri-County Council for Western Maryland</t>
  </si>
  <si>
    <t>University of MD (Montebello Employees)</t>
  </si>
  <si>
    <t>University of MD Medical System</t>
  </si>
  <si>
    <t>University Park, Town of</t>
  </si>
  <si>
    <t>Upper Marlboro, Town of</t>
  </si>
  <si>
    <t>Walkersville, Town of</t>
  </si>
  <si>
    <t>Washington County Board of Education</t>
  </si>
  <si>
    <t>Washington County Commission</t>
  </si>
  <si>
    <t>Washington County Library</t>
  </si>
  <si>
    <t>Washington County License Commission</t>
  </si>
  <si>
    <t>Washington County Roads Board</t>
  </si>
  <si>
    <t>Washington County Sanitary District</t>
  </si>
  <si>
    <t>WMHPA (Washington County Gov't)</t>
  </si>
  <si>
    <t>Washington, Board of License Comm.</t>
  </si>
  <si>
    <t>Westminster, City of</t>
  </si>
  <si>
    <t>Westminster, City of (LEOPS)</t>
  </si>
  <si>
    <t>Wicomico County Dept. of Rec. &amp; Park</t>
  </si>
  <si>
    <t>Wicomico County Roads Board</t>
  </si>
  <si>
    <t>Worcester County (LEOPS)</t>
  </si>
  <si>
    <t>Worcester County Board of Education</t>
  </si>
  <si>
    <t>Worcester County (Detention Officers)</t>
  </si>
  <si>
    <t>Worcester County Board of Elections Supervisors</t>
  </si>
  <si>
    <t>Worcester County Commission</t>
  </si>
  <si>
    <t>Worcester County Liquor Control Board</t>
  </si>
  <si>
    <t>Worcester County Officials</t>
  </si>
  <si>
    <t>Wor-Wic Community College</t>
  </si>
  <si>
    <t>Allegany County Commission (Sheriffs) (LEOPS)</t>
  </si>
  <si>
    <t>Anne Arundel County Economic Opp Com</t>
  </si>
  <si>
    <t>Baltimore City Sheriffs Department - ref:HB 101</t>
  </si>
  <si>
    <t>Baltimore City Sheriffs Department - ref:HB 101 (LEOPS)</t>
  </si>
  <si>
    <t>Caroline County Sheriff Deputies (LEOPS)</t>
  </si>
  <si>
    <t>Catoctin &amp; Frederick Soil Conser Dist</t>
  </si>
  <si>
    <t>Cumberland Police Department, City of (LEOPS)</t>
  </si>
  <si>
    <t>Garrett County Community Action Comm</t>
  </si>
  <si>
    <t>Howard County Com Action Committee</t>
  </si>
  <si>
    <t>MD Nat Cap Park &amp; Plan Com</t>
  </si>
  <si>
    <t>MD Health &amp; Higher Edu Facilities Auth</t>
  </si>
  <si>
    <t>Montgomery County Gov't (Supplemental Bill)</t>
  </si>
  <si>
    <t>Northeast Maryland Waste Disposal Auth</t>
  </si>
  <si>
    <t>Pocomoke, City of (LEOPS)</t>
  </si>
  <si>
    <t>Salisbury's Police Officers &amp; Fire Dept , City of (LEOPS)</t>
  </si>
  <si>
    <t>Southern MD Tri-County Commun Action</t>
  </si>
  <si>
    <t>St Mary's County Metropolitan Commission</t>
  </si>
  <si>
    <t>St Mary's County Board of Education</t>
  </si>
  <si>
    <t>St Mary's County Government</t>
  </si>
  <si>
    <t>St Mary's County Officials</t>
  </si>
  <si>
    <t>St Mary's County, Housing Authority of</t>
  </si>
  <si>
    <t>St Mary's Nursing Home</t>
  </si>
  <si>
    <t>St Michael's, Commissioners of</t>
  </si>
  <si>
    <t>Washington, Board of License Comm</t>
  </si>
  <si>
    <t>Wicomico County Dept of Rec &amp; Park</t>
  </si>
  <si>
    <t>State of M aryland</t>
  </si>
  <si>
    <t>Bethesda Fire Dep artment</t>
  </si>
  <si>
    <t>Salisbury's Police Officers &amp; Fire Dept., City of (LEOPS)</t>
  </si>
  <si>
    <t>University of MD (M ontebello Employees)</t>
  </si>
  <si>
    <t>Cheverly, Town of (LEOPS)</t>
  </si>
  <si>
    <t>Manchester, Town of (LEOPS)</t>
  </si>
  <si>
    <t>Mount Airy, Town of (LEOPS)</t>
  </si>
  <si>
    <t>Sykesville, Town of (LEOPS)</t>
  </si>
  <si>
    <t>Queen Anne's County Commissioners (CORS)</t>
  </si>
  <si>
    <t>St. Michael's, Commissioners of (LEOPS)</t>
  </si>
  <si>
    <t>Brentwood, Town of</t>
  </si>
  <si>
    <t>Centreville Police Department</t>
  </si>
  <si>
    <t>Somerset County Commission (LEOPS)</t>
  </si>
  <si>
    <t>Talbot County Sheriffs</t>
  </si>
  <si>
    <t>Anne Arundel Co. Community College</t>
  </si>
  <si>
    <t>Anne Arundel Co. Economic Opp. Com.</t>
  </si>
  <si>
    <t>Cecil County Offiicials</t>
  </si>
  <si>
    <t>Cheaspeake Employers Insurance</t>
  </si>
  <si>
    <t>Hancock, Town of (LEOPS)</t>
  </si>
  <si>
    <t>MD Nat. Cap. Park &amp; Plan Comm</t>
  </si>
  <si>
    <t>Md. Health &amp; Higher Edu.Facilities Auth.</t>
  </si>
  <si>
    <t>Montgomery Co.Gov't. (Supplemental Bill)</t>
  </si>
  <si>
    <t>Prince George's Co. Community College</t>
  </si>
  <si>
    <t>Prince George's Co. Government</t>
  </si>
  <si>
    <t>Prince George's Co. Memorial Library</t>
  </si>
  <si>
    <t>Prince George's Co. Public Schools</t>
  </si>
  <si>
    <t>Prince Georges County Crossing Guards</t>
  </si>
  <si>
    <t>Queen Anne County Commission</t>
  </si>
  <si>
    <t>Queen Anne County Public Schools</t>
  </si>
  <si>
    <t>Southern MD. Tri-County Commun. Action</t>
  </si>
  <si>
    <t>St. Mary's Co. Metropolitan Commission</t>
  </si>
  <si>
    <t>Employer Contribution Check</t>
  </si>
  <si>
    <t>Year</t>
  </si>
  <si>
    <t>Total Reported</t>
  </si>
  <si>
    <t>Total from Formula</t>
  </si>
  <si>
    <t>Difference</t>
  </si>
  <si>
    <t>Notes</t>
  </si>
  <si>
    <t>State Contributions</t>
  </si>
  <si>
    <t>Formula Total + State</t>
  </si>
  <si>
    <t>employer_allocation_no_state</t>
  </si>
  <si>
    <t>state_contributions</t>
  </si>
  <si>
    <t xml:space="preserve"> - </t>
  </si>
  <si>
    <t>standardized_employer_name</t>
  </si>
  <si>
    <t>Harford County Liquor Board (alt)</t>
  </si>
  <si>
    <t>name</t>
  </si>
  <si>
    <t>NAME</t>
  </si>
  <si>
    <t>Baltimore City Public Schools</t>
  </si>
  <si>
    <t>Baltimore County Public Schools</t>
  </si>
  <si>
    <t>Charles County Public Schools</t>
  </si>
  <si>
    <t>Wicomico County Public Schools</t>
  </si>
  <si>
    <t>total_contributions</t>
  </si>
  <si>
    <t>LEAID_match</t>
  </si>
  <si>
    <t>LEAID</t>
  </si>
  <si>
    <t>district_contributions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</si>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</sst>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0%"/>
    <numFmt numFmtId="165" formatCode="0.00000000%"/>
    <numFmt numFmtId="166" formatCode="_(&quot;$&quot;* #,##0_);_(&quot;$&quot;* \(#,##0\);_(&quot;$&quot;* &quot;-&quot;??_);_(@_)"/>
    <numFmt numFmtId="168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49" fontId="0" fillId="0" borderId="0" xfId="0" applyNumberFormat="1"/>
    <xf numFmtId="6" fontId="0" fillId="0" borderId="0" xfId="0" applyNumberFormat="1"/>
    <xf numFmtId="10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43" fontId="0" fillId="0" borderId="0" xfId="1" applyFont="1"/>
    <xf numFmtId="6" fontId="0" fillId="0" borderId="0" xfId="1" applyNumberFormat="1" applyFont="1"/>
    <xf numFmtId="0" fontId="2" fillId="0" borderId="0" xfId="0" applyFont="1"/>
    <xf numFmtId="49" fontId="2" fillId="0" borderId="0" xfId="0" applyNumberFormat="1" applyFont="1"/>
    <xf numFmtId="43" fontId="2" fillId="0" borderId="0" xfId="1" applyFont="1"/>
    <xf numFmtId="164" fontId="2" fillId="0" borderId="0" xfId="0" applyNumberFormat="1" applyFont="1"/>
    <xf numFmtId="166" fontId="0" fillId="0" borderId="0" xfId="2" applyNumberFormat="1" applyFont="1"/>
    <xf numFmtId="166" fontId="0" fillId="0" borderId="0" xfId="0" applyNumberFormat="1"/>
    <xf numFmtId="165" fontId="2" fillId="0" borderId="0" xfId="0" applyNumberFormat="1" applyFont="1"/>
    <xf numFmtId="165" fontId="2" fillId="0" borderId="0" xfId="3" applyNumberFormat="1" applyFont="1"/>
    <xf numFmtId="165" fontId="0" fillId="0" borderId="0" xfId="3" applyNumberFormat="1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49" fontId="4" fillId="0" borderId="0" xfId="0" applyNumberFormat="1" applyFont="1"/>
    <xf numFmtId="43" fontId="3" fillId="0" borderId="0" xfId="1" applyFont="1"/>
    <xf numFmtId="43" fontId="4" fillId="0" borderId="0" xfId="1" applyFont="1"/>
    <xf numFmtId="0" fontId="2" fillId="0" borderId="0" xfId="0" applyFont="1" applyAlignment="1">
      <alignment horizontal="center"/>
    </xf>
    <xf numFmtId="168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0" borderId="0" xfId="0" applyFill="1"/>
    <xf numFmtId="10" fontId="0" fillId="0" borderId="0" xfId="3" applyNumberFormat="1" applyFont="1"/>
    <xf numFmtId="43" fontId="0" fillId="0" borderId="0" xfId="0" applyNumberFormat="1"/>
    <xf numFmtId="49" fontId="4" fillId="3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AEB7-3CF4-234E-910D-71FD7E36A985}">
  <dimension ref="A1:I1816"/>
  <sheetViews>
    <sheetView tabSelected="1" zoomScaleNormal="100" workbookViewId="0">
      <selection activeCell="G9" sqref="G9"/>
    </sheetView>
  </sheetViews>
  <sheetFormatPr baseColWidth="10" defaultColWidth="11" defaultRowHeight="16" x14ac:dyDescent="0.2"/>
  <cols>
    <col min="2" max="2" width="5.1640625" bestFit="1" customWidth="1"/>
    <col min="3" max="3" width="70.5" customWidth="1"/>
    <col min="4" max="4" width="47" bestFit="1" customWidth="1"/>
    <col min="5" max="5" width="23" style="7" bestFit="1" customWidth="1"/>
    <col min="6" max="6" width="17.5" bestFit="1" customWidth="1"/>
    <col min="7" max="7" width="17" bestFit="1" customWidth="1"/>
  </cols>
  <sheetData>
    <row r="1" spans="1:9" x14ac:dyDescent="0.2">
      <c r="A1" s="9" t="s">
        <v>280</v>
      </c>
      <c r="B1" s="18" t="s">
        <v>260</v>
      </c>
      <c r="C1" s="18" t="s">
        <v>270</v>
      </c>
      <c r="D1" s="19" t="s">
        <v>1</v>
      </c>
      <c r="E1" s="22" t="s">
        <v>281</v>
      </c>
      <c r="F1" s="18" t="s">
        <v>268</v>
      </c>
      <c r="G1" s="18" t="s">
        <v>278</v>
      </c>
      <c r="H1" s="18" t="s">
        <v>279</v>
      </c>
      <c r="I1" s="18" t="s">
        <v>282</v>
      </c>
    </row>
    <row r="2" spans="1:9" x14ac:dyDescent="0.2">
      <c r="A2" t="str">
        <f>H2</f>
        <v/>
      </c>
      <c r="B2" s="20">
        <v>2015</v>
      </c>
      <c r="C2" s="21" t="s">
        <v>5</v>
      </c>
      <c r="D2" s="21" t="s">
        <v>5</v>
      </c>
      <c r="E2" s="23">
        <v>22089</v>
      </c>
      <c r="F2" s="20">
        <v>346511.33149999997</v>
      </c>
      <c r="G2" s="30">
        <f>SUM(E2:F2)</f>
        <v>368600.33149999997</v>
      </c>
      <c r="H2" t="str">
        <f>IFERROR(VLOOKUP(C2,Sheet1!$B$2:$C$25,2,FALSE),"")</f>
        <v/>
      </c>
      <c r="I2">
        <f>COUNTIF($H$2:$H$1812,H2)</f>
        <v>1613</v>
      </c>
    </row>
    <row r="3" spans="1:9" x14ac:dyDescent="0.2">
      <c r="A3" t="str">
        <f t="shared" ref="A3:A66" si="0">H3</f>
        <v/>
      </c>
      <c r="B3" s="20">
        <v>2016</v>
      </c>
      <c r="C3" s="21" t="s">
        <v>5</v>
      </c>
      <c r="D3" s="21" t="s">
        <v>5</v>
      </c>
      <c r="E3" s="23">
        <v>24601</v>
      </c>
      <c r="F3" s="20">
        <v>383993.02110000001</v>
      </c>
      <c r="G3" s="30">
        <f t="shared" ref="G3:G66" si="1">SUM(E3:F3)</f>
        <v>408594.02110000001</v>
      </c>
      <c r="H3" t="str">
        <f>IFERROR(VLOOKUP(C3,Sheet1!$B$2:$C$25,2,FALSE),"")</f>
        <v/>
      </c>
      <c r="I3">
        <f t="shared" ref="I3:I66" si="2">COUNTIF($H$2:$H$1812,H3)</f>
        <v>1613</v>
      </c>
    </row>
    <row r="4" spans="1:9" x14ac:dyDescent="0.2">
      <c r="A4" t="str">
        <f t="shared" si="0"/>
        <v/>
      </c>
      <c r="B4" s="20">
        <v>2017</v>
      </c>
      <c r="C4" s="21" t="s">
        <v>5</v>
      </c>
      <c r="D4" s="21" t="s">
        <v>5</v>
      </c>
      <c r="E4" s="23" t="s">
        <v>269</v>
      </c>
      <c r="F4" s="20">
        <v>0</v>
      </c>
      <c r="G4" s="30">
        <f t="shared" si="1"/>
        <v>0</v>
      </c>
      <c r="H4" t="str">
        <f>IFERROR(VLOOKUP(C4,Sheet1!$B$2:$C$25,2,FALSE),"")</f>
        <v/>
      </c>
      <c r="I4">
        <f t="shared" si="2"/>
        <v>1613</v>
      </c>
    </row>
    <row r="5" spans="1:9" x14ac:dyDescent="0.2">
      <c r="A5" t="str">
        <f t="shared" si="0"/>
        <v/>
      </c>
      <c r="B5" s="20">
        <v>2018</v>
      </c>
      <c r="C5" s="21" t="s">
        <v>5</v>
      </c>
      <c r="D5" s="21" t="s">
        <v>5</v>
      </c>
      <c r="E5" s="23">
        <v>28753</v>
      </c>
      <c r="F5" s="20">
        <v>432626.40649999998</v>
      </c>
      <c r="G5" s="30">
        <f t="shared" si="1"/>
        <v>461379.40649999998</v>
      </c>
      <c r="H5" t="str">
        <f>IFERROR(VLOOKUP(C5,Sheet1!$B$2:$C$25,2,FALSE),"")</f>
        <v/>
      </c>
      <c r="I5">
        <f t="shared" si="2"/>
        <v>1613</v>
      </c>
    </row>
    <row r="6" spans="1:9" x14ac:dyDescent="0.2">
      <c r="A6" t="str">
        <f t="shared" si="0"/>
        <v/>
      </c>
      <c r="B6" s="20">
        <v>2019</v>
      </c>
      <c r="C6" s="21" t="s">
        <v>5</v>
      </c>
      <c r="D6" s="21" t="s">
        <v>5</v>
      </c>
      <c r="E6" s="23">
        <v>29314</v>
      </c>
      <c r="F6" s="20">
        <v>421773.30829999998</v>
      </c>
      <c r="G6" s="30">
        <f t="shared" si="1"/>
        <v>451087.30829999998</v>
      </c>
      <c r="H6" t="str">
        <f>IFERROR(VLOOKUP(C6,Sheet1!$B$2:$C$25,2,FALSE),"")</f>
        <v/>
      </c>
      <c r="I6">
        <f t="shared" si="2"/>
        <v>1613</v>
      </c>
    </row>
    <row r="7" spans="1:9" x14ac:dyDescent="0.2">
      <c r="A7" t="str">
        <f t="shared" si="0"/>
        <v/>
      </c>
      <c r="B7" s="20">
        <v>2020</v>
      </c>
      <c r="C7" s="21" t="s">
        <v>5</v>
      </c>
      <c r="D7" s="21" t="s">
        <v>5</v>
      </c>
      <c r="E7" s="23">
        <v>33987</v>
      </c>
      <c r="F7" s="20">
        <v>475115.99440000003</v>
      </c>
      <c r="G7" s="30">
        <f t="shared" si="1"/>
        <v>509102.99440000003</v>
      </c>
      <c r="H7" t="str">
        <f>IFERROR(VLOOKUP(C7,Sheet1!$B$2:$C$25,2,FALSE),"")</f>
        <v/>
      </c>
      <c r="I7">
        <f t="shared" si="2"/>
        <v>1613</v>
      </c>
    </row>
    <row r="8" spans="1:9" x14ac:dyDescent="0.2">
      <c r="A8" t="str">
        <f t="shared" si="0"/>
        <v/>
      </c>
      <c r="B8" s="20">
        <v>2021</v>
      </c>
      <c r="C8" s="21" t="s">
        <v>5</v>
      </c>
      <c r="D8" s="21" t="s">
        <v>5</v>
      </c>
      <c r="E8" s="23">
        <v>34959</v>
      </c>
      <c r="F8" s="20">
        <v>456354.26809999999</v>
      </c>
      <c r="G8" s="30">
        <f t="shared" si="1"/>
        <v>491313.26809999999</v>
      </c>
      <c r="H8" t="str">
        <f>IFERROR(VLOOKUP(C8,Sheet1!$B$2:$C$25,2,FALSE),"")</f>
        <v/>
      </c>
      <c r="I8">
        <f t="shared" si="2"/>
        <v>1613</v>
      </c>
    </row>
    <row r="9" spans="1:9" x14ac:dyDescent="0.2">
      <c r="A9" t="str">
        <f t="shared" si="0"/>
        <v/>
      </c>
      <c r="B9" s="20">
        <v>2022</v>
      </c>
      <c r="C9" s="21" t="s">
        <v>5</v>
      </c>
      <c r="D9" s="21" t="s">
        <v>5</v>
      </c>
      <c r="E9" s="23">
        <v>35315</v>
      </c>
      <c r="F9" s="20">
        <v>485493.74369999999</v>
      </c>
      <c r="G9" s="30">
        <f t="shared" si="1"/>
        <v>520808.74369999999</v>
      </c>
      <c r="H9" t="str">
        <f>IFERROR(VLOOKUP(C9,Sheet1!$B$2:$C$25,2,FALSE),"")</f>
        <v/>
      </c>
      <c r="I9">
        <f t="shared" si="2"/>
        <v>1613</v>
      </c>
    </row>
    <row r="10" spans="1:9" x14ac:dyDescent="0.2">
      <c r="A10" t="str">
        <f t="shared" si="0"/>
        <v/>
      </c>
      <c r="B10" s="20">
        <v>2023</v>
      </c>
      <c r="C10" s="21" t="s">
        <v>5</v>
      </c>
      <c r="D10" s="21" t="s">
        <v>5</v>
      </c>
      <c r="E10" s="23">
        <v>49332</v>
      </c>
      <c r="F10" s="20">
        <v>660247.75430000003</v>
      </c>
      <c r="G10" s="30">
        <f t="shared" si="1"/>
        <v>709579.75430000003</v>
      </c>
      <c r="H10" t="str">
        <f>IFERROR(VLOOKUP(C10,Sheet1!$B$2:$C$25,2,FALSE),"")</f>
        <v/>
      </c>
      <c r="I10">
        <f t="shared" si="2"/>
        <v>1613</v>
      </c>
    </row>
    <row r="11" spans="1:9" x14ac:dyDescent="0.2">
      <c r="A11" t="str">
        <f t="shared" si="0"/>
        <v/>
      </c>
      <c r="B11" s="20">
        <v>2015</v>
      </c>
      <c r="C11" s="21" t="s">
        <v>7</v>
      </c>
      <c r="D11" s="21" t="s">
        <v>7</v>
      </c>
      <c r="E11" s="23">
        <v>81960</v>
      </c>
      <c r="F11" s="20">
        <v>1285710.93</v>
      </c>
      <c r="G11" s="30">
        <f t="shared" si="1"/>
        <v>1367670.93</v>
      </c>
      <c r="H11" t="str">
        <f>IFERROR(VLOOKUP(C11,Sheet1!$B$2:$C$25,2,FALSE),"")</f>
        <v/>
      </c>
      <c r="I11">
        <f t="shared" si="2"/>
        <v>1613</v>
      </c>
    </row>
    <row r="12" spans="1:9" x14ac:dyDescent="0.2">
      <c r="A12" t="str">
        <f t="shared" si="0"/>
        <v/>
      </c>
      <c r="B12" s="20">
        <v>2016</v>
      </c>
      <c r="C12" s="21" t="s">
        <v>7</v>
      </c>
      <c r="D12" s="21" t="s">
        <v>7</v>
      </c>
      <c r="E12" s="23">
        <v>75011</v>
      </c>
      <c r="F12" s="20">
        <v>1170834.54</v>
      </c>
      <c r="G12" s="30">
        <f t="shared" si="1"/>
        <v>1245845.54</v>
      </c>
      <c r="H12" t="str">
        <f>IFERROR(VLOOKUP(C12,Sheet1!$B$2:$C$25,2,FALSE),"")</f>
        <v/>
      </c>
      <c r="I12">
        <f t="shared" si="2"/>
        <v>1613</v>
      </c>
    </row>
    <row r="13" spans="1:9" x14ac:dyDescent="0.2">
      <c r="A13" t="str">
        <f t="shared" si="0"/>
        <v/>
      </c>
      <c r="B13" s="20">
        <v>2017</v>
      </c>
      <c r="C13" s="21" t="s">
        <v>7</v>
      </c>
      <c r="D13" s="21" t="s">
        <v>7</v>
      </c>
      <c r="E13" s="23">
        <v>77433</v>
      </c>
      <c r="F13" s="20">
        <v>1279998.415</v>
      </c>
      <c r="G13" s="30">
        <f t="shared" si="1"/>
        <v>1357431.415</v>
      </c>
      <c r="H13" t="str">
        <f>IFERROR(VLOOKUP(C13,Sheet1!$B$2:$C$25,2,FALSE),"")</f>
        <v/>
      </c>
      <c r="I13">
        <f t="shared" si="2"/>
        <v>1613</v>
      </c>
    </row>
    <row r="14" spans="1:9" x14ac:dyDescent="0.2">
      <c r="A14" t="str">
        <f t="shared" si="0"/>
        <v/>
      </c>
      <c r="B14" s="20">
        <v>2018</v>
      </c>
      <c r="C14" s="21" t="s">
        <v>7</v>
      </c>
      <c r="D14" s="21" t="s">
        <v>7</v>
      </c>
      <c r="E14" s="23">
        <v>75345</v>
      </c>
      <c r="F14" s="20">
        <v>1133663.8470000001</v>
      </c>
      <c r="G14" s="30">
        <f t="shared" si="1"/>
        <v>1209008.8470000001</v>
      </c>
      <c r="H14" t="str">
        <f>IFERROR(VLOOKUP(C14,Sheet1!$B$2:$C$25,2,FALSE),"")</f>
        <v/>
      </c>
      <c r="I14">
        <f t="shared" si="2"/>
        <v>1613</v>
      </c>
    </row>
    <row r="15" spans="1:9" x14ac:dyDescent="0.2">
      <c r="A15" t="str">
        <f t="shared" si="0"/>
        <v/>
      </c>
      <c r="B15" s="20">
        <v>2019</v>
      </c>
      <c r="C15" s="21" t="s">
        <v>7</v>
      </c>
      <c r="D15" s="21" t="s">
        <v>7</v>
      </c>
      <c r="E15" s="23">
        <v>74423</v>
      </c>
      <c r="F15" s="20">
        <v>1070806.95</v>
      </c>
      <c r="G15" s="30">
        <f t="shared" si="1"/>
        <v>1145229.95</v>
      </c>
      <c r="H15" t="str">
        <f>IFERROR(VLOOKUP(C15,Sheet1!$B$2:$C$25,2,FALSE),"")</f>
        <v/>
      </c>
      <c r="I15">
        <f t="shared" si="2"/>
        <v>1613</v>
      </c>
    </row>
    <row r="16" spans="1:9" x14ac:dyDescent="0.2">
      <c r="A16" t="str">
        <f t="shared" si="0"/>
        <v/>
      </c>
      <c r="B16" s="20">
        <v>2020</v>
      </c>
      <c r="C16" s="21" t="s">
        <v>7</v>
      </c>
      <c r="D16" s="21" t="s">
        <v>7</v>
      </c>
      <c r="E16" s="23">
        <v>82099</v>
      </c>
      <c r="F16" s="20">
        <v>1147690.2350000001</v>
      </c>
      <c r="G16" s="30">
        <f t="shared" si="1"/>
        <v>1229789.2350000001</v>
      </c>
      <c r="H16" t="str">
        <f>IFERROR(VLOOKUP(C16,Sheet1!$B$2:$C$25,2,FALSE),"")</f>
        <v/>
      </c>
      <c r="I16">
        <f t="shared" si="2"/>
        <v>1613</v>
      </c>
    </row>
    <row r="17" spans="1:9" x14ac:dyDescent="0.2">
      <c r="A17" t="str">
        <f t="shared" si="0"/>
        <v/>
      </c>
      <c r="B17" s="20">
        <v>2021</v>
      </c>
      <c r="C17" s="21" t="s">
        <v>7</v>
      </c>
      <c r="D17" s="21" t="s">
        <v>7</v>
      </c>
      <c r="E17" s="23">
        <v>92968</v>
      </c>
      <c r="F17" s="20">
        <v>1213602.895</v>
      </c>
      <c r="G17" s="30">
        <f t="shared" si="1"/>
        <v>1306570.895</v>
      </c>
      <c r="H17" t="str">
        <f>IFERROR(VLOOKUP(C17,Sheet1!$B$2:$C$25,2,FALSE),"")</f>
        <v/>
      </c>
      <c r="I17">
        <f t="shared" si="2"/>
        <v>1613</v>
      </c>
    </row>
    <row r="18" spans="1:9" x14ac:dyDescent="0.2">
      <c r="A18" t="str">
        <f t="shared" si="0"/>
        <v/>
      </c>
      <c r="B18" s="20">
        <v>2022</v>
      </c>
      <c r="C18" s="21" t="s">
        <v>7</v>
      </c>
      <c r="D18" s="21" t="s">
        <v>7</v>
      </c>
      <c r="E18" s="23">
        <v>93825</v>
      </c>
      <c r="F18" s="20">
        <v>1289861.263</v>
      </c>
      <c r="G18" s="30">
        <f t="shared" si="1"/>
        <v>1383686.263</v>
      </c>
      <c r="H18" t="str">
        <f>IFERROR(VLOOKUP(C18,Sheet1!$B$2:$C$25,2,FALSE),"")</f>
        <v/>
      </c>
      <c r="I18">
        <f t="shared" si="2"/>
        <v>1613</v>
      </c>
    </row>
    <row r="19" spans="1:9" x14ac:dyDescent="0.2">
      <c r="A19" t="str">
        <f t="shared" si="0"/>
        <v/>
      </c>
      <c r="B19" s="20">
        <v>2023</v>
      </c>
      <c r="C19" s="21" t="s">
        <v>7</v>
      </c>
      <c r="D19" s="21" t="s">
        <v>7</v>
      </c>
      <c r="E19" s="23">
        <v>94072</v>
      </c>
      <c r="F19" s="20">
        <v>1259037.273</v>
      </c>
      <c r="G19" s="30">
        <f t="shared" si="1"/>
        <v>1353109.273</v>
      </c>
      <c r="H19" t="str">
        <f>IFERROR(VLOOKUP(C19,Sheet1!$B$2:$C$25,2,FALSE),"")</f>
        <v/>
      </c>
      <c r="I19">
        <f t="shared" si="2"/>
        <v>1613</v>
      </c>
    </row>
    <row r="20" spans="1:9" x14ac:dyDescent="0.2">
      <c r="A20" t="str">
        <f t="shared" si="0"/>
        <v/>
      </c>
      <c r="B20" s="20">
        <v>2015</v>
      </c>
      <c r="C20" s="21" t="s">
        <v>8</v>
      </c>
      <c r="D20" s="21" t="s">
        <v>8</v>
      </c>
      <c r="E20" s="23">
        <v>1356253</v>
      </c>
      <c r="F20" s="20">
        <v>21275613.789999999</v>
      </c>
      <c r="G20" s="30">
        <f t="shared" si="1"/>
        <v>22631866.789999999</v>
      </c>
      <c r="H20" t="str">
        <f>IFERROR(VLOOKUP(C20,Sheet1!$B$2:$C$25,2,FALSE),"")</f>
        <v/>
      </c>
      <c r="I20">
        <f t="shared" si="2"/>
        <v>1613</v>
      </c>
    </row>
    <row r="21" spans="1:9" x14ac:dyDescent="0.2">
      <c r="A21" t="str">
        <f t="shared" si="0"/>
        <v/>
      </c>
      <c r="B21" s="20">
        <v>2016</v>
      </c>
      <c r="C21" s="21" t="s">
        <v>8</v>
      </c>
      <c r="D21" s="21" t="s">
        <v>8</v>
      </c>
      <c r="E21" s="23">
        <v>1216982</v>
      </c>
      <c r="F21" s="20">
        <v>18995674.760000002</v>
      </c>
      <c r="G21" s="30">
        <f t="shared" si="1"/>
        <v>20212656.760000002</v>
      </c>
      <c r="H21" t="str">
        <f>IFERROR(VLOOKUP(C21,Sheet1!$B$2:$C$25,2,FALSE),"")</f>
        <v/>
      </c>
      <c r="I21">
        <f t="shared" si="2"/>
        <v>1613</v>
      </c>
    </row>
    <row r="22" spans="1:9" x14ac:dyDescent="0.2">
      <c r="A22" t="str">
        <f t="shared" si="0"/>
        <v/>
      </c>
      <c r="B22" s="20">
        <v>2017</v>
      </c>
      <c r="C22" s="21" t="s">
        <v>8</v>
      </c>
      <c r="D22" s="21" t="s">
        <v>8</v>
      </c>
      <c r="E22" s="23">
        <v>1200638</v>
      </c>
      <c r="F22" s="20">
        <v>19847025.649999999</v>
      </c>
      <c r="G22" s="30">
        <f t="shared" si="1"/>
        <v>21047663.649999999</v>
      </c>
      <c r="H22" t="str">
        <f>IFERROR(VLOOKUP(C22,Sheet1!$B$2:$C$25,2,FALSE),"")</f>
        <v/>
      </c>
      <c r="I22">
        <f t="shared" si="2"/>
        <v>1613</v>
      </c>
    </row>
    <row r="23" spans="1:9" x14ac:dyDescent="0.2">
      <c r="A23" t="str">
        <f t="shared" si="0"/>
        <v/>
      </c>
      <c r="B23" s="20">
        <v>2018</v>
      </c>
      <c r="C23" s="21" t="s">
        <v>8</v>
      </c>
      <c r="D23" s="21" t="s">
        <v>8</v>
      </c>
      <c r="E23" s="23">
        <v>1187705</v>
      </c>
      <c r="F23" s="20">
        <v>17870571.629999999</v>
      </c>
      <c r="G23" s="30">
        <f t="shared" si="1"/>
        <v>19058276.629999999</v>
      </c>
      <c r="H23" t="str">
        <f>IFERROR(VLOOKUP(C23,Sheet1!$B$2:$C$25,2,FALSE),"")</f>
        <v/>
      </c>
      <c r="I23">
        <f t="shared" si="2"/>
        <v>1613</v>
      </c>
    </row>
    <row r="24" spans="1:9" x14ac:dyDescent="0.2">
      <c r="A24" t="str">
        <f t="shared" si="0"/>
        <v/>
      </c>
      <c r="B24" s="20">
        <v>2019</v>
      </c>
      <c r="C24" s="21" t="s">
        <v>8</v>
      </c>
      <c r="D24" s="21" t="s">
        <v>8</v>
      </c>
      <c r="E24" s="23">
        <v>1335768</v>
      </c>
      <c r="F24" s="20">
        <v>19219188.390000001</v>
      </c>
      <c r="G24" s="30">
        <f t="shared" si="1"/>
        <v>20554956.390000001</v>
      </c>
      <c r="H24" t="str">
        <f>IFERROR(VLOOKUP(C24,Sheet1!$B$2:$C$25,2,FALSE),"")</f>
        <v/>
      </c>
      <c r="I24">
        <f t="shared" si="2"/>
        <v>1613</v>
      </c>
    </row>
    <row r="25" spans="1:9" x14ac:dyDescent="0.2">
      <c r="A25" t="str">
        <f t="shared" si="0"/>
        <v/>
      </c>
      <c r="B25" s="20">
        <v>2020</v>
      </c>
      <c r="C25" s="21" t="s">
        <v>8</v>
      </c>
      <c r="D25" s="21" t="s">
        <v>8</v>
      </c>
      <c r="E25" s="23">
        <v>1476726</v>
      </c>
      <c r="F25" s="20">
        <v>20643662.050000001</v>
      </c>
      <c r="G25" s="30">
        <f t="shared" si="1"/>
        <v>22120388.050000001</v>
      </c>
      <c r="H25" t="str">
        <f>IFERROR(VLOOKUP(C25,Sheet1!$B$2:$C$25,2,FALSE),"")</f>
        <v/>
      </c>
      <c r="I25">
        <f t="shared" si="2"/>
        <v>1613</v>
      </c>
    </row>
    <row r="26" spans="1:9" x14ac:dyDescent="0.2">
      <c r="A26" t="str">
        <f t="shared" si="0"/>
        <v/>
      </c>
      <c r="B26" s="20">
        <v>2021</v>
      </c>
      <c r="C26" s="21" t="s">
        <v>8</v>
      </c>
      <c r="D26" s="21" t="s">
        <v>8</v>
      </c>
      <c r="E26" s="23">
        <v>1653862</v>
      </c>
      <c r="F26" s="20">
        <v>21589490.050000001</v>
      </c>
      <c r="G26" s="30">
        <f t="shared" si="1"/>
        <v>23243352.050000001</v>
      </c>
      <c r="H26" t="str">
        <f>IFERROR(VLOOKUP(C26,Sheet1!$B$2:$C$25,2,FALSE),"")</f>
        <v/>
      </c>
      <c r="I26">
        <f t="shared" si="2"/>
        <v>1613</v>
      </c>
    </row>
    <row r="27" spans="1:9" x14ac:dyDescent="0.2">
      <c r="A27" t="str">
        <f t="shared" si="0"/>
        <v/>
      </c>
      <c r="B27" s="20">
        <v>2022</v>
      </c>
      <c r="C27" s="21" t="s">
        <v>8</v>
      </c>
      <c r="D27" s="21" t="s">
        <v>8</v>
      </c>
      <c r="E27" s="23">
        <v>1763613</v>
      </c>
      <c r="F27" s="20">
        <v>24245308.73</v>
      </c>
      <c r="G27" s="30">
        <f t="shared" si="1"/>
        <v>26008921.73</v>
      </c>
      <c r="H27" t="str">
        <f>IFERROR(VLOOKUP(C27,Sheet1!$B$2:$C$25,2,FALSE),"")</f>
        <v/>
      </c>
      <c r="I27">
        <f t="shared" si="2"/>
        <v>1613</v>
      </c>
    </row>
    <row r="28" spans="1:9" x14ac:dyDescent="0.2">
      <c r="A28" t="str">
        <f t="shared" si="0"/>
        <v/>
      </c>
      <c r="B28" s="20">
        <v>2023</v>
      </c>
      <c r="C28" s="21" t="s">
        <v>8</v>
      </c>
      <c r="D28" s="21" t="s">
        <v>8</v>
      </c>
      <c r="E28" s="23">
        <v>2047561</v>
      </c>
      <c r="F28" s="20">
        <v>27404069.41</v>
      </c>
      <c r="G28" s="30">
        <f t="shared" si="1"/>
        <v>29451630.41</v>
      </c>
      <c r="H28" t="str">
        <f>IFERROR(VLOOKUP(C28,Sheet1!$B$2:$C$25,2,FALSE),"")</f>
        <v/>
      </c>
      <c r="I28">
        <f t="shared" si="2"/>
        <v>1613</v>
      </c>
    </row>
    <row r="29" spans="1:9" x14ac:dyDescent="0.2">
      <c r="A29" t="str">
        <f t="shared" si="0"/>
        <v/>
      </c>
      <c r="B29" s="20">
        <v>2018</v>
      </c>
      <c r="C29" s="21" t="s">
        <v>203</v>
      </c>
      <c r="D29" s="21" t="s">
        <v>203</v>
      </c>
      <c r="E29" s="23">
        <v>364035</v>
      </c>
      <c r="F29" s="20">
        <v>5477381.625</v>
      </c>
      <c r="G29" s="30">
        <f t="shared" si="1"/>
        <v>5841416.625</v>
      </c>
      <c r="H29" t="str">
        <f>IFERROR(VLOOKUP(C29,Sheet1!$B$2:$C$25,2,FALSE),"")</f>
        <v/>
      </c>
      <c r="I29">
        <f t="shared" si="2"/>
        <v>1613</v>
      </c>
    </row>
    <row r="30" spans="1:9" x14ac:dyDescent="0.2">
      <c r="A30" t="str">
        <f t="shared" si="0"/>
        <v/>
      </c>
      <c r="B30" s="20">
        <v>2019</v>
      </c>
      <c r="C30" s="21" t="s">
        <v>203</v>
      </c>
      <c r="D30" s="21" t="s">
        <v>203</v>
      </c>
      <c r="E30" s="23">
        <v>330533</v>
      </c>
      <c r="F30" s="20">
        <v>4755748.0020000003</v>
      </c>
      <c r="G30" s="30">
        <f t="shared" si="1"/>
        <v>5086281.0020000003</v>
      </c>
      <c r="H30" t="str">
        <f>IFERROR(VLOOKUP(C30,Sheet1!$B$2:$C$25,2,FALSE),"")</f>
        <v/>
      </c>
      <c r="I30">
        <f t="shared" si="2"/>
        <v>1613</v>
      </c>
    </row>
    <row r="31" spans="1:9" x14ac:dyDescent="0.2">
      <c r="A31" t="str">
        <f t="shared" si="0"/>
        <v/>
      </c>
      <c r="B31" s="20">
        <v>2020</v>
      </c>
      <c r="C31" s="21" t="s">
        <v>203</v>
      </c>
      <c r="D31" s="21" t="s">
        <v>203</v>
      </c>
      <c r="E31" s="23">
        <v>340843</v>
      </c>
      <c r="F31" s="20">
        <v>4764761.8470000001</v>
      </c>
      <c r="G31" s="30">
        <f t="shared" si="1"/>
        <v>5105604.8470000001</v>
      </c>
      <c r="H31" t="str">
        <f>IFERROR(VLOOKUP(C31,Sheet1!$B$2:$C$25,2,FALSE),"")</f>
        <v/>
      </c>
      <c r="I31">
        <f t="shared" si="2"/>
        <v>1613</v>
      </c>
    </row>
    <row r="32" spans="1:9" x14ac:dyDescent="0.2">
      <c r="A32" t="str">
        <f t="shared" si="0"/>
        <v/>
      </c>
      <c r="B32" s="20">
        <v>2021</v>
      </c>
      <c r="C32" s="21" t="s">
        <v>203</v>
      </c>
      <c r="D32" s="21" t="s">
        <v>203</v>
      </c>
      <c r="E32" s="23">
        <v>394923</v>
      </c>
      <c r="F32" s="20">
        <v>5155318.9919999996</v>
      </c>
      <c r="G32" s="30">
        <f t="shared" si="1"/>
        <v>5550241.9919999996</v>
      </c>
      <c r="H32" t="str">
        <f>IFERROR(VLOOKUP(C32,Sheet1!$B$2:$C$25,2,FALSE),"")</f>
        <v/>
      </c>
      <c r="I32">
        <f t="shared" si="2"/>
        <v>1613</v>
      </c>
    </row>
    <row r="33" spans="1:9" x14ac:dyDescent="0.2">
      <c r="A33" t="str">
        <f t="shared" si="0"/>
        <v/>
      </c>
      <c r="B33" s="20">
        <v>2022</v>
      </c>
      <c r="C33" s="21" t="s">
        <v>203</v>
      </c>
      <c r="D33" s="21" t="s">
        <v>203</v>
      </c>
      <c r="E33" s="23">
        <v>408409</v>
      </c>
      <c r="F33" s="20">
        <v>5614611.7620000001</v>
      </c>
      <c r="G33" s="30">
        <f t="shared" si="1"/>
        <v>6023020.7620000001</v>
      </c>
      <c r="H33" t="str">
        <f>IFERROR(VLOOKUP(C33,Sheet1!$B$2:$C$25,2,FALSE),"")</f>
        <v/>
      </c>
      <c r="I33">
        <f t="shared" si="2"/>
        <v>1613</v>
      </c>
    </row>
    <row r="34" spans="1:9" x14ac:dyDescent="0.2">
      <c r="A34" t="str">
        <f t="shared" si="0"/>
        <v/>
      </c>
      <c r="B34" s="20">
        <v>2023</v>
      </c>
      <c r="C34" s="21" t="s">
        <v>203</v>
      </c>
      <c r="D34" s="21" t="s">
        <v>203</v>
      </c>
      <c r="E34" s="23">
        <v>545812</v>
      </c>
      <c r="F34" s="20">
        <v>7305017.9850000003</v>
      </c>
      <c r="G34" s="30">
        <f t="shared" si="1"/>
        <v>7850829.9850000003</v>
      </c>
      <c r="H34" t="str">
        <f>IFERROR(VLOOKUP(C34,Sheet1!$B$2:$C$25,2,FALSE),"")</f>
        <v/>
      </c>
      <c r="I34">
        <f t="shared" si="2"/>
        <v>1613</v>
      </c>
    </row>
    <row r="35" spans="1:9" x14ac:dyDescent="0.2">
      <c r="A35" t="str">
        <f t="shared" si="0"/>
        <v/>
      </c>
      <c r="B35" s="20">
        <v>2015</v>
      </c>
      <c r="C35" s="21" t="s">
        <v>9</v>
      </c>
      <c r="D35" s="21" t="s">
        <v>9</v>
      </c>
      <c r="E35" s="23">
        <v>8755</v>
      </c>
      <c r="F35" s="20">
        <v>137340.15609999999</v>
      </c>
      <c r="G35" s="30">
        <f t="shared" si="1"/>
        <v>146095.15609999999</v>
      </c>
      <c r="H35" t="str">
        <f>IFERROR(VLOOKUP(C35,Sheet1!$B$2:$C$25,2,FALSE),"")</f>
        <v/>
      </c>
      <c r="I35">
        <f t="shared" si="2"/>
        <v>1613</v>
      </c>
    </row>
    <row r="36" spans="1:9" x14ac:dyDescent="0.2">
      <c r="A36" t="str">
        <f t="shared" si="0"/>
        <v/>
      </c>
      <c r="B36" s="20">
        <v>2016</v>
      </c>
      <c r="C36" s="21" t="s">
        <v>9</v>
      </c>
      <c r="D36" s="21" t="s">
        <v>9</v>
      </c>
      <c r="E36" s="23">
        <v>7676</v>
      </c>
      <c r="F36" s="20">
        <v>119813.4397</v>
      </c>
      <c r="G36" s="30">
        <f t="shared" si="1"/>
        <v>127489.4397</v>
      </c>
      <c r="H36" t="str">
        <f>IFERROR(VLOOKUP(C36,Sheet1!$B$2:$C$25,2,FALSE),"")</f>
        <v/>
      </c>
      <c r="I36">
        <f t="shared" si="2"/>
        <v>1613</v>
      </c>
    </row>
    <row r="37" spans="1:9" x14ac:dyDescent="0.2">
      <c r="A37" t="str">
        <f t="shared" si="0"/>
        <v/>
      </c>
      <c r="B37" s="20">
        <v>2017</v>
      </c>
      <c r="C37" s="21" t="s">
        <v>9</v>
      </c>
      <c r="D37" s="21" t="s">
        <v>9</v>
      </c>
      <c r="E37" s="23">
        <v>7571</v>
      </c>
      <c r="F37" s="20">
        <v>125151.6537</v>
      </c>
      <c r="G37" s="30">
        <f t="shared" si="1"/>
        <v>132722.6537</v>
      </c>
      <c r="H37" t="str">
        <f>IFERROR(VLOOKUP(C37,Sheet1!$B$2:$C$25,2,FALSE),"")</f>
        <v/>
      </c>
      <c r="I37">
        <f t="shared" si="2"/>
        <v>1613</v>
      </c>
    </row>
    <row r="38" spans="1:9" x14ac:dyDescent="0.2">
      <c r="A38" t="str">
        <f t="shared" si="0"/>
        <v/>
      </c>
      <c r="B38" s="20">
        <v>2018</v>
      </c>
      <c r="C38" s="21" t="s">
        <v>9</v>
      </c>
      <c r="D38" s="21" t="s">
        <v>9</v>
      </c>
      <c r="E38" s="23">
        <v>6201</v>
      </c>
      <c r="F38" s="20">
        <v>93302.137040000001</v>
      </c>
      <c r="G38" s="30">
        <f t="shared" si="1"/>
        <v>99503.137040000001</v>
      </c>
      <c r="H38" t="str">
        <f>IFERROR(VLOOKUP(C38,Sheet1!$B$2:$C$25,2,FALSE),"")</f>
        <v/>
      </c>
      <c r="I38">
        <f t="shared" si="2"/>
        <v>1613</v>
      </c>
    </row>
    <row r="39" spans="1:9" x14ac:dyDescent="0.2">
      <c r="A39" t="str">
        <f t="shared" si="0"/>
        <v/>
      </c>
      <c r="B39" s="20">
        <v>2019</v>
      </c>
      <c r="C39" s="21" t="s">
        <v>9</v>
      </c>
      <c r="D39" s="21" t="s">
        <v>9</v>
      </c>
      <c r="E39" s="23">
        <v>6822</v>
      </c>
      <c r="F39" s="20">
        <v>98155.745020000002</v>
      </c>
      <c r="G39" s="30">
        <f t="shared" si="1"/>
        <v>104977.74502</v>
      </c>
      <c r="H39" t="str">
        <f>IFERROR(VLOOKUP(C39,Sheet1!$B$2:$C$25,2,FALSE),"")</f>
        <v/>
      </c>
      <c r="I39">
        <f t="shared" si="2"/>
        <v>1613</v>
      </c>
    </row>
    <row r="40" spans="1:9" x14ac:dyDescent="0.2">
      <c r="A40" t="str">
        <f t="shared" si="0"/>
        <v/>
      </c>
      <c r="B40" s="20">
        <v>2020</v>
      </c>
      <c r="C40" s="21" t="s">
        <v>9</v>
      </c>
      <c r="D40" s="21" t="s">
        <v>9</v>
      </c>
      <c r="E40" s="23">
        <v>2953</v>
      </c>
      <c r="F40" s="20">
        <v>41281.005429999997</v>
      </c>
      <c r="G40" s="30">
        <f t="shared" si="1"/>
        <v>44234.005429999997</v>
      </c>
      <c r="H40" t="str">
        <f>IFERROR(VLOOKUP(C40,Sheet1!$B$2:$C$25,2,FALSE),"")</f>
        <v/>
      </c>
      <c r="I40">
        <f t="shared" si="2"/>
        <v>1613</v>
      </c>
    </row>
    <row r="41" spans="1:9" x14ac:dyDescent="0.2">
      <c r="A41" t="str">
        <f t="shared" si="0"/>
        <v/>
      </c>
      <c r="B41" s="20">
        <v>2021</v>
      </c>
      <c r="C41" s="21" t="s">
        <v>9</v>
      </c>
      <c r="D41" s="21" t="s">
        <v>9</v>
      </c>
      <c r="E41" s="23">
        <v>3321</v>
      </c>
      <c r="F41" s="20">
        <v>43352.284800000001</v>
      </c>
      <c r="G41" s="30">
        <f t="shared" si="1"/>
        <v>46673.284800000001</v>
      </c>
      <c r="H41" t="str">
        <f>IFERROR(VLOOKUP(C41,Sheet1!$B$2:$C$25,2,FALSE),"")</f>
        <v/>
      </c>
      <c r="I41">
        <f t="shared" si="2"/>
        <v>1613</v>
      </c>
    </row>
    <row r="42" spans="1:9" x14ac:dyDescent="0.2">
      <c r="A42" t="str">
        <f t="shared" si="0"/>
        <v/>
      </c>
      <c r="B42" s="20">
        <v>2022</v>
      </c>
      <c r="C42" s="21" t="s">
        <v>9</v>
      </c>
      <c r="D42" s="21" t="s">
        <v>9</v>
      </c>
      <c r="E42" s="23">
        <v>3479</v>
      </c>
      <c r="F42" s="20">
        <v>47827.629459999996</v>
      </c>
      <c r="G42" s="30">
        <f t="shared" si="1"/>
        <v>51306.629459999996</v>
      </c>
      <c r="H42" t="str">
        <f>IFERROR(VLOOKUP(C42,Sheet1!$B$2:$C$25,2,FALSE),"")</f>
        <v/>
      </c>
      <c r="I42">
        <f t="shared" si="2"/>
        <v>1613</v>
      </c>
    </row>
    <row r="43" spans="1:9" x14ac:dyDescent="0.2">
      <c r="A43" t="str">
        <f t="shared" si="0"/>
        <v/>
      </c>
      <c r="B43" s="20">
        <v>2023</v>
      </c>
      <c r="C43" s="21" t="s">
        <v>9</v>
      </c>
      <c r="D43" s="21" t="s">
        <v>9</v>
      </c>
      <c r="E43" s="23" t="s">
        <v>269</v>
      </c>
      <c r="F43" s="20">
        <v>0</v>
      </c>
      <c r="G43" s="30">
        <f t="shared" si="1"/>
        <v>0</v>
      </c>
      <c r="H43" t="str">
        <f>IFERROR(VLOOKUP(C43,Sheet1!$B$2:$C$25,2,FALSE),"")</f>
        <v/>
      </c>
      <c r="I43">
        <f t="shared" si="2"/>
        <v>1613</v>
      </c>
    </row>
    <row r="44" spans="1:9" x14ac:dyDescent="0.2">
      <c r="A44" t="str">
        <f t="shared" si="0"/>
        <v/>
      </c>
      <c r="B44" s="20">
        <v>2015</v>
      </c>
      <c r="C44" s="21" t="s">
        <v>10</v>
      </c>
      <c r="D44" s="21" t="s">
        <v>10</v>
      </c>
      <c r="E44" s="23">
        <v>27924</v>
      </c>
      <c r="F44" s="20">
        <v>438045.2905</v>
      </c>
      <c r="G44" s="30">
        <f t="shared" si="1"/>
        <v>465969.2905</v>
      </c>
      <c r="H44" t="str">
        <f>IFERROR(VLOOKUP(C44,Sheet1!$B$2:$C$25,2,FALSE),"")</f>
        <v/>
      </c>
      <c r="I44">
        <f t="shared" si="2"/>
        <v>1613</v>
      </c>
    </row>
    <row r="45" spans="1:9" x14ac:dyDescent="0.2">
      <c r="A45" t="str">
        <f t="shared" si="0"/>
        <v/>
      </c>
      <c r="B45" s="20">
        <v>2016</v>
      </c>
      <c r="C45" s="21" t="s">
        <v>10</v>
      </c>
      <c r="D45" s="21" t="s">
        <v>10</v>
      </c>
      <c r="E45" s="23">
        <v>36935</v>
      </c>
      <c r="F45" s="20">
        <v>576512.42779999995</v>
      </c>
      <c r="G45" s="30">
        <f t="shared" si="1"/>
        <v>613447.42779999995</v>
      </c>
      <c r="H45" t="str">
        <f>IFERROR(VLOOKUP(C45,Sheet1!$B$2:$C$25,2,FALSE),"")</f>
        <v/>
      </c>
      <c r="I45">
        <f t="shared" si="2"/>
        <v>1613</v>
      </c>
    </row>
    <row r="46" spans="1:9" x14ac:dyDescent="0.2">
      <c r="A46" t="str">
        <f t="shared" si="0"/>
        <v/>
      </c>
      <c r="B46" s="20">
        <v>2017</v>
      </c>
      <c r="C46" s="21" t="s">
        <v>10</v>
      </c>
      <c r="D46" s="21" t="s">
        <v>10</v>
      </c>
      <c r="E46" s="23">
        <v>41809</v>
      </c>
      <c r="F46" s="20">
        <v>691119.46770000004</v>
      </c>
      <c r="G46" s="30">
        <f t="shared" si="1"/>
        <v>732928.46770000004</v>
      </c>
      <c r="H46" t="str">
        <f>IFERROR(VLOOKUP(C46,Sheet1!$B$2:$C$25,2,FALSE),"")</f>
        <v/>
      </c>
      <c r="I46">
        <f t="shared" si="2"/>
        <v>1613</v>
      </c>
    </row>
    <row r="47" spans="1:9" x14ac:dyDescent="0.2">
      <c r="A47" t="str">
        <f t="shared" si="0"/>
        <v/>
      </c>
      <c r="B47" s="20">
        <v>2018</v>
      </c>
      <c r="C47" s="21" t="s">
        <v>10</v>
      </c>
      <c r="D47" s="21" t="s">
        <v>10</v>
      </c>
      <c r="E47" s="23">
        <v>29068</v>
      </c>
      <c r="F47" s="20">
        <v>437365.99249999999</v>
      </c>
      <c r="G47" s="30">
        <f t="shared" si="1"/>
        <v>466433.99249999999</v>
      </c>
      <c r="H47" t="str">
        <f>IFERROR(VLOOKUP(C47,Sheet1!$B$2:$C$25,2,FALSE),"")</f>
        <v/>
      </c>
      <c r="I47">
        <f t="shared" si="2"/>
        <v>1613</v>
      </c>
    </row>
    <row r="48" spans="1:9" x14ac:dyDescent="0.2">
      <c r="A48" t="str">
        <f t="shared" si="0"/>
        <v/>
      </c>
      <c r="B48" s="20">
        <v>2019</v>
      </c>
      <c r="C48" s="21" t="s">
        <v>10</v>
      </c>
      <c r="D48" s="21" t="s">
        <v>10</v>
      </c>
      <c r="E48" s="23">
        <v>29099</v>
      </c>
      <c r="F48" s="20">
        <v>418679.8628</v>
      </c>
      <c r="G48" s="30">
        <f t="shared" si="1"/>
        <v>447778.8628</v>
      </c>
      <c r="H48" t="str">
        <f>IFERROR(VLOOKUP(C48,Sheet1!$B$2:$C$25,2,FALSE),"")</f>
        <v/>
      </c>
      <c r="I48">
        <f t="shared" si="2"/>
        <v>1613</v>
      </c>
    </row>
    <row r="49" spans="1:9" x14ac:dyDescent="0.2">
      <c r="A49" t="str">
        <f t="shared" si="0"/>
        <v/>
      </c>
      <c r="B49" s="20">
        <v>2020</v>
      </c>
      <c r="C49" s="21" t="s">
        <v>10</v>
      </c>
      <c r="D49" s="21" t="s">
        <v>10</v>
      </c>
      <c r="E49" s="23">
        <v>38945</v>
      </c>
      <c r="F49" s="20">
        <v>544425.58629999997</v>
      </c>
      <c r="G49" s="30">
        <f t="shared" si="1"/>
        <v>583370.58629999997</v>
      </c>
      <c r="H49" t="str">
        <f>IFERROR(VLOOKUP(C49,Sheet1!$B$2:$C$25,2,FALSE),"")</f>
        <v/>
      </c>
      <c r="I49">
        <f t="shared" si="2"/>
        <v>1613</v>
      </c>
    </row>
    <row r="50" spans="1:9" x14ac:dyDescent="0.2">
      <c r="A50" t="str">
        <f t="shared" si="0"/>
        <v/>
      </c>
      <c r="B50" s="20">
        <v>2021</v>
      </c>
      <c r="C50" s="21" t="s">
        <v>10</v>
      </c>
      <c r="D50" s="21" t="s">
        <v>10</v>
      </c>
      <c r="E50" s="23">
        <v>42373</v>
      </c>
      <c r="F50" s="20">
        <v>553136.51430000004</v>
      </c>
      <c r="G50" s="30">
        <f t="shared" si="1"/>
        <v>595509.51430000004</v>
      </c>
      <c r="H50" t="str">
        <f>IFERROR(VLOOKUP(C50,Sheet1!$B$2:$C$25,2,FALSE),"")</f>
        <v/>
      </c>
      <c r="I50">
        <f t="shared" si="2"/>
        <v>1613</v>
      </c>
    </row>
    <row r="51" spans="1:9" x14ac:dyDescent="0.2">
      <c r="A51" t="str">
        <f t="shared" si="0"/>
        <v/>
      </c>
      <c r="B51" s="20">
        <v>2022</v>
      </c>
      <c r="C51" s="21" t="s">
        <v>10</v>
      </c>
      <c r="D51" s="21" t="s">
        <v>10</v>
      </c>
      <c r="E51" s="23">
        <v>43071</v>
      </c>
      <c r="F51" s="20">
        <v>592119.52520000003</v>
      </c>
      <c r="G51" s="30">
        <f t="shared" si="1"/>
        <v>635190.52520000003</v>
      </c>
      <c r="H51" t="str">
        <f>IFERROR(VLOOKUP(C51,Sheet1!$B$2:$C$25,2,FALSE),"")</f>
        <v/>
      </c>
      <c r="I51">
        <f t="shared" si="2"/>
        <v>1613</v>
      </c>
    </row>
    <row r="52" spans="1:9" x14ac:dyDescent="0.2">
      <c r="A52" t="str">
        <f t="shared" si="0"/>
        <v/>
      </c>
      <c r="B52" s="20">
        <v>2023</v>
      </c>
      <c r="C52" s="21" t="s">
        <v>10</v>
      </c>
      <c r="D52" s="21" t="s">
        <v>10</v>
      </c>
      <c r="E52" s="23">
        <v>44587</v>
      </c>
      <c r="F52" s="20">
        <v>596741.80290000001</v>
      </c>
      <c r="G52" s="30">
        <f t="shared" si="1"/>
        <v>641328.80290000001</v>
      </c>
      <c r="H52" t="str">
        <f>IFERROR(VLOOKUP(C52,Sheet1!$B$2:$C$25,2,FALSE),"")</f>
        <v/>
      </c>
      <c r="I52">
        <f t="shared" si="2"/>
        <v>1613</v>
      </c>
    </row>
    <row r="53" spans="1:9" x14ac:dyDescent="0.2">
      <c r="A53">
        <f t="shared" si="0"/>
        <v>2400030</v>
      </c>
      <c r="B53" s="20">
        <v>2015</v>
      </c>
      <c r="C53" s="21" t="s">
        <v>11</v>
      </c>
      <c r="D53" s="21" t="s">
        <v>11</v>
      </c>
      <c r="E53" s="23">
        <v>701600</v>
      </c>
      <c r="F53" s="20">
        <v>11006036.949999999</v>
      </c>
      <c r="G53" s="30">
        <f t="shared" si="1"/>
        <v>11707636.949999999</v>
      </c>
      <c r="H53">
        <f>IFERROR(VLOOKUP(C53,Sheet1!$B$2:$C$25,2,FALSE),"")</f>
        <v>2400030</v>
      </c>
      <c r="I53">
        <f t="shared" si="2"/>
        <v>9</v>
      </c>
    </row>
    <row r="54" spans="1:9" x14ac:dyDescent="0.2">
      <c r="A54">
        <f t="shared" si="0"/>
        <v>2400030</v>
      </c>
      <c r="B54" s="20">
        <v>2016</v>
      </c>
      <c r="C54" s="21" t="s">
        <v>11</v>
      </c>
      <c r="D54" s="21" t="s">
        <v>11</v>
      </c>
      <c r="E54" s="23">
        <v>572404</v>
      </c>
      <c r="F54" s="20">
        <v>8934561.2489999998</v>
      </c>
      <c r="G54" s="30">
        <f t="shared" si="1"/>
        <v>9506965.2489999998</v>
      </c>
      <c r="H54">
        <f>IFERROR(VLOOKUP(C54,Sheet1!$B$2:$C$25,2,FALSE),"")</f>
        <v>2400030</v>
      </c>
      <c r="I54">
        <f t="shared" si="2"/>
        <v>9</v>
      </c>
    </row>
    <row r="55" spans="1:9" x14ac:dyDescent="0.2">
      <c r="A55">
        <f t="shared" si="0"/>
        <v>2400030</v>
      </c>
      <c r="B55" s="20">
        <v>2017</v>
      </c>
      <c r="C55" s="21" t="s">
        <v>11</v>
      </c>
      <c r="D55" s="21" t="s">
        <v>11</v>
      </c>
      <c r="E55" s="23">
        <v>532468</v>
      </c>
      <c r="F55" s="20">
        <v>8801908.6980000008</v>
      </c>
      <c r="G55" s="30">
        <f t="shared" si="1"/>
        <v>9334376.6980000008</v>
      </c>
      <c r="H55">
        <f>IFERROR(VLOOKUP(C55,Sheet1!$B$2:$C$25,2,FALSE),"")</f>
        <v>2400030</v>
      </c>
      <c r="I55">
        <f t="shared" si="2"/>
        <v>9</v>
      </c>
    </row>
    <row r="56" spans="1:9" x14ac:dyDescent="0.2">
      <c r="A56">
        <f t="shared" si="0"/>
        <v>2400030</v>
      </c>
      <c r="B56" s="20">
        <v>2018</v>
      </c>
      <c r="C56" s="21" t="s">
        <v>11</v>
      </c>
      <c r="D56" s="21" t="s">
        <v>11</v>
      </c>
      <c r="E56" s="23">
        <v>555671</v>
      </c>
      <c r="F56" s="20">
        <v>8360795.3219999997</v>
      </c>
      <c r="G56" s="30">
        <f t="shared" si="1"/>
        <v>8916466.3220000006</v>
      </c>
      <c r="H56">
        <f>IFERROR(VLOOKUP(C56,Sheet1!$B$2:$C$25,2,FALSE),"")</f>
        <v>2400030</v>
      </c>
      <c r="I56">
        <f t="shared" si="2"/>
        <v>9</v>
      </c>
    </row>
    <row r="57" spans="1:9" x14ac:dyDescent="0.2">
      <c r="A57">
        <f t="shared" si="0"/>
        <v>2400030</v>
      </c>
      <c r="B57" s="20">
        <v>2019</v>
      </c>
      <c r="C57" s="21" t="s">
        <v>11</v>
      </c>
      <c r="D57" s="21" t="s">
        <v>11</v>
      </c>
      <c r="E57" s="23">
        <v>570493</v>
      </c>
      <c r="F57" s="20">
        <v>8208320.9380000001</v>
      </c>
      <c r="G57" s="30">
        <f t="shared" si="1"/>
        <v>8778813.938000001</v>
      </c>
      <c r="H57">
        <f>IFERROR(VLOOKUP(C57,Sheet1!$B$2:$C$25,2,FALSE),"")</f>
        <v>2400030</v>
      </c>
      <c r="I57">
        <f t="shared" si="2"/>
        <v>9</v>
      </c>
    </row>
    <row r="58" spans="1:9" x14ac:dyDescent="0.2">
      <c r="A58">
        <f t="shared" si="0"/>
        <v>2400030</v>
      </c>
      <c r="B58" s="20">
        <v>2020</v>
      </c>
      <c r="C58" s="21" t="s">
        <v>11</v>
      </c>
      <c r="D58" s="21" t="s">
        <v>11</v>
      </c>
      <c r="E58" s="23">
        <v>582676</v>
      </c>
      <c r="F58" s="20">
        <v>8145428.7570000002</v>
      </c>
      <c r="G58" s="30">
        <f t="shared" si="1"/>
        <v>8728104.7569999993</v>
      </c>
      <c r="H58">
        <f>IFERROR(VLOOKUP(C58,Sheet1!$B$2:$C$25,2,FALSE),"")</f>
        <v>2400030</v>
      </c>
      <c r="I58">
        <f t="shared" si="2"/>
        <v>9</v>
      </c>
    </row>
    <row r="59" spans="1:9" x14ac:dyDescent="0.2">
      <c r="A59">
        <f t="shared" si="0"/>
        <v>2400030</v>
      </c>
      <c r="B59" s="20">
        <v>2021</v>
      </c>
      <c r="C59" s="21" t="s">
        <v>11</v>
      </c>
      <c r="D59" s="21" t="s">
        <v>11</v>
      </c>
      <c r="E59" s="23">
        <v>657502</v>
      </c>
      <c r="F59" s="20">
        <v>8583021.3680000007</v>
      </c>
      <c r="G59" s="30">
        <f t="shared" si="1"/>
        <v>9240523.3680000007</v>
      </c>
      <c r="H59">
        <f>IFERROR(VLOOKUP(C59,Sheet1!$B$2:$C$25,2,FALSE),"")</f>
        <v>2400030</v>
      </c>
      <c r="I59">
        <f t="shared" si="2"/>
        <v>9</v>
      </c>
    </row>
    <row r="60" spans="1:9" x14ac:dyDescent="0.2">
      <c r="A60">
        <f t="shared" si="0"/>
        <v>2400030</v>
      </c>
      <c r="B60" s="20">
        <v>2022</v>
      </c>
      <c r="C60" s="21" t="s">
        <v>11</v>
      </c>
      <c r="D60" s="21" t="s">
        <v>11</v>
      </c>
      <c r="E60" s="23">
        <v>707323</v>
      </c>
      <c r="F60" s="20">
        <v>9723938.5889999997</v>
      </c>
      <c r="G60" s="30">
        <f t="shared" si="1"/>
        <v>10431261.589</v>
      </c>
      <c r="H60">
        <f>IFERROR(VLOOKUP(C60,Sheet1!$B$2:$C$25,2,FALSE),"")</f>
        <v>2400030</v>
      </c>
      <c r="I60">
        <f t="shared" si="2"/>
        <v>9</v>
      </c>
    </row>
    <row r="61" spans="1:9" x14ac:dyDescent="0.2">
      <c r="A61">
        <f t="shared" si="0"/>
        <v>2400030</v>
      </c>
      <c r="B61" s="20">
        <v>2023</v>
      </c>
      <c r="C61" s="21" t="s">
        <v>11</v>
      </c>
      <c r="D61" s="21" t="s">
        <v>11</v>
      </c>
      <c r="E61" s="23">
        <v>801251</v>
      </c>
      <c r="F61" s="20">
        <v>10723752.800000001</v>
      </c>
      <c r="G61" s="30">
        <f t="shared" si="1"/>
        <v>11525003.800000001</v>
      </c>
      <c r="H61">
        <f>IFERROR(VLOOKUP(C61,Sheet1!$B$2:$C$25,2,FALSE),"")</f>
        <v>2400030</v>
      </c>
      <c r="I61">
        <f t="shared" si="2"/>
        <v>9</v>
      </c>
    </row>
    <row r="62" spans="1:9" x14ac:dyDescent="0.2">
      <c r="A62" t="str">
        <f t="shared" si="0"/>
        <v/>
      </c>
      <c r="B62" s="20">
        <v>2015</v>
      </c>
      <c r="C62" s="21" t="s">
        <v>12</v>
      </c>
      <c r="D62" s="21" t="s">
        <v>12</v>
      </c>
      <c r="E62" s="23">
        <v>56490</v>
      </c>
      <c r="F62" s="20">
        <v>886161.66960000002</v>
      </c>
      <c r="G62" s="30">
        <f t="shared" si="1"/>
        <v>942651.66960000002</v>
      </c>
      <c r="H62" t="str">
        <f>IFERROR(VLOOKUP(C62,Sheet1!$B$2:$C$25,2,FALSE),"")</f>
        <v/>
      </c>
      <c r="I62">
        <f t="shared" si="2"/>
        <v>1613</v>
      </c>
    </row>
    <row r="63" spans="1:9" x14ac:dyDescent="0.2">
      <c r="A63" t="str">
        <f t="shared" si="0"/>
        <v/>
      </c>
      <c r="B63" s="20">
        <v>2016</v>
      </c>
      <c r="C63" s="21" t="s">
        <v>12</v>
      </c>
      <c r="D63" s="21" t="s">
        <v>12</v>
      </c>
      <c r="E63" s="23">
        <v>45933</v>
      </c>
      <c r="F63" s="20">
        <v>716960.75120000006</v>
      </c>
      <c r="G63" s="30">
        <f t="shared" si="1"/>
        <v>762893.75120000006</v>
      </c>
      <c r="H63" t="str">
        <f>IFERROR(VLOOKUP(C63,Sheet1!$B$2:$C$25,2,FALSE),"")</f>
        <v/>
      </c>
      <c r="I63">
        <f t="shared" si="2"/>
        <v>1613</v>
      </c>
    </row>
    <row r="64" spans="1:9" x14ac:dyDescent="0.2">
      <c r="A64" t="str">
        <f t="shared" si="0"/>
        <v/>
      </c>
      <c r="B64" s="20">
        <v>2017</v>
      </c>
      <c r="C64" s="21" t="s">
        <v>12</v>
      </c>
      <c r="D64" s="21" t="s">
        <v>12</v>
      </c>
      <c r="E64" s="23">
        <v>43786</v>
      </c>
      <c r="F64" s="20">
        <v>723800.0673</v>
      </c>
      <c r="G64" s="30">
        <f t="shared" si="1"/>
        <v>767586.0673</v>
      </c>
      <c r="H64" t="str">
        <f>IFERROR(VLOOKUP(C64,Sheet1!$B$2:$C$25,2,FALSE),"")</f>
        <v/>
      </c>
      <c r="I64">
        <f t="shared" si="2"/>
        <v>1613</v>
      </c>
    </row>
    <row r="65" spans="1:9" x14ac:dyDescent="0.2">
      <c r="A65" t="str">
        <f t="shared" si="0"/>
        <v/>
      </c>
      <c r="B65" s="20">
        <v>2018</v>
      </c>
      <c r="C65" s="21" t="s">
        <v>12</v>
      </c>
      <c r="D65" s="21" t="s">
        <v>12</v>
      </c>
      <c r="E65" s="23">
        <v>44982</v>
      </c>
      <c r="F65" s="20">
        <v>676812.88959999999</v>
      </c>
      <c r="G65" s="30">
        <f t="shared" si="1"/>
        <v>721794.88959999999</v>
      </c>
      <c r="H65" t="str">
        <f>IFERROR(VLOOKUP(C65,Sheet1!$B$2:$C$25,2,FALSE),"")</f>
        <v/>
      </c>
      <c r="I65">
        <f t="shared" si="2"/>
        <v>1613</v>
      </c>
    </row>
    <row r="66" spans="1:9" x14ac:dyDescent="0.2">
      <c r="A66" t="str">
        <f t="shared" si="0"/>
        <v/>
      </c>
      <c r="B66" s="20">
        <v>2019</v>
      </c>
      <c r="C66" s="21" t="s">
        <v>12</v>
      </c>
      <c r="D66" s="21" t="s">
        <v>12</v>
      </c>
      <c r="E66" s="23">
        <v>45620</v>
      </c>
      <c r="F66" s="20">
        <v>656385.97</v>
      </c>
      <c r="G66" s="30">
        <f t="shared" si="1"/>
        <v>702005.97</v>
      </c>
      <c r="H66" t="str">
        <f>IFERROR(VLOOKUP(C66,Sheet1!$B$2:$C$25,2,FALSE),"")</f>
        <v/>
      </c>
      <c r="I66">
        <f t="shared" si="2"/>
        <v>1613</v>
      </c>
    </row>
    <row r="67" spans="1:9" x14ac:dyDescent="0.2">
      <c r="A67" t="str">
        <f t="shared" ref="A67:A130" si="3">H67</f>
        <v/>
      </c>
      <c r="B67" s="20">
        <v>2020</v>
      </c>
      <c r="C67" s="21" t="s">
        <v>12</v>
      </c>
      <c r="D67" s="21" t="s">
        <v>12</v>
      </c>
      <c r="E67" s="23">
        <v>59185</v>
      </c>
      <c r="F67" s="20">
        <v>827367.52670000005</v>
      </c>
      <c r="G67" s="30">
        <f t="shared" ref="G67:G130" si="4">SUM(E67:F67)</f>
        <v>886552.52670000005</v>
      </c>
      <c r="H67" t="str">
        <f>IFERROR(VLOOKUP(C67,Sheet1!$B$2:$C$25,2,FALSE),"")</f>
        <v/>
      </c>
      <c r="I67">
        <f t="shared" ref="I67:I130" si="5">COUNTIF($H$2:$H$1812,H67)</f>
        <v>1613</v>
      </c>
    </row>
    <row r="68" spans="1:9" x14ac:dyDescent="0.2">
      <c r="A68" t="str">
        <f t="shared" si="3"/>
        <v/>
      </c>
      <c r="B68" s="20">
        <v>2021</v>
      </c>
      <c r="C68" s="21" t="s">
        <v>12</v>
      </c>
      <c r="D68" s="21" t="s">
        <v>12</v>
      </c>
      <c r="E68" s="23">
        <v>78296</v>
      </c>
      <c r="F68" s="20">
        <v>1022074.824</v>
      </c>
      <c r="G68" s="30">
        <f t="shared" si="4"/>
        <v>1100370.824</v>
      </c>
      <c r="H68" t="str">
        <f>IFERROR(VLOOKUP(C68,Sheet1!$B$2:$C$25,2,FALSE),"")</f>
        <v/>
      </c>
      <c r="I68">
        <f t="shared" si="5"/>
        <v>1613</v>
      </c>
    </row>
    <row r="69" spans="1:9" x14ac:dyDescent="0.2">
      <c r="A69" t="str">
        <f t="shared" si="3"/>
        <v/>
      </c>
      <c r="B69" s="20">
        <v>2022</v>
      </c>
      <c r="C69" s="21" t="s">
        <v>12</v>
      </c>
      <c r="D69" s="21" t="s">
        <v>12</v>
      </c>
      <c r="E69" s="23">
        <v>88453</v>
      </c>
      <c r="F69" s="20">
        <v>1216009.574</v>
      </c>
      <c r="G69" s="30">
        <f t="shared" si="4"/>
        <v>1304462.574</v>
      </c>
      <c r="H69" t="str">
        <f>IFERROR(VLOOKUP(C69,Sheet1!$B$2:$C$25,2,FALSE),"")</f>
        <v/>
      </c>
      <c r="I69">
        <f t="shared" si="5"/>
        <v>1613</v>
      </c>
    </row>
    <row r="70" spans="1:9" x14ac:dyDescent="0.2">
      <c r="A70" t="str">
        <f t="shared" si="3"/>
        <v/>
      </c>
      <c r="B70" s="20">
        <v>2023</v>
      </c>
      <c r="C70" s="21" t="s">
        <v>12</v>
      </c>
      <c r="D70" s="21" t="s">
        <v>12</v>
      </c>
      <c r="E70" s="23">
        <v>104573</v>
      </c>
      <c r="F70" s="20">
        <v>1399580.159</v>
      </c>
      <c r="G70" s="30">
        <f t="shared" si="4"/>
        <v>1504153.159</v>
      </c>
      <c r="H70" t="str">
        <f>IFERROR(VLOOKUP(C70,Sheet1!$B$2:$C$25,2,FALSE),"")</f>
        <v/>
      </c>
      <c r="I70">
        <f t="shared" si="5"/>
        <v>1613</v>
      </c>
    </row>
    <row r="71" spans="1:9" x14ac:dyDescent="0.2">
      <c r="A71" t="str">
        <f t="shared" si="3"/>
        <v/>
      </c>
      <c r="B71" s="20">
        <v>2015</v>
      </c>
      <c r="C71" s="21" t="s">
        <v>14</v>
      </c>
      <c r="D71" s="21" t="s">
        <v>14</v>
      </c>
      <c r="E71" s="23">
        <v>30733</v>
      </c>
      <c r="F71" s="20">
        <v>482110.22470000002</v>
      </c>
      <c r="G71" s="30">
        <f t="shared" si="4"/>
        <v>512843.22470000002</v>
      </c>
      <c r="H71" t="str">
        <f>IFERROR(VLOOKUP(C71,Sheet1!$B$2:$C$25,2,FALSE),"")</f>
        <v/>
      </c>
      <c r="I71">
        <f t="shared" si="5"/>
        <v>1613</v>
      </c>
    </row>
    <row r="72" spans="1:9" x14ac:dyDescent="0.2">
      <c r="A72" t="str">
        <f t="shared" si="3"/>
        <v/>
      </c>
      <c r="B72" s="20">
        <v>2016</v>
      </c>
      <c r="C72" s="21" t="s">
        <v>14</v>
      </c>
      <c r="D72" s="21" t="s">
        <v>14</v>
      </c>
      <c r="E72" s="23">
        <v>30069</v>
      </c>
      <c r="F72" s="20">
        <v>469342.14679999999</v>
      </c>
      <c r="G72" s="30">
        <f t="shared" si="4"/>
        <v>499411.14679999999</v>
      </c>
      <c r="H72" t="str">
        <f>IFERROR(VLOOKUP(C72,Sheet1!$B$2:$C$25,2,FALSE),"")</f>
        <v/>
      </c>
      <c r="I72">
        <f t="shared" si="5"/>
        <v>1613</v>
      </c>
    </row>
    <row r="73" spans="1:9" x14ac:dyDescent="0.2">
      <c r="A73" t="str">
        <f t="shared" si="3"/>
        <v/>
      </c>
      <c r="B73" s="20">
        <v>2017</v>
      </c>
      <c r="C73" s="21" t="s">
        <v>14</v>
      </c>
      <c r="D73" s="21" t="s">
        <v>14</v>
      </c>
      <c r="E73" s="23">
        <v>30234</v>
      </c>
      <c r="F73" s="20">
        <v>499780.09490000003</v>
      </c>
      <c r="G73" s="30">
        <f t="shared" si="4"/>
        <v>530014.09490000003</v>
      </c>
      <c r="H73" t="str">
        <f>IFERROR(VLOOKUP(C73,Sheet1!$B$2:$C$25,2,FALSE),"")</f>
        <v/>
      </c>
      <c r="I73">
        <f t="shared" si="5"/>
        <v>1613</v>
      </c>
    </row>
    <row r="74" spans="1:9" x14ac:dyDescent="0.2">
      <c r="A74" t="str">
        <f t="shared" si="3"/>
        <v/>
      </c>
      <c r="B74" s="20">
        <v>2018</v>
      </c>
      <c r="C74" s="21" t="s">
        <v>14</v>
      </c>
      <c r="D74" s="21" t="s">
        <v>14</v>
      </c>
      <c r="E74" s="23">
        <v>30900</v>
      </c>
      <c r="F74" s="20">
        <v>464930.82319999998</v>
      </c>
      <c r="G74" s="30">
        <f t="shared" si="4"/>
        <v>495830.82319999998</v>
      </c>
      <c r="H74" t="str">
        <f>IFERROR(VLOOKUP(C74,Sheet1!$B$2:$C$25,2,FALSE),"")</f>
        <v/>
      </c>
      <c r="I74">
        <f t="shared" si="5"/>
        <v>1613</v>
      </c>
    </row>
    <row r="75" spans="1:9" x14ac:dyDescent="0.2">
      <c r="A75" t="str">
        <f t="shared" si="3"/>
        <v/>
      </c>
      <c r="B75" s="20">
        <v>2019</v>
      </c>
      <c r="C75" s="21" t="s">
        <v>14</v>
      </c>
      <c r="D75" s="21" t="s">
        <v>14</v>
      </c>
      <c r="E75" s="23">
        <v>33310</v>
      </c>
      <c r="F75" s="20">
        <v>479268.23019999999</v>
      </c>
      <c r="G75" s="30">
        <f t="shared" si="4"/>
        <v>512578.23019999999</v>
      </c>
      <c r="H75" t="str">
        <f>IFERROR(VLOOKUP(C75,Sheet1!$B$2:$C$25,2,FALSE),"")</f>
        <v/>
      </c>
      <c r="I75">
        <f t="shared" si="5"/>
        <v>1613</v>
      </c>
    </row>
    <row r="76" spans="1:9" x14ac:dyDescent="0.2">
      <c r="A76" t="str">
        <f t="shared" si="3"/>
        <v/>
      </c>
      <c r="B76" s="20">
        <v>2020</v>
      </c>
      <c r="C76" s="21" t="s">
        <v>14</v>
      </c>
      <c r="D76" s="21" t="s">
        <v>14</v>
      </c>
      <c r="E76" s="23">
        <v>27517</v>
      </c>
      <c r="F76" s="20">
        <v>384669.63309999998</v>
      </c>
      <c r="G76" s="30">
        <f t="shared" si="4"/>
        <v>412186.63309999998</v>
      </c>
      <c r="H76" t="str">
        <f>IFERROR(VLOOKUP(C76,Sheet1!$B$2:$C$25,2,FALSE),"")</f>
        <v/>
      </c>
      <c r="I76">
        <f t="shared" si="5"/>
        <v>1613</v>
      </c>
    </row>
    <row r="77" spans="1:9" x14ac:dyDescent="0.2">
      <c r="A77" t="str">
        <f t="shared" si="3"/>
        <v/>
      </c>
      <c r="B77" s="20">
        <v>2021</v>
      </c>
      <c r="C77" s="21" t="s">
        <v>14</v>
      </c>
      <c r="D77" s="21" t="s">
        <v>14</v>
      </c>
      <c r="E77" s="23">
        <v>26836</v>
      </c>
      <c r="F77" s="20">
        <v>350316.7464</v>
      </c>
      <c r="G77" s="30">
        <f t="shared" si="4"/>
        <v>377152.7464</v>
      </c>
      <c r="H77" t="str">
        <f>IFERROR(VLOOKUP(C77,Sheet1!$B$2:$C$25,2,FALSE),"")</f>
        <v/>
      </c>
      <c r="I77">
        <f t="shared" si="5"/>
        <v>1613</v>
      </c>
    </row>
    <row r="78" spans="1:9" x14ac:dyDescent="0.2">
      <c r="A78" t="str">
        <f t="shared" si="3"/>
        <v/>
      </c>
      <c r="B78" s="20">
        <v>2022</v>
      </c>
      <c r="C78" s="21" t="s">
        <v>14</v>
      </c>
      <c r="D78" s="21" t="s">
        <v>14</v>
      </c>
      <c r="E78" s="23">
        <v>28788</v>
      </c>
      <c r="F78" s="20">
        <v>395763.66680000001</v>
      </c>
      <c r="G78" s="30">
        <f t="shared" si="4"/>
        <v>424551.66680000001</v>
      </c>
      <c r="H78" t="str">
        <f>IFERROR(VLOOKUP(C78,Sheet1!$B$2:$C$25,2,FALSE),"")</f>
        <v/>
      </c>
      <c r="I78">
        <f t="shared" si="5"/>
        <v>1613</v>
      </c>
    </row>
    <row r="79" spans="1:9" x14ac:dyDescent="0.2">
      <c r="A79" t="str">
        <f t="shared" si="3"/>
        <v/>
      </c>
      <c r="B79" s="20">
        <v>2023</v>
      </c>
      <c r="C79" s="21" t="s">
        <v>14</v>
      </c>
      <c r="D79" s="21" t="s">
        <v>14</v>
      </c>
      <c r="E79" s="23">
        <v>24559</v>
      </c>
      <c r="F79" s="20">
        <v>328691.81459999998</v>
      </c>
      <c r="G79" s="30">
        <f t="shared" si="4"/>
        <v>353250.81459999998</v>
      </c>
      <c r="H79" t="str">
        <f>IFERROR(VLOOKUP(C79,Sheet1!$B$2:$C$25,2,FALSE),"")</f>
        <v/>
      </c>
      <c r="I79">
        <f t="shared" si="5"/>
        <v>1613</v>
      </c>
    </row>
    <row r="80" spans="1:9" x14ac:dyDescent="0.2">
      <c r="A80" t="str">
        <f t="shared" si="3"/>
        <v/>
      </c>
      <c r="B80" s="20">
        <v>2015</v>
      </c>
      <c r="C80" s="21" t="s">
        <v>15</v>
      </c>
      <c r="D80" s="21" t="s">
        <v>15</v>
      </c>
      <c r="E80" s="23">
        <v>1655775</v>
      </c>
      <c r="F80" s="20">
        <v>25974231.52</v>
      </c>
      <c r="G80" s="30">
        <f t="shared" si="4"/>
        <v>27630006.52</v>
      </c>
      <c r="H80" t="str">
        <f>IFERROR(VLOOKUP(C80,Sheet1!$B$2:$C$25,2,FALSE),"")</f>
        <v/>
      </c>
      <c r="I80">
        <f t="shared" si="5"/>
        <v>1613</v>
      </c>
    </row>
    <row r="81" spans="1:9" x14ac:dyDescent="0.2">
      <c r="A81" t="str">
        <f t="shared" si="3"/>
        <v/>
      </c>
      <c r="B81" s="20">
        <v>2016</v>
      </c>
      <c r="C81" s="21" t="s">
        <v>15</v>
      </c>
      <c r="D81" s="21" t="s">
        <v>15</v>
      </c>
      <c r="E81" s="23">
        <v>1462128</v>
      </c>
      <c r="F81" s="20">
        <v>22822118.940000001</v>
      </c>
      <c r="G81" s="30">
        <f t="shared" si="4"/>
        <v>24284246.940000001</v>
      </c>
      <c r="H81" t="str">
        <f>IFERROR(VLOOKUP(C81,Sheet1!$B$2:$C$25,2,FALSE),"")</f>
        <v/>
      </c>
      <c r="I81">
        <f t="shared" si="5"/>
        <v>1613</v>
      </c>
    </row>
    <row r="82" spans="1:9" x14ac:dyDescent="0.2">
      <c r="A82" t="str">
        <f t="shared" si="3"/>
        <v/>
      </c>
      <c r="B82" s="20">
        <v>2017</v>
      </c>
      <c r="C82" s="21" t="s">
        <v>15</v>
      </c>
      <c r="D82" s="21" t="s">
        <v>15</v>
      </c>
      <c r="E82" s="23">
        <v>1445385</v>
      </c>
      <c r="F82" s="20">
        <v>23892791.309999999</v>
      </c>
      <c r="G82" s="30">
        <f t="shared" si="4"/>
        <v>25338176.309999999</v>
      </c>
      <c r="H82" t="str">
        <f>IFERROR(VLOOKUP(C82,Sheet1!$B$2:$C$25,2,FALSE),"")</f>
        <v/>
      </c>
      <c r="I82">
        <f t="shared" si="5"/>
        <v>1613</v>
      </c>
    </row>
    <row r="83" spans="1:9" x14ac:dyDescent="0.2">
      <c r="A83" t="str">
        <f t="shared" si="3"/>
        <v/>
      </c>
      <c r="B83" s="20">
        <v>2018</v>
      </c>
      <c r="C83" s="21" t="s">
        <v>15</v>
      </c>
      <c r="D83" s="21" t="s">
        <v>15</v>
      </c>
      <c r="E83" s="23">
        <v>1481009</v>
      </c>
      <c r="F83" s="20">
        <v>22283713.059999999</v>
      </c>
      <c r="G83" s="30">
        <f t="shared" si="4"/>
        <v>23764722.059999999</v>
      </c>
      <c r="H83" t="str">
        <f>IFERROR(VLOOKUP(C83,Sheet1!$B$2:$C$25,2,FALSE),"")</f>
        <v/>
      </c>
      <c r="I83">
        <f t="shared" si="5"/>
        <v>1613</v>
      </c>
    </row>
    <row r="84" spans="1:9" x14ac:dyDescent="0.2">
      <c r="A84" t="str">
        <f t="shared" si="3"/>
        <v/>
      </c>
      <c r="B84" s="20">
        <v>2019</v>
      </c>
      <c r="C84" s="21" t="s">
        <v>15</v>
      </c>
      <c r="D84" s="21" t="s">
        <v>15</v>
      </c>
      <c r="E84" s="23">
        <v>1557162</v>
      </c>
      <c r="F84" s="20">
        <v>22404631.52</v>
      </c>
      <c r="G84" s="30">
        <f t="shared" si="4"/>
        <v>23961793.52</v>
      </c>
      <c r="H84" t="str">
        <f>IFERROR(VLOOKUP(C84,Sheet1!$B$2:$C$25,2,FALSE),"")</f>
        <v/>
      </c>
      <c r="I84">
        <f t="shared" si="5"/>
        <v>1613</v>
      </c>
    </row>
    <row r="85" spans="1:9" x14ac:dyDescent="0.2">
      <c r="A85" t="str">
        <f t="shared" si="3"/>
        <v/>
      </c>
      <c r="B85" s="20">
        <v>2020</v>
      </c>
      <c r="C85" s="21" t="s">
        <v>15</v>
      </c>
      <c r="D85" s="21" t="s">
        <v>15</v>
      </c>
      <c r="E85" s="23">
        <v>1663063</v>
      </c>
      <c r="F85" s="20">
        <v>23248531.23</v>
      </c>
      <c r="G85" s="30">
        <f t="shared" si="4"/>
        <v>24911594.23</v>
      </c>
      <c r="H85" t="str">
        <f>IFERROR(VLOOKUP(C85,Sheet1!$B$2:$C$25,2,FALSE),"")</f>
        <v/>
      </c>
      <c r="I85">
        <f t="shared" si="5"/>
        <v>1613</v>
      </c>
    </row>
    <row r="86" spans="1:9" x14ac:dyDescent="0.2">
      <c r="A86" t="str">
        <f t="shared" si="3"/>
        <v/>
      </c>
      <c r="B86" s="20">
        <v>2021</v>
      </c>
      <c r="C86" s="21" t="s">
        <v>15</v>
      </c>
      <c r="D86" s="21" t="s">
        <v>15</v>
      </c>
      <c r="E86" s="23">
        <v>1994682</v>
      </c>
      <c r="F86" s="20">
        <v>26038549.280000001</v>
      </c>
      <c r="G86" s="30">
        <f t="shared" si="4"/>
        <v>28033231.280000001</v>
      </c>
      <c r="H86" t="str">
        <f>IFERROR(VLOOKUP(C86,Sheet1!$B$2:$C$25,2,FALSE),"")</f>
        <v/>
      </c>
      <c r="I86">
        <f t="shared" si="5"/>
        <v>1613</v>
      </c>
    </row>
    <row r="87" spans="1:9" x14ac:dyDescent="0.2">
      <c r="A87" t="str">
        <f t="shared" si="3"/>
        <v/>
      </c>
      <c r="B87" s="20">
        <v>2022</v>
      </c>
      <c r="C87" s="21" t="s">
        <v>15</v>
      </c>
      <c r="D87" s="21" t="s">
        <v>15</v>
      </c>
      <c r="E87" s="23">
        <v>2185333</v>
      </c>
      <c r="F87" s="20">
        <v>30042913.760000002</v>
      </c>
      <c r="G87" s="30">
        <f t="shared" si="4"/>
        <v>32228246.760000002</v>
      </c>
      <c r="H87" t="str">
        <f>IFERROR(VLOOKUP(C87,Sheet1!$B$2:$C$25,2,FALSE),"")</f>
        <v/>
      </c>
      <c r="I87">
        <f t="shared" si="5"/>
        <v>1613</v>
      </c>
    </row>
    <row r="88" spans="1:9" x14ac:dyDescent="0.2">
      <c r="A88" t="str">
        <f t="shared" si="3"/>
        <v/>
      </c>
      <c r="B88" s="20">
        <v>2023</v>
      </c>
      <c r="C88" s="21" t="s">
        <v>15</v>
      </c>
      <c r="D88" s="21" t="s">
        <v>15</v>
      </c>
      <c r="E88" s="23">
        <v>2415767</v>
      </c>
      <c r="F88" s="20">
        <v>32332050.93</v>
      </c>
      <c r="G88" s="30">
        <f t="shared" si="4"/>
        <v>34747817.93</v>
      </c>
      <c r="H88" t="str">
        <f>IFERROR(VLOOKUP(C88,Sheet1!$B$2:$C$25,2,FALSE),"")</f>
        <v/>
      </c>
      <c r="I88">
        <f t="shared" si="5"/>
        <v>1613</v>
      </c>
    </row>
    <row r="89" spans="1:9" x14ac:dyDescent="0.2">
      <c r="A89" t="str">
        <f t="shared" si="3"/>
        <v/>
      </c>
      <c r="B89" s="20">
        <v>2015</v>
      </c>
      <c r="C89" s="21" t="s">
        <v>18</v>
      </c>
      <c r="D89" s="21" t="s">
        <v>18</v>
      </c>
      <c r="E89" s="23">
        <v>1854389</v>
      </c>
      <c r="F89" s="20">
        <v>29089900.02</v>
      </c>
      <c r="G89" s="30">
        <f t="shared" si="4"/>
        <v>30944289.02</v>
      </c>
      <c r="H89" t="str">
        <f>IFERROR(VLOOKUP(C89,Sheet1!$B$2:$C$25,2,FALSE),"")</f>
        <v/>
      </c>
      <c r="I89">
        <f t="shared" si="5"/>
        <v>1613</v>
      </c>
    </row>
    <row r="90" spans="1:9" x14ac:dyDescent="0.2">
      <c r="A90" t="str">
        <f t="shared" si="3"/>
        <v/>
      </c>
      <c r="B90" s="20">
        <v>2016</v>
      </c>
      <c r="C90" s="21" t="s">
        <v>18</v>
      </c>
      <c r="D90" s="21" t="s">
        <v>18</v>
      </c>
      <c r="E90" s="23">
        <v>1947108</v>
      </c>
      <c r="F90" s="20">
        <v>30392093.140000001</v>
      </c>
      <c r="G90" s="30">
        <f t="shared" si="4"/>
        <v>32339201.140000001</v>
      </c>
      <c r="H90" t="str">
        <f>IFERROR(VLOOKUP(C90,Sheet1!$B$2:$C$25,2,FALSE),"")</f>
        <v/>
      </c>
      <c r="I90">
        <f t="shared" si="5"/>
        <v>1613</v>
      </c>
    </row>
    <row r="91" spans="1:9" x14ac:dyDescent="0.2">
      <c r="A91" t="str">
        <f t="shared" si="3"/>
        <v/>
      </c>
      <c r="B91" s="20">
        <v>2017</v>
      </c>
      <c r="C91" s="21" t="s">
        <v>18</v>
      </c>
      <c r="D91" s="21" t="s">
        <v>18</v>
      </c>
      <c r="E91" s="23">
        <v>2044463</v>
      </c>
      <c r="F91" s="20">
        <v>33795789.909999996</v>
      </c>
      <c r="G91" s="30">
        <f t="shared" si="4"/>
        <v>35840252.909999996</v>
      </c>
      <c r="H91" t="str">
        <f>IFERROR(VLOOKUP(C91,Sheet1!$B$2:$C$25,2,FALSE),"")</f>
        <v/>
      </c>
      <c r="I91">
        <f t="shared" si="5"/>
        <v>1613</v>
      </c>
    </row>
    <row r="92" spans="1:9" x14ac:dyDescent="0.2">
      <c r="A92" t="str">
        <f t="shared" si="3"/>
        <v/>
      </c>
      <c r="B92" s="20">
        <v>2018</v>
      </c>
      <c r="C92" s="21" t="s">
        <v>18</v>
      </c>
      <c r="D92" s="21" t="s">
        <v>18</v>
      </c>
      <c r="E92" s="23">
        <v>2146686</v>
      </c>
      <c r="F92" s="20">
        <v>32299692.210000001</v>
      </c>
      <c r="G92" s="30">
        <f t="shared" si="4"/>
        <v>34446378.210000001</v>
      </c>
      <c r="H92" t="str">
        <f>IFERROR(VLOOKUP(C92,Sheet1!$B$2:$C$25,2,FALSE),"")</f>
        <v/>
      </c>
      <c r="I92">
        <f t="shared" si="5"/>
        <v>1613</v>
      </c>
    </row>
    <row r="93" spans="1:9" x14ac:dyDescent="0.2">
      <c r="A93" t="str">
        <f t="shared" si="3"/>
        <v/>
      </c>
      <c r="B93" s="20">
        <v>2019</v>
      </c>
      <c r="C93" s="21" t="s">
        <v>18</v>
      </c>
      <c r="D93" s="21" t="s">
        <v>18</v>
      </c>
      <c r="E93" s="23">
        <v>2254020</v>
      </c>
      <c r="F93" s="20">
        <v>32431107.059999999</v>
      </c>
      <c r="G93" s="30">
        <f t="shared" si="4"/>
        <v>34685127.060000002</v>
      </c>
      <c r="H93" t="str">
        <f>IFERROR(VLOOKUP(C93,Sheet1!$B$2:$C$25,2,FALSE),"")</f>
        <v/>
      </c>
      <c r="I93">
        <f t="shared" si="5"/>
        <v>1613</v>
      </c>
    </row>
    <row r="94" spans="1:9" x14ac:dyDescent="0.2">
      <c r="A94" t="str">
        <f t="shared" si="3"/>
        <v/>
      </c>
      <c r="B94" s="20">
        <v>2020</v>
      </c>
      <c r="C94" s="21" t="s">
        <v>18</v>
      </c>
      <c r="D94" s="21" t="s">
        <v>18</v>
      </c>
      <c r="E94" s="23">
        <v>2366721</v>
      </c>
      <c r="F94" s="20">
        <v>33085209.09</v>
      </c>
      <c r="G94" s="30">
        <f t="shared" si="4"/>
        <v>35451930.090000004</v>
      </c>
      <c r="H94" t="str">
        <f>IFERROR(VLOOKUP(C94,Sheet1!$B$2:$C$25,2,FALSE),"")</f>
        <v/>
      </c>
      <c r="I94">
        <f t="shared" si="5"/>
        <v>1613</v>
      </c>
    </row>
    <row r="95" spans="1:9" x14ac:dyDescent="0.2">
      <c r="A95" t="str">
        <f t="shared" si="3"/>
        <v/>
      </c>
      <c r="B95" s="20">
        <v>2021</v>
      </c>
      <c r="C95" s="21" t="s">
        <v>18</v>
      </c>
      <c r="D95" s="21" t="s">
        <v>18</v>
      </c>
      <c r="E95" s="23" t="s">
        <v>269</v>
      </c>
      <c r="F95" s="20">
        <v>0</v>
      </c>
      <c r="G95" s="30">
        <f t="shared" si="4"/>
        <v>0</v>
      </c>
      <c r="H95" t="str">
        <f>IFERROR(VLOOKUP(C95,Sheet1!$B$2:$C$25,2,FALSE),"")</f>
        <v/>
      </c>
      <c r="I95">
        <f t="shared" si="5"/>
        <v>1613</v>
      </c>
    </row>
    <row r="96" spans="1:9" x14ac:dyDescent="0.2">
      <c r="A96" t="str">
        <f t="shared" si="3"/>
        <v/>
      </c>
      <c r="B96" s="20">
        <v>2022</v>
      </c>
      <c r="C96" s="21" t="s">
        <v>18</v>
      </c>
      <c r="D96" s="21" t="s">
        <v>18</v>
      </c>
      <c r="E96" s="23" t="s">
        <v>269</v>
      </c>
      <c r="F96" s="20">
        <v>0</v>
      </c>
      <c r="G96" s="30">
        <f t="shared" si="4"/>
        <v>0</v>
      </c>
      <c r="H96" t="str">
        <f>IFERROR(VLOOKUP(C96,Sheet1!$B$2:$C$25,2,FALSE),"")</f>
        <v/>
      </c>
      <c r="I96">
        <f t="shared" si="5"/>
        <v>1613</v>
      </c>
    </row>
    <row r="97" spans="1:9" x14ac:dyDescent="0.2">
      <c r="A97" t="str">
        <f t="shared" si="3"/>
        <v/>
      </c>
      <c r="B97" s="20">
        <v>2023</v>
      </c>
      <c r="C97" s="21" t="s">
        <v>18</v>
      </c>
      <c r="D97" s="21" t="s">
        <v>18</v>
      </c>
      <c r="E97" s="23" t="s">
        <v>269</v>
      </c>
      <c r="F97" s="20">
        <v>0</v>
      </c>
      <c r="G97" s="30">
        <f t="shared" si="4"/>
        <v>0</v>
      </c>
      <c r="H97" t="str">
        <f>IFERROR(VLOOKUP(C97,Sheet1!$B$2:$C$25,2,FALSE),"")</f>
        <v/>
      </c>
      <c r="I97">
        <f t="shared" si="5"/>
        <v>1613</v>
      </c>
    </row>
    <row r="98" spans="1:9" x14ac:dyDescent="0.2">
      <c r="A98" t="str">
        <f t="shared" si="3"/>
        <v/>
      </c>
      <c r="B98" s="20">
        <v>2015</v>
      </c>
      <c r="C98" s="21" t="s">
        <v>16</v>
      </c>
      <c r="D98" s="21" t="s">
        <v>242</v>
      </c>
      <c r="E98" s="23">
        <v>378329</v>
      </c>
      <c r="F98" s="20">
        <v>5934867.3799999999</v>
      </c>
      <c r="G98" s="30">
        <f t="shared" si="4"/>
        <v>6313196.3799999999</v>
      </c>
      <c r="H98" t="str">
        <f>IFERROR(VLOOKUP(C98,Sheet1!$B$2:$C$25,2,FALSE),"")</f>
        <v/>
      </c>
      <c r="I98">
        <f t="shared" si="5"/>
        <v>1613</v>
      </c>
    </row>
    <row r="99" spans="1:9" x14ac:dyDescent="0.2">
      <c r="A99" t="str">
        <f t="shared" si="3"/>
        <v/>
      </c>
      <c r="B99" s="20">
        <v>2016</v>
      </c>
      <c r="C99" s="21" t="s">
        <v>16</v>
      </c>
      <c r="D99" s="21" t="s">
        <v>16</v>
      </c>
      <c r="E99" s="23">
        <v>345140</v>
      </c>
      <c r="F99" s="20">
        <v>5387234.3119999999</v>
      </c>
      <c r="G99" s="30">
        <f t="shared" si="4"/>
        <v>5732374.3119999999</v>
      </c>
      <c r="H99" t="str">
        <f>IFERROR(VLOOKUP(C99,Sheet1!$B$2:$C$25,2,FALSE),"")</f>
        <v/>
      </c>
      <c r="I99">
        <f t="shared" si="5"/>
        <v>1613</v>
      </c>
    </row>
    <row r="100" spans="1:9" x14ac:dyDescent="0.2">
      <c r="A100" t="str">
        <f t="shared" si="3"/>
        <v/>
      </c>
      <c r="B100" s="20">
        <v>2017</v>
      </c>
      <c r="C100" s="21" t="s">
        <v>16</v>
      </c>
      <c r="D100" s="21" t="s">
        <v>16</v>
      </c>
      <c r="E100" s="23">
        <v>312775</v>
      </c>
      <c r="F100" s="20">
        <v>5170295.6660000002</v>
      </c>
      <c r="G100" s="30">
        <f t="shared" si="4"/>
        <v>5483070.6660000002</v>
      </c>
      <c r="H100" t="str">
        <f>IFERROR(VLOOKUP(C100,Sheet1!$B$2:$C$25,2,FALSE),"")</f>
        <v/>
      </c>
      <c r="I100">
        <f t="shared" si="5"/>
        <v>1613</v>
      </c>
    </row>
    <row r="101" spans="1:9" x14ac:dyDescent="0.2">
      <c r="A101" t="str">
        <f t="shared" si="3"/>
        <v/>
      </c>
      <c r="B101" s="20">
        <v>2018</v>
      </c>
      <c r="C101" s="21" t="s">
        <v>16</v>
      </c>
      <c r="D101" s="21" t="s">
        <v>16</v>
      </c>
      <c r="E101" s="23">
        <v>304070</v>
      </c>
      <c r="F101" s="20">
        <v>4575129.949</v>
      </c>
      <c r="G101" s="30">
        <f t="shared" si="4"/>
        <v>4879199.949</v>
      </c>
      <c r="H101" t="str">
        <f>IFERROR(VLOOKUP(C101,Sheet1!$B$2:$C$25,2,FALSE),"")</f>
        <v/>
      </c>
      <c r="I101">
        <f t="shared" si="5"/>
        <v>1613</v>
      </c>
    </row>
    <row r="102" spans="1:9" x14ac:dyDescent="0.2">
      <c r="A102" t="str">
        <f t="shared" si="3"/>
        <v/>
      </c>
      <c r="B102" s="20">
        <v>2019</v>
      </c>
      <c r="C102" s="21" t="s">
        <v>16</v>
      </c>
      <c r="D102" s="21" t="s">
        <v>16</v>
      </c>
      <c r="E102" s="23">
        <v>315548</v>
      </c>
      <c r="F102" s="20">
        <v>4540142.0449999999</v>
      </c>
      <c r="G102" s="30">
        <f t="shared" si="4"/>
        <v>4855690.0449999999</v>
      </c>
      <c r="H102" t="str">
        <f>IFERROR(VLOOKUP(C102,Sheet1!$B$2:$C$25,2,FALSE),"")</f>
        <v/>
      </c>
      <c r="I102">
        <f t="shared" si="5"/>
        <v>1613</v>
      </c>
    </row>
    <row r="103" spans="1:9" x14ac:dyDescent="0.2">
      <c r="A103" t="str">
        <f t="shared" si="3"/>
        <v/>
      </c>
      <c r="B103" s="20">
        <v>2020</v>
      </c>
      <c r="C103" s="21" t="s">
        <v>16</v>
      </c>
      <c r="D103" s="21" t="s">
        <v>16</v>
      </c>
      <c r="E103" s="23">
        <v>341931</v>
      </c>
      <c r="F103" s="20">
        <v>4779971.3739999998</v>
      </c>
      <c r="G103" s="30">
        <f t="shared" si="4"/>
        <v>5121902.3739999998</v>
      </c>
      <c r="H103" t="str">
        <f>IFERROR(VLOOKUP(C103,Sheet1!$B$2:$C$25,2,FALSE),"")</f>
        <v/>
      </c>
      <c r="I103">
        <f t="shared" si="5"/>
        <v>1613</v>
      </c>
    </row>
    <row r="104" spans="1:9" x14ac:dyDescent="0.2">
      <c r="A104" t="str">
        <f t="shared" si="3"/>
        <v/>
      </c>
      <c r="B104" s="20">
        <v>2021</v>
      </c>
      <c r="C104" s="21" t="s">
        <v>16</v>
      </c>
      <c r="D104" s="21" t="s">
        <v>16</v>
      </c>
      <c r="E104" s="23">
        <v>451393</v>
      </c>
      <c r="F104" s="20">
        <v>5892477.5350000001</v>
      </c>
      <c r="G104" s="30">
        <f t="shared" si="4"/>
        <v>6343870.5350000001</v>
      </c>
      <c r="H104" t="str">
        <f>IFERROR(VLOOKUP(C104,Sheet1!$B$2:$C$25,2,FALSE),"")</f>
        <v/>
      </c>
      <c r="I104">
        <f t="shared" si="5"/>
        <v>1613</v>
      </c>
    </row>
    <row r="105" spans="1:9" x14ac:dyDescent="0.2">
      <c r="A105" t="str">
        <f t="shared" si="3"/>
        <v/>
      </c>
      <c r="B105" s="20">
        <v>2022</v>
      </c>
      <c r="C105" s="21" t="s">
        <v>16</v>
      </c>
      <c r="D105" s="21" t="s">
        <v>16</v>
      </c>
      <c r="E105" s="23">
        <v>446925</v>
      </c>
      <c r="F105" s="20">
        <v>6144111.324</v>
      </c>
      <c r="G105" s="30">
        <f t="shared" si="4"/>
        <v>6591036.324</v>
      </c>
      <c r="H105" t="str">
        <f>IFERROR(VLOOKUP(C105,Sheet1!$B$2:$C$25,2,FALSE),"")</f>
        <v/>
      </c>
      <c r="I105">
        <f t="shared" si="5"/>
        <v>1613</v>
      </c>
    </row>
    <row r="106" spans="1:9" x14ac:dyDescent="0.2">
      <c r="A106" t="str">
        <f t="shared" si="3"/>
        <v/>
      </c>
      <c r="B106" s="20">
        <v>2023</v>
      </c>
      <c r="C106" s="21" t="s">
        <v>16</v>
      </c>
      <c r="D106" s="21" t="s">
        <v>16</v>
      </c>
      <c r="E106" s="23">
        <v>514561</v>
      </c>
      <c r="F106" s="20">
        <v>6886762.0350000001</v>
      </c>
      <c r="G106" s="30">
        <f t="shared" si="4"/>
        <v>7401323.0350000001</v>
      </c>
      <c r="H106" t="str">
        <f>IFERROR(VLOOKUP(C106,Sheet1!$B$2:$C$25,2,FALSE),"")</f>
        <v/>
      </c>
      <c r="I106">
        <f t="shared" si="5"/>
        <v>1613</v>
      </c>
    </row>
    <row r="107" spans="1:9" x14ac:dyDescent="0.2">
      <c r="A107" t="str">
        <f t="shared" si="3"/>
        <v/>
      </c>
      <c r="B107" s="20">
        <v>2015</v>
      </c>
      <c r="C107" s="21" t="s">
        <v>17</v>
      </c>
      <c r="D107" s="21" t="s">
        <v>243</v>
      </c>
      <c r="E107" s="23">
        <v>114853</v>
      </c>
      <c r="F107" s="20">
        <v>1801705.1910000001</v>
      </c>
      <c r="G107" s="30">
        <f t="shared" si="4"/>
        <v>1916558.1910000001</v>
      </c>
      <c r="H107" t="str">
        <f>IFERROR(VLOOKUP(C107,Sheet1!$B$2:$C$25,2,FALSE),"")</f>
        <v/>
      </c>
      <c r="I107">
        <f t="shared" si="5"/>
        <v>1613</v>
      </c>
    </row>
    <row r="108" spans="1:9" x14ac:dyDescent="0.2">
      <c r="A108" t="str">
        <f t="shared" si="3"/>
        <v/>
      </c>
      <c r="B108" s="20">
        <v>2016</v>
      </c>
      <c r="C108" s="21" t="s">
        <v>17</v>
      </c>
      <c r="D108" s="21" t="s">
        <v>17</v>
      </c>
      <c r="E108" s="23">
        <v>89187</v>
      </c>
      <c r="F108" s="20">
        <v>1392105.426</v>
      </c>
      <c r="G108" s="30">
        <f t="shared" si="4"/>
        <v>1481292.426</v>
      </c>
      <c r="H108" t="str">
        <f>IFERROR(VLOOKUP(C108,Sheet1!$B$2:$C$25,2,FALSE),"")</f>
        <v/>
      </c>
      <c r="I108">
        <f t="shared" si="5"/>
        <v>1613</v>
      </c>
    </row>
    <row r="109" spans="1:9" x14ac:dyDescent="0.2">
      <c r="A109" t="str">
        <f t="shared" si="3"/>
        <v/>
      </c>
      <c r="B109" s="20">
        <v>2017</v>
      </c>
      <c r="C109" s="21" t="s">
        <v>17</v>
      </c>
      <c r="D109" s="21" t="s">
        <v>17</v>
      </c>
      <c r="E109" s="23">
        <v>79412</v>
      </c>
      <c r="F109" s="20">
        <v>1312712.0759999999</v>
      </c>
      <c r="G109" s="30">
        <f t="shared" si="4"/>
        <v>1392124.0759999999</v>
      </c>
      <c r="H109" t="str">
        <f>IFERROR(VLOOKUP(C109,Sheet1!$B$2:$C$25,2,FALSE),"")</f>
        <v/>
      </c>
      <c r="I109">
        <f t="shared" si="5"/>
        <v>1613</v>
      </c>
    </row>
    <row r="110" spans="1:9" x14ac:dyDescent="0.2">
      <c r="A110" t="str">
        <f t="shared" si="3"/>
        <v/>
      </c>
      <c r="B110" s="20">
        <v>2018</v>
      </c>
      <c r="C110" s="21" t="s">
        <v>17</v>
      </c>
      <c r="D110" s="21" t="s">
        <v>204</v>
      </c>
      <c r="E110" s="23">
        <v>47734</v>
      </c>
      <c r="F110" s="20">
        <v>718220.32090000005</v>
      </c>
      <c r="G110" s="30">
        <f t="shared" si="4"/>
        <v>765954.32090000005</v>
      </c>
      <c r="H110" t="str">
        <f>IFERROR(VLOOKUP(C110,Sheet1!$B$2:$C$25,2,FALSE),"")</f>
        <v/>
      </c>
      <c r="I110">
        <f t="shared" si="5"/>
        <v>1613</v>
      </c>
    </row>
    <row r="111" spans="1:9" x14ac:dyDescent="0.2">
      <c r="A111" t="str">
        <f t="shared" si="3"/>
        <v/>
      </c>
      <c r="B111" s="20">
        <v>2019</v>
      </c>
      <c r="C111" s="21" t="s">
        <v>17</v>
      </c>
      <c r="D111" s="21" t="s">
        <v>17</v>
      </c>
      <c r="E111" s="23">
        <v>44194</v>
      </c>
      <c r="F111" s="20">
        <v>635868.51289999997</v>
      </c>
      <c r="G111" s="30">
        <f t="shared" si="4"/>
        <v>680062.51289999997</v>
      </c>
      <c r="H111" t="str">
        <f>IFERROR(VLOOKUP(C111,Sheet1!$B$2:$C$25,2,FALSE),"")</f>
        <v/>
      </c>
      <c r="I111">
        <f t="shared" si="5"/>
        <v>1613</v>
      </c>
    </row>
    <row r="112" spans="1:9" x14ac:dyDescent="0.2">
      <c r="A112" t="str">
        <f t="shared" si="3"/>
        <v/>
      </c>
      <c r="B112" s="20">
        <v>2020</v>
      </c>
      <c r="C112" s="21" t="s">
        <v>17</v>
      </c>
      <c r="D112" s="21" t="s">
        <v>17</v>
      </c>
      <c r="E112" s="23">
        <v>41853</v>
      </c>
      <c r="F112" s="20">
        <v>585077.52130000002</v>
      </c>
      <c r="G112" s="30">
        <f t="shared" si="4"/>
        <v>626930.52130000002</v>
      </c>
      <c r="H112" t="str">
        <f>IFERROR(VLOOKUP(C112,Sheet1!$B$2:$C$25,2,FALSE),"")</f>
        <v/>
      </c>
      <c r="I112">
        <f t="shared" si="5"/>
        <v>1613</v>
      </c>
    </row>
    <row r="113" spans="1:9" x14ac:dyDescent="0.2">
      <c r="A113" t="str">
        <f t="shared" si="3"/>
        <v/>
      </c>
      <c r="B113" s="20">
        <v>2021</v>
      </c>
      <c r="C113" s="21" t="s">
        <v>17</v>
      </c>
      <c r="D113" s="21" t="s">
        <v>17</v>
      </c>
      <c r="E113" s="23">
        <v>38879</v>
      </c>
      <c r="F113" s="20">
        <v>507525.89</v>
      </c>
      <c r="G113" s="30">
        <f t="shared" si="4"/>
        <v>546404.89</v>
      </c>
      <c r="H113" t="str">
        <f>IFERROR(VLOOKUP(C113,Sheet1!$B$2:$C$25,2,FALSE),"")</f>
        <v/>
      </c>
      <c r="I113">
        <f t="shared" si="5"/>
        <v>1613</v>
      </c>
    </row>
    <row r="114" spans="1:9" x14ac:dyDescent="0.2">
      <c r="A114" t="str">
        <f t="shared" si="3"/>
        <v/>
      </c>
      <c r="B114" s="20">
        <v>2022</v>
      </c>
      <c r="C114" s="21" t="s">
        <v>17</v>
      </c>
      <c r="D114" s="21" t="s">
        <v>17</v>
      </c>
      <c r="E114" s="23">
        <v>38967</v>
      </c>
      <c r="F114" s="20">
        <v>535699.69449999998</v>
      </c>
      <c r="G114" s="30">
        <f t="shared" si="4"/>
        <v>574666.69449999998</v>
      </c>
      <c r="H114" t="str">
        <f>IFERROR(VLOOKUP(C114,Sheet1!$B$2:$C$25,2,FALSE),"")</f>
        <v/>
      </c>
      <c r="I114">
        <f t="shared" si="5"/>
        <v>1613</v>
      </c>
    </row>
    <row r="115" spans="1:9" x14ac:dyDescent="0.2">
      <c r="A115" t="str">
        <f t="shared" si="3"/>
        <v/>
      </c>
      <c r="B115" s="20">
        <v>2023</v>
      </c>
      <c r="C115" s="21" t="s">
        <v>17</v>
      </c>
      <c r="D115" s="21" t="s">
        <v>17</v>
      </c>
      <c r="E115" s="23">
        <v>39207</v>
      </c>
      <c r="F115" s="20">
        <v>524737.16249999998</v>
      </c>
      <c r="G115" s="30">
        <f t="shared" si="4"/>
        <v>563944.16249999998</v>
      </c>
      <c r="H115" t="str">
        <f>IFERROR(VLOOKUP(C115,Sheet1!$B$2:$C$25,2,FALSE),"")</f>
        <v/>
      </c>
      <c r="I115">
        <f t="shared" si="5"/>
        <v>1613</v>
      </c>
    </row>
    <row r="116" spans="1:9" x14ac:dyDescent="0.2">
      <c r="A116" t="str">
        <f t="shared" si="3"/>
        <v/>
      </c>
      <c r="B116" s="20">
        <v>2015</v>
      </c>
      <c r="C116" s="21" t="s">
        <v>19</v>
      </c>
      <c r="D116" s="21" t="s">
        <v>19</v>
      </c>
      <c r="E116" s="23">
        <v>91912</v>
      </c>
      <c r="F116" s="20">
        <v>1441828.49</v>
      </c>
      <c r="G116" s="30">
        <f t="shared" si="4"/>
        <v>1533740.49</v>
      </c>
      <c r="H116" t="str">
        <f>IFERROR(VLOOKUP(C116,Sheet1!$B$2:$C$25,2,FALSE),"")</f>
        <v/>
      </c>
      <c r="I116">
        <f t="shared" si="5"/>
        <v>1613</v>
      </c>
    </row>
    <row r="117" spans="1:9" x14ac:dyDescent="0.2">
      <c r="A117" t="str">
        <f t="shared" si="3"/>
        <v/>
      </c>
      <c r="B117" s="20">
        <v>2016</v>
      </c>
      <c r="C117" s="21" t="s">
        <v>19</v>
      </c>
      <c r="D117" s="21" t="s">
        <v>19</v>
      </c>
      <c r="E117" s="23">
        <v>57716</v>
      </c>
      <c r="F117" s="20">
        <v>900879.68819999998</v>
      </c>
      <c r="G117" s="30">
        <f t="shared" si="4"/>
        <v>958595.68819999998</v>
      </c>
      <c r="H117" t="str">
        <f>IFERROR(VLOOKUP(C117,Sheet1!$B$2:$C$25,2,FALSE),"")</f>
        <v/>
      </c>
      <c r="I117">
        <f t="shared" si="5"/>
        <v>1613</v>
      </c>
    </row>
    <row r="118" spans="1:9" x14ac:dyDescent="0.2">
      <c r="A118" t="str">
        <f t="shared" si="3"/>
        <v/>
      </c>
      <c r="B118" s="20">
        <v>2017</v>
      </c>
      <c r="C118" s="21" t="s">
        <v>19</v>
      </c>
      <c r="D118" s="21" t="s">
        <v>19</v>
      </c>
      <c r="E118" s="23">
        <v>67347</v>
      </c>
      <c r="F118" s="20">
        <v>1113272.807</v>
      </c>
      <c r="G118" s="30">
        <f t="shared" si="4"/>
        <v>1180619.807</v>
      </c>
      <c r="H118" t="str">
        <f>IFERROR(VLOOKUP(C118,Sheet1!$B$2:$C$25,2,FALSE),"")</f>
        <v/>
      </c>
      <c r="I118">
        <f t="shared" si="5"/>
        <v>1613</v>
      </c>
    </row>
    <row r="119" spans="1:9" x14ac:dyDescent="0.2">
      <c r="A119" t="str">
        <f t="shared" si="3"/>
        <v/>
      </c>
      <c r="B119" s="20">
        <v>2018</v>
      </c>
      <c r="C119" s="21" t="s">
        <v>19</v>
      </c>
      <c r="D119" s="21" t="s">
        <v>19</v>
      </c>
      <c r="E119" s="23">
        <v>67188</v>
      </c>
      <c r="F119" s="20">
        <v>1010931.138</v>
      </c>
      <c r="G119" s="30">
        <f t="shared" si="4"/>
        <v>1078119.138</v>
      </c>
      <c r="H119" t="str">
        <f>IFERROR(VLOOKUP(C119,Sheet1!$B$2:$C$25,2,FALSE),"")</f>
        <v/>
      </c>
      <c r="I119">
        <f t="shared" si="5"/>
        <v>1613</v>
      </c>
    </row>
    <row r="120" spans="1:9" x14ac:dyDescent="0.2">
      <c r="A120" t="str">
        <f t="shared" si="3"/>
        <v/>
      </c>
      <c r="B120" s="20">
        <v>2019</v>
      </c>
      <c r="C120" s="21" t="s">
        <v>19</v>
      </c>
      <c r="D120" s="21" t="s">
        <v>19</v>
      </c>
      <c r="E120" s="23">
        <v>68275</v>
      </c>
      <c r="F120" s="20">
        <v>982348.79669999995</v>
      </c>
      <c r="G120" s="30">
        <f t="shared" si="4"/>
        <v>1050623.7966999998</v>
      </c>
      <c r="H120" t="str">
        <f>IFERROR(VLOOKUP(C120,Sheet1!$B$2:$C$25,2,FALSE),"")</f>
        <v/>
      </c>
      <c r="I120">
        <f t="shared" si="5"/>
        <v>1613</v>
      </c>
    </row>
    <row r="121" spans="1:9" x14ac:dyDescent="0.2">
      <c r="A121" t="str">
        <f t="shared" si="3"/>
        <v/>
      </c>
      <c r="B121" s="20">
        <v>2020</v>
      </c>
      <c r="C121" s="21" t="s">
        <v>19</v>
      </c>
      <c r="D121" s="21" t="s">
        <v>19</v>
      </c>
      <c r="E121" s="23">
        <v>70863</v>
      </c>
      <c r="F121" s="20">
        <v>990618.3162</v>
      </c>
      <c r="G121" s="30">
        <f t="shared" si="4"/>
        <v>1061481.3162</v>
      </c>
      <c r="H121" t="str">
        <f>IFERROR(VLOOKUP(C121,Sheet1!$B$2:$C$25,2,FALSE),"")</f>
        <v/>
      </c>
      <c r="I121">
        <f t="shared" si="5"/>
        <v>1613</v>
      </c>
    </row>
    <row r="122" spans="1:9" x14ac:dyDescent="0.2">
      <c r="A122" t="str">
        <f t="shared" si="3"/>
        <v/>
      </c>
      <c r="B122" s="20">
        <v>2021</v>
      </c>
      <c r="C122" s="21" t="s">
        <v>19</v>
      </c>
      <c r="D122" s="21" t="s">
        <v>19</v>
      </c>
      <c r="E122" s="23">
        <v>65498</v>
      </c>
      <c r="F122" s="20">
        <v>855009.92169999995</v>
      </c>
      <c r="G122" s="30">
        <f t="shared" si="4"/>
        <v>920507.92169999995</v>
      </c>
      <c r="H122" t="str">
        <f>IFERROR(VLOOKUP(C122,Sheet1!$B$2:$C$25,2,FALSE),"")</f>
        <v/>
      </c>
      <c r="I122">
        <f t="shared" si="5"/>
        <v>1613</v>
      </c>
    </row>
    <row r="123" spans="1:9" x14ac:dyDescent="0.2">
      <c r="A123" t="str">
        <f t="shared" si="3"/>
        <v/>
      </c>
      <c r="B123" s="20">
        <v>2022</v>
      </c>
      <c r="C123" s="21" t="s">
        <v>19</v>
      </c>
      <c r="D123" s="21" t="s">
        <v>19</v>
      </c>
      <c r="E123" s="23">
        <v>68181</v>
      </c>
      <c r="F123" s="20">
        <v>937319.80570000003</v>
      </c>
      <c r="G123" s="30">
        <f t="shared" si="4"/>
        <v>1005500.8057</v>
      </c>
      <c r="H123" t="str">
        <f>IFERROR(VLOOKUP(C123,Sheet1!$B$2:$C$25,2,FALSE),"")</f>
        <v/>
      </c>
      <c r="I123">
        <f t="shared" si="5"/>
        <v>1613</v>
      </c>
    </row>
    <row r="124" spans="1:9" x14ac:dyDescent="0.2">
      <c r="A124" t="str">
        <f t="shared" si="3"/>
        <v/>
      </c>
      <c r="B124" s="20">
        <v>2023</v>
      </c>
      <c r="C124" s="21" t="s">
        <v>19</v>
      </c>
      <c r="D124" s="21" t="s">
        <v>19</v>
      </c>
      <c r="E124" s="23">
        <v>66067</v>
      </c>
      <c r="F124" s="20">
        <v>884225.01379999996</v>
      </c>
      <c r="G124" s="30">
        <f t="shared" si="4"/>
        <v>950292.01379999996</v>
      </c>
      <c r="H124" t="str">
        <f>IFERROR(VLOOKUP(C124,Sheet1!$B$2:$C$25,2,FALSE),"")</f>
        <v/>
      </c>
      <c r="I124">
        <f t="shared" si="5"/>
        <v>1613</v>
      </c>
    </row>
    <row r="125" spans="1:9" x14ac:dyDescent="0.2">
      <c r="A125" t="str">
        <f t="shared" si="3"/>
        <v/>
      </c>
      <c r="B125" s="20">
        <v>2015</v>
      </c>
      <c r="C125" s="21" t="s">
        <v>20</v>
      </c>
      <c r="D125" s="21" t="s">
        <v>20</v>
      </c>
      <c r="E125" s="23">
        <v>19980</v>
      </c>
      <c r="F125" s="20">
        <v>313427.33510000003</v>
      </c>
      <c r="G125" s="30">
        <f t="shared" si="4"/>
        <v>333407.33510000003</v>
      </c>
      <c r="H125" t="str">
        <f>IFERROR(VLOOKUP(C125,Sheet1!$B$2:$C$25,2,FALSE),"")</f>
        <v/>
      </c>
      <c r="I125">
        <f t="shared" si="5"/>
        <v>1613</v>
      </c>
    </row>
    <row r="126" spans="1:9" x14ac:dyDescent="0.2">
      <c r="A126" t="str">
        <f t="shared" si="3"/>
        <v/>
      </c>
      <c r="B126" s="20">
        <v>2016</v>
      </c>
      <c r="C126" s="21" t="s">
        <v>20</v>
      </c>
      <c r="D126" s="21" t="s">
        <v>20</v>
      </c>
      <c r="E126" s="23">
        <v>21785</v>
      </c>
      <c r="F126" s="20">
        <v>340038.53360000002</v>
      </c>
      <c r="G126" s="30">
        <f t="shared" si="4"/>
        <v>361823.53360000002</v>
      </c>
      <c r="H126" t="str">
        <f>IFERROR(VLOOKUP(C126,Sheet1!$B$2:$C$25,2,FALSE),"")</f>
        <v/>
      </c>
      <c r="I126">
        <f t="shared" si="5"/>
        <v>1613</v>
      </c>
    </row>
    <row r="127" spans="1:9" x14ac:dyDescent="0.2">
      <c r="A127" t="str">
        <f t="shared" si="3"/>
        <v/>
      </c>
      <c r="B127" s="20">
        <v>2017</v>
      </c>
      <c r="C127" s="21" t="s">
        <v>20</v>
      </c>
      <c r="D127" s="21" t="s">
        <v>20</v>
      </c>
      <c r="E127" s="23">
        <v>24312</v>
      </c>
      <c r="F127" s="20">
        <v>401887.06969999999</v>
      </c>
      <c r="G127" s="30">
        <f t="shared" si="4"/>
        <v>426199.06969999999</v>
      </c>
      <c r="H127" t="str">
        <f>IFERROR(VLOOKUP(C127,Sheet1!$B$2:$C$25,2,FALSE),"")</f>
        <v/>
      </c>
      <c r="I127">
        <f t="shared" si="5"/>
        <v>1613</v>
      </c>
    </row>
    <row r="128" spans="1:9" x14ac:dyDescent="0.2">
      <c r="A128" t="str">
        <f t="shared" si="3"/>
        <v/>
      </c>
      <c r="B128" s="20">
        <v>2018</v>
      </c>
      <c r="C128" s="21" t="s">
        <v>20</v>
      </c>
      <c r="D128" s="21" t="s">
        <v>20</v>
      </c>
      <c r="E128" s="23">
        <v>24685</v>
      </c>
      <c r="F128" s="20">
        <v>371418.0379</v>
      </c>
      <c r="G128" s="30">
        <f t="shared" si="4"/>
        <v>396103.0379</v>
      </c>
      <c r="H128" t="str">
        <f>IFERROR(VLOOKUP(C128,Sheet1!$B$2:$C$25,2,FALSE),"")</f>
        <v/>
      </c>
      <c r="I128">
        <f t="shared" si="5"/>
        <v>1613</v>
      </c>
    </row>
    <row r="129" spans="1:9" x14ac:dyDescent="0.2">
      <c r="A129" t="str">
        <f t="shared" si="3"/>
        <v/>
      </c>
      <c r="B129" s="20">
        <v>2019</v>
      </c>
      <c r="C129" s="21" t="s">
        <v>20</v>
      </c>
      <c r="D129" s="21" t="s">
        <v>20</v>
      </c>
      <c r="E129" s="23">
        <v>24711</v>
      </c>
      <c r="F129" s="20">
        <v>355544.79849999998</v>
      </c>
      <c r="G129" s="30">
        <f t="shared" si="4"/>
        <v>380255.79849999998</v>
      </c>
      <c r="H129" t="str">
        <f>IFERROR(VLOOKUP(C129,Sheet1!$B$2:$C$25,2,FALSE),"")</f>
        <v/>
      </c>
      <c r="I129">
        <f t="shared" si="5"/>
        <v>1613</v>
      </c>
    </row>
    <row r="130" spans="1:9" x14ac:dyDescent="0.2">
      <c r="A130" t="str">
        <f t="shared" si="3"/>
        <v/>
      </c>
      <c r="B130" s="20">
        <v>2020</v>
      </c>
      <c r="C130" s="21" t="s">
        <v>20</v>
      </c>
      <c r="D130" s="21" t="s">
        <v>20</v>
      </c>
      <c r="E130" s="23">
        <v>26015</v>
      </c>
      <c r="F130" s="20">
        <v>363672.65700000001</v>
      </c>
      <c r="G130" s="30">
        <f t="shared" si="4"/>
        <v>389687.65700000001</v>
      </c>
      <c r="H130" t="str">
        <f>IFERROR(VLOOKUP(C130,Sheet1!$B$2:$C$25,2,FALSE),"")</f>
        <v/>
      </c>
      <c r="I130">
        <f t="shared" si="5"/>
        <v>1613</v>
      </c>
    </row>
    <row r="131" spans="1:9" x14ac:dyDescent="0.2">
      <c r="A131" t="str">
        <f t="shared" ref="A131:A194" si="6">H131</f>
        <v/>
      </c>
      <c r="B131" s="20">
        <v>2021</v>
      </c>
      <c r="C131" s="21" t="s">
        <v>20</v>
      </c>
      <c r="D131" s="21" t="s">
        <v>20</v>
      </c>
      <c r="E131" s="23">
        <v>27544</v>
      </c>
      <c r="F131" s="20">
        <v>359558.96799999999</v>
      </c>
      <c r="G131" s="30">
        <f t="shared" ref="G131:G194" si="7">SUM(E131:F131)</f>
        <v>387102.96799999999</v>
      </c>
      <c r="H131" t="str">
        <f>IFERROR(VLOOKUP(C131,Sheet1!$B$2:$C$25,2,FALSE),"")</f>
        <v/>
      </c>
      <c r="I131">
        <f t="shared" ref="I131:I194" si="8">COUNTIF($H$2:$H$1812,H131)</f>
        <v>1613</v>
      </c>
    </row>
    <row r="132" spans="1:9" x14ac:dyDescent="0.2">
      <c r="A132" t="str">
        <f t="shared" si="6"/>
        <v/>
      </c>
      <c r="B132" s="20">
        <v>2022</v>
      </c>
      <c r="C132" s="21" t="s">
        <v>20</v>
      </c>
      <c r="D132" s="21" t="s">
        <v>20</v>
      </c>
      <c r="E132" s="23">
        <v>27265</v>
      </c>
      <c r="F132" s="20">
        <v>374826.19059999997</v>
      </c>
      <c r="G132" s="30">
        <f t="shared" si="7"/>
        <v>402091.19059999997</v>
      </c>
      <c r="H132" t="str">
        <f>IFERROR(VLOOKUP(C132,Sheet1!$B$2:$C$25,2,FALSE),"")</f>
        <v/>
      </c>
      <c r="I132">
        <f t="shared" si="8"/>
        <v>1613</v>
      </c>
    </row>
    <row r="133" spans="1:9" x14ac:dyDescent="0.2">
      <c r="A133" t="str">
        <f t="shared" si="6"/>
        <v/>
      </c>
      <c r="B133" s="20">
        <v>2023</v>
      </c>
      <c r="C133" s="21" t="s">
        <v>20</v>
      </c>
      <c r="D133" s="21" t="s">
        <v>20</v>
      </c>
      <c r="E133" s="23">
        <v>27504</v>
      </c>
      <c r="F133" s="20">
        <v>368106.99410000001</v>
      </c>
      <c r="G133" s="30">
        <f t="shared" si="7"/>
        <v>395610.99410000001</v>
      </c>
      <c r="H133" t="str">
        <f>IFERROR(VLOOKUP(C133,Sheet1!$B$2:$C$25,2,FALSE),"")</f>
        <v/>
      </c>
      <c r="I133">
        <f t="shared" si="8"/>
        <v>1613</v>
      </c>
    </row>
    <row r="134" spans="1:9" x14ac:dyDescent="0.2">
      <c r="A134">
        <f t="shared" si="6"/>
        <v>2400060</v>
      </c>
      <c r="B134" s="20">
        <v>2015</v>
      </c>
      <c r="C134" s="21" t="s">
        <v>21</v>
      </c>
      <c r="D134" s="21" t="s">
        <v>21</v>
      </c>
      <c r="E134" s="23">
        <v>6294530</v>
      </c>
      <c r="F134" s="20">
        <v>98742630.799999997</v>
      </c>
      <c r="G134" s="30">
        <f t="shared" si="7"/>
        <v>105037160.8</v>
      </c>
      <c r="H134">
        <f>IFERROR(VLOOKUP(C134,Sheet1!$B$2:$C$25,2,FALSE),"")</f>
        <v>2400060</v>
      </c>
      <c r="I134">
        <f t="shared" si="8"/>
        <v>9</v>
      </c>
    </row>
    <row r="135" spans="1:9" x14ac:dyDescent="0.2">
      <c r="A135">
        <f t="shared" si="6"/>
        <v>2400060</v>
      </c>
      <c r="B135" s="20">
        <v>2016</v>
      </c>
      <c r="C135" s="21" t="s">
        <v>21</v>
      </c>
      <c r="D135" s="21" t="s">
        <v>21</v>
      </c>
      <c r="E135" s="23">
        <v>5577576</v>
      </c>
      <c r="F135" s="20">
        <v>87059479.650000006</v>
      </c>
      <c r="G135" s="30">
        <f t="shared" si="7"/>
        <v>92637055.650000006</v>
      </c>
      <c r="H135">
        <f>IFERROR(VLOOKUP(C135,Sheet1!$B$2:$C$25,2,FALSE),"")</f>
        <v>2400060</v>
      </c>
      <c r="I135">
        <f t="shared" si="8"/>
        <v>9</v>
      </c>
    </row>
    <row r="136" spans="1:9" x14ac:dyDescent="0.2">
      <c r="A136">
        <f t="shared" si="6"/>
        <v>2400060</v>
      </c>
      <c r="B136" s="20">
        <v>2017</v>
      </c>
      <c r="C136" s="21" t="s">
        <v>21</v>
      </c>
      <c r="D136" s="21" t="s">
        <v>21</v>
      </c>
      <c r="E136" s="23">
        <v>5481563</v>
      </c>
      <c r="F136" s="20">
        <v>90612425.620000005</v>
      </c>
      <c r="G136" s="30">
        <f t="shared" si="7"/>
        <v>96093988.620000005</v>
      </c>
      <c r="H136">
        <f>IFERROR(VLOOKUP(C136,Sheet1!$B$2:$C$25,2,FALSE),"")</f>
        <v>2400060</v>
      </c>
      <c r="I136">
        <f t="shared" si="8"/>
        <v>9</v>
      </c>
    </row>
    <row r="137" spans="1:9" x14ac:dyDescent="0.2">
      <c r="A137">
        <f t="shared" si="6"/>
        <v>2400060</v>
      </c>
      <c r="B137" s="20">
        <v>2018</v>
      </c>
      <c r="C137" s="21" t="s">
        <v>21</v>
      </c>
      <c r="D137" s="21" t="s">
        <v>21</v>
      </c>
      <c r="E137" s="23">
        <v>5937118</v>
      </c>
      <c r="F137" s="20">
        <v>89331688</v>
      </c>
      <c r="G137" s="30">
        <f t="shared" si="7"/>
        <v>95268806</v>
      </c>
      <c r="H137">
        <f>IFERROR(VLOOKUP(C137,Sheet1!$B$2:$C$25,2,FALSE),"")</f>
        <v>2400060</v>
      </c>
      <c r="I137">
        <f t="shared" si="8"/>
        <v>9</v>
      </c>
    </row>
    <row r="138" spans="1:9" x14ac:dyDescent="0.2">
      <c r="A138">
        <f t="shared" si="6"/>
        <v>2400060</v>
      </c>
      <c r="B138" s="20">
        <v>2019</v>
      </c>
      <c r="C138" s="21" t="s">
        <v>21</v>
      </c>
      <c r="D138" s="21" t="s">
        <v>21</v>
      </c>
      <c r="E138" s="23">
        <v>6396136</v>
      </c>
      <c r="F138" s="20">
        <v>92028363.280000001</v>
      </c>
      <c r="G138" s="30">
        <f t="shared" si="7"/>
        <v>98424499.280000001</v>
      </c>
      <c r="H138">
        <f>IFERROR(VLOOKUP(C138,Sheet1!$B$2:$C$25,2,FALSE),"")</f>
        <v>2400060</v>
      </c>
      <c r="I138">
        <f t="shared" si="8"/>
        <v>9</v>
      </c>
    </row>
    <row r="139" spans="1:9" x14ac:dyDescent="0.2">
      <c r="A139">
        <f t="shared" si="6"/>
        <v>2400060</v>
      </c>
      <c r="B139" s="20">
        <v>2020</v>
      </c>
      <c r="C139" s="21" t="s">
        <v>21</v>
      </c>
      <c r="D139" s="21" t="s">
        <v>21</v>
      </c>
      <c r="E139" s="23">
        <v>7277321</v>
      </c>
      <c r="F139" s="20">
        <v>101732180.09999999</v>
      </c>
      <c r="G139" s="30">
        <f t="shared" si="7"/>
        <v>109009501.09999999</v>
      </c>
      <c r="H139">
        <f>IFERROR(VLOOKUP(C139,Sheet1!$B$2:$C$25,2,FALSE),"")</f>
        <v>2400060</v>
      </c>
      <c r="I139">
        <f t="shared" si="8"/>
        <v>9</v>
      </c>
    </row>
    <row r="140" spans="1:9" x14ac:dyDescent="0.2">
      <c r="A140">
        <f t="shared" si="6"/>
        <v>2400060</v>
      </c>
      <c r="B140" s="20">
        <v>2021</v>
      </c>
      <c r="C140" s="21" t="s">
        <v>21</v>
      </c>
      <c r="D140" s="21" t="s">
        <v>21</v>
      </c>
      <c r="E140" s="23">
        <v>8772222</v>
      </c>
      <c r="F140" s="20">
        <v>114512456</v>
      </c>
      <c r="G140" s="30">
        <f t="shared" si="7"/>
        <v>123284678</v>
      </c>
      <c r="H140">
        <f>IFERROR(VLOOKUP(C140,Sheet1!$B$2:$C$25,2,FALSE),"")</f>
        <v>2400060</v>
      </c>
      <c r="I140">
        <f t="shared" si="8"/>
        <v>9</v>
      </c>
    </row>
    <row r="141" spans="1:9" x14ac:dyDescent="0.2">
      <c r="A141">
        <f t="shared" si="6"/>
        <v>2400060</v>
      </c>
      <c r="B141" s="20">
        <v>2022</v>
      </c>
      <c r="C141" s="21" t="s">
        <v>21</v>
      </c>
      <c r="D141" s="21" t="s">
        <v>21</v>
      </c>
      <c r="E141" s="23">
        <v>9114191</v>
      </c>
      <c r="F141" s="20">
        <v>125297542.40000001</v>
      </c>
      <c r="G141" s="30">
        <f t="shared" si="7"/>
        <v>134411733.40000001</v>
      </c>
      <c r="H141">
        <f>IFERROR(VLOOKUP(C141,Sheet1!$B$2:$C$25,2,FALSE),"")</f>
        <v>2400060</v>
      </c>
      <c r="I141">
        <f t="shared" si="8"/>
        <v>9</v>
      </c>
    </row>
    <row r="142" spans="1:9" x14ac:dyDescent="0.2">
      <c r="A142">
        <f t="shared" si="6"/>
        <v>2400060</v>
      </c>
      <c r="B142" s="20">
        <v>2023</v>
      </c>
      <c r="C142" s="21" t="s">
        <v>21</v>
      </c>
      <c r="D142" s="21" t="s">
        <v>21</v>
      </c>
      <c r="E142" s="23">
        <v>9927244</v>
      </c>
      <c r="F142" s="20">
        <v>132863872.5</v>
      </c>
      <c r="G142" s="30">
        <f t="shared" si="7"/>
        <v>142791116.5</v>
      </c>
      <c r="H142">
        <f>IFERROR(VLOOKUP(C142,Sheet1!$B$2:$C$25,2,FALSE),"")</f>
        <v>2400060</v>
      </c>
      <c r="I142">
        <f t="shared" si="8"/>
        <v>9</v>
      </c>
    </row>
    <row r="143" spans="1:9" x14ac:dyDescent="0.2">
      <c r="A143" t="str">
        <f t="shared" si="6"/>
        <v/>
      </c>
      <c r="B143" s="20">
        <v>2015</v>
      </c>
      <c r="C143" s="21" t="s">
        <v>22</v>
      </c>
      <c r="D143" s="21" t="s">
        <v>22</v>
      </c>
      <c r="E143" s="23">
        <v>168864</v>
      </c>
      <c r="F143" s="20">
        <v>2648978.6540000001</v>
      </c>
      <c r="G143" s="30">
        <f t="shared" si="7"/>
        <v>2817842.6540000001</v>
      </c>
      <c r="H143" t="str">
        <f>IFERROR(VLOOKUP(C143,Sheet1!$B$2:$C$25,2,FALSE),"")</f>
        <v/>
      </c>
      <c r="I143">
        <f t="shared" si="8"/>
        <v>1613</v>
      </c>
    </row>
    <row r="144" spans="1:9" x14ac:dyDescent="0.2">
      <c r="A144" t="str">
        <f t="shared" si="6"/>
        <v/>
      </c>
      <c r="B144" s="20">
        <v>2016</v>
      </c>
      <c r="C144" s="21" t="s">
        <v>22</v>
      </c>
      <c r="D144" s="21" t="s">
        <v>22</v>
      </c>
      <c r="E144" s="23">
        <v>51917</v>
      </c>
      <c r="F144" s="20">
        <v>810364.03720000002</v>
      </c>
      <c r="G144" s="30">
        <f t="shared" si="7"/>
        <v>862281.03720000002</v>
      </c>
      <c r="H144" t="str">
        <f>IFERROR(VLOOKUP(C144,Sheet1!$B$2:$C$25,2,FALSE),"")</f>
        <v/>
      </c>
      <c r="I144">
        <f t="shared" si="8"/>
        <v>1613</v>
      </c>
    </row>
    <row r="145" spans="1:9" x14ac:dyDescent="0.2">
      <c r="A145" t="str">
        <f t="shared" si="6"/>
        <v/>
      </c>
      <c r="B145" s="20">
        <v>2017</v>
      </c>
      <c r="C145" s="21" t="s">
        <v>22</v>
      </c>
      <c r="D145" s="21" t="s">
        <v>22</v>
      </c>
      <c r="E145" s="23" t="s">
        <v>269</v>
      </c>
      <c r="F145" s="20">
        <v>0</v>
      </c>
      <c r="G145" s="30">
        <f t="shared" si="7"/>
        <v>0</v>
      </c>
      <c r="H145" t="str">
        <f>IFERROR(VLOOKUP(C145,Sheet1!$B$2:$C$25,2,FALSE),"")</f>
        <v/>
      </c>
      <c r="I145">
        <f t="shared" si="8"/>
        <v>1613</v>
      </c>
    </row>
    <row r="146" spans="1:9" x14ac:dyDescent="0.2">
      <c r="A146" t="str">
        <f t="shared" si="6"/>
        <v/>
      </c>
      <c r="B146" s="20">
        <v>2015</v>
      </c>
      <c r="C146" s="21" t="s">
        <v>205</v>
      </c>
      <c r="D146" s="21" t="s">
        <v>23</v>
      </c>
      <c r="E146" s="23">
        <v>2391397</v>
      </c>
      <c r="F146" s="20">
        <v>37513973.409999996</v>
      </c>
      <c r="G146" s="30">
        <f t="shared" si="7"/>
        <v>39905370.409999996</v>
      </c>
      <c r="H146" t="str">
        <f>IFERROR(VLOOKUP(C146,Sheet1!$B$2:$C$25,2,FALSE),"")</f>
        <v/>
      </c>
      <c r="I146">
        <f t="shared" si="8"/>
        <v>1613</v>
      </c>
    </row>
    <row r="147" spans="1:9" x14ac:dyDescent="0.2">
      <c r="A147" t="str">
        <f t="shared" si="6"/>
        <v/>
      </c>
      <c r="B147" s="20">
        <v>2016</v>
      </c>
      <c r="C147" s="21" t="s">
        <v>205</v>
      </c>
      <c r="D147" s="21" t="s">
        <v>23</v>
      </c>
      <c r="E147" s="23">
        <v>486666</v>
      </c>
      <c r="F147" s="20">
        <v>7596290.7050000001</v>
      </c>
      <c r="G147" s="30">
        <f t="shared" si="7"/>
        <v>8082956.7050000001</v>
      </c>
      <c r="H147" t="str">
        <f>IFERROR(VLOOKUP(C147,Sheet1!$B$2:$C$25,2,FALSE),"")</f>
        <v/>
      </c>
      <c r="I147">
        <f t="shared" si="8"/>
        <v>1613</v>
      </c>
    </row>
    <row r="148" spans="1:9" x14ac:dyDescent="0.2">
      <c r="A148" t="str">
        <f t="shared" si="6"/>
        <v/>
      </c>
      <c r="B148" s="20">
        <v>2017</v>
      </c>
      <c r="C148" s="21" t="s">
        <v>205</v>
      </c>
      <c r="D148" s="21" t="s">
        <v>23</v>
      </c>
      <c r="E148" s="23">
        <v>658992</v>
      </c>
      <c r="F148" s="20">
        <v>10893400.949999999</v>
      </c>
      <c r="G148" s="30">
        <f t="shared" si="7"/>
        <v>11552392.949999999</v>
      </c>
      <c r="H148" t="str">
        <f>IFERROR(VLOOKUP(C148,Sheet1!$B$2:$C$25,2,FALSE),"")</f>
        <v/>
      </c>
      <c r="I148">
        <f t="shared" si="8"/>
        <v>1613</v>
      </c>
    </row>
    <row r="149" spans="1:9" x14ac:dyDescent="0.2">
      <c r="A149" t="str">
        <f t="shared" si="6"/>
        <v/>
      </c>
      <c r="B149" s="20">
        <v>2018</v>
      </c>
      <c r="C149" s="21" t="s">
        <v>205</v>
      </c>
      <c r="D149" s="21" t="s">
        <v>205</v>
      </c>
      <c r="E149" s="23">
        <v>659056</v>
      </c>
      <c r="F149" s="20">
        <v>9916357.5600000005</v>
      </c>
      <c r="G149" s="30">
        <f t="shared" si="7"/>
        <v>10575413.560000001</v>
      </c>
      <c r="H149" t="str">
        <f>IFERROR(VLOOKUP(C149,Sheet1!$B$2:$C$25,2,FALSE),"")</f>
        <v/>
      </c>
      <c r="I149">
        <f t="shared" si="8"/>
        <v>1613</v>
      </c>
    </row>
    <row r="150" spans="1:9" x14ac:dyDescent="0.2">
      <c r="A150" t="str">
        <f t="shared" si="6"/>
        <v/>
      </c>
      <c r="B150" s="20">
        <v>2019</v>
      </c>
      <c r="C150" s="21" t="s">
        <v>205</v>
      </c>
      <c r="D150" s="21" t="s">
        <v>205</v>
      </c>
      <c r="E150" s="23">
        <v>690900</v>
      </c>
      <c r="F150" s="20">
        <v>9940751.1329999994</v>
      </c>
      <c r="G150" s="30">
        <f t="shared" si="7"/>
        <v>10631651.132999999</v>
      </c>
      <c r="H150" t="str">
        <f>IFERROR(VLOOKUP(C150,Sheet1!$B$2:$C$25,2,FALSE),"")</f>
        <v/>
      </c>
      <c r="I150">
        <f t="shared" si="8"/>
        <v>1613</v>
      </c>
    </row>
    <row r="151" spans="1:9" x14ac:dyDescent="0.2">
      <c r="A151" t="str">
        <f t="shared" si="6"/>
        <v/>
      </c>
      <c r="B151" s="20">
        <v>2020</v>
      </c>
      <c r="C151" s="21" t="s">
        <v>205</v>
      </c>
      <c r="D151" s="21" t="s">
        <v>205</v>
      </c>
      <c r="E151" s="23">
        <v>694585</v>
      </c>
      <c r="F151" s="20">
        <v>9709843.2630000003</v>
      </c>
      <c r="G151" s="30">
        <f t="shared" si="7"/>
        <v>10404428.263</v>
      </c>
      <c r="H151" t="str">
        <f>IFERROR(VLOOKUP(C151,Sheet1!$B$2:$C$25,2,FALSE),"")</f>
        <v/>
      </c>
      <c r="I151">
        <f t="shared" si="8"/>
        <v>1613</v>
      </c>
    </row>
    <row r="152" spans="1:9" x14ac:dyDescent="0.2">
      <c r="A152" t="str">
        <f t="shared" si="6"/>
        <v/>
      </c>
      <c r="B152" s="20">
        <v>2021</v>
      </c>
      <c r="C152" s="21" t="s">
        <v>205</v>
      </c>
      <c r="D152" s="21" t="s">
        <v>205</v>
      </c>
      <c r="E152" s="23">
        <v>720524</v>
      </c>
      <c r="F152" s="20">
        <v>9405709.6219999995</v>
      </c>
      <c r="G152" s="30">
        <f t="shared" si="7"/>
        <v>10126233.622</v>
      </c>
      <c r="H152" t="str">
        <f>IFERROR(VLOOKUP(C152,Sheet1!$B$2:$C$25,2,FALSE),"")</f>
        <v/>
      </c>
      <c r="I152">
        <f t="shared" si="8"/>
        <v>1613</v>
      </c>
    </row>
    <row r="153" spans="1:9" x14ac:dyDescent="0.2">
      <c r="A153" t="str">
        <f t="shared" si="6"/>
        <v/>
      </c>
      <c r="B153" s="20">
        <v>2022</v>
      </c>
      <c r="C153" s="21" t="s">
        <v>205</v>
      </c>
      <c r="D153" s="21" t="s">
        <v>205</v>
      </c>
      <c r="E153" s="23">
        <v>739168</v>
      </c>
      <c r="F153" s="20">
        <v>10161728.43</v>
      </c>
      <c r="G153" s="30">
        <f t="shared" si="7"/>
        <v>10900896.43</v>
      </c>
      <c r="H153" t="str">
        <f>IFERROR(VLOOKUP(C153,Sheet1!$B$2:$C$25,2,FALSE),"")</f>
        <v/>
      </c>
      <c r="I153">
        <f t="shared" si="8"/>
        <v>1613</v>
      </c>
    </row>
    <row r="154" spans="1:9" x14ac:dyDescent="0.2">
      <c r="A154" t="str">
        <f t="shared" si="6"/>
        <v/>
      </c>
      <c r="B154" s="20">
        <v>2023</v>
      </c>
      <c r="C154" s="21" t="s">
        <v>205</v>
      </c>
      <c r="D154" s="21" t="s">
        <v>205</v>
      </c>
      <c r="E154" s="23">
        <v>748045</v>
      </c>
      <c r="F154" s="20">
        <v>10011656.359999999</v>
      </c>
      <c r="G154" s="30">
        <f t="shared" si="7"/>
        <v>10759701.359999999</v>
      </c>
      <c r="H154" t="str">
        <f>IFERROR(VLOOKUP(C154,Sheet1!$B$2:$C$25,2,FALSE),"")</f>
        <v/>
      </c>
      <c r="I154">
        <f t="shared" si="8"/>
        <v>1613</v>
      </c>
    </row>
    <row r="155" spans="1:9" x14ac:dyDescent="0.2">
      <c r="A155" t="str">
        <f t="shared" si="6"/>
        <v/>
      </c>
      <c r="B155" s="20">
        <v>2015</v>
      </c>
      <c r="C155" s="21" t="s">
        <v>206</v>
      </c>
      <c r="D155" s="21" t="s">
        <v>24</v>
      </c>
      <c r="E155" s="23">
        <v>466083</v>
      </c>
      <c r="F155" s="20">
        <v>7311469.0999999996</v>
      </c>
      <c r="G155" s="30">
        <f t="shared" si="7"/>
        <v>7777552.0999999996</v>
      </c>
      <c r="H155" t="str">
        <f>IFERROR(VLOOKUP(C155,Sheet1!$B$2:$C$25,2,FALSE),"")</f>
        <v/>
      </c>
      <c r="I155">
        <f t="shared" si="8"/>
        <v>1613</v>
      </c>
    </row>
    <row r="156" spans="1:9" x14ac:dyDescent="0.2">
      <c r="A156" t="str">
        <f t="shared" si="6"/>
        <v/>
      </c>
      <c r="B156" s="20">
        <v>2016</v>
      </c>
      <c r="C156" s="21" t="s">
        <v>206</v>
      </c>
      <c r="D156" s="21" t="s">
        <v>24</v>
      </c>
      <c r="E156" s="23">
        <v>2497181</v>
      </c>
      <c r="F156" s="20">
        <v>38978093.43</v>
      </c>
      <c r="G156" s="30">
        <f t="shared" si="7"/>
        <v>41475274.43</v>
      </c>
      <c r="H156" t="str">
        <f>IFERROR(VLOOKUP(C156,Sheet1!$B$2:$C$25,2,FALSE),"")</f>
        <v/>
      </c>
      <c r="I156">
        <f t="shared" si="8"/>
        <v>1613</v>
      </c>
    </row>
    <row r="157" spans="1:9" x14ac:dyDescent="0.2">
      <c r="A157" t="str">
        <f t="shared" si="6"/>
        <v/>
      </c>
      <c r="B157" s="20">
        <v>2017</v>
      </c>
      <c r="C157" s="21" t="s">
        <v>206</v>
      </c>
      <c r="D157" s="21" t="s">
        <v>24</v>
      </c>
      <c r="E157" s="23">
        <v>2684397</v>
      </c>
      <c r="F157" s="20">
        <v>44374154.509999998</v>
      </c>
      <c r="G157" s="30">
        <f t="shared" si="7"/>
        <v>47058551.509999998</v>
      </c>
      <c r="H157" t="str">
        <f>IFERROR(VLOOKUP(C157,Sheet1!$B$2:$C$25,2,FALSE),"")</f>
        <v/>
      </c>
      <c r="I157">
        <f t="shared" si="8"/>
        <v>1613</v>
      </c>
    </row>
    <row r="158" spans="1:9" x14ac:dyDescent="0.2">
      <c r="A158" t="str">
        <f t="shared" si="6"/>
        <v/>
      </c>
      <c r="B158" s="20">
        <v>2018</v>
      </c>
      <c r="C158" s="21" t="s">
        <v>206</v>
      </c>
      <c r="D158" s="21" t="s">
        <v>206</v>
      </c>
      <c r="E158" s="23">
        <v>2711295</v>
      </c>
      <c r="F158" s="20">
        <v>40794971.399999999</v>
      </c>
      <c r="G158" s="30">
        <f t="shared" si="7"/>
        <v>43506266.399999999</v>
      </c>
      <c r="H158" t="str">
        <f>IFERROR(VLOOKUP(C158,Sheet1!$B$2:$C$25,2,FALSE),"")</f>
        <v/>
      </c>
      <c r="I158">
        <f t="shared" si="8"/>
        <v>1613</v>
      </c>
    </row>
    <row r="159" spans="1:9" x14ac:dyDescent="0.2">
      <c r="A159" t="str">
        <f t="shared" si="6"/>
        <v/>
      </c>
      <c r="B159" s="20">
        <v>2019</v>
      </c>
      <c r="C159" s="21" t="s">
        <v>206</v>
      </c>
      <c r="D159" s="21" t="s">
        <v>206</v>
      </c>
      <c r="E159" s="23">
        <v>2591780</v>
      </c>
      <c r="F159" s="20">
        <v>37290838</v>
      </c>
      <c r="G159" s="30">
        <f t="shared" si="7"/>
        <v>39882618</v>
      </c>
      <c r="H159" t="str">
        <f>IFERROR(VLOOKUP(C159,Sheet1!$B$2:$C$25,2,FALSE),"")</f>
        <v/>
      </c>
      <c r="I159">
        <f t="shared" si="8"/>
        <v>1613</v>
      </c>
    </row>
    <row r="160" spans="1:9" x14ac:dyDescent="0.2">
      <c r="A160" t="str">
        <f t="shared" si="6"/>
        <v/>
      </c>
      <c r="B160" s="20">
        <v>2020</v>
      </c>
      <c r="C160" s="21" t="s">
        <v>206</v>
      </c>
      <c r="D160" s="21" t="s">
        <v>206</v>
      </c>
      <c r="E160" s="23">
        <v>2640694</v>
      </c>
      <c r="F160" s="20">
        <v>36915172.149999999</v>
      </c>
      <c r="G160" s="30">
        <f t="shared" si="7"/>
        <v>39555866.149999999</v>
      </c>
      <c r="H160" t="str">
        <f>IFERROR(VLOOKUP(C160,Sheet1!$B$2:$C$25,2,FALSE),"")</f>
        <v/>
      </c>
      <c r="I160">
        <f t="shared" si="8"/>
        <v>1613</v>
      </c>
    </row>
    <row r="161" spans="1:9" x14ac:dyDescent="0.2">
      <c r="A161" t="str">
        <f t="shared" si="6"/>
        <v/>
      </c>
      <c r="B161" s="20">
        <v>2021</v>
      </c>
      <c r="C161" s="21" t="s">
        <v>206</v>
      </c>
      <c r="D161" s="21" t="s">
        <v>206</v>
      </c>
      <c r="E161" s="23">
        <v>2946381</v>
      </c>
      <c r="F161" s="20">
        <v>38462013.93</v>
      </c>
      <c r="G161" s="30">
        <f t="shared" si="7"/>
        <v>41408394.93</v>
      </c>
      <c r="H161" t="str">
        <f>IFERROR(VLOOKUP(C161,Sheet1!$B$2:$C$25,2,FALSE),"")</f>
        <v/>
      </c>
      <c r="I161">
        <f t="shared" si="8"/>
        <v>1613</v>
      </c>
    </row>
    <row r="162" spans="1:9" x14ac:dyDescent="0.2">
      <c r="A162" t="str">
        <f t="shared" si="6"/>
        <v/>
      </c>
      <c r="B162" s="20">
        <v>2022</v>
      </c>
      <c r="C162" s="21" t="s">
        <v>206</v>
      </c>
      <c r="D162" s="21" t="s">
        <v>206</v>
      </c>
      <c r="E162" s="23">
        <v>2707597</v>
      </c>
      <c r="F162" s="20">
        <v>37222749.649999999</v>
      </c>
      <c r="G162" s="30">
        <f t="shared" si="7"/>
        <v>39930346.649999999</v>
      </c>
      <c r="H162" t="str">
        <f>IFERROR(VLOOKUP(C162,Sheet1!$B$2:$C$25,2,FALSE),"")</f>
        <v/>
      </c>
      <c r="I162">
        <f t="shared" si="8"/>
        <v>1613</v>
      </c>
    </row>
    <row r="163" spans="1:9" x14ac:dyDescent="0.2">
      <c r="A163" t="str">
        <f t="shared" si="6"/>
        <v/>
      </c>
      <c r="B163" s="20">
        <v>2023</v>
      </c>
      <c r="C163" s="21" t="s">
        <v>206</v>
      </c>
      <c r="D163" s="21" t="s">
        <v>206</v>
      </c>
      <c r="E163" s="23">
        <v>2450036</v>
      </c>
      <c r="F163" s="20">
        <v>32790699.079999998</v>
      </c>
      <c r="G163" s="30">
        <f t="shared" si="7"/>
        <v>35240735.079999998</v>
      </c>
      <c r="H163" t="str">
        <f>IFERROR(VLOOKUP(C163,Sheet1!$B$2:$C$25,2,FALSE),"")</f>
        <v/>
      </c>
      <c r="I163">
        <f t="shared" si="8"/>
        <v>1613</v>
      </c>
    </row>
    <row r="164" spans="1:9" x14ac:dyDescent="0.2">
      <c r="A164" t="str">
        <f t="shared" si="6"/>
        <v/>
      </c>
      <c r="B164" s="20">
        <v>2015</v>
      </c>
      <c r="C164" s="21" t="s">
        <v>25</v>
      </c>
      <c r="D164" s="21" t="s">
        <v>25</v>
      </c>
      <c r="E164" s="23">
        <v>51892</v>
      </c>
      <c r="F164" s="20">
        <v>814032.59620000003</v>
      </c>
      <c r="G164" s="30">
        <f t="shared" si="7"/>
        <v>865924.59620000003</v>
      </c>
      <c r="H164" t="str">
        <f>IFERROR(VLOOKUP(C164,Sheet1!$B$2:$C$25,2,FALSE),"")</f>
        <v/>
      </c>
      <c r="I164">
        <f t="shared" si="8"/>
        <v>1613</v>
      </c>
    </row>
    <row r="165" spans="1:9" x14ac:dyDescent="0.2">
      <c r="A165" t="str">
        <f t="shared" si="6"/>
        <v/>
      </c>
      <c r="B165" s="20">
        <v>2016</v>
      </c>
      <c r="C165" s="21" t="s">
        <v>25</v>
      </c>
      <c r="D165" s="21" t="s">
        <v>25</v>
      </c>
      <c r="E165" s="23">
        <v>50898</v>
      </c>
      <c r="F165" s="20">
        <v>794458.63139999995</v>
      </c>
      <c r="G165" s="30">
        <f t="shared" si="7"/>
        <v>845356.63139999995</v>
      </c>
      <c r="H165" t="str">
        <f>IFERROR(VLOOKUP(C165,Sheet1!$B$2:$C$25,2,FALSE),"")</f>
        <v/>
      </c>
      <c r="I165">
        <f t="shared" si="8"/>
        <v>1613</v>
      </c>
    </row>
    <row r="166" spans="1:9" x14ac:dyDescent="0.2">
      <c r="A166" t="str">
        <f t="shared" si="6"/>
        <v/>
      </c>
      <c r="B166" s="20">
        <v>2017</v>
      </c>
      <c r="C166" s="21" t="s">
        <v>25</v>
      </c>
      <c r="D166" s="21" t="s">
        <v>25</v>
      </c>
      <c r="E166" s="23">
        <v>59973</v>
      </c>
      <c r="F166" s="20">
        <v>991377.64210000006</v>
      </c>
      <c r="G166" s="30">
        <f t="shared" si="7"/>
        <v>1051350.6421000001</v>
      </c>
      <c r="H166" t="str">
        <f>IFERROR(VLOOKUP(C166,Sheet1!$B$2:$C$25,2,FALSE),"")</f>
        <v/>
      </c>
      <c r="I166">
        <f t="shared" si="8"/>
        <v>1613</v>
      </c>
    </row>
    <row r="167" spans="1:9" x14ac:dyDescent="0.2">
      <c r="A167" t="str">
        <f t="shared" si="6"/>
        <v/>
      </c>
      <c r="B167" s="20">
        <v>2018</v>
      </c>
      <c r="C167" s="21" t="s">
        <v>25</v>
      </c>
      <c r="D167" s="21" t="s">
        <v>25</v>
      </c>
      <c r="E167" s="23">
        <v>64690</v>
      </c>
      <c r="F167" s="20">
        <v>973345.46770000004</v>
      </c>
      <c r="G167" s="30">
        <f t="shared" si="7"/>
        <v>1038035.4677</v>
      </c>
      <c r="H167" t="str">
        <f>IFERROR(VLOOKUP(C167,Sheet1!$B$2:$C$25,2,FALSE),"")</f>
        <v/>
      </c>
      <c r="I167">
        <f t="shared" si="8"/>
        <v>1613</v>
      </c>
    </row>
    <row r="168" spans="1:9" x14ac:dyDescent="0.2">
      <c r="A168" t="str">
        <f t="shared" si="6"/>
        <v/>
      </c>
      <c r="B168" s="20">
        <v>2019</v>
      </c>
      <c r="C168" s="21" t="s">
        <v>25</v>
      </c>
      <c r="D168" s="21" t="s">
        <v>25</v>
      </c>
      <c r="E168" s="23">
        <v>63208</v>
      </c>
      <c r="F168" s="20">
        <v>909444.19979999994</v>
      </c>
      <c r="G168" s="30">
        <f t="shared" si="7"/>
        <v>972652.19979999994</v>
      </c>
      <c r="H168" t="str">
        <f>IFERROR(VLOOKUP(C168,Sheet1!$B$2:$C$25,2,FALSE),"")</f>
        <v/>
      </c>
      <c r="I168">
        <f t="shared" si="8"/>
        <v>1613</v>
      </c>
    </row>
    <row r="169" spans="1:9" x14ac:dyDescent="0.2">
      <c r="A169" t="str">
        <f t="shared" si="6"/>
        <v/>
      </c>
      <c r="B169" s="20">
        <v>2020</v>
      </c>
      <c r="C169" s="21" t="s">
        <v>25</v>
      </c>
      <c r="D169" s="21" t="s">
        <v>25</v>
      </c>
      <c r="E169" s="23">
        <v>65022</v>
      </c>
      <c r="F169" s="20">
        <v>908964.96279999998</v>
      </c>
      <c r="G169" s="30">
        <f t="shared" si="7"/>
        <v>973986.96279999998</v>
      </c>
      <c r="H169" t="str">
        <f>IFERROR(VLOOKUP(C169,Sheet1!$B$2:$C$25,2,FALSE),"")</f>
        <v/>
      </c>
      <c r="I169">
        <f t="shared" si="8"/>
        <v>1613</v>
      </c>
    </row>
    <row r="170" spans="1:9" x14ac:dyDescent="0.2">
      <c r="A170" t="str">
        <f t="shared" si="6"/>
        <v/>
      </c>
      <c r="B170" s="20">
        <v>2021</v>
      </c>
      <c r="C170" s="21" t="s">
        <v>25</v>
      </c>
      <c r="D170" s="21" t="s">
        <v>25</v>
      </c>
      <c r="E170" s="23">
        <v>58921</v>
      </c>
      <c r="F170" s="20">
        <v>769153.86109999998</v>
      </c>
      <c r="G170" s="30">
        <f t="shared" si="7"/>
        <v>828074.86109999998</v>
      </c>
      <c r="H170" t="str">
        <f>IFERROR(VLOOKUP(C170,Sheet1!$B$2:$C$25,2,FALSE),"")</f>
        <v/>
      </c>
      <c r="I170">
        <f t="shared" si="8"/>
        <v>1613</v>
      </c>
    </row>
    <row r="171" spans="1:9" x14ac:dyDescent="0.2">
      <c r="A171" t="str">
        <f t="shared" si="6"/>
        <v/>
      </c>
      <c r="B171" s="20">
        <v>2022</v>
      </c>
      <c r="C171" s="21" t="s">
        <v>25</v>
      </c>
      <c r="D171" s="21" t="s">
        <v>25</v>
      </c>
      <c r="E171" s="23" t="s">
        <v>269</v>
      </c>
      <c r="F171" s="20">
        <v>0</v>
      </c>
      <c r="G171" s="30">
        <f t="shared" si="7"/>
        <v>0</v>
      </c>
      <c r="H171" t="str">
        <f>IFERROR(VLOOKUP(C171,Sheet1!$B$2:$C$25,2,FALSE),"")</f>
        <v/>
      </c>
      <c r="I171">
        <f t="shared" si="8"/>
        <v>1613</v>
      </c>
    </row>
    <row r="172" spans="1:9" x14ac:dyDescent="0.2">
      <c r="A172" t="str">
        <f t="shared" si="6"/>
        <v/>
      </c>
      <c r="B172" s="20">
        <v>2023</v>
      </c>
      <c r="C172" s="21" t="s">
        <v>25</v>
      </c>
      <c r="D172" s="21" t="s">
        <v>25</v>
      </c>
      <c r="E172" s="23" t="s">
        <v>269</v>
      </c>
      <c r="F172" s="20">
        <v>0</v>
      </c>
      <c r="G172" s="30">
        <f t="shared" si="7"/>
        <v>0</v>
      </c>
      <c r="H172" t="str">
        <f>IFERROR(VLOOKUP(C172,Sheet1!$B$2:$C$25,2,FALSE),"")</f>
        <v/>
      </c>
      <c r="I172">
        <f t="shared" si="8"/>
        <v>1613</v>
      </c>
    </row>
    <row r="173" spans="1:9" x14ac:dyDescent="0.2">
      <c r="A173" t="str">
        <f t="shared" si="6"/>
        <v/>
      </c>
      <c r="B173" s="20">
        <v>2015</v>
      </c>
      <c r="C173" s="21" t="s">
        <v>26</v>
      </c>
      <c r="D173" s="21" t="s">
        <v>26</v>
      </c>
      <c r="E173" s="23">
        <v>45062</v>
      </c>
      <c r="F173" s="20">
        <v>706890.01870000002</v>
      </c>
      <c r="G173" s="30">
        <f t="shared" si="7"/>
        <v>751952.01870000002</v>
      </c>
      <c r="H173" t="str">
        <f>IFERROR(VLOOKUP(C173,Sheet1!$B$2:$C$25,2,FALSE),"")</f>
        <v/>
      </c>
      <c r="I173">
        <f t="shared" si="8"/>
        <v>1613</v>
      </c>
    </row>
    <row r="174" spans="1:9" x14ac:dyDescent="0.2">
      <c r="A174" t="str">
        <f t="shared" si="6"/>
        <v/>
      </c>
      <c r="B174" s="20">
        <v>2016</v>
      </c>
      <c r="C174" s="21" t="s">
        <v>26</v>
      </c>
      <c r="D174" s="21" t="s">
        <v>26</v>
      </c>
      <c r="E174" s="23">
        <v>47857</v>
      </c>
      <c r="F174" s="20">
        <v>746992.15529999998</v>
      </c>
      <c r="G174" s="30">
        <f t="shared" si="7"/>
        <v>794849.15529999998</v>
      </c>
      <c r="H174" t="str">
        <f>IFERROR(VLOOKUP(C174,Sheet1!$B$2:$C$25,2,FALSE),"")</f>
        <v/>
      </c>
      <c r="I174">
        <f t="shared" si="8"/>
        <v>1613</v>
      </c>
    </row>
    <row r="175" spans="1:9" x14ac:dyDescent="0.2">
      <c r="A175" t="str">
        <f t="shared" si="6"/>
        <v/>
      </c>
      <c r="B175" s="20">
        <v>2017</v>
      </c>
      <c r="C175" s="21" t="s">
        <v>26</v>
      </c>
      <c r="D175" s="21" t="s">
        <v>26</v>
      </c>
      <c r="E175" s="23">
        <v>53777</v>
      </c>
      <c r="F175" s="20">
        <v>888955.28749999998</v>
      </c>
      <c r="G175" s="30">
        <f t="shared" si="7"/>
        <v>942732.28749999998</v>
      </c>
      <c r="H175" t="str">
        <f>IFERROR(VLOOKUP(C175,Sheet1!$B$2:$C$25,2,FALSE),"")</f>
        <v/>
      </c>
      <c r="I175">
        <f t="shared" si="8"/>
        <v>1613</v>
      </c>
    </row>
    <row r="176" spans="1:9" x14ac:dyDescent="0.2">
      <c r="A176" t="str">
        <f t="shared" si="6"/>
        <v/>
      </c>
      <c r="B176" s="20">
        <v>2018</v>
      </c>
      <c r="C176" s="21" t="s">
        <v>26</v>
      </c>
      <c r="D176" s="21" t="s">
        <v>26</v>
      </c>
      <c r="E176" s="23">
        <v>54980</v>
      </c>
      <c r="F176" s="20">
        <v>827245.84660000005</v>
      </c>
      <c r="G176" s="30">
        <f t="shared" si="7"/>
        <v>882225.84660000005</v>
      </c>
      <c r="H176" t="str">
        <f>IFERROR(VLOOKUP(C176,Sheet1!$B$2:$C$25,2,FALSE),"")</f>
        <v/>
      </c>
      <c r="I176">
        <f t="shared" si="8"/>
        <v>1613</v>
      </c>
    </row>
    <row r="177" spans="1:9" x14ac:dyDescent="0.2">
      <c r="A177" t="str">
        <f t="shared" si="6"/>
        <v/>
      </c>
      <c r="B177" s="20">
        <v>2019</v>
      </c>
      <c r="C177" s="21" t="s">
        <v>26</v>
      </c>
      <c r="D177" s="21" t="s">
        <v>26</v>
      </c>
      <c r="E177" s="23">
        <v>55039</v>
      </c>
      <c r="F177" s="20">
        <v>791907.65899999999</v>
      </c>
      <c r="G177" s="30">
        <f t="shared" si="7"/>
        <v>846946.65899999999</v>
      </c>
      <c r="H177" t="str">
        <f>IFERROR(VLOOKUP(C177,Sheet1!$B$2:$C$25,2,FALSE),"")</f>
        <v/>
      </c>
      <c r="I177">
        <f t="shared" si="8"/>
        <v>1613</v>
      </c>
    </row>
    <row r="178" spans="1:9" x14ac:dyDescent="0.2">
      <c r="A178" t="str">
        <f t="shared" si="6"/>
        <v/>
      </c>
      <c r="B178" s="20">
        <v>2020</v>
      </c>
      <c r="C178" s="21" t="s">
        <v>26</v>
      </c>
      <c r="D178" s="21" t="s">
        <v>26</v>
      </c>
      <c r="E178" s="23">
        <v>58753</v>
      </c>
      <c r="F178" s="20">
        <v>821328.4497</v>
      </c>
      <c r="G178" s="30">
        <f t="shared" si="7"/>
        <v>880081.4497</v>
      </c>
      <c r="H178" t="str">
        <f>IFERROR(VLOOKUP(C178,Sheet1!$B$2:$C$25,2,FALSE),"")</f>
        <v/>
      </c>
      <c r="I178">
        <f t="shared" si="8"/>
        <v>1613</v>
      </c>
    </row>
    <row r="179" spans="1:9" x14ac:dyDescent="0.2">
      <c r="A179" t="str">
        <f t="shared" si="6"/>
        <v/>
      </c>
      <c r="B179" s="20">
        <v>2021</v>
      </c>
      <c r="C179" s="21" t="s">
        <v>26</v>
      </c>
      <c r="D179" s="21" t="s">
        <v>26</v>
      </c>
      <c r="E179" s="23">
        <v>62207</v>
      </c>
      <c r="F179" s="20">
        <v>812049.25650000002</v>
      </c>
      <c r="G179" s="30">
        <f t="shared" si="7"/>
        <v>874256.25650000002</v>
      </c>
      <c r="H179" t="str">
        <f>IFERROR(VLOOKUP(C179,Sheet1!$B$2:$C$25,2,FALSE),"")</f>
        <v/>
      </c>
      <c r="I179">
        <f t="shared" si="8"/>
        <v>1613</v>
      </c>
    </row>
    <row r="180" spans="1:9" x14ac:dyDescent="0.2">
      <c r="A180" t="str">
        <f t="shared" si="6"/>
        <v/>
      </c>
      <c r="B180" s="20">
        <v>2022</v>
      </c>
      <c r="C180" s="21" t="s">
        <v>26</v>
      </c>
      <c r="D180" s="21" t="s">
        <v>26</v>
      </c>
      <c r="E180" s="23">
        <v>62444</v>
      </c>
      <c r="F180" s="20">
        <v>858450.27130000002</v>
      </c>
      <c r="G180" s="30">
        <f t="shared" si="7"/>
        <v>920894.27130000002</v>
      </c>
      <c r="H180" t="str">
        <f>IFERROR(VLOOKUP(C180,Sheet1!$B$2:$C$25,2,FALSE),"")</f>
        <v/>
      </c>
      <c r="I180">
        <f t="shared" si="8"/>
        <v>1613</v>
      </c>
    </row>
    <row r="181" spans="1:9" x14ac:dyDescent="0.2">
      <c r="A181" t="str">
        <f t="shared" si="6"/>
        <v/>
      </c>
      <c r="B181" s="20">
        <v>2023</v>
      </c>
      <c r="C181" s="21" t="s">
        <v>26</v>
      </c>
      <c r="D181" s="21" t="s">
        <v>26</v>
      </c>
      <c r="E181" s="23">
        <v>63436</v>
      </c>
      <c r="F181" s="20">
        <v>849012.33559999999</v>
      </c>
      <c r="G181" s="30">
        <f t="shared" si="7"/>
        <v>912448.33559999999</v>
      </c>
      <c r="H181" t="str">
        <f>IFERROR(VLOOKUP(C181,Sheet1!$B$2:$C$25,2,FALSE),"")</f>
        <v/>
      </c>
      <c r="I181">
        <f t="shared" si="8"/>
        <v>1613</v>
      </c>
    </row>
    <row r="182" spans="1:9" x14ac:dyDescent="0.2">
      <c r="A182" t="str">
        <f t="shared" si="6"/>
        <v/>
      </c>
      <c r="B182" s="20">
        <v>2015</v>
      </c>
      <c r="C182" s="21" t="s">
        <v>27</v>
      </c>
      <c r="D182" s="21" t="s">
        <v>27</v>
      </c>
      <c r="E182" s="23">
        <v>27949</v>
      </c>
      <c r="F182" s="20">
        <v>438437.4669</v>
      </c>
      <c r="G182" s="30">
        <f t="shared" si="7"/>
        <v>466386.4669</v>
      </c>
      <c r="H182" t="str">
        <f>IFERROR(VLOOKUP(C182,Sheet1!$B$2:$C$25,2,FALSE),"")</f>
        <v/>
      </c>
      <c r="I182">
        <f t="shared" si="8"/>
        <v>1613</v>
      </c>
    </row>
    <row r="183" spans="1:9" x14ac:dyDescent="0.2">
      <c r="A183" t="str">
        <f t="shared" si="6"/>
        <v/>
      </c>
      <c r="B183" s="20">
        <v>2016</v>
      </c>
      <c r="C183" s="21" t="s">
        <v>27</v>
      </c>
      <c r="D183" s="21" t="s">
        <v>27</v>
      </c>
      <c r="E183" s="23">
        <v>24425</v>
      </c>
      <c r="F183" s="20">
        <v>381245.86570000002</v>
      </c>
      <c r="G183" s="30">
        <f t="shared" si="7"/>
        <v>405670.86570000002</v>
      </c>
      <c r="H183" t="str">
        <f>IFERROR(VLOOKUP(C183,Sheet1!$B$2:$C$25,2,FALSE),"")</f>
        <v/>
      </c>
      <c r="I183">
        <f t="shared" si="8"/>
        <v>1613</v>
      </c>
    </row>
    <row r="184" spans="1:9" x14ac:dyDescent="0.2">
      <c r="A184" t="str">
        <f t="shared" si="6"/>
        <v/>
      </c>
      <c r="B184" s="20">
        <v>2017</v>
      </c>
      <c r="C184" s="21" t="s">
        <v>27</v>
      </c>
      <c r="D184" s="21" t="s">
        <v>27</v>
      </c>
      <c r="E184" s="23">
        <v>23665</v>
      </c>
      <c r="F184" s="20">
        <v>391191.90130000003</v>
      </c>
      <c r="G184" s="30">
        <f t="shared" si="7"/>
        <v>414856.90130000003</v>
      </c>
      <c r="H184" t="str">
        <f>IFERROR(VLOOKUP(C184,Sheet1!$B$2:$C$25,2,FALSE),"")</f>
        <v/>
      </c>
      <c r="I184">
        <f t="shared" si="8"/>
        <v>1613</v>
      </c>
    </row>
    <row r="185" spans="1:9" x14ac:dyDescent="0.2">
      <c r="A185" t="str">
        <f t="shared" si="6"/>
        <v/>
      </c>
      <c r="B185" s="20">
        <v>2018</v>
      </c>
      <c r="C185" s="21" t="s">
        <v>27</v>
      </c>
      <c r="D185" s="21" t="s">
        <v>27</v>
      </c>
      <c r="E185" s="23">
        <v>18508</v>
      </c>
      <c r="F185" s="20">
        <v>278477.0122</v>
      </c>
      <c r="G185" s="30">
        <f t="shared" si="7"/>
        <v>296985.0122</v>
      </c>
      <c r="H185" t="str">
        <f>IFERROR(VLOOKUP(C185,Sheet1!$B$2:$C$25,2,FALSE),"")</f>
        <v/>
      </c>
      <c r="I185">
        <f t="shared" si="8"/>
        <v>1613</v>
      </c>
    </row>
    <row r="186" spans="1:9" x14ac:dyDescent="0.2">
      <c r="A186" t="str">
        <f t="shared" si="6"/>
        <v/>
      </c>
      <c r="B186" s="20">
        <v>2019</v>
      </c>
      <c r="C186" s="21" t="s">
        <v>27</v>
      </c>
      <c r="D186" s="21" t="s">
        <v>27</v>
      </c>
      <c r="E186" s="23">
        <v>20030</v>
      </c>
      <c r="F186" s="20">
        <v>288194.01530000003</v>
      </c>
      <c r="G186" s="30">
        <f t="shared" si="7"/>
        <v>308224.01530000003</v>
      </c>
      <c r="H186" t="str">
        <f>IFERROR(VLOOKUP(C186,Sheet1!$B$2:$C$25,2,FALSE),"")</f>
        <v/>
      </c>
      <c r="I186">
        <f t="shared" si="8"/>
        <v>1613</v>
      </c>
    </row>
    <row r="187" spans="1:9" x14ac:dyDescent="0.2">
      <c r="A187" t="str">
        <f t="shared" si="6"/>
        <v/>
      </c>
      <c r="B187" s="20">
        <v>2020</v>
      </c>
      <c r="C187" s="21" t="s">
        <v>27</v>
      </c>
      <c r="D187" s="21" t="s">
        <v>27</v>
      </c>
      <c r="E187" s="23">
        <v>12249</v>
      </c>
      <c r="F187" s="20">
        <v>171232.99540000001</v>
      </c>
      <c r="G187" s="30">
        <f t="shared" si="7"/>
        <v>183481.99540000001</v>
      </c>
      <c r="H187" t="str">
        <f>IFERROR(VLOOKUP(C187,Sheet1!$B$2:$C$25,2,FALSE),"")</f>
        <v/>
      </c>
      <c r="I187">
        <f t="shared" si="8"/>
        <v>1613</v>
      </c>
    </row>
    <row r="188" spans="1:9" x14ac:dyDescent="0.2">
      <c r="A188" t="str">
        <f t="shared" si="6"/>
        <v/>
      </c>
      <c r="B188" s="20">
        <v>2021</v>
      </c>
      <c r="C188" s="21" t="s">
        <v>27</v>
      </c>
      <c r="D188" s="21" t="s">
        <v>27</v>
      </c>
      <c r="E188" s="23">
        <v>13832</v>
      </c>
      <c r="F188" s="20">
        <v>180562.7231</v>
      </c>
      <c r="G188" s="30">
        <f t="shared" si="7"/>
        <v>194394.7231</v>
      </c>
      <c r="H188" t="str">
        <f>IFERROR(VLOOKUP(C188,Sheet1!$B$2:$C$25,2,FALSE),"")</f>
        <v/>
      </c>
      <c r="I188">
        <f t="shared" si="8"/>
        <v>1613</v>
      </c>
    </row>
    <row r="189" spans="1:9" x14ac:dyDescent="0.2">
      <c r="A189" t="str">
        <f t="shared" si="6"/>
        <v/>
      </c>
      <c r="B189" s="20">
        <v>2022</v>
      </c>
      <c r="C189" s="21" t="s">
        <v>27</v>
      </c>
      <c r="D189" s="21" t="s">
        <v>27</v>
      </c>
      <c r="E189" s="23">
        <v>14346</v>
      </c>
      <c r="F189" s="20">
        <v>197221.9523</v>
      </c>
      <c r="G189" s="30">
        <f t="shared" si="7"/>
        <v>211567.9523</v>
      </c>
      <c r="H189" t="str">
        <f>IFERROR(VLOOKUP(C189,Sheet1!$B$2:$C$25,2,FALSE),"")</f>
        <v/>
      </c>
      <c r="I189">
        <f t="shared" si="8"/>
        <v>1613</v>
      </c>
    </row>
    <row r="190" spans="1:9" x14ac:dyDescent="0.2">
      <c r="A190" t="str">
        <f t="shared" si="6"/>
        <v/>
      </c>
      <c r="B190" s="20">
        <v>2023</v>
      </c>
      <c r="C190" s="21" t="s">
        <v>27</v>
      </c>
      <c r="D190" s="21" t="s">
        <v>27</v>
      </c>
      <c r="E190" s="23">
        <v>17517</v>
      </c>
      <c r="F190" s="20">
        <v>234443.3615</v>
      </c>
      <c r="G190" s="30">
        <f t="shared" si="7"/>
        <v>251960.3615</v>
      </c>
      <c r="H190" t="str">
        <f>IFERROR(VLOOKUP(C190,Sheet1!$B$2:$C$25,2,FALSE),"")</f>
        <v/>
      </c>
      <c r="I190">
        <f t="shared" si="8"/>
        <v>1613</v>
      </c>
    </row>
    <row r="191" spans="1:9" x14ac:dyDescent="0.2">
      <c r="A191" t="str">
        <f t="shared" si="6"/>
        <v/>
      </c>
      <c r="B191" s="20">
        <v>2015</v>
      </c>
      <c r="C191" s="21" t="s">
        <v>28</v>
      </c>
      <c r="D191" s="21" t="s">
        <v>28</v>
      </c>
      <c r="E191" s="23">
        <v>307322</v>
      </c>
      <c r="F191" s="20">
        <v>4820976.75</v>
      </c>
      <c r="G191" s="30">
        <f t="shared" si="7"/>
        <v>5128298.75</v>
      </c>
      <c r="H191" t="str">
        <f>IFERROR(VLOOKUP(C191,Sheet1!$B$2:$C$25,2,FALSE),"")</f>
        <v/>
      </c>
      <c r="I191">
        <f t="shared" si="8"/>
        <v>1613</v>
      </c>
    </row>
    <row r="192" spans="1:9" x14ac:dyDescent="0.2">
      <c r="A192" t="str">
        <f t="shared" si="6"/>
        <v/>
      </c>
      <c r="B192" s="20">
        <v>2016</v>
      </c>
      <c r="C192" s="21" t="s">
        <v>28</v>
      </c>
      <c r="D192" s="21" t="s">
        <v>28</v>
      </c>
      <c r="E192" s="23">
        <v>301310</v>
      </c>
      <c r="F192" s="20">
        <v>4703098.9469999997</v>
      </c>
      <c r="G192" s="30">
        <f t="shared" si="7"/>
        <v>5004408.9469999997</v>
      </c>
      <c r="H192" t="str">
        <f>IFERROR(VLOOKUP(C192,Sheet1!$B$2:$C$25,2,FALSE),"")</f>
        <v/>
      </c>
      <c r="I192">
        <f t="shared" si="8"/>
        <v>1613</v>
      </c>
    </row>
    <row r="193" spans="1:9" x14ac:dyDescent="0.2">
      <c r="A193" t="str">
        <f t="shared" si="6"/>
        <v/>
      </c>
      <c r="B193" s="20">
        <v>2017</v>
      </c>
      <c r="C193" s="21" t="s">
        <v>28</v>
      </c>
      <c r="D193" s="21" t="s">
        <v>28</v>
      </c>
      <c r="E193" s="23">
        <v>298871</v>
      </c>
      <c r="F193" s="20">
        <v>4940456.9929999998</v>
      </c>
      <c r="G193" s="30">
        <f t="shared" si="7"/>
        <v>5239327.9929999998</v>
      </c>
      <c r="H193" t="str">
        <f>IFERROR(VLOOKUP(C193,Sheet1!$B$2:$C$25,2,FALSE),"")</f>
        <v/>
      </c>
      <c r="I193">
        <f t="shared" si="8"/>
        <v>1613</v>
      </c>
    </row>
    <row r="194" spans="1:9" x14ac:dyDescent="0.2">
      <c r="A194" t="str">
        <f t="shared" si="6"/>
        <v/>
      </c>
      <c r="B194" s="20">
        <v>2018</v>
      </c>
      <c r="C194" s="21" t="s">
        <v>28</v>
      </c>
      <c r="D194" s="21" t="s">
        <v>28</v>
      </c>
      <c r="E194" s="23">
        <v>320331</v>
      </c>
      <c r="F194" s="20">
        <v>4819797.9139999999</v>
      </c>
      <c r="G194" s="30">
        <f t="shared" si="7"/>
        <v>5140128.9139999999</v>
      </c>
      <c r="H194" t="str">
        <f>IFERROR(VLOOKUP(C194,Sheet1!$B$2:$C$25,2,FALSE),"")</f>
        <v/>
      </c>
      <c r="I194">
        <f t="shared" si="8"/>
        <v>1613</v>
      </c>
    </row>
    <row r="195" spans="1:9" x14ac:dyDescent="0.2">
      <c r="A195" t="str">
        <f t="shared" ref="A195:A258" si="9">H195</f>
        <v/>
      </c>
      <c r="B195" s="20">
        <v>2019</v>
      </c>
      <c r="C195" s="21" t="s">
        <v>28</v>
      </c>
      <c r="D195" s="21" t="s">
        <v>28</v>
      </c>
      <c r="E195" s="23">
        <v>339058</v>
      </c>
      <c r="F195" s="20">
        <v>4878406.7130000005</v>
      </c>
      <c r="G195" s="30">
        <f t="shared" ref="G195:G258" si="10">SUM(E195:F195)</f>
        <v>5217464.7130000005</v>
      </c>
      <c r="H195" t="str">
        <f>IFERROR(VLOOKUP(C195,Sheet1!$B$2:$C$25,2,FALSE),"")</f>
        <v/>
      </c>
      <c r="I195">
        <f t="shared" ref="I195:I258" si="11">COUNTIF($H$2:$H$1812,H195)</f>
        <v>1613</v>
      </c>
    </row>
    <row r="196" spans="1:9" x14ac:dyDescent="0.2">
      <c r="A196" t="str">
        <f t="shared" si="9"/>
        <v/>
      </c>
      <c r="B196" s="20">
        <v>2020</v>
      </c>
      <c r="C196" s="21" t="s">
        <v>28</v>
      </c>
      <c r="D196" s="21" t="s">
        <v>28</v>
      </c>
      <c r="E196" s="23">
        <v>369184</v>
      </c>
      <c r="F196" s="20">
        <v>5160950.46</v>
      </c>
      <c r="G196" s="30">
        <f t="shared" si="10"/>
        <v>5530134.46</v>
      </c>
      <c r="H196" t="str">
        <f>IFERROR(VLOOKUP(C196,Sheet1!$B$2:$C$25,2,FALSE),"")</f>
        <v/>
      </c>
      <c r="I196">
        <f t="shared" si="11"/>
        <v>1613</v>
      </c>
    </row>
    <row r="197" spans="1:9" x14ac:dyDescent="0.2">
      <c r="A197" t="str">
        <f t="shared" si="9"/>
        <v/>
      </c>
      <c r="B197" s="20">
        <v>2021</v>
      </c>
      <c r="C197" s="21" t="s">
        <v>28</v>
      </c>
      <c r="D197" s="21" t="s">
        <v>28</v>
      </c>
      <c r="E197" s="23">
        <v>394254</v>
      </c>
      <c r="F197" s="20">
        <v>5146585.875</v>
      </c>
      <c r="G197" s="30">
        <f t="shared" si="10"/>
        <v>5540839.875</v>
      </c>
      <c r="H197" t="str">
        <f>IFERROR(VLOOKUP(C197,Sheet1!$B$2:$C$25,2,FALSE),"")</f>
        <v/>
      </c>
      <c r="I197">
        <f t="shared" si="11"/>
        <v>1613</v>
      </c>
    </row>
    <row r="198" spans="1:9" x14ac:dyDescent="0.2">
      <c r="A198" t="str">
        <f t="shared" si="9"/>
        <v/>
      </c>
      <c r="B198" s="20">
        <v>2022</v>
      </c>
      <c r="C198" s="21" t="s">
        <v>28</v>
      </c>
      <c r="D198" s="21" t="s">
        <v>28</v>
      </c>
      <c r="E198" s="23">
        <v>391003</v>
      </c>
      <c r="F198" s="20">
        <v>5375322.392</v>
      </c>
      <c r="G198" s="30">
        <f t="shared" si="10"/>
        <v>5766325.392</v>
      </c>
      <c r="H198" t="str">
        <f>IFERROR(VLOOKUP(C198,Sheet1!$B$2:$C$25,2,FALSE),"")</f>
        <v/>
      </c>
      <c r="I198">
        <f t="shared" si="11"/>
        <v>1613</v>
      </c>
    </row>
    <row r="199" spans="1:9" x14ac:dyDescent="0.2">
      <c r="A199" t="str">
        <f t="shared" si="9"/>
        <v/>
      </c>
      <c r="B199" s="20">
        <v>2023</v>
      </c>
      <c r="C199" s="21" t="s">
        <v>28</v>
      </c>
      <c r="D199" s="21" t="s">
        <v>28</v>
      </c>
      <c r="E199" s="23">
        <v>384580</v>
      </c>
      <c r="F199" s="20">
        <v>5147127.2470000004</v>
      </c>
      <c r="G199" s="30">
        <f t="shared" si="10"/>
        <v>5531707.2470000004</v>
      </c>
      <c r="H199" t="str">
        <f>IFERROR(VLOOKUP(C199,Sheet1!$B$2:$C$25,2,FALSE),"")</f>
        <v/>
      </c>
      <c r="I199">
        <f t="shared" si="11"/>
        <v>1613</v>
      </c>
    </row>
    <row r="200" spans="1:9" x14ac:dyDescent="0.2">
      <c r="A200" t="str">
        <f t="shared" si="9"/>
        <v/>
      </c>
      <c r="B200" s="20">
        <v>2015</v>
      </c>
      <c r="C200" s="21" t="s">
        <v>29</v>
      </c>
      <c r="D200" s="21" t="s">
        <v>29</v>
      </c>
      <c r="E200" s="23">
        <v>95418</v>
      </c>
      <c r="F200" s="20">
        <v>1496827.3</v>
      </c>
      <c r="G200" s="30">
        <f t="shared" si="10"/>
        <v>1592245.3</v>
      </c>
      <c r="H200" t="str">
        <f>IFERROR(VLOOKUP(C200,Sheet1!$B$2:$C$25,2,FALSE),"")</f>
        <v/>
      </c>
      <c r="I200">
        <f t="shared" si="11"/>
        <v>1613</v>
      </c>
    </row>
    <row r="201" spans="1:9" x14ac:dyDescent="0.2">
      <c r="A201" t="str">
        <f t="shared" si="9"/>
        <v/>
      </c>
      <c r="B201" s="20">
        <v>2016</v>
      </c>
      <c r="C201" s="21" t="s">
        <v>29</v>
      </c>
      <c r="D201" s="21" t="s">
        <v>29</v>
      </c>
      <c r="E201" s="23">
        <v>87696</v>
      </c>
      <c r="F201" s="20">
        <v>1368832.648</v>
      </c>
      <c r="G201" s="30">
        <f t="shared" si="10"/>
        <v>1456528.648</v>
      </c>
      <c r="H201" t="str">
        <f>IFERROR(VLOOKUP(C201,Sheet1!$B$2:$C$25,2,FALSE),"")</f>
        <v/>
      </c>
      <c r="I201">
        <f t="shared" si="11"/>
        <v>1613</v>
      </c>
    </row>
    <row r="202" spans="1:9" x14ac:dyDescent="0.2">
      <c r="A202" t="str">
        <f t="shared" si="9"/>
        <v/>
      </c>
      <c r="B202" s="20">
        <v>2017</v>
      </c>
      <c r="C202" s="21" t="s">
        <v>29</v>
      </c>
      <c r="D202" s="21" t="s">
        <v>29</v>
      </c>
      <c r="E202" s="23">
        <v>81584</v>
      </c>
      <c r="F202" s="20">
        <v>1348616.1029999999</v>
      </c>
      <c r="G202" s="30">
        <f t="shared" si="10"/>
        <v>1430200.1029999999</v>
      </c>
      <c r="H202" t="str">
        <f>IFERROR(VLOOKUP(C202,Sheet1!$B$2:$C$25,2,FALSE),"")</f>
        <v/>
      </c>
      <c r="I202">
        <f t="shared" si="11"/>
        <v>1613</v>
      </c>
    </row>
    <row r="203" spans="1:9" x14ac:dyDescent="0.2">
      <c r="A203" t="str">
        <f t="shared" si="9"/>
        <v/>
      </c>
      <c r="B203" s="20">
        <v>2018</v>
      </c>
      <c r="C203" s="21" t="s">
        <v>29</v>
      </c>
      <c r="D203" s="21" t="s">
        <v>29</v>
      </c>
      <c r="E203" s="23">
        <v>99318</v>
      </c>
      <c r="F203" s="20">
        <v>1494368.916</v>
      </c>
      <c r="G203" s="30">
        <f t="shared" si="10"/>
        <v>1593686.916</v>
      </c>
      <c r="H203" t="str">
        <f>IFERROR(VLOOKUP(C203,Sheet1!$B$2:$C$25,2,FALSE),"")</f>
        <v/>
      </c>
      <c r="I203">
        <f t="shared" si="11"/>
        <v>1613</v>
      </c>
    </row>
    <row r="204" spans="1:9" x14ac:dyDescent="0.2">
      <c r="A204" t="str">
        <f t="shared" si="9"/>
        <v/>
      </c>
      <c r="B204" s="20">
        <v>2019</v>
      </c>
      <c r="C204" s="21" t="s">
        <v>29</v>
      </c>
      <c r="D204" s="21" t="s">
        <v>29</v>
      </c>
      <c r="E204" s="23">
        <v>103740</v>
      </c>
      <c r="F204" s="20">
        <v>1492623.422</v>
      </c>
      <c r="G204" s="30">
        <f t="shared" si="10"/>
        <v>1596363.422</v>
      </c>
      <c r="H204" t="str">
        <f>IFERROR(VLOOKUP(C204,Sheet1!$B$2:$C$25,2,FALSE),"")</f>
        <v/>
      </c>
      <c r="I204">
        <f t="shared" si="11"/>
        <v>1613</v>
      </c>
    </row>
    <row r="205" spans="1:9" x14ac:dyDescent="0.2">
      <c r="A205" t="str">
        <f t="shared" si="9"/>
        <v/>
      </c>
      <c r="B205" s="20">
        <v>2020</v>
      </c>
      <c r="C205" s="21" t="s">
        <v>29</v>
      </c>
      <c r="D205" s="21" t="s">
        <v>29</v>
      </c>
      <c r="E205" s="23">
        <v>97414</v>
      </c>
      <c r="F205" s="20">
        <v>1361783.902</v>
      </c>
      <c r="G205" s="30">
        <f t="shared" si="10"/>
        <v>1459197.902</v>
      </c>
      <c r="H205" t="str">
        <f>IFERROR(VLOOKUP(C205,Sheet1!$B$2:$C$25,2,FALSE),"")</f>
        <v/>
      </c>
      <c r="I205">
        <f t="shared" si="11"/>
        <v>1613</v>
      </c>
    </row>
    <row r="206" spans="1:9" x14ac:dyDescent="0.2">
      <c r="A206" t="str">
        <f t="shared" si="9"/>
        <v/>
      </c>
      <c r="B206" s="20">
        <v>2021</v>
      </c>
      <c r="C206" s="21" t="s">
        <v>29</v>
      </c>
      <c r="D206" s="21" t="s">
        <v>29</v>
      </c>
      <c r="E206" s="23">
        <v>122540</v>
      </c>
      <c r="F206" s="20">
        <v>1599635.345</v>
      </c>
      <c r="G206" s="30">
        <f t="shared" si="10"/>
        <v>1722175.345</v>
      </c>
      <c r="H206" t="str">
        <f>IFERROR(VLOOKUP(C206,Sheet1!$B$2:$C$25,2,FALSE),"")</f>
        <v/>
      </c>
      <c r="I206">
        <f t="shared" si="11"/>
        <v>1613</v>
      </c>
    </row>
    <row r="207" spans="1:9" x14ac:dyDescent="0.2">
      <c r="A207" t="str">
        <f t="shared" si="9"/>
        <v/>
      </c>
      <c r="B207" s="20">
        <v>2022</v>
      </c>
      <c r="C207" s="21" t="s">
        <v>29</v>
      </c>
      <c r="D207" s="21" t="s">
        <v>29</v>
      </c>
      <c r="E207" s="23">
        <v>115234</v>
      </c>
      <c r="F207" s="20">
        <v>1584181.9639999999</v>
      </c>
      <c r="G207" s="30">
        <f t="shared" si="10"/>
        <v>1699415.9639999999</v>
      </c>
      <c r="H207" t="str">
        <f>IFERROR(VLOOKUP(C207,Sheet1!$B$2:$C$25,2,FALSE),"")</f>
        <v/>
      </c>
      <c r="I207">
        <f t="shared" si="11"/>
        <v>1613</v>
      </c>
    </row>
    <row r="208" spans="1:9" x14ac:dyDescent="0.2">
      <c r="A208" t="str">
        <f t="shared" si="9"/>
        <v/>
      </c>
      <c r="B208" s="20">
        <v>2023</v>
      </c>
      <c r="C208" s="21" t="s">
        <v>29</v>
      </c>
      <c r="D208" s="21" t="s">
        <v>29</v>
      </c>
      <c r="E208" s="23">
        <v>130984</v>
      </c>
      <c r="F208" s="20">
        <v>1753058.7009999999</v>
      </c>
      <c r="G208" s="30">
        <f t="shared" si="10"/>
        <v>1884042.7009999999</v>
      </c>
      <c r="H208" t="str">
        <f>IFERROR(VLOOKUP(C208,Sheet1!$B$2:$C$25,2,FALSE),"")</f>
        <v/>
      </c>
      <c r="I208">
        <f t="shared" si="11"/>
        <v>1613</v>
      </c>
    </row>
    <row r="209" spans="1:9" x14ac:dyDescent="0.2">
      <c r="A209" t="str">
        <f t="shared" si="9"/>
        <v/>
      </c>
      <c r="B209" s="20">
        <v>2015</v>
      </c>
      <c r="C209" s="21" t="s">
        <v>30</v>
      </c>
      <c r="D209" s="21" t="s">
        <v>30</v>
      </c>
      <c r="E209" s="23">
        <v>2183</v>
      </c>
      <c r="F209" s="20">
        <v>34244.838459999999</v>
      </c>
      <c r="G209" s="30">
        <f t="shared" si="10"/>
        <v>36427.838459999999</v>
      </c>
      <c r="H209" t="str">
        <f>IFERROR(VLOOKUP(C209,Sheet1!$B$2:$C$25,2,FALSE),"")</f>
        <v/>
      </c>
      <c r="I209">
        <f t="shared" si="11"/>
        <v>1613</v>
      </c>
    </row>
    <row r="210" spans="1:9" x14ac:dyDescent="0.2">
      <c r="A210" t="str">
        <f t="shared" si="9"/>
        <v/>
      </c>
      <c r="B210" s="20">
        <v>2016</v>
      </c>
      <c r="C210" s="21" t="s">
        <v>30</v>
      </c>
      <c r="D210" s="21" t="s">
        <v>30</v>
      </c>
      <c r="E210" s="23">
        <v>2183</v>
      </c>
      <c r="F210" s="20">
        <v>34074.093130000001</v>
      </c>
      <c r="G210" s="30">
        <f t="shared" si="10"/>
        <v>36257.093130000001</v>
      </c>
      <c r="H210" t="str">
        <f>IFERROR(VLOOKUP(C210,Sheet1!$B$2:$C$25,2,FALSE),"")</f>
        <v/>
      </c>
      <c r="I210">
        <f t="shared" si="11"/>
        <v>1613</v>
      </c>
    </row>
    <row r="211" spans="1:9" x14ac:dyDescent="0.2">
      <c r="A211" t="str">
        <f t="shared" si="9"/>
        <v/>
      </c>
      <c r="B211" s="20">
        <v>2017</v>
      </c>
      <c r="C211" s="21" t="s">
        <v>30</v>
      </c>
      <c r="D211" s="21" t="s">
        <v>30</v>
      </c>
      <c r="E211" s="23">
        <v>2183</v>
      </c>
      <c r="F211" s="20">
        <v>36085.861850000001</v>
      </c>
      <c r="G211" s="30">
        <f t="shared" si="10"/>
        <v>38268.861850000001</v>
      </c>
      <c r="H211" t="str">
        <f>IFERROR(VLOOKUP(C211,Sheet1!$B$2:$C$25,2,FALSE),"")</f>
        <v/>
      </c>
      <c r="I211">
        <f t="shared" si="11"/>
        <v>1613</v>
      </c>
    </row>
    <row r="212" spans="1:9" x14ac:dyDescent="0.2">
      <c r="A212" t="str">
        <f t="shared" si="9"/>
        <v/>
      </c>
      <c r="B212" s="20">
        <v>2018</v>
      </c>
      <c r="C212" s="21" t="s">
        <v>30</v>
      </c>
      <c r="D212" s="21" t="s">
        <v>30</v>
      </c>
      <c r="E212" s="23">
        <v>2183</v>
      </c>
      <c r="F212" s="20">
        <v>32846.083720000002</v>
      </c>
      <c r="G212" s="30">
        <f t="shared" si="10"/>
        <v>35029.083720000002</v>
      </c>
      <c r="H212" t="str">
        <f>IFERROR(VLOOKUP(C212,Sheet1!$B$2:$C$25,2,FALSE),"")</f>
        <v/>
      </c>
      <c r="I212">
        <f t="shared" si="11"/>
        <v>1613</v>
      </c>
    </row>
    <row r="213" spans="1:9" x14ac:dyDescent="0.2">
      <c r="A213" t="str">
        <f t="shared" si="9"/>
        <v/>
      </c>
      <c r="B213" s="20">
        <v>2019</v>
      </c>
      <c r="C213" s="21" t="s">
        <v>30</v>
      </c>
      <c r="D213" s="21" t="s">
        <v>229</v>
      </c>
      <c r="E213" s="23">
        <v>2183</v>
      </c>
      <c r="F213" s="20">
        <v>31409.262879999998</v>
      </c>
      <c r="G213" s="30">
        <f t="shared" si="10"/>
        <v>33592.262879999995</v>
      </c>
      <c r="H213" t="str">
        <f>IFERROR(VLOOKUP(C213,Sheet1!$B$2:$C$25,2,FALSE),"")</f>
        <v/>
      </c>
      <c r="I213">
        <f t="shared" si="11"/>
        <v>1613</v>
      </c>
    </row>
    <row r="214" spans="1:9" x14ac:dyDescent="0.2">
      <c r="A214" t="str">
        <f t="shared" si="9"/>
        <v/>
      </c>
      <c r="B214" s="20">
        <v>2020</v>
      </c>
      <c r="C214" s="21" t="s">
        <v>30</v>
      </c>
      <c r="D214" s="21" t="s">
        <v>229</v>
      </c>
      <c r="E214" s="23">
        <v>2183</v>
      </c>
      <c r="F214" s="20">
        <v>30516.90987</v>
      </c>
      <c r="G214" s="30">
        <f t="shared" si="10"/>
        <v>32699.90987</v>
      </c>
      <c r="H214" t="str">
        <f>IFERROR(VLOOKUP(C214,Sheet1!$B$2:$C$25,2,FALSE),"")</f>
        <v/>
      </c>
      <c r="I214">
        <f t="shared" si="11"/>
        <v>1613</v>
      </c>
    </row>
    <row r="215" spans="1:9" x14ac:dyDescent="0.2">
      <c r="A215" t="str">
        <f t="shared" si="9"/>
        <v/>
      </c>
      <c r="B215" s="20">
        <v>2021</v>
      </c>
      <c r="C215" s="21" t="s">
        <v>30</v>
      </c>
      <c r="D215" s="21" t="s">
        <v>30</v>
      </c>
      <c r="E215" s="23" t="s">
        <v>269</v>
      </c>
      <c r="F215" s="20">
        <v>0</v>
      </c>
      <c r="G215" s="30">
        <f t="shared" si="10"/>
        <v>0</v>
      </c>
      <c r="H215" t="str">
        <f>IFERROR(VLOOKUP(C215,Sheet1!$B$2:$C$25,2,FALSE),"")</f>
        <v/>
      </c>
      <c r="I215">
        <f t="shared" si="11"/>
        <v>1613</v>
      </c>
    </row>
    <row r="216" spans="1:9" x14ac:dyDescent="0.2">
      <c r="A216" t="str">
        <f t="shared" si="9"/>
        <v/>
      </c>
      <c r="B216" s="20">
        <v>2022</v>
      </c>
      <c r="C216" s="21" t="s">
        <v>30</v>
      </c>
      <c r="D216" s="21" t="s">
        <v>30</v>
      </c>
      <c r="E216" s="23" t="s">
        <v>269</v>
      </c>
      <c r="F216" s="20">
        <v>0</v>
      </c>
      <c r="G216" s="30">
        <f t="shared" si="10"/>
        <v>0</v>
      </c>
      <c r="H216" t="str">
        <f>IFERROR(VLOOKUP(C216,Sheet1!$B$2:$C$25,2,FALSE),"")</f>
        <v/>
      </c>
      <c r="I216">
        <f t="shared" si="11"/>
        <v>1613</v>
      </c>
    </row>
    <row r="217" spans="1:9" x14ac:dyDescent="0.2">
      <c r="A217" t="str">
        <f t="shared" si="9"/>
        <v/>
      </c>
      <c r="B217" s="20">
        <v>2023</v>
      </c>
      <c r="C217" s="21" t="s">
        <v>30</v>
      </c>
      <c r="D217" s="21" t="s">
        <v>30</v>
      </c>
      <c r="E217" s="23" t="s">
        <v>269</v>
      </c>
      <c r="F217" s="20">
        <v>0</v>
      </c>
      <c r="G217" s="30">
        <f t="shared" si="10"/>
        <v>0</v>
      </c>
      <c r="H217" t="str">
        <f>IFERROR(VLOOKUP(C217,Sheet1!$B$2:$C$25,2,FALSE),"")</f>
        <v/>
      </c>
      <c r="I217">
        <f t="shared" si="11"/>
        <v>1613</v>
      </c>
    </row>
    <row r="218" spans="1:9" x14ac:dyDescent="0.2">
      <c r="A218" t="str">
        <f t="shared" si="9"/>
        <v/>
      </c>
      <c r="B218" s="20">
        <v>2015</v>
      </c>
      <c r="C218" s="21" t="s">
        <v>31</v>
      </c>
      <c r="D218" s="21" t="s">
        <v>31</v>
      </c>
      <c r="E218" s="23">
        <v>196829</v>
      </c>
      <c r="F218" s="20">
        <v>3087667.1140000001</v>
      </c>
      <c r="G218" s="30">
        <f t="shared" si="10"/>
        <v>3284496.1140000001</v>
      </c>
      <c r="H218" t="str">
        <f>IFERROR(VLOOKUP(C218,Sheet1!$B$2:$C$25,2,FALSE),"")</f>
        <v/>
      </c>
      <c r="I218">
        <f t="shared" si="11"/>
        <v>1613</v>
      </c>
    </row>
    <row r="219" spans="1:9" x14ac:dyDescent="0.2">
      <c r="A219" t="str">
        <f t="shared" si="9"/>
        <v/>
      </c>
      <c r="B219" s="20">
        <v>2016</v>
      </c>
      <c r="C219" s="21" t="s">
        <v>31</v>
      </c>
      <c r="D219" s="21" t="s">
        <v>31</v>
      </c>
      <c r="E219" s="23">
        <v>175319</v>
      </c>
      <c r="F219" s="20">
        <v>2736525.852</v>
      </c>
      <c r="G219" s="30">
        <f t="shared" si="10"/>
        <v>2911844.852</v>
      </c>
      <c r="H219" t="str">
        <f>IFERROR(VLOOKUP(C219,Sheet1!$B$2:$C$25,2,FALSE),"")</f>
        <v/>
      </c>
      <c r="I219">
        <f t="shared" si="11"/>
        <v>1613</v>
      </c>
    </row>
    <row r="220" spans="1:9" x14ac:dyDescent="0.2">
      <c r="A220" t="str">
        <f t="shared" si="9"/>
        <v/>
      </c>
      <c r="B220" s="20">
        <v>2017</v>
      </c>
      <c r="C220" s="21" t="s">
        <v>31</v>
      </c>
      <c r="D220" s="21" t="s">
        <v>31</v>
      </c>
      <c r="E220" s="23">
        <v>175127</v>
      </c>
      <c r="F220" s="20">
        <v>2894919.2519999999</v>
      </c>
      <c r="G220" s="30">
        <f t="shared" si="10"/>
        <v>3070046.2519999999</v>
      </c>
      <c r="H220" t="str">
        <f>IFERROR(VLOOKUP(C220,Sheet1!$B$2:$C$25,2,FALSE),"")</f>
        <v/>
      </c>
      <c r="I220">
        <f t="shared" si="11"/>
        <v>1613</v>
      </c>
    </row>
    <row r="221" spans="1:9" x14ac:dyDescent="0.2">
      <c r="A221" t="str">
        <f t="shared" si="9"/>
        <v/>
      </c>
      <c r="B221" s="20">
        <v>2018</v>
      </c>
      <c r="C221" s="21" t="s">
        <v>31</v>
      </c>
      <c r="D221" s="21" t="s">
        <v>31</v>
      </c>
      <c r="E221" s="23">
        <v>178900</v>
      </c>
      <c r="F221" s="20">
        <v>2691783.9569999999</v>
      </c>
      <c r="G221" s="30">
        <f t="shared" si="10"/>
        <v>2870683.9569999999</v>
      </c>
      <c r="H221" t="str">
        <f>IFERROR(VLOOKUP(C221,Sheet1!$B$2:$C$25,2,FALSE),"")</f>
        <v/>
      </c>
      <c r="I221">
        <f t="shared" si="11"/>
        <v>1613</v>
      </c>
    </row>
    <row r="222" spans="1:9" x14ac:dyDescent="0.2">
      <c r="A222" t="str">
        <f t="shared" si="9"/>
        <v/>
      </c>
      <c r="B222" s="20">
        <v>2019</v>
      </c>
      <c r="C222" s="21" t="s">
        <v>31</v>
      </c>
      <c r="D222" s="21" t="s">
        <v>31</v>
      </c>
      <c r="E222" s="23">
        <v>200013</v>
      </c>
      <c r="F222" s="20">
        <v>2877810.7629999998</v>
      </c>
      <c r="G222" s="30">
        <f t="shared" si="10"/>
        <v>3077823.7629999998</v>
      </c>
      <c r="H222" t="str">
        <f>IFERROR(VLOOKUP(C222,Sheet1!$B$2:$C$25,2,FALSE),"")</f>
        <v/>
      </c>
      <c r="I222">
        <f t="shared" si="11"/>
        <v>1613</v>
      </c>
    </row>
    <row r="223" spans="1:9" x14ac:dyDescent="0.2">
      <c r="A223" t="str">
        <f t="shared" si="9"/>
        <v/>
      </c>
      <c r="B223" s="20">
        <v>2020</v>
      </c>
      <c r="C223" s="21" t="s">
        <v>31</v>
      </c>
      <c r="D223" s="21" t="s">
        <v>31</v>
      </c>
      <c r="E223" s="23">
        <v>240723</v>
      </c>
      <c r="F223" s="20">
        <v>3365149.838</v>
      </c>
      <c r="G223" s="30">
        <f t="shared" si="10"/>
        <v>3605872.838</v>
      </c>
      <c r="H223" t="str">
        <f>IFERROR(VLOOKUP(C223,Sheet1!$B$2:$C$25,2,FALSE),"")</f>
        <v/>
      </c>
      <c r="I223">
        <f t="shared" si="11"/>
        <v>1613</v>
      </c>
    </row>
    <row r="224" spans="1:9" x14ac:dyDescent="0.2">
      <c r="A224" t="str">
        <f t="shared" si="9"/>
        <v/>
      </c>
      <c r="B224" s="20">
        <v>2021</v>
      </c>
      <c r="C224" s="21" t="s">
        <v>31</v>
      </c>
      <c r="D224" s="21" t="s">
        <v>31</v>
      </c>
      <c r="E224" s="23">
        <v>249949</v>
      </c>
      <c r="F224" s="20">
        <v>3262830.5430000001</v>
      </c>
      <c r="G224" s="30">
        <f t="shared" si="10"/>
        <v>3512779.5430000001</v>
      </c>
      <c r="H224" t="str">
        <f>IFERROR(VLOOKUP(C224,Sheet1!$B$2:$C$25,2,FALSE),"")</f>
        <v/>
      </c>
      <c r="I224">
        <f t="shared" si="11"/>
        <v>1613</v>
      </c>
    </row>
    <row r="225" spans="1:9" x14ac:dyDescent="0.2">
      <c r="A225" t="str">
        <f t="shared" si="9"/>
        <v/>
      </c>
      <c r="B225" s="20">
        <v>2022</v>
      </c>
      <c r="C225" s="21" t="s">
        <v>31</v>
      </c>
      <c r="D225" s="21" t="s">
        <v>31</v>
      </c>
      <c r="E225" s="23">
        <v>281014</v>
      </c>
      <c r="F225" s="20">
        <v>3863246.1809999999</v>
      </c>
      <c r="G225" s="30">
        <f t="shared" si="10"/>
        <v>4144260.1809999999</v>
      </c>
      <c r="H225" t="str">
        <f>IFERROR(VLOOKUP(C225,Sheet1!$B$2:$C$25,2,FALSE),"")</f>
        <v/>
      </c>
      <c r="I225">
        <f t="shared" si="11"/>
        <v>1613</v>
      </c>
    </row>
    <row r="226" spans="1:9" x14ac:dyDescent="0.2">
      <c r="A226" t="str">
        <f t="shared" si="9"/>
        <v/>
      </c>
      <c r="B226" s="20">
        <v>2023</v>
      </c>
      <c r="C226" s="21" t="s">
        <v>31</v>
      </c>
      <c r="D226" s="21" t="s">
        <v>31</v>
      </c>
      <c r="E226" s="23">
        <v>306342</v>
      </c>
      <c r="F226" s="20">
        <v>4100008.4640000002</v>
      </c>
      <c r="G226" s="30">
        <f t="shared" si="10"/>
        <v>4406350.4639999997</v>
      </c>
      <c r="H226" t="str">
        <f>IFERROR(VLOOKUP(C226,Sheet1!$B$2:$C$25,2,FALSE),"")</f>
        <v/>
      </c>
      <c r="I226">
        <f t="shared" si="11"/>
        <v>1613</v>
      </c>
    </row>
    <row r="227" spans="1:9" x14ac:dyDescent="0.2">
      <c r="A227" t="str">
        <f t="shared" si="9"/>
        <v/>
      </c>
      <c r="B227" s="20">
        <v>2015</v>
      </c>
      <c r="C227" s="21" t="s">
        <v>32</v>
      </c>
      <c r="D227" s="21" t="s">
        <v>32</v>
      </c>
      <c r="E227" s="23">
        <v>1028734</v>
      </c>
      <c r="F227" s="20">
        <v>16137805.609999999</v>
      </c>
      <c r="G227" s="30">
        <f t="shared" si="10"/>
        <v>17166539.609999999</v>
      </c>
      <c r="H227" t="str">
        <f>IFERROR(VLOOKUP(C227,Sheet1!$B$2:$C$25,2,FALSE),"")</f>
        <v/>
      </c>
      <c r="I227">
        <f t="shared" si="11"/>
        <v>1613</v>
      </c>
    </row>
    <row r="228" spans="1:9" x14ac:dyDescent="0.2">
      <c r="A228" t="str">
        <f t="shared" si="9"/>
        <v/>
      </c>
      <c r="B228" s="20">
        <v>2016</v>
      </c>
      <c r="C228" s="21" t="s">
        <v>32</v>
      </c>
      <c r="D228" s="21" t="s">
        <v>32</v>
      </c>
      <c r="E228" s="23">
        <v>1202283</v>
      </c>
      <c r="F228" s="20">
        <v>18766240.460000001</v>
      </c>
      <c r="G228" s="30">
        <f t="shared" si="10"/>
        <v>19968523.460000001</v>
      </c>
      <c r="H228" t="str">
        <f>IFERROR(VLOOKUP(C228,Sheet1!$B$2:$C$25,2,FALSE),"")</f>
        <v/>
      </c>
      <c r="I228">
        <f t="shared" si="11"/>
        <v>1613</v>
      </c>
    </row>
    <row r="229" spans="1:9" x14ac:dyDescent="0.2">
      <c r="A229" t="str">
        <f t="shared" si="9"/>
        <v/>
      </c>
      <c r="B229" s="20">
        <v>2017</v>
      </c>
      <c r="C229" s="21" t="s">
        <v>32</v>
      </c>
      <c r="D229" s="21" t="s">
        <v>32</v>
      </c>
      <c r="E229" s="23">
        <v>1262660</v>
      </c>
      <c r="F229" s="20">
        <v>20872274.079999998</v>
      </c>
      <c r="G229" s="30">
        <f t="shared" si="10"/>
        <v>22134934.079999998</v>
      </c>
      <c r="H229" t="str">
        <f>IFERROR(VLOOKUP(C229,Sheet1!$B$2:$C$25,2,FALSE),"")</f>
        <v/>
      </c>
      <c r="I229">
        <f t="shared" si="11"/>
        <v>1613</v>
      </c>
    </row>
    <row r="230" spans="1:9" x14ac:dyDescent="0.2">
      <c r="A230" t="str">
        <f t="shared" si="9"/>
        <v/>
      </c>
      <c r="B230" s="20">
        <v>2018</v>
      </c>
      <c r="C230" s="21" t="s">
        <v>32</v>
      </c>
      <c r="D230" s="21" t="s">
        <v>32</v>
      </c>
      <c r="E230" s="23">
        <v>1333252</v>
      </c>
      <c r="F230" s="20">
        <v>20060516.18</v>
      </c>
      <c r="G230" s="30">
        <f t="shared" si="10"/>
        <v>21393768.18</v>
      </c>
      <c r="H230" t="str">
        <f>IFERROR(VLOOKUP(C230,Sheet1!$B$2:$C$25,2,FALSE),"")</f>
        <v/>
      </c>
      <c r="I230">
        <f t="shared" si="11"/>
        <v>1613</v>
      </c>
    </row>
    <row r="231" spans="1:9" x14ac:dyDescent="0.2">
      <c r="A231" t="str">
        <f t="shared" si="9"/>
        <v/>
      </c>
      <c r="B231" s="20">
        <v>2019</v>
      </c>
      <c r="C231" s="21" t="s">
        <v>32</v>
      </c>
      <c r="D231" s="21" t="s">
        <v>32</v>
      </c>
      <c r="E231" s="23">
        <v>1429684</v>
      </c>
      <c r="F231" s="20">
        <v>20570462.940000001</v>
      </c>
      <c r="G231" s="30">
        <f t="shared" si="10"/>
        <v>22000146.940000001</v>
      </c>
      <c r="H231" t="str">
        <f>IFERROR(VLOOKUP(C231,Sheet1!$B$2:$C$25,2,FALSE),"")</f>
        <v/>
      </c>
      <c r="I231">
        <f t="shared" si="11"/>
        <v>1613</v>
      </c>
    </row>
    <row r="232" spans="1:9" x14ac:dyDescent="0.2">
      <c r="A232" t="str">
        <f t="shared" si="9"/>
        <v/>
      </c>
      <c r="B232" s="20">
        <v>2020</v>
      </c>
      <c r="C232" s="21" t="s">
        <v>32</v>
      </c>
      <c r="D232" s="21" t="s">
        <v>32</v>
      </c>
      <c r="E232" s="23">
        <v>1472957</v>
      </c>
      <c r="F232" s="20">
        <v>20590973.899999999</v>
      </c>
      <c r="G232" s="30">
        <f t="shared" si="10"/>
        <v>22063930.899999999</v>
      </c>
      <c r="H232" t="str">
        <f>IFERROR(VLOOKUP(C232,Sheet1!$B$2:$C$25,2,FALSE),"")</f>
        <v/>
      </c>
      <c r="I232">
        <f t="shared" si="11"/>
        <v>1613</v>
      </c>
    </row>
    <row r="233" spans="1:9" x14ac:dyDescent="0.2">
      <c r="A233" t="str">
        <f t="shared" si="9"/>
        <v/>
      </c>
      <c r="B233" s="20">
        <v>2021</v>
      </c>
      <c r="C233" s="21" t="s">
        <v>32</v>
      </c>
      <c r="D233" s="21" t="s">
        <v>32</v>
      </c>
      <c r="E233" s="23">
        <v>1680128</v>
      </c>
      <c r="F233" s="20">
        <v>21932366.02</v>
      </c>
      <c r="G233" s="30">
        <f t="shared" si="10"/>
        <v>23612494.02</v>
      </c>
      <c r="H233" t="str">
        <f>IFERROR(VLOOKUP(C233,Sheet1!$B$2:$C$25,2,FALSE),"")</f>
        <v/>
      </c>
      <c r="I233">
        <f t="shared" si="11"/>
        <v>1613</v>
      </c>
    </row>
    <row r="234" spans="1:9" x14ac:dyDescent="0.2">
      <c r="A234" t="str">
        <f t="shared" si="9"/>
        <v/>
      </c>
      <c r="B234" s="20">
        <v>2022</v>
      </c>
      <c r="C234" s="21" t="s">
        <v>32</v>
      </c>
      <c r="D234" s="21" t="s">
        <v>32</v>
      </c>
      <c r="E234" s="23">
        <v>1757832</v>
      </c>
      <c r="F234" s="20">
        <v>24165834.300000001</v>
      </c>
      <c r="G234" s="30">
        <f t="shared" si="10"/>
        <v>25923666.300000001</v>
      </c>
      <c r="H234" t="str">
        <f>IFERROR(VLOOKUP(C234,Sheet1!$B$2:$C$25,2,FALSE),"")</f>
        <v/>
      </c>
      <c r="I234">
        <f t="shared" si="11"/>
        <v>1613</v>
      </c>
    </row>
    <row r="235" spans="1:9" x14ac:dyDescent="0.2">
      <c r="A235" t="str">
        <f t="shared" si="9"/>
        <v/>
      </c>
      <c r="B235" s="20">
        <v>2023</v>
      </c>
      <c r="C235" s="21" t="s">
        <v>32</v>
      </c>
      <c r="D235" s="21" t="s">
        <v>32</v>
      </c>
      <c r="E235" s="23">
        <v>1855697</v>
      </c>
      <c r="F235" s="20">
        <v>24836207.27</v>
      </c>
      <c r="G235" s="30">
        <f t="shared" si="10"/>
        <v>26691904.27</v>
      </c>
      <c r="H235" t="str">
        <f>IFERROR(VLOOKUP(C235,Sheet1!$B$2:$C$25,2,FALSE),"")</f>
        <v/>
      </c>
      <c r="I235">
        <f t="shared" si="11"/>
        <v>1613</v>
      </c>
    </row>
    <row r="236" spans="1:9" x14ac:dyDescent="0.2">
      <c r="A236" t="str">
        <f t="shared" si="9"/>
        <v/>
      </c>
      <c r="B236" s="20">
        <v>2015</v>
      </c>
      <c r="C236" s="21" t="s">
        <v>33</v>
      </c>
      <c r="D236" s="21" t="s">
        <v>33</v>
      </c>
      <c r="E236" s="23">
        <v>138013</v>
      </c>
      <c r="F236" s="20">
        <v>2165017.3569999998</v>
      </c>
      <c r="G236" s="30">
        <f t="shared" si="10"/>
        <v>2303030.3569999998</v>
      </c>
      <c r="H236" t="str">
        <f>IFERROR(VLOOKUP(C236,Sheet1!$B$2:$C$25,2,FALSE),"")</f>
        <v/>
      </c>
      <c r="I236">
        <f t="shared" si="11"/>
        <v>1613</v>
      </c>
    </row>
    <row r="237" spans="1:9" x14ac:dyDescent="0.2">
      <c r="A237" t="str">
        <f t="shared" si="9"/>
        <v/>
      </c>
      <c r="B237" s="20">
        <v>2016</v>
      </c>
      <c r="C237" s="21" t="s">
        <v>33</v>
      </c>
      <c r="D237" s="21" t="s">
        <v>33</v>
      </c>
      <c r="E237" s="23">
        <v>115190</v>
      </c>
      <c r="F237" s="20">
        <v>1797982.0379999999</v>
      </c>
      <c r="G237" s="30">
        <f t="shared" si="10"/>
        <v>1913172.0379999999</v>
      </c>
      <c r="H237" t="str">
        <f>IFERROR(VLOOKUP(C237,Sheet1!$B$2:$C$25,2,FALSE),"")</f>
        <v/>
      </c>
      <c r="I237">
        <f t="shared" si="11"/>
        <v>1613</v>
      </c>
    </row>
    <row r="238" spans="1:9" x14ac:dyDescent="0.2">
      <c r="A238" t="str">
        <f t="shared" si="9"/>
        <v/>
      </c>
      <c r="B238" s="20">
        <v>2017</v>
      </c>
      <c r="C238" s="21" t="s">
        <v>33</v>
      </c>
      <c r="D238" s="21" t="s">
        <v>33</v>
      </c>
      <c r="E238" s="23">
        <v>108053</v>
      </c>
      <c r="F238" s="20">
        <v>1786159.2439999999</v>
      </c>
      <c r="G238" s="30">
        <f t="shared" si="10"/>
        <v>1894212.2439999999</v>
      </c>
      <c r="H238" t="str">
        <f>IFERROR(VLOOKUP(C238,Sheet1!$B$2:$C$25,2,FALSE),"")</f>
        <v/>
      </c>
      <c r="I238">
        <f t="shared" si="11"/>
        <v>1613</v>
      </c>
    </row>
    <row r="239" spans="1:9" x14ac:dyDescent="0.2">
      <c r="A239" t="str">
        <f t="shared" si="9"/>
        <v/>
      </c>
      <c r="B239" s="20">
        <v>2018</v>
      </c>
      <c r="C239" s="21" t="s">
        <v>33</v>
      </c>
      <c r="D239" s="21" t="s">
        <v>33</v>
      </c>
      <c r="E239" s="23">
        <v>121337</v>
      </c>
      <c r="F239" s="20">
        <v>1825673.5049999999</v>
      </c>
      <c r="G239" s="30">
        <f t="shared" si="10"/>
        <v>1947010.5049999999</v>
      </c>
      <c r="H239" t="str">
        <f>IFERROR(VLOOKUP(C239,Sheet1!$B$2:$C$25,2,FALSE),"")</f>
        <v/>
      </c>
      <c r="I239">
        <f t="shared" si="11"/>
        <v>1613</v>
      </c>
    </row>
    <row r="240" spans="1:9" x14ac:dyDescent="0.2">
      <c r="A240" t="str">
        <f t="shared" si="9"/>
        <v/>
      </c>
      <c r="B240" s="20">
        <v>2019</v>
      </c>
      <c r="C240" s="21" t="s">
        <v>33</v>
      </c>
      <c r="D240" s="21" t="s">
        <v>33</v>
      </c>
      <c r="E240" s="23">
        <v>146026</v>
      </c>
      <c r="F240" s="20">
        <v>2101039.4049999998</v>
      </c>
      <c r="G240" s="30">
        <f t="shared" si="10"/>
        <v>2247065.4049999998</v>
      </c>
      <c r="H240" t="str">
        <f>IFERROR(VLOOKUP(C240,Sheet1!$B$2:$C$25,2,FALSE),"")</f>
        <v/>
      </c>
      <c r="I240">
        <f t="shared" si="11"/>
        <v>1613</v>
      </c>
    </row>
    <row r="241" spans="1:9" x14ac:dyDescent="0.2">
      <c r="A241" t="str">
        <f t="shared" si="9"/>
        <v/>
      </c>
      <c r="B241" s="20">
        <v>2020</v>
      </c>
      <c r="C241" s="21" t="s">
        <v>33</v>
      </c>
      <c r="D241" s="21" t="s">
        <v>33</v>
      </c>
      <c r="E241" s="23">
        <v>186108</v>
      </c>
      <c r="F241" s="20">
        <v>2601667.9169999999</v>
      </c>
      <c r="G241" s="30">
        <f t="shared" si="10"/>
        <v>2787775.9169999999</v>
      </c>
      <c r="H241" t="str">
        <f>IFERROR(VLOOKUP(C241,Sheet1!$B$2:$C$25,2,FALSE),"")</f>
        <v/>
      </c>
      <c r="I241">
        <f t="shared" si="11"/>
        <v>1613</v>
      </c>
    </row>
    <row r="242" spans="1:9" x14ac:dyDescent="0.2">
      <c r="A242" t="str">
        <f t="shared" si="9"/>
        <v/>
      </c>
      <c r="B242" s="20">
        <v>2021</v>
      </c>
      <c r="C242" s="21" t="s">
        <v>33</v>
      </c>
      <c r="D242" s="21" t="s">
        <v>33</v>
      </c>
      <c r="E242" s="23">
        <v>215548</v>
      </c>
      <c r="F242" s="20">
        <v>2813760.3990000002</v>
      </c>
      <c r="G242" s="30">
        <f t="shared" si="10"/>
        <v>3029308.3990000002</v>
      </c>
      <c r="H242" t="str">
        <f>IFERROR(VLOOKUP(C242,Sheet1!$B$2:$C$25,2,FALSE),"")</f>
        <v/>
      </c>
      <c r="I242">
        <f t="shared" si="11"/>
        <v>1613</v>
      </c>
    </row>
    <row r="243" spans="1:9" x14ac:dyDescent="0.2">
      <c r="A243" t="str">
        <f t="shared" si="9"/>
        <v/>
      </c>
      <c r="B243" s="20">
        <v>2022</v>
      </c>
      <c r="C243" s="21" t="s">
        <v>33</v>
      </c>
      <c r="D243" s="21" t="s">
        <v>33</v>
      </c>
      <c r="E243" s="23">
        <v>339523</v>
      </c>
      <c r="F243" s="20">
        <v>4667599.9529999997</v>
      </c>
      <c r="G243" s="30">
        <f t="shared" si="10"/>
        <v>5007122.9529999997</v>
      </c>
      <c r="H243" t="str">
        <f>IFERROR(VLOOKUP(C243,Sheet1!$B$2:$C$25,2,FALSE),"")</f>
        <v/>
      </c>
      <c r="I243">
        <f t="shared" si="11"/>
        <v>1613</v>
      </c>
    </row>
    <row r="244" spans="1:9" x14ac:dyDescent="0.2">
      <c r="A244" t="str">
        <f t="shared" si="9"/>
        <v/>
      </c>
      <c r="B244" s="20">
        <v>2023</v>
      </c>
      <c r="C244" s="21" t="s">
        <v>33</v>
      </c>
      <c r="D244" s="21" t="s">
        <v>238</v>
      </c>
      <c r="E244" s="23">
        <v>76130</v>
      </c>
      <c r="F244" s="20">
        <v>1018905.812</v>
      </c>
      <c r="G244" s="30">
        <f t="shared" si="10"/>
        <v>1095035.8119999999</v>
      </c>
      <c r="H244" t="str">
        <f>IFERROR(VLOOKUP(C244,Sheet1!$B$2:$C$25,2,FALSE),"")</f>
        <v/>
      </c>
      <c r="I244">
        <f t="shared" si="11"/>
        <v>1613</v>
      </c>
    </row>
    <row r="245" spans="1:9" x14ac:dyDescent="0.2">
      <c r="A245" t="str">
        <f t="shared" si="9"/>
        <v/>
      </c>
      <c r="B245" s="20">
        <v>2023</v>
      </c>
      <c r="C245" s="21" t="s">
        <v>33</v>
      </c>
      <c r="D245" s="21" t="s">
        <v>33</v>
      </c>
      <c r="E245" s="23">
        <v>386310</v>
      </c>
      <c r="F245" s="20">
        <v>5170281.1550000003</v>
      </c>
      <c r="G245" s="30">
        <f t="shared" si="10"/>
        <v>5556591.1550000003</v>
      </c>
      <c r="H245" t="str">
        <f>IFERROR(VLOOKUP(C245,Sheet1!$B$2:$C$25,2,FALSE),"")</f>
        <v/>
      </c>
      <c r="I245">
        <f t="shared" si="11"/>
        <v>1613</v>
      </c>
    </row>
    <row r="246" spans="1:9" x14ac:dyDescent="0.2">
      <c r="A246">
        <f t="shared" si="9"/>
        <v>2400150</v>
      </c>
      <c r="B246" s="20">
        <v>2015</v>
      </c>
      <c r="C246" s="21" t="s">
        <v>34</v>
      </c>
      <c r="D246" s="21" t="s">
        <v>34</v>
      </c>
      <c r="E246" s="23">
        <v>1453338</v>
      </c>
      <c r="F246" s="20">
        <v>22798591.41</v>
      </c>
      <c r="G246" s="30">
        <f t="shared" si="10"/>
        <v>24251929.41</v>
      </c>
      <c r="H246">
        <f>IFERROR(VLOOKUP(C246,Sheet1!$B$2:$C$25,2,FALSE),"")</f>
        <v>2400150</v>
      </c>
      <c r="I246">
        <f t="shared" si="11"/>
        <v>9</v>
      </c>
    </row>
    <row r="247" spans="1:9" x14ac:dyDescent="0.2">
      <c r="A247">
        <f t="shared" si="9"/>
        <v>2400150</v>
      </c>
      <c r="B247" s="20">
        <v>2016</v>
      </c>
      <c r="C247" s="21" t="s">
        <v>34</v>
      </c>
      <c r="D247" s="21" t="s">
        <v>34</v>
      </c>
      <c r="E247" s="23">
        <v>1303584</v>
      </c>
      <c r="F247" s="20">
        <v>20347431.34</v>
      </c>
      <c r="G247" s="30">
        <f t="shared" si="10"/>
        <v>21651015.34</v>
      </c>
      <c r="H247">
        <f>IFERROR(VLOOKUP(C247,Sheet1!$B$2:$C$25,2,FALSE),"")</f>
        <v>2400150</v>
      </c>
      <c r="I247">
        <f t="shared" si="11"/>
        <v>9</v>
      </c>
    </row>
    <row r="248" spans="1:9" x14ac:dyDescent="0.2">
      <c r="A248">
        <f t="shared" si="9"/>
        <v>2400150</v>
      </c>
      <c r="B248" s="20">
        <v>2017</v>
      </c>
      <c r="C248" s="21" t="s">
        <v>34</v>
      </c>
      <c r="D248" s="21" t="s">
        <v>34</v>
      </c>
      <c r="E248" s="23">
        <v>1175347</v>
      </c>
      <c r="F248" s="20">
        <v>19428955.32</v>
      </c>
      <c r="G248" s="30">
        <f t="shared" si="10"/>
        <v>20604302.32</v>
      </c>
      <c r="H248">
        <f>IFERROR(VLOOKUP(C248,Sheet1!$B$2:$C$25,2,FALSE),"")</f>
        <v>2400150</v>
      </c>
      <c r="I248">
        <f t="shared" si="11"/>
        <v>9</v>
      </c>
    </row>
    <row r="249" spans="1:9" x14ac:dyDescent="0.2">
      <c r="A249">
        <f t="shared" si="9"/>
        <v>2400150</v>
      </c>
      <c r="B249" s="20">
        <v>2018</v>
      </c>
      <c r="C249" s="21" t="s">
        <v>34</v>
      </c>
      <c r="D249" s="21" t="s">
        <v>34</v>
      </c>
      <c r="E249" s="23">
        <v>1274850</v>
      </c>
      <c r="F249" s="20">
        <v>19181781.879999999</v>
      </c>
      <c r="G249" s="30">
        <f t="shared" si="10"/>
        <v>20456631.879999999</v>
      </c>
      <c r="H249">
        <f>IFERROR(VLOOKUP(C249,Sheet1!$B$2:$C$25,2,FALSE),"")</f>
        <v>2400150</v>
      </c>
      <c r="I249">
        <f t="shared" si="11"/>
        <v>9</v>
      </c>
    </row>
    <row r="250" spans="1:9" x14ac:dyDescent="0.2">
      <c r="A250">
        <f t="shared" si="9"/>
        <v>2400150</v>
      </c>
      <c r="B250" s="20">
        <v>2019</v>
      </c>
      <c r="C250" s="21" t="s">
        <v>34</v>
      </c>
      <c r="D250" s="21" t="s">
        <v>34</v>
      </c>
      <c r="E250" s="23">
        <v>1377248</v>
      </c>
      <c r="F250" s="20">
        <v>19816007.550000001</v>
      </c>
      <c r="G250" s="30">
        <f t="shared" si="10"/>
        <v>21193255.550000001</v>
      </c>
      <c r="H250">
        <f>IFERROR(VLOOKUP(C250,Sheet1!$B$2:$C$25,2,FALSE),"")</f>
        <v>2400150</v>
      </c>
      <c r="I250">
        <f t="shared" si="11"/>
        <v>9</v>
      </c>
    </row>
    <row r="251" spans="1:9" x14ac:dyDescent="0.2">
      <c r="A251">
        <f t="shared" si="9"/>
        <v>2400150</v>
      </c>
      <c r="B251" s="20">
        <v>2020</v>
      </c>
      <c r="C251" s="21" t="s">
        <v>34</v>
      </c>
      <c r="D251" s="21" t="s">
        <v>34</v>
      </c>
      <c r="E251" s="23">
        <v>1503572</v>
      </c>
      <c r="F251" s="20">
        <v>21018951.539999999</v>
      </c>
      <c r="G251" s="30">
        <f t="shared" si="10"/>
        <v>22522523.539999999</v>
      </c>
      <c r="H251">
        <f>IFERROR(VLOOKUP(C251,Sheet1!$B$2:$C$25,2,FALSE),"")</f>
        <v>2400150</v>
      </c>
      <c r="I251">
        <f t="shared" si="11"/>
        <v>9</v>
      </c>
    </row>
    <row r="252" spans="1:9" x14ac:dyDescent="0.2">
      <c r="A252">
        <f t="shared" si="9"/>
        <v>2400150</v>
      </c>
      <c r="B252" s="20">
        <v>2021</v>
      </c>
      <c r="C252" s="21" t="s">
        <v>34</v>
      </c>
      <c r="D252" s="21" t="s">
        <v>34</v>
      </c>
      <c r="E252" s="23">
        <v>1652773</v>
      </c>
      <c r="F252" s="20">
        <v>21575274.260000002</v>
      </c>
      <c r="G252" s="30">
        <f t="shared" si="10"/>
        <v>23228047.260000002</v>
      </c>
      <c r="H252">
        <f>IFERROR(VLOOKUP(C252,Sheet1!$B$2:$C$25,2,FALSE),"")</f>
        <v>2400150</v>
      </c>
      <c r="I252">
        <f t="shared" si="11"/>
        <v>9</v>
      </c>
    </row>
    <row r="253" spans="1:9" x14ac:dyDescent="0.2">
      <c r="A253">
        <f t="shared" si="9"/>
        <v>2400150</v>
      </c>
      <c r="B253" s="20">
        <v>2022</v>
      </c>
      <c r="C253" s="21" t="s">
        <v>34</v>
      </c>
      <c r="D253" s="21" t="s">
        <v>34</v>
      </c>
      <c r="E253" s="23">
        <v>1793426</v>
      </c>
      <c r="F253" s="20">
        <v>24655163.609999999</v>
      </c>
      <c r="G253" s="30">
        <f t="shared" si="10"/>
        <v>26448589.609999999</v>
      </c>
      <c r="H253">
        <f>IFERROR(VLOOKUP(C253,Sheet1!$B$2:$C$25,2,FALSE),"")</f>
        <v>2400150</v>
      </c>
      <c r="I253">
        <f t="shared" si="11"/>
        <v>9</v>
      </c>
    </row>
    <row r="254" spans="1:9" x14ac:dyDescent="0.2">
      <c r="A254">
        <f t="shared" si="9"/>
        <v>2400150</v>
      </c>
      <c r="B254" s="20">
        <v>2023</v>
      </c>
      <c r="C254" s="21" t="s">
        <v>34</v>
      </c>
      <c r="D254" s="21" t="s">
        <v>34</v>
      </c>
      <c r="E254" s="23">
        <v>1935694</v>
      </c>
      <c r="F254" s="20">
        <v>25906868.09</v>
      </c>
      <c r="G254" s="30">
        <f t="shared" si="10"/>
        <v>27842562.09</v>
      </c>
      <c r="H254">
        <f>IFERROR(VLOOKUP(C254,Sheet1!$B$2:$C$25,2,FALSE),"")</f>
        <v>2400150</v>
      </c>
      <c r="I254">
        <f t="shared" si="11"/>
        <v>9</v>
      </c>
    </row>
    <row r="255" spans="1:9" x14ac:dyDescent="0.2">
      <c r="A255" t="str">
        <f t="shared" si="9"/>
        <v/>
      </c>
      <c r="B255" s="20">
        <v>2015</v>
      </c>
      <c r="C255" s="21" t="s">
        <v>35</v>
      </c>
      <c r="D255" s="21" t="s">
        <v>35</v>
      </c>
      <c r="E255" s="23">
        <v>325472</v>
      </c>
      <c r="F255" s="20">
        <v>5105696.7769999998</v>
      </c>
      <c r="G255" s="30">
        <f t="shared" si="10"/>
        <v>5431168.7769999998</v>
      </c>
      <c r="H255" t="str">
        <f>IFERROR(VLOOKUP(C255,Sheet1!$B$2:$C$25,2,FALSE),"")</f>
        <v/>
      </c>
      <c r="I255">
        <f t="shared" si="11"/>
        <v>1613</v>
      </c>
    </row>
    <row r="256" spans="1:9" x14ac:dyDescent="0.2">
      <c r="A256" t="str">
        <f t="shared" si="9"/>
        <v/>
      </c>
      <c r="B256" s="20">
        <v>2016</v>
      </c>
      <c r="C256" s="21" t="s">
        <v>35</v>
      </c>
      <c r="D256" s="21" t="s">
        <v>35</v>
      </c>
      <c r="E256" s="23">
        <v>311347</v>
      </c>
      <c r="F256" s="20">
        <v>4859764.8530000001</v>
      </c>
      <c r="G256" s="30">
        <f t="shared" si="10"/>
        <v>5171111.8530000001</v>
      </c>
      <c r="H256" t="str">
        <f>IFERROR(VLOOKUP(C256,Sheet1!$B$2:$C$25,2,FALSE),"")</f>
        <v/>
      </c>
      <c r="I256">
        <f t="shared" si="11"/>
        <v>1613</v>
      </c>
    </row>
    <row r="257" spans="1:9" x14ac:dyDescent="0.2">
      <c r="A257" t="str">
        <f t="shared" si="9"/>
        <v/>
      </c>
      <c r="B257" s="20">
        <v>2017</v>
      </c>
      <c r="C257" s="21" t="s">
        <v>35</v>
      </c>
      <c r="D257" s="21" t="s">
        <v>35</v>
      </c>
      <c r="E257" s="23">
        <v>322464</v>
      </c>
      <c r="F257" s="20">
        <v>5330458.7060000002</v>
      </c>
      <c r="G257" s="30">
        <f t="shared" si="10"/>
        <v>5652922.7060000002</v>
      </c>
      <c r="H257" t="str">
        <f>IFERROR(VLOOKUP(C257,Sheet1!$B$2:$C$25,2,FALSE),"")</f>
        <v/>
      </c>
      <c r="I257">
        <f t="shared" si="11"/>
        <v>1613</v>
      </c>
    </row>
    <row r="258" spans="1:9" x14ac:dyDescent="0.2">
      <c r="A258" t="str">
        <f t="shared" si="9"/>
        <v/>
      </c>
      <c r="B258" s="20">
        <v>2018</v>
      </c>
      <c r="C258" s="21" t="s">
        <v>35</v>
      </c>
      <c r="D258" s="21" t="s">
        <v>35</v>
      </c>
      <c r="E258" s="23">
        <v>316558</v>
      </c>
      <c r="F258" s="20">
        <v>4763028.2050000001</v>
      </c>
      <c r="G258" s="30">
        <f t="shared" si="10"/>
        <v>5079586.2050000001</v>
      </c>
      <c r="H258" t="str">
        <f>IFERROR(VLOOKUP(C258,Sheet1!$B$2:$C$25,2,FALSE),"")</f>
        <v/>
      </c>
      <c r="I258">
        <f t="shared" si="11"/>
        <v>1613</v>
      </c>
    </row>
    <row r="259" spans="1:9" x14ac:dyDescent="0.2">
      <c r="A259" t="str">
        <f t="shared" ref="A259:A322" si="12">H259</f>
        <v/>
      </c>
      <c r="B259" s="20">
        <v>2019</v>
      </c>
      <c r="C259" s="21" t="s">
        <v>35</v>
      </c>
      <c r="D259" s="21" t="s">
        <v>35</v>
      </c>
      <c r="E259" s="23">
        <v>340971</v>
      </c>
      <c r="F259" s="20">
        <v>4905931.1830000002</v>
      </c>
      <c r="G259" s="30">
        <f t="shared" ref="G259:G322" si="13">SUM(E259:F259)</f>
        <v>5246902.1830000002</v>
      </c>
      <c r="H259" t="str">
        <f>IFERROR(VLOOKUP(C259,Sheet1!$B$2:$C$25,2,FALSE),"")</f>
        <v/>
      </c>
      <c r="I259">
        <f t="shared" ref="I259:I322" si="14">COUNTIF($H$2:$H$1812,H259)</f>
        <v>1613</v>
      </c>
    </row>
    <row r="260" spans="1:9" x14ac:dyDescent="0.2">
      <c r="A260" t="str">
        <f t="shared" si="12"/>
        <v/>
      </c>
      <c r="B260" s="20">
        <v>2020</v>
      </c>
      <c r="C260" s="21" t="s">
        <v>35</v>
      </c>
      <c r="D260" s="21" t="s">
        <v>35</v>
      </c>
      <c r="E260" s="23">
        <v>343476</v>
      </c>
      <c r="F260" s="20">
        <v>4801569.4620000003</v>
      </c>
      <c r="G260" s="30">
        <f t="shared" si="13"/>
        <v>5145045.4620000003</v>
      </c>
      <c r="H260" t="str">
        <f>IFERROR(VLOOKUP(C260,Sheet1!$B$2:$C$25,2,FALSE),"")</f>
        <v/>
      </c>
      <c r="I260">
        <f t="shared" si="14"/>
        <v>1613</v>
      </c>
    </row>
    <row r="261" spans="1:9" x14ac:dyDescent="0.2">
      <c r="A261" t="str">
        <f t="shared" si="12"/>
        <v/>
      </c>
      <c r="B261" s="20">
        <v>2021</v>
      </c>
      <c r="C261" s="21" t="s">
        <v>35</v>
      </c>
      <c r="D261" s="21" t="s">
        <v>35</v>
      </c>
      <c r="E261" s="23">
        <v>370521</v>
      </c>
      <c r="F261" s="20">
        <v>4836775.6449999996</v>
      </c>
      <c r="G261" s="30">
        <f t="shared" si="13"/>
        <v>5207296.6449999996</v>
      </c>
      <c r="H261" t="str">
        <f>IFERROR(VLOOKUP(C261,Sheet1!$B$2:$C$25,2,FALSE),"")</f>
        <v/>
      </c>
      <c r="I261">
        <f t="shared" si="14"/>
        <v>1613</v>
      </c>
    </row>
    <row r="262" spans="1:9" x14ac:dyDescent="0.2">
      <c r="A262" t="str">
        <f t="shared" si="12"/>
        <v/>
      </c>
      <c r="B262" s="20">
        <v>2022</v>
      </c>
      <c r="C262" s="21" t="s">
        <v>35</v>
      </c>
      <c r="D262" s="21" t="s">
        <v>35</v>
      </c>
      <c r="E262" s="23">
        <v>276177</v>
      </c>
      <c r="F262" s="20">
        <v>3796749.4169999999</v>
      </c>
      <c r="G262" s="30">
        <f t="shared" si="13"/>
        <v>4072926.4169999999</v>
      </c>
      <c r="H262" t="str">
        <f>IFERROR(VLOOKUP(C262,Sheet1!$B$2:$C$25,2,FALSE),"")</f>
        <v/>
      </c>
      <c r="I262">
        <f t="shared" si="14"/>
        <v>1613</v>
      </c>
    </row>
    <row r="263" spans="1:9" x14ac:dyDescent="0.2">
      <c r="A263" t="str">
        <f t="shared" si="12"/>
        <v/>
      </c>
      <c r="B263" s="20">
        <v>2023</v>
      </c>
      <c r="C263" s="21" t="s">
        <v>35</v>
      </c>
      <c r="D263" s="21" t="s">
        <v>35</v>
      </c>
      <c r="E263" s="23">
        <v>295671</v>
      </c>
      <c r="F263" s="20">
        <v>3957190.338</v>
      </c>
      <c r="G263" s="30">
        <f t="shared" si="13"/>
        <v>4252861.3379999995</v>
      </c>
      <c r="H263" t="str">
        <f>IFERROR(VLOOKUP(C263,Sheet1!$B$2:$C$25,2,FALSE),"")</f>
        <v/>
      </c>
      <c r="I263">
        <f t="shared" si="14"/>
        <v>1613</v>
      </c>
    </row>
    <row r="264" spans="1:9" x14ac:dyDescent="0.2">
      <c r="A264" t="str">
        <f t="shared" si="12"/>
        <v/>
      </c>
      <c r="B264" s="20">
        <v>2015</v>
      </c>
      <c r="C264" s="21" t="s">
        <v>36</v>
      </c>
      <c r="D264" s="21" t="s">
        <v>36</v>
      </c>
      <c r="E264" s="23">
        <v>475136</v>
      </c>
      <c r="F264" s="20">
        <v>7453483.9979999997</v>
      </c>
      <c r="G264" s="30">
        <f t="shared" si="13"/>
        <v>7928619.9979999997</v>
      </c>
      <c r="H264" t="str">
        <f>IFERROR(VLOOKUP(C264,Sheet1!$B$2:$C$25,2,FALSE),"")</f>
        <v/>
      </c>
      <c r="I264">
        <f t="shared" si="14"/>
        <v>1613</v>
      </c>
    </row>
    <row r="265" spans="1:9" x14ac:dyDescent="0.2">
      <c r="A265" t="str">
        <f t="shared" si="12"/>
        <v/>
      </c>
      <c r="B265" s="20">
        <v>2016</v>
      </c>
      <c r="C265" s="21" t="s">
        <v>36</v>
      </c>
      <c r="D265" s="21" t="s">
        <v>36</v>
      </c>
      <c r="E265" s="23">
        <v>517293</v>
      </c>
      <c r="F265" s="20">
        <v>8074342.5829999996</v>
      </c>
      <c r="G265" s="30">
        <f t="shared" si="13"/>
        <v>8591635.5830000006</v>
      </c>
      <c r="H265" t="str">
        <f>IFERROR(VLOOKUP(C265,Sheet1!$B$2:$C$25,2,FALSE),"")</f>
        <v/>
      </c>
      <c r="I265">
        <f t="shared" si="14"/>
        <v>1613</v>
      </c>
    </row>
    <row r="266" spans="1:9" x14ac:dyDescent="0.2">
      <c r="A266" t="str">
        <f t="shared" si="12"/>
        <v/>
      </c>
      <c r="B266" s="20">
        <v>2017</v>
      </c>
      <c r="C266" s="21" t="s">
        <v>36</v>
      </c>
      <c r="D266" s="21" t="s">
        <v>36</v>
      </c>
      <c r="E266" s="23">
        <v>582459</v>
      </c>
      <c r="F266" s="20">
        <v>9628279.8929999992</v>
      </c>
      <c r="G266" s="30">
        <f t="shared" si="13"/>
        <v>10210738.892999999</v>
      </c>
      <c r="H266" t="str">
        <f>IFERROR(VLOOKUP(C266,Sheet1!$B$2:$C$25,2,FALSE),"")</f>
        <v/>
      </c>
      <c r="I266">
        <f t="shared" si="14"/>
        <v>1613</v>
      </c>
    </row>
    <row r="267" spans="1:9" x14ac:dyDescent="0.2">
      <c r="A267" t="str">
        <f t="shared" si="12"/>
        <v/>
      </c>
      <c r="B267" s="20">
        <v>2018</v>
      </c>
      <c r="C267" s="21" t="s">
        <v>36</v>
      </c>
      <c r="D267" s="21" t="s">
        <v>36</v>
      </c>
      <c r="E267" s="23">
        <v>553734</v>
      </c>
      <c r="F267" s="20">
        <v>8331650.6299999999</v>
      </c>
      <c r="G267" s="30">
        <f t="shared" si="13"/>
        <v>8885384.629999999</v>
      </c>
      <c r="H267" t="str">
        <f>IFERROR(VLOOKUP(C267,Sheet1!$B$2:$C$25,2,FALSE),"")</f>
        <v/>
      </c>
      <c r="I267">
        <f t="shared" si="14"/>
        <v>1613</v>
      </c>
    </row>
    <row r="268" spans="1:9" x14ac:dyDescent="0.2">
      <c r="A268" t="str">
        <f t="shared" si="12"/>
        <v/>
      </c>
      <c r="B268" s="20">
        <v>2019</v>
      </c>
      <c r="C268" s="21" t="s">
        <v>36</v>
      </c>
      <c r="D268" s="21" t="s">
        <v>36</v>
      </c>
      <c r="E268" s="23">
        <v>575347</v>
      </c>
      <c r="F268" s="20">
        <v>8278160.8660000004</v>
      </c>
      <c r="G268" s="30">
        <f t="shared" si="13"/>
        <v>8853507.8660000004</v>
      </c>
      <c r="H268" t="str">
        <f>IFERROR(VLOOKUP(C268,Sheet1!$B$2:$C$25,2,FALSE),"")</f>
        <v/>
      </c>
      <c r="I268">
        <f t="shared" si="14"/>
        <v>1613</v>
      </c>
    </row>
    <row r="269" spans="1:9" x14ac:dyDescent="0.2">
      <c r="A269" t="str">
        <f t="shared" si="12"/>
        <v/>
      </c>
      <c r="B269" s="20">
        <v>2020</v>
      </c>
      <c r="C269" s="21" t="s">
        <v>36</v>
      </c>
      <c r="D269" s="21" t="s">
        <v>36</v>
      </c>
      <c r="E269" s="23">
        <v>568094</v>
      </c>
      <c r="F269" s="20">
        <v>7941581.9500000002</v>
      </c>
      <c r="G269" s="30">
        <f t="shared" si="13"/>
        <v>8509675.9499999993</v>
      </c>
      <c r="H269" t="str">
        <f>IFERROR(VLOOKUP(C269,Sheet1!$B$2:$C$25,2,FALSE),"")</f>
        <v/>
      </c>
      <c r="I269">
        <f t="shared" si="14"/>
        <v>1613</v>
      </c>
    </row>
    <row r="270" spans="1:9" x14ac:dyDescent="0.2">
      <c r="A270" t="str">
        <f t="shared" si="12"/>
        <v/>
      </c>
      <c r="B270" s="20">
        <v>2021</v>
      </c>
      <c r="C270" s="21" t="s">
        <v>36</v>
      </c>
      <c r="D270" s="21" t="s">
        <v>36</v>
      </c>
      <c r="E270" s="23">
        <v>685828</v>
      </c>
      <c r="F270" s="20">
        <v>8952788.5519999992</v>
      </c>
      <c r="G270" s="30">
        <f t="shared" si="13"/>
        <v>9638616.5519999992</v>
      </c>
      <c r="H270" t="str">
        <f>IFERROR(VLOOKUP(C270,Sheet1!$B$2:$C$25,2,FALSE),"")</f>
        <v/>
      </c>
      <c r="I270">
        <f t="shared" si="14"/>
        <v>1613</v>
      </c>
    </row>
    <row r="271" spans="1:9" x14ac:dyDescent="0.2">
      <c r="A271" t="str">
        <f t="shared" si="12"/>
        <v/>
      </c>
      <c r="B271" s="20">
        <v>2022</v>
      </c>
      <c r="C271" s="21" t="s">
        <v>36</v>
      </c>
      <c r="D271" s="21" t="s">
        <v>36</v>
      </c>
      <c r="E271" s="23">
        <v>615457</v>
      </c>
      <c r="F271" s="20">
        <v>8461008.7210000008</v>
      </c>
      <c r="G271" s="30">
        <f t="shared" si="13"/>
        <v>9076465.7210000008</v>
      </c>
      <c r="H271" t="str">
        <f>IFERROR(VLOOKUP(C271,Sheet1!$B$2:$C$25,2,FALSE),"")</f>
        <v/>
      </c>
      <c r="I271">
        <f t="shared" si="14"/>
        <v>1613</v>
      </c>
    </row>
    <row r="272" spans="1:9" x14ac:dyDescent="0.2">
      <c r="A272" t="str">
        <f t="shared" si="12"/>
        <v/>
      </c>
      <c r="B272" s="20">
        <v>2023</v>
      </c>
      <c r="C272" s="21" t="s">
        <v>36</v>
      </c>
      <c r="D272" s="21" t="s">
        <v>36</v>
      </c>
      <c r="E272" s="23">
        <v>663767</v>
      </c>
      <c r="F272" s="20">
        <v>8883699.6500000004</v>
      </c>
      <c r="G272" s="30">
        <f t="shared" si="13"/>
        <v>9547466.6500000004</v>
      </c>
      <c r="H272" t="str">
        <f>IFERROR(VLOOKUP(C272,Sheet1!$B$2:$C$25,2,FALSE),"")</f>
        <v/>
      </c>
      <c r="I272">
        <f t="shared" si="14"/>
        <v>1613</v>
      </c>
    </row>
    <row r="273" spans="1:9" x14ac:dyDescent="0.2">
      <c r="A273" t="str">
        <f t="shared" si="12"/>
        <v/>
      </c>
      <c r="B273" s="20">
        <v>2015</v>
      </c>
      <c r="C273" s="21" t="s">
        <v>37</v>
      </c>
      <c r="D273" s="21" t="s">
        <v>37</v>
      </c>
      <c r="E273" s="23">
        <v>39372</v>
      </c>
      <c r="F273" s="20">
        <v>617630.6825</v>
      </c>
      <c r="G273" s="30">
        <f t="shared" si="13"/>
        <v>657002.6825</v>
      </c>
      <c r="H273" t="str">
        <f>IFERROR(VLOOKUP(C273,Sheet1!$B$2:$C$25,2,FALSE),"")</f>
        <v/>
      </c>
      <c r="I273">
        <f t="shared" si="14"/>
        <v>1613</v>
      </c>
    </row>
    <row r="274" spans="1:9" x14ac:dyDescent="0.2">
      <c r="A274" t="str">
        <f t="shared" si="12"/>
        <v/>
      </c>
      <c r="B274" s="20">
        <v>2016</v>
      </c>
      <c r="C274" s="21" t="s">
        <v>37</v>
      </c>
      <c r="D274" s="21" t="s">
        <v>37</v>
      </c>
      <c r="E274" s="23">
        <v>27466</v>
      </c>
      <c r="F274" s="20">
        <v>428712.34169999999</v>
      </c>
      <c r="G274" s="30">
        <f t="shared" si="13"/>
        <v>456178.34169999999</v>
      </c>
      <c r="H274" t="str">
        <f>IFERROR(VLOOKUP(C274,Sheet1!$B$2:$C$25,2,FALSE),"")</f>
        <v/>
      </c>
      <c r="I274">
        <f t="shared" si="14"/>
        <v>1613</v>
      </c>
    </row>
    <row r="275" spans="1:9" x14ac:dyDescent="0.2">
      <c r="A275" t="str">
        <f t="shared" si="12"/>
        <v/>
      </c>
      <c r="B275" s="20">
        <v>2017</v>
      </c>
      <c r="C275" s="21" t="s">
        <v>37</v>
      </c>
      <c r="D275" s="21" t="s">
        <v>37</v>
      </c>
      <c r="E275" s="23">
        <v>26307</v>
      </c>
      <c r="F275" s="20">
        <v>434865.21649999998</v>
      </c>
      <c r="G275" s="30">
        <f t="shared" si="13"/>
        <v>461172.21649999998</v>
      </c>
      <c r="H275" t="str">
        <f>IFERROR(VLOOKUP(C275,Sheet1!$B$2:$C$25,2,FALSE),"")</f>
        <v/>
      </c>
      <c r="I275">
        <f t="shared" si="14"/>
        <v>1613</v>
      </c>
    </row>
    <row r="276" spans="1:9" x14ac:dyDescent="0.2">
      <c r="A276" t="str">
        <f t="shared" si="12"/>
        <v/>
      </c>
      <c r="B276" s="20">
        <v>2018</v>
      </c>
      <c r="C276" s="21" t="s">
        <v>37</v>
      </c>
      <c r="D276" s="21" t="s">
        <v>37</v>
      </c>
      <c r="E276" s="23">
        <v>20972</v>
      </c>
      <c r="F276" s="20">
        <v>315551.10759999999</v>
      </c>
      <c r="G276" s="30">
        <f t="shared" si="13"/>
        <v>336523.10759999999</v>
      </c>
      <c r="H276" t="str">
        <f>IFERROR(VLOOKUP(C276,Sheet1!$B$2:$C$25,2,FALSE),"")</f>
        <v/>
      </c>
      <c r="I276">
        <f t="shared" si="14"/>
        <v>1613</v>
      </c>
    </row>
    <row r="277" spans="1:9" x14ac:dyDescent="0.2">
      <c r="A277" t="str">
        <f t="shared" si="12"/>
        <v/>
      </c>
      <c r="B277" s="20">
        <v>2019</v>
      </c>
      <c r="C277" s="21" t="s">
        <v>37</v>
      </c>
      <c r="D277" s="21" t="s">
        <v>37</v>
      </c>
      <c r="E277" s="23">
        <v>22050</v>
      </c>
      <c r="F277" s="20">
        <v>317258.01490000001</v>
      </c>
      <c r="G277" s="30">
        <f t="shared" si="13"/>
        <v>339308.01490000001</v>
      </c>
      <c r="H277" t="str">
        <f>IFERROR(VLOOKUP(C277,Sheet1!$B$2:$C$25,2,FALSE),"")</f>
        <v/>
      </c>
      <c r="I277">
        <f t="shared" si="14"/>
        <v>1613</v>
      </c>
    </row>
    <row r="278" spans="1:9" x14ac:dyDescent="0.2">
      <c r="A278" t="str">
        <f t="shared" si="12"/>
        <v/>
      </c>
      <c r="B278" s="20">
        <v>2020</v>
      </c>
      <c r="C278" s="21" t="s">
        <v>37</v>
      </c>
      <c r="D278" s="21" t="s">
        <v>37</v>
      </c>
      <c r="E278" s="23" t="s">
        <v>269</v>
      </c>
      <c r="F278" s="20">
        <v>0</v>
      </c>
      <c r="G278" s="30">
        <f t="shared" si="13"/>
        <v>0</v>
      </c>
      <c r="H278" t="str">
        <f>IFERROR(VLOOKUP(C278,Sheet1!$B$2:$C$25,2,FALSE),"")</f>
        <v/>
      </c>
      <c r="I278">
        <f t="shared" si="14"/>
        <v>1613</v>
      </c>
    </row>
    <row r="279" spans="1:9" x14ac:dyDescent="0.2">
      <c r="A279" t="str">
        <f t="shared" si="12"/>
        <v/>
      </c>
      <c r="B279" s="20">
        <v>2022</v>
      </c>
      <c r="C279" s="21" t="s">
        <v>37</v>
      </c>
      <c r="D279" s="21" t="s">
        <v>37</v>
      </c>
      <c r="E279" s="23" t="s">
        <v>269</v>
      </c>
      <c r="F279" s="20">
        <v>0</v>
      </c>
      <c r="G279" s="30">
        <f t="shared" si="13"/>
        <v>0</v>
      </c>
      <c r="H279" t="str">
        <f>IFERROR(VLOOKUP(C279,Sheet1!$B$2:$C$25,2,FALSE),"")</f>
        <v/>
      </c>
      <c r="I279">
        <f t="shared" si="14"/>
        <v>1613</v>
      </c>
    </row>
    <row r="280" spans="1:9" x14ac:dyDescent="0.2">
      <c r="A280" t="str">
        <f t="shared" si="12"/>
        <v/>
      </c>
      <c r="B280" s="20">
        <v>2015</v>
      </c>
      <c r="C280" s="21" t="s">
        <v>38</v>
      </c>
      <c r="D280" s="21" t="s">
        <v>38</v>
      </c>
      <c r="E280" s="23">
        <v>16376</v>
      </c>
      <c r="F280" s="20">
        <v>256891.1931</v>
      </c>
      <c r="G280" s="30">
        <f t="shared" si="13"/>
        <v>273267.19310000003</v>
      </c>
      <c r="H280" t="str">
        <f>IFERROR(VLOOKUP(C280,Sheet1!$B$2:$C$25,2,FALSE),"")</f>
        <v/>
      </c>
      <c r="I280">
        <f t="shared" si="14"/>
        <v>1613</v>
      </c>
    </row>
    <row r="281" spans="1:9" x14ac:dyDescent="0.2">
      <c r="A281" t="str">
        <f t="shared" si="12"/>
        <v/>
      </c>
      <c r="B281" s="20">
        <v>2016</v>
      </c>
      <c r="C281" s="21" t="s">
        <v>38</v>
      </c>
      <c r="D281" s="21" t="s">
        <v>38</v>
      </c>
      <c r="E281" s="23">
        <v>17887</v>
      </c>
      <c r="F281" s="20">
        <v>279195.28350000002</v>
      </c>
      <c r="G281" s="30">
        <f t="shared" si="13"/>
        <v>297082.28350000002</v>
      </c>
      <c r="H281" t="str">
        <f>IFERROR(VLOOKUP(C281,Sheet1!$B$2:$C$25,2,FALSE),"")</f>
        <v/>
      </c>
      <c r="I281">
        <f t="shared" si="14"/>
        <v>1613</v>
      </c>
    </row>
    <row r="282" spans="1:9" x14ac:dyDescent="0.2">
      <c r="A282" t="str">
        <f t="shared" si="12"/>
        <v/>
      </c>
      <c r="B282" s="20">
        <v>2017</v>
      </c>
      <c r="C282" s="21" t="s">
        <v>38</v>
      </c>
      <c r="D282" s="21" t="s">
        <v>38</v>
      </c>
      <c r="E282" s="23">
        <v>20668</v>
      </c>
      <c r="F282" s="20">
        <v>341650.29440000001</v>
      </c>
      <c r="G282" s="30">
        <f t="shared" si="13"/>
        <v>362318.29440000001</v>
      </c>
      <c r="H282" t="str">
        <f>IFERROR(VLOOKUP(C282,Sheet1!$B$2:$C$25,2,FALSE),"")</f>
        <v/>
      </c>
      <c r="I282">
        <f t="shared" si="14"/>
        <v>1613</v>
      </c>
    </row>
    <row r="283" spans="1:9" x14ac:dyDescent="0.2">
      <c r="A283" t="str">
        <f t="shared" si="12"/>
        <v/>
      </c>
      <c r="B283" s="20">
        <v>2018</v>
      </c>
      <c r="C283" s="21" t="s">
        <v>38</v>
      </c>
      <c r="D283" s="21" t="s">
        <v>38</v>
      </c>
      <c r="E283" s="23">
        <v>20985</v>
      </c>
      <c r="F283" s="20">
        <v>315746.7095</v>
      </c>
      <c r="G283" s="30">
        <f t="shared" si="13"/>
        <v>336731.7095</v>
      </c>
      <c r="H283" t="str">
        <f>IFERROR(VLOOKUP(C283,Sheet1!$B$2:$C$25,2,FALSE),"")</f>
        <v/>
      </c>
      <c r="I283">
        <f t="shared" si="14"/>
        <v>1613</v>
      </c>
    </row>
    <row r="284" spans="1:9" x14ac:dyDescent="0.2">
      <c r="A284" t="str">
        <f t="shared" si="12"/>
        <v/>
      </c>
      <c r="B284" s="20">
        <v>2019</v>
      </c>
      <c r="C284" s="21" t="s">
        <v>38</v>
      </c>
      <c r="D284" s="21" t="s">
        <v>38</v>
      </c>
      <c r="E284" s="23">
        <v>21008</v>
      </c>
      <c r="F284" s="20">
        <v>302265.59529999999</v>
      </c>
      <c r="G284" s="30">
        <f t="shared" si="13"/>
        <v>323273.59529999999</v>
      </c>
      <c r="H284" t="str">
        <f>IFERROR(VLOOKUP(C284,Sheet1!$B$2:$C$25,2,FALSE),"")</f>
        <v/>
      </c>
      <c r="I284">
        <f t="shared" si="14"/>
        <v>1613</v>
      </c>
    </row>
    <row r="285" spans="1:9" x14ac:dyDescent="0.2">
      <c r="A285" t="str">
        <f t="shared" si="12"/>
        <v/>
      </c>
      <c r="B285" s="20">
        <v>2020</v>
      </c>
      <c r="C285" s="21" t="s">
        <v>38</v>
      </c>
      <c r="D285" s="21" t="s">
        <v>38</v>
      </c>
      <c r="E285" s="23">
        <v>22898</v>
      </c>
      <c r="F285" s="20">
        <v>320099.03909999999</v>
      </c>
      <c r="G285" s="30">
        <f t="shared" si="13"/>
        <v>342997.03909999999</v>
      </c>
      <c r="H285" t="str">
        <f>IFERROR(VLOOKUP(C285,Sheet1!$B$2:$C$25,2,FALSE),"")</f>
        <v/>
      </c>
      <c r="I285">
        <f t="shared" si="14"/>
        <v>1613</v>
      </c>
    </row>
    <row r="286" spans="1:9" x14ac:dyDescent="0.2">
      <c r="A286" t="str">
        <f t="shared" si="12"/>
        <v/>
      </c>
      <c r="B286" s="20">
        <v>2021</v>
      </c>
      <c r="C286" s="21" t="s">
        <v>38</v>
      </c>
      <c r="D286" s="21" t="s">
        <v>38</v>
      </c>
      <c r="E286" s="23">
        <v>25073</v>
      </c>
      <c r="F286" s="20">
        <v>327302.57059999998</v>
      </c>
      <c r="G286" s="30">
        <f t="shared" si="13"/>
        <v>352375.57059999998</v>
      </c>
      <c r="H286" t="str">
        <f>IFERROR(VLOOKUP(C286,Sheet1!$B$2:$C$25,2,FALSE),"")</f>
        <v/>
      </c>
      <c r="I286">
        <f t="shared" si="14"/>
        <v>1613</v>
      </c>
    </row>
    <row r="287" spans="1:9" x14ac:dyDescent="0.2">
      <c r="A287" t="str">
        <f t="shared" si="12"/>
        <v/>
      </c>
      <c r="B287" s="20">
        <v>2022</v>
      </c>
      <c r="C287" s="21" t="s">
        <v>38</v>
      </c>
      <c r="D287" s="21" t="s">
        <v>38</v>
      </c>
      <c r="E287" s="23">
        <v>25639</v>
      </c>
      <c r="F287" s="20">
        <v>352472.71960000001</v>
      </c>
      <c r="G287" s="30">
        <f t="shared" si="13"/>
        <v>378111.71960000001</v>
      </c>
      <c r="H287" t="str">
        <f>IFERROR(VLOOKUP(C287,Sheet1!$B$2:$C$25,2,FALSE),"")</f>
        <v/>
      </c>
      <c r="I287">
        <f t="shared" si="14"/>
        <v>1613</v>
      </c>
    </row>
    <row r="288" spans="1:9" x14ac:dyDescent="0.2">
      <c r="A288" t="str">
        <f t="shared" si="12"/>
        <v/>
      </c>
      <c r="B288" s="20">
        <v>2023</v>
      </c>
      <c r="C288" s="21" t="s">
        <v>38</v>
      </c>
      <c r="D288" s="21" t="s">
        <v>38</v>
      </c>
      <c r="E288" s="23">
        <v>26691</v>
      </c>
      <c r="F288" s="20">
        <v>357225.99550000002</v>
      </c>
      <c r="G288" s="30">
        <f t="shared" si="13"/>
        <v>383916.99550000002</v>
      </c>
      <c r="H288" t="str">
        <f>IFERROR(VLOOKUP(C288,Sheet1!$B$2:$C$25,2,FALSE),"")</f>
        <v/>
      </c>
      <c r="I288">
        <f t="shared" si="14"/>
        <v>1613</v>
      </c>
    </row>
    <row r="289" spans="1:9" x14ac:dyDescent="0.2">
      <c r="A289">
        <f t="shared" si="12"/>
        <v>2400180</v>
      </c>
      <c r="B289" s="20">
        <v>2015</v>
      </c>
      <c r="C289" s="21" t="s">
        <v>39</v>
      </c>
      <c r="D289" s="21" t="s">
        <v>39</v>
      </c>
      <c r="E289" s="23">
        <v>422934</v>
      </c>
      <c r="F289" s="20">
        <v>6634588.415</v>
      </c>
      <c r="G289" s="30">
        <f t="shared" si="13"/>
        <v>7057522.415</v>
      </c>
      <c r="H289">
        <f>IFERROR(VLOOKUP(C289,Sheet1!$B$2:$C$25,2,FALSE),"")</f>
        <v>2400180</v>
      </c>
      <c r="I289">
        <f t="shared" si="14"/>
        <v>9</v>
      </c>
    </row>
    <row r="290" spans="1:9" x14ac:dyDescent="0.2">
      <c r="A290">
        <f t="shared" si="12"/>
        <v>2400180</v>
      </c>
      <c r="B290" s="20">
        <v>2016</v>
      </c>
      <c r="C290" s="21" t="s">
        <v>39</v>
      </c>
      <c r="D290" s="21" t="s">
        <v>39</v>
      </c>
      <c r="E290" s="23">
        <v>387508</v>
      </c>
      <c r="F290" s="20">
        <v>6048549.557</v>
      </c>
      <c r="G290" s="30">
        <f t="shared" si="13"/>
        <v>6436057.557</v>
      </c>
      <c r="H290">
        <f>IFERROR(VLOOKUP(C290,Sheet1!$B$2:$C$25,2,FALSE),"")</f>
        <v>2400180</v>
      </c>
      <c r="I290">
        <f t="shared" si="14"/>
        <v>9</v>
      </c>
    </row>
    <row r="291" spans="1:9" x14ac:dyDescent="0.2">
      <c r="A291">
        <f t="shared" si="12"/>
        <v>2400180</v>
      </c>
      <c r="B291" s="20">
        <v>2017</v>
      </c>
      <c r="C291" s="21" t="s">
        <v>39</v>
      </c>
      <c r="D291" s="21" t="s">
        <v>39</v>
      </c>
      <c r="E291" s="23">
        <v>391479</v>
      </c>
      <c r="F291" s="20">
        <v>6471304.2189999996</v>
      </c>
      <c r="G291" s="30">
        <f t="shared" si="13"/>
        <v>6862783.2189999996</v>
      </c>
      <c r="H291">
        <f>IFERROR(VLOOKUP(C291,Sheet1!$B$2:$C$25,2,FALSE),"")</f>
        <v>2400180</v>
      </c>
      <c r="I291">
        <f t="shared" si="14"/>
        <v>9</v>
      </c>
    </row>
    <row r="292" spans="1:9" x14ac:dyDescent="0.2">
      <c r="A292">
        <f t="shared" si="12"/>
        <v>2400180</v>
      </c>
      <c r="B292" s="20">
        <v>2018</v>
      </c>
      <c r="C292" s="21" t="s">
        <v>39</v>
      </c>
      <c r="D292" s="21" t="s">
        <v>39</v>
      </c>
      <c r="E292" s="23">
        <v>462805</v>
      </c>
      <c r="F292" s="20">
        <v>6963505.1660000002</v>
      </c>
      <c r="G292" s="30">
        <f t="shared" si="13"/>
        <v>7426310.1660000002</v>
      </c>
      <c r="H292">
        <f>IFERROR(VLOOKUP(C292,Sheet1!$B$2:$C$25,2,FALSE),"")</f>
        <v>2400180</v>
      </c>
      <c r="I292">
        <f t="shared" si="14"/>
        <v>9</v>
      </c>
    </row>
    <row r="293" spans="1:9" x14ac:dyDescent="0.2">
      <c r="A293">
        <f t="shared" si="12"/>
        <v>2400180</v>
      </c>
      <c r="B293" s="20">
        <v>2019</v>
      </c>
      <c r="C293" s="21" t="s">
        <v>39</v>
      </c>
      <c r="D293" s="21" t="s">
        <v>39</v>
      </c>
      <c r="E293" s="23">
        <v>504483</v>
      </c>
      <c r="F293" s="20">
        <v>7258561.2300000004</v>
      </c>
      <c r="G293" s="30">
        <f t="shared" si="13"/>
        <v>7763044.2300000004</v>
      </c>
      <c r="H293">
        <f>IFERROR(VLOOKUP(C293,Sheet1!$B$2:$C$25,2,FALSE),"")</f>
        <v>2400180</v>
      </c>
      <c r="I293">
        <f t="shared" si="14"/>
        <v>9</v>
      </c>
    </row>
    <row r="294" spans="1:9" x14ac:dyDescent="0.2">
      <c r="A294">
        <f t="shared" si="12"/>
        <v>2400180</v>
      </c>
      <c r="B294" s="20">
        <v>2020</v>
      </c>
      <c r="C294" s="21" t="s">
        <v>39</v>
      </c>
      <c r="D294" s="21" t="s">
        <v>39</v>
      </c>
      <c r="E294" s="23">
        <v>548891</v>
      </c>
      <c r="F294" s="20">
        <v>7673136.5899999999</v>
      </c>
      <c r="G294" s="30">
        <f t="shared" si="13"/>
        <v>8222027.5899999999</v>
      </c>
      <c r="H294">
        <f>IFERROR(VLOOKUP(C294,Sheet1!$B$2:$C$25,2,FALSE),"")</f>
        <v>2400180</v>
      </c>
      <c r="I294">
        <f t="shared" si="14"/>
        <v>9</v>
      </c>
    </row>
    <row r="295" spans="1:9" x14ac:dyDescent="0.2">
      <c r="A295">
        <f t="shared" si="12"/>
        <v>2400180</v>
      </c>
      <c r="B295" s="20">
        <v>2021</v>
      </c>
      <c r="C295" s="21" t="s">
        <v>39</v>
      </c>
      <c r="D295" s="21" t="s">
        <v>39</v>
      </c>
      <c r="E295" s="23">
        <v>672288</v>
      </c>
      <c r="F295" s="20">
        <v>8776037.5930000003</v>
      </c>
      <c r="G295" s="30">
        <f t="shared" si="13"/>
        <v>9448325.5930000003</v>
      </c>
      <c r="H295">
        <f>IFERROR(VLOOKUP(C295,Sheet1!$B$2:$C$25,2,FALSE),"")</f>
        <v>2400180</v>
      </c>
      <c r="I295">
        <f t="shared" si="14"/>
        <v>9</v>
      </c>
    </row>
    <row r="296" spans="1:9" x14ac:dyDescent="0.2">
      <c r="A296">
        <f t="shared" si="12"/>
        <v>2400180</v>
      </c>
      <c r="B296" s="20">
        <v>2022</v>
      </c>
      <c r="C296" s="21" t="s">
        <v>39</v>
      </c>
      <c r="D296" s="21" t="s">
        <v>39</v>
      </c>
      <c r="E296" s="23">
        <v>763243</v>
      </c>
      <c r="F296" s="20">
        <v>10492700.029999999</v>
      </c>
      <c r="G296" s="30">
        <f t="shared" si="13"/>
        <v>11255943.029999999</v>
      </c>
      <c r="H296">
        <f>IFERROR(VLOOKUP(C296,Sheet1!$B$2:$C$25,2,FALSE),"")</f>
        <v>2400180</v>
      </c>
      <c r="I296">
        <f t="shared" si="14"/>
        <v>9</v>
      </c>
    </row>
    <row r="297" spans="1:9" x14ac:dyDescent="0.2">
      <c r="A297">
        <f t="shared" si="12"/>
        <v>2400180</v>
      </c>
      <c r="B297" s="20">
        <v>2023</v>
      </c>
      <c r="C297" s="21" t="s">
        <v>39</v>
      </c>
      <c r="D297" s="21" t="s">
        <v>39</v>
      </c>
      <c r="E297" s="23">
        <v>784719</v>
      </c>
      <c r="F297" s="20">
        <v>10502492.449999999</v>
      </c>
      <c r="G297" s="30">
        <f t="shared" si="13"/>
        <v>11287211.449999999</v>
      </c>
      <c r="H297">
        <f>IFERROR(VLOOKUP(C297,Sheet1!$B$2:$C$25,2,FALSE),"")</f>
        <v>2400180</v>
      </c>
      <c r="I297">
        <f t="shared" si="14"/>
        <v>9</v>
      </c>
    </row>
    <row r="298" spans="1:9" x14ac:dyDescent="0.2">
      <c r="A298" t="str">
        <f t="shared" si="12"/>
        <v/>
      </c>
      <c r="B298" s="20">
        <v>2015</v>
      </c>
      <c r="C298" s="21" t="s">
        <v>40</v>
      </c>
      <c r="D298" s="21" t="s">
        <v>40</v>
      </c>
      <c r="E298" s="23">
        <v>26620</v>
      </c>
      <c r="F298" s="20">
        <v>417589.37229999999</v>
      </c>
      <c r="G298" s="30">
        <f t="shared" si="13"/>
        <v>444209.37229999999</v>
      </c>
      <c r="H298" t="str">
        <f>IFERROR(VLOOKUP(C298,Sheet1!$B$2:$C$25,2,FALSE),"")</f>
        <v/>
      </c>
      <c r="I298">
        <f t="shared" si="14"/>
        <v>1613</v>
      </c>
    </row>
    <row r="299" spans="1:9" x14ac:dyDescent="0.2">
      <c r="A299" t="str">
        <f t="shared" si="12"/>
        <v/>
      </c>
      <c r="B299" s="20">
        <v>2016</v>
      </c>
      <c r="C299" s="21" t="s">
        <v>40</v>
      </c>
      <c r="D299" s="21" t="s">
        <v>40</v>
      </c>
      <c r="E299" s="23">
        <v>26620</v>
      </c>
      <c r="F299" s="20">
        <v>415507.26490000001</v>
      </c>
      <c r="G299" s="30">
        <f t="shared" si="13"/>
        <v>442127.26490000001</v>
      </c>
      <c r="H299" t="str">
        <f>IFERROR(VLOOKUP(C299,Sheet1!$B$2:$C$25,2,FALSE),"")</f>
        <v/>
      </c>
      <c r="I299">
        <f t="shared" si="14"/>
        <v>1613</v>
      </c>
    </row>
    <row r="300" spans="1:9" x14ac:dyDescent="0.2">
      <c r="A300" t="str">
        <f t="shared" si="12"/>
        <v/>
      </c>
      <c r="B300" s="20">
        <v>2017</v>
      </c>
      <c r="C300" s="21" t="s">
        <v>40</v>
      </c>
      <c r="D300" s="21" t="s">
        <v>40</v>
      </c>
      <c r="E300" s="23">
        <v>26620</v>
      </c>
      <c r="F300" s="20">
        <v>440039.23149999999</v>
      </c>
      <c r="G300" s="30">
        <f t="shared" si="13"/>
        <v>466659.23149999999</v>
      </c>
      <c r="H300" t="str">
        <f>IFERROR(VLOOKUP(C300,Sheet1!$B$2:$C$25,2,FALSE),"")</f>
        <v/>
      </c>
      <c r="I300">
        <f t="shared" si="14"/>
        <v>1613</v>
      </c>
    </row>
    <row r="301" spans="1:9" x14ac:dyDescent="0.2">
      <c r="A301" t="str">
        <f t="shared" si="12"/>
        <v/>
      </c>
      <c r="B301" s="20">
        <v>2018</v>
      </c>
      <c r="C301" s="21" t="s">
        <v>40</v>
      </c>
      <c r="D301" s="21" t="s">
        <v>40</v>
      </c>
      <c r="E301" s="23">
        <v>26620</v>
      </c>
      <c r="F301" s="20">
        <v>400532.63799999998</v>
      </c>
      <c r="G301" s="30">
        <f t="shared" si="13"/>
        <v>427152.63799999998</v>
      </c>
      <c r="H301" t="str">
        <f>IFERROR(VLOOKUP(C301,Sheet1!$B$2:$C$25,2,FALSE),"")</f>
        <v/>
      </c>
      <c r="I301">
        <f t="shared" si="14"/>
        <v>1613</v>
      </c>
    </row>
    <row r="302" spans="1:9" x14ac:dyDescent="0.2">
      <c r="A302" t="str">
        <f t="shared" si="12"/>
        <v/>
      </c>
      <c r="B302" s="20">
        <v>2019</v>
      </c>
      <c r="C302" s="21" t="s">
        <v>40</v>
      </c>
      <c r="D302" s="21" t="s">
        <v>40</v>
      </c>
      <c r="E302" s="23">
        <v>26620</v>
      </c>
      <c r="F302" s="20">
        <v>383011.71679999999</v>
      </c>
      <c r="G302" s="30">
        <f t="shared" si="13"/>
        <v>409631.71679999999</v>
      </c>
      <c r="H302" t="str">
        <f>IFERROR(VLOOKUP(C302,Sheet1!$B$2:$C$25,2,FALSE),"")</f>
        <v/>
      </c>
      <c r="I302">
        <f t="shared" si="14"/>
        <v>1613</v>
      </c>
    </row>
    <row r="303" spans="1:9" x14ac:dyDescent="0.2">
      <c r="A303" t="str">
        <f t="shared" si="12"/>
        <v/>
      </c>
      <c r="B303" s="20">
        <v>2020</v>
      </c>
      <c r="C303" s="21" t="s">
        <v>40</v>
      </c>
      <c r="D303" s="21" t="s">
        <v>40</v>
      </c>
      <c r="E303" s="23">
        <v>26620</v>
      </c>
      <c r="F303" s="20">
        <v>372130.16070000001</v>
      </c>
      <c r="G303" s="30">
        <f t="shared" si="13"/>
        <v>398750.16070000001</v>
      </c>
      <c r="H303" t="str">
        <f>IFERROR(VLOOKUP(C303,Sheet1!$B$2:$C$25,2,FALSE),"")</f>
        <v/>
      </c>
      <c r="I303">
        <f t="shared" si="14"/>
        <v>1613</v>
      </c>
    </row>
    <row r="304" spans="1:9" x14ac:dyDescent="0.2">
      <c r="A304" t="str">
        <f t="shared" si="12"/>
        <v/>
      </c>
      <c r="B304" s="20">
        <v>2021</v>
      </c>
      <c r="C304" s="21" t="s">
        <v>40</v>
      </c>
      <c r="D304" s="21" t="s">
        <v>40</v>
      </c>
      <c r="E304" s="23" t="s">
        <v>269</v>
      </c>
      <c r="F304" s="20">
        <v>0</v>
      </c>
      <c r="G304" s="30">
        <f t="shared" si="13"/>
        <v>0</v>
      </c>
      <c r="H304" t="str">
        <f>IFERROR(VLOOKUP(C304,Sheet1!$B$2:$C$25,2,FALSE),"")</f>
        <v/>
      </c>
      <c r="I304">
        <f t="shared" si="14"/>
        <v>1613</v>
      </c>
    </row>
    <row r="305" spans="1:9" x14ac:dyDescent="0.2">
      <c r="A305" t="str">
        <f t="shared" si="12"/>
        <v/>
      </c>
      <c r="B305" s="20">
        <v>2022</v>
      </c>
      <c r="C305" s="21" t="s">
        <v>40</v>
      </c>
      <c r="D305" s="21" t="s">
        <v>40</v>
      </c>
      <c r="E305" s="23" t="s">
        <v>269</v>
      </c>
      <c r="F305" s="20">
        <v>0</v>
      </c>
      <c r="G305" s="30">
        <f t="shared" si="13"/>
        <v>0</v>
      </c>
      <c r="H305" t="str">
        <f>IFERROR(VLOOKUP(C305,Sheet1!$B$2:$C$25,2,FALSE),"")</f>
        <v/>
      </c>
      <c r="I305">
        <f t="shared" si="14"/>
        <v>1613</v>
      </c>
    </row>
    <row r="306" spans="1:9" x14ac:dyDescent="0.2">
      <c r="A306" t="str">
        <f t="shared" si="12"/>
        <v/>
      </c>
      <c r="B306" s="20">
        <v>2023</v>
      </c>
      <c r="C306" s="21" t="s">
        <v>40</v>
      </c>
      <c r="D306" s="21" t="s">
        <v>40</v>
      </c>
      <c r="E306" s="23" t="s">
        <v>269</v>
      </c>
      <c r="F306" s="20">
        <v>0</v>
      </c>
      <c r="G306" s="30">
        <f t="shared" si="13"/>
        <v>0</v>
      </c>
      <c r="H306" t="str">
        <f>IFERROR(VLOOKUP(C306,Sheet1!$B$2:$C$25,2,FALSE),"")</f>
        <v/>
      </c>
      <c r="I306">
        <f t="shared" si="14"/>
        <v>1613</v>
      </c>
    </row>
    <row r="307" spans="1:9" x14ac:dyDescent="0.2">
      <c r="A307" t="str">
        <f t="shared" si="12"/>
        <v/>
      </c>
      <c r="B307" s="20">
        <v>2015</v>
      </c>
      <c r="C307" s="21" t="s">
        <v>207</v>
      </c>
      <c r="D307" s="21" t="s">
        <v>41</v>
      </c>
      <c r="E307" s="23">
        <v>380059</v>
      </c>
      <c r="F307" s="20">
        <v>5962005.983</v>
      </c>
      <c r="G307" s="30">
        <f t="shared" si="13"/>
        <v>6342064.983</v>
      </c>
      <c r="H307" t="str">
        <f>IFERROR(VLOOKUP(C307,Sheet1!$B$2:$C$25,2,FALSE),"")</f>
        <v/>
      </c>
      <c r="I307">
        <f t="shared" si="14"/>
        <v>1613</v>
      </c>
    </row>
    <row r="308" spans="1:9" x14ac:dyDescent="0.2">
      <c r="A308" t="str">
        <f t="shared" si="12"/>
        <v/>
      </c>
      <c r="B308" s="20">
        <v>2016</v>
      </c>
      <c r="C308" s="21" t="s">
        <v>207</v>
      </c>
      <c r="D308" s="21" t="s">
        <v>41</v>
      </c>
      <c r="E308" s="23">
        <v>427497</v>
      </c>
      <c r="F308" s="20">
        <v>6672731.375</v>
      </c>
      <c r="G308" s="30">
        <f t="shared" si="13"/>
        <v>7100228.375</v>
      </c>
      <c r="H308" t="str">
        <f>IFERROR(VLOOKUP(C308,Sheet1!$B$2:$C$25,2,FALSE),"")</f>
        <v/>
      </c>
      <c r="I308">
        <f t="shared" si="14"/>
        <v>1613</v>
      </c>
    </row>
    <row r="309" spans="1:9" x14ac:dyDescent="0.2">
      <c r="A309" t="str">
        <f t="shared" si="12"/>
        <v/>
      </c>
      <c r="B309" s="20">
        <v>2017</v>
      </c>
      <c r="C309" s="21" t="s">
        <v>207</v>
      </c>
      <c r="D309" s="21" t="s">
        <v>41</v>
      </c>
      <c r="E309" s="23">
        <v>438387</v>
      </c>
      <c r="F309" s="20">
        <v>7246712.193</v>
      </c>
      <c r="G309" s="30">
        <f t="shared" si="13"/>
        <v>7685099.193</v>
      </c>
      <c r="H309" t="str">
        <f>IFERROR(VLOOKUP(C309,Sheet1!$B$2:$C$25,2,FALSE),"")</f>
        <v/>
      </c>
      <c r="I309">
        <f t="shared" si="14"/>
        <v>1613</v>
      </c>
    </row>
    <row r="310" spans="1:9" x14ac:dyDescent="0.2">
      <c r="A310" t="str">
        <f t="shared" si="12"/>
        <v/>
      </c>
      <c r="B310" s="20">
        <v>2018</v>
      </c>
      <c r="C310" s="21" t="s">
        <v>207</v>
      </c>
      <c r="D310" s="21" t="s">
        <v>207</v>
      </c>
      <c r="E310" s="23">
        <v>437317</v>
      </c>
      <c r="F310" s="20">
        <v>6580004.9450000003</v>
      </c>
      <c r="G310" s="30">
        <f t="shared" si="13"/>
        <v>7017321.9450000003</v>
      </c>
      <c r="H310" t="str">
        <f>IFERROR(VLOOKUP(C310,Sheet1!$B$2:$C$25,2,FALSE),"")</f>
        <v/>
      </c>
      <c r="I310">
        <f t="shared" si="14"/>
        <v>1613</v>
      </c>
    </row>
    <row r="311" spans="1:9" x14ac:dyDescent="0.2">
      <c r="A311" t="str">
        <f t="shared" si="12"/>
        <v/>
      </c>
      <c r="B311" s="20">
        <v>2019</v>
      </c>
      <c r="C311" s="21" t="s">
        <v>207</v>
      </c>
      <c r="D311" s="21" t="s">
        <v>207</v>
      </c>
      <c r="E311" s="23">
        <v>519376</v>
      </c>
      <c r="F311" s="20">
        <v>7472843.4800000004</v>
      </c>
      <c r="G311" s="30">
        <f t="shared" si="13"/>
        <v>7992219.4800000004</v>
      </c>
      <c r="H311" t="str">
        <f>IFERROR(VLOOKUP(C311,Sheet1!$B$2:$C$25,2,FALSE),"")</f>
        <v/>
      </c>
      <c r="I311">
        <f t="shared" si="14"/>
        <v>1613</v>
      </c>
    </row>
    <row r="312" spans="1:9" x14ac:dyDescent="0.2">
      <c r="A312" t="str">
        <f t="shared" si="12"/>
        <v/>
      </c>
      <c r="B312" s="20">
        <v>2020</v>
      </c>
      <c r="C312" s="21" t="s">
        <v>207</v>
      </c>
      <c r="D312" s="21" t="s">
        <v>207</v>
      </c>
      <c r="E312" s="23">
        <v>532072</v>
      </c>
      <c r="F312" s="20">
        <v>7438017.9890000001</v>
      </c>
      <c r="G312" s="30">
        <f t="shared" si="13"/>
        <v>7970089.9890000001</v>
      </c>
      <c r="H312" t="str">
        <f>IFERROR(VLOOKUP(C312,Sheet1!$B$2:$C$25,2,FALSE),"")</f>
        <v/>
      </c>
      <c r="I312">
        <f t="shared" si="14"/>
        <v>1613</v>
      </c>
    </row>
    <row r="313" spans="1:9" x14ac:dyDescent="0.2">
      <c r="A313" t="str">
        <f t="shared" si="12"/>
        <v/>
      </c>
      <c r="B313" s="20">
        <v>2021</v>
      </c>
      <c r="C313" s="21" t="s">
        <v>207</v>
      </c>
      <c r="D313" s="21" t="s">
        <v>207</v>
      </c>
      <c r="E313" s="23">
        <v>655558</v>
      </c>
      <c r="F313" s="20">
        <v>8557644.4199999999</v>
      </c>
      <c r="G313" s="30">
        <f t="shared" si="13"/>
        <v>9213202.4199999999</v>
      </c>
      <c r="H313" t="str">
        <f>IFERROR(VLOOKUP(C313,Sheet1!$B$2:$C$25,2,FALSE),"")</f>
        <v/>
      </c>
      <c r="I313">
        <f t="shared" si="14"/>
        <v>1613</v>
      </c>
    </row>
    <row r="314" spans="1:9" x14ac:dyDescent="0.2">
      <c r="A314" t="str">
        <f t="shared" si="12"/>
        <v/>
      </c>
      <c r="B314" s="20">
        <v>2022</v>
      </c>
      <c r="C314" s="21" t="s">
        <v>207</v>
      </c>
      <c r="D314" s="21" t="s">
        <v>207</v>
      </c>
      <c r="E314" s="23">
        <v>693660</v>
      </c>
      <c r="F314" s="20">
        <v>9536106.1940000001</v>
      </c>
      <c r="G314" s="30">
        <f t="shared" si="13"/>
        <v>10229766.194</v>
      </c>
      <c r="H314" t="str">
        <f>IFERROR(VLOOKUP(C314,Sheet1!$B$2:$C$25,2,FALSE),"")</f>
        <v/>
      </c>
      <c r="I314">
        <f t="shared" si="14"/>
        <v>1613</v>
      </c>
    </row>
    <row r="315" spans="1:9" x14ac:dyDescent="0.2">
      <c r="A315" t="str">
        <f t="shared" si="12"/>
        <v/>
      </c>
      <c r="B315" s="20">
        <v>2023</v>
      </c>
      <c r="C315" s="21" t="s">
        <v>207</v>
      </c>
      <c r="D315" s="21" t="s">
        <v>207</v>
      </c>
      <c r="E315" s="23">
        <v>710873</v>
      </c>
      <c r="F315" s="20">
        <v>9514155.1490000002</v>
      </c>
      <c r="G315" s="30">
        <f t="shared" si="13"/>
        <v>10225028.149</v>
      </c>
      <c r="H315" t="str">
        <f>IFERROR(VLOOKUP(C315,Sheet1!$B$2:$C$25,2,FALSE),"")</f>
        <v/>
      </c>
      <c r="I315">
        <f t="shared" si="14"/>
        <v>1613</v>
      </c>
    </row>
    <row r="316" spans="1:9" x14ac:dyDescent="0.2">
      <c r="A316" t="str">
        <f t="shared" si="12"/>
        <v/>
      </c>
      <c r="B316" s="20">
        <v>2015</v>
      </c>
      <c r="C316" s="21" t="s">
        <v>43</v>
      </c>
      <c r="D316" s="21" t="s">
        <v>43</v>
      </c>
      <c r="E316" s="23">
        <v>58948</v>
      </c>
      <c r="F316" s="20">
        <v>924720.44779999997</v>
      </c>
      <c r="G316" s="30">
        <f t="shared" si="13"/>
        <v>983668.44779999997</v>
      </c>
      <c r="H316" t="str">
        <f>IFERROR(VLOOKUP(C316,Sheet1!$B$2:$C$25,2,FALSE),"")</f>
        <v/>
      </c>
      <c r="I316">
        <f t="shared" si="14"/>
        <v>1613</v>
      </c>
    </row>
    <row r="317" spans="1:9" x14ac:dyDescent="0.2">
      <c r="A317" t="str">
        <f t="shared" si="12"/>
        <v/>
      </c>
      <c r="B317" s="20">
        <v>2016</v>
      </c>
      <c r="C317" s="21" t="s">
        <v>43</v>
      </c>
      <c r="D317" s="21" t="s">
        <v>43</v>
      </c>
      <c r="E317" s="23">
        <v>56065</v>
      </c>
      <c r="F317" s="20">
        <v>875109.49679999996</v>
      </c>
      <c r="G317" s="30">
        <f t="shared" si="13"/>
        <v>931174.49679999996</v>
      </c>
      <c r="H317" t="str">
        <f>IFERROR(VLOOKUP(C317,Sheet1!$B$2:$C$25,2,FALSE),"")</f>
        <v/>
      </c>
      <c r="I317">
        <f t="shared" si="14"/>
        <v>1613</v>
      </c>
    </row>
    <row r="318" spans="1:9" x14ac:dyDescent="0.2">
      <c r="A318" t="str">
        <f t="shared" si="12"/>
        <v/>
      </c>
      <c r="B318" s="20">
        <v>2017</v>
      </c>
      <c r="C318" s="21" t="s">
        <v>43</v>
      </c>
      <c r="D318" s="21" t="s">
        <v>43</v>
      </c>
      <c r="E318" s="23">
        <v>55927</v>
      </c>
      <c r="F318" s="20">
        <v>924495.64619999996</v>
      </c>
      <c r="G318" s="30">
        <f t="shared" si="13"/>
        <v>980422.64619999996</v>
      </c>
      <c r="H318" t="str">
        <f>IFERROR(VLOOKUP(C318,Sheet1!$B$2:$C$25,2,FALSE),"")</f>
        <v/>
      </c>
      <c r="I318">
        <f t="shared" si="14"/>
        <v>1613</v>
      </c>
    </row>
    <row r="319" spans="1:9" x14ac:dyDescent="0.2">
      <c r="A319" t="str">
        <f t="shared" si="12"/>
        <v/>
      </c>
      <c r="B319" s="20">
        <v>2018</v>
      </c>
      <c r="C319" s="21" t="s">
        <v>43</v>
      </c>
      <c r="D319" s="21" t="s">
        <v>43</v>
      </c>
      <c r="E319" s="23">
        <v>68290</v>
      </c>
      <c r="F319" s="20">
        <v>1027512.166</v>
      </c>
      <c r="G319" s="30">
        <f t="shared" si="13"/>
        <v>1095802.166</v>
      </c>
      <c r="H319" t="str">
        <f>IFERROR(VLOOKUP(C319,Sheet1!$B$2:$C$25,2,FALSE),"")</f>
        <v/>
      </c>
      <c r="I319">
        <f t="shared" si="14"/>
        <v>1613</v>
      </c>
    </row>
    <row r="320" spans="1:9" x14ac:dyDescent="0.2">
      <c r="A320" t="str">
        <f t="shared" si="12"/>
        <v/>
      </c>
      <c r="B320" s="20">
        <v>2019</v>
      </c>
      <c r="C320" s="21" t="s">
        <v>43</v>
      </c>
      <c r="D320" s="21" t="s">
        <v>43</v>
      </c>
      <c r="E320" s="23">
        <v>74815</v>
      </c>
      <c r="F320" s="20">
        <v>1076447.0919999999</v>
      </c>
      <c r="G320" s="30">
        <f t="shared" si="13"/>
        <v>1151262.0919999999</v>
      </c>
      <c r="H320" t="str">
        <f>IFERROR(VLOOKUP(C320,Sheet1!$B$2:$C$25,2,FALSE),"")</f>
        <v/>
      </c>
      <c r="I320">
        <f t="shared" si="14"/>
        <v>1613</v>
      </c>
    </row>
    <row r="321" spans="1:9" x14ac:dyDescent="0.2">
      <c r="A321" t="str">
        <f t="shared" si="12"/>
        <v/>
      </c>
      <c r="B321" s="20">
        <v>2020</v>
      </c>
      <c r="C321" s="21" t="s">
        <v>43</v>
      </c>
      <c r="D321" s="21" t="s">
        <v>43</v>
      </c>
      <c r="E321" s="23">
        <v>82858</v>
      </c>
      <c r="F321" s="20">
        <v>1158300.558</v>
      </c>
      <c r="G321" s="30">
        <f t="shared" si="13"/>
        <v>1241158.558</v>
      </c>
      <c r="H321" t="str">
        <f>IFERROR(VLOOKUP(C321,Sheet1!$B$2:$C$25,2,FALSE),"")</f>
        <v/>
      </c>
      <c r="I321">
        <f t="shared" si="14"/>
        <v>1613</v>
      </c>
    </row>
    <row r="322" spans="1:9" x14ac:dyDescent="0.2">
      <c r="A322" t="str">
        <f t="shared" si="12"/>
        <v/>
      </c>
      <c r="B322" s="20">
        <v>2021</v>
      </c>
      <c r="C322" s="21" t="s">
        <v>43</v>
      </c>
      <c r="D322" s="21" t="s">
        <v>43</v>
      </c>
      <c r="E322" s="23">
        <v>93177</v>
      </c>
      <c r="F322" s="20">
        <v>1216331.1780000001</v>
      </c>
      <c r="G322" s="30">
        <f t="shared" si="13"/>
        <v>1309508.1780000001</v>
      </c>
      <c r="H322" t="str">
        <f>IFERROR(VLOOKUP(C322,Sheet1!$B$2:$C$25,2,FALSE),"")</f>
        <v/>
      </c>
      <c r="I322">
        <f t="shared" si="14"/>
        <v>1613</v>
      </c>
    </row>
    <row r="323" spans="1:9" x14ac:dyDescent="0.2">
      <c r="A323" t="str">
        <f t="shared" ref="A323:A386" si="15">H323</f>
        <v/>
      </c>
      <c r="B323" s="20">
        <v>2022</v>
      </c>
      <c r="C323" s="21" t="s">
        <v>43</v>
      </c>
      <c r="D323" s="21" t="s">
        <v>43</v>
      </c>
      <c r="E323" s="23">
        <v>93879</v>
      </c>
      <c r="F323" s="20">
        <v>1290603.629</v>
      </c>
      <c r="G323" s="30">
        <f t="shared" ref="G323:G386" si="16">SUM(E323:F323)</f>
        <v>1384482.629</v>
      </c>
      <c r="H323" t="str">
        <f>IFERROR(VLOOKUP(C323,Sheet1!$B$2:$C$25,2,FALSE),"")</f>
        <v/>
      </c>
      <c r="I323">
        <f t="shared" ref="I323:I386" si="17">COUNTIF($H$2:$H$1812,H323)</f>
        <v>1613</v>
      </c>
    </row>
    <row r="324" spans="1:9" x14ac:dyDescent="0.2">
      <c r="A324" t="str">
        <f t="shared" si="15"/>
        <v/>
      </c>
      <c r="B324" s="20">
        <v>2023</v>
      </c>
      <c r="C324" s="21" t="s">
        <v>43</v>
      </c>
      <c r="D324" s="21" t="s">
        <v>43</v>
      </c>
      <c r="E324" s="23">
        <v>123085</v>
      </c>
      <c r="F324" s="20">
        <v>1647340.3640000001</v>
      </c>
      <c r="G324" s="30">
        <f t="shared" si="16"/>
        <v>1770425.3640000001</v>
      </c>
      <c r="H324" t="str">
        <f>IFERROR(VLOOKUP(C324,Sheet1!$B$2:$C$25,2,FALSE),"")</f>
        <v/>
      </c>
      <c r="I324">
        <f t="shared" si="17"/>
        <v>1613</v>
      </c>
    </row>
    <row r="325" spans="1:9" x14ac:dyDescent="0.2">
      <c r="A325" t="str">
        <f t="shared" si="15"/>
        <v/>
      </c>
      <c r="B325" s="20">
        <v>2015</v>
      </c>
      <c r="C325" s="21" t="s">
        <v>42</v>
      </c>
      <c r="D325" s="21" t="s">
        <v>42</v>
      </c>
      <c r="E325" s="23">
        <v>20469</v>
      </c>
      <c r="F325" s="20">
        <v>321098.30440000002</v>
      </c>
      <c r="G325" s="30">
        <f t="shared" si="16"/>
        <v>341567.30440000002</v>
      </c>
      <c r="H325" t="str">
        <f>IFERROR(VLOOKUP(C325,Sheet1!$B$2:$C$25,2,FALSE),"")</f>
        <v/>
      </c>
      <c r="I325">
        <f t="shared" si="17"/>
        <v>1613</v>
      </c>
    </row>
    <row r="326" spans="1:9" x14ac:dyDescent="0.2">
      <c r="A326" t="str">
        <f t="shared" si="15"/>
        <v/>
      </c>
      <c r="B326" s="20">
        <v>2016</v>
      </c>
      <c r="C326" s="21" t="s">
        <v>42</v>
      </c>
      <c r="D326" s="21" t="s">
        <v>42</v>
      </c>
      <c r="E326" s="23">
        <v>23047</v>
      </c>
      <c r="F326" s="20">
        <v>359736.88709999999</v>
      </c>
      <c r="G326" s="30">
        <f t="shared" si="16"/>
        <v>382783.88709999999</v>
      </c>
      <c r="H326" t="str">
        <f>IFERROR(VLOOKUP(C326,Sheet1!$B$2:$C$25,2,FALSE),"")</f>
        <v/>
      </c>
      <c r="I326">
        <f t="shared" si="17"/>
        <v>1613</v>
      </c>
    </row>
    <row r="327" spans="1:9" x14ac:dyDescent="0.2">
      <c r="A327" t="str">
        <f t="shared" si="15"/>
        <v/>
      </c>
      <c r="B327" s="20">
        <v>2017</v>
      </c>
      <c r="C327" s="21" t="s">
        <v>42</v>
      </c>
      <c r="D327" s="21" t="s">
        <v>42</v>
      </c>
      <c r="E327" s="23">
        <v>26427</v>
      </c>
      <c r="F327" s="20">
        <v>436848.86440000002</v>
      </c>
      <c r="G327" s="30">
        <f t="shared" si="16"/>
        <v>463275.86440000002</v>
      </c>
      <c r="H327" t="str">
        <f>IFERROR(VLOOKUP(C327,Sheet1!$B$2:$C$25,2,FALSE),"")</f>
        <v/>
      </c>
      <c r="I327">
        <f t="shared" si="17"/>
        <v>1613</v>
      </c>
    </row>
    <row r="328" spans="1:9" x14ac:dyDescent="0.2">
      <c r="A328" t="str">
        <f t="shared" si="15"/>
        <v/>
      </c>
      <c r="B328" s="20">
        <v>2018</v>
      </c>
      <c r="C328" s="21" t="s">
        <v>42</v>
      </c>
      <c r="D328" s="21" t="s">
        <v>42</v>
      </c>
      <c r="E328" s="23">
        <v>29616</v>
      </c>
      <c r="F328" s="20">
        <v>445611.3676</v>
      </c>
      <c r="G328" s="30">
        <f t="shared" si="16"/>
        <v>475227.3676</v>
      </c>
      <c r="H328" t="str">
        <f>IFERROR(VLOOKUP(C328,Sheet1!$B$2:$C$25,2,FALSE),"")</f>
        <v/>
      </c>
      <c r="I328">
        <f t="shared" si="17"/>
        <v>1613</v>
      </c>
    </row>
    <row r="329" spans="1:9" x14ac:dyDescent="0.2">
      <c r="A329" t="str">
        <f t="shared" si="15"/>
        <v/>
      </c>
      <c r="B329" s="20">
        <v>2019</v>
      </c>
      <c r="C329" s="21" t="s">
        <v>42</v>
      </c>
      <c r="D329" s="21" t="s">
        <v>42</v>
      </c>
      <c r="E329" s="23">
        <v>29648</v>
      </c>
      <c r="F329" s="20">
        <v>426578.9399</v>
      </c>
      <c r="G329" s="30">
        <f t="shared" si="16"/>
        <v>456226.9399</v>
      </c>
      <c r="H329" t="str">
        <f>IFERROR(VLOOKUP(C329,Sheet1!$B$2:$C$25,2,FALSE),"")</f>
        <v/>
      </c>
      <c r="I329">
        <f t="shared" si="17"/>
        <v>1613</v>
      </c>
    </row>
    <row r="330" spans="1:9" x14ac:dyDescent="0.2">
      <c r="A330" t="str">
        <f t="shared" si="15"/>
        <v/>
      </c>
      <c r="B330" s="20">
        <v>2020</v>
      </c>
      <c r="C330" s="21" t="s">
        <v>42</v>
      </c>
      <c r="D330" s="21" t="s">
        <v>42</v>
      </c>
      <c r="E330" s="23">
        <v>31922</v>
      </c>
      <c r="F330" s="20">
        <v>446248.64730000001</v>
      </c>
      <c r="G330" s="30">
        <f t="shared" si="16"/>
        <v>478170.64730000001</v>
      </c>
      <c r="H330" t="str">
        <f>IFERROR(VLOOKUP(C330,Sheet1!$B$2:$C$25,2,FALSE),"")</f>
        <v/>
      </c>
      <c r="I330">
        <f t="shared" si="17"/>
        <v>1613</v>
      </c>
    </row>
    <row r="331" spans="1:9" x14ac:dyDescent="0.2">
      <c r="A331" t="str">
        <f t="shared" si="15"/>
        <v/>
      </c>
      <c r="B331" s="20">
        <v>2021</v>
      </c>
      <c r="C331" s="21" t="s">
        <v>42</v>
      </c>
      <c r="D331" s="21" t="s">
        <v>42</v>
      </c>
      <c r="E331" s="23">
        <v>37865</v>
      </c>
      <c r="F331" s="20">
        <v>494289.14909999998</v>
      </c>
      <c r="G331" s="30">
        <f t="shared" si="16"/>
        <v>532154.14910000004</v>
      </c>
      <c r="H331" t="str">
        <f>IFERROR(VLOOKUP(C331,Sheet1!$B$2:$C$25,2,FALSE),"")</f>
        <v/>
      </c>
      <c r="I331">
        <f t="shared" si="17"/>
        <v>1613</v>
      </c>
    </row>
    <row r="332" spans="1:9" x14ac:dyDescent="0.2">
      <c r="A332" t="str">
        <f t="shared" si="15"/>
        <v/>
      </c>
      <c r="B332" s="20">
        <v>2022</v>
      </c>
      <c r="C332" s="21" t="s">
        <v>42</v>
      </c>
      <c r="D332" s="21" t="s">
        <v>42</v>
      </c>
      <c r="E332" s="23">
        <v>38506</v>
      </c>
      <c r="F332" s="20">
        <v>529362.08680000005</v>
      </c>
      <c r="G332" s="30">
        <f t="shared" si="16"/>
        <v>567868.08680000005</v>
      </c>
      <c r="H332" t="str">
        <f>IFERROR(VLOOKUP(C332,Sheet1!$B$2:$C$25,2,FALSE),"")</f>
        <v/>
      </c>
      <c r="I332">
        <f t="shared" si="17"/>
        <v>1613</v>
      </c>
    </row>
    <row r="333" spans="1:9" x14ac:dyDescent="0.2">
      <c r="A333" t="str">
        <f t="shared" si="15"/>
        <v/>
      </c>
      <c r="B333" s="20">
        <v>2023</v>
      </c>
      <c r="C333" s="21" t="s">
        <v>42</v>
      </c>
      <c r="D333" s="21" t="s">
        <v>42</v>
      </c>
      <c r="E333" s="23">
        <v>6514</v>
      </c>
      <c r="F333" s="20">
        <v>87181.826629999996</v>
      </c>
      <c r="G333" s="30">
        <f t="shared" si="16"/>
        <v>93695.826629999996</v>
      </c>
      <c r="H333" t="str">
        <f>IFERROR(VLOOKUP(C333,Sheet1!$B$2:$C$25,2,FALSE),"")</f>
        <v/>
      </c>
      <c r="I333">
        <f t="shared" si="17"/>
        <v>1613</v>
      </c>
    </row>
    <row r="334" spans="1:9" x14ac:dyDescent="0.2">
      <c r="A334">
        <f t="shared" si="15"/>
        <v>2400210</v>
      </c>
      <c r="B334" s="20">
        <v>2015</v>
      </c>
      <c r="C334" s="21" t="s">
        <v>44</v>
      </c>
      <c r="D334" s="21" t="s">
        <v>44</v>
      </c>
      <c r="E334" s="23">
        <v>1812860</v>
      </c>
      <c r="F334" s="20">
        <v>28438432.359999999</v>
      </c>
      <c r="G334" s="30">
        <f t="shared" si="16"/>
        <v>30251292.359999999</v>
      </c>
      <c r="H334">
        <f>IFERROR(VLOOKUP(C334,Sheet1!$B$2:$C$25,2,FALSE),"")</f>
        <v>2400210</v>
      </c>
      <c r="I334">
        <f t="shared" si="17"/>
        <v>9</v>
      </c>
    </row>
    <row r="335" spans="1:9" x14ac:dyDescent="0.2">
      <c r="A335">
        <f t="shared" si="15"/>
        <v>2400210</v>
      </c>
      <c r="B335" s="20">
        <v>2016</v>
      </c>
      <c r="C335" s="21" t="s">
        <v>44</v>
      </c>
      <c r="D335" s="21" t="s">
        <v>44</v>
      </c>
      <c r="E335" s="23">
        <v>1578985</v>
      </c>
      <c r="F335" s="20">
        <v>24646120.91</v>
      </c>
      <c r="G335" s="30">
        <f t="shared" si="16"/>
        <v>26225105.91</v>
      </c>
      <c r="H335">
        <f>IFERROR(VLOOKUP(C335,Sheet1!$B$2:$C$25,2,FALSE),"")</f>
        <v>2400210</v>
      </c>
      <c r="I335">
        <f t="shared" si="17"/>
        <v>9</v>
      </c>
    </row>
    <row r="336" spans="1:9" x14ac:dyDescent="0.2">
      <c r="A336">
        <f t="shared" si="15"/>
        <v>2400210</v>
      </c>
      <c r="B336" s="20">
        <v>2017</v>
      </c>
      <c r="C336" s="21" t="s">
        <v>44</v>
      </c>
      <c r="D336" s="21" t="s">
        <v>44</v>
      </c>
      <c r="E336" s="23">
        <v>1483376</v>
      </c>
      <c r="F336" s="20">
        <v>24520797.710000001</v>
      </c>
      <c r="G336" s="30">
        <f t="shared" si="16"/>
        <v>26004173.710000001</v>
      </c>
      <c r="H336">
        <f>IFERROR(VLOOKUP(C336,Sheet1!$B$2:$C$25,2,FALSE),"")</f>
        <v>2400210</v>
      </c>
      <c r="I336">
        <f t="shared" si="17"/>
        <v>9</v>
      </c>
    </row>
    <row r="337" spans="1:9" x14ac:dyDescent="0.2">
      <c r="A337">
        <f t="shared" si="15"/>
        <v>2400210</v>
      </c>
      <c r="B337" s="20">
        <v>2018</v>
      </c>
      <c r="C337" s="21" t="s">
        <v>44</v>
      </c>
      <c r="D337" s="21" t="s">
        <v>44</v>
      </c>
      <c r="E337" s="23">
        <v>1648440</v>
      </c>
      <c r="F337" s="20">
        <v>24802930.949999999</v>
      </c>
      <c r="G337" s="30">
        <f t="shared" si="16"/>
        <v>26451370.949999999</v>
      </c>
      <c r="H337">
        <f>IFERROR(VLOOKUP(C337,Sheet1!$B$2:$C$25,2,FALSE),"")</f>
        <v>2400210</v>
      </c>
      <c r="I337">
        <f t="shared" si="17"/>
        <v>9</v>
      </c>
    </row>
    <row r="338" spans="1:9" x14ac:dyDescent="0.2">
      <c r="A338">
        <f t="shared" si="15"/>
        <v>2400210</v>
      </c>
      <c r="B338" s="20">
        <v>2019</v>
      </c>
      <c r="C338" s="21" t="s">
        <v>44</v>
      </c>
      <c r="D338" s="21" t="s">
        <v>44</v>
      </c>
      <c r="E338" s="23">
        <v>1768908</v>
      </c>
      <c r="F338" s="20">
        <v>25451258.079999998</v>
      </c>
      <c r="G338" s="30">
        <f t="shared" si="16"/>
        <v>27220166.079999998</v>
      </c>
      <c r="H338">
        <f>IFERROR(VLOOKUP(C338,Sheet1!$B$2:$C$25,2,FALSE),"")</f>
        <v>2400210</v>
      </c>
      <c r="I338">
        <f t="shared" si="17"/>
        <v>9</v>
      </c>
    </row>
    <row r="339" spans="1:9" x14ac:dyDescent="0.2">
      <c r="A339">
        <f t="shared" si="15"/>
        <v>2400210</v>
      </c>
      <c r="B339" s="20">
        <v>2020</v>
      </c>
      <c r="C339" s="21" t="s">
        <v>44</v>
      </c>
      <c r="D339" s="21" t="s">
        <v>44</v>
      </c>
      <c r="E339" s="23">
        <v>1900389</v>
      </c>
      <c r="F339" s="20">
        <v>26566193.239999998</v>
      </c>
      <c r="G339" s="30">
        <f t="shared" si="16"/>
        <v>28466582.239999998</v>
      </c>
      <c r="H339">
        <f>IFERROR(VLOOKUP(C339,Sheet1!$B$2:$C$25,2,FALSE),"")</f>
        <v>2400210</v>
      </c>
      <c r="I339">
        <f t="shared" si="17"/>
        <v>9</v>
      </c>
    </row>
    <row r="340" spans="1:9" x14ac:dyDescent="0.2">
      <c r="A340">
        <f t="shared" si="15"/>
        <v>2400210</v>
      </c>
      <c r="B340" s="20">
        <v>2021</v>
      </c>
      <c r="C340" s="21" t="s">
        <v>44</v>
      </c>
      <c r="D340" s="21" t="s">
        <v>44</v>
      </c>
      <c r="E340" s="23">
        <v>2091882</v>
      </c>
      <c r="F340" s="20">
        <v>27307396.640000001</v>
      </c>
      <c r="G340" s="30">
        <f t="shared" si="16"/>
        <v>29399278.640000001</v>
      </c>
      <c r="H340">
        <f>IFERROR(VLOOKUP(C340,Sheet1!$B$2:$C$25,2,FALSE),"")</f>
        <v>2400210</v>
      </c>
      <c r="I340">
        <f t="shared" si="17"/>
        <v>9</v>
      </c>
    </row>
    <row r="341" spans="1:9" x14ac:dyDescent="0.2">
      <c r="A341">
        <f t="shared" si="15"/>
        <v>2400210</v>
      </c>
      <c r="B341" s="20">
        <v>2022</v>
      </c>
      <c r="C341" s="21" t="s">
        <v>44</v>
      </c>
      <c r="D341" s="21" t="s">
        <v>44</v>
      </c>
      <c r="E341" s="23">
        <v>2220611</v>
      </c>
      <c r="F341" s="20">
        <v>30527898.84</v>
      </c>
      <c r="G341" s="30">
        <f t="shared" si="16"/>
        <v>32748509.84</v>
      </c>
      <c r="H341">
        <f>IFERROR(VLOOKUP(C341,Sheet1!$B$2:$C$25,2,FALSE),"")</f>
        <v>2400210</v>
      </c>
      <c r="I341">
        <f t="shared" si="17"/>
        <v>9</v>
      </c>
    </row>
    <row r="342" spans="1:9" x14ac:dyDescent="0.2">
      <c r="A342">
        <f t="shared" si="15"/>
        <v>2400210</v>
      </c>
      <c r="B342" s="20">
        <v>2023</v>
      </c>
      <c r="C342" s="21" t="s">
        <v>44</v>
      </c>
      <c r="D342" s="21" t="s">
        <v>44</v>
      </c>
      <c r="E342" s="23">
        <v>2318314</v>
      </c>
      <c r="F342" s="20">
        <v>31027763.16</v>
      </c>
      <c r="G342" s="30">
        <f t="shared" si="16"/>
        <v>33346077.16</v>
      </c>
      <c r="H342">
        <f>IFERROR(VLOOKUP(C342,Sheet1!$B$2:$C$25,2,FALSE),"")</f>
        <v>2400210</v>
      </c>
      <c r="I342">
        <f t="shared" si="17"/>
        <v>9</v>
      </c>
    </row>
    <row r="343" spans="1:9" x14ac:dyDescent="0.2">
      <c r="A343" t="str">
        <f t="shared" si="15"/>
        <v/>
      </c>
      <c r="B343" s="20">
        <v>2015</v>
      </c>
      <c r="C343" s="21" t="s">
        <v>45</v>
      </c>
      <c r="D343" s="21" t="s">
        <v>45</v>
      </c>
      <c r="E343" s="23">
        <v>25744</v>
      </c>
      <c r="F343" s="20">
        <v>403847.51319999999</v>
      </c>
      <c r="G343" s="30">
        <f t="shared" si="16"/>
        <v>429591.51319999999</v>
      </c>
      <c r="H343" t="str">
        <f>IFERROR(VLOOKUP(C343,Sheet1!$B$2:$C$25,2,FALSE),"")</f>
        <v/>
      </c>
      <c r="I343">
        <f t="shared" si="17"/>
        <v>1613</v>
      </c>
    </row>
    <row r="344" spans="1:9" x14ac:dyDescent="0.2">
      <c r="A344" t="str">
        <f t="shared" si="15"/>
        <v/>
      </c>
      <c r="B344" s="20">
        <v>2016</v>
      </c>
      <c r="C344" s="21" t="s">
        <v>45</v>
      </c>
      <c r="D344" s="21" t="s">
        <v>45</v>
      </c>
      <c r="E344" s="23">
        <v>19607</v>
      </c>
      <c r="F344" s="20">
        <v>306042.48469999997</v>
      </c>
      <c r="G344" s="30">
        <f t="shared" si="16"/>
        <v>325649.48469999997</v>
      </c>
      <c r="H344" t="str">
        <f>IFERROR(VLOOKUP(C344,Sheet1!$B$2:$C$25,2,FALSE),"")</f>
        <v/>
      </c>
      <c r="I344">
        <f t="shared" si="17"/>
        <v>1613</v>
      </c>
    </row>
    <row r="345" spans="1:9" x14ac:dyDescent="0.2">
      <c r="A345" t="str">
        <f t="shared" si="15"/>
        <v/>
      </c>
      <c r="B345" s="20">
        <v>2017</v>
      </c>
      <c r="C345" s="21" t="s">
        <v>45</v>
      </c>
      <c r="D345" s="21" t="s">
        <v>45</v>
      </c>
      <c r="E345" s="23">
        <v>21748</v>
      </c>
      <c r="F345" s="20">
        <v>359503.12569999998</v>
      </c>
      <c r="G345" s="30">
        <f t="shared" si="16"/>
        <v>381251.12569999998</v>
      </c>
      <c r="H345" t="str">
        <f>IFERROR(VLOOKUP(C345,Sheet1!$B$2:$C$25,2,FALSE),"")</f>
        <v/>
      </c>
      <c r="I345">
        <f t="shared" si="17"/>
        <v>1613</v>
      </c>
    </row>
    <row r="346" spans="1:9" x14ac:dyDescent="0.2">
      <c r="A346" t="str">
        <f t="shared" si="15"/>
        <v/>
      </c>
      <c r="B346" s="20">
        <v>2018</v>
      </c>
      <c r="C346" s="21" t="s">
        <v>45</v>
      </c>
      <c r="D346" s="21" t="s">
        <v>45</v>
      </c>
      <c r="E346" s="23">
        <v>23459</v>
      </c>
      <c r="F346" s="20">
        <v>352971.26799999998</v>
      </c>
      <c r="G346" s="30">
        <f t="shared" si="16"/>
        <v>376430.26799999998</v>
      </c>
      <c r="H346" t="str">
        <f>IFERROR(VLOOKUP(C346,Sheet1!$B$2:$C$25,2,FALSE),"")</f>
        <v/>
      </c>
      <c r="I346">
        <f t="shared" si="17"/>
        <v>1613</v>
      </c>
    </row>
    <row r="347" spans="1:9" x14ac:dyDescent="0.2">
      <c r="A347" t="str">
        <f t="shared" si="15"/>
        <v/>
      </c>
      <c r="B347" s="20">
        <v>2019</v>
      </c>
      <c r="C347" s="21" t="s">
        <v>45</v>
      </c>
      <c r="D347" s="21" t="s">
        <v>45</v>
      </c>
      <c r="E347" s="23">
        <v>25566</v>
      </c>
      <c r="F347" s="20">
        <v>367846.63990000001</v>
      </c>
      <c r="G347" s="30">
        <f t="shared" si="16"/>
        <v>393412.63990000001</v>
      </c>
      <c r="H347" t="str">
        <f>IFERROR(VLOOKUP(C347,Sheet1!$B$2:$C$25,2,FALSE),"")</f>
        <v/>
      </c>
      <c r="I347">
        <f t="shared" si="17"/>
        <v>1613</v>
      </c>
    </row>
    <row r="348" spans="1:9" x14ac:dyDescent="0.2">
      <c r="A348" t="str">
        <f t="shared" si="15"/>
        <v/>
      </c>
      <c r="B348" s="20">
        <v>2020</v>
      </c>
      <c r="C348" s="21" t="s">
        <v>45</v>
      </c>
      <c r="D348" s="21" t="s">
        <v>45</v>
      </c>
      <c r="E348" s="23">
        <v>27566</v>
      </c>
      <c r="F348" s="20">
        <v>385354.62099999998</v>
      </c>
      <c r="G348" s="30">
        <f t="shared" si="16"/>
        <v>412920.62099999998</v>
      </c>
      <c r="H348" t="str">
        <f>IFERROR(VLOOKUP(C348,Sheet1!$B$2:$C$25,2,FALSE),"")</f>
        <v/>
      </c>
      <c r="I348">
        <f t="shared" si="17"/>
        <v>1613</v>
      </c>
    </row>
    <row r="349" spans="1:9" x14ac:dyDescent="0.2">
      <c r="A349" t="str">
        <f t="shared" si="15"/>
        <v/>
      </c>
      <c r="B349" s="20">
        <v>2021</v>
      </c>
      <c r="C349" s="21" t="s">
        <v>45</v>
      </c>
      <c r="D349" s="21" t="s">
        <v>45</v>
      </c>
      <c r="E349" s="23">
        <v>30496</v>
      </c>
      <c r="F349" s="20">
        <v>398094.3322</v>
      </c>
      <c r="G349" s="30">
        <f t="shared" si="16"/>
        <v>428590.3322</v>
      </c>
      <c r="H349" t="str">
        <f>IFERROR(VLOOKUP(C349,Sheet1!$B$2:$C$25,2,FALSE),"")</f>
        <v/>
      </c>
      <c r="I349">
        <f t="shared" si="17"/>
        <v>1613</v>
      </c>
    </row>
    <row r="350" spans="1:9" x14ac:dyDescent="0.2">
      <c r="A350" t="str">
        <f t="shared" si="15"/>
        <v/>
      </c>
      <c r="B350" s="20">
        <v>2022</v>
      </c>
      <c r="C350" s="21" t="s">
        <v>45</v>
      </c>
      <c r="D350" s="21" t="s">
        <v>45</v>
      </c>
      <c r="E350" s="23">
        <v>31479</v>
      </c>
      <c r="F350" s="20">
        <v>432758.2488</v>
      </c>
      <c r="G350" s="30">
        <f t="shared" si="16"/>
        <v>464237.2488</v>
      </c>
      <c r="H350" t="str">
        <f>IFERROR(VLOOKUP(C350,Sheet1!$B$2:$C$25,2,FALSE),"")</f>
        <v/>
      </c>
      <c r="I350">
        <f t="shared" si="17"/>
        <v>1613</v>
      </c>
    </row>
    <row r="351" spans="1:9" x14ac:dyDescent="0.2">
      <c r="A351" t="str">
        <f t="shared" si="15"/>
        <v/>
      </c>
      <c r="B351" s="20">
        <v>2023</v>
      </c>
      <c r="C351" s="21" t="s">
        <v>45</v>
      </c>
      <c r="D351" s="21" t="s">
        <v>45</v>
      </c>
      <c r="E351" s="23">
        <v>36265</v>
      </c>
      <c r="F351" s="20">
        <v>485362.13429999998</v>
      </c>
      <c r="G351" s="30">
        <f t="shared" si="16"/>
        <v>521627.13429999998</v>
      </c>
      <c r="H351" t="str">
        <f>IFERROR(VLOOKUP(C351,Sheet1!$B$2:$C$25,2,FALSE),"")</f>
        <v/>
      </c>
      <c r="I351">
        <f t="shared" si="17"/>
        <v>1613</v>
      </c>
    </row>
    <row r="352" spans="1:9" x14ac:dyDescent="0.2">
      <c r="A352" t="str">
        <f t="shared" si="15"/>
        <v/>
      </c>
      <c r="B352" s="20">
        <v>2015</v>
      </c>
      <c r="C352" s="21" t="s">
        <v>46</v>
      </c>
      <c r="D352" s="21" t="s">
        <v>46</v>
      </c>
      <c r="E352" s="23">
        <v>39671</v>
      </c>
      <c r="F352" s="20">
        <v>622321.11159999995</v>
      </c>
      <c r="G352" s="30">
        <f t="shared" si="16"/>
        <v>661992.11159999995</v>
      </c>
      <c r="H352" t="str">
        <f>IFERROR(VLOOKUP(C352,Sheet1!$B$2:$C$25,2,FALSE),"")</f>
        <v/>
      </c>
      <c r="I352">
        <f t="shared" si="17"/>
        <v>1613</v>
      </c>
    </row>
    <row r="353" spans="1:9" x14ac:dyDescent="0.2">
      <c r="A353" t="str">
        <f t="shared" si="15"/>
        <v/>
      </c>
      <c r="B353" s="20">
        <v>2016</v>
      </c>
      <c r="C353" s="21" t="s">
        <v>46</v>
      </c>
      <c r="D353" s="21" t="s">
        <v>46</v>
      </c>
      <c r="E353" s="23">
        <v>33942</v>
      </c>
      <c r="F353" s="20">
        <v>529795.17599999998</v>
      </c>
      <c r="G353" s="30">
        <f t="shared" si="16"/>
        <v>563737.17599999998</v>
      </c>
      <c r="H353" t="str">
        <f>IFERROR(VLOOKUP(C353,Sheet1!$B$2:$C$25,2,FALSE),"")</f>
        <v/>
      </c>
      <c r="I353">
        <f t="shared" si="17"/>
        <v>1613</v>
      </c>
    </row>
    <row r="354" spans="1:9" x14ac:dyDescent="0.2">
      <c r="A354" t="str">
        <f t="shared" si="15"/>
        <v/>
      </c>
      <c r="B354" s="20">
        <v>2017</v>
      </c>
      <c r="C354" s="21" t="s">
        <v>46</v>
      </c>
      <c r="D354" s="21" t="s">
        <v>46</v>
      </c>
      <c r="E354" s="23">
        <v>32593</v>
      </c>
      <c r="F354" s="20">
        <v>538775.30700000003</v>
      </c>
      <c r="G354" s="30">
        <f t="shared" si="16"/>
        <v>571368.30700000003</v>
      </c>
      <c r="H354" t="str">
        <f>IFERROR(VLOOKUP(C354,Sheet1!$B$2:$C$25,2,FALSE),"")</f>
        <v/>
      </c>
      <c r="I354">
        <f t="shared" si="17"/>
        <v>1613</v>
      </c>
    </row>
    <row r="355" spans="1:9" x14ac:dyDescent="0.2">
      <c r="A355" t="str">
        <f t="shared" si="15"/>
        <v/>
      </c>
      <c r="B355" s="20">
        <v>2018</v>
      </c>
      <c r="C355" s="21" t="s">
        <v>46</v>
      </c>
      <c r="D355" s="21" t="s">
        <v>208</v>
      </c>
      <c r="E355" s="23">
        <v>39568</v>
      </c>
      <c r="F355" s="20">
        <v>595352.19460000005</v>
      </c>
      <c r="G355" s="30">
        <f t="shared" si="16"/>
        <v>634920.19460000005</v>
      </c>
      <c r="H355" t="str">
        <f>IFERROR(VLOOKUP(C355,Sheet1!$B$2:$C$25,2,FALSE),"")</f>
        <v/>
      </c>
      <c r="I355">
        <f t="shared" si="17"/>
        <v>1613</v>
      </c>
    </row>
    <row r="356" spans="1:9" x14ac:dyDescent="0.2">
      <c r="A356" t="str">
        <f t="shared" si="15"/>
        <v/>
      </c>
      <c r="B356" s="20">
        <v>2019</v>
      </c>
      <c r="C356" s="21" t="s">
        <v>46</v>
      </c>
      <c r="D356" s="21" t="s">
        <v>46</v>
      </c>
      <c r="E356" s="23">
        <v>42198</v>
      </c>
      <c r="F356" s="20">
        <v>607149.82819999999</v>
      </c>
      <c r="G356" s="30">
        <f t="shared" si="16"/>
        <v>649347.82819999999</v>
      </c>
      <c r="H356" t="str">
        <f>IFERROR(VLOOKUP(C356,Sheet1!$B$2:$C$25,2,FALSE),"")</f>
        <v/>
      </c>
      <c r="I356">
        <f t="shared" si="17"/>
        <v>1613</v>
      </c>
    </row>
    <row r="357" spans="1:9" x14ac:dyDescent="0.2">
      <c r="A357" t="str">
        <f t="shared" si="15"/>
        <v/>
      </c>
      <c r="B357" s="20">
        <v>2020</v>
      </c>
      <c r="C357" s="21" t="s">
        <v>46</v>
      </c>
      <c r="D357" s="21" t="s">
        <v>46</v>
      </c>
      <c r="E357" s="23">
        <v>39623</v>
      </c>
      <c r="F357" s="20">
        <v>553903.58219999995</v>
      </c>
      <c r="G357" s="30">
        <f t="shared" si="16"/>
        <v>593526.58219999995</v>
      </c>
      <c r="H357" t="str">
        <f>IFERROR(VLOOKUP(C357,Sheet1!$B$2:$C$25,2,FALSE),"")</f>
        <v/>
      </c>
      <c r="I357">
        <f t="shared" si="17"/>
        <v>1613</v>
      </c>
    </row>
    <row r="358" spans="1:9" x14ac:dyDescent="0.2">
      <c r="A358" t="str">
        <f t="shared" si="15"/>
        <v/>
      </c>
      <c r="B358" s="20">
        <v>2021</v>
      </c>
      <c r="C358" s="21" t="s">
        <v>46</v>
      </c>
      <c r="D358" s="21" t="s">
        <v>46</v>
      </c>
      <c r="E358" s="23">
        <v>43098</v>
      </c>
      <c r="F358" s="20">
        <v>562600.65350000001</v>
      </c>
      <c r="G358" s="30">
        <f t="shared" si="16"/>
        <v>605698.65350000001</v>
      </c>
      <c r="H358" t="str">
        <f>IFERROR(VLOOKUP(C358,Sheet1!$B$2:$C$25,2,FALSE),"")</f>
        <v/>
      </c>
      <c r="I358">
        <f t="shared" si="17"/>
        <v>1613</v>
      </c>
    </row>
    <row r="359" spans="1:9" x14ac:dyDescent="0.2">
      <c r="A359" t="str">
        <f t="shared" si="15"/>
        <v/>
      </c>
      <c r="B359" s="20">
        <v>2022</v>
      </c>
      <c r="C359" s="21" t="s">
        <v>46</v>
      </c>
      <c r="D359" s="21" t="s">
        <v>46</v>
      </c>
      <c r="E359" s="23">
        <v>46640</v>
      </c>
      <c r="F359" s="20">
        <v>641184.43169999996</v>
      </c>
      <c r="G359" s="30">
        <f t="shared" si="16"/>
        <v>687824.43169999996</v>
      </c>
      <c r="H359" t="str">
        <f>IFERROR(VLOOKUP(C359,Sheet1!$B$2:$C$25,2,FALSE),"")</f>
        <v/>
      </c>
      <c r="I359">
        <f t="shared" si="17"/>
        <v>1613</v>
      </c>
    </row>
    <row r="360" spans="1:9" x14ac:dyDescent="0.2">
      <c r="A360" t="str">
        <f t="shared" si="15"/>
        <v/>
      </c>
      <c r="B360" s="20">
        <v>2023</v>
      </c>
      <c r="C360" s="21" t="s">
        <v>46</v>
      </c>
      <c r="D360" s="21" t="s">
        <v>46</v>
      </c>
      <c r="E360" s="23">
        <v>40540</v>
      </c>
      <c r="F360" s="20">
        <v>542577.71750000003</v>
      </c>
      <c r="G360" s="30">
        <f t="shared" si="16"/>
        <v>583117.71750000003</v>
      </c>
      <c r="H360" t="str">
        <f>IFERROR(VLOOKUP(C360,Sheet1!$B$2:$C$25,2,FALSE),"")</f>
        <v/>
      </c>
      <c r="I360">
        <f t="shared" si="17"/>
        <v>1613</v>
      </c>
    </row>
    <row r="361" spans="1:9" x14ac:dyDescent="0.2">
      <c r="A361" t="str">
        <f t="shared" si="15"/>
        <v/>
      </c>
      <c r="B361" s="20">
        <v>2015</v>
      </c>
      <c r="C361" s="21" t="s">
        <v>47</v>
      </c>
      <c r="D361" s="21" t="s">
        <v>47</v>
      </c>
      <c r="E361" s="23">
        <v>1490549</v>
      </c>
      <c r="F361" s="20">
        <v>23382322.370000001</v>
      </c>
      <c r="G361" s="30">
        <f t="shared" si="16"/>
        <v>24872871.370000001</v>
      </c>
      <c r="H361" t="str">
        <f>IFERROR(VLOOKUP(C361,Sheet1!$B$2:$C$25,2,FALSE),"")</f>
        <v/>
      </c>
      <c r="I361">
        <f t="shared" si="17"/>
        <v>1613</v>
      </c>
    </row>
    <row r="362" spans="1:9" x14ac:dyDescent="0.2">
      <c r="A362" t="str">
        <f t="shared" si="15"/>
        <v/>
      </c>
      <c r="B362" s="20">
        <v>2016</v>
      </c>
      <c r="C362" s="21" t="s">
        <v>47</v>
      </c>
      <c r="D362" s="21" t="s">
        <v>47</v>
      </c>
      <c r="E362" s="23">
        <v>1398061</v>
      </c>
      <c r="F362" s="20">
        <v>21822107.52</v>
      </c>
      <c r="G362" s="30">
        <f t="shared" si="16"/>
        <v>23220168.52</v>
      </c>
      <c r="H362" t="str">
        <f>IFERROR(VLOOKUP(C362,Sheet1!$B$2:$C$25,2,FALSE),"")</f>
        <v/>
      </c>
      <c r="I362">
        <f t="shared" si="17"/>
        <v>1613</v>
      </c>
    </row>
    <row r="363" spans="1:9" x14ac:dyDescent="0.2">
      <c r="A363" t="str">
        <f t="shared" si="15"/>
        <v/>
      </c>
      <c r="B363" s="20">
        <v>2017</v>
      </c>
      <c r="C363" s="21" t="s">
        <v>47</v>
      </c>
      <c r="D363" s="21" t="s">
        <v>47</v>
      </c>
      <c r="E363" s="23">
        <v>1332139</v>
      </c>
      <c r="F363" s="20">
        <v>22020789.699999999</v>
      </c>
      <c r="G363" s="30">
        <f t="shared" si="16"/>
        <v>23352928.699999999</v>
      </c>
      <c r="H363" t="str">
        <f>IFERROR(VLOOKUP(C363,Sheet1!$B$2:$C$25,2,FALSE),"")</f>
        <v/>
      </c>
      <c r="I363">
        <f t="shared" si="17"/>
        <v>1613</v>
      </c>
    </row>
    <row r="364" spans="1:9" x14ac:dyDescent="0.2">
      <c r="A364" t="str">
        <f t="shared" si="15"/>
        <v/>
      </c>
      <c r="B364" s="20">
        <v>2018</v>
      </c>
      <c r="C364" s="21" t="s">
        <v>47</v>
      </c>
      <c r="D364" s="21" t="s">
        <v>47</v>
      </c>
      <c r="E364" s="23">
        <v>1477699</v>
      </c>
      <c r="F364" s="20">
        <v>22233909.789999999</v>
      </c>
      <c r="G364" s="30">
        <f t="shared" si="16"/>
        <v>23711608.789999999</v>
      </c>
      <c r="H364" t="str">
        <f>IFERROR(VLOOKUP(C364,Sheet1!$B$2:$C$25,2,FALSE),"")</f>
        <v/>
      </c>
      <c r="I364">
        <f t="shared" si="17"/>
        <v>1613</v>
      </c>
    </row>
    <row r="365" spans="1:9" x14ac:dyDescent="0.2">
      <c r="A365" t="str">
        <f t="shared" si="15"/>
        <v/>
      </c>
      <c r="B365" s="20">
        <v>2019</v>
      </c>
      <c r="C365" s="21" t="s">
        <v>47</v>
      </c>
      <c r="D365" s="21" t="s">
        <v>47</v>
      </c>
      <c r="E365" s="23">
        <v>1630954</v>
      </c>
      <c r="F365" s="20">
        <v>23466359.57</v>
      </c>
      <c r="G365" s="30">
        <f t="shared" si="16"/>
        <v>25097313.57</v>
      </c>
      <c r="H365" t="str">
        <f>IFERROR(VLOOKUP(C365,Sheet1!$B$2:$C$25,2,FALSE),"")</f>
        <v/>
      </c>
      <c r="I365">
        <f t="shared" si="17"/>
        <v>1613</v>
      </c>
    </row>
    <row r="366" spans="1:9" x14ac:dyDescent="0.2">
      <c r="A366" t="str">
        <f t="shared" si="15"/>
        <v/>
      </c>
      <c r="B366" s="20">
        <v>2020</v>
      </c>
      <c r="C366" s="21" t="s">
        <v>47</v>
      </c>
      <c r="D366" s="21" t="s">
        <v>47</v>
      </c>
      <c r="E366" s="23">
        <v>1795296</v>
      </c>
      <c r="F366" s="20">
        <v>25097061.949999999</v>
      </c>
      <c r="G366" s="30">
        <f t="shared" si="16"/>
        <v>26892357.949999999</v>
      </c>
      <c r="H366" t="str">
        <f>IFERROR(VLOOKUP(C366,Sheet1!$B$2:$C$25,2,FALSE),"")</f>
        <v/>
      </c>
      <c r="I366">
        <f t="shared" si="17"/>
        <v>1613</v>
      </c>
    </row>
    <row r="367" spans="1:9" x14ac:dyDescent="0.2">
      <c r="A367" t="str">
        <f t="shared" si="15"/>
        <v/>
      </c>
      <c r="B367" s="20">
        <v>2021</v>
      </c>
      <c r="C367" s="21" t="s">
        <v>47</v>
      </c>
      <c r="D367" s="21" t="s">
        <v>47</v>
      </c>
      <c r="E367" s="23">
        <v>2048039</v>
      </c>
      <c r="F367" s="20">
        <v>26735070.77</v>
      </c>
      <c r="G367" s="30">
        <f t="shared" si="16"/>
        <v>28783109.77</v>
      </c>
      <c r="H367" t="str">
        <f>IFERROR(VLOOKUP(C367,Sheet1!$B$2:$C$25,2,FALSE),"")</f>
        <v/>
      </c>
      <c r="I367">
        <f t="shared" si="17"/>
        <v>1613</v>
      </c>
    </row>
    <row r="368" spans="1:9" x14ac:dyDescent="0.2">
      <c r="A368" t="str">
        <f t="shared" si="15"/>
        <v/>
      </c>
      <c r="B368" s="20">
        <v>2022</v>
      </c>
      <c r="C368" s="21" t="s">
        <v>47</v>
      </c>
      <c r="D368" s="21" t="s">
        <v>47</v>
      </c>
      <c r="E368" s="23">
        <v>2166187</v>
      </c>
      <c r="F368" s="20">
        <v>29779703.699999999</v>
      </c>
      <c r="G368" s="30">
        <f t="shared" si="16"/>
        <v>31945890.699999999</v>
      </c>
      <c r="H368" t="str">
        <f>IFERROR(VLOOKUP(C368,Sheet1!$B$2:$C$25,2,FALSE),"")</f>
        <v/>
      </c>
      <c r="I368">
        <f t="shared" si="17"/>
        <v>1613</v>
      </c>
    </row>
    <row r="369" spans="1:9" x14ac:dyDescent="0.2">
      <c r="A369" t="str">
        <f t="shared" si="15"/>
        <v/>
      </c>
      <c r="B369" s="20">
        <v>2023</v>
      </c>
      <c r="C369" s="21" t="s">
        <v>47</v>
      </c>
      <c r="D369" s="21" t="s">
        <v>47</v>
      </c>
      <c r="E369" s="23">
        <v>2485624</v>
      </c>
      <c r="F369" s="20">
        <v>33267000.399999999</v>
      </c>
      <c r="G369" s="30">
        <f t="shared" si="16"/>
        <v>35752624.399999999</v>
      </c>
      <c r="H369" t="str">
        <f>IFERROR(VLOOKUP(C369,Sheet1!$B$2:$C$25,2,FALSE),"")</f>
        <v/>
      </c>
      <c r="I369">
        <f t="shared" si="17"/>
        <v>1613</v>
      </c>
    </row>
    <row r="370" spans="1:9" x14ac:dyDescent="0.2">
      <c r="A370" t="str">
        <f t="shared" si="15"/>
        <v/>
      </c>
      <c r="B370" s="20">
        <v>2015</v>
      </c>
      <c r="C370" s="21" t="s">
        <v>48</v>
      </c>
      <c r="D370" s="21" t="s">
        <v>48</v>
      </c>
      <c r="E370" s="23">
        <v>37691</v>
      </c>
      <c r="F370" s="20">
        <v>591260.745</v>
      </c>
      <c r="G370" s="30">
        <f t="shared" si="16"/>
        <v>628951.745</v>
      </c>
      <c r="H370" t="str">
        <f>IFERROR(VLOOKUP(C370,Sheet1!$B$2:$C$25,2,FALSE),"")</f>
        <v/>
      </c>
      <c r="I370">
        <f t="shared" si="17"/>
        <v>1613</v>
      </c>
    </row>
    <row r="371" spans="1:9" x14ac:dyDescent="0.2">
      <c r="A371" t="str">
        <f t="shared" si="15"/>
        <v/>
      </c>
      <c r="B371" s="20">
        <v>2016</v>
      </c>
      <c r="C371" s="21" t="s">
        <v>48</v>
      </c>
      <c r="D371" s="21" t="s">
        <v>48</v>
      </c>
      <c r="E371" s="23">
        <v>36121</v>
      </c>
      <c r="F371" s="20">
        <v>563806.83369999996</v>
      </c>
      <c r="G371" s="30">
        <f t="shared" si="16"/>
        <v>599927.83369999996</v>
      </c>
      <c r="H371" t="str">
        <f>IFERROR(VLOOKUP(C371,Sheet1!$B$2:$C$25,2,FALSE),"")</f>
        <v/>
      </c>
      <c r="I371">
        <f t="shared" si="17"/>
        <v>1613</v>
      </c>
    </row>
    <row r="372" spans="1:9" x14ac:dyDescent="0.2">
      <c r="A372" t="str">
        <f t="shared" si="15"/>
        <v/>
      </c>
      <c r="B372" s="20">
        <v>2017</v>
      </c>
      <c r="C372" s="21" t="s">
        <v>48</v>
      </c>
      <c r="D372" s="21" t="s">
        <v>48</v>
      </c>
      <c r="E372" s="23">
        <v>39159</v>
      </c>
      <c r="F372" s="20">
        <v>647313.9094</v>
      </c>
      <c r="G372" s="30">
        <f t="shared" si="16"/>
        <v>686472.9094</v>
      </c>
      <c r="H372" t="str">
        <f>IFERROR(VLOOKUP(C372,Sheet1!$B$2:$C$25,2,FALSE),"")</f>
        <v/>
      </c>
      <c r="I372">
        <f t="shared" si="17"/>
        <v>1613</v>
      </c>
    </row>
    <row r="373" spans="1:9" x14ac:dyDescent="0.2">
      <c r="A373" t="str">
        <f t="shared" si="15"/>
        <v/>
      </c>
      <c r="B373" s="20">
        <v>2018</v>
      </c>
      <c r="C373" s="21" t="s">
        <v>48</v>
      </c>
      <c r="D373" s="21" t="s">
        <v>48</v>
      </c>
      <c r="E373" s="23">
        <v>46644</v>
      </c>
      <c r="F373" s="20">
        <v>701819.84849999996</v>
      </c>
      <c r="G373" s="30">
        <f t="shared" si="16"/>
        <v>748463.84849999996</v>
      </c>
      <c r="H373" t="str">
        <f>IFERROR(VLOOKUP(C373,Sheet1!$B$2:$C$25,2,FALSE),"")</f>
        <v/>
      </c>
      <c r="I373">
        <f t="shared" si="17"/>
        <v>1613</v>
      </c>
    </row>
    <row r="374" spans="1:9" x14ac:dyDescent="0.2">
      <c r="A374" t="str">
        <f t="shared" si="15"/>
        <v/>
      </c>
      <c r="B374" s="20">
        <v>2019</v>
      </c>
      <c r="C374" s="21" t="s">
        <v>48</v>
      </c>
      <c r="D374" s="21" t="s">
        <v>48</v>
      </c>
      <c r="E374" s="23">
        <v>46755</v>
      </c>
      <c r="F374" s="20">
        <v>672716.48459999997</v>
      </c>
      <c r="G374" s="30">
        <f t="shared" si="16"/>
        <v>719471.48459999997</v>
      </c>
      <c r="H374" t="str">
        <f>IFERROR(VLOOKUP(C374,Sheet1!$B$2:$C$25,2,FALSE),"")</f>
        <v/>
      </c>
      <c r="I374">
        <f t="shared" si="17"/>
        <v>1613</v>
      </c>
    </row>
    <row r="375" spans="1:9" x14ac:dyDescent="0.2">
      <c r="A375" t="str">
        <f t="shared" si="15"/>
        <v/>
      </c>
      <c r="B375" s="20">
        <v>2020</v>
      </c>
      <c r="C375" s="21" t="s">
        <v>48</v>
      </c>
      <c r="D375" s="21" t="s">
        <v>48</v>
      </c>
      <c r="E375" s="23">
        <v>48237</v>
      </c>
      <c r="F375" s="20">
        <v>674321.65899999999</v>
      </c>
      <c r="G375" s="30">
        <f t="shared" si="16"/>
        <v>722558.65899999999</v>
      </c>
      <c r="H375" t="str">
        <f>IFERROR(VLOOKUP(C375,Sheet1!$B$2:$C$25,2,FALSE),"")</f>
        <v/>
      </c>
      <c r="I375">
        <f t="shared" si="17"/>
        <v>1613</v>
      </c>
    </row>
    <row r="376" spans="1:9" x14ac:dyDescent="0.2">
      <c r="A376" t="str">
        <f t="shared" si="15"/>
        <v/>
      </c>
      <c r="B376" s="20">
        <v>2021</v>
      </c>
      <c r="C376" s="21" t="s">
        <v>48</v>
      </c>
      <c r="D376" s="21" t="s">
        <v>48</v>
      </c>
      <c r="E376" s="23">
        <v>57638</v>
      </c>
      <c r="F376" s="20">
        <v>752405.59809999994</v>
      </c>
      <c r="G376" s="30">
        <f t="shared" si="16"/>
        <v>810043.59809999994</v>
      </c>
      <c r="H376" t="str">
        <f>IFERROR(VLOOKUP(C376,Sheet1!$B$2:$C$25,2,FALSE),"")</f>
        <v/>
      </c>
      <c r="I376">
        <f t="shared" si="17"/>
        <v>1613</v>
      </c>
    </row>
    <row r="377" spans="1:9" x14ac:dyDescent="0.2">
      <c r="A377" t="str">
        <f t="shared" si="15"/>
        <v/>
      </c>
      <c r="B377" s="20">
        <v>2022</v>
      </c>
      <c r="C377" s="21" t="s">
        <v>48</v>
      </c>
      <c r="D377" s="21" t="s">
        <v>48</v>
      </c>
      <c r="E377" s="23">
        <v>65365</v>
      </c>
      <c r="F377" s="20">
        <v>898606.78339999996</v>
      </c>
      <c r="G377" s="30">
        <f t="shared" si="16"/>
        <v>963971.78339999996</v>
      </c>
      <c r="H377" t="str">
        <f>IFERROR(VLOOKUP(C377,Sheet1!$B$2:$C$25,2,FALSE),"")</f>
        <v/>
      </c>
      <c r="I377">
        <f t="shared" si="17"/>
        <v>1613</v>
      </c>
    </row>
    <row r="378" spans="1:9" x14ac:dyDescent="0.2">
      <c r="A378" t="str">
        <f t="shared" si="15"/>
        <v/>
      </c>
      <c r="B378" s="20">
        <v>2023</v>
      </c>
      <c r="C378" s="21" t="s">
        <v>48</v>
      </c>
      <c r="D378" s="21" t="s">
        <v>48</v>
      </c>
      <c r="E378" s="23">
        <v>76259</v>
      </c>
      <c r="F378" s="20">
        <v>1020632.318</v>
      </c>
      <c r="G378" s="30">
        <f t="shared" si="16"/>
        <v>1096891.318</v>
      </c>
      <c r="H378" t="str">
        <f>IFERROR(VLOOKUP(C378,Sheet1!$B$2:$C$25,2,FALSE),"")</f>
        <v/>
      </c>
      <c r="I378">
        <f t="shared" si="17"/>
        <v>1613</v>
      </c>
    </row>
    <row r="379" spans="1:9" x14ac:dyDescent="0.2">
      <c r="A379" t="str">
        <f t="shared" si="15"/>
        <v/>
      </c>
      <c r="B379" s="20">
        <v>2015</v>
      </c>
      <c r="C379" s="21" t="s">
        <v>49</v>
      </c>
      <c r="D379" s="21" t="s">
        <v>244</v>
      </c>
      <c r="E379" s="23">
        <v>19343</v>
      </c>
      <c r="F379" s="20">
        <v>303434.68180000002</v>
      </c>
      <c r="G379" s="30">
        <f t="shared" si="16"/>
        <v>322777.68180000002</v>
      </c>
      <c r="H379" t="str">
        <f>IFERROR(VLOOKUP(C379,Sheet1!$B$2:$C$25,2,FALSE),"")</f>
        <v/>
      </c>
      <c r="I379">
        <f t="shared" si="17"/>
        <v>1613</v>
      </c>
    </row>
    <row r="380" spans="1:9" x14ac:dyDescent="0.2">
      <c r="A380" t="str">
        <f t="shared" si="15"/>
        <v/>
      </c>
      <c r="B380" s="20">
        <v>2016</v>
      </c>
      <c r="C380" s="21" t="s">
        <v>49</v>
      </c>
      <c r="D380" s="21" t="s">
        <v>49</v>
      </c>
      <c r="E380" s="23">
        <v>21241</v>
      </c>
      <c r="F380" s="20">
        <v>331547.32579999999</v>
      </c>
      <c r="G380" s="30">
        <f t="shared" si="16"/>
        <v>352788.32579999999</v>
      </c>
      <c r="H380" t="str">
        <f>IFERROR(VLOOKUP(C380,Sheet1!$B$2:$C$25,2,FALSE),"")</f>
        <v/>
      </c>
      <c r="I380">
        <f t="shared" si="17"/>
        <v>1613</v>
      </c>
    </row>
    <row r="381" spans="1:9" x14ac:dyDescent="0.2">
      <c r="A381" t="str">
        <f t="shared" si="15"/>
        <v/>
      </c>
      <c r="B381" s="20">
        <v>2017</v>
      </c>
      <c r="C381" s="21" t="s">
        <v>49</v>
      </c>
      <c r="D381" s="21" t="s">
        <v>49</v>
      </c>
      <c r="E381" s="23">
        <v>24544</v>
      </c>
      <c r="F381" s="20">
        <v>405722.12239999999</v>
      </c>
      <c r="G381" s="30">
        <f t="shared" si="16"/>
        <v>430266.12239999999</v>
      </c>
      <c r="H381" t="str">
        <f>IFERROR(VLOOKUP(C381,Sheet1!$B$2:$C$25,2,FALSE),"")</f>
        <v/>
      </c>
      <c r="I381">
        <f t="shared" si="17"/>
        <v>1613</v>
      </c>
    </row>
    <row r="382" spans="1:9" x14ac:dyDescent="0.2">
      <c r="A382" t="str">
        <f t="shared" si="15"/>
        <v/>
      </c>
      <c r="B382" s="20">
        <v>2018</v>
      </c>
      <c r="C382" s="21" t="s">
        <v>49</v>
      </c>
      <c r="D382" s="21" t="s">
        <v>49</v>
      </c>
      <c r="E382" s="23">
        <v>24920</v>
      </c>
      <c r="F382" s="20">
        <v>374953.91960000002</v>
      </c>
      <c r="G382" s="30">
        <f t="shared" si="16"/>
        <v>399873.91960000002</v>
      </c>
      <c r="H382" t="str">
        <f>IFERROR(VLOOKUP(C382,Sheet1!$B$2:$C$25,2,FALSE),"")</f>
        <v/>
      </c>
      <c r="I382">
        <f t="shared" si="17"/>
        <v>1613</v>
      </c>
    </row>
    <row r="383" spans="1:9" x14ac:dyDescent="0.2">
      <c r="A383" t="str">
        <f t="shared" si="15"/>
        <v/>
      </c>
      <c r="B383" s="20">
        <v>2019</v>
      </c>
      <c r="C383" s="21" t="s">
        <v>49</v>
      </c>
      <c r="D383" s="21" t="s">
        <v>49</v>
      </c>
      <c r="E383" s="23">
        <v>24947</v>
      </c>
      <c r="F383" s="20">
        <v>358940.39439999999</v>
      </c>
      <c r="G383" s="30">
        <f t="shared" si="16"/>
        <v>383887.39439999999</v>
      </c>
      <c r="H383" t="str">
        <f>IFERROR(VLOOKUP(C383,Sheet1!$B$2:$C$25,2,FALSE),"")</f>
        <v/>
      </c>
      <c r="I383">
        <f t="shared" si="17"/>
        <v>1613</v>
      </c>
    </row>
    <row r="384" spans="1:9" x14ac:dyDescent="0.2">
      <c r="A384" t="str">
        <f t="shared" si="15"/>
        <v/>
      </c>
      <c r="B384" s="20">
        <v>2020</v>
      </c>
      <c r="C384" s="21" t="s">
        <v>49</v>
      </c>
      <c r="D384" s="21" t="s">
        <v>49</v>
      </c>
      <c r="E384" s="23">
        <v>27192</v>
      </c>
      <c r="F384" s="20">
        <v>380126.34600000002</v>
      </c>
      <c r="G384" s="30">
        <f t="shared" si="16"/>
        <v>407318.34600000002</v>
      </c>
      <c r="H384" t="str">
        <f>IFERROR(VLOOKUP(C384,Sheet1!$B$2:$C$25,2,FALSE),"")</f>
        <v/>
      </c>
      <c r="I384">
        <f t="shared" si="17"/>
        <v>1613</v>
      </c>
    </row>
    <row r="385" spans="1:9" x14ac:dyDescent="0.2">
      <c r="A385" t="str">
        <f t="shared" si="15"/>
        <v/>
      </c>
      <c r="B385" s="20">
        <v>2021</v>
      </c>
      <c r="C385" s="21" t="s">
        <v>49</v>
      </c>
      <c r="D385" s="21" t="s">
        <v>49</v>
      </c>
      <c r="E385" s="23">
        <v>29774</v>
      </c>
      <c r="F385" s="20">
        <v>388669.35489999998</v>
      </c>
      <c r="G385" s="30">
        <f t="shared" si="16"/>
        <v>418443.35489999998</v>
      </c>
      <c r="H385" t="str">
        <f>IFERROR(VLOOKUP(C385,Sheet1!$B$2:$C$25,2,FALSE),"")</f>
        <v/>
      </c>
      <c r="I385">
        <f t="shared" si="17"/>
        <v>1613</v>
      </c>
    </row>
    <row r="386" spans="1:9" x14ac:dyDescent="0.2">
      <c r="A386" t="str">
        <f t="shared" si="15"/>
        <v/>
      </c>
      <c r="B386" s="20">
        <v>2022</v>
      </c>
      <c r="C386" s="21" t="s">
        <v>49</v>
      </c>
      <c r="D386" s="21" t="s">
        <v>49</v>
      </c>
      <c r="E386" s="23">
        <v>30446</v>
      </c>
      <c r="F386" s="20">
        <v>418557.05849999998</v>
      </c>
      <c r="G386" s="30">
        <f t="shared" si="16"/>
        <v>449003.05849999998</v>
      </c>
      <c r="H386" t="str">
        <f>IFERROR(VLOOKUP(C386,Sheet1!$B$2:$C$25,2,FALSE),"")</f>
        <v/>
      </c>
      <c r="I386">
        <f t="shared" si="17"/>
        <v>1613</v>
      </c>
    </row>
    <row r="387" spans="1:9" x14ac:dyDescent="0.2">
      <c r="A387" t="str">
        <f t="shared" ref="A387:A450" si="18">H387</f>
        <v/>
      </c>
      <c r="B387" s="20">
        <v>2023</v>
      </c>
      <c r="C387" s="21" t="s">
        <v>49</v>
      </c>
      <c r="D387" s="21" t="s">
        <v>49</v>
      </c>
      <c r="E387" s="23">
        <v>31695</v>
      </c>
      <c r="F387" s="20">
        <v>424198.34129999997</v>
      </c>
      <c r="G387" s="30">
        <f t="shared" ref="G387:G450" si="19">SUM(E387:F387)</f>
        <v>455893.34129999997</v>
      </c>
      <c r="H387" t="str">
        <f>IFERROR(VLOOKUP(C387,Sheet1!$B$2:$C$25,2,FALSE),"")</f>
        <v/>
      </c>
      <c r="I387">
        <f t="shared" ref="I387:I450" si="20">COUNTIF($H$2:$H$1812,H387)</f>
        <v>1613</v>
      </c>
    </row>
    <row r="388" spans="1:9" x14ac:dyDescent="0.2">
      <c r="A388">
        <f t="shared" si="18"/>
        <v>2400240</v>
      </c>
      <c r="B388" s="20">
        <v>2015</v>
      </c>
      <c r="C388" s="21" t="s">
        <v>50</v>
      </c>
      <c r="D388" s="21" t="s">
        <v>50</v>
      </c>
      <c r="E388" s="23">
        <v>1097148</v>
      </c>
      <c r="F388" s="20">
        <v>17211019.710000001</v>
      </c>
      <c r="G388" s="30">
        <f t="shared" si="19"/>
        <v>18308167.710000001</v>
      </c>
      <c r="H388">
        <f>IFERROR(VLOOKUP(C388,Sheet1!$B$2:$C$25,2,FALSE),"")</f>
        <v>2400240</v>
      </c>
      <c r="I388">
        <f t="shared" si="20"/>
        <v>9</v>
      </c>
    </row>
    <row r="389" spans="1:9" x14ac:dyDescent="0.2">
      <c r="A389">
        <f t="shared" si="18"/>
        <v>2400240</v>
      </c>
      <c r="B389" s="20">
        <v>2016</v>
      </c>
      <c r="C389" s="21" t="s">
        <v>50</v>
      </c>
      <c r="D389" s="21" t="s">
        <v>50</v>
      </c>
      <c r="E389" s="23">
        <v>953101</v>
      </c>
      <c r="F389" s="20">
        <v>14876799.01</v>
      </c>
      <c r="G389" s="30">
        <f t="shared" si="19"/>
        <v>15829900.01</v>
      </c>
      <c r="H389">
        <f>IFERROR(VLOOKUP(C389,Sheet1!$B$2:$C$25,2,FALSE),"")</f>
        <v>2400240</v>
      </c>
      <c r="I389">
        <f t="shared" si="20"/>
        <v>9</v>
      </c>
    </row>
    <row r="390" spans="1:9" x14ac:dyDescent="0.2">
      <c r="A390">
        <f t="shared" si="18"/>
        <v>2400240</v>
      </c>
      <c r="B390" s="20">
        <v>2017</v>
      </c>
      <c r="C390" s="21" t="s">
        <v>50</v>
      </c>
      <c r="D390" s="21" t="s">
        <v>50</v>
      </c>
      <c r="E390" s="23">
        <v>951632</v>
      </c>
      <c r="F390" s="20">
        <v>15730857.02</v>
      </c>
      <c r="G390" s="30">
        <f t="shared" si="19"/>
        <v>16682489.02</v>
      </c>
      <c r="H390">
        <f>IFERROR(VLOOKUP(C390,Sheet1!$B$2:$C$25,2,FALSE),"")</f>
        <v>2400240</v>
      </c>
      <c r="I390">
        <f t="shared" si="20"/>
        <v>9</v>
      </c>
    </row>
    <row r="391" spans="1:9" x14ac:dyDescent="0.2">
      <c r="A391">
        <f t="shared" si="18"/>
        <v>2400240</v>
      </c>
      <c r="B391" s="20">
        <v>2018</v>
      </c>
      <c r="C391" s="21" t="s">
        <v>50</v>
      </c>
      <c r="D391" s="21" t="s">
        <v>50</v>
      </c>
      <c r="E391" s="23">
        <v>1033503</v>
      </c>
      <c r="F391" s="20">
        <v>15550401.310000001</v>
      </c>
      <c r="G391" s="30">
        <f t="shared" si="19"/>
        <v>16583904.310000001</v>
      </c>
      <c r="H391">
        <f>IFERROR(VLOOKUP(C391,Sheet1!$B$2:$C$25,2,FALSE),"")</f>
        <v>2400240</v>
      </c>
      <c r="I391">
        <f t="shared" si="20"/>
        <v>9</v>
      </c>
    </row>
    <row r="392" spans="1:9" x14ac:dyDescent="0.2">
      <c r="A392">
        <f t="shared" si="18"/>
        <v>2400240</v>
      </c>
      <c r="B392" s="20">
        <v>2019</v>
      </c>
      <c r="C392" s="21" t="s">
        <v>50</v>
      </c>
      <c r="D392" s="21" t="s">
        <v>50</v>
      </c>
      <c r="E392" s="23">
        <v>1109837</v>
      </c>
      <c r="F392" s="20">
        <v>15968466.369999999</v>
      </c>
      <c r="G392" s="30">
        <f t="shared" si="19"/>
        <v>17078303.369999997</v>
      </c>
      <c r="H392">
        <f>IFERROR(VLOOKUP(C392,Sheet1!$B$2:$C$25,2,FALSE),"")</f>
        <v>2400240</v>
      </c>
      <c r="I392">
        <f t="shared" si="20"/>
        <v>9</v>
      </c>
    </row>
    <row r="393" spans="1:9" x14ac:dyDescent="0.2">
      <c r="A393">
        <f t="shared" si="18"/>
        <v>2400240</v>
      </c>
      <c r="B393" s="20">
        <v>2020</v>
      </c>
      <c r="C393" s="21" t="s">
        <v>50</v>
      </c>
      <c r="D393" s="21" t="s">
        <v>50</v>
      </c>
      <c r="E393" s="23">
        <v>1167926</v>
      </c>
      <c r="F393" s="20">
        <v>16326840.35</v>
      </c>
      <c r="G393" s="30">
        <f t="shared" si="19"/>
        <v>17494766.350000001</v>
      </c>
      <c r="H393">
        <f>IFERROR(VLOOKUP(C393,Sheet1!$B$2:$C$25,2,FALSE),"")</f>
        <v>2400240</v>
      </c>
      <c r="I393">
        <f t="shared" si="20"/>
        <v>9</v>
      </c>
    </row>
    <row r="394" spans="1:9" x14ac:dyDescent="0.2">
      <c r="A394">
        <f t="shared" si="18"/>
        <v>2400240</v>
      </c>
      <c r="B394" s="20">
        <v>2021</v>
      </c>
      <c r="C394" s="21" t="s">
        <v>50</v>
      </c>
      <c r="D394" s="21" t="s">
        <v>50</v>
      </c>
      <c r="E394" s="23">
        <v>1304242</v>
      </c>
      <c r="F394" s="20">
        <v>17025555.75</v>
      </c>
      <c r="G394" s="30">
        <f t="shared" si="19"/>
        <v>18329797.75</v>
      </c>
      <c r="H394">
        <f>IFERROR(VLOOKUP(C394,Sheet1!$B$2:$C$25,2,FALSE),"")</f>
        <v>2400240</v>
      </c>
      <c r="I394">
        <f t="shared" si="20"/>
        <v>9</v>
      </c>
    </row>
    <row r="395" spans="1:9" x14ac:dyDescent="0.2">
      <c r="A395">
        <f t="shared" si="18"/>
        <v>2400240</v>
      </c>
      <c r="B395" s="20">
        <v>2022</v>
      </c>
      <c r="C395" s="21" t="s">
        <v>50</v>
      </c>
      <c r="D395" s="21" t="s">
        <v>50</v>
      </c>
      <c r="E395" s="23">
        <v>1356401</v>
      </c>
      <c r="F395" s="20">
        <v>18647152.75</v>
      </c>
      <c r="G395" s="30">
        <f t="shared" si="19"/>
        <v>20003553.75</v>
      </c>
      <c r="H395">
        <f>IFERROR(VLOOKUP(C395,Sheet1!$B$2:$C$25,2,FALSE),"")</f>
        <v>2400240</v>
      </c>
      <c r="I395">
        <f t="shared" si="20"/>
        <v>9</v>
      </c>
    </row>
    <row r="396" spans="1:9" x14ac:dyDescent="0.2">
      <c r="A396">
        <f t="shared" si="18"/>
        <v>2400240</v>
      </c>
      <c r="B396" s="20">
        <v>2023</v>
      </c>
      <c r="C396" s="21" t="s">
        <v>50</v>
      </c>
      <c r="D396" s="21" t="s">
        <v>50</v>
      </c>
      <c r="E396" s="23">
        <v>1432560</v>
      </c>
      <c r="F396" s="20">
        <v>19173042.300000001</v>
      </c>
      <c r="G396" s="30">
        <f t="shared" si="19"/>
        <v>20605602.300000001</v>
      </c>
      <c r="H396">
        <f>IFERROR(VLOOKUP(C396,Sheet1!$B$2:$C$25,2,FALSE),"")</f>
        <v>2400240</v>
      </c>
      <c r="I396">
        <f t="shared" si="20"/>
        <v>9</v>
      </c>
    </row>
    <row r="397" spans="1:9" x14ac:dyDescent="0.2">
      <c r="A397" t="str">
        <f t="shared" si="18"/>
        <v/>
      </c>
      <c r="B397" s="20">
        <v>2023</v>
      </c>
      <c r="C397" s="21" t="s">
        <v>239</v>
      </c>
      <c r="D397" s="21" t="s">
        <v>239</v>
      </c>
      <c r="E397" s="23">
        <v>202931</v>
      </c>
      <c r="F397" s="20">
        <v>2715980.236</v>
      </c>
      <c r="G397" s="30">
        <f t="shared" si="19"/>
        <v>2918911.236</v>
      </c>
      <c r="H397" t="str">
        <f>IFERROR(VLOOKUP(C397,Sheet1!$B$2:$C$25,2,FALSE),"")</f>
        <v/>
      </c>
      <c r="I397">
        <f t="shared" si="20"/>
        <v>1613</v>
      </c>
    </row>
    <row r="398" spans="1:9" x14ac:dyDescent="0.2">
      <c r="A398" t="str">
        <f t="shared" si="18"/>
        <v/>
      </c>
      <c r="B398" s="20">
        <v>2015</v>
      </c>
      <c r="C398" s="21" t="s">
        <v>51</v>
      </c>
      <c r="D398" s="21" t="s">
        <v>51</v>
      </c>
      <c r="E398" s="23">
        <v>79812</v>
      </c>
      <c r="F398" s="20">
        <v>1252015.138</v>
      </c>
      <c r="G398" s="30">
        <f t="shared" si="19"/>
        <v>1331827.138</v>
      </c>
      <c r="H398" t="str">
        <f>IFERROR(VLOOKUP(C398,Sheet1!$B$2:$C$25,2,FALSE),"")</f>
        <v/>
      </c>
      <c r="I398">
        <f t="shared" si="20"/>
        <v>1613</v>
      </c>
    </row>
    <row r="399" spans="1:9" x14ac:dyDescent="0.2">
      <c r="A399" t="str">
        <f t="shared" si="18"/>
        <v/>
      </c>
      <c r="B399" s="20">
        <v>2016</v>
      </c>
      <c r="C399" s="21" t="s">
        <v>51</v>
      </c>
      <c r="D399" s="21" t="s">
        <v>51</v>
      </c>
      <c r="E399" s="23">
        <v>70145</v>
      </c>
      <c r="F399" s="20">
        <v>1094881.9339999999</v>
      </c>
      <c r="G399" s="30">
        <f t="shared" si="19"/>
        <v>1165026.9339999999</v>
      </c>
      <c r="H399" t="str">
        <f>IFERROR(VLOOKUP(C399,Sheet1!$B$2:$C$25,2,FALSE),"")</f>
        <v/>
      </c>
      <c r="I399">
        <f t="shared" si="20"/>
        <v>1613</v>
      </c>
    </row>
    <row r="400" spans="1:9" x14ac:dyDescent="0.2">
      <c r="A400" t="str">
        <f t="shared" si="18"/>
        <v/>
      </c>
      <c r="B400" s="20">
        <v>2017</v>
      </c>
      <c r="C400" s="21" t="s">
        <v>51</v>
      </c>
      <c r="D400" s="21" t="s">
        <v>51</v>
      </c>
      <c r="E400" s="23">
        <v>68834</v>
      </c>
      <c r="F400" s="20">
        <v>1137853.5109999999</v>
      </c>
      <c r="G400" s="30">
        <f t="shared" si="19"/>
        <v>1206687.5109999999</v>
      </c>
      <c r="H400" t="str">
        <f>IFERROR(VLOOKUP(C400,Sheet1!$B$2:$C$25,2,FALSE),"")</f>
        <v/>
      </c>
      <c r="I400">
        <f t="shared" si="20"/>
        <v>1613</v>
      </c>
    </row>
    <row r="401" spans="1:9" x14ac:dyDescent="0.2">
      <c r="A401" t="str">
        <f t="shared" si="18"/>
        <v/>
      </c>
      <c r="B401" s="20">
        <v>2018</v>
      </c>
      <c r="C401" s="21" t="s">
        <v>51</v>
      </c>
      <c r="D401" s="21" t="s">
        <v>51</v>
      </c>
      <c r="E401" s="23">
        <v>58058</v>
      </c>
      <c r="F401" s="20">
        <v>873558.37329999998</v>
      </c>
      <c r="G401" s="30">
        <f t="shared" si="19"/>
        <v>931616.37329999998</v>
      </c>
      <c r="H401" t="str">
        <f>IFERROR(VLOOKUP(C401,Sheet1!$B$2:$C$25,2,FALSE),"")</f>
        <v/>
      </c>
      <c r="I401">
        <f t="shared" si="20"/>
        <v>1613</v>
      </c>
    </row>
    <row r="402" spans="1:9" x14ac:dyDescent="0.2">
      <c r="A402" t="str">
        <f t="shared" si="18"/>
        <v/>
      </c>
      <c r="B402" s="20">
        <v>2019</v>
      </c>
      <c r="C402" s="21" t="s">
        <v>51</v>
      </c>
      <c r="D402" s="21" t="s">
        <v>51</v>
      </c>
      <c r="E402" s="23">
        <v>75178</v>
      </c>
      <c r="F402" s="20">
        <v>1081669.9790000001</v>
      </c>
      <c r="G402" s="30">
        <f t="shared" si="19"/>
        <v>1156847.9790000001</v>
      </c>
      <c r="H402" t="str">
        <f>IFERROR(VLOOKUP(C402,Sheet1!$B$2:$C$25,2,FALSE),"")</f>
        <v/>
      </c>
      <c r="I402">
        <f t="shared" si="20"/>
        <v>1613</v>
      </c>
    </row>
    <row r="403" spans="1:9" x14ac:dyDescent="0.2">
      <c r="A403" t="str">
        <f t="shared" si="18"/>
        <v/>
      </c>
      <c r="B403" s="20">
        <v>2020</v>
      </c>
      <c r="C403" s="21" t="s">
        <v>51</v>
      </c>
      <c r="D403" s="21" t="s">
        <v>51</v>
      </c>
      <c r="E403" s="23">
        <v>92189</v>
      </c>
      <c r="F403" s="20">
        <v>1288741.825</v>
      </c>
      <c r="G403" s="30">
        <f t="shared" si="19"/>
        <v>1380930.825</v>
      </c>
      <c r="H403" t="str">
        <f>IFERROR(VLOOKUP(C403,Sheet1!$B$2:$C$25,2,FALSE),"")</f>
        <v/>
      </c>
      <c r="I403">
        <f t="shared" si="20"/>
        <v>1613</v>
      </c>
    </row>
    <row r="404" spans="1:9" x14ac:dyDescent="0.2">
      <c r="A404" t="str">
        <f t="shared" si="18"/>
        <v/>
      </c>
      <c r="B404" s="20">
        <v>2021</v>
      </c>
      <c r="C404" s="21" t="s">
        <v>51</v>
      </c>
      <c r="D404" s="21" t="s">
        <v>51</v>
      </c>
      <c r="E404" s="23">
        <v>106185</v>
      </c>
      <c r="F404" s="20">
        <v>1386137.4169999999</v>
      </c>
      <c r="G404" s="30">
        <f t="shared" si="19"/>
        <v>1492322.4169999999</v>
      </c>
      <c r="H404" t="str">
        <f>IFERROR(VLOOKUP(C404,Sheet1!$B$2:$C$25,2,FALSE),"")</f>
        <v/>
      </c>
      <c r="I404">
        <f t="shared" si="20"/>
        <v>1613</v>
      </c>
    </row>
    <row r="405" spans="1:9" x14ac:dyDescent="0.2">
      <c r="A405" t="str">
        <f t="shared" si="18"/>
        <v/>
      </c>
      <c r="B405" s="20">
        <v>2022</v>
      </c>
      <c r="C405" s="21" t="s">
        <v>51</v>
      </c>
      <c r="D405" s="21" t="s">
        <v>51</v>
      </c>
      <c r="E405" s="23">
        <v>103892</v>
      </c>
      <c r="F405" s="20">
        <v>1428257.568</v>
      </c>
      <c r="G405" s="30">
        <f t="shared" si="19"/>
        <v>1532149.568</v>
      </c>
      <c r="H405" t="str">
        <f>IFERROR(VLOOKUP(C405,Sheet1!$B$2:$C$25,2,FALSE),"")</f>
        <v/>
      </c>
      <c r="I405">
        <f t="shared" si="20"/>
        <v>1613</v>
      </c>
    </row>
    <row r="406" spans="1:9" x14ac:dyDescent="0.2">
      <c r="A406" t="str">
        <f t="shared" si="18"/>
        <v/>
      </c>
      <c r="B406" s="20">
        <v>2023</v>
      </c>
      <c r="C406" s="21" t="s">
        <v>51</v>
      </c>
      <c r="D406" s="21" t="s">
        <v>51</v>
      </c>
      <c r="E406" s="23">
        <v>86899</v>
      </c>
      <c r="F406" s="20">
        <v>1163035.547</v>
      </c>
      <c r="G406" s="30">
        <f t="shared" si="19"/>
        <v>1249934.547</v>
      </c>
      <c r="H406" t="str">
        <f>IFERROR(VLOOKUP(C406,Sheet1!$B$2:$C$25,2,FALSE),"")</f>
        <v/>
      </c>
      <c r="I406">
        <f t="shared" si="20"/>
        <v>1613</v>
      </c>
    </row>
    <row r="407" spans="1:9" x14ac:dyDescent="0.2">
      <c r="A407" t="str">
        <f t="shared" si="18"/>
        <v/>
      </c>
      <c r="B407" s="20">
        <v>2015</v>
      </c>
      <c r="C407" s="21" t="s">
        <v>52</v>
      </c>
      <c r="D407" s="21" t="s">
        <v>52</v>
      </c>
      <c r="E407" s="23">
        <v>28311</v>
      </c>
      <c r="F407" s="20">
        <v>444116.18030000001</v>
      </c>
      <c r="G407" s="30">
        <f t="shared" si="19"/>
        <v>472427.18030000001</v>
      </c>
      <c r="H407" t="str">
        <f>IFERROR(VLOOKUP(C407,Sheet1!$B$2:$C$25,2,FALSE),"")</f>
        <v/>
      </c>
      <c r="I407">
        <f t="shared" si="20"/>
        <v>1613</v>
      </c>
    </row>
    <row r="408" spans="1:9" x14ac:dyDescent="0.2">
      <c r="A408" t="str">
        <f t="shared" si="18"/>
        <v/>
      </c>
      <c r="B408" s="20">
        <v>2016</v>
      </c>
      <c r="C408" s="21" t="s">
        <v>52</v>
      </c>
      <c r="D408" s="21" t="s">
        <v>52</v>
      </c>
      <c r="E408" s="23">
        <v>25315</v>
      </c>
      <c r="F408" s="20">
        <v>395137.73139999999</v>
      </c>
      <c r="G408" s="30">
        <f t="shared" si="19"/>
        <v>420452.73139999999</v>
      </c>
      <c r="H408" t="str">
        <f>IFERROR(VLOOKUP(C408,Sheet1!$B$2:$C$25,2,FALSE),"")</f>
        <v/>
      </c>
      <c r="I408">
        <f t="shared" si="20"/>
        <v>1613</v>
      </c>
    </row>
    <row r="409" spans="1:9" x14ac:dyDescent="0.2">
      <c r="A409" t="str">
        <f t="shared" si="18"/>
        <v/>
      </c>
      <c r="B409" s="20">
        <v>2017</v>
      </c>
      <c r="C409" s="21" t="s">
        <v>52</v>
      </c>
      <c r="D409" s="21" t="s">
        <v>52</v>
      </c>
      <c r="E409" s="23">
        <v>24733</v>
      </c>
      <c r="F409" s="20">
        <v>408846.36790000001</v>
      </c>
      <c r="G409" s="30">
        <f t="shared" si="19"/>
        <v>433579.36790000001</v>
      </c>
      <c r="H409" t="str">
        <f>IFERROR(VLOOKUP(C409,Sheet1!$B$2:$C$25,2,FALSE),"")</f>
        <v/>
      </c>
      <c r="I409">
        <f t="shared" si="20"/>
        <v>1613</v>
      </c>
    </row>
    <row r="410" spans="1:9" x14ac:dyDescent="0.2">
      <c r="A410" t="str">
        <f t="shared" si="18"/>
        <v/>
      </c>
      <c r="B410" s="20">
        <v>2018</v>
      </c>
      <c r="C410" s="21" t="s">
        <v>52</v>
      </c>
      <c r="D410" s="21" t="s">
        <v>52</v>
      </c>
      <c r="E410" s="23">
        <v>19485</v>
      </c>
      <c r="F410" s="20">
        <v>293177.25209999998</v>
      </c>
      <c r="G410" s="30">
        <f t="shared" si="19"/>
        <v>312662.25209999998</v>
      </c>
      <c r="H410" t="str">
        <f>IFERROR(VLOOKUP(C410,Sheet1!$B$2:$C$25,2,FALSE),"")</f>
        <v/>
      </c>
      <c r="I410">
        <f t="shared" si="20"/>
        <v>1613</v>
      </c>
    </row>
    <row r="411" spans="1:9" x14ac:dyDescent="0.2">
      <c r="A411" t="str">
        <f t="shared" si="18"/>
        <v/>
      </c>
      <c r="B411" s="20">
        <v>2019</v>
      </c>
      <c r="C411" s="21" t="s">
        <v>52</v>
      </c>
      <c r="D411" s="21" t="s">
        <v>52</v>
      </c>
      <c r="E411" s="23">
        <v>21368</v>
      </c>
      <c r="F411" s="20">
        <v>307445.31800000003</v>
      </c>
      <c r="G411" s="30">
        <f t="shared" si="19"/>
        <v>328813.31800000003</v>
      </c>
      <c r="H411" t="str">
        <f>IFERROR(VLOOKUP(C411,Sheet1!$B$2:$C$25,2,FALSE),"")</f>
        <v/>
      </c>
      <c r="I411">
        <f t="shared" si="20"/>
        <v>1613</v>
      </c>
    </row>
    <row r="412" spans="1:9" x14ac:dyDescent="0.2">
      <c r="A412" t="str">
        <f t="shared" si="18"/>
        <v/>
      </c>
      <c r="B412" s="20">
        <v>2020</v>
      </c>
      <c r="C412" s="21" t="s">
        <v>52</v>
      </c>
      <c r="D412" s="21" t="s">
        <v>52</v>
      </c>
      <c r="E412" s="23">
        <v>22668</v>
      </c>
      <c r="F412" s="20">
        <v>316883.78970000002</v>
      </c>
      <c r="G412" s="30">
        <f t="shared" si="19"/>
        <v>339551.78970000002</v>
      </c>
      <c r="H412" t="str">
        <f>IFERROR(VLOOKUP(C412,Sheet1!$B$2:$C$25,2,FALSE),"")</f>
        <v/>
      </c>
      <c r="I412">
        <f t="shared" si="20"/>
        <v>1613</v>
      </c>
    </row>
    <row r="413" spans="1:9" x14ac:dyDescent="0.2">
      <c r="A413" t="str">
        <f t="shared" si="18"/>
        <v/>
      </c>
      <c r="B413" s="20">
        <v>2021</v>
      </c>
      <c r="C413" s="21" t="s">
        <v>52</v>
      </c>
      <c r="D413" s="21" t="s">
        <v>52</v>
      </c>
      <c r="E413" s="23">
        <v>25488</v>
      </c>
      <c r="F413" s="20">
        <v>332719.97440000001</v>
      </c>
      <c r="G413" s="30">
        <f t="shared" si="19"/>
        <v>358207.97440000001</v>
      </c>
      <c r="H413" t="str">
        <f>IFERROR(VLOOKUP(C413,Sheet1!$B$2:$C$25,2,FALSE),"")</f>
        <v/>
      </c>
      <c r="I413">
        <f t="shared" si="20"/>
        <v>1613</v>
      </c>
    </row>
    <row r="414" spans="1:9" x14ac:dyDescent="0.2">
      <c r="A414" t="str">
        <f t="shared" si="18"/>
        <v/>
      </c>
      <c r="B414" s="20">
        <v>2022</v>
      </c>
      <c r="C414" s="21" t="s">
        <v>52</v>
      </c>
      <c r="D414" s="21" t="s">
        <v>52</v>
      </c>
      <c r="E414" s="23">
        <v>26815</v>
      </c>
      <c r="F414" s="20">
        <v>368639.80560000002</v>
      </c>
      <c r="G414" s="30">
        <f t="shared" si="19"/>
        <v>395454.80560000002</v>
      </c>
      <c r="H414" t="str">
        <f>IFERROR(VLOOKUP(C414,Sheet1!$B$2:$C$25,2,FALSE),"")</f>
        <v/>
      </c>
      <c r="I414">
        <f t="shared" si="20"/>
        <v>1613</v>
      </c>
    </row>
    <row r="415" spans="1:9" x14ac:dyDescent="0.2">
      <c r="A415" t="str">
        <f t="shared" si="18"/>
        <v/>
      </c>
      <c r="B415" s="20">
        <v>2023</v>
      </c>
      <c r="C415" s="21" t="s">
        <v>52</v>
      </c>
      <c r="D415" s="21" t="s">
        <v>52</v>
      </c>
      <c r="E415" s="23">
        <v>28560</v>
      </c>
      <c r="F415" s="20">
        <v>382240.24690000003</v>
      </c>
      <c r="G415" s="30">
        <f t="shared" si="19"/>
        <v>410800.24690000003</v>
      </c>
      <c r="H415" t="str">
        <f>IFERROR(VLOOKUP(C415,Sheet1!$B$2:$C$25,2,FALSE),"")</f>
        <v/>
      </c>
      <c r="I415">
        <f t="shared" si="20"/>
        <v>1613</v>
      </c>
    </row>
    <row r="416" spans="1:9" x14ac:dyDescent="0.2">
      <c r="A416" t="str">
        <f t="shared" si="18"/>
        <v/>
      </c>
      <c r="B416" s="20">
        <v>2015</v>
      </c>
      <c r="C416" s="21" t="s">
        <v>53</v>
      </c>
      <c r="D416" s="21" t="s">
        <v>245</v>
      </c>
      <c r="E416" s="23" t="s">
        <v>6</v>
      </c>
      <c r="F416" s="20">
        <v>0</v>
      </c>
      <c r="G416" s="30">
        <f t="shared" si="19"/>
        <v>0</v>
      </c>
      <c r="H416" t="str">
        <f>IFERROR(VLOOKUP(C416,Sheet1!$B$2:$C$25,2,FALSE),"")</f>
        <v/>
      </c>
      <c r="I416">
        <f t="shared" si="20"/>
        <v>1613</v>
      </c>
    </row>
    <row r="417" spans="1:9" x14ac:dyDescent="0.2">
      <c r="A417" t="str">
        <f t="shared" si="18"/>
        <v/>
      </c>
      <c r="B417" s="20">
        <v>2016</v>
      </c>
      <c r="C417" s="21" t="s">
        <v>53</v>
      </c>
      <c r="D417" s="21" t="s">
        <v>53</v>
      </c>
      <c r="E417" s="23">
        <v>881013</v>
      </c>
      <c r="F417" s="20">
        <v>13751589.1</v>
      </c>
      <c r="G417" s="30">
        <f t="shared" si="19"/>
        <v>14632602.1</v>
      </c>
      <c r="H417" t="str">
        <f>IFERROR(VLOOKUP(C417,Sheet1!$B$2:$C$25,2,FALSE),"")</f>
        <v/>
      </c>
      <c r="I417">
        <f t="shared" si="20"/>
        <v>1613</v>
      </c>
    </row>
    <row r="418" spans="1:9" x14ac:dyDescent="0.2">
      <c r="A418" t="str">
        <f t="shared" si="18"/>
        <v/>
      </c>
      <c r="B418" s="20">
        <v>2017</v>
      </c>
      <c r="C418" s="21" t="s">
        <v>53</v>
      </c>
      <c r="D418" s="21" t="s">
        <v>53</v>
      </c>
      <c r="E418" s="23">
        <v>765881</v>
      </c>
      <c r="F418" s="20">
        <v>12660318.810000001</v>
      </c>
      <c r="G418" s="30">
        <f t="shared" si="19"/>
        <v>13426199.810000001</v>
      </c>
      <c r="H418" t="str">
        <f>IFERROR(VLOOKUP(C418,Sheet1!$B$2:$C$25,2,FALSE),"")</f>
        <v/>
      </c>
      <c r="I418">
        <f t="shared" si="20"/>
        <v>1613</v>
      </c>
    </row>
    <row r="419" spans="1:9" x14ac:dyDescent="0.2">
      <c r="A419" t="str">
        <f t="shared" si="18"/>
        <v/>
      </c>
      <c r="B419" s="20">
        <v>2018</v>
      </c>
      <c r="C419" s="21" t="s">
        <v>53</v>
      </c>
      <c r="D419" s="21" t="s">
        <v>53</v>
      </c>
      <c r="E419" s="23">
        <v>713135</v>
      </c>
      <c r="F419" s="20">
        <v>10730046.689999999</v>
      </c>
      <c r="G419" s="30">
        <f t="shared" si="19"/>
        <v>11443181.689999999</v>
      </c>
      <c r="H419" t="str">
        <f>IFERROR(VLOOKUP(C419,Sheet1!$B$2:$C$25,2,FALSE),"")</f>
        <v/>
      </c>
      <c r="I419">
        <f t="shared" si="20"/>
        <v>1613</v>
      </c>
    </row>
    <row r="420" spans="1:9" x14ac:dyDescent="0.2">
      <c r="A420" t="str">
        <f t="shared" si="18"/>
        <v/>
      </c>
      <c r="B420" s="20">
        <v>2019</v>
      </c>
      <c r="C420" s="21" t="s">
        <v>53</v>
      </c>
      <c r="D420" s="21" t="s">
        <v>53</v>
      </c>
      <c r="E420" s="23">
        <v>662554</v>
      </c>
      <c r="F420" s="20">
        <v>9532905.5240000002</v>
      </c>
      <c r="G420" s="30">
        <f t="shared" si="19"/>
        <v>10195459.524</v>
      </c>
      <c r="H420" t="str">
        <f>IFERROR(VLOOKUP(C420,Sheet1!$B$2:$C$25,2,FALSE),"")</f>
        <v/>
      </c>
      <c r="I420">
        <f t="shared" si="20"/>
        <v>1613</v>
      </c>
    </row>
    <row r="421" spans="1:9" x14ac:dyDescent="0.2">
      <c r="A421" t="str">
        <f t="shared" si="18"/>
        <v/>
      </c>
      <c r="B421" s="20">
        <v>2020</v>
      </c>
      <c r="C421" s="21" t="s">
        <v>53</v>
      </c>
      <c r="D421" s="21" t="s">
        <v>53</v>
      </c>
      <c r="E421" s="23" t="s">
        <v>269</v>
      </c>
      <c r="F421" s="20">
        <v>0</v>
      </c>
      <c r="G421" s="30">
        <f t="shared" si="19"/>
        <v>0</v>
      </c>
      <c r="H421" t="str">
        <f>IFERROR(VLOOKUP(C421,Sheet1!$B$2:$C$25,2,FALSE),"")</f>
        <v/>
      </c>
      <c r="I421">
        <f t="shared" si="20"/>
        <v>1613</v>
      </c>
    </row>
    <row r="422" spans="1:9" x14ac:dyDescent="0.2">
      <c r="A422" t="str">
        <f t="shared" si="18"/>
        <v/>
      </c>
      <c r="B422" s="20">
        <v>2022</v>
      </c>
      <c r="C422" s="21" t="s">
        <v>53</v>
      </c>
      <c r="D422" s="21" t="s">
        <v>53</v>
      </c>
      <c r="E422" s="23" t="s">
        <v>269</v>
      </c>
      <c r="F422" s="20">
        <v>0</v>
      </c>
      <c r="G422" s="30">
        <f t="shared" si="19"/>
        <v>0</v>
      </c>
      <c r="H422" t="str">
        <f>IFERROR(VLOOKUP(C422,Sheet1!$B$2:$C$25,2,FALSE),"")</f>
        <v/>
      </c>
      <c r="I422">
        <f t="shared" si="20"/>
        <v>1613</v>
      </c>
    </row>
    <row r="423" spans="1:9" x14ac:dyDescent="0.2">
      <c r="A423" t="str">
        <f t="shared" si="18"/>
        <v/>
      </c>
      <c r="B423" s="20">
        <v>2015</v>
      </c>
      <c r="C423" s="21" t="s">
        <v>54</v>
      </c>
      <c r="D423" s="21" t="s">
        <v>54</v>
      </c>
      <c r="E423" s="23">
        <v>120353</v>
      </c>
      <c r="F423" s="20">
        <v>1887983.987</v>
      </c>
      <c r="G423" s="30">
        <f t="shared" si="19"/>
        <v>2008336.987</v>
      </c>
      <c r="H423" t="str">
        <f>IFERROR(VLOOKUP(C423,Sheet1!$B$2:$C$25,2,FALSE),"")</f>
        <v/>
      </c>
      <c r="I423">
        <f t="shared" si="20"/>
        <v>1613</v>
      </c>
    </row>
    <row r="424" spans="1:9" x14ac:dyDescent="0.2">
      <c r="A424" t="str">
        <f t="shared" si="18"/>
        <v/>
      </c>
      <c r="B424" s="20">
        <v>2016</v>
      </c>
      <c r="C424" s="21" t="s">
        <v>54</v>
      </c>
      <c r="D424" s="21" t="s">
        <v>54</v>
      </c>
      <c r="E424" s="23">
        <v>110206</v>
      </c>
      <c r="F424" s="20">
        <v>1720187.5889999999</v>
      </c>
      <c r="G424" s="30">
        <f t="shared" si="19"/>
        <v>1830393.5889999999</v>
      </c>
      <c r="H424" t="str">
        <f>IFERROR(VLOOKUP(C424,Sheet1!$B$2:$C$25,2,FALSE),"")</f>
        <v/>
      </c>
      <c r="I424">
        <f t="shared" si="20"/>
        <v>1613</v>
      </c>
    </row>
    <row r="425" spans="1:9" x14ac:dyDescent="0.2">
      <c r="A425" t="str">
        <f t="shared" si="18"/>
        <v/>
      </c>
      <c r="B425" s="20">
        <v>2017</v>
      </c>
      <c r="C425" s="21" t="s">
        <v>54</v>
      </c>
      <c r="D425" s="21" t="s">
        <v>54</v>
      </c>
      <c r="E425" s="23">
        <v>109661</v>
      </c>
      <c r="F425" s="20">
        <v>1812740.1270000001</v>
      </c>
      <c r="G425" s="30">
        <f t="shared" si="19"/>
        <v>1922401.1270000001</v>
      </c>
      <c r="H425" t="str">
        <f>IFERROR(VLOOKUP(C425,Sheet1!$B$2:$C$25,2,FALSE),"")</f>
        <v/>
      </c>
      <c r="I425">
        <f t="shared" si="20"/>
        <v>1613</v>
      </c>
    </row>
    <row r="426" spans="1:9" x14ac:dyDescent="0.2">
      <c r="A426" t="str">
        <f t="shared" si="18"/>
        <v/>
      </c>
      <c r="B426" s="20">
        <v>2018</v>
      </c>
      <c r="C426" s="21" t="s">
        <v>54</v>
      </c>
      <c r="D426" s="21" t="s">
        <v>54</v>
      </c>
      <c r="E426" s="23">
        <v>116722</v>
      </c>
      <c r="F426" s="20">
        <v>1756234.807</v>
      </c>
      <c r="G426" s="30">
        <f t="shared" si="19"/>
        <v>1872956.807</v>
      </c>
      <c r="H426" t="str">
        <f>IFERROR(VLOOKUP(C426,Sheet1!$B$2:$C$25,2,FALSE),"")</f>
        <v/>
      </c>
      <c r="I426">
        <f t="shared" si="20"/>
        <v>1613</v>
      </c>
    </row>
    <row r="427" spans="1:9" x14ac:dyDescent="0.2">
      <c r="A427" t="str">
        <f t="shared" si="18"/>
        <v/>
      </c>
      <c r="B427" s="20">
        <v>2019</v>
      </c>
      <c r="C427" s="21" t="s">
        <v>54</v>
      </c>
      <c r="D427" s="21" t="s">
        <v>54</v>
      </c>
      <c r="E427" s="23">
        <v>124167</v>
      </c>
      <c r="F427" s="20">
        <v>1786529.5209999999</v>
      </c>
      <c r="G427" s="30">
        <f t="shared" si="19"/>
        <v>1910696.5209999999</v>
      </c>
      <c r="H427" t="str">
        <f>IFERROR(VLOOKUP(C427,Sheet1!$B$2:$C$25,2,FALSE),"")</f>
        <v/>
      </c>
      <c r="I427">
        <f t="shared" si="20"/>
        <v>1613</v>
      </c>
    </row>
    <row r="428" spans="1:9" x14ac:dyDescent="0.2">
      <c r="A428" t="str">
        <f t="shared" si="18"/>
        <v/>
      </c>
      <c r="B428" s="20">
        <v>2020</v>
      </c>
      <c r="C428" s="21" t="s">
        <v>54</v>
      </c>
      <c r="D428" s="21" t="s">
        <v>54</v>
      </c>
      <c r="E428" s="23">
        <v>140650</v>
      </c>
      <c r="F428" s="20">
        <v>1966194.8570000001</v>
      </c>
      <c r="G428" s="30">
        <f t="shared" si="19"/>
        <v>2106844.8569999998</v>
      </c>
      <c r="H428" t="str">
        <f>IFERROR(VLOOKUP(C428,Sheet1!$B$2:$C$25,2,FALSE),"")</f>
        <v/>
      </c>
      <c r="I428">
        <f t="shared" si="20"/>
        <v>1613</v>
      </c>
    </row>
    <row r="429" spans="1:9" x14ac:dyDescent="0.2">
      <c r="A429" t="str">
        <f t="shared" si="18"/>
        <v/>
      </c>
      <c r="B429" s="20">
        <v>2021</v>
      </c>
      <c r="C429" s="21" t="s">
        <v>54</v>
      </c>
      <c r="D429" s="21" t="s">
        <v>54</v>
      </c>
      <c r="E429" s="23">
        <v>139190</v>
      </c>
      <c r="F429" s="20">
        <v>1816984.1980000001</v>
      </c>
      <c r="G429" s="30">
        <f t="shared" si="19"/>
        <v>1956174.1980000001</v>
      </c>
      <c r="H429" t="str">
        <f>IFERROR(VLOOKUP(C429,Sheet1!$B$2:$C$25,2,FALSE),"")</f>
        <v/>
      </c>
      <c r="I429">
        <f t="shared" si="20"/>
        <v>1613</v>
      </c>
    </row>
    <row r="430" spans="1:9" x14ac:dyDescent="0.2">
      <c r="A430" t="str">
        <f t="shared" si="18"/>
        <v/>
      </c>
      <c r="B430" s="20">
        <v>2022</v>
      </c>
      <c r="C430" s="21" t="s">
        <v>54</v>
      </c>
      <c r="D430" s="21" t="s">
        <v>54</v>
      </c>
      <c r="E430" s="23">
        <v>134602</v>
      </c>
      <c r="F430" s="20">
        <v>1850443.9720000001</v>
      </c>
      <c r="G430" s="30">
        <f t="shared" si="19"/>
        <v>1985045.9720000001</v>
      </c>
      <c r="H430" t="str">
        <f>IFERROR(VLOOKUP(C430,Sheet1!$B$2:$C$25,2,FALSE),"")</f>
        <v/>
      </c>
      <c r="I430">
        <f t="shared" si="20"/>
        <v>1613</v>
      </c>
    </row>
    <row r="431" spans="1:9" x14ac:dyDescent="0.2">
      <c r="A431" t="str">
        <f t="shared" si="18"/>
        <v/>
      </c>
      <c r="B431" s="20">
        <v>2023</v>
      </c>
      <c r="C431" s="21" t="s">
        <v>54</v>
      </c>
      <c r="D431" s="21" t="s">
        <v>54</v>
      </c>
      <c r="E431" s="23">
        <v>162816</v>
      </c>
      <c r="F431" s="20">
        <v>2179090.6179999998</v>
      </c>
      <c r="G431" s="30">
        <f t="shared" si="19"/>
        <v>2341906.6179999998</v>
      </c>
      <c r="H431" t="str">
        <f>IFERROR(VLOOKUP(C431,Sheet1!$B$2:$C$25,2,FALSE),"")</f>
        <v/>
      </c>
      <c r="I431">
        <f t="shared" si="20"/>
        <v>1613</v>
      </c>
    </row>
    <row r="432" spans="1:9" x14ac:dyDescent="0.2">
      <c r="A432" t="str">
        <f t="shared" si="18"/>
        <v/>
      </c>
      <c r="B432" s="20">
        <v>2015</v>
      </c>
      <c r="C432" s="21" t="s">
        <v>55</v>
      </c>
      <c r="D432" s="21" t="s">
        <v>55</v>
      </c>
      <c r="E432" s="23">
        <v>97353</v>
      </c>
      <c r="F432" s="20">
        <v>1527181.7490000001</v>
      </c>
      <c r="G432" s="30">
        <f t="shared" si="19"/>
        <v>1624534.7490000001</v>
      </c>
      <c r="H432" t="str">
        <f>IFERROR(VLOOKUP(C432,Sheet1!$B$2:$C$25,2,FALSE),"")</f>
        <v/>
      </c>
      <c r="I432">
        <f t="shared" si="20"/>
        <v>1613</v>
      </c>
    </row>
    <row r="433" spans="1:9" x14ac:dyDescent="0.2">
      <c r="A433" t="str">
        <f t="shared" si="18"/>
        <v/>
      </c>
      <c r="B433" s="20">
        <v>2016</v>
      </c>
      <c r="C433" s="21" t="s">
        <v>55</v>
      </c>
      <c r="D433" s="21" t="s">
        <v>55</v>
      </c>
      <c r="E433" s="23">
        <v>124001</v>
      </c>
      <c r="F433" s="20">
        <v>1935511.5079999999</v>
      </c>
      <c r="G433" s="30">
        <f t="shared" si="19"/>
        <v>2059512.5079999999</v>
      </c>
      <c r="H433" t="str">
        <f>IFERROR(VLOOKUP(C433,Sheet1!$B$2:$C$25,2,FALSE),"")</f>
        <v/>
      </c>
      <c r="I433">
        <f t="shared" si="20"/>
        <v>1613</v>
      </c>
    </row>
    <row r="434" spans="1:9" x14ac:dyDescent="0.2">
      <c r="A434" t="str">
        <f t="shared" si="18"/>
        <v/>
      </c>
      <c r="B434" s="20">
        <v>2017</v>
      </c>
      <c r="C434" s="21" t="s">
        <v>55</v>
      </c>
      <c r="D434" s="21" t="s">
        <v>55</v>
      </c>
      <c r="E434" s="23">
        <v>125372</v>
      </c>
      <c r="F434" s="20">
        <v>2072449.2309999999</v>
      </c>
      <c r="G434" s="30">
        <f t="shared" si="19"/>
        <v>2197821.2309999997</v>
      </c>
      <c r="H434" t="str">
        <f>IFERROR(VLOOKUP(C434,Sheet1!$B$2:$C$25,2,FALSE),"")</f>
        <v/>
      </c>
      <c r="I434">
        <f t="shared" si="20"/>
        <v>1613</v>
      </c>
    </row>
    <row r="435" spans="1:9" x14ac:dyDescent="0.2">
      <c r="A435" t="str">
        <f t="shared" si="18"/>
        <v/>
      </c>
      <c r="B435" s="20">
        <v>2018</v>
      </c>
      <c r="C435" s="21" t="s">
        <v>55</v>
      </c>
      <c r="D435" s="21" t="s">
        <v>55</v>
      </c>
      <c r="E435" s="23">
        <v>92911</v>
      </c>
      <c r="F435" s="20">
        <v>1397967.24</v>
      </c>
      <c r="G435" s="30">
        <f t="shared" si="19"/>
        <v>1490878.24</v>
      </c>
      <c r="H435" t="str">
        <f>IFERROR(VLOOKUP(C435,Sheet1!$B$2:$C$25,2,FALSE),"")</f>
        <v/>
      </c>
      <c r="I435">
        <f t="shared" si="20"/>
        <v>1613</v>
      </c>
    </row>
    <row r="436" spans="1:9" x14ac:dyDescent="0.2">
      <c r="A436" t="str">
        <f t="shared" si="18"/>
        <v/>
      </c>
      <c r="B436" s="20">
        <v>2019</v>
      </c>
      <c r="C436" s="21" t="s">
        <v>55</v>
      </c>
      <c r="D436" s="21" t="s">
        <v>55</v>
      </c>
      <c r="E436" s="23">
        <v>129176</v>
      </c>
      <c r="F436" s="20">
        <v>1858599.6070000001</v>
      </c>
      <c r="G436" s="30">
        <f t="shared" si="19"/>
        <v>1987775.6070000001</v>
      </c>
      <c r="H436" t="str">
        <f>IFERROR(VLOOKUP(C436,Sheet1!$B$2:$C$25,2,FALSE),"")</f>
        <v/>
      </c>
      <c r="I436">
        <f t="shared" si="20"/>
        <v>1613</v>
      </c>
    </row>
    <row r="437" spans="1:9" x14ac:dyDescent="0.2">
      <c r="A437" t="str">
        <f t="shared" si="18"/>
        <v/>
      </c>
      <c r="B437" s="20">
        <v>2020</v>
      </c>
      <c r="C437" s="21" t="s">
        <v>55</v>
      </c>
      <c r="D437" s="21" t="s">
        <v>55</v>
      </c>
      <c r="E437" s="23">
        <v>104890</v>
      </c>
      <c r="F437" s="20">
        <v>1466293.4839999999</v>
      </c>
      <c r="G437" s="30">
        <f t="shared" si="19"/>
        <v>1571183.4839999999</v>
      </c>
      <c r="H437" t="str">
        <f>IFERROR(VLOOKUP(C437,Sheet1!$B$2:$C$25,2,FALSE),"")</f>
        <v/>
      </c>
      <c r="I437">
        <f t="shared" si="20"/>
        <v>1613</v>
      </c>
    </row>
    <row r="438" spans="1:9" x14ac:dyDescent="0.2">
      <c r="A438" t="str">
        <f t="shared" si="18"/>
        <v/>
      </c>
      <c r="B438" s="20">
        <v>2021</v>
      </c>
      <c r="C438" s="21" t="s">
        <v>55</v>
      </c>
      <c r="D438" s="21" t="s">
        <v>55</v>
      </c>
      <c r="E438" s="23">
        <v>84391</v>
      </c>
      <c r="F438" s="20">
        <v>1101638.8640000001</v>
      </c>
      <c r="G438" s="30">
        <f t="shared" si="19"/>
        <v>1186029.8640000001</v>
      </c>
      <c r="H438" t="str">
        <f>IFERROR(VLOOKUP(C438,Sheet1!$B$2:$C$25,2,FALSE),"")</f>
        <v/>
      </c>
      <c r="I438">
        <f t="shared" si="20"/>
        <v>1613</v>
      </c>
    </row>
    <row r="439" spans="1:9" x14ac:dyDescent="0.2">
      <c r="A439" t="str">
        <f t="shared" si="18"/>
        <v/>
      </c>
      <c r="B439" s="20">
        <v>2022</v>
      </c>
      <c r="C439" s="21" t="s">
        <v>55</v>
      </c>
      <c r="D439" s="21" t="s">
        <v>55</v>
      </c>
      <c r="E439" s="23">
        <v>116032</v>
      </c>
      <c r="F439" s="20">
        <v>1595152.487</v>
      </c>
      <c r="G439" s="30">
        <f t="shared" si="19"/>
        <v>1711184.487</v>
      </c>
      <c r="H439" t="str">
        <f>IFERROR(VLOOKUP(C439,Sheet1!$B$2:$C$25,2,FALSE),"")</f>
        <v/>
      </c>
      <c r="I439">
        <f t="shared" si="20"/>
        <v>1613</v>
      </c>
    </row>
    <row r="440" spans="1:9" x14ac:dyDescent="0.2">
      <c r="A440" t="str">
        <f t="shared" si="18"/>
        <v/>
      </c>
      <c r="B440" s="20">
        <v>2023</v>
      </c>
      <c r="C440" s="21" t="s">
        <v>55</v>
      </c>
      <c r="D440" s="21" t="s">
        <v>55</v>
      </c>
      <c r="E440" s="23">
        <v>117740</v>
      </c>
      <c r="F440" s="20">
        <v>1575804.155</v>
      </c>
      <c r="G440" s="30">
        <f t="shared" si="19"/>
        <v>1693544.155</v>
      </c>
      <c r="H440" t="str">
        <f>IFERROR(VLOOKUP(C440,Sheet1!$B$2:$C$25,2,FALSE),"")</f>
        <v/>
      </c>
      <c r="I440">
        <f t="shared" si="20"/>
        <v>1613</v>
      </c>
    </row>
    <row r="441" spans="1:9" x14ac:dyDescent="0.2">
      <c r="A441" t="str">
        <f t="shared" si="18"/>
        <v/>
      </c>
      <c r="B441" s="20">
        <v>2015</v>
      </c>
      <c r="C441" s="21" t="s">
        <v>56</v>
      </c>
      <c r="D441" s="21" t="s">
        <v>56</v>
      </c>
      <c r="E441" s="23">
        <v>241826</v>
      </c>
      <c r="F441" s="20">
        <v>3793537.4739999999</v>
      </c>
      <c r="G441" s="30">
        <f t="shared" si="19"/>
        <v>4035363.4739999999</v>
      </c>
      <c r="H441" t="str">
        <f>IFERROR(VLOOKUP(C441,Sheet1!$B$2:$C$25,2,FALSE),"")</f>
        <v/>
      </c>
      <c r="I441">
        <f t="shared" si="20"/>
        <v>1613</v>
      </c>
    </row>
    <row r="442" spans="1:9" x14ac:dyDescent="0.2">
      <c r="A442" t="str">
        <f t="shared" si="18"/>
        <v/>
      </c>
      <c r="B442" s="20">
        <v>2016</v>
      </c>
      <c r="C442" s="21" t="s">
        <v>56</v>
      </c>
      <c r="D442" s="21" t="s">
        <v>56</v>
      </c>
      <c r="E442" s="23">
        <v>199688</v>
      </c>
      <c r="F442" s="20">
        <v>3116897.622</v>
      </c>
      <c r="G442" s="30">
        <f t="shared" si="19"/>
        <v>3316585.622</v>
      </c>
      <c r="H442" t="str">
        <f>IFERROR(VLOOKUP(C442,Sheet1!$B$2:$C$25,2,FALSE),"")</f>
        <v/>
      </c>
      <c r="I442">
        <f t="shared" si="20"/>
        <v>1613</v>
      </c>
    </row>
    <row r="443" spans="1:9" x14ac:dyDescent="0.2">
      <c r="A443" t="str">
        <f t="shared" si="18"/>
        <v/>
      </c>
      <c r="B443" s="20">
        <v>2017</v>
      </c>
      <c r="C443" s="21" t="s">
        <v>56</v>
      </c>
      <c r="D443" s="21" t="s">
        <v>56</v>
      </c>
      <c r="E443" s="23">
        <v>200413</v>
      </c>
      <c r="F443" s="20">
        <v>3312906.9309999999</v>
      </c>
      <c r="G443" s="30">
        <f t="shared" si="19"/>
        <v>3513319.9309999999</v>
      </c>
      <c r="H443" t="str">
        <f>IFERROR(VLOOKUP(C443,Sheet1!$B$2:$C$25,2,FALSE),"")</f>
        <v/>
      </c>
      <c r="I443">
        <f t="shared" si="20"/>
        <v>1613</v>
      </c>
    </row>
    <row r="444" spans="1:9" x14ac:dyDescent="0.2">
      <c r="A444" t="str">
        <f t="shared" si="18"/>
        <v/>
      </c>
      <c r="B444" s="20">
        <v>2018</v>
      </c>
      <c r="C444" s="21" t="s">
        <v>56</v>
      </c>
      <c r="D444" s="21" t="s">
        <v>56</v>
      </c>
      <c r="E444" s="23">
        <v>229843</v>
      </c>
      <c r="F444" s="20">
        <v>3458287.87</v>
      </c>
      <c r="G444" s="30">
        <f t="shared" si="19"/>
        <v>3688130.87</v>
      </c>
      <c r="H444" t="str">
        <f>IFERROR(VLOOKUP(C444,Sheet1!$B$2:$C$25,2,FALSE),"")</f>
        <v/>
      </c>
      <c r="I444">
        <f t="shared" si="20"/>
        <v>1613</v>
      </c>
    </row>
    <row r="445" spans="1:9" x14ac:dyDescent="0.2">
      <c r="A445" t="str">
        <f t="shared" si="18"/>
        <v/>
      </c>
      <c r="B445" s="20">
        <v>2019</v>
      </c>
      <c r="C445" s="21" t="s">
        <v>56</v>
      </c>
      <c r="D445" s="21" t="s">
        <v>56</v>
      </c>
      <c r="E445" s="23">
        <v>167971</v>
      </c>
      <c r="F445" s="20">
        <v>2416786.6680000001</v>
      </c>
      <c r="G445" s="30">
        <f t="shared" si="19"/>
        <v>2584757.6680000001</v>
      </c>
      <c r="H445" t="str">
        <f>IFERROR(VLOOKUP(C445,Sheet1!$B$2:$C$25,2,FALSE),"")</f>
        <v/>
      </c>
      <c r="I445">
        <f t="shared" si="20"/>
        <v>1613</v>
      </c>
    </row>
    <row r="446" spans="1:9" x14ac:dyDescent="0.2">
      <c r="A446" t="str">
        <f t="shared" si="18"/>
        <v/>
      </c>
      <c r="B446" s="20">
        <v>2020</v>
      </c>
      <c r="C446" s="21" t="s">
        <v>56</v>
      </c>
      <c r="D446" s="21" t="s">
        <v>56</v>
      </c>
      <c r="E446" s="23">
        <v>173996</v>
      </c>
      <c r="F446" s="20">
        <v>2432350.0920000002</v>
      </c>
      <c r="G446" s="30">
        <f t="shared" si="19"/>
        <v>2606346.0920000002</v>
      </c>
      <c r="H446" t="str">
        <f>IFERROR(VLOOKUP(C446,Sheet1!$B$2:$C$25,2,FALSE),"")</f>
        <v/>
      </c>
      <c r="I446">
        <f t="shared" si="20"/>
        <v>1613</v>
      </c>
    </row>
    <row r="447" spans="1:9" x14ac:dyDescent="0.2">
      <c r="A447" t="str">
        <f t="shared" si="18"/>
        <v/>
      </c>
      <c r="B447" s="20">
        <v>2021</v>
      </c>
      <c r="C447" s="21" t="s">
        <v>56</v>
      </c>
      <c r="D447" s="21" t="s">
        <v>56</v>
      </c>
      <c r="E447" s="23">
        <v>188536</v>
      </c>
      <c r="F447" s="20">
        <v>2461146.1510000001</v>
      </c>
      <c r="G447" s="30">
        <f t="shared" si="19"/>
        <v>2649682.1510000001</v>
      </c>
      <c r="H447" t="str">
        <f>IFERROR(VLOOKUP(C447,Sheet1!$B$2:$C$25,2,FALSE),"")</f>
        <v/>
      </c>
      <c r="I447">
        <f t="shared" si="20"/>
        <v>1613</v>
      </c>
    </row>
    <row r="448" spans="1:9" x14ac:dyDescent="0.2">
      <c r="A448" t="str">
        <f t="shared" si="18"/>
        <v/>
      </c>
      <c r="B448" s="20">
        <v>2022</v>
      </c>
      <c r="C448" s="21" t="s">
        <v>56</v>
      </c>
      <c r="D448" s="21" t="s">
        <v>56</v>
      </c>
      <c r="E448" s="23">
        <v>146014</v>
      </c>
      <c r="F448" s="20">
        <v>2007330.6950000001</v>
      </c>
      <c r="G448" s="30">
        <f t="shared" si="19"/>
        <v>2153344.6950000003</v>
      </c>
      <c r="H448" t="str">
        <f>IFERROR(VLOOKUP(C448,Sheet1!$B$2:$C$25,2,FALSE),"")</f>
        <v/>
      </c>
      <c r="I448">
        <f t="shared" si="20"/>
        <v>1613</v>
      </c>
    </row>
    <row r="449" spans="1:9" x14ac:dyDescent="0.2">
      <c r="A449" t="str">
        <f t="shared" si="18"/>
        <v/>
      </c>
      <c r="B449" s="20">
        <v>2023</v>
      </c>
      <c r="C449" s="21" t="s">
        <v>56</v>
      </c>
      <c r="D449" s="21" t="s">
        <v>56</v>
      </c>
      <c r="E449" s="23">
        <v>161860</v>
      </c>
      <c r="F449" s="20">
        <v>2166295.7409999999</v>
      </c>
      <c r="G449" s="30">
        <f t="shared" si="19"/>
        <v>2328155.7409999999</v>
      </c>
      <c r="H449" t="str">
        <f>IFERROR(VLOOKUP(C449,Sheet1!$B$2:$C$25,2,FALSE),"")</f>
        <v/>
      </c>
      <c r="I449">
        <f t="shared" si="20"/>
        <v>1613</v>
      </c>
    </row>
    <row r="450" spans="1:9" x14ac:dyDescent="0.2">
      <c r="A450" t="str">
        <f t="shared" si="18"/>
        <v/>
      </c>
      <c r="B450" s="20">
        <v>2020</v>
      </c>
      <c r="C450" s="21" t="s">
        <v>232</v>
      </c>
      <c r="D450" s="21" t="s">
        <v>232</v>
      </c>
      <c r="E450" s="23">
        <v>145125</v>
      </c>
      <c r="F450" s="20">
        <v>2028752.426</v>
      </c>
      <c r="G450" s="30">
        <f t="shared" si="19"/>
        <v>2173877.426</v>
      </c>
      <c r="H450" t="str">
        <f>IFERROR(VLOOKUP(C450,Sheet1!$B$2:$C$25,2,FALSE),"")</f>
        <v/>
      </c>
      <c r="I450">
        <f t="shared" si="20"/>
        <v>1613</v>
      </c>
    </row>
    <row r="451" spans="1:9" x14ac:dyDescent="0.2">
      <c r="A451" t="str">
        <f t="shared" ref="A451:A514" si="21">H451</f>
        <v/>
      </c>
      <c r="B451" s="20">
        <v>2021</v>
      </c>
      <c r="C451" s="21" t="s">
        <v>232</v>
      </c>
      <c r="D451" s="21" t="s">
        <v>232</v>
      </c>
      <c r="E451" s="23">
        <v>179705</v>
      </c>
      <c r="F451" s="20">
        <v>2345866.4079999998</v>
      </c>
      <c r="G451" s="30">
        <f t="shared" ref="G451:G514" si="22">SUM(E451:F451)</f>
        <v>2525571.4079999998</v>
      </c>
      <c r="H451" t="str">
        <f>IFERROR(VLOOKUP(C451,Sheet1!$B$2:$C$25,2,FALSE),"")</f>
        <v/>
      </c>
      <c r="I451">
        <f t="shared" ref="I451:I514" si="23">COUNTIF($H$2:$H$1812,H451)</f>
        <v>1613</v>
      </c>
    </row>
    <row r="452" spans="1:9" x14ac:dyDescent="0.2">
      <c r="A452" t="str">
        <f t="shared" si="21"/>
        <v/>
      </c>
      <c r="B452" s="20">
        <v>2022</v>
      </c>
      <c r="C452" s="21" t="s">
        <v>232</v>
      </c>
      <c r="D452" s="21" t="s">
        <v>232</v>
      </c>
      <c r="E452" s="23">
        <v>93606</v>
      </c>
      <c r="F452" s="20">
        <v>1286850.5560000001</v>
      </c>
      <c r="G452" s="30">
        <f t="shared" si="22"/>
        <v>1380456.5560000001</v>
      </c>
      <c r="H452" t="str">
        <f>IFERROR(VLOOKUP(C452,Sheet1!$B$2:$C$25,2,FALSE),"")</f>
        <v/>
      </c>
      <c r="I452">
        <f t="shared" si="23"/>
        <v>1613</v>
      </c>
    </row>
    <row r="453" spans="1:9" x14ac:dyDescent="0.2">
      <c r="A453" t="str">
        <f t="shared" si="21"/>
        <v/>
      </c>
      <c r="B453" s="20">
        <v>2023</v>
      </c>
      <c r="C453" s="21" t="s">
        <v>232</v>
      </c>
      <c r="D453" s="21" t="s">
        <v>232</v>
      </c>
      <c r="E453" s="23">
        <v>166266</v>
      </c>
      <c r="F453" s="20">
        <v>2225264.5970000001</v>
      </c>
      <c r="G453" s="30">
        <f t="shared" si="22"/>
        <v>2391530.5970000001</v>
      </c>
      <c r="H453" t="str">
        <f>IFERROR(VLOOKUP(C453,Sheet1!$B$2:$C$25,2,FALSE),"")</f>
        <v/>
      </c>
      <c r="I453">
        <f t="shared" si="23"/>
        <v>1613</v>
      </c>
    </row>
    <row r="454" spans="1:9" x14ac:dyDescent="0.2">
      <c r="A454" t="str">
        <f t="shared" si="21"/>
        <v/>
      </c>
      <c r="B454" s="20">
        <v>2015</v>
      </c>
      <c r="C454" s="21" t="s">
        <v>57</v>
      </c>
      <c r="D454" s="21" t="s">
        <v>57</v>
      </c>
      <c r="E454" s="23">
        <v>4470</v>
      </c>
      <c r="F454" s="20">
        <v>70121.130520000006</v>
      </c>
      <c r="G454" s="30">
        <f t="shared" si="22"/>
        <v>74591.130520000006</v>
      </c>
      <c r="H454" t="str">
        <f>IFERROR(VLOOKUP(C454,Sheet1!$B$2:$C$25,2,FALSE),"")</f>
        <v/>
      </c>
      <c r="I454">
        <f t="shared" si="23"/>
        <v>1613</v>
      </c>
    </row>
    <row r="455" spans="1:9" x14ac:dyDescent="0.2">
      <c r="A455" t="str">
        <f t="shared" si="21"/>
        <v/>
      </c>
      <c r="B455" s="20">
        <v>2016</v>
      </c>
      <c r="C455" s="21" t="s">
        <v>57</v>
      </c>
      <c r="D455" s="21" t="s">
        <v>57</v>
      </c>
      <c r="E455" s="23">
        <v>4470</v>
      </c>
      <c r="F455" s="20">
        <v>69771.505409999998</v>
      </c>
      <c r="G455" s="30">
        <f t="shared" si="22"/>
        <v>74241.505409999998</v>
      </c>
      <c r="H455" t="str">
        <f>IFERROR(VLOOKUP(C455,Sheet1!$B$2:$C$25,2,FALSE),"")</f>
        <v/>
      </c>
      <c r="I455">
        <f t="shared" si="23"/>
        <v>1613</v>
      </c>
    </row>
    <row r="456" spans="1:9" x14ac:dyDescent="0.2">
      <c r="A456" t="str">
        <f t="shared" si="21"/>
        <v/>
      </c>
      <c r="B456" s="20">
        <v>2017</v>
      </c>
      <c r="C456" s="21" t="s">
        <v>57</v>
      </c>
      <c r="D456" s="21" t="s">
        <v>57</v>
      </c>
      <c r="E456" s="23">
        <v>4470</v>
      </c>
      <c r="F456" s="20">
        <v>73890.88523</v>
      </c>
      <c r="G456" s="30">
        <f t="shared" si="22"/>
        <v>78360.88523</v>
      </c>
      <c r="H456" t="str">
        <f>IFERROR(VLOOKUP(C456,Sheet1!$B$2:$C$25,2,FALSE),"")</f>
        <v/>
      </c>
      <c r="I456">
        <f t="shared" si="23"/>
        <v>1613</v>
      </c>
    </row>
    <row r="457" spans="1:9" x14ac:dyDescent="0.2">
      <c r="A457" t="str">
        <f t="shared" si="21"/>
        <v/>
      </c>
      <c r="B457" s="20">
        <v>2018</v>
      </c>
      <c r="C457" s="21" t="s">
        <v>57</v>
      </c>
      <c r="D457" s="21" t="s">
        <v>57</v>
      </c>
      <c r="E457" s="23">
        <v>4470</v>
      </c>
      <c r="F457" s="20">
        <v>67256.983160000003</v>
      </c>
      <c r="G457" s="30">
        <f t="shared" si="22"/>
        <v>71726.983160000003</v>
      </c>
      <c r="H457" t="str">
        <f>IFERROR(VLOOKUP(C457,Sheet1!$B$2:$C$25,2,FALSE),"")</f>
        <v/>
      </c>
      <c r="I457">
        <f t="shared" si="23"/>
        <v>1613</v>
      </c>
    </row>
    <row r="458" spans="1:9" x14ac:dyDescent="0.2">
      <c r="A458" t="str">
        <f t="shared" si="21"/>
        <v/>
      </c>
      <c r="B458" s="20">
        <v>2019</v>
      </c>
      <c r="C458" s="21" t="s">
        <v>57</v>
      </c>
      <c r="D458" s="21" t="s">
        <v>57</v>
      </c>
      <c r="E458" s="23">
        <v>4470</v>
      </c>
      <c r="F458" s="20">
        <v>64314.890090000001</v>
      </c>
      <c r="G458" s="30">
        <f t="shared" si="22"/>
        <v>68784.890090000001</v>
      </c>
      <c r="H458" t="str">
        <f>IFERROR(VLOOKUP(C458,Sheet1!$B$2:$C$25,2,FALSE),"")</f>
        <v/>
      </c>
      <c r="I458">
        <f t="shared" si="23"/>
        <v>1613</v>
      </c>
    </row>
    <row r="459" spans="1:9" x14ac:dyDescent="0.2">
      <c r="A459" t="str">
        <f t="shared" si="21"/>
        <v/>
      </c>
      <c r="B459" s="20">
        <v>2020</v>
      </c>
      <c r="C459" s="21" t="s">
        <v>57</v>
      </c>
      <c r="D459" s="21" t="s">
        <v>57</v>
      </c>
      <c r="E459" s="23">
        <v>4470</v>
      </c>
      <c r="F459" s="20">
        <v>62487.671609999998</v>
      </c>
      <c r="G459" s="30">
        <f t="shared" si="22"/>
        <v>66957.67160999999</v>
      </c>
      <c r="H459" t="str">
        <f>IFERROR(VLOOKUP(C459,Sheet1!$B$2:$C$25,2,FALSE),"")</f>
        <v/>
      </c>
      <c r="I459">
        <f t="shared" si="23"/>
        <v>1613</v>
      </c>
    </row>
    <row r="460" spans="1:9" x14ac:dyDescent="0.2">
      <c r="A460" t="str">
        <f t="shared" si="21"/>
        <v/>
      </c>
      <c r="B460" s="20">
        <v>2021</v>
      </c>
      <c r="C460" s="21" t="s">
        <v>57</v>
      </c>
      <c r="D460" s="21" t="s">
        <v>57</v>
      </c>
      <c r="E460" s="23" t="s">
        <v>269</v>
      </c>
      <c r="F460" s="20">
        <v>0</v>
      </c>
      <c r="G460" s="30">
        <f t="shared" si="22"/>
        <v>0</v>
      </c>
      <c r="H460" t="str">
        <f>IFERROR(VLOOKUP(C460,Sheet1!$B$2:$C$25,2,FALSE),"")</f>
        <v/>
      </c>
      <c r="I460">
        <f t="shared" si="23"/>
        <v>1613</v>
      </c>
    </row>
    <row r="461" spans="1:9" x14ac:dyDescent="0.2">
      <c r="A461" t="str">
        <f t="shared" si="21"/>
        <v/>
      </c>
      <c r="B461" s="20">
        <v>2022</v>
      </c>
      <c r="C461" s="21" t="s">
        <v>57</v>
      </c>
      <c r="D461" s="21" t="s">
        <v>57</v>
      </c>
      <c r="E461" s="23" t="s">
        <v>269</v>
      </c>
      <c r="F461" s="20">
        <v>0</v>
      </c>
      <c r="G461" s="30">
        <f t="shared" si="22"/>
        <v>0</v>
      </c>
      <c r="H461" t="str">
        <f>IFERROR(VLOOKUP(C461,Sheet1!$B$2:$C$25,2,FALSE),"")</f>
        <v/>
      </c>
      <c r="I461">
        <f t="shared" si="23"/>
        <v>1613</v>
      </c>
    </row>
    <row r="462" spans="1:9" x14ac:dyDescent="0.2">
      <c r="A462" t="str">
        <f t="shared" si="21"/>
        <v/>
      </c>
      <c r="B462" s="20">
        <v>2023</v>
      </c>
      <c r="C462" s="21" t="s">
        <v>57</v>
      </c>
      <c r="D462" s="21" t="s">
        <v>57</v>
      </c>
      <c r="E462" s="23" t="s">
        <v>269</v>
      </c>
      <c r="F462" s="20">
        <v>0</v>
      </c>
      <c r="G462" s="30">
        <f t="shared" si="22"/>
        <v>0</v>
      </c>
      <c r="H462" t="str">
        <f>IFERROR(VLOOKUP(C462,Sheet1!$B$2:$C$25,2,FALSE),"")</f>
        <v/>
      </c>
      <c r="I462">
        <f t="shared" si="23"/>
        <v>1613</v>
      </c>
    </row>
    <row r="463" spans="1:9" x14ac:dyDescent="0.2">
      <c r="A463" t="str">
        <f t="shared" si="21"/>
        <v/>
      </c>
      <c r="B463" s="20">
        <v>2015</v>
      </c>
      <c r="C463" s="21" t="s">
        <v>58</v>
      </c>
      <c r="D463" s="21" t="s">
        <v>58</v>
      </c>
      <c r="E463" s="23">
        <v>216576</v>
      </c>
      <c r="F463" s="20">
        <v>3397439.3650000002</v>
      </c>
      <c r="G463" s="30">
        <f t="shared" si="22"/>
        <v>3614015.3650000002</v>
      </c>
      <c r="H463" t="str">
        <f>IFERROR(VLOOKUP(C463,Sheet1!$B$2:$C$25,2,FALSE),"")</f>
        <v/>
      </c>
      <c r="I463">
        <f t="shared" si="23"/>
        <v>1613</v>
      </c>
    </row>
    <row r="464" spans="1:9" x14ac:dyDescent="0.2">
      <c r="A464" t="str">
        <f t="shared" si="21"/>
        <v/>
      </c>
      <c r="B464" s="20">
        <v>2016</v>
      </c>
      <c r="C464" s="21" t="s">
        <v>58</v>
      </c>
      <c r="D464" s="21" t="s">
        <v>58</v>
      </c>
      <c r="E464" s="23">
        <v>195250</v>
      </c>
      <c r="F464" s="20">
        <v>3047625.6</v>
      </c>
      <c r="G464" s="30">
        <f t="shared" si="22"/>
        <v>3242875.6</v>
      </c>
      <c r="H464" t="str">
        <f>IFERROR(VLOOKUP(C464,Sheet1!$B$2:$C$25,2,FALSE),"")</f>
        <v/>
      </c>
      <c r="I464">
        <f t="shared" si="23"/>
        <v>1613</v>
      </c>
    </row>
    <row r="465" spans="1:9" x14ac:dyDescent="0.2">
      <c r="A465" t="str">
        <f t="shared" si="21"/>
        <v/>
      </c>
      <c r="B465" s="20">
        <v>2017</v>
      </c>
      <c r="C465" s="21" t="s">
        <v>58</v>
      </c>
      <c r="D465" s="21" t="s">
        <v>58</v>
      </c>
      <c r="E465" s="23">
        <v>195606</v>
      </c>
      <c r="F465" s="20">
        <v>3233445.301</v>
      </c>
      <c r="G465" s="30">
        <f t="shared" si="22"/>
        <v>3429051.301</v>
      </c>
      <c r="H465" t="str">
        <f>IFERROR(VLOOKUP(C465,Sheet1!$B$2:$C$25,2,FALSE),"")</f>
        <v/>
      </c>
      <c r="I465">
        <f t="shared" si="23"/>
        <v>1613</v>
      </c>
    </row>
    <row r="466" spans="1:9" x14ac:dyDescent="0.2">
      <c r="A466" t="str">
        <f t="shared" si="21"/>
        <v/>
      </c>
      <c r="B466" s="20">
        <v>2018</v>
      </c>
      <c r="C466" s="21" t="s">
        <v>58</v>
      </c>
      <c r="D466" s="21" t="s">
        <v>58</v>
      </c>
      <c r="E466" s="23">
        <v>232009</v>
      </c>
      <c r="F466" s="20">
        <v>3490878.1669999999</v>
      </c>
      <c r="G466" s="30">
        <f t="shared" si="22"/>
        <v>3722887.1669999999</v>
      </c>
      <c r="H466" t="str">
        <f>IFERROR(VLOOKUP(C466,Sheet1!$B$2:$C$25,2,FALSE),"")</f>
        <v/>
      </c>
      <c r="I466">
        <f t="shared" si="23"/>
        <v>1613</v>
      </c>
    </row>
    <row r="467" spans="1:9" x14ac:dyDescent="0.2">
      <c r="A467" t="str">
        <f t="shared" si="21"/>
        <v/>
      </c>
      <c r="B467" s="20">
        <v>2019</v>
      </c>
      <c r="C467" s="21" t="s">
        <v>58</v>
      </c>
      <c r="D467" s="21" t="s">
        <v>58</v>
      </c>
      <c r="E467" s="23">
        <v>247253</v>
      </c>
      <c r="F467" s="20">
        <v>3557505.486</v>
      </c>
      <c r="G467" s="30">
        <f t="shared" si="22"/>
        <v>3804758.486</v>
      </c>
      <c r="H467" t="str">
        <f>IFERROR(VLOOKUP(C467,Sheet1!$B$2:$C$25,2,FALSE),"")</f>
        <v/>
      </c>
      <c r="I467">
        <f t="shared" si="23"/>
        <v>1613</v>
      </c>
    </row>
    <row r="468" spans="1:9" x14ac:dyDescent="0.2">
      <c r="A468" t="str">
        <f t="shared" si="21"/>
        <v/>
      </c>
      <c r="B468" s="20">
        <v>2020</v>
      </c>
      <c r="C468" s="21" t="s">
        <v>58</v>
      </c>
      <c r="D468" s="21" t="s">
        <v>58</v>
      </c>
      <c r="E468" s="23">
        <v>246373</v>
      </c>
      <c r="F468" s="20">
        <v>3444133.1359999999</v>
      </c>
      <c r="G468" s="30">
        <f t="shared" si="22"/>
        <v>3690506.1359999999</v>
      </c>
      <c r="H468" t="str">
        <f>IFERROR(VLOOKUP(C468,Sheet1!$B$2:$C$25,2,FALSE),"")</f>
        <v/>
      </c>
      <c r="I468">
        <f t="shared" si="23"/>
        <v>1613</v>
      </c>
    </row>
    <row r="469" spans="1:9" x14ac:dyDescent="0.2">
      <c r="A469" t="str">
        <f t="shared" si="21"/>
        <v/>
      </c>
      <c r="B469" s="20">
        <v>2021</v>
      </c>
      <c r="C469" s="21" t="s">
        <v>58</v>
      </c>
      <c r="D469" s="21" t="s">
        <v>58</v>
      </c>
      <c r="E469" s="23">
        <v>279060</v>
      </c>
      <c r="F469" s="20">
        <v>3642845.1060000001</v>
      </c>
      <c r="G469" s="30">
        <f t="shared" si="22"/>
        <v>3921905.1060000001</v>
      </c>
      <c r="H469" t="str">
        <f>IFERROR(VLOOKUP(C469,Sheet1!$B$2:$C$25,2,FALSE),"")</f>
        <v/>
      </c>
      <c r="I469">
        <f t="shared" si="23"/>
        <v>1613</v>
      </c>
    </row>
    <row r="470" spans="1:9" x14ac:dyDescent="0.2">
      <c r="A470" t="str">
        <f t="shared" si="21"/>
        <v/>
      </c>
      <c r="B470" s="20">
        <v>2022</v>
      </c>
      <c r="C470" s="21" t="s">
        <v>58</v>
      </c>
      <c r="D470" s="21" t="s">
        <v>58</v>
      </c>
      <c r="E470" s="23">
        <v>208533</v>
      </c>
      <c r="F470" s="20">
        <v>2866812.03</v>
      </c>
      <c r="G470" s="30">
        <f t="shared" si="22"/>
        <v>3075345.03</v>
      </c>
      <c r="H470" t="str">
        <f>IFERROR(VLOOKUP(C470,Sheet1!$B$2:$C$25,2,FALSE),"")</f>
        <v/>
      </c>
      <c r="I470">
        <f t="shared" si="23"/>
        <v>1613</v>
      </c>
    </row>
    <row r="471" spans="1:9" x14ac:dyDescent="0.2">
      <c r="A471" t="str">
        <f t="shared" si="21"/>
        <v/>
      </c>
      <c r="B471" s="20">
        <v>2023</v>
      </c>
      <c r="C471" s="21" t="s">
        <v>58</v>
      </c>
      <c r="D471" s="21" t="s">
        <v>58</v>
      </c>
      <c r="E471" s="23">
        <v>270385</v>
      </c>
      <c r="F471" s="20">
        <v>3618768.5279999999</v>
      </c>
      <c r="G471" s="30">
        <f t="shared" si="22"/>
        <v>3889153.5279999999</v>
      </c>
      <c r="H471" t="str">
        <f>IFERROR(VLOOKUP(C471,Sheet1!$B$2:$C$25,2,FALSE),"")</f>
        <v/>
      </c>
      <c r="I471">
        <f t="shared" si="23"/>
        <v>1613</v>
      </c>
    </row>
    <row r="472" spans="1:9" x14ac:dyDescent="0.2">
      <c r="A472" t="str">
        <f t="shared" si="21"/>
        <v/>
      </c>
      <c r="B472" s="20">
        <v>2015</v>
      </c>
      <c r="C472" s="21" t="s">
        <v>59</v>
      </c>
      <c r="D472" s="21" t="s">
        <v>59</v>
      </c>
      <c r="E472" s="23">
        <v>519846</v>
      </c>
      <c r="F472" s="20">
        <v>8154852.1730000004</v>
      </c>
      <c r="G472" s="30">
        <f t="shared" si="22"/>
        <v>8674698.1730000004</v>
      </c>
      <c r="H472" t="str">
        <f>IFERROR(VLOOKUP(C472,Sheet1!$B$2:$C$25,2,FALSE),"")</f>
        <v/>
      </c>
      <c r="I472">
        <f t="shared" si="23"/>
        <v>1613</v>
      </c>
    </row>
    <row r="473" spans="1:9" x14ac:dyDescent="0.2">
      <c r="A473" t="str">
        <f t="shared" si="21"/>
        <v/>
      </c>
      <c r="B473" s="20">
        <v>2016</v>
      </c>
      <c r="C473" s="21" t="s">
        <v>59</v>
      </c>
      <c r="D473" s="21" t="s">
        <v>59</v>
      </c>
      <c r="E473" s="23">
        <v>251775</v>
      </c>
      <c r="F473" s="20">
        <v>3929915.162</v>
      </c>
      <c r="G473" s="30">
        <f t="shared" si="22"/>
        <v>4181690.162</v>
      </c>
      <c r="H473" t="str">
        <f>IFERROR(VLOOKUP(C473,Sheet1!$B$2:$C$25,2,FALSE),"")</f>
        <v/>
      </c>
      <c r="I473">
        <f t="shared" si="23"/>
        <v>1613</v>
      </c>
    </row>
    <row r="474" spans="1:9" x14ac:dyDescent="0.2">
      <c r="A474" t="str">
        <f t="shared" si="21"/>
        <v/>
      </c>
      <c r="B474" s="20">
        <v>2017</v>
      </c>
      <c r="C474" s="21" t="s">
        <v>59</v>
      </c>
      <c r="D474" s="21" t="s">
        <v>59</v>
      </c>
      <c r="E474" s="23">
        <v>252345</v>
      </c>
      <c r="F474" s="20">
        <v>4171363.6320000002</v>
      </c>
      <c r="G474" s="30">
        <f t="shared" si="22"/>
        <v>4423708.6320000002</v>
      </c>
      <c r="H474" t="str">
        <f>IFERROR(VLOOKUP(C474,Sheet1!$B$2:$C$25,2,FALSE),"")</f>
        <v/>
      </c>
      <c r="I474">
        <f t="shared" si="23"/>
        <v>1613</v>
      </c>
    </row>
    <row r="475" spans="1:9" x14ac:dyDescent="0.2">
      <c r="A475" t="str">
        <f t="shared" si="21"/>
        <v/>
      </c>
      <c r="B475" s="20">
        <v>2018</v>
      </c>
      <c r="C475" s="21" t="s">
        <v>59</v>
      </c>
      <c r="D475" s="21" t="s">
        <v>59</v>
      </c>
      <c r="E475" s="23">
        <v>284604</v>
      </c>
      <c r="F475" s="20">
        <v>4282238.5760000004</v>
      </c>
      <c r="G475" s="30">
        <f t="shared" si="22"/>
        <v>4566842.5760000004</v>
      </c>
      <c r="H475" t="str">
        <f>IFERROR(VLOOKUP(C475,Sheet1!$B$2:$C$25,2,FALSE),"")</f>
        <v/>
      </c>
      <c r="I475">
        <f t="shared" si="23"/>
        <v>1613</v>
      </c>
    </row>
    <row r="476" spans="1:9" x14ac:dyDescent="0.2">
      <c r="A476" t="str">
        <f t="shared" si="21"/>
        <v/>
      </c>
      <c r="B476" s="20">
        <v>2019</v>
      </c>
      <c r="C476" s="21" t="s">
        <v>59</v>
      </c>
      <c r="D476" s="21" t="s">
        <v>59</v>
      </c>
      <c r="E476" s="23">
        <v>326745</v>
      </c>
      <c r="F476" s="20">
        <v>4701245.8080000002</v>
      </c>
      <c r="G476" s="30">
        <f t="shared" si="22"/>
        <v>5027990.8080000002</v>
      </c>
      <c r="H476" t="str">
        <f>IFERROR(VLOOKUP(C476,Sheet1!$B$2:$C$25,2,FALSE),"")</f>
        <v/>
      </c>
      <c r="I476">
        <f t="shared" si="23"/>
        <v>1613</v>
      </c>
    </row>
    <row r="477" spans="1:9" x14ac:dyDescent="0.2">
      <c r="A477" t="str">
        <f t="shared" si="21"/>
        <v/>
      </c>
      <c r="B477" s="20">
        <v>2020</v>
      </c>
      <c r="C477" s="21" t="s">
        <v>59</v>
      </c>
      <c r="D477" s="21" t="s">
        <v>59</v>
      </c>
      <c r="E477" s="23">
        <v>370183</v>
      </c>
      <c r="F477" s="20">
        <v>5174915.8260000004</v>
      </c>
      <c r="G477" s="30">
        <f t="shared" si="22"/>
        <v>5545098.8260000004</v>
      </c>
      <c r="H477" t="str">
        <f>IFERROR(VLOOKUP(C477,Sheet1!$B$2:$C$25,2,FALSE),"")</f>
        <v/>
      </c>
      <c r="I477">
        <f t="shared" si="23"/>
        <v>1613</v>
      </c>
    </row>
    <row r="478" spans="1:9" x14ac:dyDescent="0.2">
      <c r="A478" t="str">
        <f t="shared" si="21"/>
        <v/>
      </c>
      <c r="B478" s="20">
        <v>2021</v>
      </c>
      <c r="C478" s="21" t="s">
        <v>59</v>
      </c>
      <c r="D478" s="21" t="s">
        <v>59</v>
      </c>
      <c r="E478" s="23">
        <v>436599</v>
      </c>
      <c r="F478" s="20">
        <v>5699356.8779999996</v>
      </c>
      <c r="G478" s="30">
        <f t="shared" si="22"/>
        <v>6135955.8779999996</v>
      </c>
      <c r="H478" t="str">
        <f>IFERROR(VLOOKUP(C478,Sheet1!$B$2:$C$25,2,FALSE),"")</f>
        <v/>
      </c>
      <c r="I478">
        <f t="shared" si="23"/>
        <v>1613</v>
      </c>
    </row>
    <row r="479" spans="1:9" x14ac:dyDescent="0.2">
      <c r="A479" t="str">
        <f t="shared" si="21"/>
        <v/>
      </c>
      <c r="B479" s="20">
        <v>2022</v>
      </c>
      <c r="C479" s="21" t="s">
        <v>59</v>
      </c>
      <c r="D479" s="21" t="s">
        <v>59</v>
      </c>
      <c r="E479" s="23">
        <v>466180</v>
      </c>
      <c r="F479" s="20">
        <v>6408819.8619999997</v>
      </c>
      <c r="G479" s="30">
        <f t="shared" si="22"/>
        <v>6874999.8619999997</v>
      </c>
      <c r="H479" t="str">
        <f>IFERROR(VLOOKUP(C479,Sheet1!$B$2:$C$25,2,FALSE),"")</f>
        <v/>
      </c>
      <c r="I479">
        <f t="shared" si="23"/>
        <v>1613</v>
      </c>
    </row>
    <row r="480" spans="1:9" x14ac:dyDescent="0.2">
      <c r="A480" t="str">
        <f t="shared" si="21"/>
        <v/>
      </c>
      <c r="B480" s="20">
        <v>2023</v>
      </c>
      <c r="C480" s="21" t="s">
        <v>59</v>
      </c>
      <c r="D480" s="21" t="s">
        <v>59</v>
      </c>
      <c r="E480" s="23">
        <v>547111</v>
      </c>
      <c r="F480" s="20">
        <v>7322403.4919999996</v>
      </c>
      <c r="G480" s="30">
        <f t="shared" si="22"/>
        <v>7869514.4919999996</v>
      </c>
      <c r="H480" t="str">
        <f>IFERROR(VLOOKUP(C480,Sheet1!$B$2:$C$25,2,FALSE),"")</f>
        <v/>
      </c>
      <c r="I480">
        <f t="shared" si="23"/>
        <v>1613</v>
      </c>
    </row>
    <row r="481" spans="1:9" x14ac:dyDescent="0.2">
      <c r="A481" t="str">
        <f t="shared" si="21"/>
        <v/>
      </c>
      <c r="B481" s="20">
        <v>2015</v>
      </c>
      <c r="C481" s="21" t="s">
        <v>60</v>
      </c>
      <c r="D481" s="21" t="s">
        <v>60</v>
      </c>
      <c r="E481" s="23">
        <v>91939</v>
      </c>
      <c r="F481" s="20">
        <v>1442252.04</v>
      </c>
      <c r="G481" s="30">
        <f t="shared" si="22"/>
        <v>1534191.04</v>
      </c>
      <c r="H481" t="str">
        <f>IFERROR(VLOOKUP(C481,Sheet1!$B$2:$C$25,2,FALSE),"")</f>
        <v/>
      </c>
      <c r="I481">
        <f t="shared" si="23"/>
        <v>1613</v>
      </c>
    </row>
    <row r="482" spans="1:9" x14ac:dyDescent="0.2">
      <c r="A482" t="str">
        <f t="shared" si="21"/>
        <v/>
      </c>
      <c r="B482" s="20">
        <v>2016</v>
      </c>
      <c r="C482" s="21" t="s">
        <v>60</v>
      </c>
      <c r="D482" s="21" t="s">
        <v>60</v>
      </c>
      <c r="E482" s="23">
        <v>77155</v>
      </c>
      <c r="F482" s="20">
        <v>1204299.888</v>
      </c>
      <c r="G482" s="30">
        <f t="shared" si="22"/>
        <v>1281454.888</v>
      </c>
      <c r="H482" t="str">
        <f>IFERROR(VLOOKUP(C482,Sheet1!$B$2:$C$25,2,FALSE),"")</f>
        <v/>
      </c>
      <c r="I482">
        <f t="shared" si="23"/>
        <v>1613</v>
      </c>
    </row>
    <row r="483" spans="1:9" x14ac:dyDescent="0.2">
      <c r="A483" t="str">
        <f t="shared" si="21"/>
        <v/>
      </c>
      <c r="B483" s="20">
        <v>2017</v>
      </c>
      <c r="C483" s="21" t="s">
        <v>60</v>
      </c>
      <c r="D483" s="21" t="s">
        <v>60</v>
      </c>
      <c r="E483" s="23">
        <v>70489</v>
      </c>
      <c r="F483" s="20">
        <v>1165211.3219999999</v>
      </c>
      <c r="G483" s="30">
        <f t="shared" si="22"/>
        <v>1235700.3219999999</v>
      </c>
      <c r="H483" t="str">
        <f>IFERROR(VLOOKUP(C483,Sheet1!$B$2:$C$25,2,FALSE),"")</f>
        <v/>
      </c>
      <c r="I483">
        <f t="shared" si="23"/>
        <v>1613</v>
      </c>
    </row>
    <row r="484" spans="1:9" x14ac:dyDescent="0.2">
      <c r="A484" t="str">
        <f t="shared" si="21"/>
        <v/>
      </c>
      <c r="B484" s="20">
        <v>2018</v>
      </c>
      <c r="C484" s="21" t="s">
        <v>60</v>
      </c>
      <c r="D484" s="21" t="s">
        <v>60</v>
      </c>
      <c r="E484" s="23">
        <v>74486</v>
      </c>
      <c r="F484" s="20">
        <v>1120739.071</v>
      </c>
      <c r="G484" s="30">
        <f t="shared" si="22"/>
        <v>1195225.071</v>
      </c>
      <c r="H484" t="str">
        <f>IFERROR(VLOOKUP(C484,Sheet1!$B$2:$C$25,2,FALSE),"")</f>
        <v/>
      </c>
      <c r="I484">
        <f t="shared" si="23"/>
        <v>1613</v>
      </c>
    </row>
    <row r="485" spans="1:9" x14ac:dyDescent="0.2">
      <c r="A485" t="str">
        <f t="shared" si="21"/>
        <v/>
      </c>
      <c r="B485" s="20">
        <v>2019</v>
      </c>
      <c r="C485" s="21" t="s">
        <v>60</v>
      </c>
      <c r="D485" s="21" t="s">
        <v>60</v>
      </c>
      <c r="E485" s="23">
        <v>79424</v>
      </c>
      <c r="F485" s="20">
        <v>1142761.9310000001</v>
      </c>
      <c r="G485" s="30">
        <f t="shared" si="22"/>
        <v>1222185.9310000001</v>
      </c>
      <c r="H485" t="str">
        <f>IFERROR(VLOOKUP(C485,Sheet1!$B$2:$C$25,2,FALSE),"")</f>
        <v/>
      </c>
      <c r="I485">
        <f t="shared" si="23"/>
        <v>1613</v>
      </c>
    </row>
    <row r="486" spans="1:9" x14ac:dyDescent="0.2">
      <c r="A486" t="str">
        <f t="shared" si="21"/>
        <v/>
      </c>
      <c r="B486" s="20">
        <v>2020</v>
      </c>
      <c r="C486" s="21" t="s">
        <v>60</v>
      </c>
      <c r="D486" s="21" t="s">
        <v>60</v>
      </c>
      <c r="E486" s="23">
        <v>75405</v>
      </c>
      <c r="F486" s="20">
        <v>1054112.5009999999</v>
      </c>
      <c r="G486" s="30">
        <f t="shared" si="22"/>
        <v>1129517.5009999999</v>
      </c>
      <c r="H486" t="str">
        <f>IFERROR(VLOOKUP(C486,Sheet1!$B$2:$C$25,2,FALSE),"")</f>
        <v/>
      </c>
      <c r="I486">
        <f t="shared" si="23"/>
        <v>1613</v>
      </c>
    </row>
    <row r="487" spans="1:9" x14ac:dyDescent="0.2">
      <c r="A487" t="str">
        <f t="shared" si="21"/>
        <v/>
      </c>
      <c r="B487" s="20">
        <v>2021</v>
      </c>
      <c r="C487" s="21" t="s">
        <v>60</v>
      </c>
      <c r="D487" s="21" t="s">
        <v>60</v>
      </c>
      <c r="E487" s="23">
        <v>71100</v>
      </c>
      <c r="F487" s="20">
        <v>928138.34669999999</v>
      </c>
      <c r="G487" s="30">
        <f t="shared" si="22"/>
        <v>999238.34669999999</v>
      </c>
      <c r="H487" t="str">
        <f>IFERROR(VLOOKUP(C487,Sheet1!$B$2:$C$25,2,FALSE),"")</f>
        <v/>
      </c>
      <c r="I487">
        <f t="shared" si="23"/>
        <v>1613</v>
      </c>
    </row>
    <row r="488" spans="1:9" x14ac:dyDescent="0.2">
      <c r="A488" t="str">
        <f t="shared" si="21"/>
        <v/>
      </c>
      <c r="B488" s="20">
        <v>2022</v>
      </c>
      <c r="C488" s="21" t="s">
        <v>60</v>
      </c>
      <c r="D488" s="21" t="s">
        <v>60</v>
      </c>
      <c r="E488" s="23">
        <v>77285</v>
      </c>
      <c r="F488" s="20">
        <v>1062477.247</v>
      </c>
      <c r="G488" s="30">
        <f t="shared" si="22"/>
        <v>1139762.247</v>
      </c>
      <c r="H488" t="str">
        <f>IFERROR(VLOOKUP(C488,Sheet1!$B$2:$C$25,2,FALSE),"")</f>
        <v/>
      </c>
      <c r="I488">
        <f t="shared" si="23"/>
        <v>1613</v>
      </c>
    </row>
    <row r="489" spans="1:9" x14ac:dyDescent="0.2">
      <c r="A489" t="str">
        <f t="shared" si="21"/>
        <v/>
      </c>
      <c r="B489" s="20">
        <v>2023</v>
      </c>
      <c r="C489" s="21" t="s">
        <v>60</v>
      </c>
      <c r="D489" s="21" t="s">
        <v>60</v>
      </c>
      <c r="E489" s="23">
        <v>89320</v>
      </c>
      <c r="F489" s="20">
        <v>1195437.635</v>
      </c>
      <c r="G489" s="30">
        <f t="shared" si="22"/>
        <v>1284757.635</v>
      </c>
      <c r="H489" t="str">
        <f>IFERROR(VLOOKUP(C489,Sheet1!$B$2:$C$25,2,FALSE),"")</f>
        <v/>
      </c>
      <c r="I489">
        <f t="shared" si="23"/>
        <v>1613</v>
      </c>
    </row>
    <row r="490" spans="1:9" x14ac:dyDescent="0.2">
      <c r="A490" t="str">
        <f t="shared" si="21"/>
        <v/>
      </c>
      <c r="B490" s="20">
        <v>2015</v>
      </c>
      <c r="C490" s="21" t="s">
        <v>61</v>
      </c>
      <c r="D490" s="21" t="s">
        <v>61</v>
      </c>
      <c r="E490" s="23">
        <v>44400</v>
      </c>
      <c r="F490" s="20">
        <v>696505.18900000001</v>
      </c>
      <c r="G490" s="30">
        <f t="shared" si="22"/>
        <v>740905.18900000001</v>
      </c>
      <c r="H490" t="str">
        <f>IFERROR(VLOOKUP(C490,Sheet1!$B$2:$C$25,2,FALSE),"")</f>
        <v/>
      </c>
      <c r="I490">
        <f t="shared" si="23"/>
        <v>1613</v>
      </c>
    </row>
    <row r="491" spans="1:9" x14ac:dyDescent="0.2">
      <c r="A491" t="str">
        <f t="shared" si="21"/>
        <v/>
      </c>
      <c r="B491" s="20">
        <v>2016</v>
      </c>
      <c r="C491" s="21" t="s">
        <v>61</v>
      </c>
      <c r="D491" s="21" t="s">
        <v>61</v>
      </c>
      <c r="E491" s="23">
        <v>34110</v>
      </c>
      <c r="F491" s="20">
        <v>532417.46070000005</v>
      </c>
      <c r="G491" s="30">
        <f t="shared" si="22"/>
        <v>566527.46070000005</v>
      </c>
      <c r="H491" t="str">
        <f>IFERROR(VLOOKUP(C491,Sheet1!$B$2:$C$25,2,FALSE),"")</f>
        <v/>
      </c>
      <c r="I491">
        <f t="shared" si="23"/>
        <v>1613</v>
      </c>
    </row>
    <row r="492" spans="1:9" x14ac:dyDescent="0.2">
      <c r="A492" t="str">
        <f t="shared" si="21"/>
        <v/>
      </c>
      <c r="B492" s="20">
        <v>2017</v>
      </c>
      <c r="C492" s="21" t="s">
        <v>61</v>
      </c>
      <c r="D492" s="21" t="s">
        <v>61</v>
      </c>
      <c r="E492" s="23">
        <v>33090</v>
      </c>
      <c r="F492" s="20">
        <v>546990.9155</v>
      </c>
      <c r="G492" s="30">
        <f t="shared" si="22"/>
        <v>580080.9155</v>
      </c>
      <c r="H492" t="str">
        <f>IFERROR(VLOOKUP(C492,Sheet1!$B$2:$C$25,2,FALSE),"")</f>
        <v/>
      </c>
      <c r="I492">
        <f t="shared" si="23"/>
        <v>1613</v>
      </c>
    </row>
    <row r="493" spans="1:9" x14ac:dyDescent="0.2">
      <c r="A493" t="str">
        <f t="shared" si="21"/>
        <v/>
      </c>
      <c r="B493" s="20">
        <v>2018</v>
      </c>
      <c r="C493" s="21" t="s">
        <v>61</v>
      </c>
      <c r="D493" s="21" t="s">
        <v>61</v>
      </c>
      <c r="E493" s="23">
        <v>31913</v>
      </c>
      <c r="F493" s="20">
        <v>480172.73009999999</v>
      </c>
      <c r="G493" s="30">
        <f t="shared" si="22"/>
        <v>512085.73009999999</v>
      </c>
      <c r="H493" t="str">
        <f>IFERROR(VLOOKUP(C493,Sheet1!$B$2:$C$25,2,FALSE),"")</f>
        <v/>
      </c>
      <c r="I493">
        <f t="shared" si="23"/>
        <v>1613</v>
      </c>
    </row>
    <row r="494" spans="1:9" x14ac:dyDescent="0.2">
      <c r="A494" t="str">
        <f t="shared" si="21"/>
        <v/>
      </c>
      <c r="B494" s="20">
        <v>2019</v>
      </c>
      <c r="C494" s="21" t="s">
        <v>61</v>
      </c>
      <c r="D494" s="21" t="s">
        <v>61</v>
      </c>
      <c r="E494" s="23">
        <v>36039</v>
      </c>
      <c r="F494" s="20">
        <v>518533.40580000001</v>
      </c>
      <c r="G494" s="30">
        <f t="shared" si="22"/>
        <v>554572.40580000007</v>
      </c>
      <c r="H494" t="str">
        <f>IFERROR(VLOOKUP(C494,Sheet1!$B$2:$C$25,2,FALSE),"")</f>
        <v/>
      </c>
      <c r="I494">
        <f t="shared" si="23"/>
        <v>1613</v>
      </c>
    </row>
    <row r="495" spans="1:9" x14ac:dyDescent="0.2">
      <c r="A495" t="str">
        <f t="shared" si="21"/>
        <v/>
      </c>
      <c r="B495" s="20">
        <v>2020</v>
      </c>
      <c r="C495" s="21" t="s">
        <v>61</v>
      </c>
      <c r="D495" s="21" t="s">
        <v>61</v>
      </c>
      <c r="E495" s="23">
        <v>40496</v>
      </c>
      <c r="F495" s="20">
        <v>566107.5503</v>
      </c>
      <c r="G495" s="30">
        <f t="shared" si="22"/>
        <v>606603.5503</v>
      </c>
      <c r="H495" t="str">
        <f>IFERROR(VLOOKUP(C495,Sheet1!$B$2:$C$25,2,FALSE),"")</f>
        <v/>
      </c>
      <c r="I495">
        <f t="shared" si="23"/>
        <v>1613</v>
      </c>
    </row>
    <row r="496" spans="1:9" x14ac:dyDescent="0.2">
      <c r="A496" t="str">
        <f t="shared" si="21"/>
        <v/>
      </c>
      <c r="B496" s="20">
        <v>2021</v>
      </c>
      <c r="C496" s="21" t="s">
        <v>61</v>
      </c>
      <c r="D496" s="21" t="s">
        <v>61</v>
      </c>
      <c r="E496" s="23">
        <v>35123</v>
      </c>
      <c r="F496" s="20">
        <v>458495.12170000002</v>
      </c>
      <c r="G496" s="30">
        <f t="shared" si="22"/>
        <v>493618.12170000002</v>
      </c>
      <c r="H496" t="str">
        <f>IFERROR(VLOOKUP(C496,Sheet1!$B$2:$C$25,2,FALSE),"")</f>
        <v/>
      </c>
      <c r="I496">
        <f t="shared" si="23"/>
        <v>1613</v>
      </c>
    </row>
    <row r="497" spans="1:9" x14ac:dyDescent="0.2">
      <c r="A497" t="str">
        <f t="shared" si="21"/>
        <v/>
      </c>
      <c r="B497" s="20">
        <v>2022</v>
      </c>
      <c r="C497" s="21" t="s">
        <v>61</v>
      </c>
      <c r="D497" s="21" t="s">
        <v>61</v>
      </c>
      <c r="E497" s="23">
        <v>35036</v>
      </c>
      <c r="F497" s="20">
        <v>481658.185</v>
      </c>
      <c r="G497" s="30">
        <f t="shared" si="22"/>
        <v>516694.185</v>
      </c>
      <c r="H497" t="str">
        <f>IFERROR(VLOOKUP(C497,Sheet1!$B$2:$C$25,2,FALSE),"")</f>
        <v/>
      </c>
      <c r="I497">
        <f t="shared" si="23"/>
        <v>1613</v>
      </c>
    </row>
    <row r="498" spans="1:9" x14ac:dyDescent="0.2">
      <c r="A498" t="str">
        <f t="shared" si="21"/>
        <v/>
      </c>
      <c r="B498" s="20">
        <v>2023</v>
      </c>
      <c r="C498" s="21" t="s">
        <v>61</v>
      </c>
      <c r="D498" s="21" t="s">
        <v>61</v>
      </c>
      <c r="E498" s="23">
        <v>25044</v>
      </c>
      <c r="F498" s="20">
        <v>335182.93920000002</v>
      </c>
      <c r="G498" s="30">
        <f t="shared" si="22"/>
        <v>360226.93920000002</v>
      </c>
      <c r="H498" t="str">
        <f>IFERROR(VLOOKUP(C498,Sheet1!$B$2:$C$25,2,FALSE),"")</f>
        <v/>
      </c>
      <c r="I498">
        <f t="shared" si="23"/>
        <v>1613</v>
      </c>
    </row>
    <row r="499" spans="1:9" x14ac:dyDescent="0.2">
      <c r="A499" t="str">
        <f t="shared" si="21"/>
        <v/>
      </c>
      <c r="B499" s="20">
        <v>2015</v>
      </c>
      <c r="C499" s="21" t="s">
        <v>209</v>
      </c>
      <c r="D499" s="21" t="s">
        <v>62</v>
      </c>
      <c r="E499" s="23">
        <v>696348</v>
      </c>
      <c r="F499" s="20">
        <v>10923648.539999999</v>
      </c>
      <c r="G499" s="30">
        <f t="shared" si="22"/>
        <v>11619996.539999999</v>
      </c>
      <c r="H499" t="str">
        <f>IFERROR(VLOOKUP(C499,Sheet1!$B$2:$C$25,2,FALSE),"")</f>
        <v/>
      </c>
      <c r="I499">
        <f t="shared" si="23"/>
        <v>1613</v>
      </c>
    </row>
    <row r="500" spans="1:9" x14ac:dyDescent="0.2">
      <c r="A500" t="str">
        <f t="shared" si="21"/>
        <v/>
      </c>
      <c r="B500" s="20">
        <v>2016</v>
      </c>
      <c r="C500" s="21" t="s">
        <v>209</v>
      </c>
      <c r="D500" s="21" t="s">
        <v>62</v>
      </c>
      <c r="E500" s="23">
        <v>741405</v>
      </c>
      <c r="F500" s="20">
        <v>11572470.460000001</v>
      </c>
      <c r="G500" s="30">
        <f t="shared" si="22"/>
        <v>12313875.460000001</v>
      </c>
      <c r="H500" t="str">
        <f>IFERROR(VLOOKUP(C500,Sheet1!$B$2:$C$25,2,FALSE),"")</f>
        <v/>
      </c>
      <c r="I500">
        <f t="shared" si="23"/>
        <v>1613</v>
      </c>
    </row>
    <row r="501" spans="1:9" x14ac:dyDescent="0.2">
      <c r="A501" t="str">
        <f t="shared" si="21"/>
        <v/>
      </c>
      <c r="B501" s="20">
        <v>2017</v>
      </c>
      <c r="C501" s="21" t="s">
        <v>209</v>
      </c>
      <c r="D501" s="21" t="s">
        <v>62</v>
      </c>
      <c r="E501" s="23">
        <v>733042</v>
      </c>
      <c r="F501" s="20">
        <v>12117477.02</v>
      </c>
      <c r="G501" s="30">
        <f t="shared" si="22"/>
        <v>12850519.02</v>
      </c>
      <c r="H501" t="str">
        <f>IFERROR(VLOOKUP(C501,Sheet1!$B$2:$C$25,2,FALSE),"")</f>
        <v/>
      </c>
      <c r="I501">
        <f t="shared" si="23"/>
        <v>1613</v>
      </c>
    </row>
    <row r="502" spans="1:9" x14ac:dyDescent="0.2">
      <c r="A502" t="str">
        <f t="shared" si="21"/>
        <v/>
      </c>
      <c r="B502" s="20">
        <v>2018</v>
      </c>
      <c r="C502" s="21" t="s">
        <v>209</v>
      </c>
      <c r="D502" s="21" t="s">
        <v>209</v>
      </c>
      <c r="E502" s="23">
        <v>700320</v>
      </c>
      <c r="F502" s="20">
        <v>10537228.289999999</v>
      </c>
      <c r="G502" s="30">
        <f t="shared" si="22"/>
        <v>11237548.289999999</v>
      </c>
      <c r="H502" t="str">
        <f>IFERROR(VLOOKUP(C502,Sheet1!$B$2:$C$25,2,FALSE),"")</f>
        <v/>
      </c>
      <c r="I502">
        <f t="shared" si="23"/>
        <v>1613</v>
      </c>
    </row>
    <row r="503" spans="1:9" x14ac:dyDescent="0.2">
      <c r="A503" t="str">
        <f t="shared" si="21"/>
        <v/>
      </c>
      <c r="B503" s="20">
        <v>2019</v>
      </c>
      <c r="C503" s="21" t="s">
        <v>209</v>
      </c>
      <c r="D503" s="21" t="s">
        <v>209</v>
      </c>
      <c r="E503" s="23">
        <v>693778</v>
      </c>
      <c r="F503" s="20">
        <v>9982160.1390000004</v>
      </c>
      <c r="G503" s="30">
        <f t="shared" si="22"/>
        <v>10675938.139</v>
      </c>
      <c r="H503" t="str">
        <f>IFERROR(VLOOKUP(C503,Sheet1!$B$2:$C$25,2,FALSE),"")</f>
        <v/>
      </c>
      <c r="I503">
        <f t="shared" si="23"/>
        <v>1613</v>
      </c>
    </row>
    <row r="504" spans="1:9" x14ac:dyDescent="0.2">
      <c r="A504" t="str">
        <f t="shared" si="21"/>
        <v/>
      </c>
      <c r="B504" s="20">
        <v>2020</v>
      </c>
      <c r="C504" s="21" t="s">
        <v>209</v>
      </c>
      <c r="D504" s="21" t="s">
        <v>209</v>
      </c>
      <c r="E504" s="23">
        <v>709744</v>
      </c>
      <c r="F504" s="20">
        <v>9921756.1520000007</v>
      </c>
      <c r="G504" s="30">
        <f t="shared" si="22"/>
        <v>10631500.152000001</v>
      </c>
      <c r="H504" t="str">
        <f>IFERROR(VLOOKUP(C504,Sheet1!$B$2:$C$25,2,FALSE),"")</f>
        <v/>
      </c>
      <c r="I504">
        <f t="shared" si="23"/>
        <v>1613</v>
      </c>
    </row>
    <row r="505" spans="1:9" x14ac:dyDescent="0.2">
      <c r="A505" t="str">
        <f t="shared" si="21"/>
        <v/>
      </c>
      <c r="B505" s="20">
        <v>2021</v>
      </c>
      <c r="C505" s="21" t="s">
        <v>209</v>
      </c>
      <c r="D505" s="21" t="s">
        <v>209</v>
      </c>
      <c r="E505" s="23">
        <v>780766</v>
      </c>
      <c r="F505" s="20">
        <v>10192107.800000001</v>
      </c>
      <c r="G505" s="30">
        <f t="shared" si="22"/>
        <v>10972873.800000001</v>
      </c>
      <c r="H505" t="str">
        <f>IFERROR(VLOOKUP(C505,Sheet1!$B$2:$C$25,2,FALSE),"")</f>
        <v/>
      </c>
      <c r="I505">
        <f t="shared" si="23"/>
        <v>1613</v>
      </c>
    </row>
    <row r="506" spans="1:9" x14ac:dyDescent="0.2">
      <c r="A506" t="str">
        <f t="shared" si="21"/>
        <v/>
      </c>
      <c r="B506" s="20">
        <v>2022</v>
      </c>
      <c r="C506" s="21" t="s">
        <v>209</v>
      </c>
      <c r="D506" s="21" t="s">
        <v>209</v>
      </c>
      <c r="E506" s="23">
        <v>813202</v>
      </c>
      <c r="F506" s="20">
        <v>11179512.48</v>
      </c>
      <c r="G506" s="30">
        <f t="shared" si="22"/>
        <v>11992714.48</v>
      </c>
      <c r="H506" t="str">
        <f>IFERROR(VLOOKUP(C506,Sheet1!$B$2:$C$25,2,FALSE),"")</f>
        <v/>
      </c>
      <c r="I506">
        <f t="shared" si="23"/>
        <v>1613</v>
      </c>
    </row>
    <row r="507" spans="1:9" x14ac:dyDescent="0.2">
      <c r="A507" t="str">
        <f t="shared" si="21"/>
        <v/>
      </c>
      <c r="B507" s="20">
        <v>2023</v>
      </c>
      <c r="C507" s="21" t="s">
        <v>209</v>
      </c>
      <c r="D507" s="21" t="s">
        <v>209</v>
      </c>
      <c r="E507" s="23">
        <v>896586</v>
      </c>
      <c r="F507" s="20">
        <v>11999693.77</v>
      </c>
      <c r="G507" s="30">
        <f t="shared" si="22"/>
        <v>12896279.77</v>
      </c>
      <c r="H507" t="str">
        <f>IFERROR(VLOOKUP(C507,Sheet1!$B$2:$C$25,2,FALSE),"")</f>
        <v/>
      </c>
      <c r="I507">
        <f t="shared" si="23"/>
        <v>1613</v>
      </c>
    </row>
    <row r="508" spans="1:9" x14ac:dyDescent="0.2">
      <c r="A508" t="str">
        <f t="shared" si="21"/>
        <v/>
      </c>
      <c r="B508" s="20">
        <v>2015</v>
      </c>
      <c r="C508" s="21" t="s">
        <v>63</v>
      </c>
      <c r="D508" s="21" t="s">
        <v>63</v>
      </c>
      <c r="E508" s="23">
        <v>1110294</v>
      </c>
      <c r="F508" s="20">
        <v>17417241.719999999</v>
      </c>
      <c r="G508" s="30">
        <f t="shared" si="22"/>
        <v>18527535.719999999</v>
      </c>
      <c r="H508" t="str">
        <f>IFERROR(VLOOKUP(C508,Sheet1!$B$2:$C$25,2,FALSE),"")</f>
        <v/>
      </c>
      <c r="I508">
        <f t="shared" si="23"/>
        <v>1613</v>
      </c>
    </row>
    <row r="509" spans="1:9" x14ac:dyDescent="0.2">
      <c r="A509" t="str">
        <f t="shared" si="21"/>
        <v/>
      </c>
      <c r="B509" s="20">
        <v>2016</v>
      </c>
      <c r="C509" s="21" t="s">
        <v>63</v>
      </c>
      <c r="D509" s="21" t="s">
        <v>63</v>
      </c>
      <c r="E509" s="23">
        <v>1075328</v>
      </c>
      <c r="F509" s="20">
        <v>16784620.440000001</v>
      </c>
      <c r="G509" s="30">
        <f t="shared" si="22"/>
        <v>17859948.440000001</v>
      </c>
      <c r="H509" t="str">
        <f>IFERROR(VLOOKUP(C509,Sheet1!$B$2:$C$25,2,FALSE),"")</f>
        <v/>
      </c>
      <c r="I509">
        <f t="shared" si="23"/>
        <v>1613</v>
      </c>
    </row>
    <row r="510" spans="1:9" x14ac:dyDescent="0.2">
      <c r="A510" t="str">
        <f t="shared" si="21"/>
        <v/>
      </c>
      <c r="B510" s="20">
        <v>2017</v>
      </c>
      <c r="C510" s="21" t="s">
        <v>63</v>
      </c>
      <c r="D510" s="21" t="s">
        <v>63</v>
      </c>
      <c r="E510" s="23">
        <v>1051784</v>
      </c>
      <c r="F510" s="20">
        <v>17386409.579999998</v>
      </c>
      <c r="G510" s="30">
        <f t="shared" si="22"/>
        <v>18438193.579999998</v>
      </c>
      <c r="H510" t="str">
        <f>IFERROR(VLOOKUP(C510,Sheet1!$B$2:$C$25,2,FALSE),"")</f>
        <v/>
      </c>
      <c r="I510">
        <f t="shared" si="23"/>
        <v>1613</v>
      </c>
    </row>
    <row r="511" spans="1:9" x14ac:dyDescent="0.2">
      <c r="A511" t="str">
        <f t="shared" si="21"/>
        <v/>
      </c>
      <c r="B511" s="20">
        <v>2018</v>
      </c>
      <c r="C511" s="21" t="s">
        <v>63</v>
      </c>
      <c r="D511" s="21" t="s">
        <v>63</v>
      </c>
      <c r="E511" s="23">
        <v>1089771</v>
      </c>
      <c r="F511" s="20">
        <v>16397026.800000001</v>
      </c>
      <c r="G511" s="30">
        <f t="shared" si="22"/>
        <v>17486797.800000001</v>
      </c>
      <c r="H511" t="str">
        <f>IFERROR(VLOOKUP(C511,Sheet1!$B$2:$C$25,2,FALSE),"")</f>
        <v/>
      </c>
      <c r="I511">
        <f t="shared" si="23"/>
        <v>1613</v>
      </c>
    </row>
    <row r="512" spans="1:9" x14ac:dyDescent="0.2">
      <c r="A512" t="str">
        <f t="shared" si="21"/>
        <v/>
      </c>
      <c r="B512" s="20">
        <v>2019</v>
      </c>
      <c r="C512" s="21" t="s">
        <v>63</v>
      </c>
      <c r="D512" s="21" t="s">
        <v>63</v>
      </c>
      <c r="E512" s="23">
        <v>1160395</v>
      </c>
      <c r="F512" s="20">
        <v>16695900.869999999</v>
      </c>
      <c r="G512" s="30">
        <f t="shared" si="22"/>
        <v>17856295.869999997</v>
      </c>
      <c r="H512" t="str">
        <f>IFERROR(VLOOKUP(C512,Sheet1!$B$2:$C$25,2,FALSE),"")</f>
        <v/>
      </c>
      <c r="I512">
        <f t="shared" si="23"/>
        <v>1613</v>
      </c>
    </row>
    <row r="513" spans="1:9" x14ac:dyDescent="0.2">
      <c r="A513" t="str">
        <f t="shared" si="21"/>
        <v/>
      </c>
      <c r="B513" s="20">
        <v>2020</v>
      </c>
      <c r="C513" s="21" t="s">
        <v>63</v>
      </c>
      <c r="D513" s="21" t="s">
        <v>63</v>
      </c>
      <c r="E513" s="23">
        <v>1186772</v>
      </c>
      <c r="F513" s="20">
        <v>16590295.08</v>
      </c>
      <c r="G513" s="30">
        <f t="shared" si="22"/>
        <v>17777067.079999998</v>
      </c>
      <c r="H513" t="str">
        <f>IFERROR(VLOOKUP(C513,Sheet1!$B$2:$C$25,2,FALSE),"")</f>
        <v/>
      </c>
      <c r="I513">
        <f t="shared" si="23"/>
        <v>1613</v>
      </c>
    </row>
    <row r="514" spans="1:9" x14ac:dyDescent="0.2">
      <c r="A514" t="str">
        <f t="shared" si="21"/>
        <v/>
      </c>
      <c r="B514" s="20">
        <v>2021</v>
      </c>
      <c r="C514" s="21" t="s">
        <v>63</v>
      </c>
      <c r="D514" s="21" t="s">
        <v>63</v>
      </c>
      <c r="E514" s="23">
        <v>1311211</v>
      </c>
      <c r="F514" s="20">
        <v>17116528.969999999</v>
      </c>
      <c r="G514" s="30">
        <f t="shared" si="22"/>
        <v>18427739.969999999</v>
      </c>
      <c r="H514" t="str">
        <f>IFERROR(VLOOKUP(C514,Sheet1!$B$2:$C$25,2,FALSE),"")</f>
        <v/>
      </c>
      <c r="I514">
        <f t="shared" si="23"/>
        <v>1613</v>
      </c>
    </row>
    <row r="515" spans="1:9" x14ac:dyDescent="0.2">
      <c r="A515" t="str">
        <f t="shared" ref="A515:A578" si="24">H515</f>
        <v/>
      </c>
      <c r="B515" s="20">
        <v>2022</v>
      </c>
      <c r="C515" s="21" t="s">
        <v>63</v>
      </c>
      <c r="D515" s="21" t="s">
        <v>63</v>
      </c>
      <c r="E515" s="23">
        <v>1267759</v>
      </c>
      <c r="F515" s="20">
        <v>17428544.899999999</v>
      </c>
      <c r="G515" s="30">
        <f t="shared" ref="G515:G578" si="25">SUM(E515:F515)</f>
        <v>18696303.899999999</v>
      </c>
      <c r="H515" t="str">
        <f>IFERROR(VLOOKUP(C515,Sheet1!$B$2:$C$25,2,FALSE),"")</f>
        <v/>
      </c>
      <c r="I515">
        <f t="shared" ref="I515:I578" si="26">COUNTIF($H$2:$H$1812,H515)</f>
        <v>1613</v>
      </c>
    </row>
    <row r="516" spans="1:9" x14ac:dyDescent="0.2">
      <c r="A516" t="str">
        <f t="shared" si="24"/>
        <v/>
      </c>
      <c r="B516" s="20">
        <v>2023</v>
      </c>
      <c r="C516" s="21" t="s">
        <v>63</v>
      </c>
      <c r="D516" s="21" t="s">
        <v>63</v>
      </c>
      <c r="E516" s="23">
        <v>1385861</v>
      </c>
      <c r="F516" s="20">
        <v>18548033.989999998</v>
      </c>
      <c r="G516" s="30">
        <f t="shared" si="25"/>
        <v>19933894.989999998</v>
      </c>
      <c r="H516" t="str">
        <f>IFERROR(VLOOKUP(C516,Sheet1!$B$2:$C$25,2,FALSE),"")</f>
        <v/>
      </c>
      <c r="I516">
        <f t="shared" si="26"/>
        <v>1613</v>
      </c>
    </row>
    <row r="517" spans="1:9" x14ac:dyDescent="0.2">
      <c r="A517" t="str">
        <f t="shared" si="24"/>
        <v/>
      </c>
      <c r="B517" s="20">
        <v>2015</v>
      </c>
      <c r="C517" s="21" t="s">
        <v>64</v>
      </c>
      <c r="D517" s="21" t="s">
        <v>64</v>
      </c>
      <c r="E517" s="23">
        <v>233252</v>
      </c>
      <c r="F517" s="20">
        <v>3659036.6749999998</v>
      </c>
      <c r="G517" s="30">
        <f t="shared" si="25"/>
        <v>3892288.6749999998</v>
      </c>
      <c r="H517" t="str">
        <f>IFERROR(VLOOKUP(C517,Sheet1!$B$2:$C$25,2,FALSE),"")</f>
        <v/>
      </c>
      <c r="I517">
        <f t="shared" si="26"/>
        <v>1613</v>
      </c>
    </row>
    <row r="518" spans="1:9" x14ac:dyDescent="0.2">
      <c r="A518" t="str">
        <f t="shared" si="24"/>
        <v/>
      </c>
      <c r="B518" s="20">
        <v>2016</v>
      </c>
      <c r="C518" s="21" t="s">
        <v>64</v>
      </c>
      <c r="D518" s="21" t="s">
        <v>64</v>
      </c>
      <c r="E518" s="23">
        <v>221337</v>
      </c>
      <c r="F518" s="20">
        <v>3454813.3539999998</v>
      </c>
      <c r="G518" s="30">
        <f t="shared" si="25"/>
        <v>3676150.3539999998</v>
      </c>
      <c r="H518" t="str">
        <f>IFERROR(VLOOKUP(C518,Sheet1!$B$2:$C$25,2,FALSE),"")</f>
        <v/>
      </c>
      <c r="I518">
        <f t="shared" si="26"/>
        <v>1613</v>
      </c>
    </row>
    <row r="519" spans="1:9" x14ac:dyDescent="0.2">
      <c r="A519" t="str">
        <f t="shared" si="24"/>
        <v/>
      </c>
      <c r="B519" s="20">
        <v>2017</v>
      </c>
      <c r="C519" s="21" t="s">
        <v>64</v>
      </c>
      <c r="D519" s="21" t="s">
        <v>64</v>
      </c>
      <c r="E519" s="23">
        <v>221704</v>
      </c>
      <c r="F519" s="20">
        <v>3664855.6639999999</v>
      </c>
      <c r="G519" s="30">
        <f t="shared" si="25"/>
        <v>3886559.6639999999</v>
      </c>
      <c r="H519" t="str">
        <f>IFERROR(VLOOKUP(C519,Sheet1!$B$2:$C$25,2,FALSE),"")</f>
        <v/>
      </c>
      <c r="I519">
        <f t="shared" si="26"/>
        <v>1613</v>
      </c>
    </row>
    <row r="520" spans="1:9" x14ac:dyDescent="0.2">
      <c r="A520" t="str">
        <f t="shared" si="24"/>
        <v/>
      </c>
      <c r="B520" s="20">
        <v>2018</v>
      </c>
      <c r="C520" s="21" t="s">
        <v>64</v>
      </c>
      <c r="D520" s="21" t="s">
        <v>64</v>
      </c>
      <c r="E520" s="23">
        <v>243137</v>
      </c>
      <c r="F520" s="20">
        <v>3658313.449</v>
      </c>
      <c r="G520" s="30">
        <f t="shared" si="25"/>
        <v>3901450.449</v>
      </c>
      <c r="H520" t="str">
        <f>IFERROR(VLOOKUP(C520,Sheet1!$B$2:$C$25,2,FALSE),"")</f>
        <v/>
      </c>
      <c r="I520">
        <f t="shared" si="26"/>
        <v>1613</v>
      </c>
    </row>
    <row r="521" spans="1:9" x14ac:dyDescent="0.2">
      <c r="A521" t="str">
        <f t="shared" si="24"/>
        <v/>
      </c>
      <c r="B521" s="20">
        <v>2019</v>
      </c>
      <c r="C521" s="21" t="s">
        <v>64</v>
      </c>
      <c r="D521" s="21" t="s">
        <v>64</v>
      </c>
      <c r="E521" s="23">
        <v>262444</v>
      </c>
      <c r="F521" s="20">
        <v>3776075.395</v>
      </c>
      <c r="G521" s="30">
        <f t="shared" si="25"/>
        <v>4038519.395</v>
      </c>
      <c r="H521" t="str">
        <f>IFERROR(VLOOKUP(C521,Sheet1!$B$2:$C$25,2,FALSE),"")</f>
        <v/>
      </c>
      <c r="I521">
        <f t="shared" si="26"/>
        <v>1613</v>
      </c>
    </row>
    <row r="522" spans="1:9" x14ac:dyDescent="0.2">
      <c r="A522" t="str">
        <f t="shared" si="24"/>
        <v/>
      </c>
      <c r="B522" s="20">
        <v>2020</v>
      </c>
      <c r="C522" s="21" t="s">
        <v>64</v>
      </c>
      <c r="D522" s="21" t="s">
        <v>64</v>
      </c>
      <c r="E522" s="23">
        <v>292726</v>
      </c>
      <c r="F522" s="20">
        <v>4092117.7089999998</v>
      </c>
      <c r="G522" s="30">
        <f t="shared" si="25"/>
        <v>4384843.7089999998</v>
      </c>
      <c r="H522" t="str">
        <f>IFERROR(VLOOKUP(C522,Sheet1!$B$2:$C$25,2,FALSE),"")</f>
        <v/>
      </c>
      <c r="I522">
        <f t="shared" si="26"/>
        <v>1613</v>
      </c>
    </row>
    <row r="523" spans="1:9" x14ac:dyDescent="0.2">
      <c r="A523" t="str">
        <f t="shared" si="24"/>
        <v/>
      </c>
      <c r="B523" s="20">
        <v>2021</v>
      </c>
      <c r="C523" s="21" t="s">
        <v>64</v>
      </c>
      <c r="D523" s="21" t="s">
        <v>64</v>
      </c>
      <c r="E523" s="23">
        <v>201130</v>
      </c>
      <c r="F523" s="20">
        <v>2625548.04</v>
      </c>
      <c r="G523" s="30">
        <f t="shared" si="25"/>
        <v>2826678.04</v>
      </c>
      <c r="H523" t="str">
        <f>IFERROR(VLOOKUP(C523,Sheet1!$B$2:$C$25,2,FALSE),"")</f>
        <v/>
      </c>
      <c r="I523">
        <f t="shared" si="26"/>
        <v>1613</v>
      </c>
    </row>
    <row r="524" spans="1:9" x14ac:dyDescent="0.2">
      <c r="A524" t="str">
        <f t="shared" si="24"/>
        <v/>
      </c>
      <c r="B524" s="20">
        <v>2022</v>
      </c>
      <c r="C524" s="21" t="s">
        <v>64</v>
      </c>
      <c r="D524" s="21" t="s">
        <v>64</v>
      </c>
      <c r="E524" s="23">
        <v>188155</v>
      </c>
      <c r="F524" s="20">
        <v>2586665.0240000002</v>
      </c>
      <c r="G524" s="30">
        <f t="shared" si="25"/>
        <v>2774820.0240000002</v>
      </c>
      <c r="H524" t="str">
        <f>IFERROR(VLOOKUP(C524,Sheet1!$B$2:$C$25,2,FALSE),"")</f>
        <v/>
      </c>
      <c r="I524">
        <f t="shared" si="26"/>
        <v>1613</v>
      </c>
    </row>
    <row r="525" spans="1:9" x14ac:dyDescent="0.2">
      <c r="A525" t="str">
        <f t="shared" si="24"/>
        <v/>
      </c>
      <c r="B525" s="20">
        <v>2023</v>
      </c>
      <c r="C525" s="21" t="s">
        <v>64</v>
      </c>
      <c r="D525" s="21" t="s">
        <v>64</v>
      </c>
      <c r="E525" s="23">
        <v>193558</v>
      </c>
      <c r="F525" s="20">
        <v>2590534.2340000002</v>
      </c>
      <c r="G525" s="30">
        <f t="shared" si="25"/>
        <v>2784092.2340000002</v>
      </c>
      <c r="H525" t="str">
        <f>IFERROR(VLOOKUP(C525,Sheet1!$B$2:$C$25,2,FALSE),"")</f>
        <v/>
      </c>
      <c r="I525">
        <f t="shared" si="26"/>
        <v>1613</v>
      </c>
    </row>
    <row r="526" spans="1:9" x14ac:dyDescent="0.2">
      <c r="A526" t="str">
        <f t="shared" si="24"/>
        <v/>
      </c>
      <c r="B526" s="20">
        <v>2015</v>
      </c>
      <c r="C526" s="21" t="s">
        <v>65</v>
      </c>
      <c r="D526" s="21" t="s">
        <v>65</v>
      </c>
      <c r="E526" s="23">
        <v>181389</v>
      </c>
      <c r="F526" s="20">
        <v>2845459.003</v>
      </c>
      <c r="G526" s="30">
        <f t="shared" si="25"/>
        <v>3026848.003</v>
      </c>
      <c r="H526" t="str">
        <f>IFERROR(VLOOKUP(C526,Sheet1!$B$2:$C$25,2,FALSE),"")</f>
        <v/>
      </c>
      <c r="I526">
        <f t="shared" si="26"/>
        <v>1613</v>
      </c>
    </row>
    <row r="527" spans="1:9" x14ac:dyDescent="0.2">
      <c r="A527" t="str">
        <f t="shared" si="24"/>
        <v/>
      </c>
      <c r="B527" s="20">
        <v>2016</v>
      </c>
      <c r="C527" s="21" t="s">
        <v>65</v>
      </c>
      <c r="D527" s="21" t="s">
        <v>65</v>
      </c>
      <c r="E527" s="23">
        <v>162944</v>
      </c>
      <c r="F527" s="20">
        <v>2543366.483</v>
      </c>
      <c r="G527" s="30">
        <f t="shared" si="25"/>
        <v>2706310.483</v>
      </c>
      <c r="H527" t="str">
        <f>IFERROR(VLOOKUP(C527,Sheet1!$B$2:$C$25,2,FALSE),"")</f>
        <v/>
      </c>
      <c r="I527">
        <f t="shared" si="26"/>
        <v>1613</v>
      </c>
    </row>
    <row r="528" spans="1:9" x14ac:dyDescent="0.2">
      <c r="A528" t="str">
        <f t="shared" si="24"/>
        <v/>
      </c>
      <c r="B528" s="20">
        <v>2017</v>
      </c>
      <c r="C528" s="21" t="s">
        <v>65</v>
      </c>
      <c r="D528" s="21" t="s">
        <v>65</v>
      </c>
      <c r="E528" s="23">
        <v>151643</v>
      </c>
      <c r="F528" s="20">
        <v>2506719.3530000001</v>
      </c>
      <c r="G528" s="30">
        <f t="shared" si="25"/>
        <v>2658362.3530000001</v>
      </c>
      <c r="H528" t="str">
        <f>IFERROR(VLOOKUP(C528,Sheet1!$B$2:$C$25,2,FALSE),"")</f>
        <v/>
      </c>
      <c r="I528">
        <f t="shared" si="26"/>
        <v>1613</v>
      </c>
    </row>
    <row r="529" spans="1:9" x14ac:dyDescent="0.2">
      <c r="A529" t="str">
        <f t="shared" si="24"/>
        <v/>
      </c>
      <c r="B529" s="20">
        <v>2018</v>
      </c>
      <c r="C529" s="21" t="s">
        <v>65</v>
      </c>
      <c r="D529" s="21" t="s">
        <v>65</v>
      </c>
      <c r="E529" s="23">
        <v>171357</v>
      </c>
      <c r="F529" s="20">
        <v>2578289.679</v>
      </c>
      <c r="G529" s="30">
        <f t="shared" si="25"/>
        <v>2749646.679</v>
      </c>
      <c r="H529" t="str">
        <f>IFERROR(VLOOKUP(C529,Sheet1!$B$2:$C$25,2,FALSE),"")</f>
        <v/>
      </c>
      <c r="I529">
        <f t="shared" si="26"/>
        <v>1613</v>
      </c>
    </row>
    <row r="530" spans="1:9" x14ac:dyDescent="0.2">
      <c r="A530" t="str">
        <f t="shared" si="24"/>
        <v/>
      </c>
      <c r="B530" s="20">
        <v>2019</v>
      </c>
      <c r="C530" s="21" t="s">
        <v>65</v>
      </c>
      <c r="D530" s="21" t="s">
        <v>65</v>
      </c>
      <c r="E530" s="23">
        <v>190073</v>
      </c>
      <c r="F530" s="20">
        <v>2734792.8650000002</v>
      </c>
      <c r="G530" s="30">
        <f t="shared" si="25"/>
        <v>2924865.8650000002</v>
      </c>
      <c r="H530" t="str">
        <f>IFERROR(VLOOKUP(C530,Sheet1!$B$2:$C$25,2,FALSE),"")</f>
        <v/>
      </c>
      <c r="I530">
        <f t="shared" si="26"/>
        <v>1613</v>
      </c>
    </row>
    <row r="531" spans="1:9" x14ac:dyDescent="0.2">
      <c r="A531" t="str">
        <f t="shared" si="24"/>
        <v/>
      </c>
      <c r="B531" s="20">
        <v>2020</v>
      </c>
      <c r="C531" s="21" t="s">
        <v>65</v>
      </c>
      <c r="D531" s="21" t="s">
        <v>65</v>
      </c>
      <c r="E531" s="23">
        <v>194689</v>
      </c>
      <c r="F531" s="20">
        <v>2721624.6749999998</v>
      </c>
      <c r="G531" s="30">
        <f t="shared" si="25"/>
        <v>2916313.6749999998</v>
      </c>
      <c r="H531" t="str">
        <f>IFERROR(VLOOKUP(C531,Sheet1!$B$2:$C$25,2,FALSE),"")</f>
        <v/>
      </c>
      <c r="I531">
        <f t="shared" si="26"/>
        <v>1613</v>
      </c>
    </row>
    <row r="532" spans="1:9" x14ac:dyDescent="0.2">
      <c r="A532" t="str">
        <f t="shared" si="24"/>
        <v/>
      </c>
      <c r="B532" s="20">
        <v>2021</v>
      </c>
      <c r="C532" s="21" t="s">
        <v>65</v>
      </c>
      <c r="D532" s="21" t="s">
        <v>65</v>
      </c>
      <c r="E532" s="23">
        <v>214584</v>
      </c>
      <c r="F532" s="20">
        <v>2801176.3569999998</v>
      </c>
      <c r="G532" s="30">
        <f t="shared" si="25"/>
        <v>3015760.3569999998</v>
      </c>
      <c r="H532" t="str">
        <f>IFERROR(VLOOKUP(C532,Sheet1!$B$2:$C$25,2,FALSE),"")</f>
        <v/>
      </c>
      <c r="I532">
        <f t="shared" si="26"/>
        <v>1613</v>
      </c>
    </row>
    <row r="533" spans="1:9" x14ac:dyDescent="0.2">
      <c r="A533" t="str">
        <f t="shared" si="24"/>
        <v/>
      </c>
      <c r="B533" s="20">
        <v>2022</v>
      </c>
      <c r="C533" s="21" t="s">
        <v>65</v>
      </c>
      <c r="D533" s="21" t="s">
        <v>65</v>
      </c>
      <c r="E533" s="23">
        <v>220744</v>
      </c>
      <c r="F533" s="20">
        <v>3034683.023</v>
      </c>
      <c r="G533" s="30">
        <f t="shared" si="25"/>
        <v>3255427.023</v>
      </c>
      <c r="H533" t="str">
        <f>IFERROR(VLOOKUP(C533,Sheet1!$B$2:$C$25,2,FALSE),"")</f>
        <v/>
      </c>
      <c r="I533">
        <f t="shared" si="26"/>
        <v>1613</v>
      </c>
    </row>
    <row r="534" spans="1:9" x14ac:dyDescent="0.2">
      <c r="A534" t="str">
        <f t="shared" si="24"/>
        <v/>
      </c>
      <c r="B534" s="20">
        <v>2023</v>
      </c>
      <c r="C534" s="21" t="s">
        <v>65</v>
      </c>
      <c r="D534" s="21" t="s">
        <v>65</v>
      </c>
      <c r="E534" s="23">
        <v>209221</v>
      </c>
      <c r="F534" s="20">
        <v>2800164.1</v>
      </c>
      <c r="G534" s="30">
        <f t="shared" si="25"/>
        <v>3009385.1</v>
      </c>
      <c r="H534" t="str">
        <f>IFERROR(VLOOKUP(C534,Sheet1!$B$2:$C$25,2,FALSE),"")</f>
        <v/>
      </c>
      <c r="I534">
        <f t="shared" si="26"/>
        <v>1613</v>
      </c>
    </row>
    <row r="535" spans="1:9" x14ac:dyDescent="0.2">
      <c r="A535" t="str">
        <f t="shared" si="24"/>
        <v/>
      </c>
      <c r="B535" s="20">
        <v>2015</v>
      </c>
      <c r="C535" s="21" t="s">
        <v>66</v>
      </c>
      <c r="D535" s="21" t="s">
        <v>66</v>
      </c>
      <c r="E535" s="23">
        <v>744812</v>
      </c>
      <c r="F535" s="20">
        <v>11683905.92</v>
      </c>
      <c r="G535" s="30">
        <f t="shared" si="25"/>
        <v>12428717.92</v>
      </c>
      <c r="H535" t="str">
        <f>IFERROR(VLOOKUP(C535,Sheet1!$B$2:$C$25,2,FALSE),"")</f>
        <v/>
      </c>
      <c r="I535">
        <f t="shared" si="26"/>
        <v>1613</v>
      </c>
    </row>
    <row r="536" spans="1:9" x14ac:dyDescent="0.2">
      <c r="A536" t="str">
        <f t="shared" si="24"/>
        <v/>
      </c>
      <c r="B536" s="20">
        <v>2016</v>
      </c>
      <c r="C536" s="21" t="s">
        <v>66</v>
      </c>
      <c r="D536" s="21" t="s">
        <v>66</v>
      </c>
      <c r="E536" s="23">
        <v>644215</v>
      </c>
      <c r="F536" s="20">
        <v>10055447.51</v>
      </c>
      <c r="G536" s="30">
        <f t="shared" si="25"/>
        <v>10699662.51</v>
      </c>
      <c r="H536" t="str">
        <f>IFERROR(VLOOKUP(C536,Sheet1!$B$2:$C$25,2,FALSE),"")</f>
        <v/>
      </c>
      <c r="I536">
        <f t="shared" si="26"/>
        <v>1613</v>
      </c>
    </row>
    <row r="537" spans="1:9" x14ac:dyDescent="0.2">
      <c r="A537" t="str">
        <f t="shared" si="24"/>
        <v/>
      </c>
      <c r="B537" s="20">
        <v>2017</v>
      </c>
      <c r="C537" s="21" t="s">
        <v>66</v>
      </c>
      <c r="D537" s="21" t="s">
        <v>66</v>
      </c>
      <c r="E537" s="23">
        <v>658849</v>
      </c>
      <c r="F537" s="20">
        <v>10891037.1</v>
      </c>
      <c r="G537" s="30">
        <f t="shared" si="25"/>
        <v>11549886.1</v>
      </c>
      <c r="H537" t="str">
        <f>IFERROR(VLOOKUP(C537,Sheet1!$B$2:$C$25,2,FALSE),"")</f>
        <v/>
      </c>
      <c r="I537">
        <f t="shared" si="26"/>
        <v>1613</v>
      </c>
    </row>
    <row r="538" spans="1:9" x14ac:dyDescent="0.2">
      <c r="A538" t="str">
        <f t="shared" si="24"/>
        <v/>
      </c>
      <c r="B538" s="20">
        <v>2018</v>
      </c>
      <c r="C538" s="21" t="s">
        <v>66</v>
      </c>
      <c r="D538" s="21" t="s">
        <v>66</v>
      </c>
      <c r="E538" s="23">
        <v>688604</v>
      </c>
      <c r="F538" s="20">
        <v>10360945.779999999</v>
      </c>
      <c r="G538" s="30">
        <f t="shared" si="25"/>
        <v>11049549.779999999</v>
      </c>
      <c r="H538" t="str">
        <f>IFERROR(VLOOKUP(C538,Sheet1!$B$2:$C$25,2,FALSE),"")</f>
        <v/>
      </c>
      <c r="I538">
        <f t="shared" si="26"/>
        <v>1613</v>
      </c>
    </row>
    <row r="539" spans="1:9" x14ac:dyDescent="0.2">
      <c r="A539" t="str">
        <f t="shared" si="24"/>
        <v/>
      </c>
      <c r="B539" s="20">
        <v>2019</v>
      </c>
      <c r="C539" s="21" t="s">
        <v>66</v>
      </c>
      <c r="D539" s="21" t="s">
        <v>66</v>
      </c>
      <c r="E539" s="23">
        <v>790578</v>
      </c>
      <c r="F539" s="20">
        <v>11374930.02</v>
      </c>
      <c r="G539" s="30">
        <f t="shared" si="25"/>
        <v>12165508.02</v>
      </c>
      <c r="H539" t="str">
        <f>IFERROR(VLOOKUP(C539,Sheet1!$B$2:$C$25,2,FALSE),"")</f>
        <v/>
      </c>
      <c r="I539">
        <f t="shared" si="26"/>
        <v>1613</v>
      </c>
    </row>
    <row r="540" spans="1:9" x14ac:dyDescent="0.2">
      <c r="A540" t="str">
        <f t="shared" si="24"/>
        <v/>
      </c>
      <c r="B540" s="20">
        <v>2020</v>
      </c>
      <c r="C540" s="21" t="s">
        <v>66</v>
      </c>
      <c r="D540" s="21" t="s">
        <v>66</v>
      </c>
      <c r="E540" s="23">
        <v>791207</v>
      </c>
      <c r="F540" s="20">
        <v>11060555.52</v>
      </c>
      <c r="G540" s="30">
        <f t="shared" si="25"/>
        <v>11851762.52</v>
      </c>
      <c r="H540" t="str">
        <f>IFERROR(VLOOKUP(C540,Sheet1!$B$2:$C$25,2,FALSE),"")</f>
        <v/>
      </c>
      <c r="I540">
        <f t="shared" si="26"/>
        <v>1613</v>
      </c>
    </row>
    <row r="541" spans="1:9" x14ac:dyDescent="0.2">
      <c r="A541" t="str">
        <f t="shared" si="24"/>
        <v/>
      </c>
      <c r="B541" s="20">
        <v>2021</v>
      </c>
      <c r="C541" s="21" t="s">
        <v>66</v>
      </c>
      <c r="D541" s="21" t="s">
        <v>66</v>
      </c>
      <c r="E541" s="23">
        <v>906093</v>
      </c>
      <c r="F541" s="20">
        <v>11828124.6</v>
      </c>
      <c r="G541" s="30">
        <f t="shared" si="25"/>
        <v>12734217.6</v>
      </c>
      <c r="H541" t="str">
        <f>IFERROR(VLOOKUP(C541,Sheet1!$B$2:$C$25,2,FALSE),"")</f>
        <v/>
      </c>
      <c r="I541">
        <f t="shared" si="26"/>
        <v>1613</v>
      </c>
    </row>
    <row r="542" spans="1:9" x14ac:dyDescent="0.2">
      <c r="A542" t="str">
        <f t="shared" si="24"/>
        <v/>
      </c>
      <c r="B542" s="20">
        <v>2022</v>
      </c>
      <c r="C542" s="21" t="s">
        <v>66</v>
      </c>
      <c r="D542" s="21" t="s">
        <v>66</v>
      </c>
      <c r="E542" s="23">
        <v>932762</v>
      </c>
      <c r="F542" s="20">
        <v>12823166.23</v>
      </c>
      <c r="G542" s="30">
        <f t="shared" si="25"/>
        <v>13755928.23</v>
      </c>
      <c r="H542" t="str">
        <f>IFERROR(VLOOKUP(C542,Sheet1!$B$2:$C$25,2,FALSE),"")</f>
        <v/>
      </c>
      <c r="I542">
        <f t="shared" si="26"/>
        <v>1613</v>
      </c>
    </row>
    <row r="543" spans="1:9" x14ac:dyDescent="0.2">
      <c r="A543" t="str">
        <f t="shared" si="24"/>
        <v/>
      </c>
      <c r="B543" s="20">
        <v>2023</v>
      </c>
      <c r="C543" s="21" t="s">
        <v>66</v>
      </c>
      <c r="D543" s="21" t="s">
        <v>66</v>
      </c>
      <c r="E543" s="23">
        <v>1034665</v>
      </c>
      <c r="F543" s="20">
        <v>13847710.26</v>
      </c>
      <c r="G543" s="30">
        <f t="shared" si="25"/>
        <v>14882375.26</v>
      </c>
      <c r="H543" t="str">
        <f>IFERROR(VLOOKUP(C543,Sheet1!$B$2:$C$25,2,FALSE),"")</f>
        <v/>
      </c>
      <c r="I543">
        <f t="shared" si="26"/>
        <v>1613</v>
      </c>
    </row>
    <row r="544" spans="1:9" x14ac:dyDescent="0.2">
      <c r="A544" t="str">
        <f t="shared" si="24"/>
        <v/>
      </c>
      <c r="B544" s="20">
        <v>2015</v>
      </c>
      <c r="C544" s="21" t="s">
        <v>67</v>
      </c>
      <c r="D544" s="21" t="s">
        <v>67</v>
      </c>
      <c r="E544" s="23">
        <v>407940</v>
      </c>
      <c r="F544" s="20">
        <v>6399376.7300000004</v>
      </c>
      <c r="G544" s="30">
        <f t="shared" si="25"/>
        <v>6807316.7300000004</v>
      </c>
      <c r="H544" t="str">
        <f>IFERROR(VLOOKUP(C544,Sheet1!$B$2:$C$25,2,FALSE),"")</f>
        <v/>
      </c>
      <c r="I544">
        <f t="shared" si="26"/>
        <v>1613</v>
      </c>
    </row>
    <row r="545" spans="1:9" x14ac:dyDescent="0.2">
      <c r="A545" t="str">
        <f t="shared" si="24"/>
        <v/>
      </c>
      <c r="B545" s="20">
        <v>2016</v>
      </c>
      <c r="C545" s="21" t="s">
        <v>67</v>
      </c>
      <c r="D545" s="21" t="s">
        <v>67</v>
      </c>
      <c r="E545" s="23">
        <v>398428</v>
      </c>
      <c r="F545" s="20">
        <v>6218998.0659999996</v>
      </c>
      <c r="G545" s="30">
        <f t="shared" si="25"/>
        <v>6617426.0659999996</v>
      </c>
      <c r="H545" t="str">
        <f>IFERROR(VLOOKUP(C545,Sheet1!$B$2:$C$25,2,FALSE),"")</f>
        <v/>
      </c>
      <c r="I545">
        <f t="shared" si="26"/>
        <v>1613</v>
      </c>
    </row>
    <row r="546" spans="1:9" x14ac:dyDescent="0.2">
      <c r="A546" t="str">
        <f t="shared" si="24"/>
        <v/>
      </c>
      <c r="B546" s="20">
        <v>2017</v>
      </c>
      <c r="C546" s="21" t="s">
        <v>67</v>
      </c>
      <c r="D546" s="21" t="s">
        <v>67</v>
      </c>
      <c r="E546" s="23">
        <v>426474</v>
      </c>
      <c r="F546" s="20">
        <v>7049785.5460000001</v>
      </c>
      <c r="G546" s="30">
        <f t="shared" si="25"/>
        <v>7476259.5460000001</v>
      </c>
      <c r="H546" t="str">
        <f>IFERROR(VLOOKUP(C546,Sheet1!$B$2:$C$25,2,FALSE),"")</f>
        <v/>
      </c>
      <c r="I546">
        <f t="shared" si="26"/>
        <v>1613</v>
      </c>
    </row>
    <row r="547" spans="1:9" x14ac:dyDescent="0.2">
      <c r="A547" t="str">
        <f t="shared" si="24"/>
        <v/>
      </c>
      <c r="B547" s="20">
        <v>2018</v>
      </c>
      <c r="C547" s="21" t="s">
        <v>67</v>
      </c>
      <c r="D547" s="21" t="s">
        <v>67</v>
      </c>
      <c r="E547" s="23">
        <v>533998</v>
      </c>
      <c r="F547" s="20">
        <v>8034696.7549999999</v>
      </c>
      <c r="G547" s="30">
        <f t="shared" si="25"/>
        <v>8568694.754999999</v>
      </c>
      <c r="H547" t="str">
        <f>IFERROR(VLOOKUP(C547,Sheet1!$B$2:$C$25,2,FALSE),"")</f>
        <v/>
      </c>
      <c r="I547">
        <f t="shared" si="26"/>
        <v>1613</v>
      </c>
    </row>
    <row r="548" spans="1:9" x14ac:dyDescent="0.2">
      <c r="A548" t="str">
        <f t="shared" si="24"/>
        <v/>
      </c>
      <c r="B548" s="20">
        <v>2019</v>
      </c>
      <c r="C548" s="21" t="s">
        <v>67</v>
      </c>
      <c r="D548" s="21" t="s">
        <v>67</v>
      </c>
      <c r="E548" s="23">
        <v>591425</v>
      </c>
      <c r="F548" s="20">
        <v>8509493.0370000005</v>
      </c>
      <c r="G548" s="30">
        <f t="shared" si="25"/>
        <v>9100918.0370000005</v>
      </c>
      <c r="H548" t="str">
        <f>IFERROR(VLOOKUP(C548,Sheet1!$B$2:$C$25,2,FALSE),"")</f>
        <v/>
      </c>
      <c r="I548">
        <f t="shared" si="26"/>
        <v>1613</v>
      </c>
    </row>
    <row r="549" spans="1:9" x14ac:dyDescent="0.2">
      <c r="A549" t="str">
        <f t="shared" si="24"/>
        <v/>
      </c>
      <c r="B549" s="20">
        <v>2020</v>
      </c>
      <c r="C549" s="21" t="s">
        <v>67</v>
      </c>
      <c r="D549" s="21" t="s">
        <v>67</v>
      </c>
      <c r="E549" s="23">
        <v>569778</v>
      </c>
      <c r="F549" s="20">
        <v>7965123.1670000004</v>
      </c>
      <c r="G549" s="30">
        <f t="shared" si="25"/>
        <v>8534901.1669999994</v>
      </c>
      <c r="H549" t="str">
        <f>IFERROR(VLOOKUP(C549,Sheet1!$B$2:$C$25,2,FALSE),"")</f>
        <v/>
      </c>
      <c r="I549">
        <f t="shared" si="26"/>
        <v>1613</v>
      </c>
    </row>
    <row r="550" spans="1:9" x14ac:dyDescent="0.2">
      <c r="A550" t="str">
        <f t="shared" si="24"/>
        <v/>
      </c>
      <c r="B550" s="20">
        <v>2021</v>
      </c>
      <c r="C550" s="21" t="s">
        <v>67</v>
      </c>
      <c r="D550" s="21" t="s">
        <v>67</v>
      </c>
      <c r="E550" s="23">
        <v>617813</v>
      </c>
      <c r="F550" s="20">
        <v>8064921.75</v>
      </c>
      <c r="G550" s="30">
        <f t="shared" si="25"/>
        <v>8682734.75</v>
      </c>
      <c r="H550" t="str">
        <f>IFERROR(VLOOKUP(C550,Sheet1!$B$2:$C$25,2,FALSE),"")</f>
        <v/>
      </c>
      <c r="I550">
        <f t="shared" si="26"/>
        <v>1613</v>
      </c>
    </row>
    <row r="551" spans="1:9" x14ac:dyDescent="0.2">
      <c r="A551" t="str">
        <f t="shared" si="24"/>
        <v/>
      </c>
      <c r="B551" s="20">
        <v>2022</v>
      </c>
      <c r="C551" s="21" t="s">
        <v>67</v>
      </c>
      <c r="D551" s="21" t="s">
        <v>67</v>
      </c>
      <c r="E551" s="23">
        <v>606087</v>
      </c>
      <c r="F551" s="20">
        <v>8332194.4390000002</v>
      </c>
      <c r="G551" s="30">
        <f t="shared" si="25"/>
        <v>8938281.4389999993</v>
      </c>
      <c r="H551" t="str">
        <f>IFERROR(VLOOKUP(C551,Sheet1!$B$2:$C$25,2,FALSE),"")</f>
        <v/>
      </c>
      <c r="I551">
        <f t="shared" si="26"/>
        <v>1613</v>
      </c>
    </row>
    <row r="552" spans="1:9" x14ac:dyDescent="0.2">
      <c r="A552" t="str">
        <f t="shared" si="24"/>
        <v/>
      </c>
      <c r="B552" s="20">
        <v>2023</v>
      </c>
      <c r="C552" s="21" t="s">
        <v>67</v>
      </c>
      <c r="D552" s="21" t="s">
        <v>67</v>
      </c>
      <c r="E552" s="23">
        <v>738470</v>
      </c>
      <c r="F552" s="20">
        <v>9883506.8330000006</v>
      </c>
      <c r="G552" s="30">
        <f t="shared" si="25"/>
        <v>10621976.833000001</v>
      </c>
      <c r="H552" t="str">
        <f>IFERROR(VLOOKUP(C552,Sheet1!$B$2:$C$25,2,FALSE),"")</f>
        <v/>
      </c>
      <c r="I552">
        <f t="shared" si="26"/>
        <v>1613</v>
      </c>
    </row>
    <row r="553" spans="1:9" x14ac:dyDescent="0.2">
      <c r="A553" t="str">
        <f t="shared" si="24"/>
        <v/>
      </c>
      <c r="B553" s="20">
        <v>2015</v>
      </c>
      <c r="C553" s="21" t="s">
        <v>68</v>
      </c>
      <c r="D553" s="21" t="s">
        <v>68</v>
      </c>
      <c r="E553" s="23">
        <v>16126</v>
      </c>
      <c r="F553" s="20">
        <v>252969.42970000001</v>
      </c>
      <c r="G553" s="30">
        <f t="shared" si="25"/>
        <v>269095.42969999998</v>
      </c>
      <c r="H553" t="str">
        <f>IFERROR(VLOOKUP(C553,Sheet1!$B$2:$C$25,2,FALSE),"")</f>
        <v/>
      </c>
      <c r="I553">
        <f t="shared" si="26"/>
        <v>1613</v>
      </c>
    </row>
    <row r="554" spans="1:9" x14ac:dyDescent="0.2">
      <c r="A554" t="str">
        <f t="shared" si="24"/>
        <v/>
      </c>
      <c r="B554" s="20">
        <v>2016</v>
      </c>
      <c r="C554" s="21" t="s">
        <v>68</v>
      </c>
      <c r="D554" s="21" t="s">
        <v>68</v>
      </c>
      <c r="E554" s="23">
        <v>17887</v>
      </c>
      <c r="F554" s="20">
        <v>279195.28350000002</v>
      </c>
      <c r="G554" s="30">
        <f t="shared" si="25"/>
        <v>297082.28350000002</v>
      </c>
      <c r="H554" t="str">
        <f>IFERROR(VLOOKUP(C554,Sheet1!$B$2:$C$25,2,FALSE),"")</f>
        <v/>
      </c>
      <c r="I554">
        <f t="shared" si="26"/>
        <v>1613</v>
      </c>
    </row>
    <row r="555" spans="1:9" x14ac:dyDescent="0.2">
      <c r="A555" t="str">
        <f t="shared" si="24"/>
        <v/>
      </c>
      <c r="B555" s="20">
        <v>2017</v>
      </c>
      <c r="C555" s="21" t="s">
        <v>68</v>
      </c>
      <c r="D555" s="21" t="s">
        <v>68</v>
      </c>
      <c r="E555" s="23">
        <v>20668</v>
      </c>
      <c r="F555" s="20">
        <v>341650.29440000001</v>
      </c>
      <c r="G555" s="30">
        <f t="shared" si="25"/>
        <v>362318.29440000001</v>
      </c>
      <c r="H555" t="str">
        <f>IFERROR(VLOOKUP(C555,Sheet1!$B$2:$C$25,2,FALSE),"")</f>
        <v/>
      </c>
      <c r="I555">
        <f t="shared" si="26"/>
        <v>1613</v>
      </c>
    </row>
    <row r="556" spans="1:9" x14ac:dyDescent="0.2">
      <c r="A556" t="str">
        <f t="shared" si="24"/>
        <v/>
      </c>
      <c r="B556" s="20">
        <v>2018</v>
      </c>
      <c r="C556" s="21" t="s">
        <v>68</v>
      </c>
      <c r="D556" s="21" t="s">
        <v>68</v>
      </c>
      <c r="E556" s="23">
        <v>20985</v>
      </c>
      <c r="F556" s="20">
        <v>315746.7095</v>
      </c>
      <c r="G556" s="30">
        <f t="shared" si="25"/>
        <v>336731.7095</v>
      </c>
      <c r="H556" t="str">
        <f>IFERROR(VLOOKUP(C556,Sheet1!$B$2:$C$25,2,FALSE),"")</f>
        <v/>
      </c>
      <c r="I556">
        <f t="shared" si="26"/>
        <v>1613</v>
      </c>
    </row>
    <row r="557" spans="1:9" x14ac:dyDescent="0.2">
      <c r="A557" t="str">
        <f t="shared" si="24"/>
        <v/>
      </c>
      <c r="B557" s="20">
        <v>2019</v>
      </c>
      <c r="C557" s="21" t="s">
        <v>68</v>
      </c>
      <c r="D557" s="21" t="s">
        <v>68</v>
      </c>
      <c r="E557" s="23">
        <v>21008</v>
      </c>
      <c r="F557" s="20">
        <v>302265.59529999999</v>
      </c>
      <c r="G557" s="30">
        <f t="shared" si="25"/>
        <v>323273.59529999999</v>
      </c>
      <c r="H557" t="str">
        <f>IFERROR(VLOOKUP(C557,Sheet1!$B$2:$C$25,2,FALSE),"")</f>
        <v/>
      </c>
      <c r="I557">
        <f t="shared" si="26"/>
        <v>1613</v>
      </c>
    </row>
    <row r="558" spans="1:9" x14ac:dyDescent="0.2">
      <c r="A558" t="str">
        <f t="shared" si="24"/>
        <v/>
      </c>
      <c r="B558" s="20">
        <v>2020</v>
      </c>
      <c r="C558" s="21" t="s">
        <v>68</v>
      </c>
      <c r="D558" s="21" t="s">
        <v>68</v>
      </c>
      <c r="E558" s="23">
        <v>28777</v>
      </c>
      <c r="F558" s="20">
        <v>402283.60759999999</v>
      </c>
      <c r="G558" s="30">
        <f t="shared" si="25"/>
        <v>431060.60759999999</v>
      </c>
      <c r="H558" t="str">
        <f>IFERROR(VLOOKUP(C558,Sheet1!$B$2:$C$25,2,FALSE),"")</f>
        <v/>
      </c>
      <c r="I558">
        <f t="shared" si="26"/>
        <v>1613</v>
      </c>
    </row>
    <row r="559" spans="1:9" x14ac:dyDescent="0.2">
      <c r="A559" t="str">
        <f t="shared" si="24"/>
        <v/>
      </c>
      <c r="B559" s="20">
        <v>2021</v>
      </c>
      <c r="C559" s="21" t="s">
        <v>68</v>
      </c>
      <c r="D559" s="21" t="s">
        <v>68</v>
      </c>
      <c r="E559" s="23">
        <v>30921</v>
      </c>
      <c r="F559" s="20">
        <v>403642.27590000001</v>
      </c>
      <c r="G559" s="30">
        <f t="shared" si="25"/>
        <v>434563.27590000001</v>
      </c>
      <c r="H559" t="str">
        <f>IFERROR(VLOOKUP(C559,Sheet1!$B$2:$C$25,2,FALSE),"")</f>
        <v/>
      </c>
      <c r="I559">
        <f t="shared" si="26"/>
        <v>1613</v>
      </c>
    </row>
    <row r="560" spans="1:9" x14ac:dyDescent="0.2">
      <c r="A560" t="str">
        <f t="shared" si="24"/>
        <v/>
      </c>
      <c r="B560" s="20">
        <v>2022</v>
      </c>
      <c r="C560" s="21" t="s">
        <v>68</v>
      </c>
      <c r="D560" s="21" t="s">
        <v>68</v>
      </c>
      <c r="E560" s="23">
        <v>48816</v>
      </c>
      <c r="F560" s="20">
        <v>671099.03980000003</v>
      </c>
      <c r="G560" s="30">
        <f t="shared" si="25"/>
        <v>719915.03980000003</v>
      </c>
      <c r="H560" t="str">
        <f>IFERROR(VLOOKUP(C560,Sheet1!$B$2:$C$25,2,FALSE),"")</f>
        <v/>
      </c>
      <c r="I560">
        <f t="shared" si="26"/>
        <v>1613</v>
      </c>
    </row>
    <row r="561" spans="1:9" x14ac:dyDescent="0.2">
      <c r="A561" t="str">
        <f t="shared" si="24"/>
        <v/>
      </c>
      <c r="B561" s="20">
        <v>2023</v>
      </c>
      <c r="C561" s="21" t="s">
        <v>68</v>
      </c>
      <c r="D561" s="21" t="s">
        <v>68</v>
      </c>
      <c r="E561" s="23">
        <v>18170</v>
      </c>
      <c r="F561" s="20">
        <v>243182.95819999999</v>
      </c>
      <c r="G561" s="30">
        <f t="shared" si="25"/>
        <v>261352.95819999999</v>
      </c>
      <c r="H561" t="str">
        <f>IFERROR(VLOOKUP(C561,Sheet1!$B$2:$C$25,2,FALSE),"")</f>
        <v/>
      </c>
      <c r="I561">
        <f t="shared" si="26"/>
        <v>1613</v>
      </c>
    </row>
    <row r="562" spans="1:9" x14ac:dyDescent="0.2">
      <c r="A562">
        <f t="shared" si="24"/>
        <v>2400300</v>
      </c>
      <c r="B562" s="20">
        <v>2015</v>
      </c>
      <c r="C562" s="21" t="s">
        <v>69</v>
      </c>
      <c r="D562" s="21" t="s">
        <v>69</v>
      </c>
      <c r="E562" s="23">
        <v>358266</v>
      </c>
      <c r="F562" s="20">
        <v>5620138.0190000003</v>
      </c>
      <c r="G562" s="30">
        <f t="shared" si="25"/>
        <v>5978404.0190000003</v>
      </c>
      <c r="H562">
        <f>IFERROR(VLOOKUP(C562,Sheet1!$B$2:$C$25,2,FALSE),"")</f>
        <v>2400300</v>
      </c>
      <c r="I562">
        <f t="shared" si="26"/>
        <v>9</v>
      </c>
    </row>
    <row r="563" spans="1:9" x14ac:dyDescent="0.2">
      <c r="A563">
        <f t="shared" si="24"/>
        <v>2400300</v>
      </c>
      <c r="B563" s="20">
        <v>2016</v>
      </c>
      <c r="C563" s="21" t="s">
        <v>69</v>
      </c>
      <c r="D563" s="21" t="s">
        <v>69</v>
      </c>
      <c r="E563" s="23">
        <v>326656</v>
      </c>
      <c r="F563" s="20">
        <v>5098720.5530000003</v>
      </c>
      <c r="G563" s="30">
        <f t="shared" si="25"/>
        <v>5425376.5530000003</v>
      </c>
      <c r="H563">
        <f>IFERROR(VLOOKUP(C563,Sheet1!$B$2:$C$25,2,FALSE),"")</f>
        <v>2400300</v>
      </c>
      <c r="I563">
        <f t="shared" si="26"/>
        <v>9</v>
      </c>
    </row>
    <row r="564" spans="1:9" x14ac:dyDescent="0.2">
      <c r="A564">
        <f t="shared" si="24"/>
        <v>2400300</v>
      </c>
      <c r="B564" s="20">
        <v>2017</v>
      </c>
      <c r="C564" s="21" t="s">
        <v>69</v>
      </c>
      <c r="D564" s="21" t="s">
        <v>69</v>
      </c>
      <c r="E564" s="23">
        <v>343396</v>
      </c>
      <c r="F564" s="20">
        <v>5676473.0259999996</v>
      </c>
      <c r="G564" s="30">
        <f t="shared" si="25"/>
        <v>6019869.0259999996</v>
      </c>
      <c r="H564">
        <f>IFERROR(VLOOKUP(C564,Sheet1!$B$2:$C$25,2,FALSE),"")</f>
        <v>2400300</v>
      </c>
      <c r="I564">
        <f t="shared" si="26"/>
        <v>9</v>
      </c>
    </row>
    <row r="565" spans="1:9" x14ac:dyDescent="0.2">
      <c r="A565">
        <f t="shared" si="24"/>
        <v>2400300</v>
      </c>
      <c r="B565" s="20">
        <v>2018</v>
      </c>
      <c r="C565" s="21" t="s">
        <v>69</v>
      </c>
      <c r="D565" s="21" t="s">
        <v>69</v>
      </c>
      <c r="E565" s="23">
        <v>364598</v>
      </c>
      <c r="F565" s="20">
        <v>5485852.6950000003</v>
      </c>
      <c r="G565" s="30">
        <f t="shared" si="25"/>
        <v>5850450.6950000003</v>
      </c>
      <c r="H565">
        <f>IFERROR(VLOOKUP(C565,Sheet1!$B$2:$C$25,2,FALSE),"")</f>
        <v>2400300</v>
      </c>
      <c r="I565">
        <f t="shared" si="26"/>
        <v>9</v>
      </c>
    </row>
    <row r="566" spans="1:9" x14ac:dyDescent="0.2">
      <c r="A566">
        <f t="shared" si="24"/>
        <v>2400300</v>
      </c>
      <c r="B566" s="20">
        <v>2019</v>
      </c>
      <c r="C566" s="21" t="s">
        <v>69</v>
      </c>
      <c r="D566" s="21" t="s">
        <v>69</v>
      </c>
      <c r="E566" s="23">
        <v>398388</v>
      </c>
      <c r="F566" s="20">
        <v>5732053.7889999999</v>
      </c>
      <c r="G566" s="30">
        <f t="shared" si="25"/>
        <v>6130441.7889999999</v>
      </c>
      <c r="H566">
        <f>IFERROR(VLOOKUP(C566,Sheet1!$B$2:$C$25,2,FALSE),"")</f>
        <v>2400300</v>
      </c>
      <c r="I566">
        <f t="shared" si="26"/>
        <v>9</v>
      </c>
    </row>
    <row r="567" spans="1:9" x14ac:dyDescent="0.2">
      <c r="A567">
        <f t="shared" si="24"/>
        <v>2400300</v>
      </c>
      <c r="B567" s="20">
        <v>2020</v>
      </c>
      <c r="C567" s="21" t="s">
        <v>69</v>
      </c>
      <c r="D567" s="21" t="s">
        <v>69</v>
      </c>
      <c r="E567" s="23">
        <v>433918</v>
      </c>
      <c r="F567" s="20">
        <v>6065889.3720000004</v>
      </c>
      <c r="G567" s="30">
        <f t="shared" si="25"/>
        <v>6499807.3720000004</v>
      </c>
      <c r="H567">
        <f>IFERROR(VLOOKUP(C567,Sheet1!$B$2:$C$25,2,FALSE),"")</f>
        <v>2400300</v>
      </c>
      <c r="I567">
        <f t="shared" si="26"/>
        <v>9</v>
      </c>
    </row>
    <row r="568" spans="1:9" x14ac:dyDescent="0.2">
      <c r="A568">
        <f t="shared" si="24"/>
        <v>2400300</v>
      </c>
      <c r="B568" s="20">
        <v>2021</v>
      </c>
      <c r="C568" s="21" t="s">
        <v>69</v>
      </c>
      <c r="D568" s="21" t="s">
        <v>69</v>
      </c>
      <c r="E568" s="23">
        <v>461237</v>
      </c>
      <c r="F568" s="20">
        <v>6020980.9649999999</v>
      </c>
      <c r="G568" s="30">
        <f t="shared" si="25"/>
        <v>6482217.9649999999</v>
      </c>
      <c r="H568">
        <f>IFERROR(VLOOKUP(C568,Sheet1!$B$2:$C$25,2,FALSE),"")</f>
        <v>2400300</v>
      </c>
      <c r="I568">
        <f t="shared" si="26"/>
        <v>9</v>
      </c>
    </row>
    <row r="569" spans="1:9" x14ac:dyDescent="0.2">
      <c r="A569">
        <f t="shared" si="24"/>
        <v>2400300</v>
      </c>
      <c r="B569" s="20">
        <v>2022</v>
      </c>
      <c r="C569" s="21" t="s">
        <v>69</v>
      </c>
      <c r="D569" s="21" t="s">
        <v>69</v>
      </c>
      <c r="E569" s="23">
        <v>442187</v>
      </c>
      <c r="F569" s="20">
        <v>6078975.5640000002</v>
      </c>
      <c r="G569" s="30">
        <f t="shared" si="25"/>
        <v>6521162.5640000002</v>
      </c>
      <c r="H569">
        <f>IFERROR(VLOOKUP(C569,Sheet1!$B$2:$C$25,2,FALSE),"")</f>
        <v>2400300</v>
      </c>
      <c r="I569">
        <f t="shared" si="26"/>
        <v>9</v>
      </c>
    </row>
    <row r="570" spans="1:9" x14ac:dyDescent="0.2">
      <c r="A570">
        <f t="shared" si="24"/>
        <v>2400300</v>
      </c>
      <c r="B570" s="20">
        <v>2023</v>
      </c>
      <c r="C570" s="21" t="s">
        <v>69</v>
      </c>
      <c r="D570" s="21" t="s">
        <v>69</v>
      </c>
      <c r="E570" s="23">
        <v>508741</v>
      </c>
      <c r="F570" s="20">
        <v>6808868.5389999999</v>
      </c>
      <c r="G570" s="30">
        <f t="shared" si="25"/>
        <v>7317609.5389999999</v>
      </c>
      <c r="H570">
        <f>IFERROR(VLOOKUP(C570,Sheet1!$B$2:$C$25,2,FALSE),"")</f>
        <v>2400300</v>
      </c>
      <c r="I570">
        <f t="shared" si="26"/>
        <v>9</v>
      </c>
    </row>
    <row r="571" spans="1:9" x14ac:dyDescent="0.2">
      <c r="A571" t="str">
        <f t="shared" si="24"/>
        <v/>
      </c>
      <c r="B571" s="20">
        <v>2015</v>
      </c>
      <c r="C571" s="21" t="s">
        <v>70</v>
      </c>
      <c r="D571" s="21" t="s">
        <v>70</v>
      </c>
      <c r="E571" s="23">
        <v>159520</v>
      </c>
      <c r="F571" s="20">
        <v>2502398.8229999999</v>
      </c>
      <c r="G571" s="30">
        <f t="shared" si="25"/>
        <v>2661918.8229999999</v>
      </c>
      <c r="H571" t="str">
        <f>IFERROR(VLOOKUP(C571,Sheet1!$B$2:$C$25,2,FALSE),"")</f>
        <v/>
      </c>
      <c r="I571">
        <f t="shared" si="26"/>
        <v>1613</v>
      </c>
    </row>
    <row r="572" spans="1:9" x14ac:dyDescent="0.2">
      <c r="A572" t="str">
        <f t="shared" si="24"/>
        <v/>
      </c>
      <c r="B572" s="20">
        <v>2016</v>
      </c>
      <c r="C572" s="21" t="s">
        <v>70</v>
      </c>
      <c r="D572" s="21" t="s">
        <v>70</v>
      </c>
      <c r="E572" s="23">
        <v>134336</v>
      </c>
      <c r="F572" s="20">
        <v>2096828.848</v>
      </c>
      <c r="G572" s="30">
        <f t="shared" si="25"/>
        <v>2231164.8480000002</v>
      </c>
      <c r="H572" t="str">
        <f>IFERROR(VLOOKUP(C572,Sheet1!$B$2:$C$25,2,FALSE),"")</f>
        <v/>
      </c>
      <c r="I572">
        <f t="shared" si="26"/>
        <v>1613</v>
      </c>
    </row>
    <row r="573" spans="1:9" x14ac:dyDescent="0.2">
      <c r="A573" t="str">
        <f t="shared" si="24"/>
        <v/>
      </c>
      <c r="B573" s="20">
        <v>2017</v>
      </c>
      <c r="C573" s="21" t="s">
        <v>70</v>
      </c>
      <c r="D573" s="21" t="s">
        <v>70</v>
      </c>
      <c r="E573" s="23">
        <v>124782</v>
      </c>
      <c r="F573" s="20">
        <v>2062696.2960000001</v>
      </c>
      <c r="G573" s="30">
        <f t="shared" si="25"/>
        <v>2187478.2960000001</v>
      </c>
      <c r="H573" t="str">
        <f>IFERROR(VLOOKUP(C573,Sheet1!$B$2:$C$25,2,FALSE),"")</f>
        <v/>
      </c>
      <c r="I573">
        <f t="shared" si="26"/>
        <v>1613</v>
      </c>
    </row>
    <row r="574" spans="1:9" x14ac:dyDescent="0.2">
      <c r="A574" t="str">
        <f t="shared" si="24"/>
        <v/>
      </c>
      <c r="B574" s="20">
        <v>2018</v>
      </c>
      <c r="C574" s="21" t="s">
        <v>70</v>
      </c>
      <c r="D574" s="21" t="s">
        <v>70</v>
      </c>
      <c r="E574" s="23">
        <v>142776</v>
      </c>
      <c r="F574" s="20">
        <v>2148251.2370000002</v>
      </c>
      <c r="G574" s="30">
        <f t="shared" si="25"/>
        <v>2291027.2370000002</v>
      </c>
      <c r="H574" t="str">
        <f>IFERROR(VLOOKUP(C574,Sheet1!$B$2:$C$25,2,FALSE),"")</f>
        <v/>
      </c>
      <c r="I574">
        <f t="shared" si="26"/>
        <v>1613</v>
      </c>
    </row>
    <row r="575" spans="1:9" x14ac:dyDescent="0.2">
      <c r="A575" t="str">
        <f t="shared" si="24"/>
        <v/>
      </c>
      <c r="B575" s="20">
        <v>2019</v>
      </c>
      <c r="C575" s="21" t="s">
        <v>70</v>
      </c>
      <c r="D575" s="21" t="s">
        <v>70</v>
      </c>
      <c r="E575" s="23">
        <v>155163</v>
      </c>
      <c r="F575" s="20">
        <v>2232503.645</v>
      </c>
      <c r="G575" s="30">
        <f t="shared" si="25"/>
        <v>2387666.645</v>
      </c>
      <c r="H575" t="str">
        <f>IFERROR(VLOOKUP(C575,Sheet1!$B$2:$C$25,2,FALSE),"")</f>
        <v/>
      </c>
      <c r="I575">
        <f t="shared" si="26"/>
        <v>1613</v>
      </c>
    </row>
    <row r="576" spans="1:9" x14ac:dyDescent="0.2">
      <c r="A576" t="str">
        <f t="shared" si="24"/>
        <v/>
      </c>
      <c r="B576" s="20">
        <v>2020</v>
      </c>
      <c r="C576" s="21" t="s">
        <v>70</v>
      </c>
      <c r="D576" s="21" t="s">
        <v>70</v>
      </c>
      <c r="E576" s="23">
        <v>160497</v>
      </c>
      <c r="F576" s="20">
        <v>2243642.915</v>
      </c>
      <c r="G576" s="30">
        <f t="shared" si="25"/>
        <v>2404139.915</v>
      </c>
      <c r="H576" t="str">
        <f>IFERROR(VLOOKUP(C576,Sheet1!$B$2:$C$25,2,FALSE),"")</f>
        <v/>
      </c>
      <c r="I576">
        <f t="shared" si="26"/>
        <v>1613</v>
      </c>
    </row>
    <row r="577" spans="1:9" x14ac:dyDescent="0.2">
      <c r="A577" t="str">
        <f t="shared" si="24"/>
        <v/>
      </c>
      <c r="B577" s="20">
        <v>2021</v>
      </c>
      <c r="C577" s="21" t="s">
        <v>70</v>
      </c>
      <c r="D577" s="21" t="s">
        <v>70</v>
      </c>
      <c r="E577" s="23">
        <v>132410</v>
      </c>
      <c r="F577" s="20">
        <v>1728478.1780000001</v>
      </c>
      <c r="G577" s="30">
        <f t="shared" si="25"/>
        <v>1860888.1780000001</v>
      </c>
      <c r="H577" t="str">
        <f>IFERROR(VLOOKUP(C577,Sheet1!$B$2:$C$25,2,FALSE),"")</f>
        <v/>
      </c>
      <c r="I577">
        <f t="shared" si="26"/>
        <v>1613</v>
      </c>
    </row>
    <row r="578" spans="1:9" x14ac:dyDescent="0.2">
      <c r="A578" t="str">
        <f t="shared" si="24"/>
        <v/>
      </c>
      <c r="B578" s="20">
        <v>2022</v>
      </c>
      <c r="C578" s="21" t="s">
        <v>70</v>
      </c>
      <c r="D578" s="21" t="s">
        <v>70</v>
      </c>
      <c r="E578" s="23">
        <v>119248</v>
      </c>
      <c r="F578" s="20">
        <v>1639364.5179999999</v>
      </c>
      <c r="G578" s="30">
        <f t="shared" si="25"/>
        <v>1758612.5179999999</v>
      </c>
      <c r="H578" t="str">
        <f>IFERROR(VLOOKUP(C578,Sheet1!$B$2:$C$25,2,FALSE),"")</f>
        <v/>
      </c>
      <c r="I578">
        <f t="shared" si="26"/>
        <v>1613</v>
      </c>
    </row>
    <row r="579" spans="1:9" x14ac:dyDescent="0.2">
      <c r="A579" t="str">
        <f t="shared" ref="A579:A642" si="27">H579</f>
        <v/>
      </c>
      <c r="B579" s="20">
        <v>2023</v>
      </c>
      <c r="C579" s="21" t="s">
        <v>70</v>
      </c>
      <c r="D579" s="21" t="s">
        <v>70</v>
      </c>
      <c r="E579" s="23">
        <v>137487</v>
      </c>
      <c r="F579" s="20">
        <v>1840093.3060000001</v>
      </c>
      <c r="G579" s="30">
        <f t="shared" ref="G579:G642" si="28">SUM(E579:F579)</f>
        <v>1977580.3060000001</v>
      </c>
      <c r="H579" t="str">
        <f>IFERROR(VLOOKUP(C579,Sheet1!$B$2:$C$25,2,FALSE),"")</f>
        <v/>
      </c>
      <c r="I579">
        <f t="shared" ref="I579:I642" si="29">COUNTIF($H$2:$H$1812,H579)</f>
        <v>1613</v>
      </c>
    </row>
    <row r="580" spans="1:9" x14ac:dyDescent="0.2">
      <c r="A580" t="str">
        <f t="shared" si="27"/>
        <v/>
      </c>
      <c r="B580" s="20">
        <v>2015</v>
      </c>
      <c r="C580" s="21" t="s">
        <v>71</v>
      </c>
      <c r="D580" s="21" t="s">
        <v>71</v>
      </c>
      <c r="E580" s="23" t="s">
        <v>6</v>
      </c>
      <c r="F580" s="20">
        <v>0</v>
      </c>
      <c r="G580" s="30">
        <f t="shared" si="28"/>
        <v>0</v>
      </c>
      <c r="H580" t="str">
        <f>IFERROR(VLOOKUP(C580,Sheet1!$B$2:$C$25,2,FALSE),"")</f>
        <v/>
      </c>
      <c r="I580">
        <f t="shared" si="29"/>
        <v>1613</v>
      </c>
    </row>
    <row r="581" spans="1:9" x14ac:dyDescent="0.2">
      <c r="A581" t="str">
        <f t="shared" si="27"/>
        <v/>
      </c>
      <c r="B581" s="20">
        <v>2016</v>
      </c>
      <c r="C581" s="21" t="s">
        <v>71</v>
      </c>
      <c r="D581" s="21" t="s">
        <v>71</v>
      </c>
      <c r="E581" s="23">
        <v>3080</v>
      </c>
      <c r="F581" s="20">
        <v>48075.220730000001</v>
      </c>
      <c r="G581" s="30">
        <f t="shared" si="28"/>
        <v>51155.220730000001</v>
      </c>
      <c r="H581" t="str">
        <f>IFERROR(VLOOKUP(C581,Sheet1!$B$2:$C$25,2,FALSE),"")</f>
        <v/>
      </c>
      <c r="I581">
        <f t="shared" si="29"/>
        <v>1613</v>
      </c>
    </row>
    <row r="582" spans="1:9" x14ac:dyDescent="0.2">
      <c r="A582" t="str">
        <f t="shared" si="27"/>
        <v/>
      </c>
      <c r="B582" s="20">
        <v>2017</v>
      </c>
      <c r="C582" s="21" t="s">
        <v>71</v>
      </c>
      <c r="D582" s="21" t="s">
        <v>71</v>
      </c>
      <c r="E582" s="23">
        <v>8475</v>
      </c>
      <c r="F582" s="20">
        <v>140095.1348</v>
      </c>
      <c r="G582" s="30">
        <f t="shared" si="28"/>
        <v>148570.1348</v>
      </c>
      <c r="H582" t="str">
        <f>IFERROR(VLOOKUP(C582,Sheet1!$B$2:$C$25,2,FALSE),"")</f>
        <v/>
      </c>
      <c r="I582">
        <f t="shared" si="29"/>
        <v>1613</v>
      </c>
    </row>
    <row r="583" spans="1:9" x14ac:dyDescent="0.2">
      <c r="A583" t="str">
        <f t="shared" si="27"/>
        <v/>
      </c>
      <c r="B583" s="20">
        <v>2018</v>
      </c>
      <c r="C583" s="21" t="s">
        <v>71</v>
      </c>
      <c r="D583" s="21" t="s">
        <v>71</v>
      </c>
      <c r="E583" s="23">
        <v>9069</v>
      </c>
      <c r="F583" s="20">
        <v>136454.93969999999</v>
      </c>
      <c r="G583" s="30">
        <f t="shared" si="28"/>
        <v>145523.93969999999</v>
      </c>
      <c r="H583" t="str">
        <f>IFERROR(VLOOKUP(C583,Sheet1!$B$2:$C$25,2,FALSE),"")</f>
        <v/>
      </c>
      <c r="I583">
        <f t="shared" si="29"/>
        <v>1613</v>
      </c>
    </row>
    <row r="584" spans="1:9" x14ac:dyDescent="0.2">
      <c r="A584" t="str">
        <f t="shared" si="27"/>
        <v/>
      </c>
      <c r="B584" s="20">
        <v>2019</v>
      </c>
      <c r="C584" s="21" t="s">
        <v>71</v>
      </c>
      <c r="D584" s="21" t="s">
        <v>71</v>
      </c>
      <c r="E584" s="23">
        <v>6929</v>
      </c>
      <c r="F584" s="20">
        <v>99695.273700000005</v>
      </c>
      <c r="G584" s="30">
        <f t="shared" si="28"/>
        <v>106624.27370000001</v>
      </c>
      <c r="H584" t="str">
        <f>IFERROR(VLOOKUP(C584,Sheet1!$B$2:$C$25,2,FALSE),"")</f>
        <v/>
      </c>
      <c r="I584">
        <f t="shared" si="29"/>
        <v>1613</v>
      </c>
    </row>
    <row r="585" spans="1:9" x14ac:dyDescent="0.2">
      <c r="A585" t="str">
        <f t="shared" si="27"/>
        <v/>
      </c>
      <c r="B585" s="20">
        <v>2020</v>
      </c>
      <c r="C585" s="21" t="s">
        <v>71</v>
      </c>
      <c r="D585" s="21" t="s">
        <v>71</v>
      </c>
      <c r="E585" s="23">
        <v>10541</v>
      </c>
      <c r="F585" s="20">
        <v>147356.27439999999</v>
      </c>
      <c r="G585" s="30">
        <f t="shared" si="28"/>
        <v>157897.27439999999</v>
      </c>
      <c r="H585" t="str">
        <f>IFERROR(VLOOKUP(C585,Sheet1!$B$2:$C$25,2,FALSE),"")</f>
        <v/>
      </c>
      <c r="I585">
        <f t="shared" si="29"/>
        <v>1613</v>
      </c>
    </row>
    <row r="586" spans="1:9" x14ac:dyDescent="0.2">
      <c r="A586" t="str">
        <f t="shared" si="27"/>
        <v/>
      </c>
      <c r="B586" s="20">
        <v>2021</v>
      </c>
      <c r="C586" s="21" t="s">
        <v>71</v>
      </c>
      <c r="D586" s="21" t="s">
        <v>71</v>
      </c>
      <c r="E586" s="23">
        <v>11972</v>
      </c>
      <c r="F586" s="20">
        <v>156282.3106</v>
      </c>
      <c r="G586" s="30">
        <f t="shared" si="28"/>
        <v>168254.3106</v>
      </c>
      <c r="H586" t="str">
        <f>IFERROR(VLOOKUP(C586,Sheet1!$B$2:$C$25,2,FALSE),"")</f>
        <v/>
      </c>
      <c r="I586">
        <f t="shared" si="29"/>
        <v>1613</v>
      </c>
    </row>
    <row r="587" spans="1:9" x14ac:dyDescent="0.2">
      <c r="A587" t="str">
        <f t="shared" si="27"/>
        <v/>
      </c>
      <c r="B587" s="20">
        <v>2022</v>
      </c>
      <c r="C587" s="21" t="s">
        <v>71</v>
      </c>
      <c r="D587" s="21" t="s">
        <v>71</v>
      </c>
      <c r="E587" s="23">
        <v>12754</v>
      </c>
      <c r="F587" s="20">
        <v>175335.8971</v>
      </c>
      <c r="G587" s="30">
        <f t="shared" si="28"/>
        <v>188089.8971</v>
      </c>
      <c r="H587" t="str">
        <f>IFERROR(VLOOKUP(C587,Sheet1!$B$2:$C$25,2,FALSE),"")</f>
        <v/>
      </c>
      <c r="I587">
        <f t="shared" si="29"/>
        <v>1613</v>
      </c>
    </row>
    <row r="588" spans="1:9" x14ac:dyDescent="0.2">
      <c r="A588" t="str">
        <f t="shared" si="27"/>
        <v/>
      </c>
      <c r="B588" s="20">
        <v>2023</v>
      </c>
      <c r="C588" s="21" t="s">
        <v>71</v>
      </c>
      <c r="D588" s="21" t="s">
        <v>71</v>
      </c>
      <c r="E588" s="23">
        <v>14966</v>
      </c>
      <c r="F588" s="20">
        <v>200301.38430000001</v>
      </c>
      <c r="G588" s="30">
        <f t="shared" si="28"/>
        <v>215267.38430000001</v>
      </c>
      <c r="H588" t="str">
        <f>IFERROR(VLOOKUP(C588,Sheet1!$B$2:$C$25,2,FALSE),"")</f>
        <v/>
      </c>
      <c r="I588">
        <f t="shared" si="29"/>
        <v>1613</v>
      </c>
    </row>
    <row r="589" spans="1:9" x14ac:dyDescent="0.2">
      <c r="A589" t="str">
        <f t="shared" si="27"/>
        <v/>
      </c>
      <c r="B589" s="20">
        <v>2015</v>
      </c>
      <c r="C589" s="21" t="s">
        <v>72</v>
      </c>
      <c r="D589" s="21" t="s">
        <v>72</v>
      </c>
      <c r="E589" s="23">
        <v>35511</v>
      </c>
      <c r="F589" s="20">
        <v>557062.96770000004</v>
      </c>
      <c r="G589" s="30">
        <f t="shared" si="28"/>
        <v>592573.96770000004</v>
      </c>
      <c r="H589" t="str">
        <f>IFERROR(VLOOKUP(C589,Sheet1!$B$2:$C$25,2,FALSE),"")</f>
        <v/>
      </c>
      <c r="I589">
        <f t="shared" si="29"/>
        <v>1613</v>
      </c>
    </row>
    <row r="590" spans="1:9" x14ac:dyDescent="0.2">
      <c r="A590" t="str">
        <f t="shared" si="27"/>
        <v/>
      </c>
      <c r="B590" s="20">
        <v>2016</v>
      </c>
      <c r="C590" s="21" t="s">
        <v>72</v>
      </c>
      <c r="D590" s="21" t="s">
        <v>72</v>
      </c>
      <c r="E590" s="23">
        <v>31851</v>
      </c>
      <c r="F590" s="20">
        <v>497157.09590000001</v>
      </c>
      <c r="G590" s="30">
        <f t="shared" si="28"/>
        <v>529008.09590000007</v>
      </c>
      <c r="H590" t="str">
        <f>IFERROR(VLOOKUP(C590,Sheet1!$B$2:$C$25,2,FALSE),"")</f>
        <v/>
      </c>
      <c r="I590">
        <f t="shared" si="29"/>
        <v>1613</v>
      </c>
    </row>
    <row r="591" spans="1:9" x14ac:dyDescent="0.2">
      <c r="A591" t="str">
        <f t="shared" si="27"/>
        <v/>
      </c>
      <c r="B591" s="20">
        <v>2017</v>
      </c>
      <c r="C591" s="21" t="s">
        <v>72</v>
      </c>
      <c r="D591" s="21" t="s">
        <v>72</v>
      </c>
      <c r="E591" s="23">
        <v>29824</v>
      </c>
      <c r="F591" s="20">
        <v>493002.6311</v>
      </c>
      <c r="G591" s="30">
        <f t="shared" si="28"/>
        <v>522826.6311</v>
      </c>
      <c r="H591" t="str">
        <f>IFERROR(VLOOKUP(C591,Sheet1!$B$2:$C$25,2,FALSE),"")</f>
        <v/>
      </c>
      <c r="I591">
        <f t="shared" si="29"/>
        <v>1613</v>
      </c>
    </row>
    <row r="592" spans="1:9" x14ac:dyDescent="0.2">
      <c r="A592" t="str">
        <f t="shared" si="27"/>
        <v/>
      </c>
      <c r="B592" s="20">
        <v>2018</v>
      </c>
      <c r="C592" s="21" t="s">
        <v>72</v>
      </c>
      <c r="D592" s="21" t="s">
        <v>72</v>
      </c>
      <c r="E592" s="23">
        <v>29219</v>
      </c>
      <c r="F592" s="20">
        <v>439637.98460000003</v>
      </c>
      <c r="G592" s="30">
        <f t="shared" si="28"/>
        <v>468856.98460000003</v>
      </c>
      <c r="H592" t="str">
        <f>IFERROR(VLOOKUP(C592,Sheet1!$B$2:$C$25,2,FALSE),"")</f>
        <v/>
      </c>
      <c r="I592">
        <f t="shared" si="29"/>
        <v>1613</v>
      </c>
    </row>
    <row r="593" spans="1:9" x14ac:dyDescent="0.2">
      <c r="A593" t="str">
        <f t="shared" si="27"/>
        <v/>
      </c>
      <c r="B593" s="20">
        <v>2019</v>
      </c>
      <c r="C593" s="21" t="s">
        <v>72</v>
      </c>
      <c r="D593" s="21" t="s">
        <v>72</v>
      </c>
      <c r="E593" s="23">
        <v>39722</v>
      </c>
      <c r="F593" s="20">
        <v>571524.84660000005</v>
      </c>
      <c r="G593" s="30">
        <f t="shared" si="28"/>
        <v>611246.84660000005</v>
      </c>
      <c r="H593" t="str">
        <f>IFERROR(VLOOKUP(C593,Sheet1!$B$2:$C$25,2,FALSE),"")</f>
        <v/>
      </c>
      <c r="I593">
        <f t="shared" si="29"/>
        <v>1613</v>
      </c>
    </row>
    <row r="594" spans="1:9" x14ac:dyDescent="0.2">
      <c r="A594" t="str">
        <f t="shared" si="27"/>
        <v/>
      </c>
      <c r="B594" s="20">
        <v>2020</v>
      </c>
      <c r="C594" s="21" t="s">
        <v>72</v>
      </c>
      <c r="D594" s="21" t="s">
        <v>72</v>
      </c>
      <c r="E594" s="23">
        <v>40289</v>
      </c>
      <c r="F594" s="20">
        <v>563213.82590000005</v>
      </c>
      <c r="G594" s="30">
        <f t="shared" si="28"/>
        <v>603502.82590000005</v>
      </c>
      <c r="H594" t="str">
        <f>IFERROR(VLOOKUP(C594,Sheet1!$B$2:$C$25,2,FALSE),"")</f>
        <v/>
      </c>
      <c r="I594">
        <f t="shared" si="29"/>
        <v>1613</v>
      </c>
    </row>
    <row r="595" spans="1:9" x14ac:dyDescent="0.2">
      <c r="A595" t="str">
        <f t="shared" si="27"/>
        <v/>
      </c>
      <c r="B595" s="20">
        <v>2021</v>
      </c>
      <c r="C595" s="21" t="s">
        <v>72</v>
      </c>
      <c r="D595" s="21" t="s">
        <v>72</v>
      </c>
      <c r="E595" s="23">
        <v>16347</v>
      </c>
      <c r="F595" s="20">
        <v>213393.4958</v>
      </c>
      <c r="G595" s="30">
        <f t="shared" si="28"/>
        <v>229740.4958</v>
      </c>
      <c r="H595" t="str">
        <f>IFERROR(VLOOKUP(C595,Sheet1!$B$2:$C$25,2,FALSE),"")</f>
        <v/>
      </c>
      <c r="I595">
        <f t="shared" si="29"/>
        <v>1613</v>
      </c>
    </row>
    <row r="596" spans="1:9" x14ac:dyDescent="0.2">
      <c r="A596" t="str">
        <f t="shared" si="27"/>
        <v/>
      </c>
      <c r="B596" s="20">
        <v>2022</v>
      </c>
      <c r="C596" s="21" t="s">
        <v>72</v>
      </c>
      <c r="D596" s="21" t="s">
        <v>72</v>
      </c>
      <c r="E596" s="23">
        <v>11529</v>
      </c>
      <c r="F596" s="20">
        <v>158495.1825</v>
      </c>
      <c r="G596" s="30">
        <f t="shared" si="28"/>
        <v>170024.1825</v>
      </c>
      <c r="H596" t="str">
        <f>IFERROR(VLOOKUP(C596,Sheet1!$B$2:$C$25,2,FALSE),"")</f>
        <v/>
      </c>
      <c r="I596">
        <f t="shared" si="29"/>
        <v>1613</v>
      </c>
    </row>
    <row r="597" spans="1:9" x14ac:dyDescent="0.2">
      <c r="A597" t="str">
        <f t="shared" si="27"/>
        <v/>
      </c>
      <c r="B597" s="20">
        <v>2023</v>
      </c>
      <c r="C597" s="21" t="s">
        <v>72</v>
      </c>
      <c r="D597" s="21" t="s">
        <v>72</v>
      </c>
      <c r="E597" s="23">
        <v>12351</v>
      </c>
      <c r="F597" s="20">
        <v>165302.8463</v>
      </c>
      <c r="G597" s="30">
        <f t="shared" si="28"/>
        <v>177653.8463</v>
      </c>
      <c r="H597" t="str">
        <f>IFERROR(VLOOKUP(C597,Sheet1!$B$2:$C$25,2,FALSE),"")</f>
        <v/>
      </c>
      <c r="I597">
        <f t="shared" si="29"/>
        <v>1613</v>
      </c>
    </row>
    <row r="598" spans="1:9" x14ac:dyDescent="0.2">
      <c r="A598" t="str">
        <f t="shared" si="27"/>
        <v/>
      </c>
      <c r="B598" s="20">
        <v>2015</v>
      </c>
      <c r="C598" s="21" t="s">
        <v>73</v>
      </c>
      <c r="D598" s="21" t="s">
        <v>73</v>
      </c>
      <c r="E598" s="23">
        <v>17412</v>
      </c>
      <c r="F598" s="20">
        <v>273142.98090000002</v>
      </c>
      <c r="G598" s="30">
        <f t="shared" si="28"/>
        <v>290554.98090000002</v>
      </c>
      <c r="H598" t="str">
        <f>IFERROR(VLOOKUP(C598,Sheet1!$B$2:$C$25,2,FALSE),"")</f>
        <v/>
      </c>
      <c r="I598">
        <f t="shared" si="29"/>
        <v>1613</v>
      </c>
    </row>
    <row r="599" spans="1:9" x14ac:dyDescent="0.2">
      <c r="A599" t="str">
        <f t="shared" si="27"/>
        <v/>
      </c>
      <c r="B599" s="20">
        <v>2016</v>
      </c>
      <c r="C599" s="21" t="s">
        <v>73</v>
      </c>
      <c r="D599" s="21" t="s">
        <v>73</v>
      </c>
      <c r="E599" s="23">
        <v>12927</v>
      </c>
      <c r="F599" s="20">
        <v>201775.44750000001</v>
      </c>
      <c r="G599" s="30">
        <f t="shared" si="28"/>
        <v>214702.44750000001</v>
      </c>
      <c r="H599" t="str">
        <f>IFERROR(VLOOKUP(C599,Sheet1!$B$2:$C$25,2,FALSE),"")</f>
        <v/>
      </c>
      <c r="I599">
        <f t="shared" si="29"/>
        <v>1613</v>
      </c>
    </row>
    <row r="600" spans="1:9" x14ac:dyDescent="0.2">
      <c r="A600" t="str">
        <f t="shared" si="27"/>
        <v/>
      </c>
      <c r="B600" s="20">
        <v>2017</v>
      </c>
      <c r="C600" s="21" t="s">
        <v>73</v>
      </c>
      <c r="D600" s="21" t="s">
        <v>73</v>
      </c>
      <c r="E600" s="23">
        <v>12128</v>
      </c>
      <c r="F600" s="20">
        <v>200480.68369999999</v>
      </c>
      <c r="G600" s="30">
        <f t="shared" si="28"/>
        <v>212608.68369999999</v>
      </c>
      <c r="H600" t="str">
        <f>IFERROR(VLOOKUP(C600,Sheet1!$B$2:$C$25,2,FALSE),"")</f>
        <v/>
      </c>
      <c r="I600">
        <f t="shared" si="29"/>
        <v>1613</v>
      </c>
    </row>
    <row r="601" spans="1:9" x14ac:dyDescent="0.2">
      <c r="A601" t="str">
        <f t="shared" si="27"/>
        <v/>
      </c>
      <c r="B601" s="20">
        <v>2018</v>
      </c>
      <c r="C601" s="21" t="s">
        <v>73</v>
      </c>
      <c r="D601" s="21" t="s">
        <v>73</v>
      </c>
      <c r="E601" s="23">
        <v>16838</v>
      </c>
      <c r="F601" s="20">
        <v>253349.68290000001</v>
      </c>
      <c r="G601" s="30">
        <f t="shared" si="28"/>
        <v>270187.68290000001</v>
      </c>
      <c r="H601" t="str">
        <f>IFERROR(VLOOKUP(C601,Sheet1!$B$2:$C$25,2,FALSE),"")</f>
        <v/>
      </c>
      <c r="I601">
        <f t="shared" si="29"/>
        <v>1613</v>
      </c>
    </row>
    <row r="602" spans="1:9" x14ac:dyDescent="0.2">
      <c r="A602" t="str">
        <f t="shared" si="27"/>
        <v/>
      </c>
      <c r="B602" s="20">
        <v>2019</v>
      </c>
      <c r="C602" s="21" t="s">
        <v>73</v>
      </c>
      <c r="D602" s="21" t="s">
        <v>73</v>
      </c>
      <c r="E602" s="23">
        <v>17663</v>
      </c>
      <c r="F602" s="20">
        <v>254137.33859999999</v>
      </c>
      <c r="G602" s="30">
        <f t="shared" si="28"/>
        <v>271800.33860000002</v>
      </c>
      <c r="H602" t="str">
        <f>IFERROR(VLOOKUP(C602,Sheet1!$B$2:$C$25,2,FALSE),"")</f>
        <v/>
      </c>
      <c r="I602">
        <f t="shared" si="29"/>
        <v>1613</v>
      </c>
    </row>
    <row r="603" spans="1:9" x14ac:dyDescent="0.2">
      <c r="A603" t="str">
        <f t="shared" si="27"/>
        <v/>
      </c>
      <c r="B603" s="20">
        <v>2020</v>
      </c>
      <c r="C603" s="21" t="s">
        <v>73</v>
      </c>
      <c r="D603" s="21" t="s">
        <v>73</v>
      </c>
      <c r="E603" s="23">
        <v>18860</v>
      </c>
      <c r="F603" s="20">
        <v>263650.44439999998</v>
      </c>
      <c r="G603" s="30">
        <f t="shared" si="28"/>
        <v>282510.44439999998</v>
      </c>
      <c r="H603" t="str">
        <f>IFERROR(VLOOKUP(C603,Sheet1!$B$2:$C$25,2,FALSE),"")</f>
        <v/>
      </c>
      <c r="I603">
        <f t="shared" si="29"/>
        <v>1613</v>
      </c>
    </row>
    <row r="604" spans="1:9" x14ac:dyDescent="0.2">
      <c r="A604" t="str">
        <f t="shared" si="27"/>
        <v/>
      </c>
      <c r="B604" s="20">
        <v>2021</v>
      </c>
      <c r="C604" s="21" t="s">
        <v>73</v>
      </c>
      <c r="D604" s="21" t="s">
        <v>73</v>
      </c>
      <c r="E604" s="23">
        <v>33976</v>
      </c>
      <c r="F604" s="20">
        <v>443522.20069999999</v>
      </c>
      <c r="G604" s="30">
        <f t="shared" si="28"/>
        <v>477498.20069999999</v>
      </c>
      <c r="H604" t="str">
        <f>IFERROR(VLOOKUP(C604,Sheet1!$B$2:$C$25,2,FALSE),"")</f>
        <v/>
      </c>
      <c r="I604">
        <f t="shared" si="29"/>
        <v>1613</v>
      </c>
    </row>
    <row r="605" spans="1:9" x14ac:dyDescent="0.2">
      <c r="A605" t="str">
        <f t="shared" si="27"/>
        <v/>
      </c>
      <c r="B605" s="20">
        <v>2022</v>
      </c>
      <c r="C605" s="21" t="s">
        <v>73</v>
      </c>
      <c r="D605" s="21" t="s">
        <v>73</v>
      </c>
      <c r="E605" s="23">
        <v>35093</v>
      </c>
      <c r="F605" s="20">
        <v>482441.79379999998</v>
      </c>
      <c r="G605" s="30">
        <f t="shared" si="28"/>
        <v>517534.79379999998</v>
      </c>
      <c r="H605" t="str">
        <f>IFERROR(VLOOKUP(C605,Sheet1!$B$2:$C$25,2,FALSE),"")</f>
        <v/>
      </c>
      <c r="I605">
        <f t="shared" si="29"/>
        <v>1613</v>
      </c>
    </row>
    <row r="606" spans="1:9" x14ac:dyDescent="0.2">
      <c r="A606" t="str">
        <f t="shared" si="27"/>
        <v/>
      </c>
      <c r="B606" s="20">
        <v>2023</v>
      </c>
      <c r="C606" s="21" t="s">
        <v>73</v>
      </c>
      <c r="D606" s="21" t="s">
        <v>73</v>
      </c>
      <c r="E606" s="23">
        <v>36381</v>
      </c>
      <c r="F606" s="20">
        <v>486914.6507</v>
      </c>
      <c r="G606" s="30">
        <f t="shared" si="28"/>
        <v>523295.6507</v>
      </c>
      <c r="H606" t="str">
        <f>IFERROR(VLOOKUP(C606,Sheet1!$B$2:$C$25,2,FALSE),"")</f>
        <v/>
      </c>
      <c r="I606">
        <f t="shared" si="29"/>
        <v>1613</v>
      </c>
    </row>
    <row r="607" spans="1:9" x14ac:dyDescent="0.2">
      <c r="A607" t="str">
        <f t="shared" si="27"/>
        <v/>
      </c>
      <c r="B607" s="20">
        <v>2015</v>
      </c>
      <c r="C607" s="21" t="s">
        <v>74</v>
      </c>
      <c r="D607" s="21" t="s">
        <v>74</v>
      </c>
      <c r="E607" s="23">
        <v>6354</v>
      </c>
      <c r="F607" s="20">
        <v>99675.53989</v>
      </c>
      <c r="G607" s="30">
        <f t="shared" si="28"/>
        <v>106029.53989</v>
      </c>
      <c r="H607" t="str">
        <f>IFERROR(VLOOKUP(C607,Sheet1!$B$2:$C$25,2,FALSE),"")</f>
        <v/>
      </c>
      <c r="I607">
        <f t="shared" si="29"/>
        <v>1613</v>
      </c>
    </row>
    <row r="608" spans="1:9" x14ac:dyDescent="0.2">
      <c r="A608" t="str">
        <f t="shared" si="27"/>
        <v/>
      </c>
      <c r="B608" s="20">
        <v>2016</v>
      </c>
      <c r="C608" s="21" t="s">
        <v>74</v>
      </c>
      <c r="D608" s="21" t="s">
        <v>74</v>
      </c>
      <c r="E608" s="23">
        <v>5291</v>
      </c>
      <c r="F608" s="20">
        <v>82586.361319999996</v>
      </c>
      <c r="G608" s="30">
        <f t="shared" si="28"/>
        <v>87877.361319999996</v>
      </c>
      <c r="H608" t="str">
        <f>IFERROR(VLOOKUP(C608,Sheet1!$B$2:$C$25,2,FALSE),"")</f>
        <v/>
      </c>
      <c r="I608">
        <f t="shared" si="29"/>
        <v>1613</v>
      </c>
    </row>
    <row r="609" spans="1:9" x14ac:dyDescent="0.2">
      <c r="A609" t="str">
        <f t="shared" si="27"/>
        <v/>
      </c>
      <c r="B609" s="20">
        <v>2017</v>
      </c>
      <c r="C609" s="21" t="s">
        <v>74</v>
      </c>
      <c r="D609" s="21" t="s">
        <v>74</v>
      </c>
      <c r="E609" s="23">
        <v>5156</v>
      </c>
      <c r="F609" s="20">
        <v>85230.73921</v>
      </c>
      <c r="G609" s="30">
        <f t="shared" si="28"/>
        <v>90386.73921</v>
      </c>
      <c r="H609" t="str">
        <f>IFERROR(VLOOKUP(C609,Sheet1!$B$2:$C$25,2,FALSE),"")</f>
        <v/>
      </c>
      <c r="I609">
        <f t="shared" si="29"/>
        <v>1613</v>
      </c>
    </row>
    <row r="610" spans="1:9" x14ac:dyDescent="0.2">
      <c r="A610" t="str">
        <f t="shared" si="27"/>
        <v/>
      </c>
      <c r="B610" s="20">
        <v>2018</v>
      </c>
      <c r="C610" s="21" t="s">
        <v>74</v>
      </c>
      <c r="D610" s="21" t="s">
        <v>74</v>
      </c>
      <c r="E610" s="23">
        <v>5757</v>
      </c>
      <c r="F610" s="20">
        <v>86621.577640000003</v>
      </c>
      <c r="G610" s="30">
        <f t="shared" si="28"/>
        <v>92378.577640000003</v>
      </c>
      <c r="H610" t="str">
        <f>IFERROR(VLOOKUP(C610,Sheet1!$B$2:$C$25,2,FALSE),"")</f>
        <v/>
      </c>
      <c r="I610">
        <f t="shared" si="29"/>
        <v>1613</v>
      </c>
    </row>
    <row r="611" spans="1:9" x14ac:dyDescent="0.2">
      <c r="A611" t="str">
        <f t="shared" si="27"/>
        <v/>
      </c>
      <c r="B611" s="20">
        <v>2019</v>
      </c>
      <c r="C611" s="21" t="s">
        <v>74</v>
      </c>
      <c r="D611" s="21" t="s">
        <v>74</v>
      </c>
      <c r="E611" s="23">
        <v>6261</v>
      </c>
      <c r="F611" s="20">
        <v>90084.010490000001</v>
      </c>
      <c r="G611" s="30">
        <f t="shared" si="28"/>
        <v>96345.010490000001</v>
      </c>
      <c r="H611" t="str">
        <f>IFERROR(VLOOKUP(C611,Sheet1!$B$2:$C$25,2,FALSE),"")</f>
        <v/>
      </c>
      <c r="I611">
        <f t="shared" si="29"/>
        <v>1613</v>
      </c>
    </row>
    <row r="612" spans="1:9" x14ac:dyDescent="0.2">
      <c r="A612" t="str">
        <f t="shared" si="27"/>
        <v/>
      </c>
      <c r="B612" s="20">
        <v>2020</v>
      </c>
      <c r="C612" s="21" t="s">
        <v>74</v>
      </c>
      <c r="D612" s="21" t="s">
        <v>74</v>
      </c>
      <c r="E612" s="23">
        <v>7030</v>
      </c>
      <c r="F612" s="20">
        <v>98274.794510000007</v>
      </c>
      <c r="G612" s="30">
        <f t="shared" si="28"/>
        <v>105304.79451000001</v>
      </c>
      <c r="H612" t="str">
        <f>IFERROR(VLOOKUP(C612,Sheet1!$B$2:$C$25,2,FALSE),"")</f>
        <v/>
      </c>
      <c r="I612">
        <f t="shared" si="29"/>
        <v>1613</v>
      </c>
    </row>
    <row r="613" spans="1:9" x14ac:dyDescent="0.2">
      <c r="A613" t="str">
        <f t="shared" si="27"/>
        <v/>
      </c>
      <c r="B613" s="20">
        <v>2021</v>
      </c>
      <c r="C613" s="21" t="s">
        <v>74</v>
      </c>
      <c r="D613" s="21" t="s">
        <v>74</v>
      </c>
      <c r="E613" s="23">
        <v>8104</v>
      </c>
      <c r="F613" s="20">
        <v>105789.49589999999</v>
      </c>
      <c r="G613" s="30">
        <f t="shared" si="28"/>
        <v>113893.49589999999</v>
      </c>
      <c r="H613" t="str">
        <f>IFERROR(VLOOKUP(C613,Sheet1!$B$2:$C$25,2,FALSE),"")</f>
        <v/>
      </c>
      <c r="I613">
        <f t="shared" si="29"/>
        <v>1613</v>
      </c>
    </row>
    <row r="614" spans="1:9" x14ac:dyDescent="0.2">
      <c r="A614" t="str">
        <f t="shared" si="27"/>
        <v/>
      </c>
      <c r="B614" s="20">
        <v>2022</v>
      </c>
      <c r="C614" s="21" t="s">
        <v>74</v>
      </c>
      <c r="D614" s="21" t="s">
        <v>74</v>
      </c>
      <c r="E614" s="23">
        <v>8917</v>
      </c>
      <c r="F614" s="20">
        <v>122586.6547</v>
      </c>
      <c r="G614" s="30">
        <f t="shared" si="28"/>
        <v>131503.65470000001</v>
      </c>
      <c r="H614" t="str">
        <f>IFERROR(VLOOKUP(C614,Sheet1!$B$2:$C$25,2,FALSE),"")</f>
        <v/>
      </c>
      <c r="I614">
        <f t="shared" si="29"/>
        <v>1613</v>
      </c>
    </row>
    <row r="615" spans="1:9" x14ac:dyDescent="0.2">
      <c r="A615" t="str">
        <f t="shared" si="27"/>
        <v/>
      </c>
      <c r="B615" s="20">
        <v>2023</v>
      </c>
      <c r="C615" s="21" t="s">
        <v>74</v>
      </c>
      <c r="D615" s="21" t="s">
        <v>74</v>
      </c>
      <c r="E615" s="23">
        <v>9654</v>
      </c>
      <c r="F615" s="20">
        <v>129206.8398</v>
      </c>
      <c r="G615" s="30">
        <f t="shared" si="28"/>
        <v>138860.83980000002</v>
      </c>
      <c r="H615" t="str">
        <f>IFERROR(VLOOKUP(C615,Sheet1!$B$2:$C$25,2,FALSE),"")</f>
        <v/>
      </c>
      <c r="I615">
        <f t="shared" si="29"/>
        <v>1613</v>
      </c>
    </row>
    <row r="616" spans="1:9" x14ac:dyDescent="0.2">
      <c r="A616" t="str">
        <f t="shared" si="27"/>
        <v/>
      </c>
      <c r="B616" s="20">
        <v>2015</v>
      </c>
      <c r="C616" s="21" t="s">
        <v>75</v>
      </c>
      <c r="D616" s="21" t="s">
        <v>75</v>
      </c>
      <c r="E616" s="23">
        <v>60516</v>
      </c>
      <c r="F616" s="20">
        <v>949317.74820000003</v>
      </c>
      <c r="G616" s="30">
        <f t="shared" si="28"/>
        <v>1009833.7482</v>
      </c>
      <c r="H616" t="str">
        <f>IFERROR(VLOOKUP(C616,Sheet1!$B$2:$C$25,2,FALSE),"")</f>
        <v/>
      </c>
      <c r="I616">
        <f t="shared" si="29"/>
        <v>1613</v>
      </c>
    </row>
    <row r="617" spans="1:9" x14ac:dyDescent="0.2">
      <c r="A617" t="str">
        <f t="shared" si="27"/>
        <v/>
      </c>
      <c r="B617" s="20">
        <v>2016</v>
      </c>
      <c r="C617" s="21" t="s">
        <v>75</v>
      </c>
      <c r="D617" s="21" t="s">
        <v>75</v>
      </c>
      <c r="E617" s="23">
        <v>54470</v>
      </c>
      <c r="F617" s="20">
        <v>850213.40040000004</v>
      </c>
      <c r="G617" s="30">
        <f t="shared" si="28"/>
        <v>904683.40040000004</v>
      </c>
      <c r="H617" t="str">
        <f>IFERROR(VLOOKUP(C617,Sheet1!$B$2:$C$25,2,FALSE),"")</f>
        <v/>
      </c>
      <c r="I617">
        <f t="shared" si="29"/>
        <v>1613</v>
      </c>
    </row>
    <row r="618" spans="1:9" x14ac:dyDescent="0.2">
      <c r="A618" t="str">
        <f t="shared" si="27"/>
        <v/>
      </c>
      <c r="B618" s="20">
        <v>2017</v>
      </c>
      <c r="C618" s="21" t="s">
        <v>75</v>
      </c>
      <c r="D618" s="21" t="s">
        <v>75</v>
      </c>
      <c r="E618" s="23">
        <v>47822</v>
      </c>
      <c r="F618" s="20">
        <v>790516.75919999997</v>
      </c>
      <c r="G618" s="30">
        <f t="shared" si="28"/>
        <v>838338.75919999997</v>
      </c>
      <c r="H618" t="str">
        <f>IFERROR(VLOOKUP(C618,Sheet1!$B$2:$C$25,2,FALSE),"")</f>
        <v/>
      </c>
      <c r="I618">
        <f t="shared" si="29"/>
        <v>1613</v>
      </c>
    </row>
    <row r="619" spans="1:9" x14ac:dyDescent="0.2">
      <c r="A619" t="str">
        <f t="shared" si="27"/>
        <v/>
      </c>
      <c r="B619" s="20">
        <v>2018</v>
      </c>
      <c r="C619" s="21" t="s">
        <v>75</v>
      </c>
      <c r="D619" s="21" t="s">
        <v>75</v>
      </c>
      <c r="E619" s="23">
        <v>56004</v>
      </c>
      <c r="F619" s="20">
        <v>842653.26289999997</v>
      </c>
      <c r="G619" s="30">
        <f t="shared" si="28"/>
        <v>898657.26289999997</v>
      </c>
      <c r="H619" t="str">
        <f>IFERROR(VLOOKUP(C619,Sheet1!$B$2:$C$25,2,FALSE),"")</f>
        <v/>
      </c>
      <c r="I619">
        <f t="shared" si="29"/>
        <v>1613</v>
      </c>
    </row>
    <row r="620" spans="1:9" x14ac:dyDescent="0.2">
      <c r="A620" t="str">
        <f t="shared" si="27"/>
        <v/>
      </c>
      <c r="B620" s="20">
        <v>2019</v>
      </c>
      <c r="C620" s="21" t="s">
        <v>75</v>
      </c>
      <c r="D620" s="21" t="s">
        <v>75</v>
      </c>
      <c r="E620" s="23">
        <v>59312</v>
      </c>
      <c r="F620" s="20">
        <v>853388.08979999996</v>
      </c>
      <c r="G620" s="30">
        <f t="shared" si="28"/>
        <v>912700.08979999996</v>
      </c>
      <c r="H620" t="str">
        <f>IFERROR(VLOOKUP(C620,Sheet1!$B$2:$C$25,2,FALSE),"")</f>
        <v/>
      </c>
      <c r="I620">
        <f t="shared" si="29"/>
        <v>1613</v>
      </c>
    </row>
    <row r="621" spans="1:9" x14ac:dyDescent="0.2">
      <c r="A621" t="str">
        <f t="shared" si="27"/>
        <v/>
      </c>
      <c r="B621" s="20">
        <v>2020</v>
      </c>
      <c r="C621" s="21" t="s">
        <v>75</v>
      </c>
      <c r="D621" s="21" t="s">
        <v>75</v>
      </c>
      <c r="E621" s="23">
        <v>65277</v>
      </c>
      <c r="F621" s="20">
        <v>912529.69570000004</v>
      </c>
      <c r="G621" s="30">
        <f t="shared" si="28"/>
        <v>977806.69570000004</v>
      </c>
      <c r="H621" t="str">
        <f>IFERROR(VLOOKUP(C621,Sheet1!$B$2:$C$25,2,FALSE),"")</f>
        <v/>
      </c>
      <c r="I621">
        <f t="shared" si="29"/>
        <v>1613</v>
      </c>
    </row>
    <row r="622" spans="1:9" x14ac:dyDescent="0.2">
      <c r="A622" t="str">
        <f t="shared" si="27"/>
        <v/>
      </c>
      <c r="B622" s="20">
        <v>2021</v>
      </c>
      <c r="C622" s="21" t="s">
        <v>75</v>
      </c>
      <c r="D622" s="21" t="s">
        <v>75</v>
      </c>
      <c r="E622" s="23">
        <v>74958</v>
      </c>
      <c r="F622" s="20">
        <v>978500.62159999995</v>
      </c>
      <c r="G622" s="30">
        <f t="shared" si="28"/>
        <v>1053458.6216</v>
      </c>
      <c r="H622" t="str">
        <f>IFERROR(VLOOKUP(C622,Sheet1!$B$2:$C$25,2,FALSE),"")</f>
        <v/>
      </c>
      <c r="I622">
        <f t="shared" si="29"/>
        <v>1613</v>
      </c>
    </row>
    <row r="623" spans="1:9" x14ac:dyDescent="0.2">
      <c r="A623" t="str">
        <f t="shared" si="27"/>
        <v/>
      </c>
      <c r="B623" s="20">
        <v>2022</v>
      </c>
      <c r="C623" s="21" t="s">
        <v>75</v>
      </c>
      <c r="D623" s="21" t="s">
        <v>75</v>
      </c>
      <c r="E623" s="23">
        <v>89539</v>
      </c>
      <c r="F623" s="20">
        <v>1230939.3829999999</v>
      </c>
      <c r="G623" s="30">
        <f t="shared" si="28"/>
        <v>1320478.3829999999</v>
      </c>
      <c r="H623" t="str">
        <f>IFERROR(VLOOKUP(C623,Sheet1!$B$2:$C$25,2,FALSE),"")</f>
        <v/>
      </c>
      <c r="I623">
        <f t="shared" si="29"/>
        <v>1613</v>
      </c>
    </row>
    <row r="624" spans="1:9" x14ac:dyDescent="0.2">
      <c r="A624" t="str">
        <f t="shared" si="27"/>
        <v/>
      </c>
      <c r="B624" s="20">
        <v>2023</v>
      </c>
      <c r="C624" s="21" t="s">
        <v>75</v>
      </c>
      <c r="D624" s="21" t="s">
        <v>75</v>
      </c>
      <c r="E624" s="23">
        <v>98146</v>
      </c>
      <c r="F624" s="20">
        <v>1313562.72</v>
      </c>
      <c r="G624" s="30">
        <f t="shared" si="28"/>
        <v>1411708.72</v>
      </c>
      <c r="H624" t="str">
        <f>IFERROR(VLOOKUP(C624,Sheet1!$B$2:$C$25,2,FALSE),"")</f>
        <v/>
      </c>
      <c r="I624">
        <f t="shared" si="29"/>
        <v>1613</v>
      </c>
    </row>
    <row r="625" spans="1:9" x14ac:dyDescent="0.2">
      <c r="A625" t="str">
        <f t="shared" si="27"/>
        <v/>
      </c>
      <c r="B625" s="20">
        <v>2015</v>
      </c>
      <c r="C625" s="21" t="s">
        <v>76</v>
      </c>
      <c r="D625" s="21" t="s">
        <v>76</v>
      </c>
      <c r="E625" s="23">
        <v>124854</v>
      </c>
      <c r="F625" s="20">
        <v>1958591.416</v>
      </c>
      <c r="G625" s="30">
        <f t="shared" si="28"/>
        <v>2083445.416</v>
      </c>
      <c r="H625" t="str">
        <f>IFERROR(VLOOKUP(C625,Sheet1!$B$2:$C$25,2,FALSE),"")</f>
        <v/>
      </c>
      <c r="I625">
        <f t="shared" si="29"/>
        <v>1613</v>
      </c>
    </row>
    <row r="626" spans="1:9" x14ac:dyDescent="0.2">
      <c r="A626" t="str">
        <f t="shared" si="27"/>
        <v/>
      </c>
      <c r="B626" s="20">
        <v>2016</v>
      </c>
      <c r="C626" s="21" t="s">
        <v>76</v>
      </c>
      <c r="D626" s="21" t="s">
        <v>76</v>
      </c>
      <c r="E626" s="23">
        <v>105928</v>
      </c>
      <c r="F626" s="20">
        <v>1653412.9809999999</v>
      </c>
      <c r="G626" s="30">
        <f t="shared" si="28"/>
        <v>1759340.9809999999</v>
      </c>
      <c r="H626" t="str">
        <f>IFERROR(VLOOKUP(C626,Sheet1!$B$2:$C$25,2,FALSE),"")</f>
        <v/>
      </c>
      <c r="I626">
        <f t="shared" si="29"/>
        <v>1613</v>
      </c>
    </row>
    <row r="627" spans="1:9" x14ac:dyDescent="0.2">
      <c r="A627" t="str">
        <f t="shared" si="27"/>
        <v/>
      </c>
      <c r="B627" s="20">
        <v>2017</v>
      </c>
      <c r="C627" s="21" t="s">
        <v>76</v>
      </c>
      <c r="D627" s="21" t="s">
        <v>76</v>
      </c>
      <c r="E627" s="23">
        <v>107453</v>
      </c>
      <c r="F627" s="20">
        <v>1776241.0049999999</v>
      </c>
      <c r="G627" s="30">
        <f t="shared" si="28"/>
        <v>1883694.0049999999</v>
      </c>
      <c r="H627" t="str">
        <f>IFERROR(VLOOKUP(C627,Sheet1!$B$2:$C$25,2,FALSE),"")</f>
        <v/>
      </c>
      <c r="I627">
        <f t="shared" si="29"/>
        <v>1613</v>
      </c>
    </row>
    <row r="628" spans="1:9" x14ac:dyDescent="0.2">
      <c r="A628" t="str">
        <f t="shared" si="27"/>
        <v/>
      </c>
      <c r="B628" s="20">
        <v>2018</v>
      </c>
      <c r="C628" s="21" t="s">
        <v>76</v>
      </c>
      <c r="D628" s="21" t="s">
        <v>76</v>
      </c>
      <c r="E628" s="23">
        <v>108304</v>
      </c>
      <c r="F628" s="20">
        <v>1629575.0120000001</v>
      </c>
      <c r="G628" s="30">
        <f t="shared" si="28"/>
        <v>1737879.0120000001</v>
      </c>
      <c r="H628" t="str">
        <f>IFERROR(VLOOKUP(C628,Sheet1!$B$2:$C$25,2,FALSE),"")</f>
        <v/>
      </c>
      <c r="I628">
        <f t="shared" si="29"/>
        <v>1613</v>
      </c>
    </row>
    <row r="629" spans="1:9" x14ac:dyDescent="0.2">
      <c r="A629" t="str">
        <f t="shared" si="27"/>
        <v/>
      </c>
      <c r="B629" s="20">
        <v>2019</v>
      </c>
      <c r="C629" s="21" t="s">
        <v>76</v>
      </c>
      <c r="D629" s="21" t="s">
        <v>76</v>
      </c>
      <c r="E629" s="23">
        <v>112534</v>
      </c>
      <c r="F629" s="20">
        <v>1619152.537</v>
      </c>
      <c r="G629" s="30">
        <f t="shared" si="28"/>
        <v>1731686.537</v>
      </c>
      <c r="H629" t="str">
        <f>IFERROR(VLOOKUP(C629,Sheet1!$B$2:$C$25,2,FALSE),"")</f>
        <v/>
      </c>
      <c r="I629">
        <f t="shared" si="29"/>
        <v>1613</v>
      </c>
    </row>
    <row r="630" spans="1:9" x14ac:dyDescent="0.2">
      <c r="A630" t="str">
        <f t="shared" si="27"/>
        <v/>
      </c>
      <c r="B630" s="20">
        <v>2020</v>
      </c>
      <c r="C630" s="21" t="s">
        <v>76</v>
      </c>
      <c r="D630" s="21" t="s">
        <v>76</v>
      </c>
      <c r="E630" s="23">
        <v>102095</v>
      </c>
      <c r="F630" s="20">
        <v>1427221.216</v>
      </c>
      <c r="G630" s="30">
        <f t="shared" si="28"/>
        <v>1529316.216</v>
      </c>
      <c r="H630" t="str">
        <f>IFERROR(VLOOKUP(C630,Sheet1!$B$2:$C$25,2,FALSE),"")</f>
        <v/>
      </c>
      <c r="I630">
        <f t="shared" si="29"/>
        <v>1613</v>
      </c>
    </row>
    <row r="631" spans="1:9" x14ac:dyDescent="0.2">
      <c r="A631" t="str">
        <f t="shared" si="27"/>
        <v/>
      </c>
      <c r="B631" s="20">
        <v>2021</v>
      </c>
      <c r="C631" s="21" t="s">
        <v>76</v>
      </c>
      <c r="D631" s="21" t="s">
        <v>76</v>
      </c>
      <c r="E631" s="23">
        <v>118686</v>
      </c>
      <c r="F631" s="20">
        <v>1549325.2860000001</v>
      </c>
      <c r="G631" s="30">
        <f t="shared" si="28"/>
        <v>1668011.2860000001</v>
      </c>
      <c r="H631" t="str">
        <f>IFERROR(VLOOKUP(C631,Sheet1!$B$2:$C$25,2,FALSE),"")</f>
        <v/>
      </c>
      <c r="I631">
        <f t="shared" si="29"/>
        <v>1613</v>
      </c>
    </row>
    <row r="632" spans="1:9" x14ac:dyDescent="0.2">
      <c r="A632" t="str">
        <f t="shared" si="27"/>
        <v/>
      </c>
      <c r="B632" s="20">
        <v>2022</v>
      </c>
      <c r="C632" s="21" t="s">
        <v>76</v>
      </c>
      <c r="D632" s="21" t="s">
        <v>76</v>
      </c>
      <c r="E632" s="23">
        <v>138076</v>
      </c>
      <c r="F632" s="20">
        <v>1898202.8640000001</v>
      </c>
      <c r="G632" s="30">
        <f t="shared" si="28"/>
        <v>2036278.8640000001</v>
      </c>
      <c r="H632" t="str">
        <f>IFERROR(VLOOKUP(C632,Sheet1!$B$2:$C$25,2,FALSE),"")</f>
        <v/>
      </c>
      <c r="I632">
        <f t="shared" si="29"/>
        <v>1613</v>
      </c>
    </row>
    <row r="633" spans="1:9" x14ac:dyDescent="0.2">
      <c r="A633" t="str">
        <f t="shared" si="27"/>
        <v/>
      </c>
      <c r="B633" s="20">
        <v>2023</v>
      </c>
      <c r="C633" s="21" t="s">
        <v>76</v>
      </c>
      <c r="D633" s="21" t="s">
        <v>76</v>
      </c>
      <c r="E633" s="23">
        <v>144776</v>
      </c>
      <c r="F633" s="20">
        <v>1937647.5490000001</v>
      </c>
      <c r="G633" s="30">
        <f t="shared" si="28"/>
        <v>2082423.5490000001</v>
      </c>
      <c r="H633" t="str">
        <f>IFERROR(VLOOKUP(C633,Sheet1!$B$2:$C$25,2,FALSE),"")</f>
        <v/>
      </c>
      <c r="I633">
        <f t="shared" si="29"/>
        <v>1613</v>
      </c>
    </row>
    <row r="634" spans="1:9" x14ac:dyDescent="0.2">
      <c r="A634">
        <f t="shared" si="27"/>
        <v>2400330</v>
      </c>
      <c r="B634" s="20">
        <v>2015</v>
      </c>
      <c r="C634" s="21" t="s">
        <v>78</v>
      </c>
      <c r="D634" s="21" t="s">
        <v>78</v>
      </c>
      <c r="E634" s="23">
        <v>3982050</v>
      </c>
      <c r="F634" s="20">
        <v>62466632.609999999</v>
      </c>
      <c r="G634" s="30">
        <f t="shared" si="28"/>
        <v>66448682.609999999</v>
      </c>
      <c r="H634">
        <f>IFERROR(VLOOKUP(C634,Sheet1!$B$2:$C$25,2,FALSE),"")</f>
        <v>2400330</v>
      </c>
      <c r="I634">
        <f t="shared" si="29"/>
        <v>9</v>
      </c>
    </row>
    <row r="635" spans="1:9" x14ac:dyDescent="0.2">
      <c r="A635">
        <f t="shared" si="27"/>
        <v>2400330</v>
      </c>
      <c r="B635" s="20">
        <v>2016</v>
      </c>
      <c r="C635" s="21" t="s">
        <v>78</v>
      </c>
      <c r="D635" s="21" t="s">
        <v>78</v>
      </c>
      <c r="E635" s="23">
        <v>3495459</v>
      </c>
      <c r="F635" s="20">
        <v>54560052.909999996</v>
      </c>
      <c r="G635" s="30">
        <f t="shared" si="28"/>
        <v>58055511.909999996</v>
      </c>
      <c r="H635">
        <f>IFERROR(VLOOKUP(C635,Sheet1!$B$2:$C$25,2,FALSE),"")</f>
        <v>2400330</v>
      </c>
      <c r="I635">
        <f t="shared" si="29"/>
        <v>9</v>
      </c>
    </row>
    <row r="636" spans="1:9" x14ac:dyDescent="0.2">
      <c r="A636">
        <f t="shared" si="27"/>
        <v>2400330</v>
      </c>
      <c r="B636" s="20">
        <v>2017</v>
      </c>
      <c r="C636" s="21" t="s">
        <v>78</v>
      </c>
      <c r="D636" s="21" t="s">
        <v>78</v>
      </c>
      <c r="E636" s="23">
        <v>3465570</v>
      </c>
      <c r="F636" s="20">
        <v>57287256.18</v>
      </c>
      <c r="G636" s="30">
        <f t="shared" si="28"/>
        <v>60752826.18</v>
      </c>
      <c r="H636">
        <f>IFERROR(VLOOKUP(C636,Sheet1!$B$2:$C$25,2,FALSE),"")</f>
        <v>2400330</v>
      </c>
      <c r="I636">
        <f t="shared" si="29"/>
        <v>9</v>
      </c>
    </row>
    <row r="637" spans="1:9" x14ac:dyDescent="0.2">
      <c r="A637">
        <f t="shared" si="27"/>
        <v>2400330</v>
      </c>
      <c r="B637" s="20">
        <v>2018</v>
      </c>
      <c r="C637" s="21" t="s">
        <v>78</v>
      </c>
      <c r="D637" s="21" t="s">
        <v>78</v>
      </c>
      <c r="E637" s="23">
        <v>3725167</v>
      </c>
      <c r="F637" s="20">
        <v>56049998.700000003</v>
      </c>
      <c r="G637" s="30">
        <f t="shared" si="28"/>
        <v>59775165.700000003</v>
      </c>
      <c r="H637">
        <f>IFERROR(VLOOKUP(C637,Sheet1!$B$2:$C$25,2,FALSE),"")</f>
        <v>2400330</v>
      </c>
      <c r="I637">
        <f t="shared" si="29"/>
        <v>9</v>
      </c>
    </row>
    <row r="638" spans="1:9" x14ac:dyDescent="0.2">
      <c r="A638">
        <f t="shared" si="27"/>
        <v>2400330</v>
      </c>
      <c r="B638" s="20">
        <v>2019</v>
      </c>
      <c r="C638" s="21" t="s">
        <v>78</v>
      </c>
      <c r="D638" s="21" t="s">
        <v>78</v>
      </c>
      <c r="E638" s="23">
        <v>4102821</v>
      </c>
      <c r="F638" s="20">
        <v>59031875.100000001</v>
      </c>
      <c r="G638" s="30">
        <f t="shared" si="28"/>
        <v>63134696.100000001</v>
      </c>
      <c r="H638">
        <f>IFERROR(VLOOKUP(C638,Sheet1!$B$2:$C$25,2,FALSE),"")</f>
        <v>2400330</v>
      </c>
      <c r="I638">
        <f t="shared" si="29"/>
        <v>9</v>
      </c>
    </row>
    <row r="639" spans="1:9" x14ac:dyDescent="0.2">
      <c r="A639">
        <f t="shared" si="27"/>
        <v>2400330</v>
      </c>
      <c r="B639" s="20">
        <v>2020</v>
      </c>
      <c r="C639" s="21" t="s">
        <v>78</v>
      </c>
      <c r="D639" s="21" t="s">
        <v>78</v>
      </c>
      <c r="E639" s="23">
        <v>4429239</v>
      </c>
      <c r="F639" s="20">
        <v>61917859.539999999</v>
      </c>
      <c r="G639" s="30">
        <f t="shared" si="28"/>
        <v>66347098.539999999</v>
      </c>
      <c r="H639">
        <f>IFERROR(VLOOKUP(C639,Sheet1!$B$2:$C$25,2,FALSE),"")</f>
        <v>2400330</v>
      </c>
      <c r="I639">
        <f t="shared" si="29"/>
        <v>9</v>
      </c>
    </row>
    <row r="640" spans="1:9" x14ac:dyDescent="0.2">
      <c r="A640">
        <f t="shared" si="27"/>
        <v>2400330</v>
      </c>
      <c r="B640" s="20">
        <v>2021</v>
      </c>
      <c r="C640" s="21" t="s">
        <v>78</v>
      </c>
      <c r="D640" s="21" t="s">
        <v>78</v>
      </c>
      <c r="E640" s="23">
        <v>5002218</v>
      </c>
      <c r="F640" s="20">
        <v>65298879.670000002</v>
      </c>
      <c r="G640" s="30">
        <f t="shared" si="28"/>
        <v>70301097.670000002</v>
      </c>
      <c r="H640">
        <f>IFERROR(VLOOKUP(C640,Sheet1!$B$2:$C$25,2,FALSE),"")</f>
        <v>2400330</v>
      </c>
      <c r="I640">
        <f t="shared" si="29"/>
        <v>9</v>
      </c>
    </row>
    <row r="641" spans="1:9" x14ac:dyDescent="0.2">
      <c r="A641">
        <f t="shared" si="27"/>
        <v>2400330</v>
      </c>
      <c r="B641" s="20">
        <v>2022</v>
      </c>
      <c r="C641" s="21" t="s">
        <v>78</v>
      </c>
      <c r="D641" s="21" t="s">
        <v>78</v>
      </c>
      <c r="E641" s="23">
        <v>5258842</v>
      </c>
      <c r="F641" s="20">
        <v>72296046.719999999</v>
      </c>
      <c r="G641" s="30">
        <f t="shared" si="28"/>
        <v>77554888.719999999</v>
      </c>
      <c r="H641">
        <f>IFERROR(VLOOKUP(C641,Sheet1!$B$2:$C$25,2,FALSE),"")</f>
        <v>2400330</v>
      </c>
      <c r="I641">
        <f t="shared" si="29"/>
        <v>9</v>
      </c>
    </row>
    <row r="642" spans="1:9" x14ac:dyDescent="0.2">
      <c r="A642">
        <f t="shared" si="27"/>
        <v>2400330</v>
      </c>
      <c r="B642" s="20">
        <v>2023</v>
      </c>
      <c r="C642" s="21" t="s">
        <v>78</v>
      </c>
      <c r="D642" s="21" t="s">
        <v>78</v>
      </c>
      <c r="E642" s="23">
        <v>5764435</v>
      </c>
      <c r="F642" s="20">
        <v>77149826.959999993</v>
      </c>
      <c r="G642" s="30">
        <f t="shared" si="28"/>
        <v>82914261.959999993</v>
      </c>
      <c r="H642">
        <f>IFERROR(VLOOKUP(C642,Sheet1!$B$2:$C$25,2,FALSE),"")</f>
        <v>2400330</v>
      </c>
      <c r="I642">
        <f t="shared" si="29"/>
        <v>9</v>
      </c>
    </row>
    <row r="643" spans="1:9" x14ac:dyDescent="0.2">
      <c r="A643" t="str">
        <f t="shared" ref="A643:A706" si="30">H643</f>
        <v/>
      </c>
      <c r="B643" s="20">
        <v>2015</v>
      </c>
      <c r="C643" s="21" t="s">
        <v>79</v>
      </c>
      <c r="D643" s="21" t="s">
        <v>79</v>
      </c>
      <c r="E643" s="23">
        <v>169575</v>
      </c>
      <c r="F643" s="20">
        <v>2660132.1490000002</v>
      </c>
      <c r="G643" s="30">
        <f t="shared" ref="G643:G706" si="31">SUM(E643:F643)</f>
        <v>2829707.1490000002</v>
      </c>
      <c r="H643" t="str">
        <f>IFERROR(VLOOKUP(C643,Sheet1!$B$2:$C$25,2,FALSE),"")</f>
        <v/>
      </c>
      <c r="I643">
        <f t="shared" ref="I643:I706" si="32">COUNTIF($H$2:$H$1812,H643)</f>
        <v>1613</v>
      </c>
    </row>
    <row r="644" spans="1:9" x14ac:dyDescent="0.2">
      <c r="A644" t="str">
        <f t="shared" si="30"/>
        <v/>
      </c>
      <c r="B644" s="20">
        <v>2016</v>
      </c>
      <c r="C644" s="21" t="s">
        <v>79</v>
      </c>
      <c r="D644" s="21" t="s">
        <v>79</v>
      </c>
      <c r="E644" s="23">
        <v>135991</v>
      </c>
      <c r="F644" s="20">
        <v>2122661.4750000001</v>
      </c>
      <c r="G644" s="30">
        <f t="shared" si="31"/>
        <v>2258652.4750000001</v>
      </c>
      <c r="H644" t="str">
        <f>IFERROR(VLOOKUP(C644,Sheet1!$B$2:$C$25,2,FALSE),"")</f>
        <v/>
      </c>
      <c r="I644">
        <f t="shared" si="32"/>
        <v>1613</v>
      </c>
    </row>
    <row r="645" spans="1:9" x14ac:dyDescent="0.2">
      <c r="A645" t="str">
        <f t="shared" si="30"/>
        <v/>
      </c>
      <c r="B645" s="20">
        <v>2017</v>
      </c>
      <c r="C645" s="21" t="s">
        <v>79</v>
      </c>
      <c r="D645" s="21" t="s">
        <v>79</v>
      </c>
      <c r="E645" s="23">
        <v>128933</v>
      </c>
      <c r="F645" s="20">
        <v>2131313.983</v>
      </c>
      <c r="G645" s="30">
        <f t="shared" si="31"/>
        <v>2260246.983</v>
      </c>
      <c r="H645" t="str">
        <f>IFERROR(VLOOKUP(C645,Sheet1!$B$2:$C$25,2,FALSE),"")</f>
        <v/>
      </c>
      <c r="I645">
        <f t="shared" si="32"/>
        <v>1613</v>
      </c>
    </row>
    <row r="646" spans="1:9" x14ac:dyDescent="0.2">
      <c r="A646" t="str">
        <f t="shared" si="30"/>
        <v/>
      </c>
      <c r="B646" s="20">
        <v>2018</v>
      </c>
      <c r="C646" s="21" t="s">
        <v>79</v>
      </c>
      <c r="D646" s="21" t="s">
        <v>79</v>
      </c>
      <c r="E646" s="23">
        <v>143793</v>
      </c>
      <c r="F646" s="20">
        <v>2163553.3289999999</v>
      </c>
      <c r="G646" s="30">
        <f t="shared" si="31"/>
        <v>2307346.3289999999</v>
      </c>
      <c r="H646" t="str">
        <f>IFERROR(VLOOKUP(C646,Sheet1!$B$2:$C$25,2,FALSE),"")</f>
        <v/>
      </c>
      <c r="I646">
        <f t="shared" si="32"/>
        <v>1613</v>
      </c>
    </row>
    <row r="647" spans="1:9" x14ac:dyDescent="0.2">
      <c r="A647" t="str">
        <f t="shared" si="30"/>
        <v/>
      </c>
      <c r="B647" s="20">
        <v>2019</v>
      </c>
      <c r="C647" s="21" t="s">
        <v>79</v>
      </c>
      <c r="D647" s="21" t="s">
        <v>79</v>
      </c>
      <c r="E647" s="23">
        <v>152255</v>
      </c>
      <c r="F647" s="20">
        <v>2190662.9959999998</v>
      </c>
      <c r="G647" s="30">
        <f t="shared" si="31"/>
        <v>2342917.9959999998</v>
      </c>
      <c r="H647" t="str">
        <f>IFERROR(VLOOKUP(C647,Sheet1!$B$2:$C$25,2,FALSE),"")</f>
        <v/>
      </c>
      <c r="I647">
        <f t="shared" si="32"/>
        <v>1613</v>
      </c>
    </row>
    <row r="648" spans="1:9" x14ac:dyDescent="0.2">
      <c r="A648" t="str">
        <f t="shared" si="30"/>
        <v/>
      </c>
      <c r="B648" s="20">
        <v>2020</v>
      </c>
      <c r="C648" s="21" t="s">
        <v>79</v>
      </c>
      <c r="D648" s="21" t="s">
        <v>79</v>
      </c>
      <c r="E648" s="23">
        <v>168757</v>
      </c>
      <c r="F648" s="20">
        <v>2359112.304</v>
      </c>
      <c r="G648" s="30">
        <f t="shared" si="31"/>
        <v>2527869.304</v>
      </c>
      <c r="H648" t="str">
        <f>IFERROR(VLOOKUP(C648,Sheet1!$B$2:$C$25,2,FALSE),"")</f>
        <v/>
      </c>
      <c r="I648">
        <f t="shared" si="32"/>
        <v>1613</v>
      </c>
    </row>
    <row r="649" spans="1:9" x14ac:dyDescent="0.2">
      <c r="A649" t="str">
        <f t="shared" si="30"/>
        <v/>
      </c>
      <c r="B649" s="20">
        <v>2021</v>
      </c>
      <c r="C649" s="21" t="s">
        <v>79</v>
      </c>
      <c r="D649" s="21" t="s">
        <v>79</v>
      </c>
      <c r="E649" s="23">
        <v>198365</v>
      </c>
      <c r="F649" s="20">
        <v>2589453.7710000002</v>
      </c>
      <c r="G649" s="30">
        <f t="shared" si="31"/>
        <v>2787818.7710000002</v>
      </c>
      <c r="H649" t="str">
        <f>IFERROR(VLOOKUP(C649,Sheet1!$B$2:$C$25,2,FALSE),"")</f>
        <v/>
      </c>
      <c r="I649">
        <f t="shared" si="32"/>
        <v>1613</v>
      </c>
    </row>
    <row r="650" spans="1:9" x14ac:dyDescent="0.2">
      <c r="A650" t="str">
        <f t="shared" si="30"/>
        <v/>
      </c>
      <c r="B650" s="20">
        <v>2022</v>
      </c>
      <c r="C650" s="21" t="s">
        <v>79</v>
      </c>
      <c r="D650" s="21" t="s">
        <v>79</v>
      </c>
      <c r="E650" s="23">
        <v>199806</v>
      </c>
      <c r="F650" s="20">
        <v>2746837.4049999998</v>
      </c>
      <c r="G650" s="30">
        <f t="shared" si="31"/>
        <v>2946643.4049999998</v>
      </c>
      <c r="H650" t="str">
        <f>IFERROR(VLOOKUP(C650,Sheet1!$B$2:$C$25,2,FALSE),"")</f>
        <v/>
      </c>
      <c r="I650">
        <f t="shared" si="32"/>
        <v>1613</v>
      </c>
    </row>
    <row r="651" spans="1:9" x14ac:dyDescent="0.2">
      <c r="A651" t="str">
        <f t="shared" si="30"/>
        <v/>
      </c>
      <c r="B651" s="20">
        <v>2023</v>
      </c>
      <c r="C651" s="21" t="s">
        <v>79</v>
      </c>
      <c r="D651" s="21" t="s">
        <v>79</v>
      </c>
      <c r="E651" s="23">
        <v>213657</v>
      </c>
      <c r="F651" s="20">
        <v>2859534.469</v>
      </c>
      <c r="G651" s="30">
        <f t="shared" si="31"/>
        <v>3073191.469</v>
      </c>
      <c r="H651" t="str">
        <f>IFERROR(VLOOKUP(C651,Sheet1!$B$2:$C$25,2,FALSE),"")</f>
        <v/>
      </c>
      <c r="I651">
        <f t="shared" si="32"/>
        <v>1613</v>
      </c>
    </row>
    <row r="652" spans="1:9" x14ac:dyDescent="0.2">
      <c r="A652" t="str">
        <f t="shared" si="30"/>
        <v/>
      </c>
      <c r="B652" s="20">
        <v>2015</v>
      </c>
      <c r="C652" s="21" t="s">
        <v>80</v>
      </c>
      <c r="D652" s="21" t="s">
        <v>80</v>
      </c>
      <c r="E652" s="23">
        <v>79393</v>
      </c>
      <c r="F652" s="20">
        <v>1245442.263</v>
      </c>
      <c r="G652" s="30">
        <f t="shared" si="31"/>
        <v>1324835.263</v>
      </c>
      <c r="H652" t="str">
        <f>IFERROR(VLOOKUP(C652,Sheet1!$B$2:$C$25,2,FALSE),"")</f>
        <v/>
      </c>
      <c r="I652">
        <f t="shared" si="32"/>
        <v>1613</v>
      </c>
    </row>
    <row r="653" spans="1:9" x14ac:dyDescent="0.2">
      <c r="A653" t="str">
        <f t="shared" si="30"/>
        <v/>
      </c>
      <c r="B653" s="20">
        <v>2016</v>
      </c>
      <c r="C653" s="21" t="s">
        <v>80</v>
      </c>
      <c r="D653" s="21" t="s">
        <v>80</v>
      </c>
      <c r="E653" s="23">
        <v>62069</v>
      </c>
      <c r="F653" s="20">
        <v>968824.9595</v>
      </c>
      <c r="G653" s="30">
        <f t="shared" si="31"/>
        <v>1030893.9595</v>
      </c>
      <c r="H653" t="str">
        <f>IFERROR(VLOOKUP(C653,Sheet1!$B$2:$C$25,2,FALSE),"")</f>
        <v/>
      </c>
      <c r="I653">
        <f t="shared" si="32"/>
        <v>1613</v>
      </c>
    </row>
    <row r="654" spans="1:9" x14ac:dyDescent="0.2">
      <c r="A654" t="str">
        <f t="shared" si="30"/>
        <v/>
      </c>
      <c r="B654" s="20">
        <v>2017</v>
      </c>
      <c r="C654" s="21" t="s">
        <v>80</v>
      </c>
      <c r="D654" s="21" t="s">
        <v>80</v>
      </c>
      <c r="E654" s="23">
        <v>78699</v>
      </c>
      <c r="F654" s="20">
        <v>1300925.9010000001</v>
      </c>
      <c r="G654" s="30">
        <f t="shared" si="31"/>
        <v>1379624.9010000001</v>
      </c>
      <c r="H654" t="str">
        <f>IFERROR(VLOOKUP(C654,Sheet1!$B$2:$C$25,2,FALSE),"")</f>
        <v/>
      </c>
      <c r="I654">
        <f t="shared" si="32"/>
        <v>1613</v>
      </c>
    </row>
    <row r="655" spans="1:9" x14ac:dyDescent="0.2">
      <c r="A655" t="str">
        <f t="shared" si="30"/>
        <v/>
      </c>
      <c r="B655" s="20">
        <v>2018</v>
      </c>
      <c r="C655" s="21" t="s">
        <v>80</v>
      </c>
      <c r="D655" s="21" t="s">
        <v>80</v>
      </c>
      <c r="E655" s="23">
        <v>92125</v>
      </c>
      <c r="F655" s="20">
        <v>1386140.844</v>
      </c>
      <c r="G655" s="30">
        <f t="shared" si="31"/>
        <v>1478265.844</v>
      </c>
      <c r="H655" t="str">
        <f>IFERROR(VLOOKUP(C655,Sheet1!$B$2:$C$25,2,FALSE),"")</f>
        <v/>
      </c>
      <c r="I655">
        <f t="shared" si="32"/>
        <v>1613</v>
      </c>
    </row>
    <row r="656" spans="1:9" x14ac:dyDescent="0.2">
      <c r="A656" t="str">
        <f t="shared" si="30"/>
        <v/>
      </c>
      <c r="B656" s="20">
        <v>2019</v>
      </c>
      <c r="C656" s="21" t="s">
        <v>80</v>
      </c>
      <c r="D656" s="21" t="s">
        <v>80</v>
      </c>
      <c r="E656" s="23">
        <v>99789</v>
      </c>
      <c r="F656" s="20">
        <v>1435775.966</v>
      </c>
      <c r="G656" s="30">
        <f t="shared" si="31"/>
        <v>1535564.966</v>
      </c>
      <c r="H656" t="str">
        <f>IFERROR(VLOOKUP(C656,Sheet1!$B$2:$C$25,2,FALSE),"")</f>
        <v/>
      </c>
      <c r="I656">
        <f t="shared" si="32"/>
        <v>1613</v>
      </c>
    </row>
    <row r="657" spans="1:9" x14ac:dyDescent="0.2">
      <c r="A657" t="str">
        <f t="shared" si="30"/>
        <v/>
      </c>
      <c r="B657" s="20">
        <v>2020</v>
      </c>
      <c r="C657" s="21" t="s">
        <v>80</v>
      </c>
      <c r="D657" s="21" t="s">
        <v>80</v>
      </c>
      <c r="E657" s="23">
        <v>108500</v>
      </c>
      <c r="F657" s="20">
        <v>1516758.919</v>
      </c>
      <c r="G657" s="30">
        <f t="shared" si="31"/>
        <v>1625258.919</v>
      </c>
      <c r="H657" t="str">
        <f>IFERROR(VLOOKUP(C657,Sheet1!$B$2:$C$25,2,FALSE),"")</f>
        <v/>
      </c>
      <c r="I657">
        <f t="shared" si="32"/>
        <v>1613</v>
      </c>
    </row>
    <row r="658" spans="1:9" x14ac:dyDescent="0.2">
      <c r="A658" t="str">
        <f t="shared" si="30"/>
        <v/>
      </c>
      <c r="B658" s="20">
        <v>2021</v>
      </c>
      <c r="C658" s="21" t="s">
        <v>80</v>
      </c>
      <c r="D658" s="21" t="s">
        <v>80</v>
      </c>
      <c r="E658" s="23">
        <v>119071</v>
      </c>
      <c r="F658" s="20">
        <v>1554351.07</v>
      </c>
      <c r="G658" s="30">
        <f t="shared" si="31"/>
        <v>1673422.07</v>
      </c>
      <c r="H658" t="str">
        <f>IFERROR(VLOOKUP(C658,Sheet1!$B$2:$C$25,2,FALSE),"")</f>
        <v/>
      </c>
      <c r="I658">
        <f t="shared" si="32"/>
        <v>1613</v>
      </c>
    </row>
    <row r="659" spans="1:9" x14ac:dyDescent="0.2">
      <c r="A659" t="str">
        <f t="shared" si="30"/>
        <v/>
      </c>
      <c r="B659" s="20">
        <v>2022</v>
      </c>
      <c r="C659" s="21" t="s">
        <v>80</v>
      </c>
      <c r="D659" s="21" t="s">
        <v>80</v>
      </c>
      <c r="E659" s="23">
        <v>125290</v>
      </c>
      <c r="F659" s="20">
        <v>1722427.0460000001</v>
      </c>
      <c r="G659" s="30">
        <f t="shared" si="31"/>
        <v>1847717.0460000001</v>
      </c>
      <c r="H659" t="str">
        <f>IFERROR(VLOOKUP(C659,Sheet1!$B$2:$C$25,2,FALSE),"")</f>
        <v/>
      </c>
      <c r="I659">
        <f t="shared" si="32"/>
        <v>1613</v>
      </c>
    </row>
    <row r="660" spans="1:9" x14ac:dyDescent="0.2">
      <c r="A660" t="str">
        <f t="shared" si="30"/>
        <v/>
      </c>
      <c r="B660" s="20">
        <v>2023</v>
      </c>
      <c r="C660" s="21" t="s">
        <v>80</v>
      </c>
      <c r="D660" s="21" t="s">
        <v>80</v>
      </c>
      <c r="E660" s="23">
        <v>145539</v>
      </c>
      <c r="F660" s="20">
        <v>1947859.3589999999</v>
      </c>
      <c r="G660" s="30">
        <f t="shared" si="31"/>
        <v>2093398.3589999999</v>
      </c>
      <c r="H660" t="str">
        <f>IFERROR(VLOOKUP(C660,Sheet1!$B$2:$C$25,2,FALSE),"")</f>
        <v/>
      </c>
      <c r="I660">
        <f t="shared" si="32"/>
        <v>1613</v>
      </c>
    </row>
    <row r="661" spans="1:9" x14ac:dyDescent="0.2">
      <c r="A661" t="str">
        <f t="shared" si="30"/>
        <v/>
      </c>
      <c r="B661" s="20">
        <v>2015</v>
      </c>
      <c r="C661" s="21" t="s">
        <v>81</v>
      </c>
      <c r="D661" s="21" t="s">
        <v>81</v>
      </c>
      <c r="E661" s="23">
        <v>123683</v>
      </c>
      <c r="F661" s="20">
        <v>1940221.8759999999</v>
      </c>
      <c r="G661" s="30">
        <f t="shared" si="31"/>
        <v>2063904.8759999999</v>
      </c>
      <c r="H661" t="str">
        <f>IFERROR(VLOOKUP(C661,Sheet1!$B$2:$C$25,2,FALSE),"")</f>
        <v/>
      </c>
      <c r="I661">
        <f t="shared" si="32"/>
        <v>1613</v>
      </c>
    </row>
    <row r="662" spans="1:9" x14ac:dyDescent="0.2">
      <c r="A662" t="str">
        <f t="shared" si="30"/>
        <v/>
      </c>
      <c r="B662" s="20">
        <v>2016</v>
      </c>
      <c r="C662" s="21" t="s">
        <v>81</v>
      </c>
      <c r="D662" s="21" t="s">
        <v>81</v>
      </c>
      <c r="E662" s="23">
        <v>129152</v>
      </c>
      <c r="F662" s="20">
        <v>2015912.632</v>
      </c>
      <c r="G662" s="30">
        <f t="shared" si="31"/>
        <v>2145064.6320000002</v>
      </c>
      <c r="H662" t="str">
        <f>IFERROR(VLOOKUP(C662,Sheet1!$B$2:$C$25,2,FALSE),"")</f>
        <v/>
      </c>
      <c r="I662">
        <f t="shared" si="32"/>
        <v>1613</v>
      </c>
    </row>
    <row r="663" spans="1:9" x14ac:dyDescent="0.2">
      <c r="A663" t="str">
        <f t="shared" si="30"/>
        <v/>
      </c>
      <c r="B663" s="20">
        <v>2017</v>
      </c>
      <c r="C663" s="21" t="s">
        <v>81</v>
      </c>
      <c r="D663" s="21" t="s">
        <v>81</v>
      </c>
      <c r="E663" s="23">
        <v>99509</v>
      </c>
      <c r="F663" s="20">
        <v>1644923.5120000001</v>
      </c>
      <c r="G663" s="30">
        <f t="shared" si="31"/>
        <v>1744432.5120000001</v>
      </c>
      <c r="H663" t="str">
        <f>IFERROR(VLOOKUP(C663,Sheet1!$B$2:$C$25,2,FALSE),"")</f>
        <v/>
      </c>
      <c r="I663">
        <f t="shared" si="32"/>
        <v>1613</v>
      </c>
    </row>
    <row r="664" spans="1:9" x14ac:dyDescent="0.2">
      <c r="A664" t="str">
        <f t="shared" si="30"/>
        <v/>
      </c>
      <c r="B664" s="20">
        <v>2018</v>
      </c>
      <c r="C664" s="21" t="s">
        <v>81</v>
      </c>
      <c r="D664" s="21" t="s">
        <v>81</v>
      </c>
      <c r="E664" s="23">
        <v>141544</v>
      </c>
      <c r="F664" s="20">
        <v>2129714.1889999998</v>
      </c>
      <c r="G664" s="30">
        <f t="shared" si="31"/>
        <v>2271258.1889999998</v>
      </c>
      <c r="H664" t="str">
        <f>IFERROR(VLOOKUP(C664,Sheet1!$B$2:$C$25,2,FALSE),"")</f>
        <v/>
      </c>
      <c r="I664">
        <f t="shared" si="32"/>
        <v>1613</v>
      </c>
    </row>
    <row r="665" spans="1:9" x14ac:dyDescent="0.2">
      <c r="A665" t="str">
        <f t="shared" si="30"/>
        <v/>
      </c>
      <c r="B665" s="20">
        <v>2019</v>
      </c>
      <c r="C665" s="21" t="s">
        <v>81</v>
      </c>
      <c r="D665" s="21" t="s">
        <v>81</v>
      </c>
      <c r="E665" s="23">
        <v>145927</v>
      </c>
      <c r="F665" s="20">
        <v>2099614.9810000001</v>
      </c>
      <c r="G665" s="30">
        <f t="shared" si="31"/>
        <v>2245541.9810000001</v>
      </c>
      <c r="H665" t="str">
        <f>IFERROR(VLOOKUP(C665,Sheet1!$B$2:$C$25,2,FALSE),"")</f>
        <v/>
      </c>
      <c r="I665">
        <f t="shared" si="32"/>
        <v>1613</v>
      </c>
    </row>
    <row r="666" spans="1:9" x14ac:dyDescent="0.2">
      <c r="A666" t="str">
        <f t="shared" si="30"/>
        <v/>
      </c>
      <c r="B666" s="20">
        <v>2020</v>
      </c>
      <c r="C666" s="21" t="s">
        <v>81</v>
      </c>
      <c r="D666" s="21" t="s">
        <v>81</v>
      </c>
      <c r="E666" s="23">
        <v>146512</v>
      </c>
      <c r="F666" s="20">
        <v>2048141.777</v>
      </c>
      <c r="G666" s="30">
        <f t="shared" si="31"/>
        <v>2194653.7769999998</v>
      </c>
      <c r="H666" t="str">
        <f>IFERROR(VLOOKUP(C666,Sheet1!$B$2:$C$25,2,FALSE),"")</f>
        <v/>
      </c>
      <c r="I666">
        <f t="shared" si="32"/>
        <v>1613</v>
      </c>
    </row>
    <row r="667" spans="1:9" x14ac:dyDescent="0.2">
      <c r="A667" t="str">
        <f t="shared" si="30"/>
        <v/>
      </c>
      <c r="B667" s="20">
        <v>2021</v>
      </c>
      <c r="C667" s="21" t="s">
        <v>81</v>
      </c>
      <c r="D667" s="21" t="s">
        <v>81</v>
      </c>
      <c r="E667" s="23">
        <v>196384</v>
      </c>
      <c r="F667" s="20">
        <v>2563593.827</v>
      </c>
      <c r="G667" s="30">
        <f t="shared" si="31"/>
        <v>2759977.827</v>
      </c>
      <c r="H667" t="str">
        <f>IFERROR(VLOOKUP(C667,Sheet1!$B$2:$C$25,2,FALSE),"")</f>
        <v/>
      </c>
      <c r="I667">
        <f t="shared" si="32"/>
        <v>1613</v>
      </c>
    </row>
    <row r="668" spans="1:9" x14ac:dyDescent="0.2">
      <c r="A668" t="str">
        <f t="shared" si="30"/>
        <v/>
      </c>
      <c r="B668" s="20">
        <v>2022</v>
      </c>
      <c r="C668" s="21" t="s">
        <v>81</v>
      </c>
      <c r="D668" s="21" t="s">
        <v>81</v>
      </c>
      <c r="E668" s="23">
        <v>204334</v>
      </c>
      <c r="F668" s="20">
        <v>2809086.1850000001</v>
      </c>
      <c r="G668" s="30">
        <f t="shared" si="31"/>
        <v>3013420.1850000001</v>
      </c>
      <c r="H668" t="str">
        <f>IFERROR(VLOOKUP(C668,Sheet1!$B$2:$C$25,2,FALSE),"")</f>
        <v/>
      </c>
      <c r="I668">
        <f t="shared" si="32"/>
        <v>1613</v>
      </c>
    </row>
    <row r="669" spans="1:9" x14ac:dyDescent="0.2">
      <c r="A669" t="str">
        <f t="shared" si="30"/>
        <v/>
      </c>
      <c r="B669" s="20">
        <v>2023</v>
      </c>
      <c r="C669" s="21" t="s">
        <v>81</v>
      </c>
      <c r="D669" s="21" t="s">
        <v>81</v>
      </c>
      <c r="E669" s="23">
        <v>215687</v>
      </c>
      <c r="F669" s="20">
        <v>2886703.5060000001</v>
      </c>
      <c r="G669" s="30">
        <f t="shared" si="31"/>
        <v>3102390.5060000001</v>
      </c>
      <c r="H669" t="str">
        <f>IFERROR(VLOOKUP(C669,Sheet1!$B$2:$C$25,2,FALSE),"")</f>
        <v/>
      </c>
      <c r="I669">
        <f t="shared" si="32"/>
        <v>1613</v>
      </c>
    </row>
    <row r="670" spans="1:9" x14ac:dyDescent="0.2">
      <c r="A670" t="str">
        <f t="shared" si="30"/>
        <v/>
      </c>
      <c r="B670" s="20">
        <v>2015</v>
      </c>
      <c r="C670" s="21" t="s">
        <v>82</v>
      </c>
      <c r="D670" s="21" t="s">
        <v>82</v>
      </c>
      <c r="E670" s="23">
        <v>3303</v>
      </c>
      <c r="F670" s="20">
        <v>51814.33872</v>
      </c>
      <c r="G670" s="30">
        <f t="shared" si="31"/>
        <v>55117.33872</v>
      </c>
      <c r="H670" t="str">
        <f>IFERROR(VLOOKUP(C670,Sheet1!$B$2:$C$25,2,FALSE),"")</f>
        <v/>
      </c>
      <c r="I670">
        <f t="shared" si="32"/>
        <v>1613</v>
      </c>
    </row>
    <row r="671" spans="1:9" x14ac:dyDescent="0.2">
      <c r="A671" t="str">
        <f t="shared" si="30"/>
        <v/>
      </c>
      <c r="B671" s="20">
        <v>2016</v>
      </c>
      <c r="C671" s="21" t="s">
        <v>82</v>
      </c>
      <c r="D671" s="21" t="s">
        <v>82</v>
      </c>
      <c r="E671" s="23">
        <v>2704</v>
      </c>
      <c r="F671" s="20">
        <v>42206.297680000003</v>
      </c>
      <c r="G671" s="30">
        <f t="shared" si="31"/>
        <v>44910.297680000003</v>
      </c>
      <c r="H671" t="str">
        <f>IFERROR(VLOOKUP(C671,Sheet1!$B$2:$C$25,2,FALSE),"")</f>
        <v/>
      </c>
      <c r="I671">
        <f t="shared" si="32"/>
        <v>1613</v>
      </c>
    </row>
    <row r="672" spans="1:9" x14ac:dyDescent="0.2">
      <c r="A672" t="str">
        <f t="shared" si="30"/>
        <v/>
      </c>
      <c r="B672" s="20">
        <v>2017</v>
      </c>
      <c r="C672" s="21" t="s">
        <v>82</v>
      </c>
      <c r="D672" s="21" t="s">
        <v>82</v>
      </c>
      <c r="E672" s="23">
        <v>2559</v>
      </c>
      <c r="F672" s="20">
        <v>42301.292020000001</v>
      </c>
      <c r="G672" s="30">
        <f t="shared" si="31"/>
        <v>44860.292020000001</v>
      </c>
      <c r="H672" t="str">
        <f>IFERROR(VLOOKUP(C672,Sheet1!$B$2:$C$25,2,FALSE),"")</f>
        <v/>
      </c>
      <c r="I672">
        <f t="shared" si="32"/>
        <v>1613</v>
      </c>
    </row>
    <row r="673" spans="1:9" x14ac:dyDescent="0.2">
      <c r="A673" t="str">
        <f t="shared" si="30"/>
        <v/>
      </c>
      <c r="B673" s="20">
        <v>2018</v>
      </c>
      <c r="C673" s="21" t="s">
        <v>82</v>
      </c>
      <c r="D673" s="21" t="s">
        <v>82</v>
      </c>
      <c r="E673" s="23">
        <v>2774</v>
      </c>
      <c r="F673" s="20">
        <v>41738.449950000002</v>
      </c>
      <c r="G673" s="30">
        <f t="shared" si="31"/>
        <v>44512.449950000002</v>
      </c>
      <c r="H673" t="str">
        <f>IFERROR(VLOOKUP(C673,Sheet1!$B$2:$C$25,2,FALSE),"")</f>
        <v/>
      </c>
      <c r="I673">
        <f t="shared" si="32"/>
        <v>1613</v>
      </c>
    </row>
    <row r="674" spans="1:9" x14ac:dyDescent="0.2">
      <c r="A674" t="str">
        <f t="shared" si="30"/>
        <v/>
      </c>
      <c r="B674" s="20">
        <v>2019</v>
      </c>
      <c r="C674" s="21" t="s">
        <v>82</v>
      </c>
      <c r="D674" s="21" t="s">
        <v>82</v>
      </c>
      <c r="E674" s="23">
        <v>3047</v>
      </c>
      <c r="F674" s="20">
        <v>43840.59734</v>
      </c>
      <c r="G674" s="30">
        <f t="shared" si="31"/>
        <v>46887.59734</v>
      </c>
      <c r="H674" t="str">
        <f>IFERROR(VLOOKUP(C674,Sheet1!$B$2:$C$25,2,FALSE),"")</f>
        <v/>
      </c>
      <c r="I674">
        <f t="shared" si="32"/>
        <v>1613</v>
      </c>
    </row>
    <row r="675" spans="1:9" x14ac:dyDescent="0.2">
      <c r="A675" t="str">
        <f t="shared" si="30"/>
        <v/>
      </c>
      <c r="B675" s="20">
        <v>2020</v>
      </c>
      <c r="C675" s="21" t="s">
        <v>82</v>
      </c>
      <c r="D675" s="21" t="s">
        <v>82</v>
      </c>
      <c r="E675" s="23">
        <v>3324</v>
      </c>
      <c r="F675" s="20">
        <v>46467.342380000002</v>
      </c>
      <c r="G675" s="30">
        <f t="shared" si="31"/>
        <v>49791.342380000002</v>
      </c>
      <c r="H675" t="str">
        <f>IFERROR(VLOOKUP(C675,Sheet1!$B$2:$C$25,2,FALSE),"")</f>
        <v/>
      </c>
      <c r="I675">
        <f t="shared" si="32"/>
        <v>1613</v>
      </c>
    </row>
    <row r="676" spans="1:9" x14ac:dyDescent="0.2">
      <c r="A676" t="str">
        <f t="shared" si="30"/>
        <v/>
      </c>
      <c r="B676" s="20">
        <v>2021</v>
      </c>
      <c r="C676" s="21" t="s">
        <v>82</v>
      </c>
      <c r="D676" s="21" t="s">
        <v>82</v>
      </c>
      <c r="E676" s="23">
        <v>3889</v>
      </c>
      <c r="F676" s="20">
        <v>50766.948389999998</v>
      </c>
      <c r="G676" s="30">
        <f t="shared" si="31"/>
        <v>54655.948389999998</v>
      </c>
      <c r="H676" t="str">
        <f>IFERROR(VLOOKUP(C676,Sheet1!$B$2:$C$25,2,FALSE),"")</f>
        <v/>
      </c>
      <c r="I676">
        <f t="shared" si="32"/>
        <v>1613</v>
      </c>
    </row>
    <row r="677" spans="1:9" x14ac:dyDescent="0.2">
      <c r="A677" t="str">
        <f t="shared" si="30"/>
        <v/>
      </c>
      <c r="B677" s="20">
        <v>2022</v>
      </c>
      <c r="C677" s="21" t="s">
        <v>82</v>
      </c>
      <c r="D677" s="21" t="s">
        <v>82</v>
      </c>
      <c r="E677" s="23">
        <v>4162</v>
      </c>
      <c r="F677" s="20">
        <v>57217.187059999997</v>
      </c>
      <c r="G677" s="30">
        <f t="shared" si="31"/>
        <v>61379.187059999997</v>
      </c>
      <c r="H677" t="str">
        <f>IFERROR(VLOOKUP(C677,Sheet1!$B$2:$C$25,2,FALSE),"")</f>
        <v/>
      </c>
      <c r="I677">
        <f t="shared" si="32"/>
        <v>1613</v>
      </c>
    </row>
    <row r="678" spans="1:9" x14ac:dyDescent="0.2">
      <c r="A678" t="str">
        <f t="shared" si="30"/>
        <v/>
      </c>
      <c r="B678" s="20">
        <v>2023</v>
      </c>
      <c r="C678" s="21" t="s">
        <v>82</v>
      </c>
      <c r="D678" s="21" t="s">
        <v>82</v>
      </c>
      <c r="E678" s="23">
        <v>4462</v>
      </c>
      <c r="F678" s="20">
        <v>59718.346700000002</v>
      </c>
      <c r="G678" s="30">
        <f t="shared" si="31"/>
        <v>64180.346700000002</v>
      </c>
      <c r="H678" t="str">
        <f>IFERROR(VLOOKUP(C678,Sheet1!$B$2:$C$25,2,FALSE),"")</f>
        <v/>
      </c>
      <c r="I678">
        <f t="shared" si="32"/>
        <v>1613</v>
      </c>
    </row>
    <row r="679" spans="1:9" x14ac:dyDescent="0.2">
      <c r="A679" t="str">
        <f t="shared" si="30"/>
        <v/>
      </c>
      <c r="B679" s="20">
        <v>2015</v>
      </c>
      <c r="C679" s="21" t="s">
        <v>83</v>
      </c>
      <c r="D679" s="21" t="s">
        <v>83</v>
      </c>
      <c r="E679" s="23">
        <v>358495</v>
      </c>
      <c r="F679" s="20">
        <v>5623730.3550000004</v>
      </c>
      <c r="G679" s="30">
        <f t="shared" si="31"/>
        <v>5982225.3550000004</v>
      </c>
      <c r="H679" t="str">
        <f>IFERROR(VLOOKUP(C679,Sheet1!$B$2:$C$25,2,FALSE),"")</f>
        <v/>
      </c>
      <c r="I679">
        <f t="shared" si="32"/>
        <v>1613</v>
      </c>
    </row>
    <row r="680" spans="1:9" x14ac:dyDescent="0.2">
      <c r="A680" t="str">
        <f t="shared" si="30"/>
        <v/>
      </c>
      <c r="B680" s="20">
        <v>2016</v>
      </c>
      <c r="C680" s="21" t="s">
        <v>83</v>
      </c>
      <c r="D680" s="21" t="s">
        <v>83</v>
      </c>
      <c r="E680" s="23">
        <v>329793</v>
      </c>
      <c r="F680" s="20">
        <v>5147685.477</v>
      </c>
      <c r="G680" s="30">
        <f t="shared" si="31"/>
        <v>5477478.477</v>
      </c>
      <c r="H680" t="str">
        <f>IFERROR(VLOOKUP(C680,Sheet1!$B$2:$C$25,2,FALSE),"")</f>
        <v/>
      </c>
      <c r="I680">
        <f t="shared" si="32"/>
        <v>1613</v>
      </c>
    </row>
    <row r="681" spans="1:9" x14ac:dyDescent="0.2">
      <c r="A681" t="str">
        <f t="shared" si="30"/>
        <v/>
      </c>
      <c r="B681" s="20">
        <v>2017</v>
      </c>
      <c r="C681" s="21" t="s">
        <v>83</v>
      </c>
      <c r="D681" s="21" t="s">
        <v>83</v>
      </c>
      <c r="E681" s="23">
        <v>343635</v>
      </c>
      <c r="F681" s="20">
        <v>5680423.7910000002</v>
      </c>
      <c r="G681" s="30">
        <f t="shared" si="31"/>
        <v>6024058.7910000002</v>
      </c>
      <c r="H681" t="str">
        <f>IFERROR(VLOOKUP(C681,Sheet1!$B$2:$C$25,2,FALSE),"")</f>
        <v/>
      </c>
      <c r="I681">
        <f t="shared" si="32"/>
        <v>1613</v>
      </c>
    </row>
    <row r="682" spans="1:9" x14ac:dyDescent="0.2">
      <c r="A682" t="str">
        <f t="shared" si="30"/>
        <v/>
      </c>
      <c r="B682" s="20">
        <v>2018</v>
      </c>
      <c r="C682" s="21" t="s">
        <v>83</v>
      </c>
      <c r="D682" s="21" t="s">
        <v>210</v>
      </c>
      <c r="E682" s="23">
        <v>385300</v>
      </c>
      <c r="F682" s="20">
        <v>5797341.2999999998</v>
      </c>
      <c r="G682" s="30">
        <f t="shared" si="31"/>
        <v>6182641.2999999998</v>
      </c>
      <c r="H682" t="str">
        <f>IFERROR(VLOOKUP(C682,Sheet1!$B$2:$C$25,2,FALSE),"")</f>
        <v/>
      </c>
      <c r="I682">
        <f t="shared" si="32"/>
        <v>1613</v>
      </c>
    </row>
    <row r="683" spans="1:9" x14ac:dyDescent="0.2">
      <c r="A683" t="str">
        <f t="shared" si="30"/>
        <v/>
      </c>
      <c r="B683" s="20">
        <v>2019</v>
      </c>
      <c r="C683" s="21" t="s">
        <v>83</v>
      </c>
      <c r="D683" s="21" t="s">
        <v>83</v>
      </c>
      <c r="E683" s="23">
        <v>383230</v>
      </c>
      <c r="F683" s="20">
        <v>5513958.6869999999</v>
      </c>
      <c r="G683" s="30">
        <f t="shared" si="31"/>
        <v>5897188.6869999999</v>
      </c>
      <c r="H683" t="str">
        <f>IFERROR(VLOOKUP(C683,Sheet1!$B$2:$C$25,2,FALSE),"")</f>
        <v/>
      </c>
      <c r="I683">
        <f t="shared" si="32"/>
        <v>1613</v>
      </c>
    </row>
    <row r="684" spans="1:9" x14ac:dyDescent="0.2">
      <c r="A684" t="str">
        <f t="shared" si="30"/>
        <v/>
      </c>
      <c r="B684" s="20">
        <v>2020</v>
      </c>
      <c r="C684" s="21" t="s">
        <v>83</v>
      </c>
      <c r="D684" s="21" t="s">
        <v>83</v>
      </c>
      <c r="E684" s="23">
        <v>420881</v>
      </c>
      <c r="F684" s="20">
        <v>5883640.6519999998</v>
      </c>
      <c r="G684" s="30">
        <f t="shared" si="31"/>
        <v>6304521.6519999998</v>
      </c>
      <c r="H684" t="str">
        <f>IFERROR(VLOOKUP(C684,Sheet1!$B$2:$C$25,2,FALSE),"")</f>
        <v/>
      </c>
      <c r="I684">
        <f t="shared" si="32"/>
        <v>1613</v>
      </c>
    </row>
    <row r="685" spans="1:9" x14ac:dyDescent="0.2">
      <c r="A685" t="str">
        <f t="shared" si="30"/>
        <v/>
      </c>
      <c r="B685" s="20">
        <v>2021</v>
      </c>
      <c r="C685" s="21" t="s">
        <v>83</v>
      </c>
      <c r="D685" s="21" t="s">
        <v>83</v>
      </c>
      <c r="E685" s="23">
        <v>481304</v>
      </c>
      <c r="F685" s="20">
        <v>6282935.2860000003</v>
      </c>
      <c r="G685" s="30">
        <f t="shared" si="31"/>
        <v>6764239.2860000003</v>
      </c>
      <c r="H685" t="str">
        <f>IFERROR(VLOOKUP(C685,Sheet1!$B$2:$C$25,2,FALSE),"")</f>
        <v/>
      </c>
      <c r="I685">
        <f t="shared" si="32"/>
        <v>1613</v>
      </c>
    </row>
    <row r="686" spans="1:9" x14ac:dyDescent="0.2">
      <c r="A686" t="str">
        <f t="shared" si="30"/>
        <v/>
      </c>
      <c r="B686" s="20">
        <v>2022</v>
      </c>
      <c r="C686" s="21" t="s">
        <v>83</v>
      </c>
      <c r="D686" s="21" t="s">
        <v>83</v>
      </c>
      <c r="E686" s="23">
        <v>518302</v>
      </c>
      <c r="F686" s="20">
        <v>7125368.21</v>
      </c>
      <c r="G686" s="30">
        <f t="shared" si="31"/>
        <v>7643670.21</v>
      </c>
      <c r="H686" t="str">
        <f>IFERROR(VLOOKUP(C686,Sheet1!$B$2:$C$25,2,FALSE),"")</f>
        <v/>
      </c>
      <c r="I686">
        <f t="shared" si="32"/>
        <v>1613</v>
      </c>
    </row>
    <row r="687" spans="1:9" x14ac:dyDescent="0.2">
      <c r="A687" t="str">
        <f t="shared" si="30"/>
        <v/>
      </c>
      <c r="B687" s="20">
        <v>2023</v>
      </c>
      <c r="C687" s="21" t="s">
        <v>83</v>
      </c>
      <c r="D687" s="21" t="s">
        <v>83</v>
      </c>
      <c r="E687" s="23">
        <v>575415</v>
      </c>
      <c r="F687" s="20">
        <v>7701217.4960000003</v>
      </c>
      <c r="G687" s="30">
        <f t="shared" si="31"/>
        <v>8276632.4960000003</v>
      </c>
      <c r="H687" t="str">
        <f>IFERROR(VLOOKUP(C687,Sheet1!$B$2:$C$25,2,FALSE),"")</f>
        <v/>
      </c>
      <c r="I687">
        <f t="shared" si="32"/>
        <v>1613</v>
      </c>
    </row>
    <row r="688" spans="1:9" x14ac:dyDescent="0.2">
      <c r="A688" t="str">
        <f t="shared" si="30"/>
        <v/>
      </c>
      <c r="B688" s="20">
        <v>2015</v>
      </c>
      <c r="C688" s="21" t="s">
        <v>84</v>
      </c>
      <c r="D688" s="21" t="s">
        <v>84</v>
      </c>
      <c r="E688" s="23">
        <v>17541</v>
      </c>
      <c r="F688" s="20">
        <v>275166.61080000002</v>
      </c>
      <c r="G688" s="30">
        <f t="shared" si="31"/>
        <v>292707.61080000002</v>
      </c>
      <c r="H688" t="str">
        <f>IFERROR(VLOOKUP(C688,Sheet1!$B$2:$C$25,2,FALSE),"")</f>
        <v/>
      </c>
      <c r="I688">
        <f t="shared" si="32"/>
        <v>1613</v>
      </c>
    </row>
    <row r="689" spans="1:9" x14ac:dyDescent="0.2">
      <c r="A689" t="str">
        <f t="shared" si="30"/>
        <v/>
      </c>
      <c r="B689" s="20">
        <v>2016</v>
      </c>
      <c r="C689" s="21" t="s">
        <v>84</v>
      </c>
      <c r="D689" s="21" t="s">
        <v>84</v>
      </c>
      <c r="E689" s="23">
        <v>19115</v>
      </c>
      <c r="F689" s="20">
        <v>298362.93640000001</v>
      </c>
      <c r="G689" s="30">
        <f t="shared" si="31"/>
        <v>317477.93640000001</v>
      </c>
      <c r="H689" t="str">
        <f>IFERROR(VLOOKUP(C689,Sheet1!$B$2:$C$25,2,FALSE),"")</f>
        <v/>
      </c>
      <c r="I689">
        <f t="shared" si="32"/>
        <v>1613</v>
      </c>
    </row>
    <row r="690" spans="1:9" x14ac:dyDescent="0.2">
      <c r="A690" t="str">
        <f t="shared" si="30"/>
        <v/>
      </c>
      <c r="B690" s="20">
        <v>2017</v>
      </c>
      <c r="C690" s="21" t="s">
        <v>84</v>
      </c>
      <c r="D690" s="21" t="s">
        <v>84</v>
      </c>
      <c r="E690" s="23">
        <v>21582</v>
      </c>
      <c r="F690" s="20">
        <v>356759.07939999999</v>
      </c>
      <c r="G690" s="30">
        <f t="shared" si="31"/>
        <v>378341.07939999999</v>
      </c>
      <c r="H690" t="str">
        <f>IFERROR(VLOOKUP(C690,Sheet1!$B$2:$C$25,2,FALSE),"")</f>
        <v/>
      </c>
      <c r="I690">
        <f t="shared" si="32"/>
        <v>1613</v>
      </c>
    </row>
    <row r="691" spans="1:9" x14ac:dyDescent="0.2">
      <c r="A691" t="str">
        <f t="shared" si="30"/>
        <v/>
      </c>
      <c r="B691" s="20">
        <v>2018</v>
      </c>
      <c r="C691" s="21" t="s">
        <v>84</v>
      </c>
      <c r="D691" s="21" t="s">
        <v>84</v>
      </c>
      <c r="E691" s="23">
        <v>22377</v>
      </c>
      <c r="F691" s="20">
        <v>336691.16600000003</v>
      </c>
      <c r="G691" s="30">
        <f t="shared" si="31"/>
        <v>359068.16600000003</v>
      </c>
      <c r="H691" t="str">
        <f>IFERROR(VLOOKUP(C691,Sheet1!$B$2:$C$25,2,FALSE),"")</f>
        <v/>
      </c>
      <c r="I691">
        <f t="shared" si="32"/>
        <v>1613</v>
      </c>
    </row>
    <row r="692" spans="1:9" x14ac:dyDescent="0.2">
      <c r="A692" t="str">
        <f t="shared" si="30"/>
        <v/>
      </c>
      <c r="B692" s="20">
        <v>2019</v>
      </c>
      <c r="C692" s="21" t="s">
        <v>84</v>
      </c>
      <c r="D692" s="21" t="s">
        <v>84</v>
      </c>
      <c r="E692" s="23">
        <v>22401</v>
      </c>
      <c r="F692" s="20">
        <v>322308.24449999997</v>
      </c>
      <c r="G692" s="30">
        <f t="shared" si="31"/>
        <v>344709.24449999997</v>
      </c>
      <c r="H692" t="str">
        <f>IFERROR(VLOOKUP(C692,Sheet1!$B$2:$C$25,2,FALSE),"")</f>
        <v/>
      </c>
      <c r="I692">
        <f t="shared" si="32"/>
        <v>1613</v>
      </c>
    </row>
    <row r="693" spans="1:9" x14ac:dyDescent="0.2">
      <c r="A693" t="str">
        <f t="shared" si="30"/>
        <v/>
      </c>
      <c r="B693" s="20">
        <v>2020</v>
      </c>
      <c r="C693" s="21" t="s">
        <v>84</v>
      </c>
      <c r="D693" s="21" t="s">
        <v>84</v>
      </c>
      <c r="E693" s="23">
        <v>24365</v>
      </c>
      <c r="F693" s="20">
        <v>340606.73800000001</v>
      </c>
      <c r="G693" s="30">
        <f t="shared" si="31"/>
        <v>364971.73800000001</v>
      </c>
      <c r="H693" t="str">
        <f>IFERROR(VLOOKUP(C693,Sheet1!$B$2:$C$25,2,FALSE),"")</f>
        <v/>
      </c>
      <c r="I693">
        <f t="shared" si="32"/>
        <v>1613</v>
      </c>
    </row>
    <row r="694" spans="1:9" x14ac:dyDescent="0.2">
      <c r="A694" t="str">
        <f t="shared" si="30"/>
        <v/>
      </c>
      <c r="B694" s="20">
        <v>2021</v>
      </c>
      <c r="C694" s="21" t="s">
        <v>84</v>
      </c>
      <c r="D694" s="21" t="s">
        <v>84</v>
      </c>
      <c r="E694" s="23">
        <v>26626</v>
      </c>
      <c r="F694" s="20">
        <v>347575.40960000001</v>
      </c>
      <c r="G694" s="30">
        <f t="shared" si="31"/>
        <v>374201.40960000001</v>
      </c>
      <c r="H694" t="str">
        <f>IFERROR(VLOOKUP(C694,Sheet1!$B$2:$C$25,2,FALSE),"")</f>
        <v/>
      </c>
      <c r="I694">
        <f t="shared" si="32"/>
        <v>1613</v>
      </c>
    </row>
    <row r="695" spans="1:9" x14ac:dyDescent="0.2">
      <c r="A695" t="str">
        <f t="shared" si="30"/>
        <v/>
      </c>
      <c r="B695" s="20">
        <v>2022</v>
      </c>
      <c r="C695" s="21" t="s">
        <v>84</v>
      </c>
      <c r="D695" s="21" t="s">
        <v>84</v>
      </c>
      <c r="E695" s="23">
        <v>27176</v>
      </c>
      <c r="F695" s="20">
        <v>373602.66110000003</v>
      </c>
      <c r="G695" s="30">
        <f t="shared" si="31"/>
        <v>400778.66110000003</v>
      </c>
      <c r="H695" t="str">
        <f>IFERROR(VLOOKUP(C695,Sheet1!$B$2:$C$25,2,FALSE),"")</f>
        <v/>
      </c>
      <c r="I695">
        <f t="shared" si="32"/>
        <v>1613</v>
      </c>
    </row>
    <row r="696" spans="1:9" x14ac:dyDescent="0.2">
      <c r="A696" t="str">
        <f t="shared" si="30"/>
        <v/>
      </c>
      <c r="B696" s="20">
        <v>2023</v>
      </c>
      <c r="C696" s="21" t="s">
        <v>84</v>
      </c>
      <c r="D696" s="21" t="s">
        <v>84</v>
      </c>
      <c r="E696" s="23">
        <v>28242</v>
      </c>
      <c r="F696" s="20">
        <v>377984.21059999999</v>
      </c>
      <c r="G696" s="30">
        <f t="shared" si="31"/>
        <v>406226.21059999999</v>
      </c>
      <c r="H696" t="str">
        <f>IFERROR(VLOOKUP(C696,Sheet1!$B$2:$C$25,2,FALSE),"")</f>
        <v/>
      </c>
      <c r="I696">
        <f t="shared" si="32"/>
        <v>1613</v>
      </c>
    </row>
    <row r="697" spans="1:9" x14ac:dyDescent="0.2">
      <c r="A697">
        <f t="shared" si="30"/>
        <v>2400360</v>
      </c>
      <c r="B697" s="20">
        <v>2015</v>
      </c>
      <c r="C697" s="21" t="s">
        <v>85</v>
      </c>
      <c r="D697" s="21" t="s">
        <v>85</v>
      </c>
      <c r="E697" s="23">
        <v>329429</v>
      </c>
      <c r="F697" s="20">
        <v>5167770.449</v>
      </c>
      <c r="G697" s="30">
        <f t="shared" si="31"/>
        <v>5497199.449</v>
      </c>
      <c r="H697">
        <f>IFERROR(VLOOKUP(C697,Sheet1!$B$2:$C$25,2,FALSE),"")</f>
        <v>2400360</v>
      </c>
      <c r="I697">
        <f t="shared" si="32"/>
        <v>9</v>
      </c>
    </row>
    <row r="698" spans="1:9" x14ac:dyDescent="0.2">
      <c r="A698">
        <f t="shared" si="30"/>
        <v>2400360</v>
      </c>
      <c r="B698" s="20">
        <v>2016</v>
      </c>
      <c r="C698" s="21" t="s">
        <v>85</v>
      </c>
      <c r="D698" s="21" t="s">
        <v>85</v>
      </c>
      <c r="E698" s="23">
        <v>316062</v>
      </c>
      <c r="F698" s="20">
        <v>4933360.5240000002</v>
      </c>
      <c r="G698" s="30">
        <f t="shared" si="31"/>
        <v>5249422.5240000002</v>
      </c>
      <c r="H698">
        <f>IFERROR(VLOOKUP(C698,Sheet1!$B$2:$C$25,2,FALSE),"")</f>
        <v>2400360</v>
      </c>
      <c r="I698">
        <f t="shared" si="32"/>
        <v>9</v>
      </c>
    </row>
    <row r="699" spans="1:9" x14ac:dyDescent="0.2">
      <c r="A699">
        <f t="shared" si="30"/>
        <v>2400360</v>
      </c>
      <c r="B699" s="20">
        <v>2017</v>
      </c>
      <c r="C699" s="21" t="s">
        <v>85</v>
      </c>
      <c r="D699" s="21" t="s">
        <v>85</v>
      </c>
      <c r="E699" s="23">
        <v>312321</v>
      </c>
      <c r="F699" s="20">
        <v>5162790.8650000002</v>
      </c>
      <c r="G699" s="30">
        <f t="shared" si="31"/>
        <v>5475111.8650000002</v>
      </c>
      <c r="H699">
        <f>IFERROR(VLOOKUP(C699,Sheet1!$B$2:$C$25,2,FALSE),"")</f>
        <v>2400360</v>
      </c>
      <c r="I699">
        <f t="shared" si="32"/>
        <v>9</v>
      </c>
    </row>
    <row r="700" spans="1:9" x14ac:dyDescent="0.2">
      <c r="A700">
        <f t="shared" si="30"/>
        <v>2400360</v>
      </c>
      <c r="B700" s="20">
        <v>2018</v>
      </c>
      <c r="C700" s="21" t="s">
        <v>85</v>
      </c>
      <c r="D700" s="21" t="s">
        <v>85</v>
      </c>
      <c r="E700" s="23">
        <v>328540</v>
      </c>
      <c r="F700" s="20">
        <v>4943313.0310000004</v>
      </c>
      <c r="G700" s="30">
        <f t="shared" si="31"/>
        <v>5271853.0310000004</v>
      </c>
      <c r="H700">
        <f>IFERROR(VLOOKUP(C700,Sheet1!$B$2:$C$25,2,FALSE),"")</f>
        <v>2400360</v>
      </c>
      <c r="I700">
        <f t="shared" si="32"/>
        <v>9</v>
      </c>
    </row>
    <row r="701" spans="1:9" x14ac:dyDescent="0.2">
      <c r="A701">
        <f t="shared" si="30"/>
        <v>2400360</v>
      </c>
      <c r="B701" s="20">
        <v>2019</v>
      </c>
      <c r="C701" s="21" t="s">
        <v>85</v>
      </c>
      <c r="D701" s="21" t="s">
        <v>85</v>
      </c>
      <c r="E701" s="23">
        <v>347147</v>
      </c>
      <c r="F701" s="20">
        <v>4994792.2039999999</v>
      </c>
      <c r="G701" s="30">
        <f t="shared" si="31"/>
        <v>5341939.2039999999</v>
      </c>
      <c r="H701">
        <f>IFERROR(VLOOKUP(C701,Sheet1!$B$2:$C$25,2,FALSE),"")</f>
        <v>2400360</v>
      </c>
      <c r="I701">
        <f t="shared" si="32"/>
        <v>9</v>
      </c>
    </row>
    <row r="702" spans="1:9" x14ac:dyDescent="0.2">
      <c r="A702">
        <f t="shared" si="30"/>
        <v>2400360</v>
      </c>
      <c r="B702" s="20">
        <v>2020</v>
      </c>
      <c r="C702" s="21" t="s">
        <v>85</v>
      </c>
      <c r="D702" s="21" t="s">
        <v>85</v>
      </c>
      <c r="E702" s="23">
        <v>352126</v>
      </c>
      <c r="F702" s="20">
        <v>4922490.7949999999</v>
      </c>
      <c r="G702" s="30">
        <f t="shared" si="31"/>
        <v>5274616.7949999999</v>
      </c>
      <c r="H702">
        <f>IFERROR(VLOOKUP(C702,Sheet1!$B$2:$C$25,2,FALSE),"")</f>
        <v>2400360</v>
      </c>
      <c r="I702">
        <f t="shared" si="32"/>
        <v>9</v>
      </c>
    </row>
    <row r="703" spans="1:9" x14ac:dyDescent="0.2">
      <c r="A703">
        <f t="shared" si="30"/>
        <v>2400360</v>
      </c>
      <c r="B703" s="20">
        <v>2021</v>
      </c>
      <c r="C703" s="21" t="s">
        <v>85</v>
      </c>
      <c r="D703" s="21" t="s">
        <v>85</v>
      </c>
      <c r="E703" s="23">
        <v>411250</v>
      </c>
      <c r="F703" s="20">
        <v>5368451.4079999998</v>
      </c>
      <c r="G703" s="30">
        <f t="shared" si="31"/>
        <v>5779701.4079999998</v>
      </c>
      <c r="H703">
        <f>IFERROR(VLOOKUP(C703,Sheet1!$B$2:$C$25,2,FALSE),"")</f>
        <v>2400360</v>
      </c>
      <c r="I703">
        <f t="shared" si="32"/>
        <v>9</v>
      </c>
    </row>
    <row r="704" spans="1:9" x14ac:dyDescent="0.2">
      <c r="A704">
        <f t="shared" si="30"/>
        <v>2400360</v>
      </c>
      <c r="B704" s="20">
        <v>2022</v>
      </c>
      <c r="C704" s="21" t="s">
        <v>85</v>
      </c>
      <c r="D704" s="21" t="s">
        <v>85</v>
      </c>
      <c r="E704" s="23">
        <v>370263</v>
      </c>
      <c r="F704" s="20">
        <v>5090198.7829999998</v>
      </c>
      <c r="G704" s="30">
        <f t="shared" si="31"/>
        <v>5460461.7829999998</v>
      </c>
      <c r="H704">
        <f>IFERROR(VLOOKUP(C704,Sheet1!$B$2:$C$25,2,FALSE),"")</f>
        <v>2400360</v>
      </c>
      <c r="I704">
        <f t="shared" si="32"/>
        <v>9</v>
      </c>
    </row>
    <row r="705" spans="1:9" x14ac:dyDescent="0.2">
      <c r="A705">
        <f t="shared" si="30"/>
        <v>2400360</v>
      </c>
      <c r="B705" s="20">
        <v>2023</v>
      </c>
      <c r="C705" s="21" t="s">
        <v>85</v>
      </c>
      <c r="D705" s="21" t="s">
        <v>85</v>
      </c>
      <c r="E705" s="23">
        <v>417383</v>
      </c>
      <c r="F705" s="20">
        <v>5586154.7970000003</v>
      </c>
      <c r="G705" s="30">
        <f t="shared" si="31"/>
        <v>6003537.7970000003</v>
      </c>
      <c r="H705">
        <f>IFERROR(VLOOKUP(C705,Sheet1!$B$2:$C$25,2,FALSE),"")</f>
        <v>2400360</v>
      </c>
      <c r="I705">
        <f t="shared" si="32"/>
        <v>9</v>
      </c>
    </row>
    <row r="706" spans="1:9" x14ac:dyDescent="0.2">
      <c r="A706" t="str">
        <f t="shared" si="30"/>
        <v/>
      </c>
      <c r="B706" s="20">
        <v>2015</v>
      </c>
      <c r="C706" s="21" t="s">
        <v>86</v>
      </c>
      <c r="D706" s="21" t="s">
        <v>86</v>
      </c>
      <c r="E706" s="23">
        <v>25810</v>
      </c>
      <c r="F706" s="20">
        <v>404882.85879999999</v>
      </c>
      <c r="G706" s="30">
        <f t="shared" si="31"/>
        <v>430692.85879999999</v>
      </c>
      <c r="H706" t="str">
        <f>IFERROR(VLOOKUP(C706,Sheet1!$B$2:$C$25,2,FALSE),"")</f>
        <v/>
      </c>
      <c r="I706">
        <f t="shared" si="32"/>
        <v>1613</v>
      </c>
    </row>
    <row r="707" spans="1:9" x14ac:dyDescent="0.2">
      <c r="A707" t="str">
        <f t="shared" ref="A707:A770" si="33">H707</f>
        <v/>
      </c>
      <c r="B707" s="20">
        <v>2016</v>
      </c>
      <c r="C707" s="21" t="s">
        <v>86</v>
      </c>
      <c r="D707" s="21" t="s">
        <v>86</v>
      </c>
      <c r="E707" s="23">
        <v>22009</v>
      </c>
      <c r="F707" s="20">
        <v>343534.91330000001</v>
      </c>
      <c r="G707" s="30">
        <f t="shared" ref="G707:G770" si="34">SUM(E707:F707)</f>
        <v>365543.91330000001</v>
      </c>
      <c r="H707" t="str">
        <f>IFERROR(VLOOKUP(C707,Sheet1!$B$2:$C$25,2,FALSE),"")</f>
        <v/>
      </c>
      <c r="I707">
        <f t="shared" ref="I707:I770" si="35">COUNTIF($H$2:$H$1812,H707)</f>
        <v>1613</v>
      </c>
    </row>
    <row r="708" spans="1:9" x14ac:dyDescent="0.2">
      <c r="A708" t="str">
        <f t="shared" si="33"/>
        <v/>
      </c>
      <c r="B708" s="20">
        <v>2017</v>
      </c>
      <c r="C708" s="21" t="s">
        <v>86</v>
      </c>
      <c r="D708" s="21" t="s">
        <v>86</v>
      </c>
      <c r="E708" s="23">
        <v>16919</v>
      </c>
      <c r="F708" s="20">
        <v>279677.82709999999</v>
      </c>
      <c r="G708" s="30">
        <f t="shared" si="34"/>
        <v>296596.82709999999</v>
      </c>
      <c r="H708" t="str">
        <f>IFERROR(VLOOKUP(C708,Sheet1!$B$2:$C$25,2,FALSE),"")</f>
        <v/>
      </c>
      <c r="I708">
        <f t="shared" si="35"/>
        <v>1613</v>
      </c>
    </row>
    <row r="709" spans="1:9" x14ac:dyDescent="0.2">
      <c r="A709" t="str">
        <f t="shared" si="33"/>
        <v/>
      </c>
      <c r="B709" s="20">
        <v>2018</v>
      </c>
      <c r="C709" s="21" t="s">
        <v>86</v>
      </c>
      <c r="D709" s="21" t="s">
        <v>86</v>
      </c>
      <c r="E709" s="23">
        <v>18136</v>
      </c>
      <c r="F709" s="20">
        <v>272879.7867</v>
      </c>
      <c r="G709" s="30">
        <f t="shared" si="34"/>
        <v>291015.7867</v>
      </c>
      <c r="H709" t="str">
        <f>IFERROR(VLOOKUP(C709,Sheet1!$B$2:$C$25,2,FALSE),"")</f>
        <v/>
      </c>
      <c r="I709">
        <f t="shared" si="35"/>
        <v>1613</v>
      </c>
    </row>
    <row r="710" spans="1:9" x14ac:dyDescent="0.2">
      <c r="A710" t="str">
        <f t="shared" si="33"/>
        <v/>
      </c>
      <c r="B710" s="20">
        <v>2019</v>
      </c>
      <c r="C710" s="21" t="s">
        <v>86</v>
      </c>
      <c r="D710" s="21" t="s">
        <v>86</v>
      </c>
      <c r="E710" s="23">
        <v>19704</v>
      </c>
      <c r="F710" s="20">
        <v>283503.48869999999</v>
      </c>
      <c r="G710" s="30">
        <f t="shared" si="34"/>
        <v>303207.48869999999</v>
      </c>
      <c r="H710" t="str">
        <f>IFERROR(VLOOKUP(C710,Sheet1!$B$2:$C$25,2,FALSE),"")</f>
        <v/>
      </c>
      <c r="I710">
        <f t="shared" si="35"/>
        <v>1613</v>
      </c>
    </row>
    <row r="711" spans="1:9" x14ac:dyDescent="0.2">
      <c r="A711" t="str">
        <f t="shared" si="33"/>
        <v/>
      </c>
      <c r="B711" s="20">
        <v>2020</v>
      </c>
      <c r="C711" s="21" t="s">
        <v>86</v>
      </c>
      <c r="D711" s="21" t="s">
        <v>86</v>
      </c>
      <c r="E711" s="23">
        <v>15983</v>
      </c>
      <c r="F711" s="20">
        <v>223431.86919999999</v>
      </c>
      <c r="G711" s="30">
        <f t="shared" si="34"/>
        <v>239414.86919999999</v>
      </c>
      <c r="H711" t="str">
        <f>IFERROR(VLOOKUP(C711,Sheet1!$B$2:$C$25,2,FALSE),"")</f>
        <v/>
      </c>
      <c r="I711">
        <f t="shared" si="35"/>
        <v>1613</v>
      </c>
    </row>
    <row r="712" spans="1:9" x14ac:dyDescent="0.2">
      <c r="A712" t="str">
        <f t="shared" si="33"/>
        <v/>
      </c>
      <c r="B712" s="20">
        <v>2021</v>
      </c>
      <c r="C712" s="21" t="s">
        <v>86</v>
      </c>
      <c r="D712" s="21" t="s">
        <v>86</v>
      </c>
      <c r="E712" s="23">
        <v>18935</v>
      </c>
      <c r="F712" s="20">
        <v>247177.2095</v>
      </c>
      <c r="G712" s="30">
        <f t="shared" si="34"/>
        <v>266112.2095</v>
      </c>
      <c r="H712" t="str">
        <f>IFERROR(VLOOKUP(C712,Sheet1!$B$2:$C$25,2,FALSE),"")</f>
        <v/>
      </c>
      <c r="I712">
        <f t="shared" si="35"/>
        <v>1613</v>
      </c>
    </row>
    <row r="713" spans="1:9" x14ac:dyDescent="0.2">
      <c r="A713" t="str">
        <f t="shared" si="33"/>
        <v/>
      </c>
      <c r="B713" s="20">
        <v>2022</v>
      </c>
      <c r="C713" s="21" t="s">
        <v>86</v>
      </c>
      <c r="D713" s="21" t="s">
        <v>86</v>
      </c>
      <c r="E713" s="23">
        <v>20755</v>
      </c>
      <c r="F713" s="20">
        <v>285329.82160000002</v>
      </c>
      <c r="G713" s="30">
        <f t="shared" si="34"/>
        <v>306084.82160000002</v>
      </c>
      <c r="H713" t="str">
        <f>IFERROR(VLOOKUP(C713,Sheet1!$B$2:$C$25,2,FALSE),"")</f>
        <v/>
      </c>
      <c r="I713">
        <f t="shared" si="35"/>
        <v>1613</v>
      </c>
    </row>
    <row r="714" spans="1:9" x14ac:dyDescent="0.2">
      <c r="A714" t="str">
        <f t="shared" si="33"/>
        <v/>
      </c>
      <c r="B714" s="20">
        <v>2023</v>
      </c>
      <c r="C714" s="21" t="s">
        <v>86</v>
      </c>
      <c r="D714" s="21" t="s">
        <v>86</v>
      </c>
      <c r="E714" s="23">
        <v>22252</v>
      </c>
      <c r="F714" s="20">
        <v>297815.47529999999</v>
      </c>
      <c r="G714" s="30">
        <f t="shared" si="34"/>
        <v>320067.47529999999</v>
      </c>
      <c r="H714" t="str">
        <f>IFERROR(VLOOKUP(C714,Sheet1!$B$2:$C$25,2,FALSE),"")</f>
        <v/>
      </c>
      <c r="I714">
        <f t="shared" si="35"/>
        <v>1613</v>
      </c>
    </row>
    <row r="715" spans="1:9" x14ac:dyDescent="0.2">
      <c r="A715" t="str">
        <f t="shared" si="33"/>
        <v/>
      </c>
      <c r="B715" s="20">
        <v>2015</v>
      </c>
      <c r="C715" s="21" t="s">
        <v>88</v>
      </c>
      <c r="D715" s="21" t="s">
        <v>88</v>
      </c>
      <c r="E715" s="23">
        <v>699067</v>
      </c>
      <c r="F715" s="20">
        <v>10966301.640000001</v>
      </c>
      <c r="G715" s="30">
        <f t="shared" si="34"/>
        <v>11665368.640000001</v>
      </c>
      <c r="H715" t="str">
        <f>IFERROR(VLOOKUP(C715,Sheet1!$B$2:$C$25,2,FALSE),"")</f>
        <v/>
      </c>
      <c r="I715">
        <f t="shared" si="35"/>
        <v>1613</v>
      </c>
    </row>
    <row r="716" spans="1:9" x14ac:dyDescent="0.2">
      <c r="A716" t="str">
        <f t="shared" si="33"/>
        <v/>
      </c>
      <c r="B716" s="20">
        <v>2016</v>
      </c>
      <c r="C716" s="21" t="s">
        <v>88</v>
      </c>
      <c r="D716" s="21" t="s">
        <v>88</v>
      </c>
      <c r="E716" s="23">
        <v>599428</v>
      </c>
      <c r="F716" s="20">
        <v>9356374.4839999992</v>
      </c>
      <c r="G716" s="30">
        <f t="shared" si="34"/>
        <v>9955802.4839999992</v>
      </c>
      <c r="H716" t="str">
        <f>IFERROR(VLOOKUP(C716,Sheet1!$B$2:$C$25,2,FALSE),"")</f>
        <v/>
      </c>
      <c r="I716">
        <f t="shared" si="35"/>
        <v>1613</v>
      </c>
    </row>
    <row r="717" spans="1:9" x14ac:dyDescent="0.2">
      <c r="A717" t="str">
        <f t="shared" si="33"/>
        <v/>
      </c>
      <c r="B717" s="20">
        <v>2017</v>
      </c>
      <c r="C717" s="21" t="s">
        <v>88</v>
      </c>
      <c r="D717" s="21" t="s">
        <v>88</v>
      </c>
      <c r="E717" s="23">
        <v>587085</v>
      </c>
      <c r="F717" s="20">
        <v>9704749.5209999997</v>
      </c>
      <c r="G717" s="30">
        <f t="shared" si="34"/>
        <v>10291834.521</v>
      </c>
      <c r="H717" t="str">
        <f>IFERROR(VLOOKUP(C717,Sheet1!$B$2:$C$25,2,FALSE),"")</f>
        <v/>
      </c>
      <c r="I717">
        <f t="shared" si="35"/>
        <v>1613</v>
      </c>
    </row>
    <row r="718" spans="1:9" x14ac:dyDescent="0.2">
      <c r="A718" t="str">
        <f t="shared" si="33"/>
        <v/>
      </c>
      <c r="B718" s="20">
        <v>2018</v>
      </c>
      <c r="C718" s="21" t="s">
        <v>88</v>
      </c>
      <c r="D718" s="21" t="s">
        <v>88</v>
      </c>
      <c r="E718" s="23">
        <v>664573</v>
      </c>
      <c r="F718" s="20">
        <v>9999368.0250000004</v>
      </c>
      <c r="G718" s="30">
        <f t="shared" si="34"/>
        <v>10663941.025</v>
      </c>
      <c r="H718" t="str">
        <f>IFERROR(VLOOKUP(C718,Sheet1!$B$2:$C$25,2,FALSE),"")</f>
        <v/>
      </c>
      <c r="I718">
        <f t="shared" si="35"/>
        <v>1613</v>
      </c>
    </row>
    <row r="719" spans="1:9" x14ac:dyDescent="0.2">
      <c r="A719" t="str">
        <f t="shared" si="33"/>
        <v/>
      </c>
      <c r="B719" s="20">
        <v>2019</v>
      </c>
      <c r="C719" s="21" t="s">
        <v>88</v>
      </c>
      <c r="D719" s="21" t="s">
        <v>88</v>
      </c>
      <c r="E719" s="23">
        <v>694883</v>
      </c>
      <c r="F719" s="20">
        <v>9998059.0099999998</v>
      </c>
      <c r="G719" s="30">
        <f t="shared" si="34"/>
        <v>10692942.01</v>
      </c>
      <c r="H719" t="str">
        <f>IFERROR(VLOOKUP(C719,Sheet1!$B$2:$C$25,2,FALSE),"")</f>
        <v/>
      </c>
      <c r="I719">
        <f t="shared" si="35"/>
        <v>1613</v>
      </c>
    </row>
    <row r="720" spans="1:9" x14ac:dyDescent="0.2">
      <c r="A720" t="str">
        <f t="shared" si="33"/>
        <v/>
      </c>
      <c r="B720" s="20">
        <v>2020</v>
      </c>
      <c r="C720" s="21" t="s">
        <v>88</v>
      </c>
      <c r="D720" s="21" t="s">
        <v>88</v>
      </c>
      <c r="E720" s="23">
        <v>768515</v>
      </c>
      <c r="F720" s="20">
        <v>10743336.23</v>
      </c>
      <c r="G720" s="30">
        <f t="shared" si="34"/>
        <v>11511851.23</v>
      </c>
      <c r="H720" t="str">
        <f>IFERROR(VLOOKUP(C720,Sheet1!$B$2:$C$25,2,FALSE),"")</f>
        <v/>
      </c>
      <c r="I720">
        <f t="shared" si="35"/>
        <v>1613</v>
      </c>
    </row>
    <row r="721" spans="1:9" x14ac:dyDescent="0.2">
      <c r="A721" t="str">
        <f t="shared" si="33"/>
        <v/>
      </c>
      <c r="B721" s="20">
        <v>2021</v>
      </c>
      <c r="C721" s="21" t="s">
        <v>88</v>
      </c>
      <c r="D721" s="21" t="s">
        <v>88</v>
      </c>
      <c r="E721" s="23">
        <v>863670</v>
      </c>
      <c r="F721" s="20">
        <v>11274335.390000001</v>
      </c>
      <c r="G721" s="30">
        <f t="shared" si="34"/>
        <v>12138005.390000001</v>
      </c>
      <c r="H721" t="str">
        <f>IFERROR(VLOOKUP(C721,Sheet1!$B$2:$C$25,2,FALSE),"")</f>
        <v/>
      </c>
      <c r="I721">
        <f t="shared" si="35"/>
        <v>1613</v>
      </c>
    </row>
    <row r="722" spans="1:9" x14ac:dyDescent="0.2">
      <c r="A722" t="str">
        <f t="shared" si="33"/>
        <v/>
      </c>
      <c r="B722" s="20">
        <v>2022</v>
      </c>
      <c r="C722" s="21" t="s">
        <v>88</v>
      </c>
      <c r="D722" s="21" t="s">
        <v>88</v>
      </c>
      <c r="E722" s="23">
        <v>884081</v>
      </c>
      <c r="F722" s="20">
        <v>12153923.1</v>
      </c>
      <c r="G722" s="30">
        <f t="shared" si="34"/>
        <v>13038004.1</v>
      </c>
      <c r="H722" t="str">
        <f>IFERROR(VLOOKUP(C722,Sheet1!$B$2:$C$25,2,FALSE),"")</f>
        <v/>
      </c>
      <c r="I722">
        <f t="shared" si="35"/>
        <v>1613</v>
      </c>
    </row>
    <row r="723" spans="1:9" x14ac:dyDescent="0.2">
      <c r="A723" t="str">
        <f t="shared" si="33"/>
        <v/>
      </c>
      <c r="B723" s="20">
        <v>2023</v>
      </c>
      <c r="C723" s="21" t="s">
        <v>88</v>
      </c>
      <c r="D723" s="21" t="s">
        <v>88</v>
      </c>
      <c r="E723" s="23">
        <v>903305</v>
      </c>
      <c r="F723" s="20">
        <v>12089619.27</v>
      </c>
      <c r="G723" s="30">
        <f t="shared" si="34"/>
        <v>12992924.27</v>
      </c>
      <c r="H723" t="str">
        <f>IFERROR(VLOOKUP(C723,Sheet1!$B$2:$C$25,2,FALSE),"")</f>
        <v/>
      </c>
      <c r="I723">
        <f t="shared" si="35"/>
        <v>1613</v>
      </c>
    </row>
    <row r="724" spans="1:9" x14ac:dyDescent="0.2">
      <c r="A724" t="str">
        <f t="shared" si="33"/>
        <v/>
      </c>
      <c r="B724" s="20">
        <v>2015</v>
      </c>
      <c r="C724" s="21" t="s">
        <v>89</v>
      </c>
      <c r="D724" s="21" t="s">
        <v>89</v>
      </c>
      <c r="E724" s="23">
        <v>867848</v>
      </c>
      <c r="F724" s="20">
        <v>13613978.27</v>
      </c>
      <c r="G724" s="30">
        <f t="shared" si="34"/>
        <v>14481826.27</v>
      </c>
      <c r="H724" t="str">
        <f>IFERROR(VLOOKUP(C724,Sheet1!$B$2:$C$25,2,FALSE),"")</f>
        <v/>
      </c>
      <c r="I724">
        <f t="shared" si="35"/>
        <v>1613</v>
      </c>
    </row>
    <row r="725" spans="1:9" x14ac:dyDescent="0.2">
      <c r="A725" t="str">
        <f t="shared" si="33"/>
        <v/>
      </c>
      <c r="B725" s="20">
        <v>2016</v>
      </c>
      <c r="C725" s="21" t="s">
        <v>89</v>
      </c>
      <c r="D725" s="21" t="s">
        <v>89</v>
      </c>
      <c r="E725" s="23">
        <v>974784</v>
      </c>
      <c r="F725" s="20">
        <v>15215245.439999999</v>
      </c>
      <c r="G725" s="30">
        <f t="shared" si="34"/>
        <v>16190029.439999999</v>
      </c>
      <c r="H725" t="str">
        <f>IFERROR(VLOOKUP(C725,Sheet1!$B$2:$C$25,2,FALSE),"")</f>
        <v/>
      </c>
      <c r="I725">
        <f t="shared" si="35"/>
        <v>1613</v>
      </c>
    </row>
    <row r="726" spans="1:9" x14ac:dyDescent="0.2">
      <c r="A726" t="str">
        <f t="shared" si="33"/>
        <v/>
      </c>
      <c r="B726" s="20">
        <v>2017</v>
      </c>
      <c r="C726" s="21" t="s">
        <v>89</v>
      </c>
      <c r="D726" s="21" t="s">
        <v>89</v>
      </c>
      <c r="E726" s="23">
        <v>977174</v>
      </c>
      <c r="F726" s="20">
        <v>16153076.48</v>
      </c>
      <c r="G726" s="30">
        <f t="shared" si="34"/>
        <v>17130250.48</v>
      </c>
      <c r="H726" t="str">
        <f>IFERROR(VLOOKUP(C726,Sheet1!$B$2:$C$25,2,FALSE),"")</f>
        <v/>
      </c>
      <c r="I726">
        <f t="shared" si="35"/>
        <v>1613</v>
      </c>
    </row>
    <row r="727" spans="1:9" x14ac:dyDescent="0.2">
      <c r="A727" t="str">
        <f t="shared" si="33"/>
        <v/>
      </c>
      <c r="B727" s="20">
        <v>2018</v>
      </c>
      <c r="C727" s="21" t="s">
        <v>89</v>
      </c>
      <c r="D727" s="21" t="s">
        <v>89</v>
      </c>
      <c r="E727" s="23">
        <v>984906</v>
      </c>
      <c r="F727" s="20">
        <v>14819196.029999999</v>
      </c>
      <c r="G727" s="30">
        <f t="shared" si="34"/>
        <v>15804102.029999999</v>
      </c>
      <c r="H727" t="str">
        <f>IFERROR(VLOOKUP(C727,Sheet1!$B$2:$C$25,2,FALSE),"")</f>
        <v/>
      </c>
      <c r="I727">
        <f t="shared" si="35"/>
        <v>1613</v>
      </c>
    </row>
    <row r="728" spans="1:9" x14ac:dyDescent="0.2">
      <c r="A728" t="str">
        <f t="shared" si="33"/>
        <v/>
      </c>
      <c r="B728" s="20">
        <v>2019</v>
      </c>
      <c r="C728" s="21" t="s">
        <v>89</v>
      </c>
      <c r="D728" s="21" t="s">
        <v>89</v>
      </c>
      <c r="E728" s="23">
        <v>1061954</v>
      </c>
      <c r="F728" s="20">
        <v>15279520.09</v>
      </c>
      <c r="G728" s="30">
        <f t="shared" si="34"/>
        <v>16341474.09</v>
      </c>
      <c r="H728" t="str">
        <f>IFERROR(VLOOKUP(C728,Sheet1!$B$2:$C$25,2,FALSE),"")</f>
        <v/>
      </c>
      <c r="I728">
        <f t="shared" si="35"/>
        <v>1613</v>
      </c>
    </row>
    <row r="729" spans="1:9" x14ac:dyDescent="0.2">
      <c r="A729" t="str">
        <f t="shared" si="33"/>
        <v/>
      </c>
      <c r="B729" s="20">
        <v>2020</v>
      </c>
      <c r="C729" s="21" t="s">
        <v>89</v>
      </c>
      <c r="D729" s="21" t="s">
        <v>89</v>
      </c>
      <c r="E729" s="23">
        <v>1068664</v>
      </c>
      <c r="F729" s="20">
        <v>14939222.619999999</v>
      </c>
      <c r="G729" s="30">
        <f t="shared" si="34"/>
        <v>16007886.619999999</v>
      </c>
      <c r="H729" t="str">
        <f>IFERROR(VLOOKUP(C729,Sheet1!$B$2:$C$25,2,FALSE),"")</f>
        <v/>
      </c>
      <c r="I729">
        <f t="shared" si="35"/>
        <v>1613</v>
      </c>
    </row>
    <row r="730" spans="1:9" x14ac:dyDescent="0.2">
      <c r="A730" t="str">
        <f t="shared" si="33"/>
        <v/>
      </c>
      <c r="B730" s="20">
        <v>2021</v>
      </c>
      <c r="C730" s="21" t="s">
        <v>89</v>
      </c>
      <c r="D730" s="21" t="s">
        <v>89</v>
      </c>
      <c r="E730" s="23">
        <v>1167113</v>
      </c>
      <c r="F730" s="20">
        <v>15235475.810000001</v>
      </c>
      <c r="G730" s="30">
        <f t="shared" si="34"/>
        <v>16402588.810000001</v>
      </c>
      <c r="H730" t="str">
        <f>IFERROR(VLOOKUP(C730,Sheet1!$B$2:$C$25,2,FALSE),"")</f>
        <v/>
      </c>
      <c r="I730">
        <f t="shared" si="35"/>
        <v>1613</v>
      </c>
    </row>
    <row r="731" spans="1:9" x14ac:dyDescent="0.2">
      <c r="A731" t="str">
        <f t="shared" si="33"/>
        <v/>
      </c>
      <c r="B731" s="20">
        <v>2022</v>
      </c>
      <c r="C731" s="21" t="s">
        <v>89</v>
      </c>
      <c r="D731" s="21" t="s">
        <v>89</v>
      </c>
      <c r="E731" s="23">
        <v>1160405</v>
      </c>
      <c r="F731" s="20">
        <v>15952693.41</v>
      </c>
      <c r="G731" s="30">
        <f t="shared" si="34"/>
        <v>17113098.41</v>
      </c>
      <c r="H731" t="str">
        <f>IFERROR(VLOOKUP(C731,Sheet1!$B$2:$C$25,2,FALSE),"")</f>
        <v/>
      </c>
      <c r="I731">
        <f t="shared" si="35"/>
        <v>1613</v>
      </c>
    </row>
    <row r="732" spans="1:9" x14ac:dyDescent="0.2">
      <c r="A732" t="str">
        <f t="shared" si="33"/>
        <v/>
      </c>
      <c r="B732" s="20">
        <v>2023</v>
      </c>
      <c r="C732" s="21" t="s">
        <v>89</v>
      </c>
      <c r="D732" s="21" t="s">
        <v>89</v>
      </c>
      <c r="E732" s="23">
        <v>1288299</v>
      </c>
      <c r="F732" s="20">
        <v>17242287.390000001</v>
      </c>
      <c r="G732" s="30">
        <f t="shared" si="34"/>
        <v>18530586.390000001</v>
      </c>
      <c r="H732" t="str">
        <f>IFERROR(VLOOKUP(C732,Sheet1!$B$2:$C$25,2,FALSE),"")</f>
        <v/>
      </c>
      <c r="I732">
        <f t="shared" si="35"/>
        <v>1613</v>
      </c>
    </row>
    <row r="733" spans="1:9" x14ac:dyDescent="0.2">
      <c r="A733" t="str">
        <f t="shared" si="33"/>
        <v/>
      </c>
      <c r="B733" s="20">
        <v>2015</v>
      </c>
      <c r="C733" s="21" t="s">
        <v>90</v>
      </c>
      <c r="D733" s="21" t="s">
        <v>90</v>
      </c>
      <c r="E733" s="23">
        <v>38928</v>
      </c>
      <c r="F733" s="20">
        <v>610665.63060000003</v>
      </c>
      <c r="G733" s="30">
        <f t="shared" si="34"/>
        <v>649593.63060000003</v>
      </c>
      <c r="H733" t="str">
        <f>IFERROR(VLOOKUP(C733,Sheet1!$B$2:$C$25,2,FALSE),"")</f>
        <v/>
      </c>
      <c r="I733">
        <f t="shared" si="35"/>
        <v>1613</v>
      </c>
    </row>
    <row r="734" spans="1:9" x14ac:dyDescent="0.2">
      <c r="A734" t="str">
        <f t="shared" si="33"/>
        <v/>
      </c>
      <c r="B734" s="20">
        <v>2016</v>
      </c>
      <c r="C734" s="21" t="s">
        <v>90</v>
      </c>
      <c r="D734" s="21" t="s">
        <v>90</v>
      </c>
      <c r="E734" s="23">
        <v>35566</v>
      </c>
      <c r="F734" s="20">
        <v>555143.92870000005</v>
      </c>
      <c r="G734" s="30">
        <f t="shared" si="34"/>
        <v>590709.92870000005</v>
      </c>
      <c r="H734" t="str">
        <f>IFERROR(VLOOKUP(C734,Sheet1!$B$2:$C$25,2,FALSE),"")</f>
        <v/>
      </c>
      <c r="I734">
        <f t="shared" si="35"/>
        <v>1613</v>
      </c>
    </row>
    <row r="735" spans="1:9" x14ac:dyDescent="0.2">
      <c r="A735" t="str">
        <f t="shared" si="33"/>
        <v/>
      </c>
      <c r="B735" s="20">
        <v>2017</v>
      </c>
      <c r="C735" s="21" t="s">
        <v>90</v>
      </c>
      <c r="D735" s="21" t="s">
        <v>90</v>
      </c>
      <c r="E735" s="23">
        <v>34868</v>
      </c>
      <c r="F735" s="20">
        <v>576381.9656</v>
      </c>
      <c r="G735" s="30">
        <f t="shared" si="34"/>
        <v>611249.9656</v>
      </c>
      <c r="H735" t="str">
        <f>IFERROR(VLOOKUP(C735,Sheet1!$B$2:$C$25,2,FALSE),"")</f>
        <v/>
      </c>
      <c r="I735">
        <f t="shared" si="35"/>
        <v>1613</v>
      </c>
    </row>
    <row r="736" spans="1:9" x14ac:dyDescent="0.2">
      <c r="A736" t="str">
        <f t="shared" si="33"/>
        <v/>
      </c>
      <c r="B736" s="20">
        <v>2018</v>
      </c>
      <c r="C736" s="21" t="s">
        <v>90</v>
      </c>
      <c r="D736" s="21" t="s">
        <v>90</v>
      </c>
      <c r="E736" s="23">
        <v>34564</v>
      </c>
      <c r="F736" s="20">
        <v>520060.48460000003</v>
      </c>
      <c r="G736" s="30">
        <f t="shared" si="34"/>
        <v>554624.48460000008</v>
      </c>
      <c r="H736" t="str">
        <f>IFERROR(VLOOKUP(C736,Sheet1!$B$2:$C$25,2,FALSE),"")</f>
        <v/>
      </c>
      <c r="I736">
        <f t="shared" si="35"/>
        <v>1613</v>
      </c>
    </row>
    <row r="737" spans="1:9" x14ac:dyDescent="0.2">
      <c r="A737" t="str">
        <f t="shared" si="33"/>
        <v/>
      </c>
      <c r="B737" s="20">
        <v>2019</v>
      </c>
      <c r="C737" s="21" t="s">
        <v>90</v>
      </c>
      <c r="D737" s="21" t="s">
        <v>90</v>
      </c>
      <c r="E737" s="23">
        <v>44267</v>
      </c>
      <c r="F737" s="20">
        <v>636918.8456</v>
      </c>
      <c r="G737" s="30">
        <f t="shared" si="34"/>
        <v>681185.8456</v>
      </c>
      <c r="H737" t="str">
        <f>IFERROR(VLOOKUP(C737,Sheet1!$B$2:$C$25,2,FALSE),"")</f>
        <v/>
      </c>
      <c r="I737">
        <f t="shared" si="35"/>
        <v>1613</v>
      </c>
    </row>
    <row r="738" spans="1:9" x14ac:dyDescent="0.2">
      <c r="A738" t="str">
        <f t="shared" si="33"/>
        <v/>
      </c>
      <c r="B738" s="20">
        <v>2020</v>
      </c>
      <c r="C738" s="21" t="s">
        <v>90</v>
      </c>
      <c r="D738" s="21" t="s">
        <v>90</v>
      </c>
      <c r="E738" s="23">
        <v>58399</v>
      </c>
      <c r="F738" s="20">
        <v>816379.76159999997</v>
      </c>
      <c r="G738" s="30">
        <f t="shared" si="34"/>
        <v>874778.76159999997</v>
      </c>
      <c r="H738" t="str">
        <f>IFERROR(VLOOKUP(C738,Sheet1!$B$2:$C$25,2,FALSE),"")</f>
        <v/>
      </c>
      <c r="I738">
        <f t="shared" si="35"/>
        <v>1613</v>
      </c>
    </row>
    <row r="739" spans="1:9" x14ac:dyDescent="0.2">
      <c r="A739" t="str">
        <f t="shared" si="33"/>
        <v/>
      </c>
      <c r="B739" s="20">
        <v>2021</v>
      </c>
      <c r="C739" s="21" t="s">
        <v>90</v>
      </c>
      <c r="D739" s="21" t="s">
        <v>90</v>
      </c>
      <c r="E739" s="23">
        <v>54357</v>
      </c>
      <c r="F739" s="20">
        <v>709575.47270000004</v>
      </c>
      <c r="G739" s="30">
        <f t="shared" si="34"/>
        <v>763932.47270000004</v>
      </c>
      <c r="H739" t="str">
        <f>IFERROR(VLOOKUP(C739,Sheet1!$B$2:$C$25,2,FALSE),"")</f>
        <v/>
      </c>
      <c r="I739">
        <f t="shared" si="35"/>
        <v>1613</v>
      </c>
    </row>
    <row r="740" spans="1:9" x14ac:dyDescent="0.2">
      <c r="A740" t="str">
        <f t="shared" si="33"/>
        <v/>
      </c>
      <c r="B740" s="20">
        <v>2022</v>
      </c>
      <c r="C740" s="21" t="s">
        <v>90</v>
      </c>
      <c r="D740" s="21" t="s">
        <v>90</v>
      </c>
      <c r="E740" s="23">
        <v>55599</v>
      </c>
      <c r="F740" s="20">
        <v>764348.48239999998</v>
      </c>
      <c r="G740" s="30">
        <f t="shared" si="34"/>
        <v>819947.48239999998</v>
      </c>
      <c r="H740" t="str">
        <f>IFERROR(VLOOKUP(C740,Sheet1!$B$2:$C$25,2,FALSE),"")</f>
        <v/>
      </c>
      <c r="I740">
        <f t="shared" si="35"/>
        <v>1613</v>
      </c>
    </row>
    <row r="741" spans="1:9" x14ac:dyDescent="0.2">
      <c r="A741" t="str">
        <f t="shared" si="33"/>
        <v/>
      </c>
      <c r="B741" s="20">
        <v>2023</v>
      </c>
      <c r="C741" s="21" t="s">
        <v>90</v>
      </c>
      <c r="D741" s="21" t="s">
        <v>90</v>
      </c>
      <c r="E741" s="23">
        <v>66291</v>
      </c>
      <c r="F741" s="20">
        <v>887222.97649999999</v>
      </c>
      <c r="G741" s="30">
        <f t="shared" si="34"/>
        <v>953513.97649999999</v>
      </c>
      <c r="H741" t="str">
        <f>IFERROR(VLOOKUP(C741,Sheet1!$B$2:$C$25,2,FALSE),"")</f>
        <v/>
      </c>
      <c r="I741">
        <f t="shared" si="35"/>
        <v>1613</v>
      </c>
    </row>
    <row r="742" spans="1:9" x14ac:dyDescent="0.2">
      <c r="A742" t="str">
        <f t="shared" si="33"/>
        <v/>
      </c>
      <c r="B742" s="20">
        <v>2015</v>
      </c>
      <c r="C742" s="21" t="s">
        <v>91</v>
      </c>
      <c r="D742" s="21" t="s">
        <v>91</v>
      </c>
      <c r="E742" s="23">
        <v>155698</v>
      </c>
      <c r="F742" s="20">
        <v>2442442.9040000001</v>
      </c>
      <c r="G742" s="30">
        <f t="shared" si="34"/>
        <v>2598140.9040000001</v>
      </c>
      <c r="H742" t="str">
        <f>IFERROR(VLOOKUP(C742,Sheet1!$B$2:$C$25,2,FALSE),"")</f>
        <v/>
      </c>
      <c r="I742">
        <f t="shared" si="35"/>
        <v>1613</v>
      </c>
    </row>
    <row r="743" spans="1:9" x14ac:dyDescent="0.2">
      <c r="A743" t="str">
        <f t="shared" si="33"/>
        <v/>
      </c>
      <c r="B743" s="20">
        <v>2016</v>
      </c>
      <c r="C743" s="21" t="s">
        <v>91</v>
      </c>
      <c r="D743" s="21" t="s">
        <v>91</v>
      </c>
      <c r="E743" s="23">
        <v>152439</v>
      </c>
      <c r="F743" s="20">
        <v>2379395.64</v>
      </c>
      <c r="G743" s="30">
        <f t="shared" si="34"/>
        <v>2531834.64</v>
      </c>
      <c r="H743" t="str">
        <f>IFERROR(VLOOKUP(C743,Sheet1!$B$2:$C$25,2,FALSE),"")</f>
        <v/>
      </c>
      <c r="I743">
        <f t="shared" si="35"/>
        <v>1613</v>
      </c>
    </row>
    <row r="744" spans="1:9" x14ac:dyDescent="0.2">
      <c r="A744" t="str">
        <f t="shared" si="33"/>
        <v/>
      </c>
      <c r="B744" s="20">
        <v>2017</v>
      </c>
      <c r="C744" s="21" t="s">
        <v>91</v>
      </c>
      <c r="D744" s="21" t="s">
        <v>91</v>
      </c>
      <c r="E744" s="23">
        <v>157699</v>
      </c>
      <c r="F744" s="20">
        <v>2606827.452</v>
      </c>
      <c r="G744" s="30">
        <f t="shared" si="34"/>
        <v>2764526.452</v>
      </c>
      <c r="H744" t="str">
        <f>IFERROR(VLOOKUP(C744,Sheet1!$B$2:$C$25,2,FALSE),"")</f>
        <v/>
      </c>
      <c r="I744">
        <f t="shared" si="35"/>
        <v>1613</v>
      </c>
    </row>
    <row r="745" spans="1:9" x14ac:dyDescent="0.2">
      <c r="A745" t="str">
        <f t="shared" si="33"/>
        <v/>
      </c>
      <c r="B745" s="20">
        <v>2018</v>
      </c>
      <c r="C745" s="21" t="s">
        <v>91</v>
      </c>
      <c r="D745" s="21" t="s">
        <v>91</v>
      </c>
      <c r="E745" s="23">
        <v>176364</v>
      </c>
      <c r="F745" s="20">
        <v>2653626.5279999999</v>
      </c>
      <c r="G745" s="30">
        <f t="shared" si="34"/>
        <v>2829990.5279999999</v>
      </c>
      <c r="H745" t="str">
        <f>IFERROR(VLOOKUP(C745,Sheet1!$B$2:$C$25,2,FALSE),"")</f>
        <v/>
      </c>
      <c r="I745">
        <f t="shared" si="35"/>
        <v>1613</v>
      </c>
    </row>
    <row r="746" spans="1:9" x14ac:dyDescent="0.2">
      <c r="A746" t="str">
        <f t="shared" si="33"/>
        <v/>
      </c>
      <c r="B746" s="20">
        <v>2019</v>
      </c>
      <c r="C746" s="21" t="s">
        <v>91</v>
      </c>
      <c r="D746" s="21" t="s">
        <v>91</v>
      </c>
      <c r="E746" s="23">
        <v>195525</v>
      </c>
      <c r="F746" s="20">
        <v>2813236.8870000001</v>
      </c>
      <c r="G746" s="30">
        <f t="shared" si="34"/>
        <v>3008761.8870000001</v>
      </c>
      <c r="H746" t="str">
        <f>IFERROR(VLOOKUP(C746,Sheet1!$B$2:$C$25,2,FALSE),"")</f>
        <v/>
      </c>
      <c r="I746">
        <f t="shared" si="35"/>
        <v>1613</v>
      </c>
    </row>
    <row r="747" spans="1:9" x14ac:dyDescent="0.2">
      <c r="A747" t="str">
        <f t="shared" si="33"/>
        <v/>
      </c>
      <c r="B747" s="20">
        <v>2020</v>
      </c>
      <c r="C747" s="21" t="s">
        <v>91</v>
      </c>
      <c r="D747" s="21" t="s">
        <v>91</v>
      </c>
      <c r="E747" s="23">
        <v>202395</v>
      </c>
      <c r="F747" s="20">
        <v>2829349.5070000002</v>
      </c>
      <c r="G747" s="30">
        <f t="shared" si="34"/>
        <v>3031744.5070000002</v>
      </c>
      <c r="H747" t="str">
        <f>IFERROR(VLOOKUP(C747,Sheet1!$B$2:$C$25,2,FALSE),"")</f>
        <v/>
      </c>
      <c r="I747">
        <f t="shared" si="35"/>
        <v>1613</v>
      </c>
    </row>
    <row r="748" spans="1:9" x14ac:dyDescent="0.2">
      <c r="A748" t="str">
        <f t="shared" si="33"/>
        <v/>
      </c>
      <c r="B748" s="20">
        <v>2021</v>
      </c>
      <c r="C748" s="21" t="s">
        <v>91</v>
      </c>
      <c r="D748" s="21" t="s">
        <v>91</v>
      </c>
      <c r="E748" s="23">
        <v>192827</v>
      </c>
      <c r="F748" s="20">
        <v>2517160.801</v>
      </c>
      <c r="G748" s="30">
        <f t="shared" si="34"/>
        <v>2709987.801</v>
      </c>
      <c r="H748" t="str">
        <f>IFERROR(VLOOKUP(C748,Sheet1!$B$2:$C$25,2,FALSE),"")</f>
        <v/>
      </c>
      <c r="I748">
        <f t="shared" si="35"/>
        <v>1613</v>
      </c>
    </row>
    <row r="749" spans="1:9" x14ac:dyDescent="0.2">
      <c r="A749" t="str">
        <f t="shared" si="33"/>
        <v/>
      </c>
      <c r="B749" s="20">
        <v>2022</v>
      </c>
      <c r="C749" s="21" t="s">
        <v>91</v>
      </c>
      <c r="D749" s="21" t="s">
        <v>91</v>
      </c>
      <c r="E749" s="23">
        <v>196841</v>
      </c>
      <c r="F749" s="20">
        <v>2706076.0019999999</v>
      </c>
      <c r="G749" s="30">
        <f t="shared" si="34"/>
        <v>2902917.0019999999</v>
      </c>
      <c r="H749" t="str">
        <f>IFERROR(VLOOKUP(C749,Sheet1!$B$2:$C$25,2,FALSE),"")</f>
        <v/>
      </c>
      <c r="I749">
        <f t="shared" si="35"/>
        <v>1613</v>
      </c>
    </row>
    <row r="750" spans="1:9" x14ac:dyDescent="0.2">
      <c r="A750" t="str">
        <f t="shared" si="33"/>
        <v/>
      </c>
      <c r="B750" s="20">
        <v>2023</v>
      </c>
      <c r="C750" s="21" t="s">
        <v>91</v>
      </c>
      <c r="D750" s="21" t="s">
        <v>91</v>
      </c>
      <c r="E750" s="23">
        <v>242131</v>
      </c>
      <c r="F750" s="20">
        <v>3240623.713</v>
      </c>
      <c r="G750" s="30">
        <f t="shared" si="34"/>
        <v>3482754.713</v>
      </c>
      <c r="H750" t="str">
        <f>IFERROR(VLOOKUP(C750,Sheet1!$B$2:$C$25,2,FALSE),"")</f>
        <v/>
      </c>
      <c r="I750">
        <f t="shared" si="35"/>
        <v>1613</v>
      </c>
    </row>
    <row r="751" spans="1:9" x14ac:dyDescent="0.2">
      <c r="A751" t="str">
        <f t="shared" si="33"/>
        <v/>
      </c>
      <c r="B751" s="20">
        <v>2015</v>
      </c>
      <c r="C751" s="21" t="s">
        <v>92</v>
      </c>
      <c r="D751" s="21" t="s">
        <v>92</v>
      </c>
      <c r="E751" s="23">
        <v>1824341</v>
      </c>
      <c r="F751" s="20">
        <v>28618535.43</v>
      </c>
      <c r="G751" s="30">
        <f t="shared" si="34"/>
        <v>30442876.43</v>
      </c>
      <c r="H751" t="str">
        <f>IFERROR(VLOOKUP(C751,Sheet1!$B$2:$C$25,2,FALSE),"")</f>
        <v/>
      </c>
      <c r="I751">
        <f t="shared" si="35"/>
        <v>1613</v>
      </c>
    </row>
    <row r="752" spans="1:9" x14ac:dyDescent="0.2">
      <c r="A752" t="str">
        <f t="shared" si="33"/>
        <v/>
      </c>
      <c r="B752" s="20">
        <v>2016</v>
      </c>
      <c r="C752" s="21" t="s">
        <v>92</v>
      </c>
      <c r="D752" s="21" t="s">
        <v>92</v>
      </c>
      <c r="E752" s="23">
        <v>1668108</v>
      </c>
      <c r="F752" s="20">
        <v>26037227.370000001</v>
      </c>
      <c r="G752" s="30">
        <f t="shared" si="34"/>
        <v>27705335.370000001</v>
      </c>
      <c r="H752" t="str">
        <f>IFERROR(VLOOKUP(C752,Sheet1!$B$2:$C$25,2,FALSE),"")</f>
        <v/>
      </c>
      <c r="I752">
        <f t="shared" si="35"/>
        <v>1613</v>
      </c>
    </row>
    <row r="753" spans="1:9" x14ac:dyDescent="0.2">
      <c r="A753" t="str">
        <f t="shared" si="33"/>
        <v/>
      </c>
      <c r="B753" s="20">
        <v>2017</v>
      </c>
      <c r="C753" s="21" t="s">
        <v>92</v>
      </c>
      <c r="D753" s="21" t="s">
        <v>92</v>
      </c>
      <c r="E753" s="23">
        <v>1669720</v>
      </c>
      <c r="F753" s="20">
        <v>27601138.449999999</v>
      </c>
      <c r="G753" s="30">
        <f t="shared" si="34"/>
        <v>29270858.449999999</v>
      </c>
      <c r="H753" t="str">
        <f>IFERROR(VLOOKUP(C753,Sheet1!$B$2:$C$25,2,FALSE),"")</f>
        <v/>
      </c>
      <c r="I753">
        <f t="shared" si="35"/>
        <v>1613</v>
      </c>
    </row>
    <row r="754" spans="1:9" x14ac:dyDescent="0.2">
      <c r="A754" t="str">
        <f t="shared" si="33"/>
        <v/>
      </c>
      <c r="B754" s="20">
        <v>2018</v>
      </c>
      <c r="C754" s="21" t="s">
        <v>92</v>
      </c>
      <c r="D754" s="21" t="s">
        <v>92</v>
      </c>
      <c r="E754" s="23">
        <v>1745574</v>
      </c>
      <c r="F754" s="20">
        <v>26264438.73</v>
      </c>
      <c r="G754" s="30">
        <f t="shared" si="34"/>
        <v>28010012.73</v>
      </c>
      <c r="H754" t="str">
        <f>IFERROR(VLOOKUP(C754,Sheet1!$B$2:$C$25,2,FALSE),"")</f>
        <v/>
      </c>
      <c r="I754">
        <f t="shared" si="35"/>
        <v>1613</v>
      </c>
    </row>
    <row r="755" spans="1:9" x14ac:dyDescent="0.2">
      <c r="A755" t="str">
        <f t="shared" si="33"/>
        <v/>
      </c>
      <c r="B755" s="20">
        <v>2019</v>
      </c>
      <c r="C755" s="21" t="s">
        <v>92</v>
      </c>
      <c r="D755" s="21" t="s">
        <v>92</v>
      </c>
      <c r="E755" s="23">
        <v>1858224</v>
      </c>
      <c r="F755" s="20">
        <v>26736347.280000001</v>
      </c>
      <c r="G755" s="30">
        <f t="shared" si="34"/>
        <v>28594571.280000001</v>
      </c>
      <c r="H755" t="str">
        <f>IFERROR(VLOOKUP(C755,Sheet1!$B$2:$C$25,2,FALSE),"")</f>
        <v/>
      </c>
      <c r="I755">
        <f t="shared" si="35"/>
        <v>1613</v>
      </c>
    </row>
    <row r="756" spans="1:9" x14ac:dyDescent="0.2">
      <c r="A756" t="str">
        <f t="shared" si="33"/>
        <v/>
      </c>
      <c r="B756" s="20">
        <v>2020</v>
      </c>
      <c r="C756" s="21" t="s">
        <v>92</v>
      </c>
      <c r="D756" s="21" t="s">
        <v>92</v>
      </c>
      <c r="E756" s="23">
        <v>1960442</v>
      </c>
      <c r="F756" s="20">
        <v>27405694.829999998</v>
      </c>
      <c r="G756" s="30">
        <f t="shared" si="34"/>
        <v>29366136.829999998</v>
      </c>
      <c r="H756" t="str">
        <f>IFERROR(VLOOKUP(C756,Sheet1!$B$2:$C$25,2,FALSE),"")</f>
        <v/>
      </c>
      <c r="I756">
        <f t="shared" si="35"/>
        <v>1613</v>
      </c>
    </row>
    <row r="757" spans="1:9" x14ac:dyDescent="0.2">
      <c r="A757" t="str">
        <f t="shared" si="33"/>
        <v/>
      </c>
      <c r="B757" s="20">
        <v>2021</v>
      </c>
      <c r="C757" s="21" t="s">
        <v>92</v>
      </c>
      <c r="D757" s="21" t="s">
        <v>92</v>
      </c>
      <c r="E757" s="23">
        <v>2124501</v>
      </c>
      <c r="F757" s="20">
        <v>27733204.579999998</v>
      </c>
      <c r="G757" s="30">
        <f t="shared" si="34"/>
        <v>29857705.579999998</v>
      </c>
      <c r="H757" t="str">
        <f>IFERROR(VLOOKUP(C757,Sheet1!$B$2:$C$25,2,FALSE),"")</f>
        <v/>
      </c>
      <c r="I757">
        <f t="shared" si="35"/>
        <v>1613</v>
      </c>
    </row>
    <row r="758" spans="1:9" x14ac:dyDescent="0.2">
      <c r="A758" t="str">
        <f t="shared" si="33"/>
        <v/>
      </c>
      <c r="B758" s="20">
        <v>2022</v>
      </c>
      <c r="C758" s="21" t="s">
        <v>92</v>
      </c>
      <c r="D758" s="21" t="s">
        <v>92</v>
      </c>
      <c r="E758" s="23">
        <v>2164277</v>
      </c>
      <c r="F758" s="20">
        <v>29753445.93</v>
      </c>
      <c r="G758" s="30">
        <f t="shared" si="34"/>
        <v>31917722.93</v>
      </c>
      <c r="H758" t="str">
        <f>IFERROR(VLOOKUP(C758,Sheet1!$B$2:$C$25,2,FALSE),"")</f>
        <v/>
      </c>
      <c r="I758">
        <f t="shared" si="35"/>
        <v>1613</v>
      </c>
    </row>
    <row r="759" spans="1:9" x14ac:dyDescent="0.2">
      <c r="A759" t="str">
        <f t="shared" si="33"/>
        <v/>
      </c>
      <c r="B759" s="20">
        <v>2023</v>
      </c>
      <c r="C759" s="21" t="s">
        <v>92</v>
      </c>
      <c r="D759" s="21" t="s">
        <v>92</v>
      </c>
      <c r="E759" s="23">
        <v>2256948</v>
      </c>
      <c r="F759" s="20">
        <v>30206455.210000001</v>
      </c>
      <c r="G759" s="30">
        <f t="shared" si="34"/>
        <v>32463403.210000001</v>
      </c>
      <c r="H759" t="str">
        <f>IFERROR(VLOOKUP(C759,Sheet1!$B$2:$C$25,2,FALSE),"")</f>
        <v/>
      </c>
      <c r="I759">
        <f t="shared" si="35"/>
        <v>1613</v>
      </c>
    </row>
    <row r="760" spans="1:9" x14ac:dyDescent="0.2">
      <c r="A760" t="str">
        <f t="shared" si="33"/>
        <v/>
      </c>
      <c r="B760" s="20">
        <v>2015</v>
      </c>
      <c r="C760" s="21" t="s">
        <v>93</v>
      </c>
      <c r="D760" s="21" t="s">
        <v>93</v>
      </c>
      <c r="E760" s="23">
        <v>89015</v>
      </c>
      <c r="F760" s="20">
        <v>1396383.095</v>
      </c>
      <c r="G760" s="30">
        <f t="shared" si="34"/>
        <v>1485398.095</v>
      </c>
      <c r="H760" t="str">
        <f>IFERROR(VLOOKUP(C760,Sheet1!$B$2:$C$25,2,FALSE),"")</f>
        <v/>
      </c>
      <c r="I760">
        <f t="shared" si="35"/>
        <v>1613</v>
      </c>
    </row>
    <row r="761" spans="1:9" x14ac:dyDescent="0.2">
      <c r="A761" t="str">
        <f t="shared" si="33"/>
        <v/>
      </c>
      <c r="B761" s="20">
        <v>2016</v>
      </c>
      <c r="C761" s="21" t="s">
        <v>93</v>
      </c>
      <c r="D761" s="21" t="s">
        <v>93</v>
      </c>
      <c r="E761" s="23">
        <v>85631</v>
      </c>
      <c r="F761" s="20">
        <v>1336600.398</v>
      </c>
      <c r="G761" s="30">
        <f t="shared" si="34"/>
        <v>1422231.398</v>
      </c>
      <c r="H761" t="str">
        <f>IFERROR(VLOOKUP(C761,Sheet1!$B$2:$C$25,2,FALSE),"")</f>
        <v/>
      </c>
      <c r="I761">
        <f t="shared" si="35"/>
        <v>1613</v>
      </c>
    </row>
    <row r="762" spans="1:9" x14ac:dyDescent="0.2">
      <c r="A762" t="str">
        <f t="shared" si="33"/>
        <v/>
      </c>
      <c r="B762" s="20">
        <v>2017</v>
      </c>
      <c r="C762" s="21" t="s">
        <v>93</v>
      </c>
      <c r="D762" s="21" t="s">
        <v>93</v>
      </c>
      <c r="E762" s="23">
        <v>108162</v>
      </c>
      <c r="F762" s="20">
        <v>1787961.058</v>
      </c>
      <c r="G762" s="30">
        <f t="shared" si="34"/>
        <v>1896123.058</v>
      </c>
      <c r="H762" t="str">
        <f>IFERROR(VLOOKUP(C762,Sheet1!$B$2:$C$25,2,FALSE),"")</f>
        <v/>
      </c>
      <c r="I762">
        <f t="shared" si="35"/>
        <v>1613</v>
      </c>
    </row>
    <row r="763" spans="1:9" x14ac:dyDescent="0.2">
      <c r="A763" t="str">
        <f t="shared" si="33"/>
        <v/>
      </c>
      <c r="B763" s="20">
        <v>2018</v>
      </c>
      <c r="C763" s="21" t="s">
        <v>93</v>
      </c>
      <c r="D763" s="21" t="s">
        <v>93</v>
      </c>
      <c r="E763" s="23">
        <v>96578</v>
      </c>
      <c r="F763" s="20">
        <v>1453142.04</v>
      </c>
      <c r="G763" s="30">
        <f t="shared" si="34"/>
        <v>1549720.04</v>
      </c>
      <c r="H763" t="str">
        <f>IFERROR(VLOOKUP(C763,Sheet1!$B$2:$C$25,2,FALSE),"")</f>
        <v/>
      </c>
      <c r="I763">
        <f t="shared" si="35"/>
        <v>1613</v>
      </c>
    </row>
    <row r="764" spans="1:9" x14ac:dyDescent="0.2">
      <c r="A764" t="str">
        <f t="shared" si="33"/>
        <v/>
      </c>
      <c r="B764" s="20">
        <v>2019</v>
      </c>
      <c r="C764" s="21" t="s">
        <v>93</v>
      </c>
      <c r="D764" s="21" t="s">
        <v>93</v>
      </c>
      <c r="E764" s="23">
        <v>72215</v>
      </c>
      <c r="F764" s="20">
        <v>1039037.9840000001</v>
      </c>
      <c r="G764" s="30">
        <f t="shared" si="34"/>
        <v>1111252.9840000002</v>
      </c>
      <c r="H764" t="str">
        <f>IFERROR(VLOOKUP(C764,Sheet1!$B$2:$C$25,2,FALSE),"")</f>
        <v/>
      </c>
      <c r="I764">
        <f t="shared" si="35"/>
        <v>1613</v>
      </c>
    </row>
    <row r="765" spans="1:9" x14ac:dyDescent="0.2">
      <c r="A765" t="str">
        <f t="shared" si="33"/>
        <v/>
      </c>
      <c r="B765" s="20">
        <v>2020</v>
      </c>
      <c r="C765" s="21" t="s">
        <v>93</v>
      </c>
      <c r="D765" s="21" t="s">
        <v>93</v>
      </c>
      <c r="E765" s="23">
        <v>90596</v>
      </c>
      <c r="F765" s="20">
        <v>1266472.7290000001</v>
      </c>
      <c r="G765" s="30">
        <f t="shared" si="34"/>
        <v>1357068.7290000001</v>
      </c>
      <c r="H765" t="str">
        <f>IFERROR(VLOOKUP(C765,Sheet1!$B$2:$C$25,2,FALSE),"")</f>
        <v/>
      </c>
      <c r="I765">
        <f t="shared" si="35"/>
        <v>1613</v>
      </c>
    </row>
    <row r="766" spans="1:9" x14ac:dyDescent="0.2">
      <c r="A766" t="str">
        <f t="shared" si="33"/>
        <v/>
      </c>
      <c r="B766" s="20">
        <v>2021</v>
      </c>
      <c r="C766" s="21" t="s">
        <v>93</v>
      </c>
      <c r="D766" s="21" t="s">
        <v>93</v>
      </c>
      <c r="E766" s="23">
        <v>142814</v>
      </c>
      <c r="F766" s="20">
        <v>1864291.84</v>
      </c>
      <c r="G766" s="30">
        <f t="shared" si="34"/>
        <v>2007105.84</v>
      </c>
      <c r="H766" t="str">
        <f>IFERROR(VLOOKUP(C766,Sheet1!$B$2:$C$25,2,FALSE),"")</f>
        <v/>
      </c>
      <c r="I766">
        <f t="shared" si="35"/>
        <v>1613</v>
      </c>
    </row>
    <row r="767" spans="1:9" x14ac:dyDescent="0.2">
      <c r="A767" t="str">
        <f t="shared" si="33"/>
        <v/>
      </c>
      <c r="B767" s="20">
        <v>2022</v>
      </c>
      <c r="C767" s="21" t="s">
        <v>93</v>
      </c>
      <c r="D767" s="21" t="s">
        <v>93</v>
      </c>
      <c r="E767" s="23">
        <v>123657</v>
      </c>
      <c r="F767" s="20">
        <v>1699977.3430000001</v>
      </c>
      <c r="G767" s="30">
        <f t="shared" si="34"/>
        <v>1823634.3430000001</v>
      </c>
      <c r="H767" t="str">
        <f>IFERROR(VLOOKUP(C767,Sheet1!$B$2:$C$25,2,FALSE),"")</f>
        <v/>
      </c>
      <c r="I767">
        <f t="shared" si="35"/>
        <v>1613</v>
      </c>
    </row>
    <row r="768" spans="1:9" x14ac:dyDescent="0.2">
      <c r="A768" t="str">
        <f t="shared" si="33"/>
        <v/>
      </c>
      <c r="B768" s="20">
        <v>2023</v>
      </c>
      <c r="C768" s="21" t="s">
        <v>93</v>
      </c>
      <c r="D768" s="21" t="s">
        <v>93</v>
      </c>
      <c r="E768" s="23">
        <v>170884</v>
      </c>
      <c r="F768" s="20">
        <v>2287070.8110000002</v>
      </c>
      <c r="G768" s="30">
        <f t="shared" si="34"/>
        <v>2457954.8110000002</v>
      </c>
      <c r="H768" t="str">
        <f>IFERROR(VLOOKUP(C768,Sheet1!$B$2:$C$25,2,FALSE),"")</f>
        <v/>
      </c>
      <c r="I768">
        <f t="shared" si="35"/>
        <v>1613</v>
      </c>
    </row>
    <row r="769" spans="1:9" x14ac:dyDescent="0.2">
      <c r="A769" t="str">
        <f t="shared" si="33"/>
        <v/>
      </c>
      <c r="B769" s="20">
        <v>2015</v>
      </c>
      <c r="C769" s="21" t="s">
        <v>246</v>
      </c>
      <c r="D769" s="21" t="s">
        <v>246</v>
      </c>
      <c r="E769" s="23">
        <v>5787</v>
      </c>
      <c r="F769" s="20">
        <v>90780.980379999994</v>
      </c>
      <c r="G769" s="30">
        <f t="shared" si="34"/>
        <v>96567.980379999994</v>
      </c>
      <c r="H769" t="str">
        <f>IFERROR(VLOOKUP(C769,Sheet1!$B$2:$C$25,2,FALSE),"")</f>
        <v/>
      </c>
      <c r="I769">
        <f t="shared" si="35"/>
        <v>1613</v>
      </c>
    </row>
    <row r="770" spans="1:9" x14ac:dyDescent="0.2">
      <c r="A770">
        <f t="shared" si="33"/>
        <v>2400390</v>
      </c>
      <c r="B770" s="20">
        <v>2015</v>
      </c>
      <c r="C770" s="21" t="s">
        <v>94</v>
      </c>
      <c r="D770" s="21" t="s">
        <v>94</v>
      </c>
      <c r="E770" s="23">
        <v>2679603</v>
      </c>
      <c r="F770" s="20">
        <v>42035076.439999998</v>
      </c>
      <c r="G770" s="30">
        <f t="shared" si="34"/>
        <v>44714679.439999998</v>
      </c>
      <c r="H770">
        <f>IFERROR(VLOOKUP(C770,Sheet1!$B$2:$C$25,2,FALSE),"")</f>
        <v>2400390</v>
      </c>
      <c r="I770">
        <f t="shared" si="35"/>
        <v>9</v>
      </c>
    </row>
    <row r="771" spans="1:9" x14ac:dyDescent="0.2">
      <c r="A771">
        <f t="shared" ref="A771:A834" si="36">H771</f>
        <v>2400390</v>
      </c>
      <c r="B771" s="20">
        <v>2016</v>
      </c>
      <c r="C771" s="21" t="s">
        <v>94</v>
      </c>
      <c r="D771" s="21" t="s">
        <v>94</v>
      </c>
      <c r="E771" s="23">
        <v>2283877</v>
      </c>
      <c r="F771" s="20">
        <v>35648665.869999997</v>
      </c>
      <c r="G771" s="30">
        <f t="shared" ref="G771:G834" si="37">SUM(E771:F771)</f>
        <v>37932542.869999997</v>
      </c>
      <c r="H771">
        <f>IFERROR(VLOOKUP(C771,Sheet1!$B$2:$C$25,2,FALSE),"")</f>
        <v>2400390</v>
      </c>
      <c r="I771">
        <f t="shared" ref="I771:I834" si="38">COUNTIF($H$2:$H$1812,H771)</f>
        <v>9</v>
      </c>
    </row>
    <row r="772" spans="1:9" x14ac:dyDescent="0.2">
      <c r="A772">
        <f t="shared" si="36"/>
        <v>2400390</v>
      </c>
      <c r="B772" s="20">
        <v>2017</v>
      </c>
      <c r="C772" s="21" t="s">
        <v>94</v>
      </c>
      <c r="D772" s="21" t="s">
        <v>94</v>
      </c>
      <c r="E772" s="23">
        <v>2216064</v>
      </c>
      <c r="F772" s="20">
        <v>36632422.969999999</v>
      </c>
      <c r="G772" s="30">
        <f t="shared" si="37"/>
        <v>38848486.969999999</v>
      </c>
      <c r="H772">
        <f>IFERROR(VLOOKUP(C772,Sheet1!$B$2:$C$25,2,FALSE),"")</f>
        <v>2400390</v>
      </c>
      <c r="I772">
        <f t="shared" si="38"/>
        <v>9</v>
      </c>
    </row>
    <row r="773" spans="1:9" x14ac:dyDescent="0.2">
      <c r="A773">
        <f t="shared" si="36"/>
        <v>2400390</v>
      </c>
      <c r="B773" s="20">
        <v>2018</v>
      </c>
      <c r="C773" s="21" t="s">
        <v>94</v>
      </c>
      <c r="D773" s="21" t="s">
        <v>94</v>
      </c>
      <c r="E773" s="23">
        <v>2353181</v>
      </c>
      <c r="F773" s="20">
        <v>35406678.950000003</v>
      </c>
      <c r="G773" s="30">
        <f t="shared" si="37"/>
        <v>37759859.950000003</v>
      </c>
      <c r="H773">
        <f>IFERROR(VLOOKUP(C773,Sheet1!$B$2:$C$25,2,FALSE),"")</f>
        <v>2400390</v>
      </c>
      <c r="I773">
        <f t="shared" si="38"/>
        <v>9</v>
      </c>
    </row>
    <row r="774" spans="1:9" x14ac:dyDescent="0.2">
      <c r="A774">
        <f t="shared" si="36"/>
        <v>2400390</v>
      </c>
      <c r="B774" s="20">
        <v>2019</v>
      </c>
      <c r="C774" s="21" t="s">
        <v>94</v>
      </c>
      <c r="D774" s="21" t="s">
        <v>94</v>
      </c>
      <c r="E774" s="23">
        <v>2588988</v>
      </c>
      <c r="F774" s="20">
        <v>37250666.369999997</v>
      </c>
      <c r="G774" s="30">
        <f t="shared" si="37"/>
        <v>39839654.369999997</v>
      </c>
      <c r="H774">
        <f>IFERROR(VLOOKUP(C774,Sheet1!$B$2:$C$25,2,FALSE),"")</f>
        <v>2400390</v>
      </c>
      <c r="I774">
        <f t="shared" si="38"/>
        <v>9</v>
      </c>
    </row>
    <row r="775" spans="1:9" x14ac:dyDescent="0.2">
      <c r="A775">
        <f t="shared" si="36"/>
        <v>2400390</v>
      </c>
      <c r="B775" s="20">
        <v>2020</v>
      </c>
      <c r="C775" s="21" t="s">
        <v>94</v>
      </c>
      <c r="D775" s="21" t="s">
        <v>94</v>
      </c>
      <c r="E775" s="23">
        <v>2726056</v>
      </c>
      <c r="F775" s="20">
        <v>38108476.990000002</v>
      </c>
      <c r="G775" s="30">
        <f t="shared" si="37"/>
        <v>40834532.990000002</v>
      </c>
      <c r="H775">
        <f>IFERROR(VLOOKUP(C775,Sheet1!$B$2:$C$25,2,FALSE),"")</f>
        <v>2400390</v>
      </c>
      <c r="I775">
        <f t="shared" si="38"/>
        <v>9</v>
      </c>
    </row>
    <row r="776" spans="1:9" x14ac:dyDescent="0.2">
      <c r="A776">
        <f t="shared" si="36"/>
        <v>2400390</v>
      </c>
      <c r="B776" s="20">
        <v>2021</v>
      </c>
      <c r="C776" s="21" t="s">
        <v>94</v>
      </c>
      <c r="D776" s="21" t="s">
        <v>94</v>
      </c>
      <c r="E776" s="23">
        <v>3049206</v>
      </c>
      <c r="F776" s="20">
        <v>39804289.950000003</v>
      </c>
      <c r="G776" s="30">
        <f t="shared" si="37"/>
        <v>42853495.950000003</v>
      </c>
      <c r="H776">
        <f>IFERROR(VLOOKUP(C776,Sheet1!$B$2:$C$25,2,FALSE),"")</f>
        <v>2400390</v>
      </c>
      <c r="I776">
        <f t="shared" si="38"/>
        <v>9</v>
      </c>
    </row>
    <row r="777" spans="1:9" x14ac:dyDescent="0.2">
      <c r="A777">
        <f t="shared" si="36"/>
        <v>2400390</v>
      </c>
      <c r="B777" s="20">
        <v>2022</v>
      </c>
      <c r="C777" s="21" t="s">
        <v>94</v>
      </c>
      <c r="D777" s="21" t="s">
        <v>94</v>
      </c>
      <c r="E777" s="23">
        <v>3257995</v>
      </c>
      <c r="F777" s="20">
        <v>44789358.329999998</v>
      </c>
      <c r="G777" s="30">
        <f t="shared" si="37"/>
        <v>48047353.329999998</v>
      </c>
      <c r="H777">
        <f>IFERROR(VLOOKUP(C777,Sheet1!$B$2:$C$25,2,FALSE),"")</f>
        <v>2400390</v>
      </c>
      <c r="I777">
        <f t="shared" si="38"/>
        <v>9</v>
      </c>
    </row>
    <row r="778" spans="1:9" x14ac:dyDescent="0.2">
      <c r="A778">
        <f t="shared" si="36"/>
        <v>2400390</v>
      </c>
      <c r="B778" s="20">
        <v>2023</v>
      </c>
      <c r="C778" s="21" t="s">
        <v>94</v>
      </c>
      <c r="D778" s="21" t="s">
        <v>94</v>
      </c>
      <c r="E778" s="23">
        <v>3476891</v>
      </c>
      <c r="F778" s="20">
        <v>46533882.159999996</v>
      </c>
      <c r="G778" s="30">
        <f t="shared" si="37"/>
        <v>50010773.159999996</v>
      </c>
      <c r="H778">
        <f>IFERROR(VLOOKUP(C778,Sheet1!$B$2:$C$25,2,FALSE),"")</f>
        <v>2400390</v>
      </c>
      <c r="I778">
        <f t="shared" si="38"/>
        <v>9</v>
      </c>
    </row>
    <row r="779" spans="1:9" x14ac:dyDescent="0.2">
      <c r="A779" t="str">
        <f t="shared" si="36"/>
        <v/>
      </c>
      <c r="B779" s="20">
        <v>2015</v>
      </c>
      <c r="C779" s="21" t="s">
        <v>95</v>
      </c>
      <c r="D779" s="21" t="s">
        <v>95</v>
      </c>
      <c r="E779" s="23">
        <v>116978</v>
      </c>
      <c r="F779" s="20">
        <v>1835040.18</v>
      </c>
      <c r="G779" s="30">
        <f t="shared" si="37"/>
        <v>1952018.18</v>
      </c>
      <c r="H779" t="str">
        <f>IFERROR(VLOOKUP(C779,Sheet1!$B$2:$C$25,2,FALSE),"")</f>
        <v/>
      </c>
      <c r="I779">
        <f t="shared" si="38"/>
        <v>1613</v>
      </c>
    </row>
    <row r="780" spans="1:9" x14ac:dyDescent="0.2">
      <c r="A780" t="str">
        <f t="shared" si="36"/>
        <v/>
      </c>
      <c r="B780" s="20">
        <v>2016</v>
      </c>
      <c r="C780" s="21" t="s">
        <v>95</v>
      </c>
      <c r="D780" s="21" t="s">
        <v>95</v>
      </c>
      <c r="E780" s="23">
        <v>109885</v>
      </c>
      <c r="F780" s="20">
        <v>1715177.1529999999</v>
      </c>
      <c r="G780" s="30">
        <f t="shared" si="37"/>
        <v>1825062.1529999999</v>
      </c>
      <c r="H780" t="str">
        <f>IFERROR(VLOOKUP(C780,Sheet1!$B$2:$C$25,2,FALSE),"")</f>
        <v/>
      </c>
      <c r="I780">
        <f t="shared" si="38"/>
        <v>1613</v>
      </c>
    </row>
    <row r="781" spans="1:9" x14ac:dyDescent="0.2">
      <c r="A781" t="str">
        <f t="shared" si="36"/>
        <v/>
      </c>
      <c r="B781" s="20">
        <v>2017</v>
      </c>
      <c r="C781" s="21" t="s">
        <v>95</v>
      </c>
      <c r="D781" s="21" t="s">
        <v>95</v>
      </c>
      <c r="E781" s="23">
        <v>104518</v>
      </c>
      <c r="F781" s="20">
        <v>1727724.2819999999</v>
      </c>
      <c r="G781" s="30">
        <f t="shared" si="37"/>
        <v>1832242.2819999999</v>
      </c>
      <c r="H781" t="str">
        <f>IFERROR(VLOOKUP(C781,Sheet1!$B$2:$C$25,2,FALSE),"")</f>
        <v/>
      </c>
      <c r="I781">
        <f t="shared" si="38"/>
        <v>1613</v>
      </c>
    </row>
    <row r="782" spans="1:9" x14ac:dyDescent="0.2">
      <c r="A782" t="str">
        <f t="shared" si="36"/>
        <v/>
      </c>
      <c r="B782" s="20">
        <v>2018</v>
      </c>
      <c r="C782" s="21" t="s">
        <v>95</v>
      </c>
      <c r="D782" s="21" t="s">
        <v>95</v>
      </c>
      <c r="E782" s="23">
        <v>120048</v>
      </c>
      <c r="F782" s="20">
        <v>1806278.818</v>
      </c>
      <c r="G782" s="30">
        <f t="shared" si="37"/>
        <v>1926326.818</v>
      </c>
      <c r="H782" t="str">
        <f>IFERROR(VLOOKUP(C782,Sheet1!$B$2:$C$25,2,FALSE),"")</f>
        <v/>
      </c>
      <c r="I782">
        <f t="shared" si="38"/>
        <v>1613</v>
      </c>
    </row>
    <row r="783" spans="1:9" x14ac:dyDescent="0.2">
      <c r="A783" t="str">
        <f t="shared" si="36"/>
        <v/>
      </c>
      <c r="B783" s="20">
        <v>2019</v>
      </c>
      <c r="C783" s="21" t="s">
        <v>95</v>
      </c>
      <c r="D783" s="21" t="s">
        <v>95</v>
      </c>
      <c r="E783" s="23">
        <v>128409</v>
      </c>
      <c r="F783" s="20">
        <v>1847563.92</v>
      </c>
      <c r="G783" s="30">
        <f t="shared" si="37"/>
        <v>1975972.92</v>
      </c>
      <c r="H783" t="str">
        <f>IFERROR(VLOOKUP(C783,Sheet1!$B$2:$C$25,2,FALSE),"")</f>
        <v/>
      </c>
      <c r="I783">
        <f t="shared" si="38"/>
        <v>1613</v>
      </c>
    </row>
    <row r="784" spans="1:9" x14ac:dyDescent="0.2">
      <c r="A784" t="str">
        <f t="shared" si="36"/>
        <v/>
      </c>
      <c r="B784" s="20">
        <v>2020</v>
      </c>
      <c r="C784" s="21" t="s">
        <v>95</v>
      </c>
      <c r="D784" s="21" t="s">
        <v>95</v>
      </c>
      <c r="E784" s="23">
        <v>128893</v>
      </c>
      <c r="F784" s="20">
        <v>1801839.7</v>
      </c>
      <c r="G784" s="30">
        <f t="shared" si="37"/>
        <v>1930732.7</v>
      </c>
      <c r="H784" t="str">
        <f>IFERROR(VLOOKUP(C784,Sheet1!$B$2:$C$25,2,FALSE),"")</f>
        <v/>
      </c>
      <c r="I784">
        <f t="shared" si="38"/>
        <v>1613</v>
      </c>
    </row>
    <row r="785" spans="1:9" x14ac:dyDescent="0.2">
      <c r="A785" t="str">
        <f t="shared" si="36"/>
        <v/>
      </c>
      <c r="B785" s="20">
        <v>2021</v>
      </c>
      <c r="C785" s="21" t="s">
        <v>95</v>
      </c>
      <c r="D785" s="21" t="s">
        <v>95</v>
      </c>
      <c r="E785" s="23">
        <v>131965</v>
      </c>
      <c r="F785" s="20">
        <v>1722669.155</v>
      </c>
      <c r="G785" s="30">
        <f t="shared" si="37"/>
        <v>1854634.155</v>
      </c>
      <c r="H785" t="str">
        <f>IFERROR(VLOOKUP(C785,Sheet1!$B$2:$C$25,2,FALSE),"")</f>
        <v/>
      </c>
      <c r="I785">
        <f t="shared" si="38"/>
        <v>1613</v>
      </c>
    </row>
    <row r="786" spans="1:9" x14ac:dyDescent="0.2">
      <c r="A786" t="str">
        <f t="shared" si="36"/>
        <v/>
      </c>
      <c r="B786" s="20">
        <v>2022</v>
      </c>
      <c r="C786" s="21" t="s">
        <v>95</v>
      </c>
      <c r="D786" s="21" t="s">
        <v>95</v>
      </c>
      <c r="E786" s="23">
        <v>131047</v>
      </c>
      <c r="F786" s="20">
        <v>1801571.531</v>
      </c>
      <c r="G786" s="30">
        <f t="shared" si="37"/>
        <v>1932618.531</v>
      </c>
      <c r="H786" t="str">
        <f>IFERROR(VLOOKUP(C786,Sheet1!$B$2:$C$25,2,FALSE),"")</f>
        <v/>
      </c>
      <c r="I786">
        <f t="shared" si="38"/>
        <v>1613</v>
      </c>
    </row>
    <row r="787" spans="1:9" x14ac:dyDescent="0.2">
      <c r="A787" t="str">
        <f t="shared" si="36"/>
        <v/>
      </c>
      <c r="B787" s="20">
        <v>2023</v>
      </c>
      <c r="C787" s="21" t="s">
        <v>95</v>
      </c>
      <c r="D787" s="21" t="s">
        <v>95</v>
      </c>
      <c r="E787" s="23">
        <v>152972</v>
      </c>
      <c r="F787" s="20">
        <v>2047340.8629999999</v>
      </c>
      <c r="G787" s="30">
        <f t="shared" si="37"/>
        <v>2200312.8629999999</v>
      </c>
      <c r="H787" t="str">
        <f>IFERROR(VLOOKUP(C787,Sheet1!$B$2:$C$25,2,FALSE),"")</f>
        <v/>
      </c>
      <c r="I787">
        <f t="shared" si="38"/>
        <v>1613</v>
      </c>
    </row>
    <row r="788" spans="1:9" x14ac:dyDescent="0.2">
      <c r="A788" t="str">
        <f t="shared" si="36"/>
        <v/>
      </c>
      <c r="B788" s="20">
        <v>2015</v>
      </c>
      <c r="C788" s="21" t="s">
        <v>96</v>
      </c>
      <c r="D788" s="21" t="s">
        <v>96</v>
      </c>
      <c r="E788" s="23">
        <v>7263578</v>
      </c>
      <c r="F788" s="20">
        <v>113944138.90000001</v>
      </c>
      <c r="G788" s="30">
        <f t="shared" si="37"/>
        <v>121207716.90000001</v>
      </c>
      <c r="H788" t="str">
        <f>IFERROR(VLOOKUP(C788,Sheet1!$B$2:$C$25,2,FALSE),"")</f>
        <v/>
      </c>
      <c r="I788">
        <f t="shared" si="38"/>
        <v>1613</v>
      </c>
    </row>
    <row r="789" spans="1:9" x14ac:dyDescent="0.2">
      <c r="A789" t="str">
        <f t="shared" si="36"/>
        <v/>
      </c>
      <c r="B789" s="20">
        <v>2016</v>
      </c>
      <c r="C789" s="21" t="s">
        <v>96</v>
      </c>
      <c r="D789" s="21" t="s">
        <v>96</v>
      </c>
      <c r="E789" s="23">
        <v>6051009</v>
      </c>
      <c r="F789" s="20">
        <v>94449218.609999999</v>
      </c>
      <c r="G789" s="30">
        <f t="shared" si="37"/>
        <v>100500227.61</v>
      </c>
      <c r="H789" t="str">
        <f>IFERROR(VLOOKUP(C789,Sheet1!$B$2:$C$25,2,FALSE),"")</f>
        <v/>
      </c>
      <c r="I789">
        <f t="shared" si="38"/>
        <v>1613</v>
      </c>
    </row>
    <row r="790" spans="1:9" x14ac:dyDescent="0.2">
      <c r="A790" t="str">
        <f t="shared" si="36"/>
        <v/>
      </c>
      <c r="B790" s="20">
        <v>2017</v>
      </c>
      <c r="C790" s="21" t="s">
        <v>96</v>
      </c>
      <c r="D790" s="21" t="s">
        <v>96</v>
      </c>
      <c r="E790" s="23">
        <v>5813442</v>
      </c>
      <c r="F790" s="20">
        <v>96098518.040000007</v>
      </c>
      <c r="G790" s="30">
        <f t="shared" si="37"/>
        <v>101911960.04000001</v>
      </c>
      <c r="H790" t="str">
        <f>IFERROR(VLOOKUP(C790,Sheet1!$B$2:$C$25,2,FALSE),"")</f>
        <v/>
      </c>
      <c r="I790">
        <f t="shared" si="38"/>
        <v>1613</v>
      </c>
    </row>
    <row r="791" spans="1:9" x14ac:dyDescent="0.2">
      <c r="A791" t="str">
        <f t="shared" si="36"/>
        <v/>
      </c>
      <c r="B791" s="20">
        <v>2018</v>
      </c>
      <c r="C791" s="21" t="s">
        <v>96</v>
      </c>
      <c r="D791" s="21" t="s">
        <v>96</v>
      </c>
      <c r="E791" s="23">
        <v>6401947</v>
      </c>
      <c r="F791" s="20">
        <v>96325646.890000001</v>
      </c>
      <c r="G791" s="30">
        <f t="shared" si="37"/>
        <v>102727593.89</v>
      </c>
      <c r="H791" t="str">
        <f>IFERROR(VLOOKUP(C791,Sheet1!$B$2:$C$25,2,FALSE),"")</f>
        <v/>
      </c>
      <c r="I791">
        <f t="shared" si="38"/>
        <v>1613</v>
      </c>
    </row>
    <row r="792" spans="1:9" x14ac:dyDescent="0.2">
      <c r="A792" t="str">
        <f t="shared" si="36"/>
        <v/>
      </c>
      <c r="B792" s="20">
        <v>2019</v>
      </c>
      <c r="C792" s="21" t="s">
        <v>96</v>
      </c>
      <c r="D792" s="21" t="s">
        <v>96</v>
      </c>
      <c r="E792" s="23">
        <v>6911952</v>
      </c>
      <c r="F792" s="20">
        <v>99449985.060000002</v>
      </c>
      <c r="G792" s="30">
        <f t="shared" si="37"/>
        <v>106361937.06</v>
      </c>
      <c r="H792" t="str">
        <f>IFERROR(VLOOKUP(C792,Sheet1!$B$2:$C$25,2,FALSE),"")</f>
        <v/>
      </c>
      <c r="I792">
        <f t="shared" si="38"/>
        <v>1613</v>
      </c>
    </row>
    <row r="793" spans="1:9" x14ac:dyDescent="0.2">
      <c r="A793" t="str">
        <f t="shared" si="36"/>
        <v/>
      </c>
      <c r="B793" s="20">
        <v>2020</v>
      </c>
      <c r="C793" s="21" t="s">
        <v>96</v>
      </c>
      <c r="D793" s="21" t="s">
        <v>96</v>
      </c>
      <c r="E793" s="23">
        <v>7226102</v>
      </c>
      <c r="F793" s="20">
        <v>101016172</v>
      </c>
      <c r="G793" s="30">
        <f t="shared" si="37"/>
        <v>108242274</v>
      </c>
      <c r="H793" t="str">
        <f>IFERROR(VLOOKUP(C793,Sheet1!$B$2:$C$25,2,FALSE),"")</f>
        <v/>
      </c>
      <c r="I793">
        <f t="shared" si="38"/>
        <v>1613</v>
      </c>
    </row>
    <row r="794" spans="1:9" x14ac:dyDescent="0.2">
      <c r="A794" t="str">
        <f t="shared" si="36"/>
        <v/>
      </c>
      <c r="B794" s="20">
        <v>2021</v>
      </c>
      <c r="C794" s="21" t="s">
        <v>96</v>
      </c>
      <c r="D794" s="21" t="s">
        <v>96</v>
      </c>
      <c r="E794" s="23">
        <v>8131668</v>
      </c>
      <c r="F794" s="20">
        <v>106150673.59999999</v>
      </c>
      <c r="G794" s="30">
        <f t="shared" si="37"/>
        <v>114282341.59999999</v>
      </c>
      <c r="H794" t="str">
        <f>IFERROR(VLOOKUP(C794,Sheet1!$B$2:$C$25,2,FALSE),"")</f>
        <v/>
      </c>
      <c r="I794">
        <f t="shared" si="38"/>
        <v>1613</v>
      </c>
    </row>
    <row r="795" spans="1:9" x14ac:dyDescent="0.2">
      <c r="A795" t="str">
        <f t="shared" si="36"/>
        <v/>
      </c>
      <c r="B795" s="20">
        <v>2022</v>
      </c>
      <c r="C795" s="21" t="s">
        <v>96</v>
      </c>
      <c r="D795" s="21" t="s">
        <v>96</v>
      </c>
      <c r="E795" s="23">
        <v>7584975</v>
      </c>
      <c r="F795" s="20">
        <v>104274611.59999999</v>
      </c>
      <c r="G795" s="30">
        <f t="shared" si="37"/>
        <v>111859586.59999999</v>
      </c>
      <c r="H795" t="str">
        <f>IFERROR(VLOOKUP(C795,Sheet1!$B$2:$C$25,2,FALSE),"")</f>
        <v/>
      </c>
      <c r="I795">
        <f t="shared" si="38"/>
        <v>1613</v>
      </c>
    </row>
    <row r="796" spans="1:9" x14ac:dyDescent="0.2">
      <c r="A796" t="str">
        <f t="shared" si="36"/>
        <v/>
      </c>
      <c r="B796" s="20">
        <v>2023</v>
      </c>
      <c r="C796" s="21" t="s">
        <v>96</v>
      </c>
      <c r="D796" s="21" t="s">
        <v>96</v>
      </c>
      <c r="E796" s="23">
        <v>8564361</v>
      </c>
      <c r="F796" s="20">
        <v>114623370.59999999</v>
      </c>
      <c r="G796" s="30">
        <f t="shared" si="37"/>
        <v>123187731.59999999</v>
      </c>
      <c r="H796" t="str">
        <f>IFERROR(VLOOKUP(C796,Sheet1!$B$2:$C$25,2,FALSE),"")</f>
        <v/>
      </c>
      <c r="I796">
        <f t="shared" si="38"/>
        <v>1613</v>
      </c>
    </row>
    <row r="797" spans="1:9" x14ac:dyDescent="0.2">
      <c r="A797" t="str">
        <f t="shared" si="36"/>
        <v/>
      </c>
      <c r="B797" s="20">
        <v>2015</v>
      </c>
      <c r="C797" s="21" t="s">
        <v>97</v>
      </c>
      <c r="D797" s="21" t="s">
        <v>97</v>
      </c>
      <c r="E797" s="23">
        <v>4441484</v>
      </c>
      <c r="F797" s="20">
        <v>69673798.489999995</v>
      </c>
      <c r="G797" s="30">
        <f t="shared" si="37"/>
        <v>74115282.489999995</v>
      </c>
      <c r="H797" t="str">
        <f>IFERROR(VLOOKUP(C797,Sheet1!$B$2:$C$25,2,FALSE),"")</f>
        <v/>
      </c>
      <c r="I797">
        <f t="shared" si="38"/>
        <v>1613</v>
      </c>
    </row>
    <row r="798" spans="1:9" x14ac:dyDescent="0.2">
      <c r="A798" t="str">
        <f t="shared" si="36"/>
        <v/>
      </c>
      <c r="B798" s="20">
        <v>2016</v>
      </c>
      <c r="C798" s="21" t="s">
        <v>97</v>
      </c>
      <c r="D798" s="21" t="s">
        <v>97</v>
      </c>
      <c r="E798" s="23">
        <v>4740567</v>
      </c>
      <c r="F798" s="20">
        <v>73994741.849999994</v>
      </c>
      <c r="G798" s="30">
        <f t="shared" si="37"/>
        <v>78735308.849999994</v>
      </c>
      <c r="H798" t="str">
        <f>IFERROR(VLOOKUP(C798,Sheet1!$B$2:$C$25,2,FALSE),"")</f>
        <v/>
      </c>
      <c r="I798">
        <f t="shared" si="38"/>
        <v>1613</v>
      </c>
    </row>
    <row r="799" spans="1:9" x14ac:dyDescent="0.2">
      <c r="A799" t="str">
        <f t="shared" si="36"/>
        <v/>
      </c>
      <c r="B799" s="20">
        <v>2017</v>
      </c>
      <c r="C799" s="21" t="s">
        <v>97</v>
      </c>
      <c r="D799" s="21" t="s">
        <v>97</v>
      </c>
      <c r="E799" s="23">
        <v>5467062</v>
      </c>
      <c r="F799" s="20">
        <v>90372718.299999997</v>
      </c>
      <c r="G799" s="30">
        <f t="shared" si="37"/>
        <v>95839780.299999997</v>
      </c>
      <c r="H799" t="str">
        <f>IFERROR(VLOOKUP(C799,Sheet1!$B$2:$C$25,2,FALSE),"")</f>
        <v/>
      </c>
      <c r="I799">
        <f t="shared" si="38"/>
        <v>1613</v>
      </c>
    </row>
    <row r="800" spans="1:9" x14ac:dyDescent="0.2">
      <c r="A800" t="str">
        <f t="shared" si="36"/>
        <v/>
      </c>
      <c r="B800" s="20">
        <v>2018</v>
      </c>
      <c r="C800" s="21" t="s">
        <v>97</v>
      </c>
      <c r="D800" s="21" t="s">
        <v>97</v>
      </c>
      <c r="E800" s="23">
        <v>5855584</v>
      </c>
      <c r="F800" s="20">
        <v>88104902.569999993</v>
      </c>
      <c r="G800" s="30">
        <f t="shared" si="37"/>
        <v>93960486.569999993</v>
      </c>
      <c r="H800" t="str">
        <f>IFERROR(VLOOKUP(C800,Sheet1!$B$2:$C$25,2,FALSE),"")</f>
        <v/>
      </c>
      <c r="I800">
        <f t="shared" si="38"/>
        <v>1613</v>
      </c>
    </row>
    <row r="801" spans="1:9" x14ac:dyDescent="0.2">
      <c r="A801" t="str">
        <f t="shared" si="36"/>
        <v/>
      </c>
      <c r="B801" s="20">
        <v>2019</v>
      </c>
      <c r="C801" s="21" t="s">
        <v>97</v>
      </c>
      <c r="D801" s="21" t="s">
        <v>97</v>
      </c>
      <c r="E801" s="23">
        <v>6254551</v>
      </c>
      <c r="F801" s="20">
        <v>89991221.510000005</v>
      </c>
      <c r="G801" s="30">
        <f t="shared" si="37"/>
        <v>96245772.510000005</v>
      </c>
      <c r="H801" t="str">
        <f>IFERROR(VLOOKUP(C801,Sheet1!$B$2:$C$25,2,FALSE),"")</f>
        <v/>
      </c>
      <c r="I801">
        <f t="shared" si="38"/>
        <v>1613</v>
      </c>
    </row>
    <row r="802" spans="1:9" x14ac:dyDescent="0.2">
      <c r="A802" t="str">
        <f t="shared" si="36"/>
        <v/>
      </c>
      <c r="B802" s="20">
        <v>2020</v>
      </c>
      <c r="C802" s="21" t="s">
        <v>97</v>
      </c>
      <c r="D802" s="21" t="s">
        <v>97</v>
      </c>
      <c r="E802" s="23">
        <v>7106753</v>
      </c>
      <c r="F802" s="20">
        <v>99347751.159999996</v>
      </c>
      <c r="G802" s="30">
        <f t="shared" si="37"/>
        <v>106454504.16</v>
      </c>
      <c r="H802" t="str">
        <f>IFERROR(VLOOKUP(C802,Sheet1!$B$2:$C$25,2,FALSE),"")</f>
        <v/>
      </c>
      <c r="I802">
        <f t="shared" si="38"/>
        <v>1613</v>
      </c>
    </row>
    <row r="803" spans="1:9" x14ac:dyDescent="0.2">
      <c r="A803" t="str">
        <f t="shared" si="36"/>
        <v/>
      </c>
      <c r="B803" s="20">
        <v>2021</v>
      </c>
      <c r="C803" s="21" t="s">
        <v>97</v>
      </c>
      <c r="D803" s="21" t="s">
        <v>97</v>
      </c>
      <c r="E803" s="23">
        <v>8478591</v>
      </c>
      <c r="F803" s="20">
        <v>110679401.3</v>
      </c>
      <c r="G803" s="30">
        <f t="shared" si="37"/>
        <v>119157992.3</v>
      </c>
      <c r="H803" t="str">
        <f>IFERROR(VLOOKUP(C803,Sheet1!$B$2:$C$25,2,FALSE),"")</f>
        <v/>
      </c>
      <c r="I803">
        <f t="shared" si="38"/>
        <v>1613</v>
      </c>
    </row>
    <row r="804" spans="1:9" x14ac:dyDescent="0.2">
      <c r="A804" t="str">
        <f t="shared" si="36"/>
        <v/>
      </c>
      <c r="B804" s="20">
        <v>2022</v>
      </c>
      <c r="C804" s="21" t="s">
        <v>97</v>
      </c>
      <c r="D804" s="21" t="s">
        <v>97</v>
      </c>
      <c r="E804" s="23">
        <v>8673117</v>
      </c>
      <c r="F804" s="20">
        <v>119233867.8</v>
      </c>
      <c r="G804" s="30">
        <f t="shared" si="37"/>
        <v>127906984.8</v>
      </c>
      <c r="H804" t="str">
        <f>IFERROR(VLOOKUP(C804,Sheet1!$B$2:$C$25,2,FALSE),"")</f>
        <v/>
      </c>
      <c r="I804">
        <f t="shared" si="38"/>
        <v>1613</v>
      </c>
    </row>
    <row r="805" spans="1:9" x14ac:dyDescent="0.2">
      <c r="A805" t="str">
        <f t="shared" si="36"/>
        <v/>
      </c>
      <c r="B805" s="20">
        <v>2023</v>
      </c>
      <c r="C805" s="21" t="s">
        <v>97</v>
      </c>
      <c r="D805" s="21" t="s">
        <v>97</v>
      </c>
      <c r="E805" s="23">
        <v>9864223</v>
      </c>
      <c r="F805" s="20">
        <v>132020414.40000001</v>
      </c>
      <c r="G805" s="30">
        <f t="shared" si="37"/>
        <v>141884637.40000001</v>
      </c>
      <c r="H805" t="str">
        <f>IFERROR(VLOOKUP(C805,Sheet1!$B$2:$C$25,2,FALSE),"")</f>
        <v/>
      </c>
      <c r="I805">
        <f t="shared" si="38"/>
        <v>1613</v>
      </c>
    </row>
    <row r="806" spans="1:9" x14ac:dyDescent="0.2">
      <c r="A806" t="str">
        <f t="shared" si="36"/>
        <v/>
      </c>
      <c r="B806" s="20">
        <v>2015</v>
      </c>
      <c r="C806" s="21" t="s">
        <v>98</v>
      </c>
      <c r="D806" s="21" t="s">
        <v>98</v>
      </c>
      <c r="E806" s="23">
        <v>162715</v>
      </c>
      <c r="F806" s="20">
        <v>2552518.96</v>
      </c>
      <c r="G806" s="30">
        <f t="shared" si="37"/>
        <v>2715233.96</v>
      </c>
      <c r="H806" t="str">
        <f>IFERROR(VLOOKUP(C806,Sheet1!$B$2:$C$25,2,FALSE),"")</f>
        <v/>
      </c>
      <c r="I806">
        <f t="shared" si="38"/>
        <v>1613</v>
      </c>
    </row>
    <row r="807" spans="1:9" x14ac:dyDescent="0.2">
      <c r="A807" t="str">
        <f t="shared" si="36"/>
        <v/>
      </c>
      <c r="B807" s="20">
        <v>2016</v>
      </c>
      <c r="C807" s="21" t="s">
        <v>98</v>
      </c>
      <c r="D807" s="21" t="s">
        <v>98</v>
      </c>
      <c r="E807" s="23">
        <v>129274</v>
      </c>
      <c r="F807" s="20">
        <v>2017816.9110000001</v>
      </c>
      <c r="G807" s="30">
        <f t="shared" si="37"/>
        <v>2147090.9110000003</v>
      </c>
      <c r="H807" t="str">
        <f>IFERROR(VLOOKUP(C807,Sheet1!$B$2:$C$25,2,FALSE),"")</f>
        <v/>
      </c>
      <c r="I807">
        <f t="shared" si="38"/>
        <v>1613</v>
      </c>
    </row>
    <row r="808" spans="1:9" x14ac:dyDescent="0.2">
      <c r="A808" t="str">
        <f t="shared" si="36"/>
        <v/>
      </c>
      <c r="B808" s="20">
        <v>2017</v>
      </c>
      <c r="C808" s="21" t="s">
        <v>98</v>
      </c>
      <c r="D808" s="21" t="s">
        <v>98</v>
      </c>
      <c r="E808" s="23">
        <v>127364</v>
      </c>
      <c r="F808" s="20">
        <v>2105377.787</v>
      </c>
      <c r="G808" s="30">
        <f t="shared" si="37"/>
        <v>2232741.787</v>
      </c>
      <c r="H808" t="str">
        <f>IFERROR(VLOOKUP(C808,Sheet1!$B$2:$C$25,2,FALSE),"")</f>
        <v/>
      </c>
      <c r="I808">
        <f t="shared" si="38"/>
        <v>1613</v>
      </c>
    </row>
    <row r="809" spans="1:9" x14ac:dyDescent="0.2">
      <c r="A809" t="str">
        <f t="shared" si="36"/>
        <v/>
      </c>
      <c r="B809" s="20">
        <v>2018</v>
      </c>
      <c r="C809" s="21" t="s">
        <v>98</v>
      </c>
      <c r="D809" s="21" t="s">
        <v>98</v>
      </c>
      <c r="E809" s="23">
        <v>150664</v>
      </c>
      <c r="F809" s="20">
        <v>2266936.4900000002</v>
      </c>
      <c r="G809" s="30">
        <f t="shared" si="37"/>
        <v>2417600.4900000002</v>
      </c>
      <c r="H809" t="str">
        <f>IFERROR(VLOOKUP(C809,Sheet1!$B$2:$C$25,2,FALSE),"")</f>
        <v/>
      </c>
      <c r="I809">
        <f t="shared" si="38"/>
        <v>1613</v>
      </c>
    </row>
    <row r="810" spans="1:9" x14ac:dyDescent="0.2">
      <c r="A810" t="str">
        <f t="shared" si="36"/>
        <v/>
      </c>
      <c r="B810" s="20">
        <v>2019</v>
      </c>
      <c r="C810" s="21" t="s">
        <v>98</v>
      </c>
      <c r="D810" s="21" t="s">
        <v>98</v>
      </c>
      <c r="E810" s="23">
        <v>164253</v>
      </c>
      <c r="F810" s="20">
        <v>2363291.6430000002</v>
      </c>
      <c r="G810" s="30">
        <f t="shared" si="37"/>
        <v>2527544.6430000002</v>
      </c>
      <c r="H810" t="str">
        <f>IFERROR(VLOOKUP(C810,Sheet1!$B$2:$C$25,2,FALSE),"")</f>
        <v/>
      </c>
      <c r="I810">
        <f t="shared" si="38"/>
        <v>1613</v>
      </c>
    </row>
    <row r="811" spans="1:9" x14ac:dyDescent="0.2">
      <c r="A811" t="str">
        <f t="shared" si="36"/>
        <v/>
      </c>
      <c r="B811" s="20">
        <v>2020</v>
      </c>
      <c r="C811" s="21" t="s">
        <v>98</v>
      </c>
      <c r="D811" s="21" t="s">
        <v>98</v>
      </c>
      <c r="E811" s="23">
        <v>161573</v>
      </c>
      <c r="F811" s="20">
        <v>2258684.69</v>
      </c>
      <c r="G811" s="30">
        <f t="shared" si="37"/>
        <v>2420257.69</v>
      </c>
      <c r="H811" t="str">
        <f>IFERROR(VLOOKUP(C811,Sheet1!$B$2:$C$25,2,FALSE),"")</f>
        <v/>
      </c>
      <c r="I811">
        <f t="shared" si="38"/>
        <v>1613</v>
      </c>
    </row>
    <row r="812" spans="1:9" x14ac:dyDescent="0.2">
      <c r="A812" t="str">
        <f t="shared" si="36"/>
        <v/>
      </c>
      <c r="B812" s="20">
        <v>2021</v>
      </c>
      <c r="C812" s="21" t="s">
        <v>98</v>
      </c>
      <c r="D812" s="21" t="s">
        <v>98</v>
      </c>
      <c r="E812" s="23">
        <v>190834</v>
      </c>
      <c r="F812" s="20">
        <v>2491144.2089999998</v>
      </c>
      <c r="G812" s="30">
        <f t="shared" si="37"/>
        <v>2681978.2089999998</v>
      </c>
      <c r="H812" t="str">
        <f>IFERROR(VLOOKUP(C812,Sheet1!$B$2:$C$25,2,FALSE),"")</f>
        <v/>
      </c>
      <c r="I812">
        <f t="shared" si="38"/>
        <v>1613</v>
      </c>
    </row>
    <row r="813" spans="1:9" x14ac:dyDescent="0.2">
      <c r="A813" t="str">
        <f t="shared" si="36"/>
        <v/>
      </c>
      <c r="B813" s="20">
        <v>2022</v>
      </c>
      <c r="C813" s="21" t="s">
        <v>98</v>
      </c>
      <c r="D813" s="21" t="s">
        <v>98</v>
      </c>
      <c r="E813" s="23">
        <v>212222</v>
      </c>
      <c r="F813" s="20">
        <v>2917526.639</v>
      </c>
      <c r="G813" s="30">
        <f t="shared" si="37"/>
        <v>3129748.639</v>
      </c>
      <c r="H813" t="str">
        <f>IFERROR(VLOOKUP(C813,Sheet1!$B$2:$C$25,2,FALSE),"")</f>
        <v/>
      </c>
      <c r="I813">
        <f t="shared" si="38"/>
        <v>1613</v>
      </c>
    </row>
    <row r="814" spans="1:9" x14ac:dyDescent="0.2">
      <c r="A814" t="str">
        <f t="shared" si="36"/>
        <v/>
      </c>
      <c r="B814" s="20">
        <v>2023</v>
      </c>
      <c r="C814" s="21" t="s">
        <v>98</v>
      </c>
      <c r="D814" s="21" t="s">
        <v>98</v>
      </c>
      <c r="E814" s="23">
        <v>238908</v>
      </c>
      <c r="F814" s="20">
        <v>3197487.8470000001</v>
      </c>
      <c r="G814" s="30">
        <f t="shared" si="37"/>
        <v>3436395.8470000001</v>
      </c>
      <c r="H814" t="str">
        <f>IFERROR(VLOOKUP(C814,Sheet1!$B$2:$C$25,2,FALSE),"")</f>
        <v/>
      </c>
      <c r="I814">
        <f t="shared" si="38"/>
        <v>1613</v>
      </c>
    </row>
    <row r="815" spans="1:9" x14ac:dyDescent="0.2">
      <c r="A815" t="str">
        <f t="shared" si="36"/>
        <v/>
      </c>
      <c r="B815" s="20">
        <v>2015</v>
      </c>
      <c r="C815" s="21" t="s">
        <v>99</v>
      </c>
      <c r="D815" s="21" t="s">
        <v>99</v>
      </c>
      <c r="E815" s="23">
        <v>10372</v>
      </c>
      <c r="F815" s="20">
        <v>162706.12210000001</v>
      </c>
      <c r="G815" s="30">
        <f t="shared" si="37"/>
        <v>173078.12210000001</v>
      </c>
      <c r="H815" t="str">
        <f>IFERROR(VLOOKUP(C815,Sheet1!$B$2:$C$25,2,FALSE),"")</f>
        <v/>
      </c>
      <c r="I815">
        <f t="shared" si="38"/>
        <v>1613</v>
      </c>
    </row>
    <row r="816" spans="1:9" x14ac:dyDescent="0.2">
      <c r="A816" t="str">
        <f t="shared" si="36"/>
        <v/>
      </c>
      <c r="B816" s="20">
        <v>2016</v>
      </c>
      <c r="C816" s="21" t="s">
        <v>99</v>
      </c>
      <c r="D816" s="21" t="s">
        <v>99</v>
      </c>
      <c r="E816" s="23">
        <v>10372</v>
      </c>
      <c r="F816" s="20">
        <v>161894.86670000001</v>
      </c>
      <c r="G816" s="30">
        <f t="shared" si="37"/>
        <v>172266.86670000001</v>
      </c>
      <c r="H816" t="str">
        <f>IFERROR(VLOOKUP(C816,Sheet1!$B$2:$C$25,2,FALSE),"")</f>
        <v/>
      </c>
      <c r="I816">
        <f t="shared" si="38"/>
        <v>1613</v>
      </c>
    </row>
    <row r="817" spans="1:9" x14ac:dyDescent="0.2">
      <c r="A817" t="str">
        <f t="shared" si="36"/>
        <v/>
      </c>
      <c r="B817" s="20">
        <v>2017</v>
      </c>
      <c r="C817" s="21" t="s">
        <v>99</v>
      </c>
      <c r="D817" s="21" t="s">
        <v>99</v>
      </c>
      <c r="E817" s="23">
        <v>10372</v>
      </c>
      <c r="F817" s="20">
        <v>171453.30239999999</v>
      </c>
      <c r="G817" s="30">
        <f t="shared" si="37"/>
        <v>181825.30239999999</v>
      </c>
      <c r="H817" t="str">
        <f>IFERROR(VLOOKUP(C817,Sheet1!$B$2:$C$25,2,FALSE),"")</f>
        <v/>
      </c>
      <c r="I817">
        <f t="shared" si="38"/>
        <v>1613</v>
      </c>
    </row>
    <row r="818" spans="1:9" x14ac:dyDescent="0.2">
      <c r="A818" t="str">
        <f t="shared" si="36"/>
        <v/>
      </c>
      <c r="B818" s="20">
        <v>2018</v>
      </c>
      <c r="C818" s="21" t="s">
        <v>99</v>
      </c>
      <c r="D818" s="21" t="s">
        <v>99</v>
      </c>
      <c r="E818" s="23">
        <v>10372</v>
      </c>
      <c r="F818" s="20">
        <v>156060.27499999999</v>
      </c>
      <c r="G818" s="30">
        <f t="shared" si="37"/>
        <v>166432.27499999999</v>
      </c>
      <c r="H818" t="str">
        <f>IFERROR(VLOOKUP(C818,Sheet1!$B$2:$C$25,2,FALSE),"")</f>
        <v/>
      </c>
      <c r="I818">
        <f t="shared" si="38"/>
        <v>1613</v>
      </c>
    </row>
    <row r="819" spans="1:9" x14ac:dyDescent="0.2">
      <c r="A819" t="str">
        <f t="shared" si="36"/>
        <v/>
      </c>
      <c r="B819" s="20">
        <v>2019</v>
      </c>
      <c r="C819" s="21" t="s">
        <v>99</v>
      </c>
      <c r="D819" s="21" t="s">
        <v>99</v>
      </c>
      <c r="E819" s="23">
        <v>19839</v>
      </c>
      <c r="F819" s="20">
        <v>285445.8847</v>
      </c>
      <c r="G819" s="30">
        <f t="shared" si="37"/>
        <v>305284.8847</v>
      </c>
      <c r="H819" t="str">
        <f>IFERROR(VLOOKUP(C819,Sheet1!$B$2:$C$25,2,FALSE),"")</f>
        <v/>
      </c>
      <c r="I819">
        <f t="shared" si="38"/>
        <v>1613</v>
      </c>
    </row>
    <row r="820" spans="1:9" x14ac:dyDescent="0.2">
      <c r="A820" t="str">
        <f t="shared" si="36"/>
        <v/>
      </c>
      <c r="B820" s="20">
        <v>2020</v>
      </c>
      <c r="C820" s="21" t="s">
        <v>99</v>
      </c>
      <c r="D820" s="21" t="s">
        <v>99</v>
      </c>
      <c r="E820" s="23">
        <v>37286</v>
      </c>
      <c r="F820" s="20">
        <v>521233.85320000001</v>
      </c>
      <c r="G820" s="30">
        <f t="shared" si="37"/>
        <v>558519.85320000001</v>
      </c>
      <c r="H820" t="str">
        <f>IFERROR(VLOOKUP(C820,Sheet1!$B$2:$C$25,2,FALSE),"")</f>
        <v/>
      </c>
      <c r="I820">
        <f t="shared" si="38"/>
        <v>1613</v>
      </c>
    </row>
    <row r="821" spans="1:9" x14ac:dyDescent="0.2">
      <c r="A821" t="str">
        <f t="shared" si="36"/>
        <v/>
      </c>
      <c r="B821" s="20">
        <v>2021</v>
      </c>
      <c r="C821" s="21" t="s">
        <v>99</v>
      </c>
      <c r="D821" s="21" t="s">
        <v>99</v>
      </c>
      <c r="E821" s="23">
        <v>25378</v>
      </c>
      <c r="F821" s="20">
        <v>331284.03600000002</v>
      </c>
      <c r="G821" s="30">
        <f t="shared" si="37"/>
        <v>356662.03600000002</v>
      </c>
      <c r="H821" t="str">
        <f>IFERROR(VLOOKUP(C821,Sheet1!$B$2:$C$25,2,FALSE),"")</f>
        <v/>
      </c>
      <c r="I821">
        <f t="shared" si="38"/>
        <v>1613</v>
      </c>
    </row>
    <row r="822" spans="1:9" x14ac:dyDescent="0.2">
      <c r="A822" t="str">
        <f t="shared" si="36"/>
        <v/>
      </c>
      <c r="B822" s="20">
        <v>2022</v>
      </c>
      <c r="C822" s="21" t="s">
        <v>99</v>
      </c>
      <c r="D822" s="21" t="s">
        <v>99</v>
      </c>
      <c r="E822" s="23">
        <v>19219</v>
      </c>
      <c r="F822" s="20">
        <v>264213.62760000001</v>
      </c>
      <c r="G822" s="30">
        <f t="shared" si="37"/>
        <v>283432.62760000001</v>
      </c>
      <c r="H822" t="str">
        <f>IFERROR(VLOOKUP(C822,Sheet1!$B$2:$C$25,2,FALSE),"")</f>
        <v/>
      </c>
      <c r="I822">
        <f t="shared" si="38"/>
        <v>1613</v>
      </c>
    </row>
    <row r="823" spans="1:9" x14ac:dyDescent="0.2">
      <c r="A823" t="str">
        <f t="shared" si="36"/>
        <v/>
      </c>
      <c r="B823" s="20">
        <v>2023</v>
      </c>
      <c r="C823" s="21" t="s">
        <v>99</v>
      </c>
      <c r="D823" s="21" t="s">
        <v>99</v>
      </c>
      <c r="E823" s="23">
        <v>21529</v>
      </c>
      <c r="F823" s="20">
        <v>288139.01530000003</v>
      </c>
      <c r="G823" s="30">
        <f t="shared" si="37"/>
        <v>309668.01530000003</v>
      </c>
      <c r="H823" t="str">
        <f>IFERROR(VLOOKUP(C823,Sheet1!$B$2:$C$25,2,FALSE),"")</f>
        <v/>
      </c>
      <c r="I823">
        <f t="shared" si="38"/>
        <v>1613</v>
      </c>
    </row>
    <row r="824" spans="1:9" x14ac:dyDescent="0.2">
      <c r="A824" t="str">
        <f t="shared" si="36"/>
        <v/>
      </c>
      <c r="B824" s="20">
        <v>2015</v>
      </c>
      <c r="C824" s="21" t="s">
        <v>271</v>
      </c>
      <c r="D824" s="21" t="s">
        <v>99</v>
      </c>
      <c r="E824" s="23">
        <v>5206</v>
      </c>
      <c r="F824" s="20">
        <v>81666.802119999993</v>
      </c>
      <c r="G824" s="30">
        <f t="shared" si="37"/>
        <v>86872.802119999993</v>
      </c>
      <c r="H824" t="str">
        <f>IFERROR(VLOOKUP(C824,Sheet1!$B$2:$C$25,2,FALSE),"")</f>
        <v/>
      </c>
      <c r="I824">
        <f t="shared" si="38"/>
        <v>1613</v>
      </c>
    </row>
    <row r="825" spans="1:9" x14ac:dyDescent="0.2">
      <c r="A825" t="str">
        <f t="shared" si="36"/>
        <v/>
      </c>
      <c r="B825" s="20">
        <v>2016</v>
      </c>
      <c r="C825" s="21" t="s">
        <v>271</v>
      </c>
      <c r="D825" s="21" t="s">
        <v>99</v>
      </c>
      <c r="E825" s="23">
        <v>4564</v>
      </c>
      <c r="F825" s="20">
        <v>71238.736170000004</v>
      </c>
      <c r="G825" s="30">
        <f t="shared" si="37"/>
        <v>75802.736170000004</v>
      </c>
      <c r="H825" t="str">
        <f>IFERROR(VLOOKUP(C825,Sheet1!$B$2:$C$25,2,FALSE),"")</f>
        <v/>
      </c>
      <c r="I825">
        <f t="shared" si="38"/>
        <v>1613</v>
      </c>
    </row>
    <row r="826" spans="1:9" x14ac:dyDescent="0.2">
      <c r="A826" t="str">
        <f t="shared" si="36"/>
        <v/>
      </c>
      <c r="B826" s="20">
        <v>2017</v>
      </c>
      <c r="C826" s="21" t="s">
        <v>271</v>
      </c>
      <c r="D826" s="21" t="s">
        <v>99</v>
      </c>
      <c r="E826" s="23" t="s">
        <v>269</v>
      </c>
      <c r="F826" s="20">
        <v>0</v>
      </c>
      <c r="G826" s="30">
        <f t="shared" si="37"/>
        <v>0</v>
      </c>
      <c r="H826" t="str">
        <f>IFERROR(VLOOKUP(C826,Sheet1!$B$2:$C$25,2,FALSE),"")</f>
        <v/>
      </c>
      <c r="I826">
        <f t="shared" si="38"/>
        <v>1613</v>
      </c>
    </row>
    <row r="827" spans="1:9" x14ac:dyDescent="0.2">
      <c r="A827" t="str">
        <f t="shared" si="36"/>
        <v/>
      </c>
      <c r="B827" s="20">
        <v>2015</v>
      </c>
      <c r="C827" s="21" t="s">
        <v>100</v>
      </c>
      <c r="D827" s="21" t="s">
        <v>100</v>
      </c>
      <c r="E827" s="23">
        <v>261657</v>
      </c>
      <c r="F827" s="20">
        <v>4104627.4380000001</v>
      </c>
      <c r="G827" s="30">
        <f t="shared" si="37"/>
        <v>4366284.4380000001</v>
      </c>
      <c r="H827" t="str">
        <f>IFERROR(VLOOKUP(C827,Sheet1!$B$2:$C$25,2,FALSE),"")</f>
        <v/>
      </c>
      <c r="I827">
        <f t="shared" si="38"/>
        <v>1613</v>
      </c>
    </row>
    <row r="828" spans="1:9" x14ac:dyDescent="0.2">
      <c r="A828" t="str">
        <f t="shared" si="36"/>
        <v/>
      </c>
      <c r="B828" s="20">
        <v>2016</v>
      </c>
      <c r="C828" s="21" t="s">
        <v>100</v>
      </c>
      <c r="D828" s="21" t="s">
        <v>100</v>
      </c>
      <c r="E828" s="23">
        <v>227640</v>
      </c>
      <c r="F828" s="20">
        <v>3553195.8590000002</v>
      </c>
      <c r="G828" s="30">
        <f t="shared" si="37"/>
        <v>3780835.8590000002</v>
      </c>
      <c r="H828" t="str">
        <f>IFERROR(VLOOKUP(C828,Sheet1!$B$2:$C$25,2,FALSE),"")</f>
        <v/>
      </c>
      <c r="I828">
        <f t="shared" si="38"/>
        <v>1613</v>
      </c>
    </row>
    <row r="829" spans="1:9" x14ac:dyDescent="0.2">
      <c r="A829" t="str">
        <f t="shared" si="36"/>
        <v/>
      </c>
      <c r="B829" s="20">
        <v>2017</v>
      </c>
      <c r="C829" s="21" t="s">
        <v>100</v>
      </c>
      <c r="D829" s="21" t="s">
        <v>100</v>
      </c>
      <c r="E829" s="23">
        <v>216075</v>
      </c>
      <c r="F829" s="20">
        <v>3571806.0460000001</v>
      </c>
      <c r="G829" s="30">
        <f t="shared" si="37"/>
        <v>3787881.0460000001</v>
      </c>
      <c r="H829" t="str">
        <f>IFERROR(VLOOKUP(C829,Sheet1!$B$2:$C$25,2,FALSE),"")</f>
        <v/>
      </c>
      <c r="I829">
        <f t="shared" si="38"/>
        <v>1613</v>
      </c>
    </row>
    <row r="830" spans="1:9" x14ac:dyDescent="0.2">
      <c r="A830" t="str">
        <f t="shared" si="36"/>
        <v/>
      </c>
      <c r="B830" s="20">
        <v>2018</v>
      </c>
      <c r="C830" s="21" t="s">
        <v>100</v>
      </c>
      <c r="D830" s="21" t="s">
        <v>100</v>
      </c>
      <c r="E830" s="23">
        <v>241992</v>
      </c>
      <c r="F830" s="20">
        <v>3641085.429</v>
      </c>
      <c r="G830" s="30">
        <f t="shared" si="37"/>
        <v>3883077.429</v>
      </c>
      <c r="H830" t="str">
        <f>IFERROR(VLOOKUP(C830,Sheet1!$B$2:$C$25,2,FALSE),"")</f>
        <v/>
      </c>
      <c r="I830">
        <f t="shared" si="38"/>
        <v>1613</v>
      </c>
    </row>
    <row r="831" spans="1:9" x14ac:dyDescent="0.2">
      <c r="A831" t="str">
        <f t="shared" si="36"/>
        <v/>
      </c>
      <c r="B831" s="20">
        <v>2019</v>
      </c>
      <c r="C831" s="21" t="s">
        <v>100</v>
      </c>
      <c r="D831" s="21" t="s">
        <v>100</v>
      </c>
      <c r="E831" s="23">
        <v>274358</v>
      </c>
      <c r="F831" s="20">
        <v>3947495.44</v>
      </c>
      <c r="G831" s="30">
        <f t="shared" si="37"/>
        <v>4221853.4399999995</v>
      </c>
      <c r="H831" t="str">
        <f>IFERROR(VLOOKUP(C831,Sheet1!$B$2:$C$25,2,FALSE),"")</f>
        <v/>
      </c>
      <c r="I831">
        <f t="shared" si="38"/>
        <v>1613</v>
      </c>
    </row>
    <row r="832" spans="1:9" x14ac:dyDescent="0.2">
      <c r="A832" t="str">
        <f t="shared" si="36"/>
        <v/>
      </c>
      <c r="B832" s="20">
        <v>2020</v>
      </c>
      <c r="C832" s="21" t="s">
        <v>100</v>
      </c>
      <c r="D832" s="21" t="s">
        <v>100</v>
      </c>
      <c r="E832" s="23">
        <v>268025</v>
      </c>
      <c r="F832" s="20">
        <v>3746813.9109999998</v>
      </c>
      <c r="G832" s="30">
        <f t="shared" si="37"/>
        <v>4014838.9109999998</v>
      </c>
      <c r="H832" t="str">
        <f>IFERROR(VLOOKUP(C832,Sheet1!$B$2:$C$25,2,FALSE),"")</f>
        <v/>
      </c>
      <c r="I832">
        <f t="shared" si="38"/>
        <v>1613</v>
      </c>
    </row>
    <row r="833" spans="1:9" x14ac:dyDescent="0.2">
      <c r="A833" t="str">
        <f t="shared" si="36"/>
        <v/>
      </c>
      <c r="B833" s="20">
        <v>2021</v>
      </c>
      <c r="C833" s="21" t="s">
        <v>100</v>
      </c>
      <c r="D833" s="21" t="s">
        <v>100</v>
      </c>
      <c r="E833" s="23">
        <v>308867</v>
      </c>
      <c r="F833" s="20">
        <v>4031945.2420000001</v>
      </c>
      <c r="G833" s="30">
        <f t="shared" si="37"/>
        <v>4340812.2420000006</v>
      </c>
      <c r="H833" t="str">
        <f>IFERROR(VLOOKUP(C833,Sheet1!$B$2:$C$25,2,FALSE),"")</f>
        <v/>
      </c>
      <c r="I833">
        <f t="shared" si="38"/>
        <v>1613</v>
      </c>
    </row>
    <row r="834" spans="1:9" x14ac:dyDescent="0.2">
      <c r="A834" t="str">
        <f t="shared" si="36"/>
        <v/>
      </c>
      <c r="B834" s="20">
        <v>2022</v>
      </c>
      <c r="C834" s="21" t="s">
        <v>100</v>
      </c>
      <c r="D834" s="21" t="s">
        <v>100</v>
      </c>
      <c r="E834" s="23">
        <v>329816</v>
      </c>
      <c r="F834" s="20">
        <v>4534152.7560000001</v>
      </c>
      <c r="G834" s="30">
        <f t="shared" si="37"/>
        <v>4863968.7560000001</v>
      </c>
      <c r="H834" t="str">
        <f>IFERROR(VLOOKUP(C834,Sheet1!$B$2:$C$25,2,FALSE),"")</f>
        <v/>
      </c>
      <c r="I834">
        <f t="shared" si="38"/>
        <v>1613</v>
      </c>
    </row>
    <row r="835" spans="1:9" x14ac:dyDescent="0.2">
      <c r="A835" t="str">
        <f t="shared" ref="A835:A898" si="39">H835</f>
        <v/>
      </c>
      <c r="B835" s="20">
        <v>2023</v>
      </c>
      <c r="C835" s="21" t="s">
        <v>100</v>
      </c>
      <c r="D835" s="21" t="s">
        <v>100</v>
      </c>
      <c r="E835" s="23">
        <v>343529</v>
      </c>
      <c r="F835" s="20">
        <v>4597710.4270000001</v>
      </c>
      <c r="G835" s="30">
        <f t="shared" ref="G835:G898" si="40">SUM(E835:F835)</f>
        <v>4941239.4270000001</v>
      </c>
      <c r="H835" t="str">
        <f>IFERROR(VLOOKUP(C835,Sheet1!$B$2:$C$25,2,FALSE),"")</f>
        <v/>
      </c>
      <c r="I835">
        <f t="shared" ref="I835:I898" si="41">COUNTIF($H$2:$H$1812,H835)</f>
        <v>1613</v>
      </c>
    </row>
    <row r="836" spans="1:9" x14ac:dyDescent="0.2">
      <c r="A836" t="str">
        <f t="shared" si="39"/>
        <v/>
      </c>
      <c r="B836" s="20">
        <v>2015</v>
      </c>
      <c r="C836" s="21" t="s">
        <v>101</v>
      </c>
      <c r="D836" s="21" t="s">
        <v>101</v>
      </c>
      <c r="E836" s="23">
        <v>205036</v>
      </c>
      <c r="F836" s="20">
        <v>3216410.764</v>
      </c>
      <c r="G836" s="30">
        <f t="shared" si="40"/>
        <v>3421446.764</v>
      </c>
      <c r="H836" t="str">
        <f>IFERROR(VLOOKUP(C836,Sheet1!$B$2:$C$25,2,FALSE),"")</f>
        <v/>
      </c>
      <c r="I836">
        <f t="shared" si="41"/>
        <v>1613</v>
      </c>
    </row>
    <row r="837" spans="1:9" x14ac:dyDescent="0.2">
      <c r="A837" t="str">
        <f t="shared" si="39"/>
        <v/>
      </c>
      <c r="B837" s="20">
        <v>2016</v>
      </c>
      <c r="C837" s="21" t="s">
        <v>101</v>
      </c>
      <c r="D837" s="21" t="s">
        <v>101</v>
      </c>
      <c r="E837" s="23">
        <v>213331</v>
      </c>
      <c r="F837" s="20">
        <v>3329848.9980000001</v>
      </c>
      <c r="G837" s="30">
        <f t="shared" si="40"/>
        <v>3543179.9980000001</v>
      </c>
      <c r="H837" t="str">
        <f>IFERROR(VLOOKUP(C837,Sheet1!$B$2:$C$25,2,FALSE),"")</f>
        <v/>
      </c>
      <c r="I837">
        <f t="shared" si="41"/>
        <v>1613</v>
      </c>
    </row>
    <row r="838" spans="1:9" x14ac:dyDescent="0.2">
      <c r="A838" t="str">
        <f t="shared" si="39"/>
        <v/>
      </c>
      <c r="B838" s="20">
        <v>2017</v>
      </c>
      <c r="C838" s="21" t="s">
        <v>101</v>
      </c>
      <c r="D838" s="21" t="s">
        <v>101</v>
      </c>
      <c r="E838" s="23">
        <v>250284</v>
      </c>
      <c r="F838" s="20">
        <v>4137294.4789999998</v>
      </c>
      <c r="G838" s="30">
        <f t="shared" si="40"/>
        <v>4387578.4790000003</v>
      </c>
      <c r="H838" t="str">
        <f>IFERROR(VLOOKUP(C838,Sheet1!$B$2:$C$25,2,FALSE),"")</f>
        <v/>
      </c>
      <c r="I838">
        <f t="shared" si="41"/>
        <v>1613</v>
      </c>
    </row>
    <row r="839" spans="1:9" x14ac:dyDescent="0.2">
      <c r="A839" t="str">
        <f t="shared" si="39"/>
        <v/>
      </c>
      <c r="B839" s="20">
        <v>2018</v>
      </c>
      <c r="C839" s="21" t="s">
        <v>101</v>
      </c>
      <c r="D839" s="21" t="s">
        <v>211</v>
      </c>
      <c r="E839" s="23">
        <v>360271</v>
      </c>
      <c r="F839" s="20">
        <v>5420747.3339999998</v>
      </c>
      <c r="G839" s="30">
        <f t="shared" si="40"/>
        <v>5781018.3339999998</v>
      </c>
      <c r="H839" t="str">
        <f>IFERROR(VLOOKUP(C839,Sheet1!$B$2:$C$25,2,FALSE),"")</f>
        <v/>
      </c>
      <c r="I839">
        <f t="shared" si="41"/>
        <v>1613</v>
      </c>
    </row>
    <row r="840" spans="1:9" x14ac:dyDescent="0.2">
      <c r="A840" t="str">
        <f t="shared" si="39"/>
        <v/>
      </c>
      <c r="B840" s="20">
        <v>2019</v>
      </c>
      <c r="C840" s="21" t="s">
        <v>101</v>
      </c>
      <c r="D840" s="21" t="s">
        <v>101</v>
      </c>
      <c r="E840" s="23">
        <v>390964</v>
      </c>
      <c r="F840" s="20">
        <v>5625236.3959999997</v>
      </c>
      <c r="G840" s="30">
        <f t="shared" si="40"/>
        <v>6016200.3959999997</v>
      </c>
      <c r="H840" t="str">
        <f>IFERROR(VLOOKUP(C840,Sheet1!$B$2:$C$25,2,FALSE),"")</f>
        <v/>
      </c>
      <c r="I840">
        <f t="shared" si="41"/>
        <v>1613</v>
      </c>
    </row>
    <row r="841" spans="1:9" x14ac:dyDescent="0.2">
      <c r="A841" t="str">
        <f t="shared" si="39"/>
        <v/>
      </c>
      <c r="B841" s="20">
        <v>2020</v>
      </c>
      <c r="C841" s="21" t="s">
        <v>101</v>
      </c>
      <c r="D841" s="21" t="s">
        <v>101</v>
      </c>
      <c r="E841" s="23">
        <v>402751</v>
      </c>
      <c r="F841" s="20">
        <v>5630195.1299999999</v>
      </c>
      <c r="G841" s="30">
        <f t="shared" si="40"/>
        <v>6032946.1299999999</v>
      </c>
      <c r="H841" t="str">
        <f>IFERROR(VLOOKUP(C841,Sheet1!$B$2:$C$25,2,FALSE),"")</f>
        <v/>
      </c>
      <c r="I841">
        <f t="shared" si="41"/>
        <v>1613</v>
      </c>
    </row>
    <row r="842" spans="1:9" x14ac:dyDescent="0.2">
      <c r="A842" t="str">
        <f t="shared" si="39"/>
        <v/>
      </c>
      <c r="B842" s="20">
        <v>2021</v>
      </c>
      <c r="C842" s="21" t="s">
        <v>101</v>
      </c>
      <c r="D842" s="21" t="s">
        <v>101</v>
      </c>
      <c r="E842" s="23">
        <v>494345</v>
      </c>
      <c r="F842" s="20">
        <v>6453172.307</v>
      </c>
      <c r="G842" s="30">
        <f t="shared" si="40"/>
        <v>6947517.307</v>
      </c>
      <c r="H842" t="str">
        <f>IFERROR(VLOOKUP(C842,Sheet1!$B$2:$C$25,2,FALSE),"")</f>
        <v/>
      </c>
      <c r="I842">
        <f t="shared" si="41"/>
        <v>1613</v>
      </c>
    </row>
    <row r="843" spans="1:9" x14ac:dyDescent="0.2">
      <c r="A843" t="str">
        <f t="shared" si="39"/>
        <v/>
      </c>
      <c r="B843" s="20">
        <v>2022</v>
      </c>
      <c r="C843" s="21" t="s">
        <v>101</v>
      </c>
      <c r="D843" s="21" t="s">
        <v>101</v>
      </c>
      <c r="E843" s="23">
        <v>591942</v>
      </c>
      <c r="F843" s="20">
        <v>8137735.7390000001</v>
      </c>
      <c r="G843" s="30">
        <f t="shared" si="40"/>
        <v>8729677.7390000001</v>
      </c>
      <c r="H843" t="str">
        <f>IFERROR(VLOOKUP(C843,Sheet1!$B$2:$C$25,2,FALSE),"")</f>
        <v/>
      </c>
      <c r="I843">
        <f t="shared" si="41"/>
        <v>1613</v>
      </c>
    </row>
    <row r="844" spans="1:9" x14ac:dyDescent="0.2">
      <c r="A844" t="str">
        <f t="shared" si="39"/>
        <v/>
      </c>
      <c r="B844" s="20">
        <v>2023</v>
      </c>
      <c r="C844" s="21" t="s">
        <v>101</v>
      </c>
      <c r="D844" s="21" t="s">
        <v>101</v>
      </c>
      <c r="E844" s="23">
        <v>686458</v>
      </c>
      <c r="F844" s="20">
        <v>9187390.5960000008</v>
      </c>
      <c r="G844" s="30">
        <f t="shared" si="40"/>
        <v>9873848.5960000008</v>
      </c>
      <c r="H844" t="str">
        <f>IFERROR(VLOOKUP(C844,Sheet1!$B$2:$C$25,2,FALSE),"")</f>
        <v/>
      </c>
      <c r="I844">
        <f t="shared" si="41"/>
        <v>1613</v>
      </c>
    </row>
    <row r="845" spans="1:9" x14ac:dyDescent="0.2">
      <c r="A845" t="str">
        <f t="shared" si="39"/>
        <v/>
      </c>
      <c r="B845" s="20">
        <v>2015</v>
      </c>
      <c r="C845" s="21" t="s">
        <v>102</v>
      </c>
      <c r="D845" s="21" t="s">
        <v>102</v>
      </c>
      <c r="E845" s="23">
        <v>17160</v>
      </c>
      <c r="F845" s="20">
        <v>269189.84330000001</v>
      </c>
      <c r="G845" s="30">
        <f t="shared" si="40"/>
        <v>286349.84330000001</v>
      </c>
      <c r="H845" t="str">
        <f>IFERROR(VLOOKUP(C845,Sheet1!$B$2:$C$25,2,FALSE),"")</f>
        <v/>
      </c>
      <c r="I845">
        <f t="shared" si="41"/>
        <v>1613</v>
      </c>
    </row>
    <row r="846" spans="1:9" x14ac:dyDescent="0.2">
      <c r="A846" t="str">
        <f t="shared" si="39"/>
        <v/>
      </c>
      <c r="B846" s="20">
        <v>2016</v>
      </c>
      <c r="C846" s="21" t="s">
        <v>102</v>
      </c>
      <c r="D846" s="21" t="s">
        <v>102</v>
      </c>
      <c r="E846" s="23">
        <v>19574</v>
      </c>
      <c r="F846" s="20">
        <v>305527.39299999998</v>
      </c>
      <c r="G846" s="30">
        <f t="shared" si="40"/>
        <v>325101.39299999998</v>
      </c>
      <c r="H846" t="str">
        <f>IFERROR(VLOOKUP(C846,Sheet1!$B$2:$C$25,2,FALSE),"")</f>
        <v/>
      </c>
      <c r="I846">
        <f t="shared" si="41"/>
        <v>1613</v>
      </c>
    </row>
    <row r="847" spans="1:9" x14ac:dyDescent="0.2">
      <c r="A847" t="str">
        <f t="shared" si="39"/>
        <v/>
      </c>
      <c r="B847" s="20">
        <v>2017</v>
      </c>
      <c r="C847" s="21" t="s">
        <v>102</v>
      </c>
      <c r="D847" s="21" t="s">
        <v>102</v>
      </c>
      <c r="E847" s="23">
        <v>22393</v>
      </c>
      <c r="F847" s="20">
        <v>370165.23330000002</v>
      </c>
      <c r="G847" s="30">
        <f t="shared" si="40"/>
        <v>392558.23330000002</v>
      </c>
      <c r="H847" t="str">
        <f>IFERROR(VLOOKUP(C847,Sheet1!$B$2:$C$25,2,FALSE),"")</f>
        <v/>
      </c>
      <c r="I847">
        <f t="shared" si="41"/>
        <v>1613</v>
      </c>
    </row>
    <row r="848" spans="1:9" x14ac:dyDescent="0.2">
      <c r="A848" t="str">
        <f t="shared" si="39"/>
        <v/>
      </c>
      <c r="B848" s="20">
        <v>2018</v>
      </c>
      <c r="C848" s="21" t="s">
        <v>102</v>
      </c>
      <c r="D848" s="21" t="s">
        <v>102</v>
      </c>
      <c r="E848" s="23">
        <v>23293</v>
      </c>
      <c r="F848" s="20">
        <v>350473.58140000002</v>
      </c>
      <c r="G848" s="30">
        <f t="shared" si="40"/>
        <v>373766.58140000002</v>
      </c>
      <c r="H848" t="str">
        <f>IFERROR(VLOOKUP(C848,Sheet1!$B$2:$C$25,2,FALSE),"")</f>
        <v/>
      </c>
      <c r="I848">
        <f t="shared" si="41"/>
        <v>1613</v>
      </c>
    </row>
    <row r="849" spans="1:9" x14ac:dyDescent="0.2">
      <c r="A849" t="str">
        <f t="shared" si="39"/>
        <v/>
      </c>
      <c r="B849" s="20">
        <v>2019</v>
      </c>
      <c r="C849" s="21" t="s">
        <v>102</v>
      </c>
      <c r="D849" s="21" t="s">
        <v>102</v>
      </c>
      <c r="E849" s="23">
        <v>28091</v>
      </c>
      <c r="F849" s="20">
        <v>404176.63929999998</v>
      </c>
      <c r="G849" s="30">
        <f t="shared" si="40"/>
        <v>432267.63929999998</v>
      </c>
      <c r="H849" t="str">
        <f>IFERROR(VLOOKUP(C849,Sheet1!$B$2:$C$25,2,FALSE),"")</f>
        <v/>
      </c>
      <c r="I849">
        <f t="shared" si="41"/>
        <v>1613</v>
      </c>
    </row>
    <row r="850" spans="1:9" x14ac:dyDescent="0.2">
      <c r="A850" t="str">
        <f t="shared" si="39"/>
        <v/>
      </c>
      <c r="B850" s="20">
        <v>2020</v>
      </c>
      <c r="C850" s="21" t="s">
        <v>102</v>
      </c>
      <c r="D850" s="21" t="s">
        <v>102</v>
      </c>
      <c r="E850" s="23">
        <v>53366</v>
      </c>
      <c r="F850" s="20">
        <v>746021.71889999998</v>
      </c>
      <c r="G850" s="30">
        <f t="shared" si="40"/>
        <v>799387.71889999998</v>
      </c>
      <c r="H850" t="str">
        <f>IFERROR(VLOOKUP(C850,Sheet1!$B$2:$C$25,2,FALSE),"")</f>
        <v/>
      </c>
      <c r="I850">
        <f t="shared" si="41"/>
        <v>1613</v>
      </c>
    </row>
    <row r="851" spans="1:9" x14ac:dyDescent="0.2">
      <c r="A851" t="str">
        <f t="shared" si="39"/>
        <v/>
      </c>
      <c r="B851" s="20">
        <v>2021</v>
      </c>
      <c r="C851" s="21" t="s">
        <v>102</v>
      </c>
      <c r="D851" s="21" t="s">
        <v>102</v>
      </c>
      <c r="E851" s="23">
        <v>59196</v>
      </c>
      <c r="F851" s="20">
        <v>772743.7071</v>
      </c>
      <c r="G851" s="30">
        <f t="shared" si="40"/>
        <v>831939.7071</v>
      </c>
      <c r="H851" t="str">
        <f>IFERROR(VLOOKUP(C851,Sheet1!$B$2:$C$25,2,FALSE),"")</f>
        <v/>
      </c>
      <c r="I851">
        <f t="shared" si="41"/>
        <v>1613</v>
      </c>
    </row>
    <row r="852" spans="1:9" x14ac:dyDescent="0.2">
      <c r="A852" t="str">
        <f t="shared" si="39"/>
        <v/>
      </c>
      <c r="B852" s="20">
        <v>2022</v>
      </c>
      <c r="C852" s="21" t="s">
        <v>102</v>
      </c>
      <c r="D852" s="21" t="s">
        <v>102</v>
      </c>
      <c r="E852" s="23">
        <v>61261</v>
      </c>
      <c r="F852" s="20">
        <v>842186.95259999996</v>
      </c>
      <c r="G852" s="30">
        <f t="shared" si="40"/>
        <v>903447.95259999996</v>
      </c>
      <c r="H852" t="str">
        <f>IFERROR(VLOOKUP(C852,Sheet1!$B$2:$C$25,2,FALSE),"")</f>
        <v/>
      </c>
      <c r="I852">
        <f t="shared" si="41"/>
        <v>1613</v>
      </c>
    </row>
    <row r="853" spans="1:9" x14ac:dyDescent="0.2">
      <c r="A853" t="str">
        <f t="shared" si="39"/>
        <v/>
      </c>
      <c r="B853" s="20">
        <v>2023</v>
      </c>
      <c r="C853" s="21" t="s">
        <v>102</v>
      </c>
      <c r="D853" s="21" t="s">
        <v>102</v>
      </c>
      <c r="E853" s="23">
        <v>64487</v>
      </c>
      <c r="F853" s="20">
        <v>863078.66960000002</v>
      </c>
      <c r="G853" s="30">
        <f t="shared" si="40"/>
        <v>927565.66960000002</v>
      </c>
      <c r="H853" t="str">
        <f>IFERROR(VLOOKUP(C853,Sheet1!$B$2:$C$25,2,FALSE),"")</f>
        <v/>
      </c>
      <c r="I853">
        <f t="shared" si="41"/>
        <v>1613</v>
      </c>
    </row>
    <row r="854" spans="1:9" x14ac:dyDescent="0.2">
      <c r="A854">
        <f t="shared" si="39"/>
        <v>2400420</v>
      </c>
      <c r="B854" s="20">
        <v>2015</v>
      </c>
      <c r="C854" s="21" t="s">
        <v>103</v>
      </c>
      <c r="D854" s="21" t="s">
        <v>103</v>
      </c>
      <c r="E854" s="23">
        <v>4460545</v>
      </c>
      <c r="F854" s="20">
        <v>69972809.420000002</v>
      </c>
      <c r="G854" s="30">
        <f t="shared" si="40"/>
        <v>74433354.420000002</v>
      </c>
      <c r="H854">
        <f>IFERROR(VLOOKUP(C854,Sheet1!$B$2:$C$25,2,FALSE),"")</f>
        <v>2400420</v>
      </c>
      <c r="I854">
        <f t="shared" si="41"/>
        <v>9</v>
      </c>
    </row>
    <row r="855" spans="1:9" x14ac:dyDescent="0.2">
      <c r="A855">
        <f t="shared" si="39"/>
        <v>2400420</v>
      </c>
      <c r="B855" s="20">
        <v>2016</v>
      </c>
      <c r="C855" s="21" t="s">
        <v>103</v>
      </c>
      <c r="D855" s="21" t="s">
        <v>103</v>
      </c>
      <c r="E855" s="23">
        <v>4220168</v>
      </c>
      <c r="F855" s="20">
        <v>65871918.219999999</v>
      </c>
      <c r="G855" s="30">
        <f t="shared" si="40"/>
        <v>70092086.219999999</v>
      </c>
      <c r="H855">
        <f>IFERROR(VLOOKUP(C855,Sheet1!$B$2:$C$25,2,FALSE),"")</f>
        <v>2400420</v>
      </c>
      <c r="I855">
        <f t="shared" si="41"/>
        <v>9</v>
      </c>
    </row>
    <row r="856" spans="1:9" x14ac:dyDescent="0.2">
      <c r="A856">
        <f t="shared" si="39"/>
        <v>2400420</v>
      </c>
      <c r="B856" s="20">
        <v>2017</v>
      </c>
      <c r="C856" s="21" t="s">
        <v>103</v>
      </c>
      <c r="D856" s="21" t="s">
        <v>103</v>
      </c>
      <c r="E856" s="23">
        <v>4156709</v>
      </c>
      <c r="F856" s="20">
        <v>68712059.879999995</v>
      </c>
      <c r="G856" s="30">
        <f t="shared" si="40"/>
        <v>72868768.879999995</v>
      </c>
      <c r="H856">
        <f>IFERROR(VLOOKUP(C856,Sheet1!$B$2:$C$25,2,FALSE),"")</f>
        <v>2400420</v>
      </c>
      <c r="I856">
        <f t="shared" si="41"/>
        <v>9</v>
      </c>
    </row>
    <row r="857" spans="1:9" x14ac:dyDescent="0.2">
      <c r="A857">
        <f t="shared" si="39"/>
        <v>2400420</v>
      </c>
      <c r="B857" s="20">
        <v>2018</v>
      </c>
      <c r="C857" s="21" t="s">
        <v>103</v>
      </c>
      <c r="D857" s="21" t="s">
        <v>103</v>
      </c>
      <c r="E857" s="23">
        <v>4583972</v>
      </c>
      <c r="F857" s="20">
        <v>68971840.629999995</v>
      </c>
      <c r="G857" s="30">
        <f t="shared" si="40"/>
        <v>73555812.629999995</v>
      </c>
      <c r="H857">
        <f>IFERROR(VLOOKUP(C857,Sheet1!$B$2:$C$25,2,FALSE),"")</f>
        <v>2400420</v>
      </c>
      <c r="I857">
        <f t="shared" si="41"/>
        <v>9</v>
      </c>
    </row>
    <row r="858" spans="1:9" x14ac:dyDescent="0.2">
      <c r="A858">
        <f t="shared" si="39"/>
        <v>2400420</v>
      </c>
      <c r="B858" s="20">
        <v>2019</v>
      </c>
      <c r="C858" s="21" t="s">
        <v>103</v>
      </c>
      <c r="D858" s="21" t="s">
        <v>103</v>
      </c>
      <c r="E858" s="23">
        <v>5044399</v>
      </c>
      <c r="F858" s="20">
        <v>72579411.019999996</v>
      </c>
      <c r="G858" s="30">
        <f t="shared" si="40"/>
        <v>77623810.019999996</v>
      </c>
      <c r="H858">
        <f>IFERROR(VLOOKUP(C858,Sheet1!$B$2:$C$25,2,FALSE),"")</f>
        <v>2400420</v>
      </c>
      <c r="I858">
        <f t="shared" si="41"/>
        <v>9</v>
      </c>
    </row>
    <row r="859" spans="1:9" x14ac:dyDescent="0.2">
      <c r="A859">
        <f t="shared" si="39"/>
        <v>2400420</v>
      </c>
      <c r="B859" s="20">
        <v>2020</v>
      </c>
      <c r="C859" s="21" t="s">
        <v>103</v>
      </c>
      <c r="D859" s="21" t="s">
        <v>103</v>
      </c>
      <c r="E859" s="23">
        <v>5301428</v>
      </c>
      <c r="F859" s="20">
        <v>74110490.370000005</v>
      </c>
      <c r="G859" s="30">
        <f t="shared" si="40"/>
        <v>79411918.370000005</v>
      </c>
      <c r="H859">
        <f>IFERROR(VLOOKUP(C859,Sheet1!$B$2:$C$25,2,FALSE),"")</f>
        <v>2400420</v>
      </c>
      <c r="I859">
        <f t="shared" si="41"/>
        <v>9</v>
      </c>
    </row>
    <row r="860" spans="1:9" x14ac:dyDescent="0.2">
      <c r="A860">
        <f t="shared" si="39"/>
        <v>2400420</v>
      </c>
      <c r="B860" s="20">
        <v>2021</v>
      </c>
      <c r="C860" s="21" t="s">
        <v>103</v>
      </c>
      <c r="D860" s="21" t="s">
        <v>103</v>
      </c>
      <c r="E860" s="23">
        <v>6002597</v>
      </c>
      <c r="F860" s="20">
        <v>78357812.310000002</v>
      </c>
      <c r="G860" s="30">
        <f t="shared" si="40"/>
        <v>84360409.310000002</v>
      </c>
      <c r="H860">
        <f>IFERROR(VLOOKUP(C860,Sheet1!$B$2:$C$25,2,FALSE),"")</f>
        <v>2400420</v>
      </c>
      <c r="I860">
        <f t="shared" si="41"/>
        <v>9</v>
      </c>
    </row>
    <row r="861" spans="1:9" x14ac:dyDescent="0.2">
      <c r="A861">
        <f t="shared" si="39"/>
        <v>2400420</v>
      </c>
      <c r="B861" s="20">
        <v>2022</v>
      </c>
      <c r="C861" s="21" t="s">
        <v>103</v>
      </c>
      <c r="D861" s="21" t="s">
        <v>103</v>
      </c>
      <c r="E861" s="23">
        <v>6264996</v>
      </c>
      <c r="F861" s="20">
        <v>86128171.090000004</v>
      </c>
      <c r="G861" s="30">
        <f t="shared" si="40"/>
        <v>92393167.090000004</v>
      </c>
      <c r="H861">
        <f>IFERROR(VLOOKUP(C861,Sheet1!$B$2:$C$25,2,FALSE),"")</f>
        <v>2400420</v>
      </c>
      <c r="I861">
        <f t="shared" si="41"/>
        <v>9</v>
      </c>
    </row>
    <row r="862" spans="1:9" x14ac:dyDescent="0.2">
      <c r="A862">
        <f t="shared" si="39"/>
        <v>2400420</v>
      </c>
      <c r="B862" s="20">
        <v>2023</v>
      </c>
      <c r="C862" s="21" t="s">
        <v>103</v>
      </c>
      <c r="D862" s="21" t="s">
        <v>103</v>
      </c>
      <c r="E862" s="23">
        <v>6612638</v>
      </c>
      <c r="F862" s="20">
        <v>88501974.159999996</v>
      </c>
      <c r="G862" s="30">
        <f t="shared" si="40"/>
        <v>95114612.159999996</v>
      </c>
      <c r="H862">
        <f>IFERROR(VLOOKUP(C862,Sheet1!$B$2:$C$25,2,FALSE),"")</f>
        <v>2400420</v>
      </c>
      <c r="I862">
        <f t="shared" si="41"/>
        <v>9</v>
      </c>
    </row>
    <row r="863" spans="1:9" x14ac:dyDescent="0.2">
      <c r="A863" t="str">
        <f t="shared" si="39"/>
        <v/>
      </c>
      <c r="B863" s="20">
        <v>2015</v>
      </c>
      <c r="C863" s="21" t="s">
        <v>104</v>
      </c>
      <c r="D863" s="21" t="s">
        <v>104</v>
      </c>
      <c r="E863" s="23">
        <v>56362</v>
      </c>
      <c r="F863" s="20">
        <v>884153.7267</v>
      </c>
      <c r="G863" s="30">
        <f t="shared" si="40"/>
        <v>940515.7267</v>
      </c>
      <c r="H863" t="str">
        <f>IFERROR(VLOOKUP(C863,Sheet1!$B$2:$C$25,2,FALSE),"")</f>
        <v/>
      </c>
      <c r="I863">
        <f t="shared" si="41"/>
        <v>1613</v>
      </c>
    </row>
    <row r="864" spans="1:9" x14ac:dyDescent="0.2">
      <c r="A864" t="str">
        <f t="shared" si="39"/>
        <v/>
      </c>
      <c r="B864" s="20">
        <v>2016</v>
      </c>
      <c r="C864" s="21" t="s">
        <v>104</v>
      </c>
      <c r="D864" s="21" t="s">
        <v>104</v>
      </c>
      <c r="E864" s="23">
        <v>43068</v>
      </c>
      <c r="F864" s="20">
        <v>672241.43059999996</v>
      </c>
      <c r="G864" s="30">
        <f t="shared" si="40"/>
        <v>715309.43059999996</v>
      </c>
      <c r="H864" t="str">
        <f>IFERROR(VLOOKUP(C864,Sheet1!$B$2:$C$25,2,FALSE),"")</f>
        <v/>
      </c>
      <c r="I864">
        <f t="shared" si="41"/>
        <v>1613</v>
      </c>
    </row>
    <row r="865" spans="1:9" x14ac:dyDescent="0.2">
      <c r="A865" t="str">
        <f t="shared" si="39"/>
        <v/>
      </c>
      <c r="B865" s="20">
        <v>2017</v>
      </c>
      <c r="C865" s="21" t="s">
        <v>104</v>
      </c>
      <c r="D865" s="21" t="s">
        <v>104</v>
      </c>
      <c r="E865" s="23">
        <v>46122</v>
      </c>
      <c r="F865" s="20">
        <v>762415.08019999997</v>
      </c>
      <c r="G865" s="30">
        <f t="shared" si="40"/>
        <v>808537.08019999997</v>
      </c>
      <c r="H865" t="str">
        <f>IFERROR(VLOOKUP(C865,Sheet1!$B$2:$C$25,2,FALSE),"")</f>
        <v/>
      </c>
      <c r="I865">
        <f t="shared" si="41"/>
        <v>1613</v>
      </c>
    </row>
    <row r="866" spans="1:9" x14ac:dyDescent="0.2">
      <c r="A866" t="str">
        <f t="shared" si="39"/>
        <v/>
      </c>
      <c r="B866" s="20">
        <v>2018</v>
      </c>
      <c r="C866" s="21" t="s">
        <v>104</v>
      </c>
      <c r="D866" s="21" t="s">
        <v>104</v>
      </c>
      <c r="E866" s="23">
        <v>52410</v>
      </c>
      <c r="F866" s="20">
        <v>788576.84290000005</v>
      </c>
      <c r="G866" s="30">
        <f t="shared" si="40"/>
        <v>840986.84290000005</v>
      </c>
      <c r="H866" t="str">
        <f>IFERROR(VLOOKUP(C866,Sheet1!$B$2:$C$25,2,FALSE),"")</f>
        <v/>
      </c>
      <c r="I866">
        <f t="shared" si="41"/>
        <v>1613</v>
      </c>
    </row>
    <row r="867" spans="1:9" x14ac:dyDescent="0.2">
      <c r="A867" t="str">
        <f t="shared" si="39"/>
        <v/>
      </c>
      <c r="B867" s="20">
        <v>2019</v>
      </c>
      <c r="C867" s="21" t="s">
        <v>104</v>
      </c>
      <c r="D867" s="21" t="s">
        <v>104</v>
      </c>
      <c r="E867" s="23">
        <v>55104</v>
      </c>
      <c r="F867" s="20">
        <v>792842.88670000003</v>
      </c>
      <c r="G867" s="30">
        <f t="shared" si="40"/>
        <v>847946.88670000003</v>
      </c>
      <c r="H867" t="str">
        <f>IFERROR(VLOOKUP(C867,Sheet1!$B$2:$C$25,2,FALSE),"")</f>
        <v/>
      </c>
      <c r="I867">
        <f t="shared" si="41"/>
        <v>1613</v>
      </c>
    </row>
    <row r="868" spans="1:9" x14ac:dyDescent="0.2">
      <c r="A868" t="str">
        <f t="shared" si="39"/>
        <v/>
      </c>
      <c r="B868" s="20">
        <v>2020</v>
      </c>
      <c r="C868" s="21" t="s">
        <v>104</v>
      </c>
      <c r="D868" s="21" t="s">
        <v>104</v>
      </c>
      <c r="E868" s="23">
        <v>58730</v>
      </c>
      <c r="F868" s="20">
        <v>821006.92480000004</v>
      </c>
      <c r="G868" s="30">
        <f t="shared" si="40"/>
        <v>879736.92480000004</v>
      </c>
      <c r="H868" t="str">
        <f>IFERROR(VLOOKUP(C868,Sheet1!$B$2:$C$25,2,FALSE),"")</f>
        <v/>
      </c>
      <c r="I868">
        <f t="shared" si="41"/>
        <v>1613</v>
      </c>
    </row>
    <row r="869" spans="1:9" x14ac:dyDescent="0.2">
      <c r="A869" t="str">
        <f t="shared" si="39"/>
        <v/>
      </c>
      <c r="B869" s="20">
        <v>2021</v>
      </c>
      <c r="C869" s="21" t="s">
        <v>104</v>
      </c>
      <c r="D869" s="21" t="s">
        <v>104</v>
      </c>
      <c r="E869" s="23">
        <v>65509</v>
      </c>
      <c r="F869" s="20">
        <v>855153.51549999998</v>
      </c>
      <c r="G869" s="30">
        <f t="shared" si="40"/>
        <v>920662.51549999998</v>
      </c>
      <c r="H869" t="str">
        <f>IFERROR(VLOOKUP(C869,Sheet1!$B$2:$C$25,2,FALSE),"")</f>
        <v/>
      </c>
      <c r="I869">
        <f t="shared" si="41"/>
        <v>1613</v>
      </c>
    </row>
    <row r="870" spans="1:9" x14ac:dyDescent="0.2">
      <c r="A870" t="str">
        <f t="shared" si="39"/>
        <v/>
      </c>
      <c r="B870" s="20">
        <v>2022</v>
      </c>
      <c r="C870" s="21" t="s">
        <v>104</v>
      </c>
      <c r="D870" s="21" t="s">
        <v>104</v>
      </c>
      <c r="E870" s="23">
        <v>72508</v>
      </c>
      <c r="F870" s="20">
        <v>996805.33389999997</v>
      </c>
      <c r="G870" s="30">
        <f t="shared" si="40"/>
        <v>1069313.3339</v>
      </c>
      <c r="H870" t="str">
        <f>IFERROR(VLOOKUP(C870,Sheet1!$B$2:$C$25,2,FALSE),"")</f>
        <v/>
      </c>
      <c r="I870">
        <f t="shared" si="41"/>
        <v>1613</v>
      </c>
    </row>
    <row r="871" spans="1:9" x14ac:dyDescent="0.2">
      <c r="A871" t="str">
        <f t="shared" si="39"/>
        <v/>
      </c>
      <c r="B871" s="20">
        <v>2023</v>
      </c>
      <c r="C871" s="21" t="s">
        <v>104</v>
      </c>
      <c r="D871" s="21" t="s">
        <v>104</v>
      </c>
      <c r="E871" s="23">
        <v>75079</v>
      </c>
      <c r="F871" s="20">
        <v>1004839.478</v>
      </c>
      <c r="G871" s="30">
        <f t="shared" si="40"/>
        <v>1079918.4780000001</v>
      </c>
      <c r="H871" t="str">
        <f>IFERROR(VLOOKUP(C871,Sheet1!$B$2:$C$25,2,FALSE),"")</f>
        <v/>
      </c>
      <c r="I871">
        <f t="shared" si="41"/>
        <v>1613</v>
      </c>
    </row>
    <row r="872" spans="1:9" x14ac:dyDescent="0.2">
      <c r="A872" t="str">
        <f t="shared" si="39"/>
        <v/>
      </c>
      <c r="B872" s="20">
        <v>2015</v>
      </c>
      <c r="C872" s="21" t="s">
        <v>105</v>
      </c>
      <c r="D872" s="21" t="s">
        <v>105</v>
      </c>
      <c r="E872" s="23">
        <v>48374</v>
      </c>
      <c r="F872" s="20">
        <v>758845.54090000002</v>
      </c>
      <c r="G872" s="30">
        <f t="shared" si="40"/>
        <v>807219.54090000002</v>
      </c>
      <c r="H872" t="str">
        <f>IFERROR(VLOOKUP(C872,Sheet1!$B$2:$C$25,2,FALSE),"")</f>
        <v/>
      </c>
      <c r="I872">
        <f t="shared" si="41"/>
        <v>1613</v>
      </c>
    </row>
    <row r="873" spans="1:9" x14ac:dyDescent="0.2">
      <c r="A873" t="str">
        <f t="shared" si="39"/>
        <v/>
      </c>
      <c r="B873" s="20">
        <v>2016</v>
      </c>
      <c r="C873" s="21" t="s">
        <v>105</v>
      </c>
      <c r="D873" s="21" t="s">
        <v>105</v>
      </c>
      <c r="E873" s="23">
        <v>54599</v>
      </c>
      <c r="F873" s="20">
        <v>852226.94039999996</v>
      </c>
      <c r="G873" s="30">
        <f t="shared" si="40"/>
        <v>906825.94039999996</v>
      </c>
      <c r="H873" t="str">
        <f>IFERROR(VLOOKUP(C873,Sheet1!$B$2:$C$25,2,FALSE),"")</f>
        <v/>
      </c>
      <c r="I873">
        <f t="shared" si="41"/>
        <v>1613</v>
      </c>
    </row>
    <row r="874" spans="1:9" x14ac:dyDescent="0.2">
      <c r="A874" t="str">
        <f t="shared" si="39"/>
        <v/>
      </c>
      <c r="B874" s="20">
        <v>2017</v>
      </c>
      <c r="C874" s="21" t="s">
        <v>105</v>
      </c>
      <c r="D874" s="21" t="s">
        <v>105</v>
      </c>
      <c r="E874" s="23">
        <v>69825</v>
      </c>
      <c r="F874" s="20">
        <v>1154235.1370000001</v>
      </c>
      <c r="G874" s="30">
        <f t="shared" si="40"/>
        <v>1224060.1370000001</v>
      </c>
      <c r="H874" t="str">
        <f>IFERROR(VLOOKUP(C874,Sheet1!$B$2:$C$25,2,FALSE),"")</f>
        <v/>
      </c>
      <c r="I874">
        <f t="shared" si="41"/>
        <v>1613</v>
      </c>
    </row>
    <row r="875" spans="1:9" x14ac:dyDescent="0.2">
      <c r="A875" t="str">
        <f t="shared" si="39"/>
        <v/>
      </c>
      <c r="B875" s="20">
        <v>2018</v>
      </c>
      <c r="C875" s="21" t="s">
        <v>105</v>
      </c>
      <c r="D875" s="21" t="s">
        <v>105</v>
      </c>
      <c r="E875" s="23">
        <v>27042</v>
      </c>
      <c r="F875" s="20">
        <v>406882.17869999999</v>
      </c>
      <c r="G875" s="30">
        <f t="shared" si="40"/>
        <v>433924.17869999999</v>
      </c>
      <c r="H875" t="str">
        <f>IFERROR(VLOOKUP(C875,Sheet1!$B$2:$C$25,2,FALSE),"")</f>
        <v/>
      </c>
      <c r="I875">
        <f t="shared" si="41"/>
        <v>1613</v>
      </c>
    </row>
    <row r="876" spans="1:9" x14ac:dyDescent="0.2">
      <c r="A876" t="str">
        <f t="shared" si="39"/>
        <v/>
      </c>
      <c r="B876" s="20">
        <v>2019</v>
      </c>
      <c r="C876" s="21" t="s">
        <v>105</v>
      </c>
      <c r="D876" s="21" t="s">
        <v>105</v>
      </c>
      <c r="E876" s="23">
        <v>48351</v>
      </c>
      <c r="F876" s="20">
        <v>695679.92189999996</v>
      </c>
      <c r="G876" s="30">
        <f t="shared" si="40"/>
        <v>744030.92189999996</v>
      </c>
      <c r="H876" t="str">
        <f>IFERROR(VLOOKUP(C876,Sheet1!$B$2:$C$25,2,FALSE),"")</f>
        <v/>
      </c>
      <c r="I876">
        <f t="shared" si="41"/>
        <v>1613</v>
      </c>
    </row>
    <row r="877" spans="1:9" x14ac:dyDescent="0.2">
      <c r="A877" t="str">
        <f t="shared" si="39"/>
        <v/>
      </c>
      <c r="B877" s="20">
        <v>2020</v>
      </c>
      <c r="C877" s="21" t="s">
        <v>105</v>
      </c>
      <c r="D877" s="21" t="s">
        <v>105</v>
      </c>
      <c r="E877" s="23">
        <v>37569</v>
      </c>
      <c r="F877" s="20">
        <v>525190.00780000002</v>
      </c>
      <c r="G877" s="30">
        <f t="shared" si="40"/>
        <v>562759.00780000002</v>
      </c>
      <c r="H877" t="str">
        <f>IFERROR(VLOOKUP(C877,Sheet1!$B$2:$C$25,2,FALSE),"")</f>
        <v/>
      </c>
      <c r="I877">
        <f t="shared" si="41"/>
        <v>1613</v>
      </c>
    </row>
    <row r="878" spans="1:9" x14ac:dyDescent="0.2">
      <c r="A878" t="str">
        <f t="shared" si="39"/>
        <v/>
      </c>
      <c r="B878" s="20">
        <v>2021</v>
      </c>
      <c r="C878" s="21" t="s">
        <v>105</v>
      </c>
      <c r="D878" s="21" t="s">
        <v>105</v>
      </c>
      <c r="E878" s="23">
        <v>75604</v>
      </c>
      <c r="F878" s="20">
        <v>986933.49600000004</v>
      </c>
      <c r="G878" s="30">
        <f t="shared" si="40"/>
        <v>1062537.496</v>
      </c>
      <c r="H878" t="str">
        <f>IFERROR(VLOOKUP(C878,Sheet1!$B$2:$C$25,2,FALSE),"")</f>
        <v/>
      </c>
      <c r="I878">
        <f t="shared" si="41"/>
        <v>1613</v>
      </c>
    </row>
    <row r="879" spans="1:9" x14ac:dyDescent="0.2">
      <c r="A879" t="str">
        <f t="shared" si="39"/>
        <v/>
      </c>
      <c r="B879" s="20">
        <v>2022</v>
      </c>
      <c r="C879" s="21" t="s">
        <v>105</v>
      </c>
      <c r="D879" s="21" t="s">
        <v>105</v>
      </c>
      <c r="E879" s="23">
        <v>74441</v>
      </c>
      <c r="F879" s="20">
        <v>1023379.294</v>
      </c>
      <c r="G879" s="30">
        <f t="shared" si="40"/>
        <v>1097820.294</v>
      </c>
      <c r="H879" t="str">
        <f>IFERROR(VLOOKUP(C879,Sheet1!$B$2:$C$25,2,FALSE),"")</f>
        <v/>
      </c>
      <c r="I879">
        <f t="shared" si="41"/>
        <v>1613</v>
      </c>
    </row>
    <row r="880" spans="1:9" x14ac:dyDescent="0.2">
      <c r="A880" t="str">
        <f t="shared" si="39"/>
        <v/>
      </c>
      <c r="B880" s="20">
        <v>2023</v>
      </c>
      <c r="C880" s="21" t="s">
        <v>105</v>
      </c>
      <c r="D880" s="21" t="s">
        <v>105</v>
      </c>
      <c r="E880" s="23">
        <v>105536</v>
      </c>
      <c r="F880" s="20">
        <v>1412468.7220000001</v>
      </c>
      <c r="G880" s="30">
        <f t="shared" si="40"/>
        <v>1518004.7220000001</v>
      </c>
      <c r="H880" t="str">
        <f>IFERROR(VLOOKUP(C880,Sheet1!$B$2:$C$25,2,FALSE),"")</f>
        <v/>
      </c>
      <c r="I880">
        <f t="shared" si="41"/>
        <v>1613</v>
      </c>
    </row>
    <row r="881" spans="1:9" x14ac:dyDescent="0.2">
      <c r="A881" t="str">
        <f t="shared" si="39"/>
        <v/>
      </c>
      <c r="B881" s="20">
        <v>2015</v>
      </c>
      <c r="C881" s="21" t="s">
        <v>106</v>
      </c>
      <c r="D881" s="21" t="s">
        <v>106</v>
      </c>
      <c r="E881" s="23">
        <v>294976</v>
      </c>
      <c r="F881" s="20">
        <v>4627304.3839999996</v>
      </c>
      <c r="G881" s="30">
        <f t="shared" si="40"/>
        <v>4922280.3839999996</v>
      </c>
      <c r="H881" t="str">
        <f>IFERROR(VLOOKUP(C881,Sheet1!$B$2:$C$25,2,FALSE),"")</f>
        <v/>
      </c>
      <c r="I881">
        <f t="shared" si="41"/>
        <v>1613</v>
      </c>
    </row>
    <row r="882" spans="1:9" x14ac:dyDescent="0.2">
      <c r="A882" t="str">
        <f t="shared" si="39"/>
        <v/>
      </c>
      <c r="B882" s="20">
        <v>2016</v>
      </c>
      <c r="C882" s="21" t="s">
        <v>106</v>
      </c>
      <c r="D882" s="21" t="s">
        <v>106</v>
      </c>
      <c r="E882" s="23">
        <v>289901</v>
      </c>
      <c r="F882" s="20">
        <v>4525017.716</v>
      </c>
      <c r="G882" s="30">
        <f t="shared" si="40"/>
        <v>4814918.716</v>
      </c>
      <c r="H882" t="str">
        <f>IFERROR(VLOOKUP(C882,Sheet1!$B$2:$C$25,2,FALSE),"")</f>
        <v/>
      </c>
      <c r="I882">
        <f t="shared" si="41"/>
        <v>1613</v>
      </c>
    </row>
    <row r="883" spans="1:9" x14ac:dyDescent="0.2">
      <c r="A883" t="str">
        <f t="shared" si="39"/>
        <v/>
      </c>
      <c r="B883" s="20">
        <v>2017</v>
      </c>
      <c r="C883" s="21" t="s">
        <v>106</v>
      </c>
      <c r="D883" s="21" t="s">
        <v>106</v>
      </c>
      <c r="E883" s="23">
        <v>305190</v>
      </c>
      <c r="F883" s="20">
        <v>5044912.5870000003</v>
      </c>
      <c r="G883" s="30">
        <f t="shared" si="40"/>
        <v>5350102.5870000003</v>
      </c>
      <c r="H883" t="str">
        <f>IFERROR(VLOOKUP(C883,Sheet1!$B$2:$C$25,2,FALSE),"")</f>
        <v/>
      </c>
      <c r="I883">
        <f t="shared" si="41"/>
        <v>1613</v>
      </c>
    </row>
    <row r="884" spans="1:9" x14ac:dyDescent="0.2">
      <c r="A884" t="str">
        <f t="shared" si="39"/>
        <v/>
      </c>
      <c r="B884" s="20">
        <v>2018</v>
      </c>
      <c r="C884" s="21" t="s">
        <v>106</v>
      </c>
      <c r="D884" s="21" t="s">
        <v>106</v>
      </c>
      <c r="E884" s="23">
        <v>333482</v>
      </c>
      <c r="F884" s="20">
        <v>5017671.87</v>
      </c>
      <c r="G884" s="30">
        <f t="shared" si="40"/>
        <v>5351153.87</v>
      </c>
      <c r="H884" t="str">
        <f>IFERROR(VLOOKUP(C884,Sheet1!$B$2:$C$25,2,FALSE),"")</f>
        <v/>
      </c>
      <c r="I884">
        <f t="shared" si="41"/>
        <v>1613</v>
      </c>
    </row>
    <row r="885" spans="1:9" x14ac:dyDescent="0.2">
      <c r="A885" t="str">
        <f t="shared" si="39"/>
        <v/>
      </c>
      <c r="B885" s="20">
        <v>2019</v>
      </c>
      <c r="C885" s="21" t="s">
        <v>106</v>
      </c>
      <c r="D885" s="21" t="s">
        <v>106</v>
      </c>
      <c r="E885" s="23">
        <v>377455</v>
      </c>
      <c r="F885" s="20">
        <v>5430867.3020000001</v>
      </c>
      <c r="G885" s="30">
        <f t="shared" si="40"/>
        <v>5808322.3020000001</v>
      </c>
      <c r="H885" t="str">
        <f>IFERROR(VLOOKUP(C885,Sheet1!$B$2:$C$25,2,FALSE),"")</f>
        <v/>
      </c>
      <c r="I885">
        <f t="shared" si="41"/>
        <v>1613</v>
      </c>
    </row>
    <row r="886" spans="1:9" x14ac:dyDescent="0.2">
      <c r="A886" t="str">
        <f t="shared" si="39"/>
        <v/>
      </c>
      <c r="B886" s="20">
        <v>2020</v>
      </c>
      <c r="C886" s="21" t="s">
        <v>106</v>
      </c>
      <c r="D886" s="21" t="s">
        <v>106</v>
      </c>
      <c r="E886" s="23">
        <v>409475</v>
      </c>
      <c r="F886" s="20">
        <v>5724192.2450000001</v>
      </c>
      <c r="G886" s="30">
        <f t="shared" si="40"/>
        <v>6133667.2450000001</v>
      </c>
      <c r="H886" t="str">
        <f>IFERROR(VLOOKUP(C886,Sheet1!$B$2:$C$25,2,FALSE),"")</f>
        <v/>
      </c>
      <c r="I886">
        <f t="shared" si="41"/>
        <v>1613</v>
      </c>
    </row>
    <row r="887" spans="1:9" x14ac:dyDescent="0.2">
      <c r="A887" t="str">
        <f t="shared" si="39"/>
        <v/>
      </c>
      <c r="B887" s="20">
        <v>2021</v>
      </c>
      <c r="C887" s="21" t="s">
        <v>106</v>
      </c>
      <c r="D887" s="21" t="s">
        <v>106</v>
      </c>
      <c r="E887" s="23">
        <v>537246</v>
      </c>
      <c r="F887" s="20">
        <v>7013201.3250000002</v>
      </c>
      <c r="G887" s="30">
        <f t="shared" si="40"/>
        <v>7550447.3250000002</v>
      </c>
      <c r="H887" t="str">
        <f>IFERROR(VLOOKUP(C887,Sheet1!$B$2:$C$25,2,FALSE),"")</f>
        <v/>
      </c>
      <c r="I887">
        <f t="shared" si="41"/>
        <v>1613</v>
      </c>
    </row>
    <row r="888" spans="1:9" x14ac:dyDescent="0.2">
      <c r="A888" t="str">
        <f t="shared" si="39"/>
        <v/>
      </c>
      <c r="B888" s="20">
        <v>2022</v>
      </c>
      <c r="C888" s="21" t="s">
        <v>106</v>
      </c>
      <c r="D888" s="21" t="s">
        <v>106</v>
      </c>
      <c r="E888" s="23">
        <v>589560</v>
      </c>
      <c r="F888" s="20">
        <v>8104989.1409999998</v>
      </c>
      <c r="G888" s="30">
        <f t="shared" si="40"/>
        <v>8694549.1409999989</v>
      </c>
      <c r="H888" t="str">
        <f>IFERROR(VLOOKUP(C888,Sheet1!$B$2:$C$25,2,FALSE),"")</f>
        <v/>
      </c>
      <c r="I888">
        <f t="shared" si="41"/>
        <v>1613</v>
      </c>
    </row>
    <row r="889" spans="1:9" x14ac:dyDescent="0.2">
      <c r="A889" t="str">
        <f t="shared" si="39"/>
        <v/>
      </c>
      <c r="B889" s="20">
        <v>2023</v>
      </c>
      <c r="C889" s="21" t="s">
        <v>106</v>
      </c>
      <c r="D889" s="21" t="s">
        <v>106</v>
      </c>
      <c r="E889" s="23">
        <v>667803</v>
      </c>
      <c r="F889" s="20">
        <v>8937716.5140000004</v>
      </c>
      <c r="G889" s="30">
        <f t="shared" si="40"/>
        <v>9605519.5140000004</v>
      </c>
      <c r="H889" t="str">
        <f>IFERROR(VLOOKUP(C889,Sheet1!$B$2:$C$25,2,FALSE),"")</f>
        <v/>
      </c>
      <c r="I889">
        <f t="shared" si="41"/>
        <v>1613</v>
      </c>
    </row>
    <row r="890" spans="1:9" x14ac:dyDescent="0.2">
      <c r="A890" t="str">
        <f t="shared" si="39"/>
        <v/>
      </c>
      <c r="B890" s="20">
        <v>2015</v>
      </c>
      <c r="C890" s="21" t="s">
        <v>107</v>
      </c>
      <c r="D890" s="21" t="s">
        <v>107</v>
      </c>
      <c r="E890" s="23">
        <v>621855</v>
      </c>
      <c r="F890" s="20">
        <v>9755072.8450000007</v>
      </c>
      <c r="G890" s="30">
        <f t="shared" si="40"/>
        <v>10376927.845000001</v>
      </c>
      <c r="H890" t="str">
        <f>IFERROR(VLOOKUP(C890,Sheet1!$B$2:$C$25,2,FALSE),"")</f>
        <v/>
      </c>
      <c r="I890">
        <f t="shared" si="41"/>
        <v>1613</v>
      </c>
    </row>
    <row r="891" spans="1:9" x14ac:dyDescent="0.2">
      <c r="A891" t="str">
        <f t="shared" si="39"/>
        <v/>
      </c>
      <c r="B891" s="20">
        <v>2016</v>
      </c>
      <c r="C891" s="21" t="s">
        <v>107</v>
      </c>
      <c r="D891" s="21" t="s">
        <v>107</v>
      </c>
      <c r="E891" s="23">
        <v>616531</v>
      </c>
      <c r="F891" s="20">
        <v>9623332.4389999993</v>
      </c>
      <c r="G891" s="30">
        <f t="shared" si="40"/>
        <v>10239863.438999999</v>
      </c>
      <c r="H891" t="str">
        <f>IFERROR(VLOOKUP(C891,Sheet1!$B$2:$C$25,2,FALSE),"")</f>
        <v/>
      </c>
      <c r="I891">
        <f t="shared" si="41"/>
        <v>1613</v>
      </c>
    </row>
    <row r="892" spans="1:9" x14ac:dyDescent="0.2">
      <c r="A892" t="str">
        <f t="shared" si="39"/>
        <v/>
      </c>
      <c r="B892" s="20">
        <v>2017</v>
      </c>
      <c r="C892" s="21" t="s">
        <v>107</v>
      </c>
      <c r="D892" s="21" t="s">
        <v>107</v>
      </c>
      <c r="E892" s="23">
        <v>573560</v>
      </c>
      <c r="F892" s="20">
        <v>9481175.8690000009</v>
      </c>
      <c r="G892" s="30">
        <f t="shared" si="40"/>
        <v>10054735.869000001</v>
      </c>
      <c r="H892" t="str">
        <f>IFERROR(VLOOKUP(C892,Sheet1!$B$2:$C$25,2,FALSE),"")</f>
        <v/>
      </c>
      <c r="I892">
        <f t="shared" si="41"/>
        <v>1613</v>
      </c>
    </row>
    <row r="893" spans="1:9" x14ac:dyDescent="0.2">
      <c r="A893" t="str">
        <f t="shared" si="39"/>
        <v/>
      </c>
      <c r="B893" s="20">
        <v>2018</v>
      </c>
      <c r="C893" s="21" t="s">
        <v>107</v>
      </c>
      <c r="D893" s="21" t="s">
        <v>107</v>
      </c>
      <c r="E893" s="23">
        <v>671610</v>
      </c>
      <c r="F893" s="20">
        <v>10105248.869999999</v>
      </c>
      <c r="G893" s="30">
        <f t="shared" si="40"/>
        <v>10776858.869999999</v>
      </c>
      <c r="H893" t="str">
        <f>IFERROR(VLOOKUP(C893,Sheet1!$B$2:$C$25,2,FALSE),"")</f>
        <v/>
      </c>
      <c r="I893">
        <f t="shared" si="41"/>
        <v>1613</v>
      </c>
    </row>
    <row r="894" spans="1:9" x14ac:dyDescent="0.2">
      <c r="A894" t="str">
        <f t="shared" si="39"/>
        <v/>
      </c>
      <c r="B894" s="20">
        <v>2019</v>
      </c>
      <c r="C894" s="21" t="s">
        <v>107</v>
      </c>
      <c r="D894" s="21" t="s">
        <v>107</v>
      </c>
      <c r="E894" s="23">
        <v>726420</v>
      </c>
      <c r="F894" s="20">
        <v>10451817.109999999</v>
      </c>
      <c r="G894" s="30">
        <f t="shared" si="40"/>
        <v>11178237.109999999</v>
      </c>
      <c r="H894" t="str">
        <f>IFERROR(VLOOKUP(C894,Sheet1!$B$2:$C$25,2,FALSE),"")</f>
        <v/>
      </c>
      <c r="I894">
        <f t="shared" si="41"/>
        <v>1613</v>
      </c>
    </row>
    <row r="895" spans="1:9" x14ac:dyDescent="0.2">
      <c r="A895" t="str">
        <f t="shared" si="39"/>
        <v/>
      </c>
      <c r="B895" s="20">
        <v>2020</v>
      </c>
      <c r="C895" s="21" t="s">
        <v>107</v>
      </c>
      <c r="D895" s="21" t="s">
        <v>107</v>
      </c>
      <c r="E895" s="23">
        <v>716974</v>
      </c>
      <c r="F895" s="20">
        <v>10022826.82</v>
      </c>
      <c r="G895" s="30">
        <f t="shared" si="40"/>
        <v>10739800.82</v>
      </c>
      <c r="H895" t="str">
        <f>IFERROR(VLOOKUP(C895,Sheet1!$B$2:$C$25,2,FALSE),"")</f>
        <v/>
      </c>
      <c r="I895">
        <f t="shared" si="41"/>
        <v>1613</v>
      </c>
    </row>
    <row r="896" spans="1:9" x14ac:dyDescent="0.2">
      <c r="A896" t="str">
        <f t="shared" si="39"/>
        <v/>
      </c>
      <c r="B896" s="20">
        <v>2021</v>
      </c>
      <c r="C896" s="21" t="s">
        <v>107</v>
      </c>
      <c r="D896" s="21" t="s">
        <v>107</v>
      </c>
      <c r="E896" s="23">
        <v>1002028</v>
      </c>
      <c r="F896" s="20">
        <v>13080458.67</v>
      </c>
      <c r="G896" s="30">
        <f t="shared" si="40"/>
        <v>14082486.67</v>
      </c>
      <c r="H896" t="str">
        <f>IFERROR(VLOOKUP(C896,Sheet1!$B$2:$C$25,2,FALSE),"")</f>
        <v/>
      </c>
      <c r="I896">
        <f t="shared" si="41"/>
        <v>1613</v>
      </c>
    </row>
    <row r="897" spans="1:9" x14ac:dyDescent="0.2">
      <c r="A897" t="str">
        <f t="shared" si="39"/>
        <v/>
      </c>
      <c r="B897" s="20">
        <v>2022</v>
      </c>
      <c r="C897" s="21" t="s">
        <v>107</v>
      </c>
      <c r="D897" s="21" t="s">
        <v>107</v>
      </c>
      <c r="E897" s="23">
        <v>944845</v>
      </c>
      <c r="F897" s="20">
        <v>12989277.539999999</v>
      </c>
      <c r="G897" s="30">
        <f t="shared" si="40"/>
        <v>13934122.539999999</v>
      </c>
      <c r="H897" t="str">
        <f>IFERROR(VLOOKUP(C897,Sheet1!$B$2:$C$25,2,FALSE),"")</f>
        <v/>
      </c>
      <c r="I897">
        <f t="shared" si="41"/>
        <v>1613</v>
      </c>
    </row>
    <row r="898" spans="1:9" x14ac:dyDescent="0.2">
      <c r="A898" t="str">
        <f t="shared" si="39"/>
        <v/>
      </c>
      <c r="B898" s="20">
        <v>2023</v>
      </c>
      <c r="C898" s="21" t="s">
        <v>107</v>
      </c>
      <c r="D898" s="21" t="s">
        <v>107</v>
      </c>
      <c r="E898" s="23">
        <v>1086797</v>
      </c>
      <c r="F898" s="20">
        <v>14545432.550000001</v>
      </c>
      <c r="G898" s="30">
        <f t="shared" si="40"/>
        <v>15632229.550000001</v>
      </c>
      <c r="H898" t="str">
        <f>IFERROR(VLOOKUP(C898,Sheet1!$B$2:$C$25,2,FALSE),"")</f>
        <v/>
      </c>
      <c r="I898">
        <f t="shared" si="41"/>
        <v>1613</v>
      </c>
    </row>
    <row r="899" spans="1:9" x14ac:dyDescent="0.2">
      <c r="A899" t="str">
        <f t="shared" ref="A899:A962" si="42">H899</f>
        <v/>
      </c>
      <c r="B899" s="20">
        <v>2015</v>
      </c>
      <c r="C899" s="21" t="s">
        <v>108</v>
      </c>
      <c r="D899" s="21" t="s">
        <v>108</v>
      </c>
      <c r="E899" s="23">
        <v>688454</v>
      </c>
      <c r="F899" s="20">
        <v>10799814.939999999</v>
      </c>
      <c r="G899" s="30">
        <f t="shared" ref="G899:G962" si="43">SUM(E899:F899)</f>
        <v>11488268.939999999</v>
      </c>
      <c r="H899" t="str">
        <f>IFERROR(VLOOKUP(C899,Sheet1!$B$2:$C$25,2,FALSE),"")</f>
        <v/>
      </c>
      <c r="I899">
        <f t="shared" ref="I899:I962" si="44">COUNTIF($H$2:$H$1812,H899)</f>
        <v>1613</v>
      </c>
    </row>
    <row r="900" spans="1:9" x14ac:dyDescent="0.2">
      <c r="A900" t="str">
        <f t="shared" si="42"/>
        <v/>
      </c>
      <c r="B900" s="20">
        <v>2016</v>
      </c>
      <c r="C900" s="21" t="s">
        <v>108</v>
      </c>
      <c r="D900" s="21" t="s">
        <v>108</v>
      </c>
      <c r="E900" s="23">
        <v>628636</v>
      </c>
      <c r="F900" s="20">
        <v>9812277.4210000001</v>
      </c>
      <c r="G900" s="30">
        <f t="shared" si="43"/>
        <v>10440913.421</v>
      </c>
      <c r="H900" t="str">
        <f>IFERROR(VLOOKUP(C900,Sheet1!$B$2:$C$25,2,FALSE),"")</f>
        <v/>
      </c>
      <c r="I900">
        <f t="shared" si="44"/>
        <v>1613</v>
      </c>
    </row>
    <row r="901" spans="1:9" x14ac:dyDescent="0.2">
      <c r="A901" t="str">
        <f t="shared" si="42"/>
        <v/>
      </c>
      <c r="B901" s="20">
        <v>2017</v>
      </c>
      <c r="C901" s="21" t="s">
        <v>108</v>
      </c>
      <c r="D901" s="21" t="s">
        <v>108</v>
      </c>
      <c r="E901" s="23">
        <v>672832</v>
      </c>
      <c r="F901" s="20">
        <v>11122181.68</v>
      </c>
      <c r="G901" s="30">
        <f t="shared" si="43"/>
        <v>11795013.68</v>
      </c>
      <c r="H901" t="str">
        <f>IFERROR(VLOOKUP(C901,Sheet1!$B$2:$C$25,2,FALSE),"")</f>
        <v/>
      </c>
      <c r="I901">
        <f t="shared" si="44"/>
        <v>1613</v>
      </c>
    </row>
    <row r="902" spans="1:9" x14ac:dyDescent="0.2">
      <c r="A902" t="str">
        <f t="shared" si="42"/>
        <v/>
      </c>
      <c r="B902" s="20">
        <v>2018</v>
      </c>
      <c r="C902" s="21" t="s">
        <v>108</v>
      </c>
      <c r="D902" s="21" t="s">
        <v>108</v>
      </c>
      <c r="E902" s="23">
        <v>750624</v>
      </c>
      <c r="F902" s="20">
        <v>11294117.609999999</v>
      </c>
      <c r="G902" s="30">
        <f t="shared" si="43"/>
        <v>12044741.609999999</v>
      </c>
      <c r="H902" t="str">
        <f>IFERROR(VLOOKUP(C902,Sheet1!$B$2:$C$25,2,FALSE),"")</f>
        <v/>
      </c>
      <c r="I902">
        <f t="shared" si="44"/>
        <v>1613</v>
      </c>
    </row>
    <row r="903" spans="1:9" x14ac:dyDescent="0.2">
      <c r="A903" t="str">
        <f t="shared" si="42"/>
        <v/>
      </c>
      <c r="B903" s="20">
        <v>2019</v>
      </c>
      <c r="C903" s="21" t="s">
        <v>108</v>
      </c>
      <c r="D903" s="21" t="s">
        <v>108</v>
      </c>
      <c r="E903" s="23">
        <v>821287</v>
      </c>
      <c r="F903" s="20">
        <v>11816774.75</v>
      </c>
      <c r="G903" s="30">
        <f t="shared" si="43"/>
        <v>12638061.75</v>
      </c>
      <c r="H903" t="str">
        <f>IFERROR(VLOOKUP(C903,Sheet1!$B$2:$C$25,2,FALSE),"")</f>
        <v/>
      </c>
      <c r="I903">
        <f t="shared" si="44"/>
        <v>1613</v>
      </c>
    </row>
    <row r="904" spans="1:9" x14ac:dyDescent="0.2">
      <c r="A904" t="str">
        <f t="shared" si="42"/>
        <v/>
      </c>
      <c r="B904" s="20">
        <v>2020</v>
      </c>
      <c r="C904" s="21" t="s">
        <v>108</v>
      </c>
      <c r="D904" s="21" t="s">
        <v>108</v>
      </c>
      <c r="E904" s="23">
        <v>886882</v>
      </c>
      <c r="F904" s="20">
        <v>12398029.35</v>
      </c>
      <c r="G904" s="30">
        <f t="shared" si="43"/>
        <v>13284911.35</v>
      </c>
      <c r="H904" t="str">
        <f>IFERROR(VLOOKUP(C904,Sheet1!$B$2:$C$25,2,FALSE),"")</f>
        <v/>
      </c>
      <c r="I904">
        <f t="shared" si="44"/>
        <v>1613</v>
      </c>
    </row>
    <row r="905" spans="1:9" x14ac:dyDescent="0.2">
      <c r="A905" t="str">
        <f t="shared" si="42"/>
        <v/>
      </c>
      <c r="B905" s="20">
        <v>2021</v>
      </c>
      <c r="C905" s="21" t="s">
        <v>108</v>
      </c>
      <c r="D905" s="21" t="s">
        <v>108</v>
      </c>
      <c r="E905" s="23">
        <v>986224</v>
      </c>
      <c r="F905" s="20">
        <v>12874153.49</v>
      </c>
      <c r="G905" s="30">
        <f t="shared" si="43"/>
        <v>13860377.49</v>
      </c>
      <c r="H905" t="str">
        <f>IFERROR(VLOOKUP(C905,Sheet1!$B$2:$C$25,2,FALSE),"")</f>
        <v/>
      </c>
      <c r="I905">
        <f t="shared" si="44"/>
        <v>1613</v>
      </c>
    </row>
    <row r="906" spans="1:9" x14ac:dyDescent="0.2">
      <c r="A906" t="str">
        <f t="shared" si="42"/>
        <v/>
      </c>
      <c r="B906" s="20">
        <v>2022</v>
      </c>
      <c r="C906" s="21" t="s">
        <v>108</v>
      </c>
      <c r="D906" s="21" t="s">
        <v>108</v>
      </c>
      <c r="E906" s="23">
        <v>964279</v>
      </c>
      <c r="F906" s="20">
        <v>13256446.880000001</v>
      </c>
      <c r="G906" s="30">
        <f t="shared" si="43"/>
        <v>14220725.880000001</v>
      </c>
      <c r="H906" t="str">
        <f>IFERROR(VLOOKUP(C906,Sheet1!$B$2:$C$25,2,FALSE),"")</f>
        <v/>
      </c>
      <c r="I906">
        <f t="shared" si="44"/>
        <v>1613</v>
      </c>
    </row>
    <row r="907" spans="1:9" x14ac:dyDescent="0.2">
      <c r="A907" t="str">
        <f t="shared" si="42"/>
        <v/>
      </c>
      <c r="B907" s="20">
        <v>2023</v>
      </c>
      <c r="C907" s="21" t="s">
        <v>108</v>
      </c>
      <c r="D907" s="21" t="s">
        <v>108</v>
      </c>
      <c r="E907" s="23">
        <v>1140798</v>
      </c>
      <c r="F907" s="20">
        <v>15268169.09</v>
      </c>
      <c r="G907" s="30">
        <f t="shared" si="43"/>
        <v>16408967.09</v>
      </c>
      <c r="H907" t="str">
        <f>IFERROR(VLOOKUP(C907,Sheet1!$B$2:$C$25,2,FALSE),"")</f>
        <v/>
      </c>
      <c r="I907">
        <f t="shared" si="44"/>
        <v>1613</v>
      </c>
    </row>
    <row r="908" spans="1:9" x14ac:dyDescent="0.2">
      <c r="A908" t="str">
        <f t="shared" si="42"/>
        <v/>
      </c>
      <c r="B908" s="20">
        <v>2015</v>
      </c>
      <c r="C908" s="21" t="s">
        <v>109</v>
      </c>
      <c r="D908" s="21" t="s">
        <v>109</v>
      </c>
      <c r="E908" s="23">
        <v>277991</v>
      </c>
      <c r="F908" s="20">
        <v>4360859.7750000004</v>
      </c>
      <c r="G908" s="30">
        <f t="shared" si="43"/>
        <v>4638850.7750000004</v>
      </c>
      <c r="H908" t="str">
        <f>IFERROR(VLOOKUP(C908,Sheet1!$B$2:$C$25,2,FALSE),"")</f>
        <v/>
      </c>
      <c r="I908">
        <f t="shared" si="44"/>
        <v>1613</v>
      </c>
    </row>
    <row r="909" spans="1:9" x14ac:dyDescent="0.2">
      <c r="A909" t="str">
        <f t="shared" si="42"/>
        <v/>
      </c>
      <c r="B909" s="20">
        <v>2016</v>
      </c>
      <c r="C909" s="21" t="s">
        <v>109</v>
      </c>
      <c r="D909" s="21" t="s">
        <v>109</v>
      </c>
      <c r="E909" s="23">
        <v>306357</v>
      </c>
      <c r="F909" s="20">
        <v>4781876.7520000003</v>
      </c>
      <c r="G909" s="30">
        <f t="shared" si="43"/>
        <v>5088233.7520000003</v>
      </c>
      <c r="H909" t="str">
        <f>IFERROR(VLOOKUP(C909,Sheet1!$B$2:$C$25,2,FALSE),"")</f>
        <v/>
      </c>
      <c r="I909">
        <f t="shared" si="44"/>
        <v>1613</v>
      </c>
    </row>
    <row r="910" spans="1:9" x14ac:dyDescent="0.2">
      <c r="A910" t="str">
        <f t="shared" si="42"/>
        <v/>
      </c>
      <c r="B910" s="20">
        <v>2017</v>
      </c>
      <c r="C910" s="21" t="s">
        <v>109</v>
      </c>
      <c r="D910" s="21" t="s">
        <v>109</v>
      </c>
      <c r="E910" s="23">
        <v>289819</v>
      </c>
      <c r="F910" s="20">
        <v>4790823.818</v>
      </c>
      <c r="G910" s="30">
        <f t="shared" si="43"/>
        <v>5080642.818</v>
      </c>
      <c r="H910" t="str">
        <f>IFERROR(VLOOKUP(C910,Sheet1!$B$2:$C$25,2,FALSE),"")</f>
        <v/>
      </c>
      <c r="I910">
        <f t="shared" si="44"/>
        <v>1613</v>
      </c>
    </row>
    <row r="911" spans="1:9" x14ac:dyDescent="0.2">
      <c r="A911" t="str">
        <f t="shared" si="42"/>
        <v/>
      </c>
      <c r="B911" s="20">
        <v>2018</v>
      </c>
      <c r="C911" s="21" t="s">
        <v>109</v>
      </c>
      <c r="D911" s="21" t="s">
        <v>109</v>
      </c>
      <c r="E911" s="23">
        <v>336355</v>
      </c>
      <c r="F911" s="20">
        <v>5060899.9040000001</v>
      </c>
      <c r="G911" s="30">
        <f t="shared" si="43"/>
        <v>5397254.9040000001</v>
      </c>
      <c r="H911" t="str">
        <f>IFERROR(VLOOKUP(C911,Sheet1!$B$2:$C$25,2,FALSE),"")</f>
        <v/>
      </c>
      <c r="I911">
        <f t="shared" si="44"/>
        <v>1613</v>
      </c>
    </row>
    <row r="912" spans="1:9" x14ac:dyDescent="0.2">
      <c r="A912" t="str">
        <f t="shared" si="42"/>
        <v/>
      </c>
      <c r="B912" s="20">
        <v>2019</v>
      </c>
      <c r="C912" s="21" t="s">
        <v>109</v>
      </c>
      <c r="D912" s="21" t="s">
        <v>109</v>
      </c>
      <c r="E912" s="23">
        <v>355146</v>
      </c>
      <c r="F912" s="20">
        <v>5109882.7640000004</v>
      </c>
      <c r="G912" s="30">
        <f t="shared" si="43"/>
        <v>5465028.7640000004</v>
      </c>
      <c r="H912" t="str">
        <f>IFERROR(VLOOKUP(C912,Sheet1!$B$2:$C$25,2,FALSE),"")</f>
        <v/>
      </c>
      <c r="I912">
        <f t="shared" si="44"/>
        <v>1613</v>
      </c>
    </row>
    <row r="913" spans="1:9" x14ac:dyDescent="0.2">
      <c r="A913" t="str">
        <f t="shared" si="42"/>
        <v/>
      </c>
      <c r="B913" s="20">
        <v>2020</v>
      </c>
      <c r="C913" s="21" t="s">
        <v>109</v>
      </c>
      <c r="D913" s="21" t="s">
        <v>109</v>
      </c>
      <c r="E913" s="23">
        <v>394228</v>
      </c>
      <c r="F913" s="20">
        <v>5511049.1730000004</v>
      </c>
      <c r="G913" s="30">
        <f t="shared" si="43"/>
        <v>5905277.1730000004</v>
      </c>
      <c r="H913" t="str">
        <f>IFERROR(VLOOKUP(C913,Sheet1!$B$2:$C$25,2,FALSE),"")</f>
        <v/>
      </c>
      <c r="I913">
        <f t="shared" si="44"/>
        <v>1613</v>
      </c>
    </row>
    <row r="914" spans="1:9" x14ac:dyDescent="0.2">
      <c r="A914" t="str">
        <f t="shared" si="42"/>
        <v/>
      </c>
      <c r="B914" s="20">
        <v>2021</v>
      </c>
      <c r="C914" s="21" t="s">
        <v>109</v>
      </c>
      <c r="D914" s="21" t="s">
        <v>109</v>
      </c>
      <c r="E914" s="23">
        <v>422352</v>
      </c>
      <c r="F914" s="20">
        <v>5513376.7510000002</v>
      </c>
      <c r="G914" s="30">
        <f t="shared" si="43"/>
        <v>5935728.7510000002</v>
      </c>
      <c r="H914" t="str">
        <f>IFERROR(VLOOKUP(C914,Sheet1!$B$2:$C$25,2,FALSE),"")</f>
        <v/>
      </c>
      <c r="I914">
        <f t="shared" si="44"/>
        <v>1613</v>
      </c>
    </row>
    <row r="915" spans="1:9" x14ac:dyDescent="0.2">
      <c r="A915" t="str">
        <f t="shared" si="42"/>
        <v/>
      </c>
      <c r="B915" s="20">
        <v>2022</v>
      </c>
      <c r="C915" s="21" t="s">
        <v>109</v>
      </c>
      <c r="D915" s="21" t="s">
        <v>109</v>
      </c>
      <c r="E915" s="23">
        <v>458903</v>
      </c>
      <c r="F915" s="20">
        <v>6308779.1430000002</v>
      </c>
      <c r="G915" s="30">
        <f t="shared" si="43"/>
        <v>6767682.1430000002</v>
      </c>
      <c r="H915" t="str">
        <f>IFERROR(VLOOKUP(C915,Sheet1!$B$2:$C$25,2,FALSE),"")</f>
        <v/>
      </c>
      <c r="I915">
        <f t="shared" si="44"/>
        <v>1613</v>
      </c>
    </row>
    <row r="916" spans="1:9" x14ac:dyDescent="0.2">
      <c r="A916" t="str">
        <f t="shared" si="42"/>
        <v/>
      </c>
      <c r="B916" s="20">
        <v>2023</v>
      </c>
      <c r="C916" s="21" t="s">
        <v>109</v>
      </c>
      <c r="D916" s="21" t="s">
        <v>109</v>
      </c>
      <c r="E916" s="23">
        <v>590982</v>
      </c>
      <c r="F916" s="20">
        <v>7909562.5219999999</v>
      </c>
      <c r="G916" s="30">
        <f t="shared" si="43"/>
        <v>8500544.5219999999</v>
      </c>
      <c r="H916" t="str">
        <f>IFERROR(VLOOKUP(C916,Sheet1!$B$2:$C$25,2,FALSE),"")</f>
        <v/>
      </c>
      <c r="I916">
        <f t="shared" si="44"/>
        <v>1613</v>
      </c>
    </row>
    <row r="917" spans="1:9" x14ac:dyDescent="0.2">
      <c r="A917">
        <f t="shared" si="42"/>
        <v>2400450</v>
      </c>
      <c r="B917" s="20">
        <v>2015</v>
      </c>
      <c r="C917" s="21" t="s">
        <v>110</v>
      </c>
      <c r="D917" s="21" t="s">
        <v>110</v>
      </c>
      <c r="E917" s="23">
        <v>257271</v>
      </c>
      <c r="F917" s="20">
        <v>4035824.02</v>
      </c>
      <c r="G917" s="30">
        <f t="shared" si="43"/>
        <v>4293095.0199999996</v>
      </c>
      <c r="H917">
        <f>IFERROR(VLOOKUP(C917,Sheet1!$B$2:$C$25,2,FALSE),"")</f>
        <v>2400450</v>
      </c>
      <c r="I917">
        <f t="shared" si="44"/>
        <v>9</v>
      </c>
    </row>
    <row r="918" spans="1:9" x14ac:dyDescent="0.2">
      <c r="A918">
        <f t="shared" si="42"/>
        <v>2400450</v>
      </c>
      <c r="B918" s="20">
        <v>2016</v>
      </c>
      <c r="C918" s="21" t="s">
        <v>110</v>
      </c>
      <c r="D918" s="21" t="s">
        <v>110</v>
      </c>
      <c r="E918" s="23">
        <v>242658</v>
      </c>
      <c r="F918" s="20">
        <v>3787609.3870000001</v>
      </c>
      <c r="G918" s="30">
        <f t="shared" si="43"/>
        <v>4030267.3870000001</v>
      </c>
      <c r="H918">
        <f>IFERROR(VLOOKUP(C918,Sheet1!$B$2:$C$25,2,FALSE),"")</f>
        <v>2400450</v>
      </c>
      <c r="I918">
        <f t="shared" si="44"/>
        <v>9</v>
      </c>
    </row>
    <row r="919" spans="1:9" x14ac:dyDescent="0.2">
      <c r="A919">
        <f t="shared" si="42"/>
        <v>2400450</v>
      </c>
      <c r="B919" s="20">
        <v>2017</v>
      </c>
      <c r="C919" s="21" t="s">
        <v>110</v>
      </c>
      <c r="D919" s="21" t="s">
        <v>110</v>
      </c>
      <c r="E919" s="23">
        <v>247202</v>
      </c>
      <c r="F919" s="20">
        <v>4086347.7880000002</v>
      </c>
      <c r="G919" s="30">
        <f t="shared" si="43"/>
        <v>4333549.7880000006</v>
      </c>
      <c r="H919">
        <f>IFERROR(VLOOKUP(C919,Sheet1!$B$2:$C$25,2,FALSE),"")</f>
        <v>2400450</v>
      </c>
      <c r="I919">
        <f t="shared" si="44"/>
        <v>9</v>
      </c>
    </row>
    <row r="920" spans="1:9" x14ac:dyDescent="0.2">
      <c r="A920">
        <f t="shared" si="42"/>
        <v>2400450</v>
      </c>
      <c r="B920" s="20">
        <v>2018</v>
      </c>
      <c r="C920" s="21" t="s">
        <v>110</v>
      </c>
      <c r="D920" s="21" t="s">
        <v>110</v>
      </c>
      <c r="E920" s="23">
        <v>242074</v>
      </c>
      <c r="F920" s="20">
        <v>3642319.2259999998</v>
      </c>
      <c r="G920" s="30">
        <f t="shared" si="43"/>
        <v>3884393.2259999998</v>
      </c>
      <c r="H920">
        <f>IFERROR(VLOOKUP(C920,Sheet1!$B$2:$C$25,2,FALSE),"")</f>
        <v>2400450</v>
      </c>
      <c r="I920">
        <f t="shared" si="44"/>
        <v>9</v>
      </c>
    </row>
    <row r="921" spans="1:9" x14ac:dyDescent="0.2">
      <c r="A921">
        <f t="shared" si="42"/>
        <v>2400450</v>
      </c>
      <c r="B921" s="20">
        <v>2019</v>
      </c>
      <c r="C921" s="21" t="s">
        <v>110</v>
      </c>
      <c r="D921" s="21" t="s">
        <v>110</v>
      </c>
      <c r="E921" s="23">
        <v>268975</v>
      </c>
      <c r="F921" s="20">
        <v>3870044.1979999999</v>
      </c>
      <c r="G921" s="30">
        <f t="shared" si="43"/>
        <v>4139019.1979999999</v>
      </c>
      <c r="H921">
        <f>IFERROR(VLOOKUP(C921,Sheet1!$B$2:$C$25,2,FALSE),"")</f>
        <v>2400450</v>
      </c>
      <c r="I921">
        <f t="shared" si="44"/>
        <v>9</v>
      </c>
    </row>
    <row r="922" spans="1:9" x14ac:dyDescent="0.2">
      <c r="A922">
        <f t="shared" si="42"/>
        <v>2400450</v>
      </c>
      <c r="B922" s="20">
        <v>2020</v>
      </c>
      <c r="C922" s="21" t="s">
        <v>110</v>
      </c>
      <c r="D922" s="21" t="s">
        <v>110</v>
      </c>
      <c r="E922" s="23">
        <v>285987</v>
      </c>
      <c r="F922" s="20">
        <v>3997910.9040000001</v>
      </c>
      <c r="G922" s="30">
        <f t="shared" si="43"/>
        <v>4283897.9040000001</v>
      </c>
      <c r="H922">
        <f>IFERROR(VLOOKUP(C922,Sheet1!$B$2:$C$25,2,FALSE),"")</f>
        <v>2400450</v>
      </c>
      <c r="I922">
        <f t="shared" si="44"/>
        <v>9</v>
      </c>
    </row>
    <row r="923" spans="1:9" x14ac:dyDescent="0.2">
      <c r="A923">
        <f t="shared" si="42"/>
        <v>2400450</v>
      </c>
      <c r="B923" s="20">
        <v>2021</v>
      </c>
      <c r="C923" s="21" t="s">
        <v>110</v>
      </c>
      <c r="D923" s="21" t="s">
        <v>110</v>
      </c>
      <c r="E923" s="23">
        <v>158700</v>
      </c>
      <c r="F923" s="20">
        <v>2071667.449</v>
      </c>
      <c r="G923" s="30">
        <f t="shared" si="43"/>
        <v>2230367.449</v>
      </c>
      <c r="H923">
        <f>IFERROR(VLOOKUP(C923,Sheet1!$B$2:$C$25,2,FALSE),"")</f>
        <v>2400450</v>
      </c>
      <c r="I923">
        <f t="shared" si="44"/>
        <v>9</v>
      </c>
    </row>
    <row r="924" spans="1:9" x14ac:dyDescent="0.2">
      <c r="A924">
        <f t="shared" si="42"/>
        <v>2400450</v>
      </c>
      <c r="B924" s="20">
        <v>2022</v>
      </c>
      <c r="C924" s="21" t="s">
        <v>110</v>
      </c>
      <c r="D924" s="21" t="s">
        <v>110</v>
      </c>
      <c r="E924" s="23">
        <v>170839</v>
      </c>
      <c r="F924" s="20">
        <v>2348612.9309999999</v>
      </c>
      <c r="G924" s="30">
        <f t="shared" si="43"/>
        <v>2519451.9309999999</v>
      </c>
      <c r="H924">
        <f>IFERROR(VLOOKUP(C924,Sheet1!$B$2:$C$25,2,FALSE),"")</f>
        <v>2400450</v>
      </c>
      <c r="I924">
        <f t="shared" si="44"/>
        <v>9</v>
      </c>
    </row>
    <row r="925" spans="1:9" x14ac:dyDescent="0.2">
      <c r="A925">
        <f t="shared" si="42"/>
        <v>2400450</v>
      </c>
      <c r="B925" s="20">
        <v>2023</v>
      </c>
      <c r="C925" s="21" t="s">
        <v>110</v>
      </c>
      <c r="D925" s="21" t="s">
        <v>110</v>
      </c>
      <c r="E925" s="23">
        <v>192595</v>
      </c>
      <c r="F925" s="20">
        <v>2577645.6710000001</v>
      </c>
      <c r="G925" s="30">
        <f t="shared" si="43"/>
        <v>2770240.6710000001</v>
      </c>
      <c r="H925">
        <f>IFERROR(VLOOKUP(C925,Sheet1!$B$2:$C$25,2,FALSE),"")</f>
        <v>2400450</v>
      </c>
      <c r="I925">
        <f t="shared" si="44"/>
        <v>9</v>
      </c>
    </row>
    <row r="926" spans="1:9" x14ac:dyDescent="0.2">
      <c r="A926" t="str">
        <f t="shared" si="42"/>
        <v/>
      </c>
      <c r="B926" s="20">
        <v>2015</v>
      </c>
      <c r="C926" s="21" t="s">
        <v>111</v>
      </c>
      <c r="D926" s="21" t="s">
        <v>111</v>
      </c>
      <c r="E926" s="23">
        <v>15160</v>
      </c>
      <c r="F926" s="20">
        <v>237815.73569999999</v>
      </c>
      <c r="G926" s="30">
        <f t="shared" si="43"/>
        <v>252975.73569999999</v>
      </c>
      <c r="H926" t="str">
        <f>IFERROR(VLOOKUP(C926,Sheet1!$B$2:$C$25,2,FALSE),"")</f>
        <v/>
      </c>
      <c r="I926">
        <f t="shared" si="44"/>
        <v>1613</v>
      </c>
    </row>
    <row r="927" spans="1:9" x14ac:dyDescent="0.2">
      <c r="A927" t="str">
        <f t="shared" si="42"/>
        <v/>
      </c>
      <c r="B927" s="20">
        <v>2016</v>
      </c>
      <c r="C927" s="21" t="s">
        <v>111</v>
      </c>
      <c r="D927" s="21" t="s">
        <v>111</v>
      </c>
      <c r="E927" s="23">
        <v>15879</v>
      </c>
      <c r="F927" s="20">
        <v>247852.73699999999</v>
      </c>
      <c r="G927" s="30">
        <f t="shared" si="43"/>
        <v>263731.73699999996</v>
      </c>
      <c r="H927" t="str">
        <f>IFERROR(VLOOKUP(C927,Sheet1!$B$2:$C$25,2,FALSE),"")</f>
        <v/>
      </c>
      <c r="I927">
        <f t="shared" si="44"/>
        <v>1613</v>
      </c>
    </row>
    <row r="928" spans="1:9" x14ac:dyDescent="0.2">
      <c r="A928" t="str">
        <f t="shared" si="42"/>
        <v/>
      </c>
      <c r="B928" s="20">
        <v>2017</v>
      </c>
      <c r="C928" s="21" t="s">
        <v>111</v>
      </c>
      <c r="D928" s="21" t="s">
        <v>111</v>
      </c>
      <c r="E928" s="23">
        <v>15825</v>
      </c>
      <c r="F928" s="20">
        <v>261593.57019999999</v>
      </c>
      <c r="G928" s="30">
        <f t="shared" si="43"/>
        <v>277418.57019999996</v>
      </c>
      <c r="H928" t="str">
        <f>IFERROR(VLOOKUP(C928,Sheet1!$B$2:$C$25,2,FALSE),"")</f>
        <v/>
      </c>
      <c r="I928">
        <f t="shared" si="44"/>
        <v>1613</v>
      </c>
    </row>
    <row r="929" spans="1:9" x14ac:dyDescent="0.2">
      <c r="A929" t="str">
        <f t="shared" si="42"/>
        <v/>
      </c>
      <c r="B929" s="20">
        <v>2018</v>
      </c>
      <c r="C929" s="21" t="s">
        <v>111</v>
      </c>
      <c r="D929" s="21" t="s">
        <v>111</v>
      </c>
      <c r="E929" s="23">
        <v>16993</v>
      </c>
      <c r="F929" s="20">
        <v>255681.8602</v>
      </c>
      <c r="G929" s="30">
        <f t="shared" si="43"/>
        <v>272674.8602</v>
      </c>
      <c r="H929" t="str">
        <f>IFERROR(VLOOKUP(C929,Sheet1!$B$2:$C$25,2,FALSE),"")</f>
        <v/>
      </c>
      <c r="I929">
        <f t="shared" si="44"/>
        <v>1613</v>
      </c>
    </row>
    <row r="930" spans="1:9" x14ac:dyDescent="0.2">
      <c r="A930" t="str">
        <f t="shared" si="42"/>
        <v/>
      </c>
      <c r="B930" s="20">
        <v>2019</v>
      </c>
      <c r="C930" s="21" t="s">
        <v>111</v>
      </c>
      <c r="D930" s="21" t="s">
        <v>111</v>
      </c>
      <c r="E930" s="23">
        <v>18281</v>
      </c>
      <c r="F930" s="20">
        <v>263029.19589999999</v>
      </c>
      <c r="G930" s="30">
        <f t="shared" si="43"/>
        <v>281310.19589999999</v>
      </c>
      <c r="H930" t="str">
        <f>IFERROR(VLOOKUP(C930,Sheet1!$B$2:$C$25,2,FALSE),"")</f>
        <v/>
      </c>
      <c r="I930">
        <f t="shared" si="44"/>
        <v>1613</v>
      </c>
    </row>
    <row r="931" spans="1:9" x14ac:dyDescent="0.2">
      <c r="A931" t="str">
        <f t="shared" si="42"/>
        <v/>
      </c>
      <c r="B931" s="20">
        <v>2020</v>
      </c>
      <c r="C931" s="21" t="s">
        <v>111</v>
      </c>
      <c r="D931" s="21" t="s">
        <v>111</v>
      </c>
      <c r="E931" s="23">
        <v>13068</v>
      </c>
      <c r="F931" s="20">
        <v>182682.07889999999</v>
      </c>
      <c r="G931" s="30">
        <f t="shared" si="43"/>
        <v>195750.07889999999</v>
      </c>
      <c r="H931" t="str">
        <f>IFERROR(VLOOKUP(C931,Sheet1!$B$2:$C$25,2,FALSE),"")</f>
        <v/>
      </c>
      <c r="I931">
        <f t="shared" si="44"/>
        <v>1613</v>
      </c>
    </row>
    <row r="932" spans="1:9" x14ac:dyDescent="0.2">
      <c r="A932" t="str">
        <f t="shared" si="42"/>
        <v/>
      </c>
      <c r="B932" s="20">
        <v>2021</v>
      </c>
      <c r="C932" s="21" t="s">
        <v>111</v>
      </c>
      <c r="D932" s="21" t="s">
        <v>111</v>
      </c>
      <c r="E932" s="23">
        <v>11246</v>
      </c>
      <c r="F932" s="20">
        <v>146805.11739999999</v>
      </c>
      <c r="G932" s="30">
        <f t="shared" si="43"/>
        <v>158051.11739999999</v>
      </c>
      <c r="H932" t="str">
        <f>IFERROR(VLOOKUP(C932,Sheet1!$B$2:$C$25,2,FALSE),"")</f>
        <v/>
      </c>
      <c r="I932">
        <f t="shared" si="44"/>
        <v>1613</v>
      </c>
    </row>
    <row r="933" spans="1:9" x14ac:dyDescent="0.2">
      <c r="A933" t="str">
        <f t="shared" si="42"/>
        <v/>
      </c>
      <c r="B933" s="20">
        <v>2022</v>
      </c>
      <c r="C933" s="21" t="s">
        <v>111</v>
      </c>
      <c r="D933" s="21" t="s">
        <v>111</v>
      </c>
      <c r="E933" s="23">
        <v>11722</v>
      </c>
      <c r="F933" s="20">
        <v>161148.45430000001</v>
      </c>
      <c r="G933" s="30">
        <f t="shared" si="43"/>
        <v>172870.45430000001</v>
      </c>
      <c r="H933" t="str">
        <f>IFERROR(VLOOKUP(C933,Sheet1!$B$2:$C$25,2,FALSE),"")</f>
        <v/>
      </c>
      <c r="I933">
        <f t="shared" si="44"/>
        <v>1613</v>
      </c>
    </row>
    <row r="934" spans="1:9" x14ac:dyDescent="0.2">
      <c r="A934" t="str">
        <f t="shared" si="42"/>
        <v/>
      </c>
      <c r="B934" s="20">
        <v>2023</v>
      </c>
      <c r="C934" s="21" t="s">
        <v>111</v>
      </c>
      <c r="D934" s="21" t="s">
        <v>111</v>
      </c>
      <c r="E934" s="23">
        <v>14695</v>
      </c>
      <c r="F934" s="20">
        <v>196674.3848</v>
      </c>
      <c r="G934" s="30">
        <f t="shared" si="43"/>
        <v>211369.3848</v>
      </c>
      <c r="H934" t="str">
        <f>IFERROR(VLOOKUP(C934,Sheet1!$B$2:$C$25,2,FALSE),"")</f>
        <v/>
      </c>
      <c r="I934">
        <f t="shared" si="44"/>
        <v>1613</v>
      </c>
    </row>
    <row r="935" spans="1:9" x14ac:dyDescent="0.2">
      <c r="A935" t="str">
        <f t="shared" si="42"/>
        <v/>
      </c>
      <c r="B935" s="20">
        <v>2015</v>
      </c>
      <c r="C935" s="21" t="s">
        <v>112</v>
      </c>
      <c r="D935" s="21" t="s">
        <v>112</v>
      </c>
      <c r="E935" s="23">
        <v>54707</v>
      </c>
      <c r="F935" s="20">
        <v>858191.65260000003</v>
      </c>
      <c r="G935" s="30">
        <f t="shared" si="43"/>
        <v>912898.65260000003</v>
      </c>
      <c r="H935" t="str">
        <f>IFERROR(VLOOKUP(C935,Sheet1!$B$2:$C$25,2,FALSE),"")</f>
        <v/>
      </c>
      <c r="I935">
        <f t="shared" si="44"/>
        <v>1613</v>
      </c>
    </row>
    <row r="936" spans="1:9" x14ac:dyDescent="0.2">
      <c r="A936" t="str">
        <f t="shared" si="42"/>
        <v/>
      </c>
      <c r="B936" s="20">
        <v>2016</v>
      </c>
      <c r="C936" s="21" t="s">
        <v>112</v>
      </c>
      <c r="D936" s="21" t="s">
        <v>112</v>
      </c>
      <c r="E936" s="23">
        <v>49809</v>
      </c>
      <c r="F936" s="20">
        <v>777460.60690000001</v>
      </c>
      <c r="G936" s="30">
        <f t="shared" si="43"/>
        <v>827269.60690000001</v>
      </c>
      <c r="H936" t="str">
        <f>IFERROR(VLOOKUP(C936,Sheet1!$B$2:$C$25,2,FALSE),"")</f>
        <v/>
      </c>
      <c r="I936">
        <f t="shared" si="44"/>
        <v>1613</v>
      </c>
    </row>
    <row r="937" spans="1:9" x14ac:dyDescent="0.2">
      <c r="A937" t="str">
        <f t="shared" si="42"/>
        <v/>
      </c>
      <c r="B937" s="20">
        <v>2017</v>
      </c>
      <c r="C937" s="21" t="s">
        <v>112</v>
      </c>
      <c r="D937" s="21" t="s">
        <v>112</v>
      </c>
      <c r="E937" s="23">
        <v>46149</v>
      </c>
      <c r="F937" s="20">
        <v>762861.40099999995</v>
      </c>
      <c r="G937" s="30">
        <f t="shared" si="43"/>
        <v>809010.40099999995</v>
      </c>
      <c r="H937" t="str">
        <f>IFERROR(VLOOKUP(C937,Sheet1!$B$2:$C$25,2,FALSE),"")</f>
        <v/>
      </c>
      <c r="I937">
        <f t="shared" si="44"/>
        <v>1613</v>
      </c>
    </row>
    <row r="938" spans="1:9" x14ac:dyDescent="0.2">
      <c r="A938" t="str">
        <f t="shared" si="42"/>
        <v/>
      </c>
      <c r="B938" s="20">
        <v>2018</v>
      </c>
      <c r="C938" s="21" t="s">
        <v>112</v>
      </c>
      <c r="D938" s="21" t="s">
        <v>112</v>
      </c>
      <c r="E938" s="23">
        <v>50913</v>
      </c>
      <c r="F938" s="20">
        <v>766052.52430000005</v>
      </c>
      <c r="G938" s="30">
        <f t="shared" si="43"/>
        <v>816965.52430000005</v>
      </c>
      <c r="H938" t="str">
        <f>IFERROR(VLOOKUP(C938,Sheet1!$B$2:$C$25,2,FALSE),"")</f>
        <v/>
      </c>
      <c r="I938">
        <f t="shared" si="44"/>
        <v>1613</v>
      </c>
    </row>
    <row r="939" spans="1:9" x14ac:dyDescent="0.2">
      <c r="A939" t="str">
        <f t="shared" si="42"/>
        <v/>
      </c>
      <c r="B939" s="20">
        <v>2019</v>
      </c>
      <c r="C939" s="21" t="s">
        <v>112</v>
      </c>
      <c r="D939" s="21" t="s">
        <v>112</v>
      </c>
      <c r="E939" s="23">
        <v>43189</v>
      </c>
      <c r="F939" s="20">
        <v>621408.45369999995</v>
      </c>
      <c r="G939" s="30">
        <f t="shared" si="43"/>
        <v>664597.45369999995</v>
      </c>
      <c r="H939" t="str">
        <f>IFERROR(VLOOKUP(C939,Sheet1!$B$2:$C$25,2,FALSE),"")</f>
        <v/>
      </c>
      <c r="I939">
        <f t="shared" si="44"/>
        <v>1613</v>
      </c>
    </row>
    <row r="940" spans="1:9" x14ac:dyDescent="0.2">
      <c r="A940" t="str">
        <f t="shared" si="42"/>
        <v/>
      </c>
      <c r="B940" s="20">
        <v>2020</v>
      </c>
      <c r="C940" s="21" t="s">
        <v>112</v>
      </c>
      <c r="D940" s="21" t="s">
        <v>112</v>
      </c>
      <c r="E940" s="23">
        <v>56707</v>
      </c>
      <c r="F940" s="20">
        <v>792726.71010000003</v>
      </c>
      <c r="G940" s="30">
        <f t="shared" si="43"/>
        <v>849433.71010000003</v>
      </c>
      <c r="H940" t="str">
        <f>IFERROR(VLOOKUP(C940,Sheet1!$B$2:$C$25,2,FALSE),"")</f>
        <v/>
      </c>
      <c r="I940">
        <f t="shared" si="44"/>
        <v>1613</v>
      </c>
    </row>
    <row r="941" spans="1:9" x14ac:dyDescent="0.2">
      <c r="A941" t="str">
        <f t="shared" si="42"/>
        <v/>
      </c>
      <c r="B941" s="20">
        <v>2021</v>
      </c>
      <c r="C941" s="21" t="s">
        <v>112</v>
      </c>
      <c r="D941" s="21" t="s">
        <v>112</v>
      </c>
      <c r="E941" s="23">
        <v>60990</v>
      </c>
      <c r="F941" s="20">
        <v>796162.55649999995</v>
      </c>
      <c r="G941" s="30">
        <f t="shared" si="43"/>
        <v>857152.55649999995</v>
      </c>
      <c r="H941" t="str">
        <f>IFERROR(VLOOKUP(C941,Sheet1!$B$2:$C$25,2,FALSE),"")</f>
        <v/>
      </c>
      <c r="I941">
        <f t="shared" si="44"/>
        <v>1613</v>
      </c>
    </row>
    <row r="942" spans="1:9" x14ac:dyDescent="0.2">
      <c r="A942" t="str">
        <f t="shared" si="42"/>
        <v/>
      </c>
      <c r="B942" s="20">
        <v>2022</v>
      </c>
      <c r="C942" s="21" t="s">
        <v>112</v>
      </c>
      <c r="D942" s="21" t="s">
        <v>112</v>
      </c>
      <c r="E942" s="23">
        <v>74008</v>
      </c>
      <c r="F942" s="20">
        <v>1017426.617</v>
      </c>
      <c r="G942" s="30">
        <f t="shared" si="43"/>
        <v>1091434.6170000001</v>
      </c>
      <c r="H942" t="str">
        <f>IFERROR(VLOOKUP(C942,Sheet1!$B$2:$C$25,2,FALSE),"")</f>
        <v/>
      </c>
      <c r="I942">
        <f t="shared" si="44"/>
        <v>1613</v>
      </c>
    </row>
    <row r="943" spans="1:9" x14ac:dyDescent="0.2">
      <c r="A943" t="str">
        <f t="shared" si="42"/>
        <v/>
      </c>
      <c r="B943" s="20">
        <v>2023</v>
      </c>
      <c r="C943" s="21" t="s">
        <v>112</v>
      </c>
      <c r="D943" s="21" t="s">
        <v>112</v>
      </c>
      <c r="E943" s="23">
        <v>70046</v>
      </c>
      <c r="F943" s="20">
        <v>937479.00340000005</v>
      </c>
      <c r="G943" s="30">
        <f t="shared" si="43"/>
        <v>1007525.0034</v>
      </c>
      <c r="H943" t="str">
        <f>IFERROR(VLOOKUP(C943,Sheet1!$B$2:$C$25,2,FALSE),"")</f>
        <v/>
      </c>
      <c r="I943">
        <f t="shared" si="44"/>
        <v>1613</v>
      </c>
    </row>
    <row r="944" spans="1:9" x14ac:dyDescent="0.2">
      <c r="A944" t="str">
        <f t="shared" si="42"/>
        <v/>
      </c>
      <c r="B944" s="20">
        <v>2015</v>
      </c>
      <c r="C944" s="21" t="s">
        <v>113</v>
      </c>
      <c r="D944" s="21" t="s">
        <v>113</v>
      </c>
      <c r="E944" s="23">
        <v>256876</v>
      </c>
      <c r="F944" s="20">
        <v>4029627.6340000001</v>
      </c>
      <c r="G944" s="30">
        <f t="shared" si="43"/>
        <v>4286503.6339999996</v>
      </c>
      <c r="H944" t="str">
        <f>IFERROR(VLOOKUP(C944,Sheet1!$B$2:$C$25,2,FALSE),"")</f>
        <v/>
      </c>
      <c r="I944">
        <f t="shared" si="44"/>
        <v>1613</v>
      </c>
    </row>
    <row r="945" spans="1:9" x14ac:dyDescent="0.2">
      <c r="A945" t="str">
        <f t="shared" si="42"/>
        <v/>
      </c>
      <c r="B945" s="20">
        <v>2016</v>
      </c>
      <c r="C945" s="21" t="s">
        <v>113</v>
      </c>
      <c r="D945" s="21" t="s">
        <v>113</v>
      </c>
      <c r="E945" s="23">
        <v>239542</v>
      </c>
      <c r="F945" s="20">
        <v>3738972.2480000001</v>
      </c>
      <c r="G945" s="30">
        <f t="shared" si="43"/>
        <v>3978514.2480000001</v>
      </c>
      <c r="H945" t="str">
        <f>IFERROR(VLOOKUP(C945,Sheet1!$B$2:$C$25,2,FALSE),"")</f>
        <v/>
      </c>
      <c r="I945">
        <f t="shared" si="44"/>
        <v>1613</v>
      </c>
    </row>
    <row r="946" spans="1:9" x14ac:dyDescent="0.2">
      <c r="A946" t="str">
        <f t="shared" si="42"/>
        <v/>
      </c>
      <c r="B946" s="20">
        <v>2017</v>
      </c>
      <c r="C946" s="21" t="s">
        <v>113</v>
      </c>
      <c r="D946" s="21" t="s">
        <v>113</v>
      </c>
      <c r="E946" s="23">
        <v>243932</v>
      </c>
      <c r="F946" s="20">
        <v>4032293.3820000002</v>
      </c>
      <c r="G946" s="30">
        <f t="shared" si="43"/>
        <v>4276225.3820000002</v>
      </c>
      <c r="H946" t="str">
        <f>IFERROR(VLOOKUP(C946,Sheet1!$B$2:$C$25,2,FALSE),"")</f>
        <v/>
      </c>
      <c r="I946">
        <f t="shared" si="44"/>
        <v>1613</v>
      </c>
    </row>
    <row r="947" spans="1:9" x14ac:dyDescent="0.2">
      <c r="A947" t="str">
        <f t="shared" si="42"/>
        <v/>
      </c>
      <c r="B947" s="20">
        <v>2018</v>
      </c>
      <c r="C947" s="21" t="s">
        <v>113</v>
      </c>
      <c r="D947" s="21" t="s">
        <v>113</v>
      </c>
      <c r="E947" s="23">
        <v>269145</v>
      </c>
      <c r="F947" s="20">
        <v>4049637.7480000001</v>
      </c>
      <c r="G947" s="30">
        <f t="shared" si="43"/>
        <v>4318782.7479999997</v>
      </c>
      <c r="H947" t="str">
        <f>IFERROR(VLOOKUP(C947,Sheet1!$B$2:$C$25,2,FALSE),"")</f>
        <v/>
      </c>
      <c r="I947">
        <f t="shared" si="44"/>
        <v>1613</v>
      </c>
    </row>
    <row r="948" spans="1:9" x14ac:dyDescent="0.2">
      <c r="A948" t="str">
        <f t="shared" si="42"/>
        <v/>
      </c>
      <c r="B948" s="20">
        <v>2019</v>
      </c>
      <c r="C948" s="21" t="s">
        <v>113</v>
      </c>
      <c r="D948" s="21" t="s">
        <v>113</v>
      </c>
      <c r="E948" s="23">
        <v>302182</v>
      </c>
      <c r="F948" s="20">
        <v>4347830.4519999996</v>
      </c>
      <c r="G948" s="30">
        <f t="shared" si="43"/>
        <v>4650012.4519999996</v>
      </c>
      <c r="H948" t="str">
        <f>IFERROR(VLOOKUP(C948,Sheet1!$B$2:$C$25,2,FALSE),"")</f>
        <v/>
      </c>
      <c r="I948">
        <f t="shared" si="44"/>
        <v>1613</v>
      </c>
    </row>
    <row r="949" spans="1:9" x14ac:dyDescent="0.2">
      <c r="A949" t="str">
        <f t="shared" si="42"/>
        <v/>
      </c>
      <c r="B949" s="20">
        <v>2020</v>
      </c>
      <c r="C949" s="21" t="s">
        <v>113</v>
      </c>
      <c r="D949" s="21" t="s">
        <v>113</v>
      </c>
      <c r="E949" s="23">
        <v>319564</v>
      </c>
      <c r="F949" s="20">
        <v>4467295.3669999996</v>
      </c>
      <c r="G949" s="30">
        <f t="shared" si="43"/>
        <v>4786859.3669999996</v>
      </c>
      <c r="H949" t="str">
        <f>IFERROR(VLOOKUP(C949,Sheet1!$B$2:$C$25,2,FALSE),"")</f>
        <v/>
      </c>
      <c r="I949">
        <f t="shared" si="44"/>
        <v>1613</v>
      </c>
    </row>
    <row r="950" spans="1:9" x14ac:dyDescent="0.2">
      <c r="A950" t="str">
        <f t="shared" si="42"/>
        <v/>
      </c>
      <c r="B950" s="20">
        <v>2021</v>
      </c>
      <c r="C950" s="21" t="s">
        <v>113</v>
      </c>
      <c r="D950" s="21" t="s">
        <v>113</v>
      </c>
      <c r="E950" s="23">
        <v>393620</v>
      </c>
      <c r="F950" s="20">
        <v>5138309.6490000002</v>
      </c>
      <c r="G950" s="30">
        <f t="shared" si="43"/>
        <v>5531929.6490000002</v>
      </c>
      <c r="H950" t="str">
        <f>IFERROR(VLOOKUP(C950,Sheet1!$B$2:$C$25,2,FALSE),"")</f>
        <v/>
      </c>
      <c r="I950">
        <f t="shared" si="44"/>
        <v>1613</v>
      </c>
    </row>
    <row r="951" spans="1:9" x14ac:dyDescent="0.2">
      <c r="A951" t="str">
        <f t="shared" si="42"/>
        <v/>
      </c>
      <c r="B951" s="20">
        <v>2022</v>
      </c>
      <c r="C951" s="21" t="s">
        <v>113</v>
      </c>
      <c r="D951" s="21" t="s">
        <v>113</v>
      </c>
      <c r="E951" s="23">
        <v>409365</v>
      </c>
      <c r="F951" s="20">
        <v>5627754.3930000002</v>
      </c>
      <c r="G951" s="30">
        <f t="shared" si="43"/>
        <v>6037119.3930000002</v>
      </c>
      <c r="H951" t="str">
        <f>IFERROR(VLOOKUP(C951,Sheet1!$B$2:$C$25,2,FALSE),"")</f>
        <v/>
      </c>
      <c r="I951">
        <f t="shared" si="44"/>
        <v>1613</v>
      </c>
    </row>
    <row r="952" spans="1:9" x14ac:dyDescent="0.2">
      <c r="A952" t="str">
        <f t="shared" si="42"/>
        <v/>
      </c>
      <c r="B952" s="20">
        <v>2023</v>
      </c>
      <c r="C952" s="21" t="s">
        <v>113</v>
      </c>
      <c r="D952" s="21" t="s">
        <v>113</v>
      </c>
      <c r="E952" s="23">
        <v>443023</v>
      </c>
      <c r="F952" s="20">
        <v>5929314.4579999996</v>
      </c>
      <c r="G952" s="30">
        <f t="shared" si="43"/>
        <v>6372337.4579999996</v>
      </c>
      <c r="H952" t="str">
        <f>IFERROR(VLOOKUP(C952,Sheet1!$B$2:$C$25,2,FALSE),"")</f>
        <v/>
      </c>
      <c r="I952">
        <f t="shared" si="44"/>
        <v>1613</v>
      </c>
    </row>
    <row r="953" spans="1:9" x14ac:dyDescent="0.2">
      <c r="A953" t="str">
        <f t="shared" si="42"/>
        <v/>
      </c>
      <c r="B953" s="20">
        <v>2015</v>
      </c>
      <c r="C953" s="21" t="s">
        <v>114</v>
      </c>
      <c r="D953" s="21" t="s">
        <v>114</v>
      </c>
      <c r="E953" s="23">
        <v>75371</v>
      </c>
      <c r="F953" s="20">
        <v>1182348.932</v>
      </c>
      <c r="G953" s="30">
        <f t="shared" si="43"/>
        <v>1257719.932</v>
      </c>
      <c r="H953" t="str">
        <f>IFERROR(VLOOKUP(C953,Sheet1!$B$2:$C$25,2,FALSE),"")</f>
        <v/>
      </c>
      <c r="I953">
        <f t="shared" si="44"/>
        <v>1613</v>
      </c>
    </row>
    <row r="954" spans="1:9" x14ac:dyDescent="0.2">
      <c r="A954" t="str">
        <f t="shared" si="42"/>
        <v/>
      </c>
      <c r="B954" s="20">
        <v>2016</v>
      </c>
      <c r="C954" s="21" t="s">
        <v>114</v>
      </c>
      <c r="D954" s="21" t="s">
        <v>114</v>
      </c>
      <c r="E954" s="23">
        <v>79140</v>
      </c>
      <c r="F954" s="20">
        <v>1235283.4310000001</v>
      </c>
      <c r="G954" s="30">
        <f t="shared" si="43"/>
        <v>1314423.4310000001</v>
      </c>
      <c r="H954" t="str">
        <f>IFERROR(VLOOKUP(C954,Sheet1!$B$2:$C$25,2,FALSE),"")</f>
        <v/>
      </c>
      <c r="I954">
        <f t="shared" si="44"/>
        <v>1613</v>
      </c>
    </row>
    <row r="955" spans="1:9" x14ac:dyDescent="0.2">
      <c r="A955" t="str">
        <f t="shared" si="42"/>
        <v/>
      </c>
      <c r="B955" s="20">
        <v>2017</v>
      </c>
      <c r="C955" s="21" t="s">
        <v>114</v>
      </c>
      <c r="D955" s="21" t="s">
        <v>114</v>
      </c>
      <c r="E955" s="23">
        <v>83097</v>
      </c>
      <c r="F955" s="20">
        <v>1373626.5970000001</v>
      </c>
      <c r="G955" s="30">
        <f t="shared" si="43"/>
        <v>1456723.5970000001</v>
      </c>
      <c r="H955" t="str">
        <f>IFERROR(VLOOKUP(C955,Sheet1!$B$2:$C$25,2,FALSE),"")</f>
        <v/>
      </c>
      <c r="I955">
        <f t="shared" si="44"/>
        <v>1613</v>
      </c>
    </row>
    <row r="956" spans="1:9" x14ac:dyDescent="0.2">
      <c r="A956" t="str">
        <f t="shared" si="42"/>
        <v/>
      </c>
      <c r="B956" s="20">
        <v>2018</v>
      </c>
      <c r="C956" s="21" t="s">
        <v>114</v>
      </c>
      <c r="D956" s="21" t="s">
        <v>114</v>
      </c>
      <c r="E956" s="23">
        <v>87252</v>
      </c>
      <c r="F956" s="20">
        <v>1312820.2</v>
      </c>
      <c r="G956" s="30">
        <f t="shared" si="43"/>
        <v>1400072.2</v>
      </c>
      <c r="H956" t="str">
        <f>IFERROR(VLOOKUP(C956,Sheet1!$B$2:$C$25,2,FALSE),"")</f>
        <v/>
      </c>
      <c r="I956">
        <f t="shared" si="44"/>
        <v>1613</v>
      </c>
    </row>
    <row r="957" spans="1:9" x14ac:dyDescent="0.2">
      <c r="A957" t="str">
        <f t="shared" si="42"/>
        <v/>
      </c>
      <c r="B957" s="20">
        <v>2019</v>
      </c>
      <c r="C957" s="21" t="s">
        <v>114</v>
      </c>
      <c r="D957" s="21" t="s">
        <v>114</v>
      </c>
      <c r="E957" s="23">
        <v>91615</v>
      </c>
      <c r="F957" s="20">
        <v>1318167.4850000001</v>
      </c>
      <c r="G957" s="30">
        <f t="shared" si="43"/>
        <v>1409782.4850000001</v>
      </c>
      <c r="H957" t="str">
        <f>IFERROR(VLOOKUP(C957,Sheet1!$B$2:$C$25,2,FALSE),"")</f>
        <v/>
      </c>
      <c r="I957">
        <f t="shared" si="44"/>
        <v>1613</v>
      </c>
    </row>
    <row r="958" spans="1:9" x14ac:dyDescent="0.2">
      <c r="A958" t="str">
        <f t="shared" si="42"/>
        <v/>
      </c>
      <c r="B958" s="20">
        <v>2020</v>
      </c>
      <c r="C958" s="21" t="s">
        <v>114</v>
      </c>
      <c r="D958" s="21" t="s">
        <v>114</v>
      </c>
      <c r="E958" s="23">
        <v>96196</v>
      </c>
      <c r="F958" s="20">
        <v>1344757.06</v>
      </c>
      <c r="G958" s="30">
        <f t="shared" si="43"/>
        <v>1440953.06</v>
      </c>
      <c r="H958" t="str">
        <f>IFERROR(VLOOKUP(C958,Sheet1!$B$2:$C$25,2,FALSE),"")</f>
        <v/>
      </c>
      <c r="I958">
        <f t="shared" si="44"/>
        <v>1613</v>
      </c>
    </row>
    <row r="959" spans="1:9" x14ac:dyDescent="0.2">
      <c r="A959" t="str">
        <f t="shared" si="42"/>
        <v/>
      </c>
      <c r="B959" s="20">
        <v>2021</v>
      </c>
      <c r="C959" s="21" t="s">
        <v>114</v>
      </c>
      <c r="D959" s="21" t="s">
        <v>114</v>
      </c>
      <c r="E959" s="23" t="s">
        <v>269</v>
      </c>
      <c r="F959" s="20">
        <v>0</v>
      </c>
      <c r="G959" s="30">
        <f t="shared" si="43"/>
        <v>0</v>
      </c>
      <c r="H959" t="str">
        <f>IFERROR(VLOOKUP(C959,Sheet1!$B$2:$C$25,2,FALSE),"")</f>
        <v/>
      </c>
      <c r="I959">
        <f t="shared" si="44"/>
        <v>1613</v>
      </c>
    </row>
    <row r="960" spans="1:9" x14ac:dyDescent="0.2">
      <c r="A960" t="str">
        <f t="shared" si="42"/>
        <v/>
      </c>
      <c r="B960" s="20">
        <v>2022</v>
      </c>
      <c r="C960" s="21" t="s">
        <v>114</v>
      </c>
      <c r="D960" s="21" t="s">
        <v>114</v>
      </c>
      <c r="E960" s="23" t="s">
        <v>269</v>
      </c>
      <c r="F960" s="20">
        <v>0</v>
      </c>
      <c r="G960" s="30">
        <f t="shared" si="43"/>
        <v>0</v>
      </c>
      <c r="H960" t="str">
        <f>IFERROR(VLOOKUP(C960,Sheet1!$B$2:$C$25,2,FALSE),"")</f>
        <v/>
      </c>
      <c r="I960">
        <f t="shared" si="44"/>
        <v>1613</v>
      </c>
    </row>
    <row r="961" spans="1:9" x14ac:dyDescent="0.2">
      <c r="A961" t="str">
        <f t="shared" si="42"/>
        <v/>
      </c>
      <c r="B961" s="20">
        <v>2023</v>
      </c>
      <c r="C961" s="21" t="s">
        <v>114</v>
      </c>
      <c r="D961" s="21" t="s">
        <v>114</v>
      </c>
      <c r="E961" s="23" t="s">
        <v>269</v>
      </c>
      <c r="F961" s="20">
        <v>0</v>
      </c>
      <c r="G961" s="30">
        <f t="shared" si="43"/>
        <v>0</v>
      </c>
      <c r="H961" t="str">
        <f>IFERROR(VLOOKUP(C961,Sheet1!$B$2:$C$25,2,FALSE),"")</f>
        <v/>
      </c>
      <c r="I961">
        <f t="shared" si="44"/>
        <v>1613</v>
      </c>
    </row>
    <row r="962" spans="1:9" x14ac:dyDescent="0.2">
      <c r="A962" t="str">
        <f t="shared" si="42"/>
        <v/>
      </c>
      <c r="B962" s="20">
        <v>2015</v>
      </c>
      <c r="C962" s="21" t="s">
        <v>115</v>
      </c>
      <c r="D962" s="21" t="s">
        <v>115</v>
      </c>
      <c r="E962" s="23">
        <v>96577</v>
      </c>
      <c r="F962" s="20">
        <v>1515008.5959999999</v>
      </c>
      <c r="G962" s="30">
        <f t="shared" si="43"/>
        <v>1611585.5959999999</v>
      </c>
      <c r="H962" t="str">
        <f>IFERROR(VLOOKUP(C962,Sheet1!$B$2:$C$25,2,FALSE),"")</f>
        <v/>
      </c>
      <c r="I962">
        <f t="shared" si="44"/>
        <v>1613</v>
      </c>
    </row>
    <row r="963" spans="1:9" x14ac:dyDescent="0.2">
      <c r="A963" t="str">
        <f t="shared" ref="A963:A1026" si="45">H963</f>
        <v/>
      </c>
      <c r="B963" s="20">
        <v>2016</v>
      </c>
      <c r="C963" s="21" t="s">
        <v>115</v>
      </c>
      <c r="D963" s="21" t="s">
        <v>115</v>
      </c>
      <c r="E963" s="23">
        <v>86925</v>
      </c>
      <c r="F963" s="20">
        <v>1356798.2339999999</v>
      </c>
      <c r="G963" s="30">
        <f t="shared" ref="G963:G1026" si="46">SUM(E963:F963)</f>
        <v>1443723.2339999999</v>
      </c>
      <c r="H963" t="str">
        <f>IFERROR(VLOOKUP(C963,Sheet1!$B$2:$C$25,2,FALSE),"")</f>
        <v/>
      </c>
      <c r="I963">
        <f t="shared" ref="I963:I1026" si="47">COUNTIF($H$2:$H$1812,H963)</f>
        <v>1613</v>
      </c>
    </row>
    <row r="964" spans="1:9" x14ac:dyDescent="0.2">
      <c r="A964" t="str">
        <f t="shared" si="45"/>
        <v/>
      </c>
      <c r="B964" s="20">
        <v>2017</v>
      </c>
      <c r="C964" s="21" t="s">
        <v>115</v>
      </c>
      <c r="D964" s="21" t="s">
        <v>115</v>
      </c>
      <c r="E964" s="23">
        <v>88112</v>
      </c>
      <c r="F964" s="20">
        <v>1456526.55</v>
      </c>
      <c r="G964" s="30">
        <f t="shared" si="46"/>
        <v>1544638.55</v>
      </c>
      <c r="H964" t="str">
        <f>IFERROR(VLOOKUP(C964,Sheet1!$B$2:$C$25,2,FALSE),"")</f>
        <v/>
      </c>
      <c r="I964">
        <f t="shared" si="47"/>
        <v>1613</v>
      </c>
    </row>
    <row r="965" spans="1:9" x14ac:dyDescent="0.2">
      <c r="A965" t="str">
        <f t="shared" si="45"/>
        <v/>
      </c>
      <c r="B965" s="20">
        <v>2018</v>
      </c>
      <c r="C965" s="21" t="s">
        <v>115</v>
      </c>
      <c r="D965" s="21" t="s">
        <v>115</v>
      </c>
      <c r="E965" s="23">
        <v>96262</v>
      </c>
      <c r="F965" s="20">
        <v>1448387.4080000001</v>
      </c>
      <c r="G965" s="30">
        <f t="shared" si="46"/>
        <v>1544649.4080000001</v>
      </c>
      <c r="H965" t="str">
        <f>IFERROR(VLOOKUP(C965,Sheet1!$B$2:$C$25,2,FALSE),"")</f>
        <v/>
      </c>
      <c r="I965">
        <f t="shared" si="47"/>
        <v>1613</v>
      </c>
    </row>
    <row r="966" spans="1:9" x14ac:dyDescent="0.2">
      <c r="A966" t="str">
        <f t="shared" si="45"/>
        <v/>
      </c>
      <c r="B966" s="20">
        <v>2019</v>
      </c>
      <c r="C966" s="21" t="s">
        <v>115</v>
      </c>
      <c r="D966" s="21" t="s">
        <v>115</v>
      </c>
      <c r="E966" s="23">
        <v>112092</v>
      </c>
      <c r="F966" s="20">
        <v>1612792.9890000001</v>
      </c>
      <c r="G966" s="30">
        <f t="shared" si="46"/>
        <v>1724884.9890000001</v>
      </c>
      <c r="H966" t="str">
        <f>IFERROR(VLOOKUP(C966,Sheet1!$B$2:$C$25,2,FALSE),"")</f>
        <v/>
      </c>
      <c r="I966">
        <f t="shared" si="47"/>
        <v>1613</v>
      </c>
    </row>
    <row r="967" spans="1:9" x14ac:dyDescent="0.2">
      <c r="A967" t="str">
        <f t="shared" si="45"/>
        <v/>
      </c>
      <c r="B967" s="20">
        <v>2020</v>
      </c>
      <c r="C967" s="21" t="s">
        <v>115</v>
      </c>
      <c r="D967" s="21" t="s">
        <v>115</v>
      </c>
      <c r="E967" s="23">
        <v>88318</v>
      </c>
      <c r="F967" s="20">
        <v>1234627.781</v>
      </c>
      <c r="G967" s="30">
        <f t="shared" si="46"/>
        <v>1322945.781</v>
      </c>
      <c r="H967" t="str">
        <f>IFERROR(VLOOKUP(C967,Sheet1!$B$2:$C$25,2,FALSE),"")</f>
        <v/>
      </c>
      <c r="I967">
        <f t="shared" si="47"/>
        <v>1613</v>
      </c>
    </row>
    <row r="968" spans="1:9" x14ac:dyDescent="0.2">
      <c r="A968" t="str">
        <f t="shared" si="45"/>
        <v/>
      </c>
      <c r="B968" s="20">
        <v>2021</v>
      </c>
      <c r="C968" s="21" t="s">
        <v>115</v>
      </c>
      <c r="D968" s="21" t="s">
        <v>115</v>
      </c>
      <c r="E968" s="23">
        <v>96727</v>
      </c>
      <c r="F968" s="20">
        <v>1262672.825</v>
      </c>
      <c r="G968" s="30">
        <f t="shared" si="46"/>
        <v>1359399.825</v>
      </c>
      <c r="H968" t="str">
        <f>IFERROR(VLOOKUP(C968,Sheet1!$B$2:$C$25,2,FALSE),"")</f>
        <v/>
      </c>
      <c r="I968">
        <f t="shared" si="47"/>
        <v>1613</v>
      </c>
    </row>
    <row r="969" spans="1:9" x14ac:dyDescent="0.2">
      <c r="A969" t="str">
        <f t="shared" si="45"/>
        <v/>
      </c>
      <c r="B969" s="20">
        <v>2022</v>
      </c>
      <c r="C969" s="21" t="s">
        <v>115</v>
      </c>
      <c r="D969" s="21" t="s">
        <v>115</v>
      </c>
      <c r="E969" s="23">
        <v>105274</v>
      </c>
      <c r="F969" s="20">
        <v>1447256.6440000001</v>
      </c>
      <c r="G969" s="30">
        <f t="shared" si="46"/>
        <v>1552530.6440000001</v>
      </c>
      <c r="H969" t="str">
        <f>IFERROR(VLOOKUP(C969,Sheet1!$B$2:$C$25,2,FALSE),"")</f>
        <v/>
      </c>
      <c r="I969">
        <f t="shared" si="47"/>
        <v>1613</v>
      </c>
    </row>
    <row r="970" spans="1:9" x14ac:dyDescent="0.2">
      <c r="A970" t="str">
        <f t="shared" si="45"/>
        <v/>
      </c>
      <c r="B970" s="20">
        <v>2023</v>
      </c>
      <c r="C970" s="21" t="s">
        <v>115</v>
      </c>
      <c r="D970" s="21" t="s">
        <v>115</v>
      </c>
      <c r="E970" s="23">
        <v>103732</v>
      </c>
      <c r="F970" s="20">
        <v>1388324.415</v>
      </c>
      <c r="G970" s="30">
        <f t="shared" si="46"/>
        <v>1492056.415</v>
      </c>
      <c r="H970" t="str">
        <f>IFERROR(VLOOKUP(C970,Sheet1!$B$2:$C$25,2,FALSE),"")</f>
        <v/>
      </c>
      <c r="I970">
        <f t="shared" si="47"/>
        <v>1613</v>
      </c>
    </row>
    <row r="971" spans="1:9" x14ac:dyDescent="0.2">
      <c r="A971" t="str">
        <f t="shared" si="45"/>
        <v/>
      </c>
      <c r="B971" s="20">
        <v>2020</v>
      </c>
      <c r="C971" s="21" t="s">
        <v>233</v>
      </c>
      <c r="D971" s="21" t="s">
        <v>233</v>
      </c>
      <c r="E971" s="23">
        <v>43139</v>
      </c>
      <c r="F971" s="20">
        <v>603054.95880000002</v>
      </c>
      <c r="G971" s="30">
        <f t="shared" si="46"/>
        <v>646193.95880000002</v>
      </c>
      <c r="H971" t="str">
        <f>IFERROR(VLOOKUP(C971,Sheet1!$B$2:$C$25,2,FALSE),"")</f>
        <v/>
      </c>
      <c r="I971">
        <f t="shared" si="47"/>
        <v>1613</v>
      </c>
    </row>
    <row r="972" spans="1:9" x14ac:dyDescent="0.2">
      <c r="A972" t="str">
        <f t="shared" si="45"/>
        <v/>
      </c>
      <c r="B972" s="20">
        <v>2021</v>
      </c>
      <c r="C972" s="21" t="s">
        <v>233</v>
      </c>
      <c r="D972" s="21" t="s">
        <v>233</v>
      </c>
      <c r="E972" s="23">
        <v>53213</v>
      </c>
      <c r="F972" s="20">
        <v>694641.71369999996</v>
      </c>
      <c r="G972" s="30">
        <f t="shared" si="46"/>
        <v>747854.71369999996</v>
      </c>
      <c r="H972" t="str">
        <f>IFERROR(VLOOKUP(C972,Sheet1!$B$2:$C$25,2,FALSE),"")</f>
        <v/>
      </c>
      <c r="I972">
        <f t="shared" si="47"/>
        <v>1613</v>
      </c>
    </row>
    <row r="973" spans="1:9" x14ac:dyDescent="0.2">
      <c r="A973" t="str">
        <f t="shared" si="45"/>
        <v/>
      </c>
      <c r="B973" s="20">
        <v>2022</v>
      </c>
      <c r="C973" s="21" t="s">
        <v>233</v>
      </c>
      <c r="D973" s="21" t="s">
        <v>233</v>
      </c>
      <c r="E973" s="23">
        <v>52216</v>
      </c>
      <c r="F973" s="20">
        <v>717840.61499999999</v>
      </c>
      <c r="G973" s="30">
        <f t="shared" si="46"/>
        <v>770056.61499999999</v>
      </c>
      <c r="H973" t="str">
        <f>IFERROR(VLOOKUP(C973,Sheet1!$B$2:$C$25,2,FALSE),"")</f>
        <v/>
      </c>
      <c r="I973">
        <f t="shared" si="47"/>
        <v>1613</v>
      </c>
    </row>
    <row r="974" spans="1:9" x14ac:dyDescent="0.2">
      <c r="A974" t="str">
        <f t="shared" si="45"/>
        <v/>
      </c>
      <c r="B974" s="20">
        <v>2023</v>
      </c>
      <c r="C974" s="21" t="s">
        <v>233</v>
      </c>
      <c r="D974" s="21" t="s">
        <v>233</v>
      </c>
      <c r="E974" s="23">
        <v>78542</v>
      </c>
      <c r="F974" s="20">
        <v>1051187.4469999999</v>
      </c>
      <c r="G974" s="30">
        <f t="shared" si="46"/>
        <v>1129729.4469999999</v>
      </c>
      <c r="H974" t="str">
        <f>IFERROR(VLOOKUP(C974,Sheet1!$B$2:$C$25,2,FALSE),"")</f>
        <v/>
      </c>
      <c r="I974">
        <f t="shared" si="47"/>
        <v>1613</v>
      </c>
    </row>
    <row r="975" spans="1:9" x14ac:dyDescent="0.2">
      <c r="A975" t="str">
        <f t="shared" si="45"/>
        <v/>
      </c>
      <c r="B975" s="20">
        <v>2015</v>
      </c>
      <c r="C975" s="21" t="s">
        <v>116</v>
      </c>
      <c r="D975" s="21" t="s">
        <v>116</v>
      </c>
      <c r="E975" s="23">
        <v>300905</v>
      </c>
      <c r="F975" s="20">
        <v>4720312.926</v>
      </c>
      <c r="G975" s="30">
        <f t="shared" si="46"/>
        <v>5021217.926</v>
      </c>
      <c r="H975" t="str">
        <f>IFERROR(VLOOKUP(C975,Sheet1!$B$2:$C$25,2,FALSE),"")</f>
        <v/>
      </c>
      <c r="I975">
        <f t="shared" si="47"/>
        <v>1613</v>
      </c>
    </row>
    <row r="976" spans="1:9" x14ac:dyDescent="0.2">
      <c r="A976" t="str">
        <f t="shared" si="45"/>
        <v/>
      </c>
      <c r="B976" s="20">
        <v>2016</v>
      </c>
      <c r="C976" s="21" t="s">
        <v>116</v>
      </c>
      <c r="D976" s="21" t="s">
        <v>116</v>
      </c>
      <c r="E976" s="23">
        <v>322957</v>
      </c>
      <c r="F976" s="20">
        <v>5040983.4610000001</v>
      </c>
      <c r="G976" s="30">
        <f t="shared" si="46"/>
        <v>5363940.4610000001</v>
      </c>
      <c r="H976" t="str">
        <f>IFERROR(VLOOKUP(C976,Sheet1!$B$2:$C$25,2,FALSE),"")</f>
        <v/>
      </c>
      <c r="I976">
        <f t="shared" si="47"/>
        <v>1613</v>
      </c>
    </row>
    <row r="977" spans="1:9" x14ac:dyDescent="0.2">
      <c r="A977" t="str">
        <f t="shared" si="45"/>
        <v/>
      </c>
      <c r="B977" s="20">
        <v>2017</v>
      </c>
      <c r="C977" s="21" t="s">
        <v>116</v>
      </c>
      <c r="D977" s="21" t="s">
        <v>116</v>
      </c>
      <c r="E977" s="23">
        <v>321637</v>
      </c>
      <c r="F977" s="20">
        <v>5316788.0659999996</v>
      </c>
      <c r="G977" s="30">
        <f t="shared" si="46"/>
        <v>5638425.0659999996</v>
      </c>
      <c r="H977" t="str">
        <f>IFERROR(VLOOKUP(C977,Sheet1!$B$2:$C$25,2,FALSE),"")</f>
        <v/>
      </c>
      <c r="I977">
        <f t="shared" si="47"/>
        <v>1613</v>
      </c>
    </row>
    <row r="978" spans="1:9" x14ac:dyDescent="0.2">
      <c r="A978" t="str">
        <f t="shared" si="45"/>
        <v/>
      </c>
      <c r="B978" s="20">
        <v>2018</v>
      </c>
      <c r="C978" s="21" t="s">
        <v>116</v>
      </c>
      <c r="D978" s="21" t="s">
        <v>116</v>
      </c>
      <c r="E978" s="23">
        <v>299763</v>
      </c>
      <c r="F978" s="20">
        <v>4510325.5130000003</v>
      </c>
      <c r="G978" s="30">
        <f t="shared" si="46"/>
        <v>4810088.5130000003</v>
      </c>
      <c r="H978" t="str">
        <f>IFERROR(VLOOKUP(C978,Sheet1!$B$2:$C$25,2,FALSE),"")</f>
        <v/>
      </c>
      <c r="I978">
        <f t="shared" si="47"/>
        <v>1613</v>
      </c>
    </row>
    <row r="979" spans="1:9" x14ac:dyDescent="0.2">
      <c r="A979" t="str">
        <f t="shared" si="45"/>
        <v/>
      </c>
      <c r="B979" s="20">
        <v>2019</v>
      </c>
      <c r="C979" s="21" t="s">
        <v>116</v>
      </c>
      <c r="D979" s="21" t="s">
        <v>116</v>
      </c>
      <c r="E979" s="23">
        <v>253625</v>
      </c>
      <c r="F979" s="20">
        <v>3649186.577</v>
      </c>
      <c r="G979" s="30">
        <f t="shared" si="46"/>
        <v>3902811.577</v>
      </c>
      <c r="H979" t="str">
        <f>IFERROR(VLOOKUP(C979,Sheet1!$B$2:$C$25,2,FALSE),"")</f>
        <v/>
      </c>
      <c r="I979">
        <f t="shared" si="47"/>
        <v>1613</v>
      </c>
    </row>
    <row r="980" spans="1:9" x14ac:dyDescent="0.2">
      <c r="A980" t="str">
        <f t="shared" si="45"/>
        <v/>
      </c>
      <c r="B980" s="20">
        <v>2020</v>
      </c>
      <c r="C980" s="21" t="s">
        <v>116</v>
      </c>
      <c r="D980" s="21" t="s">
        <v>116</v>
      </c>
      <c r="E980" s="23">
        <v>267172</v>
      </c>
      <c r="F980" s="20">
        <v>3734889.53</v>
      </c>
      <c r="G980" s="30">
        <f t="shared" si="46"/>
        <v>4002061.53</v>
      </c>
      <c r="H980" t="str">
        <f>IFERROR(VLOOKUP(C980,Sheet1!$B$2:$C$25,2,FALSE),"")</f>
        <v/>
      </c>
      <c r="I980">
        <f t="shared" si="47"/>
        <v>1613</v>
      </c>
    </row>
    <row r="981" spans="1:9" x14ac:dyDescent="0.2">
      <c r="A981" t="str">
        <f t="shared" si="45"/>
        <v/>
      </c>
      <c r="B981" s="20">
        <v>2021</v>
      </c>
      <c r="C981" s="21" t="s">
        <v>116</v>
      </c>
      <c r="D981" s="20" t="s">
        <v>116</v>
      </c>
      <c r="E981" s="23">
        <v>231769</v>
      </c>
      <c r="F981" s="20">
        <v>3025509.0929999999</v>
      </c>
      <c r="G981" s="30">
        <f t="shared" si="46"/>
        <v>3257278.0929999999</v>
      </c>
      <c r="H981" t="str">
        <f>IFERROR(VLOOKUP(C981,Sheet1!$B$2:$C$25,2,FALSE),"")</f>
        <v/>
      </c>
      <c r="I981">
        <f t="shared" si="47"/>
        <v>1613</v>
      </c>
    </row>
    <row r="982" spans="1:9" x14ac:dyDescent="0.2">
      <c r="A982" t="str">
        <f t="shared" si="45"/>
        <v/>
      </c>
      <c r="B982" s="20">
        <v>2022</v>
      </c>
      <c r="C982" s="21" t="s">
        <v>116</v>
      </c>
      <c r="D982" s="21" t="s">
        <v>116</v>
      </c>
      <c r="E982" s="23">
        <v>222420</v>
      </c>
      <c r="F982" s="20">
        <v>3057723.87</v>
      </c>
      <c r="G982" s="30">
        <f t="shared" si="46"/>
        <v>3280143.87</v>
      </c>
      <c r="H982" t="str">
        <f>IFERROR(VLOOKUP(C982,Sheet1!$B$2:$C$25,2,FALSE),"")</f>
        <v/>
      </c>
      <c r="I982">
        <f t="shared" si="47"/>
        <v>1613</v>
      </c>
    </row>
    <row r="983" spans="1:9" x14ac:dyDescent="0.2">
      <c r="A983" t="str">
        <f t="shared" si="45"/>
        <v/>
      </c>
      <c r="B983" s="20">
        <v>2023</v>
      </c>
      <c r="C983" s="21" t="s">
        <v>116</v>
      </c>
      <c r="D983" s="21" t="s">
        <v>116</v>
      </c>
      <c r="E983" s="23">
        <v>219609</v>
      </c>
      <c r="F983" s="20">
        <v>2939194.622</v>
      </c>
      <c r="G983" s="30">
        <f t="shared" si="46"/>
        <v>3158803.622</v>
      </c>
      <c r="H983" t="str">
        <f>IFERROR(VLOOKUP(C983,Sheet1!$B$2:$C$25,2,FALSE),"")</f>
        <v/>
      </c>
      <c r="I983">
        <f t="shared" si="47"/>
        <v>1613</v>
      </c>
    </row>
    <row r="984" spans="1:9" x14ac:dyDescent="0.2">
      <c r="A984" t="str">
        <f t="shared" si="45"/>
        <v/>
      </c>
      <c r="B984" s="20">
        <v>2016</v>
      </c>
      <c r="C984" s="21" t="s">
        <v>118</v>
      </c>
      <c r="D984" s="21" t="s">
        <v>118</v>
      </c>
      <c r="E984" s="23">
        <v>49191</v>
      </c>
      <c r="F984" s="20">
        <v>767814.34510000004</v>
      </c>
      <c r="G984" s="30">
        <f t="shared" si="46"/>
        <v>817005.34510000004</v>
      </c>
      <c r="H984" t="str">
        <f>IFERROR(VLOOKUP(C984,Sheet1!$B$2:$C$25,2,FALSE),"")</f>
        <v/>
      </c>
      <c r="I984">
        <f t="shared" si="47"/>
        <v>1613</v>
      </c>
    </row>
    <row r="985" spans="1:9" x14ac:dyDescent="0.2">
      <c r="A985" t="str">
        <f t="shared" si="45"/>
        <v/>
      </c>
      <c r="B985" s="20">
        <v>2017</v>
      </c>
      <c r="C985" s="21" t="s">
        <v>118</v>
      </c>
      <c r="D985" s="21" t="s">
        <v>118</v>
      </c>
      <c r="E985" s="23">
        <v>47939</v>
      </c>
      <c r="F985" s="20">
        <v>792450.81590000005</v>
      </c>
      <c r="G985" s="30">
        <f t="shared" si="46"/>
        <v>840389.81590000005</v>
      </c>
      <c r="H985" t="str">
        <f>IFERROR(VLOOKUP(C985,Sheet1!$B$2:$C$25,2,FALSE),"")</f>
        <v/>
      </c>
      <c r="I985">
        <f t="shared" si="47"/>
        <v>1613</v>
      </c>
    </row>
    <row r="986" spans="1:9" x14ac:dyDescent="0.2">
      <c r="A986" t="str">
        <f t="shared" si="45"/>
        <v/>
      </c>
      <c r="B986" s="20">
        <v>2018</v>
      </c>
      <c r="C986" s="21" t="s">
        <v>118</v>
      </c>
      <c r="D986" s="21" t="s">
        <v>213</v>
      </c>
      <c r="E986" s="23">
        <v>48030</v>
      </c>
      <c r="F986" s="20">
        <v>722674.02709999995</v>
      </c>
      <c r="G986" s="30">
        <f t="shared" si="46"/>
        <v>770704.02709999995</v>
      </c>
      <c r="H986" t="str">
        <f>IFERROR(VLOOKUP(C986,Sheet1!$B$2:$C$25,2,FALSE),"")</f>
        <v/>
      </c>
      <c r="I986">
        <f t="shared" si="47"/>
        <v>1613</v>
      </c>
    </row>
    <row r="987" spans="1:9" x14ac:dyDescent="0.2">
      <c r="A987" t="str">
        <f t="shared" si="45"/>
        <v/>
      </c>
      <c r="B987" s="20">
        <v>2019</v>
      </c>
      <c r="C987" s="21" t="s">
        <v>118</v>
      </c>
      <c r="D987" s="21" t="s">
        <v>118</v>
      </c>
      <c r="E987" s="23">
        <v>44865</v>
      </c>
      <c r="F987" s="20">
        <v>645522.94050000003</v>
      </c>
      <c r="G987" s="30">
        <f t="shared" si="46"/>
        <v>690387.94050000003</v>
      </c>
      <c r="H987" t="str">
        <f>IFERROR(VLOOKUP(C987,Sheet1!$B$2:$C$25,2,FALSE),"")</f>
        <v/>
      </c>
      <c r="I987">
        <f t="shared" si="47"/>
        <v>1613</v>
      </c>
    </row>
    <row r="988" spans="1:9" x14ac:dyDescent="0.2">
      <c r="A988" t="str">
        <f t="shared" si="45"/>
        <v/>
      </c>
      <c r="B988" s="20">
        <v>2020</v>
      </c>
      <c r="C988" s="21" t="s">
        <v>118</v>
      </c>
      <c r="D988" s="21" t="s">
        <v>118</v>
      </c>
      <c r="E988" s="23">
        <v>74410</v>
      </c>
      <c r="F988" s="20">
        <v>1040203.053</v>
      </c>
      <c r="G988" s="30">
        <f t="shared" si="46"/>
        <v>1114613.0529999998</v>
      </c>
      <c r="H988" t="str">
        <f>IFERROR(VLOOKUP(C988,Sheet1!$B$2:$C$25,2,FALSE),"")</f>
        <v/>
      </c>
      <c r="I988">
        <f t="shared" si="47"/>
        <v>1613</v>
      </c>
    </row>
    <row r="989" spans="1:9" x14ac:dyDescent="0.2">
      <c r="A989" t="str">
        <f t="shared" si="45"/>
        <v/>
      </c>
      <c r="B989" s="20">
        <v>2021</v>
      </c>
      <c r="C989" s="21" t="s">
        <v>118</v>
      </c>
      <c r="D989" s="20" t="s">
        <v>118</v>
      </c>
      <c r="E989" s="23">
        <v>67425</v>
      </c>
      <c r="F989" s="20">
        <v>880164.95120000001</v>
      </c>
      <c r="G989" s="30">
        <f t="shared" si="46"/>
        <v>947589.95120000001</v>
      </c>
      <c r="H989" t="str">
        <f>IFERROR(VLOOKUP(C989,Sheet1!$B$2:$C$25,2,FALSE),"")</f>
        <v/>
      </c>
      <c r="I989">
        <f t="shared" si="47"/>
        <v>1613</v>
      </c>
    </row>
    <row r="990" spans="1:9" x14ac:dyDescent="0.2">
      <c r="A990" t="str">
        <f t="shared" si="45"/>
        <v/>
      </c>
      <c r="B990" s="20">
        <v>2022</v>
      </c>
      <c r="C990" s="21" t="s">
        <v>118</v>
      </c>
      <c r="D990" s="21" t="s">
        <v>118</v>
      </c>
      <c r="E990" s="23">
        <v>80246</v>
      </c>
      <c r="F990" s="20">
        <v>1103183.6599999999</v>
      </c>
      <c r="G990" s="30">
        <f t="shared" si="46"/>
        <v>1183429.6599999999</v>
      </c>
      <c r="H990" t="str">
        <f>IFERROR(VLOOKUP(C990,Sheet1!$B$2:$C$25,2,FALSE),"")</f>
        <v/>
      </c>
      <c r="I990">
        <f t="shared" si="47"/>
        <v>1613</v>
      </c>
    </row>
    <row r="991" spans="1:9" x14ac:dyDescent="0.2">
      <c r="A991" t="str">
        <f t="shared" si="45"/>
        <v/>
      </c>
      <c r="B991" s="20">
        <v>2023</v>
      </c>
      <c r="C991" s="21" t="s">
        <v>118</v>
      </c>
      <c r="D991" s="21" t="s">
        <v>118</v>
      </c>
      <c r="E991" s="23">
        <v>85249</v>
      </c>
      <c r="F991" s="20">
        <v>1140952.3389999999</v>
      </c>
      <c r="G991" s="30">
        <f t="shared" si="46"/>
        <v>1226201.3389999999</v>
      </c>
      <c r="H991" t="str">
        <f>IFERROR(VLOOKUP(C991,Sheet1!$B$2:$C$25,2,FALSE),"")</f>
        <v/>
      </c>
      <c r="I991">
        <f t="shared" si="47"/>
        <v>1613</v>
      </c>
    </row>
    <row r="992" spans="1:9" x14ac:dyDescent="0.2">
      <c r="A992" t="str">
        <f t="shared" si="45"/>
        <v/>
      </c>
      <c r="B992" s="20">
        <v>2015</v>
      </c>
      <c r="C992" s="21" t="s">
        <v>118</v>
      </c>
      <c r="D992" s="21" t="s">
        <v>248</v>
      </c>
      <c r="E992" s="23">
        <v>58293</v>
      </c>
      <c r="F992" s="20">
        <v>914445.42760000005</v>
      </c>
      <c r="G992" s="30">
        <f t="shared" si="46"/>
        <v>972738.42760000005</v>
      </c>
      <c r="H992" t="str">
        <f>IFERROR(VLOOKUP(C992,Sheet1!$B$2:$C$25,2,FALSE),"")</f>
        <v/>
      </c>
      <c r="I992">
        <f t="shared" si="47"/>
        <v>1613</v>
      </c>
    </row>
    <row r="993" spans="1:9" x14ac:dyDescent="0.2">
      <c r="A993" t="str">
        <f t="shared" si="45"/>
        <v/>
      </c>
      <c r="B993" s="20">
        <v>2015</v>
      </c>
      <c r="C993" s="21" t="s">
        <v>117</v>
      </c>
      <c r="D993" s="21" t="s">
        <v>247</v>
      </c>
      <c r="E993" s="23">
        <v>420448</v>
      </c>
      <c r="F993" s="20">
        <v>6595590.3990000002</v>
      </c>
      <c r="G993" s="30">
        <f t="shared" si="46"/>
        <v>7016038.3990000002</v>
      </c>
      <c r="H993" t="str">
        <f>IFERROR(VLOOKUP(C993,Sheet1!$B$2:$C$25,2,FALSE),"")</f>
        <v/>
      </c>
      <c r="I993">
        <f t="shared" si="47"/>
        <v>1613</v>
      </c>
    </row>
    <row r="994" spans="1:9" x14ac:dyDescent="0.2">
      <c r="A994" t="str">
        <f t="shared" si="45"/>
        <v/>
      </c>
      <c r="B994" s="20">
        <v>2016</v>
      </c>
      <c r="C994" s="21" t="s">
        <v>117</v>
      </c>
      <c r="D994" s="21" t="s">
        <v>117</v>
      </c>
      <c r="E994" s="23">
        <v>441470</v>
      </c>
      <c r="F994" s="20">
        <v>6890833.6670000004</v>
      </c>
      <c r="G994" s="30">
        <f t="shared" si="46"/>
        <v>7332303.6670000004</v>
      </c>
      <c r="H994" t="str">
        <f>IFERROR(VLOOKUP(C994,Sheet1!$B$2:$C$25,2,FALSE),"")</f>
        <v/>
      </c>
      <c r="I994">
        <f t="shared" si="47"/>
        <v>1613</v>
      </c>
    </row>
    <row r="995" spans="1:9" x14ac:dyDescent="0.2">
      <c r="A995" t="str">
        <f t="shared" si="45"/>
        <v/>
      </c>
      <c r="B995" s="20">
        <v>2017</v>
      </c>
      <c r="C995" s="21" t="s">
        <v>117</v>
      </c>
      <c r="D995" s="21" t="s">
        <v>117</v>
      </c>
      <c r="E995" s="23">
        <v>463544</v>
      </c>
      <c r="F995" s="20">
        <v>7662567.4510000004</v>
      </c>
      <c r="G995" s="30">
        <f t="shared" si="46"/>
        <v>8126111.4510000004</v>
      </c>
      <c r="H995" t="str">
        <f>IFERROR(VLOOKUP(C995,Sheet1!$B$2:$C$25,2,FALSE),"")</f>
        <v/>
      </c>
      <c r="I995">
        <f t="shared" si="47"/>
        <v>1613</v>
      </c>
    </row>
    <row r="996" spans="1:9" x14ac:dyDescent="0.2">
      <c r="A996" t="str">
        <f t="shared" si="45"/>
        <v/>
      </c>
      <c r="B996" s="20">
        <v>2018</v>
      </c>
      <c r="C996" s="21" t="s">
        <v>117</v>
      </c>
      <c r="D996" s="21" t="s">
        <v>212</v>
      </c>
      <c r="E996" s="23">
        <v>486721</v>
      </c>
      <c r="F996" s="20">
        <v>7323352.5949999997</v>
      </c>
      <c r="G996" s="30">
        <f t="shared" si="46"/>
        <v>7810073.5949999997</v>
      </c>
      <c r="H996" t="str">
        <f>IFERROR(VLOOKUP(C996,Sheet1!$B$2:$C$25,2,FALSE),"")</f>
        <v/>
      </c>
      <c r="I996">
        <f t="shared" si="47"/>
        <v>1613</v>
      </c>
    </row>
    <row r="997" spans="1:9" x14ac:dyDescent="0.2">
      <c r="A997" t="str">
        <f t="shared" si="45"/>
        <v/>
      </c>
      <c r="B997" s="20">
        <v>2019</v>
      </c>
      <c r="C997" s="21" t="s">
        <v>117</v>
      </c>
      <c r="D997" s="21" t="s">
        <v>117</v>
      </c>
      <c r="E997" s="23">
        <v>511057</v>
      </c>
      <c r="F997" s="20">
        <v>7353148.7220000001</v>
      </c>
      <c r="G997" s="30">
        <f t="shared" si="46"/>
        <v>7864205.7220000001</v>
      </c>
      <c r="H997" t="str">
        <f>IFERROR(VLOOKUP(C997,Sheet1!$B$2:$C$25,2,FALSE),"")</f>
        <v/>
      </c>
      <c r="I997">
        <f t="shared" si="47"/>
        <v>1613</v>
      </c>
    </row>
    <row r="998" spans="1:9" x14ac:dyDescent="0.2">
      <c r="A998" t="str">
        <f t="shared" si="45"/>
        <v/>
      </c>
      <c r="B998" s="20">
        <v>2020</v>
      </c>
      <c r="C998" s="21" t="s">
        <v>117</v>
      </c>
      <c r="D998" s="21" t="s">
        <v>117</v>
      </c>
      <c r="E998" s="23">
        <v>536610</v>
      </c>
      <c r="F998" s="20">
        <v>7501456.2560000001</v>
      </c>
      <c r="G998" s="30">
        <f t="shared" si="46"/>
        <v>8038066.2560000001</v>
      </c>
      <c r="H998" t="str">
        <f>IFERROR(VLOOKUP(C998,Sheet1!$B$2:$C$25,2,FALSE),"")</f>
        <v/>
      </c>
      <c r="I998">
        <f t="shared" si="47"/>
        <v>1613</v>
      </c>
    </row>
    <row r="999" spans="1:9" x14ac:dyDescent="0.2">
      <c r="A999" t="str">
        <f t="shared" si="45"/>
        <v/>
      </c>
      <c r="B999" s="20">
        <v>2021</v>
      </c>
      <c r="C999" s="21" t="s">
        <v>117</v>
      </c>
      <c r="D999" s="20" t="s">
        <v>117</v>
      </c>
      <c r="E999" s="23" t="s">
        <v>269</v>
      </c>
      <c r="F999" s="20">
        <v>0</v>
      </c>
      <c r="G999" s="30">
        <f t="shared" si="46"/>
        <v>0</v>
      </c>
      <c r="H999" t="str">
        <f>IFERROR(VLOOKUP(C999,Sheet1!$B$2:$C$25,2,FALSE),"")</f>
        <v/>
      </c>
      <c r="I999">
        <f t="shared" si="47"/>
        <v>1613</v>
      </c>
    </row>
    <row r="1000" spans="1:9" x14ac:dyDescent="0.2">
      <c r="A1000" t="str">
        <f t="shared" si="45"/>
        <v/>
      </c>
      <c r="B1000" s="20">
        <v>2023</v>
      </c>
      <c r="C1000" s="21" t="s">
        <v>117</v>
      </c>
      <c r="D1000" s="21" t="s">
        <v>117</v>
      </c>
      <c r="E1000" s="23" t="s">
        <v>269</v>
      </c>
      <c r="F1000" s="20">
        <v>0</v>
      </c>
      <c r="G1000" s="30">
        <f t="shared" si="46"/>
        <v>0</v>
      </c>
      <c r="H1000" t="str">
        <f>IFERROR(VLOOKUP(C1000,Sheet1!$B$2:$C$25,2,FALSE),"")</f>
        <v/>
      </c>
      <c r="I1000">
        <f t="shared" si="47"/>
        <v>1613</v>
      </c>
    </row>
    <row r="1001" spans="1:9" x14ac:dyDescent="0.2">
      <c r="A1001" t="str">
        <f t="shared" si="45"/>
        <v/>
      </c>
      <c r="B1001" s="20">
        <v>2015</v>
      </c>
      <c r="C1001" s="21" t="s">
        <v>119</v>
      </c>
      <c r="D1001" s="21" t="s">
        <v>119</v>
      </c>
      <c r="E1001" s="23">
        <v>59461</v>
      </c>
      <c r="F1001" s="20">
        <v>932767.90639999998</v>
      </c>
      <c r="G1001" s="30">
        <f t="shared" si="46"/>
        <v>992228.90639999998</v>
      </c>
      <c r="H1001" t="str">
        <f>IFERROR(VLOOKUP(C1001,Sheet1!$B$2:$C$25,2,FALSE),"")</f>
        <v/>
      </c>
      <c r="I1001">
        <f t="shared" si="47"/>
        <v>1613</v>
      </c>
    </row>
    <row r="1002" spans="1:9" x14ac:dyDescent="0.2">
      <c r="A1002" t="str">
        <f t="shared" si="45"/>
        <v/>
      </c>
      <c r="B1002" s="20">
        <v>2016</v>
      </c>
      <c r="C1002" s="21" t="s">
        <v>119</v>
      </c>
      <c r="D1002" s="21" t="s">
        <v>119</v>
      </c>
      <c r="E1002" s="23">
        <v>52596</v>
      </c>
      <c r="F1002" s="20">
        <v>820962.43810000003</v>
      </c>
      <c r="G1002" s="30">
        <f t="shared" si="46"/>
        <v>873558.43810000003</v>
      </c>
      <c r="H1002" t="str">
        <f>IFERROR(VLOOKUP(C1002,Sheet1!$B$2:$C$25,2,FALSE),"")</f>
        <v/>
      </c>
      <c r="I1002">
        <f t="shared" si="47"/>
        <v>1613</v>
      </c>
    </row>
    <row r="1003" spans="1:9" x14ac:dyDescent="0.2">
      <c r="A1003" t="str">
        <f t="shared" si="45"/>
        <v/>
      </c>
      <c r="B1003" s="20">
        <v>2017</v>
      </c>
      <c r="C1003" s="21" t="s">
        <v>119</v>
      </c>
      <c r="D1003" s="21" t="s">
        <v>119</v>
      </c>
      <c r="E1003" s="23">
        <v>60224</v>
      </c>
      <c r="F1003" s="20">
        <v>995526.77229999995</v>
      </c>
      <c r="G1003" s="30">
        <f t="shared" si="46"/>
        <v>1055750.7722999998</v>
      </c>
      <c r="H1003" t="str">
        <f>IFERROR(VLOOKUP(C1003,Sheet1!$B$2:$C$25,2,FALSE),"")</f>
        <v/>
      </c>
      <c r="I1003">
        <f t="shared" si="47"/>
        <v>1613</v>
      </c>
    </row>
    <row r="1004" spans="1:9" x14ac:dyDescent="0.2">
      <c r="A1004" t="str">
        <f t="shared" si="45"/>
        <v/>
      </c>
      <c r="B1004" s="20">
        <v>2018</v>
      </c>
      <c r="C1004" s="21" t="s">
        <v>119</v>
      </c>
      <c r="D1004" s="21" t="s">
        <v>119</v>
      </c>
      <c r="E1004" s="23">
        <v>61177</v>
      </c>
      <c r="F1004" s="20">
        <v>920487.79839999997</v>
      </c>
      <c r="G1004" s="30">
        <f t="shared" si="46"/>
        <v>981664.79839999997</v>
      </c>
      <c r="H1004" t="str">
        <f>IFERROR(VLOOKUP(C1004,Sheet1!$B$2:$C$25,2,FALSE),"")</f>
        <v/>
      </c>
      <c r="I1004">
        <f t="shared" si="47"/>
        <v>1613</v>
      </c>
    </row>
    <row r="1005" spans="1:9" x14ac:dyDescent="0.2">
      <c r="A1005" t="str">
        <f t="shared" si="45"/>
        <v/>
      </c>
      <c r="B1005" s="20">
        <v>2019</v>
      </c>
      <c r="C1005" s="21" t="s">
        <v>119</v>
      </c>
      <c r="D1005" s="21" t="s">
        <v>119</v>
      </c>
      <c r="E1005" s="23">
        <v>70141</v>
      </c>
      <c r="F1005" s="20">
        <v>1009197.026</v>
      </c>
      <c r="G1005" s="30">
        <f t="shared" si="46"/>
        <v>1079338.0260000001</v>
      </c>
      <c r="H1005" t="str">
        <f>IFERROR(VLOOKUP(C1005,Sheet1!$B$2:$C$25,2,FALSE),"")</f>
        <v/>
      </c>
      <c r="I1005">
        <f t="shared" si="47"/>
        <v>1613</v>
      </c>
    </row>
    <row r="1006" spans="1:9" x14ac:dyDescent="0.2">
      <c r="A1006" t="str">
        <f t="shared" si="45"/>
        <v/>
      </c>
      <c r="B1006" s="20">
        <v>2020</v>
      </c>
      <c r="C1006" s="21" t="s">
        <v>119</v>
      </c>
      <c r="D1006" s="21" t="s">
        <v>119</v>
      </c>
      <c r="E1006" s="23">
        <v>73492</v>
      </c>
      <c r="F1006" s="20">
        <v>1027370.014</v>
      </c>
      <c r="G1006" s="30">
        <f t="shared" si="46"/>
        <v>1100862.014</v>
      </c>
      <c r="H1006" t="str">
        <f>IFERROR(VLOOKUP(C1006,Sheet1!$B$2:$C$25,2,FALSE),"")</f>
        <v/>
      </c>
      <c r="I1006">
        <f t="shared" si="47"/>
        <v>1613</v>
      </c>
    </row>
    <row r="1007" spans="1:9" x14ac:dyDescent="0.2">
      <c r="A1007" t="str">
        <f t="shared" si="45"/>
        <v/>
      </c>
      <c r="B1007" s="20">
        <v>2021</v>
      </c>
      <c r="C1007" s="20" t="s">
        <v>119</v>
      </c>
      <c r="D1007" s="20" t="s">
        <v>119</v>
      </c>
      <c r="E1007" s="23">
        <v>86398</v>
      </c>
      <c r="F1007" s="20">
        <v>1127838.2120000001</v>
      </c>
      <c r="G1007" s="30">
        <f t="shared" si="46"/>
        <v>1214236.2120000001</v>
      </c>
      <c r="H1007" t="str">
        <f>IFERROR(VLOOKUP(C1007,Sheet1!$B$2:$C$25,2,FALSE),"")</f>
        <v/>
      </c>
      <c r="I1007">
        <f t="shared" si="47"/>
        <v>1613</v>
      </c>
    </row>
    <row r="1008" spans="1:9" x14ac:dyDescent="0.2">
      <c r="A1008" t="str">
        <f t="shared" si="45"/>
        <v/>
      </c>
      <c r="B1008" s="20">
        <v>2022</v>
      </c>
      <c r="C1008" s="21" t="s">
        <v>119</v>
      </c>
      <c r="D1008" s="21" t="s">
        <v>119</v>
      </c>
      <c r="E1008" s="23">
        <v>93394</v>
      </c>
      <c r="F1008" s="20">
        <v>1283936.081</v>
      </c>
      <c r="G1008" s="30">
        <f t="shared" si="46"/>
        <v>1377330.081</v>
      </c>
      <c r="H1008" t="str">
        <f>IFERROR(VLOOKUP(C1008,Sheet1!$B$2:$C$25,2,FALSE),"")</f>
        <v/>
      </c>
      <c r="I1008">
        <f t="shared" si="47"/>
        <v>1613</v>
      </c>
    </row>
    <row r="1009" spans="1:9" x14ac:dyDescent="0.2">
      <c r="A1009" t="str">
        <f t="shared" si="45"/>
        <v/>
      </c>
      <c r="B1009" s="20">
        <v>2023</v>
      </c>
      <c r="C1009" s="21" t="s">
        <v>119</v>
      </c>
      <c r="D1009" s="21" t="s">
        <v>119</v>
      </c>
      <c r="E1009" s="23">
        <v>102386</v>
      </c>
      <c r="F1009" s="20">
        <v>1370309.871</v>
      </c>
      <c r="G1009" s="30">
        <f t="shared" si="46"/>
        <v>1472695.871</v>
      </c>
      <c r="H1009" t="str">
        <f>IFERROR(VLOOKUP(C1009,Sheet1!$B$2:$C$25,2,FALSE),"")</f>
        <v/>
      </c>
      <c r="I1009">
        <f t="shared" si="47"/>
        <v>1613</v>
      </c>
    </row>
    <row r="1010" spans="1:9" x14ac:dyDescent="0.2">
      <c r="A1010" t="str">
        <f t="shared" si="45"/>
        <v/>
      </c>
      <c r="B1010" s="20">
        <v>2015</v>
      </c>
      <c r="C1010" s="21" t="s">
        <v>249</v>
      </c>
      <c r="D1010" s="21" t="s">
        <v>249</v>
      </c>
      <c r="E1010" s="23">
        <v>1218636</v>
      </c>
      <c r="F1010" s="20">
        <v>19116808.5</v>
      </c>
      <c r="G1010" s="30">
        <f t="shared" si="46"/>
        <v>20335444.5</v>
      </c>
      <c r="H1010" t="str">
        <f>IFERROR(VLOOKUP(C1010,Sheet1!$B$2:$C$25,2,FALSE),"")</f>
        <v/>
      </c>
      <c r="I1010">
        <f t="shared" si="47"/>
        <v>1613</v>
      </c>
    </row>
    <row r="1011" spans="1:9" x14ac:dyDescent="0.2">
      <c r="A1011" t="str">
        <f t="shared" si="45"/>
        <v/>
      </c>
      <c r="B1011" s="20">
        <v>2015</v>
      </c>
      <c r="C1011" s="21" t="s">
        <v>121</v>
      </c>
      <c r="D1011" s="21" t="s">
        <v>121</v>
      </c>
      <c r="E1011" s="23">
        <v>1415565</v>
      </c>
      <c r="F1011" s="20">
        <v>22206044.32</v>
      </c>
      <c r="G1011" s="30">
        <f t="shared" si="46"/>
        <v>23621609.32</v>
      </c>
      <c r="H1011" t="str">
        <f>IFERROR(VLOOKUP(C1011,Sheet1!$B$2:$C$25,2,FALSE),"")</f>
        <v/>
      </c>
      <c r="I1011">
        <f t="shared" si="47"/>
        <v>1613</v>
      </c>
    </row>
    <row r="1012" spans="1:9" x14ac:dyDescent="0.2">
      <c r="A1012" t="str">
        <f t="shared" si="45"/>
        <v/>
      </c>
      <c r="B1012" s="20">
        <v>2016</v>
      </c>
      <c r="C1012" s="21" t="s">
        <v>121</v>
      </c>
      <c r="D1012" s="21" t="s">
        <v>121</v>
      </c>
      <c r="E1012" s="23">
        <v>1375069</v>
      </c>
      <c r="F1012" s="20">
        <v>21463229.120000001</v>
      </c>
      <c r="G1012" s="30">
        <f t="shared" si="46"/>
        <v>22838298.120000001</v>
      </c>
      <c r="H1012" t="str">
        <f>IFERROR(VLOOKUP(C1012,Sheet1!$B$2:$C$25,2,FALSE),"")</f>
        <v/>
      </c>
      <c r="I1012">
        <f t="shared" si="47"/>
        <v>1613</v>
      </c>
    </row>
    <row r="1013" spans="1:9" x14ac:dyDescent="0.2">
      <c r="A1013" t="str">
        <f t="shared" si="45"/>
        <v/>
      </c>
      <c r="B1013" s="20">
        <v>2017</v>
      </c>
      <c r="C1013" s="21" t="s">
        <v>121</v>
      </c>
      <c r="D1013" s="21" t="s">
        <v>121</v>
      </c>
      <c r="E1013" s="23">
        <v>1365929</v>
      </c>
      <c r="F1013" s="20">
        <v>22579351.899999999</v>
      </c>
      <c r="G1013" s="30">
        <f t="shared" si="46"/>
        <v>23945280.899999999</v>
      </c>
      <c r="H1013" t="str">
        <f>IFERROR(VLOOKUP(C1013,Sheet1!$B$2:$C$25,2,FALSE),"")</f>
        <v/>
      </c>
      <c r="I1013">
        <f t="shared" si="47"/>
        <v>1613</v>
      </c>
    </row>
    <row r="1014" spans="1:9" x14ac:dyDescent="0.2">
      <c r="A1014" t="str">
        <f t="shared" si="45"/>
        <v/>
      </c>
      <c r="B1014" s="20">
        <v>2018</v>
      </c>
      <c r="C1014" s="21" t="s">
        <v>121</v>
      </c>
      <c r="D1014" s="21" t="s">
        <v>121</v>
      </c>
      <c r="E1014" s="23">
        <v>1512925</v>
      </c>
      <c r="F1014" s="20">
        <v>22763930.93</v>
      </c>
      <c r="G1014" s="30">
        <f t="shared" si="46"/>
        <v>24276855.93</v>
      </c>
      <c r="H1014" t="str">
        <f>IFERROR(VLOOKUP(C1014,Sheet1!$B$2:$C$25,2,FALSE),"")</f>
        <v/>
      </c>
      <c r="I1014">
        <f t="shared" si="47"/>
        <v>1613</v>
      </c>
    </row>
    <row r="1015" spans="1:9" x14ac:dyDescent="0.2">
      <c r="A1015" t="str">
        <f t="shared" si="45"/>
        <v/>
      </c>
      <c r="B1015" s="20">
        <v>2019</v>
      </c>
      <c r="C1015" s="21" t="s">
        <v>121</v>
      </c>
      <c r="D1015" s="21" t="s">
        <v>121</v>
      </c>
      <c r="E1015" s="23">
        <v>1596391</v>
      </c>
      <c r="F1015" s="20">
        <v>22969063.02</v>
      </c>
      <c r="G1015" s="30">
        <f t="shared" si="46"/>
        <v>24565454.02</v>
      </c>
      <c r="H1015" t="str">
        <f>IFERROR(VLOOKUP(C1015,Sheet1!$B$2:$C$25,2,FALSE),"")</f>
        <v/>
      </c>
      <c r="I1015">
        <f t="shared" si="47"/>
        <v>1613</v>
      </c>
    </row>
    <row r="1016" spans="1:9" x14ac:dyDescent="0.2">
      <c r="A1016" t="str">
        <f t="shared" si="45"/>
        <v/>
      </c>
      <c r="B1016" s="20">
        <v>2020</v>
      </c>
      <c r="C1016" s="21" t="s">
        <v>121</v>
      </c>
      <c r="D1016" s="21" t="s">
        <v>121</v>
      </c>
      <c r="E1016" s="23">
        <v>1701799</v>
      </c>
      <c r="F1016" s="20">
        <v>23790035.140000001</v>
      </c>
      <c r="G1016" s="30">
        <f t="shared" si="46"/>
        <v>25491834.140000001</v>
      </c>
      <c r="H1016" t="str">
        <f>IFERROR(VLOOKUP(C1016,Sheet1!$B$2:$C$25,2,FALSE),"")</f>
        <v/>
      </c>
      <c r="I1016">
        <f t="shared" si="47"/>
        <v>1613</v>
      </c>
    </row>
    <row r="1017" spans="1:9" x14ac:dyDescent="0.2">
      <c r="A1017" t="str">
        <f t="shared" si="45"/>
        <v/>
      </c>
      <c r="B1017" s="20">
        <v>2021</v>
      </c>
      <c r="C1017" s="21" t="s">
        <v>121</v>
      </c>
      <c r="D1017" s="20" t="s">
        <v>121</v>
      </c>
      <c r="E1017" s="23">
        <v>1812618</v>
      </c>
      <c r="F1017" s="20">
        <v>23661888.52</v>
      </c>
      <c r="G1017" s="30">
        <f t="shared" si="46"/>
        <v>25474506.52</v>
      </c>
      <c r="H1017" t="str">
        <f>IFERROR(VLOOKUP(C1017,Sheet1!$B$2:$C$25,2,FALSE),"")</f>
        <v/>
      </c>
      <c r="I1017">
        <f t="shared" si="47"/>
        <v>1613</v>
      </c>
    </row>
    <row r="1018" spans="1:9" x14ac:dyDescent="0.2">
      <c r="A1018" t="str">
        <f t="shared" si="45"/>
        <v/>
      </c>
      <c r="B1018" s="20">
        <v>2022</v>
      </c>
      <c r="C1018" s="21" t="s">
        <v>121</v>
      </c>
      <c r="D1018" s="21" t="s">
        <v>121</v>
      </c>
      <c r="E1018" s="23">
        <v>1879449</v>
      </c>
      <c r="F1018" s="20">
        <v>25837766.699999999</v>
      </c>
      <c r="G1018" s="30">
        <f t="shared" si="46"/>
        <v>27717215.699999999</v>
      </c>
      <c r="H1018" t="str">
        <f>IFERROR(VLOOKUP(C1018,Sheet1!$B$2:$C$25,2,FALSE),"")</f>
        <v/>
      </c>
      <c r="I1018">
        <f t="shared" si="47"/>
        <v>1613</v>
      </c>
    </row>
    <row r="1019" spans="1:9" x14ac:dyDescent="0.2">
      <c r="A1019" t="str">
        <f t="shared" si="45"/>
        <v/>
      </c>
      <c r="B1019" s="20">
        <v>2023</v>
      </c>
      <c r="C1019" s="21" t="s">
        <v>121</v>
      </c>
      <c r="D1019" s="21" t="s">
        <v>121</v>
      </c>
      <c r="E1019" s="23">
        <v>1814102</v>
      </c>
      <c r="F1019" s="20">
        <v>24279509.68</v>
      </c>
      <c r="G1019" s="30">
        <f t="shared" si="46"/>
        <v>26093611.68</v>
      </c>
      <c r="H1019" t="str">
        <f>IFERROR(VLOOKUP(C1019,Sheet1!$B$2:$C$25,2,FALSE),"")</f>
        <v/>
      </c>
      <c r="I1019">
        <f t="shared" si="47"/>
        <v>1613</v>
      </c>
    </row>
    <row r="1020" spans="1:9" x14ac:dyDescent="0.2">
      <c r="A1020">
        <f t="shared" si="45"/>
        <v>2400480</v>
      </c>
      <c r="B1020" s="20">
        <v>2015</v>
      </c>
      <c r="C1020" s="21" t="s">
        <v>122</v>
      </c>
      <c r="D1020" s="21" t="s">
        <v>122</v>
      </c>
      <c r="E1020" s="23">
        <v>561723</v>
      </c>
      <c r="F1020" s="20">
        <v>8811778.9260000009</v>
      </c>
      <c r="G1020" s="30">
        <f t="shared" si="46"/>
        <v>9373501.9260000009</v>
      </c>
      <c r="H1020">
        <f>IFERROR(VLOOKUP(C1020,Sheet1!$B$2:$C$25,2,FALSE),"")</f>
        <v>2400480</v>
      </c>
      <c r="I1020">
        <f t="shared" si="47"/>
        <v>9</v>
      </c>
    </row>
    <row r="1021" spans="1:9" x14ac:dyDescent="0.2">
      <c r="A1021">
        <f t="shared" si="45"/>
        <v>2400480</v>
      </c>
      <c r="B1021" s="20">
        <v>2016</v>
      </c>
      <c r="C1021" s="21" t="s">
        <v>122</v>
      </c>
      <c r="D1021" s="21" t="s">
        <v>122</v>
      </c>
      <c r="E1021" s="23">
        <v>589809</v>
      </c>
      <c r="F1021" s="20">
        <v>9206233.0720000006</v>
      </c>
      <c r="G1021" s="30">
        <f t="shared" si="46"/>
        <v>9796042.0720000006</v>
      </c>
      <c r="H1021">
        <f>IFERROR(VLOOKUP(C1021,Sheet1!$B$2:$C$25,2,FALSE),"")</f>
        <v>2400480</v>
      </c>
      <c r="I1021">
        <f t="shared" si="47"/>
        <v>9</v>
      </c>
    </row>
    <row r="1022" spans="1:9" x14ac:dyDescent="0.2">
      <c r="A1022">
        <f t="shared" si="45"/>
        <v>2400480</v>
      </c>
      <c r="B1022" s="20">
        <v>2017</v>
      </c>
      <c r="C1022" s="21" t="s">
        <v>122</v>
      </c>
      <c r="D1022" s="21" t="s">
        <v>122</v>
      </c>
      <c r="E1022" s="23">
        <v>619299</v>
      </c>
      <c r="F1022" s="20">
        <v>10237259.810000001</v>
      </c>
      <c r="G1022" s="30">
        <f t="shared" si="46"/>
        <v>10856558.810000001</v>
      </c>
      <c r="H1022">
        <f>IFERROR(VLOOKUP(C1022,Sheet1!$B$2:$C$25,2,FALSE),"")</f>
        <v>2400480</v>
      </c>
      <c r="I1022">
        <f t="shared" si="47"/>
        <v>9</v>
      </c>
    </row>
    <row r="1023" spans="1:9" x14ac:dyDescent="0.2">
      <c r="A1023">
        <f t="shared" si="45"/>
        <v>2400480</v>
      </c>
      <c r="B1023" s="20">
        <v>2018</v>
      </c>
      <c r="C1023" s="21" t="s">
        <v>122</v>
      </c>
      <c r="D1023" s="21" t="s">
        <v>122</v>
      </c>
      <c r="E1023" s="23">
        <v>650264</v>
      </c>
      <c r="F1023" s="20">
        <v>9784070.4470000006</v>
      </c>
      <c r="G1023" s="30">
        <f t="shared" si="46"/>
        <v>10434334.447000001</v>
      </c>
      <c r="H1023">
        <f>IFERROR(VLOOKUP(C1023,Sheet1!$B$2:$C$25,2,FALSE),"")</f>
        <v>2400480</v>
      </c>
      <c r="I1023">
        <f t="shared" si="47"/>
        <v>9</v>
      </c>
    </row>
    <row r="1024" spans="1:9" x14ac:dyDescent="0.2">
      <c r="A1024">
        <f t="shared" si="45"/>
        <v>2400480</v>
      </c>
      <c r="B1024" s="20">
        <v>2019</v>
      </c>
      <c r="C1024" s="21" t="s">
        <v>122</v>
      </c>
      <c r="D1024" s="21" t="s">
        <v>122</v>
      </c>
      <c r="E1024" s="23">
        <v>682777</v>
      </c>
      <c r="F1024" s="20">
        <v>9823876.4460000005</v>
      </c>
      <c r="G1024" s="30">
        <f t="shared" si="46"/>
        <v>10506653.446</v>
      </c>
      <c r="H1024">
        <f>IFERROR(VLOOKUP(C1024,Sheet1!$B$2:$C$25,2,FALSE),"")</f>
        <v>2400480</v>
      </c>
      <c r="I1024">
        <f t="shared" si="47"/>
        <v>9</v>
      </c>
    </row>
    <row r="1025" spans="1:9" x14ac:dyDescent="0.2">
      <c r="A1025">
        <f t="shared" si="45"/>
        <v>2400480</v>
      </c>
      <c r="B1025" s="20">
        <v>2020</v>
      </c>
      <c r="C1025" s="21" t="s">
        <v>122</v>
      </c>
      <c r="D1025" s="21" t="s">
        <v>122</v>
      </c>
      <c r="E1025" s="23">
        <v>716916</v>
      </c>
      <c r="F1025" s="20">
        <v>10022016.01</v>
      </c>
      <c r="G1025" s="30">
        <f t="shared" si="46"/>
        <v>10738932.01</v>
      </c>
      <c r="H1025">
        <f>IFERROR(VLOOKUP(C1025,Sheet1!$B$2:$C$25,2,FALSE),"")</f>
        <v>2400480</v>
      </c>
      <c r="I1025">
        <f t="shared" si="47"/>
        <v>9</v>
      </c>
    </row>
    <row r="1026" spans="1:9" x14ac:dyDescent="0.2">
      <c r="A1026">
        <f t="shared" si="45"/>
        <v>2400480</v>
      </c>
      <c r="B1026" s="20">
        <v>2021</v>
      </c>
      <c r="C1026" s="21" t="s">
        <v>122</v>
      </c>
      <c r="D1026" s="20" t="s">
        <v>122</v>
      </c>
      <c r="E1026" s="23" t="s">
        <v>269</v>
      </c>
      <c r="F1026" s="20">
        <v>0</v>
      </c>
      <c r="G1026" s="30">
        <f t="shared" si="46"/>
        <v>0</v>
      </c>
      <c r="H1026">
        <f>IFERROR(VLOOKUP(C1026,Sheet1!$B$2:$C$25,2,FALSE),"")</f>
        <v>2400480</v>
      </c>
      <c r="I1026">
        <f t="shared" si="47"/>
        <v>9</v>
      </c>
    </row>
    <row r="1027" spans="1:9" x14ac:dyDescent="0.2">
      <c r="A1027">
        <f t="shared" ref="A1027:A1090" si="48">H1027</f>
        <v>2400480</v>
      </c>
      <c r="B1027" s="20">
        <v>2022</v>
      </c>
      <c r="C1027" s="21" t="s">
        <v>122</v>
      </c>
      <c r="D1027" s="21" t="s">
        <v>122</v>
      </c>
      <c r="E1027" s="23" t="s">
        <v>269</v>
      </c>
      <c r="F1027" s="20">
        <v>0</v>
      </c>
      <c r="G1027" s="30">
        <f t="shared" ref="G1027:G1090" si="49">SUM(E1027:F1027)</f>
        <v>0</v>
      </c>
      <c r="H1027">
        <f>IFERROR(VLOOKUP(C1027,Sheet1!$B$2:$C$25,2,FALSE),"")</f>
        <v>2400480</v>
      </c>
      <c r="I1027">
        <f t="shared" ref="I1027:I1090" si="50">COUNTIF($H$2:$H$1812,H1027)</f>
        <v>9</v>
      </c>
    </row>
    <row r="1028" spans="1:9" x14ac:dyDescent="0.2">
      <c r="A1028">
        <f t="shared" si="48"/>
        <v>2400480</v>
      </c>
      <c r="B1028" s="20">
        <v>2023</v>
      </c>
      <c r="C1028" s="21" t="s">
        <v>122</v>
      </c>
      <c r="D1028" s="21" t="s">
        <v>122</v>
      </c>
      <c r="E1028" s="23" t="s">
        <v>269</v>
      </c>
      <c r="F1028" s="20">
        <v>0</v>
      </c>
      <c r="G1028" s="30">
        <f t="shared" si="49"/>
        <v>0</v>
      </c>
      <c r="H1028">
        <f>IFERROR(VLOOKUP(C1028,Sheet1!$B$2:$C$25,2,FALSE),"")</f>
        <v>2400480</v>
      </c>
      <c r="I1028">
        <f t="shared" si="50"/>
        <v>9</v>
      </c>
    </row>
    <row r="1029" spans="1:9" x14ac:dyDescent="0.2">
      <c r="A1029" t="str">
        <f t="shared" si="48"/>
        <v/>
      </c>
      <c r="B1029" s="20">
        <v>2016</v>
      </c>
      <c r="C1029" s="21" t="s">
        <v>120</v>
      </c>
      <c r="D1029" s="21" t="s">
        <v>120</v>
      </c>
      <c r="E1029" s="23">
        <v>1165241</v>
      </c>
      <c r="F1029" s="20">
        <v>18188057.879999999</v>
      </c>
      <c r="G1029" s="30">
        <f t="shared" si="49"/>
        <v>19353298.879999999</v>
      </c>
      <c r="H1029" t="str">
        <f>IFERROR(VLOOKUP(C1029,Sheet1!$B$2:$C$25,2,FALSE),"")</f>
        <v/>
      </c>
      <c r="I1029">
        <f t="shared" si="50"/>
        <v>1613</v>
      </c>
    </row>
    <row r="1030" spans="1:9" x14ac:dyDescent="0.2">
      <c r="A1030" t="str">
        <f t="shared" si="48"/>
        <v/>
      </c>
      <c r="B1030" s="20">
        <v>2017</v>
      </c>
      <c r="C1030" s="21" t="s">
        <v>120</v>
      </c>
      <c r="D1030" s="21" t="s">
        <v>120</v>
      </c>
      <c r="E1030" s="23">
        <v>1206977</v>
      </c>
      <c r="F1030" s="20">
        <v>19951811.850000001</v>
      </c>
      <c r="G1030" s="30">
        <f t="shared" si="49"/>
        <v>21158788.850000001</v>
      </c>
      <c r="H1030" t="str">
        <f>IFERROR(VLOOKUP(C1030,Sheet1!$B$2:$C$25,2,FALSE),"")</f>
        <v/>
      </c>
      <c r="I1030">
        <f t="shared" si="50"/>
        <v>1613</v>
      </c>
    </row>
    <row r="1031" spans="1:9" x14ac:dyDescent="0.2">
      <c r="A1031" t="str">
        <f t="shared" si="48"/>
        <v/>
      </c>
      <c r="B1031" s="20">
        <v>2018</v>
      </c>
      <c r="C1031" s="21" t="s">
        <v>120</v>
      </c>
      <c r="D1031" s="21" t="s">
        <v>214</v>
      </c>
      <c r="E1031" s="23">
        <v>1113557</v>
      </c>
      <c r="F1031" s="20">
        <v>16754918.210000001</v>
      </c>
      <c r="G1031" s="30">
        <f t="shared" si="49"/>
        <v>17868475.210000001</v>
      </c>
      <c r="H1031" t="str">
        <f>IFERROR(VLOOKUP(C1031,Sheet1!$B$2:$C$25,2,FALSE),"")</f>
        <v/>
      </c>
      <c r="I1031">
        <f t="shared" si="50"/>
        <v>1613</v>
      </c>
    </row>
    <row r="1032" spans="1:9" x14ac:dyDescent="0.2">
      <c r="A1032" t="str">
        <f t="shared" si="48"/>
        <v/>
      </c>
      <c r="B1032" s="20">
        <v>2019</v>
      </c>
      <c r="C1032" s="21" t="s">
        <v>120</v>
      </c>
      <c r="D1032" s="21" t="s">
        <v>120</v>
      </c>
      <c r="E1032" s="23">
        <v>1035692</v>
      </c>
      <c r="F1032" s="20">
        <v>14901659.32</v>
      </c>
      <c r="G1032" s="30">
        <f t="shared" si="49"/>
        <v>15937351.32</v>
      </c>
      <c r="H1032" t="str">
        <f>IFERROR(VLOOKUP(C1032,Sheet1!$B$2:$C$25,2,FALSE),"")</f>
        <v/>
      </c>
      <c r="I1032">
        <f t="shared" si="50"/>
        <v>1613</v>
      </c>
    </row>
    <row r="1033" spans="1:9" x14ac:dyDescent="0.2">
      <c r="A1033" t="str">
        <f t="shared" si="48"/>
        <v/>
      </c>
      <c r="B1033" s="20">
        <v>2020</v>
      </c>
      <c r="C1033" s="21" t="s">
        <v>120</v>
      </c>
      <c r="D1033" s="21" t="s">
        <v>120</v>
      </c>
      <c r="E1033" s="23">
        <v>1033617</v>
      </c>
      <c r="F1033" s="20">
        <v>14449288.52</v>
      </c>
      <c r="G1033" s="30">
        <f t="shared" si="49"/>
        <v>15482905.52</v>
      </c>
      <c r="H1033" t="str">
        <f>IFERROR(VLOOKUP(C1033,Sheet1!$B$2:$C$25,2,FALSE),"")</f>
        <v/>
      </c>
      <c r="I1033">
        <f t="shared" si="50"/>
        <v>1613</v>
      </c>
    </row>
    <row r="1034" spans="1:9" x14ac:dyDescent="0.2">
      <c r="A1034" t="str">
        <f t="shared" si="48"/>
        <v/>
      </c>
      <c r="B1034" s="20">
        <v>2021</v>
      </c>
      <c r="C1034" s="21" t="s">
        <v>120</v>
      </c>
      <c r="D1034" s="20" t="s">
        <v>120</v>
      </c>
      <c r="E1034" s="23">
        <v>905142</v>
      </c>
      <c r="F1034" s="20">
        <v>11815710.26</v>
      </c>
      <c r="G1034" s="30">
        <f t="shared" si="49"/>
        <v>12720852.26</v>
      </c>
      <c r="H1034" t="str">
        <f>IFERROR(VLOOKUP(C1034,Sheet1!$B$2:$C$25,2,FALSE),"")</f>
        <v/>
      </c>
      <c r="I1034">
        <f t="shared" si="50"/>
        <v>1613</v>
      </c>
    </row>
    <row r="1035" spans="1:9" x14ac:dyDescent="0.2">
      <c r="A1035" t="str">
        <f t="shared" si="48"/>
        <v/>
      </c>
      <c r="B1035" s="20">
        <v>2022</v>
      </c>
      <c r="C1035" s="21" t="s">
        <v>120</v>
      </c>
      <c r="D1035" s="21" t="s">
        <v>120</v>
      </c>
      <c r="E1035" s="23">
        <v>679834</v>
      </c>
      <c r="F1035" s="20">
        <v>9346032.9529999997</v>
      </c>
      <c r="G1035" s="30">
        <f t="shared" si="49"/>
        <v>10025866.953</v>
      </c>
      <c r="H1035" t="str">
        <f>IFERROR(VLOOKUP(C1035,Sheet1!$B$2:$C$25,2,FALSE),"")</f>
        <v/>
      </c>
      <c r="I1035">
        <f t="shared" si="50"/>
        <v>1613</v>
      </c>
    </row>
    <row r="1036" spans="1:9" x14ac:dyDescent="0.2">
      <c r="A1036" t="str">
        <f t="shared" si="48"/>
        <v/>
      </c>
      <c r="B1036" s="20">
        <v>2023</v>
      </c>
      <c r="C1036" s="21" t="s">
        <v>120</v>
      </c>
      <c r="D1036" s="21" t="s">
        <v>120</v>
      </c>
      <c r="E1036" s="23">
        <v>629118</v>
      </c>
      <c r="F1036" s="20">
        <v>8419965.6750000007</v>
      </c>
      <c r="G1036" s="30">
        <f t="shared" si="49"/>
        <v>9049083.6750000007</v>
      </c>
      <c r="H1036" t="str">
        <f>IFERROR(VLOOKUP(C1036,Sheet1!$B$2:$C$25,2,FALSE),"")</f>
        <v/>
      </c>
      <c r="I1036">
        <f t="shared" si="50"/>
        <v>1613</v>
      </c>
    </row>
    <row r="1037" spans="1:9" x14ac:dyDescent="0.2">
      <c r="A1037" t="str">
        <f t="shared" si="48"/>
        <v/>
      </c>
      <c r="B1037" s="20">
        <v>2015</v>
      </c>
      <c r="C1037" s="21" t="s">
        <v>123</v>
      </c>
      <c r="D1037" s="21" t="s">
        <v>123</v>
      </c>
      <c r="E1037" s="23">
        <v>1247849</v>
      </c>
      <c r="F1037" s="20">
        <v>19575074.41</v>
      </c>
      <c r="G1037" s="30">
        <f t="shared" si="49"/>
        <v>20822923.41</v>
      </c>
      <c r="H1037" t="str">
        <f>IFERROR(VLOOKUP(C1037,Sheet1!$B$2:$C$25,2,FALSE),"")</f>
        <v/>
      </c>
      <c r="I1037">
        <f t="shared" si="50"/>
        <v>1613</v>
      </c>
    </row>
    <row r="1038" spans="1:9" x14ac:dyDescent="0.2">
      <c r="A1038" t="str">
        <f t="shared" si="48"/>
        <v/>
      </c>
      <c r="B1038" s="20">
        <v>2016</v>
      </c>
      <c r="C1038" s="21" t="s">
        <v>123</v>
      </c>
      <c r="D1038" s="21" t="s">
        <v>123</v>
      </c>
      <c r="E1038" s="23">
        <v>1310241</v>
      </c>
      <c r="F1038" s="20">
        <v>20451339.379999999</v>
      </c>
      <c r="G1038" s="30">
        <f t="shared" si="49"/>
        <v>21761580.379999999</v>
      </c>
      <c r="H1038" t="str">
        <f>IFERROR(VLOOKUP(C1038,Sheet1!$B$2:$C$25,2,FALSE),"")</f>
        <v/>
      </c>
      <c r="I1038">
        <f t="shared" si="50"/>
        <v>1613</v>
      </c>
    </row>
    <row r="1039" spans="1:9" x14ac:dyDescent="0.2">
      <c r="A1039" t="str">
        <f t="shared" si="48"/>
        <v/>
      </c>
      <c r="B1039" s="20">
        <v>2017</v>
      </c>
      <c r="C1039" s="21" t="s">
        <v>123</v>
      </c>
      <c r="D1039" s="21" t="s">
        <v>123</v>
      </c>
      <c r="E1039" s="23">
        <v>1375753</v>
      </c>
      <c r="F1039" s="20">
        <v>22741746.539999999</v>
      </c>
      <c r="G1039" s="30">
        <f t="shared" si="49"/>
        <v>24117499.539999999</v>
      </c>
      <c r="H1039" t="str">
        <f>IFERROR(VLOOKUP(C1039,Sheet1!$B$2:$C$25,2,FALSE),"")</f>
        <v/>
      </c>
      <c r="I1039">
        <f t="shared" si="50"/>
        <v>1613</v>
      </c>
    </row>
    <row r="1040" spans="1:9" x14ac:dyDescent="0.2">
      <c r="A1040" t="str">
        <f t="shared" si="48"/>
        <v/>
      </c>
      <c r="B1040" s="20">
        <v>2018</v>
      </c>
      <c r="C1040" s="21" t="s">
        <v>123</v>
      </c>
      <c r="D1040" s="21" t="s">
        <v>123</v>
      </c>
      <c r="E1040" s="23">
        <v>1444541</v>
      </c>
      <c r="F1040" s="20">
        <v>21735004.41</v>
      </c>
      <c r="G1040" s="30">
        <f t="shared" si="49"/>
        <v>23179545.41</v>
      </c>
      <c r="H1040" t="str">
        <f>IFERROR(VLOOKUP(C1040,Sheet1!$B$2:$C$25,2,FALSE),"")</f>
        <v/>
      </c>
      <c r="I1040">
        <f t="shared" si="50"/>
        <v>1613</v>
      </c>
    </row>
    <row r="1041" spans="1:9" x14ac:dyDescent="0.2">
      <c r="A1041" t="str">
        <f t="shared" si="48"/>
        <v/>
      </c>
      <c r="B1041" s="20">
        <v>2019</v>
      </c>
      <c r="C1041" s="21" t="s">
        <v>123</v>
      </c>
      <c r="D1041" s="21" t="s">
        <v>123</v>
      </c>
      <c r="E1041" s="23">
        <v>1516768</v>
      </c>
      <c r="F1041" s="20">
        <v>21823437.859999999</v>
      </c>
      <c r="G1041" s="30">
        <f t="shared" si="49"/>
        <v>23340205.859999999</v>
      </c>
      <c r="H1041" t="str">
        <f>IFERROR(VLOOKUP(C1041,Sheet1!$B$2:$C$25,2,FALSE),"")</f>
        <v/>
      </c>
      <c r="I1041">
        <f t="shared" si="50"/>
        <v>1613</v>
      </c>
    </row>
    <row r="1042" spans="1:9" x14ac:dyDescent="0.2">
      <c r="A1042" t="str">
        <f t="shared" si="48"/>
        <v/>
      </c>
      <c r="B1042" s="20">
        <v>2020</v>
      </c>
      <c r="C1042" s="21" t="s">
        <v>123</v>
      </c>
      <c r="D1042" s="21" t="s">
        <v>123</v>
      </c>
      <c r="E1042" s="23">
        <v>1592606</v>
      </c>
      <c r="F1042" s="20">
        <v>22263588.530000001</v>
      </c>
      <c r="G1042" s="30">
        <f t="shared" si="49"/>
        <v>23856194.530000001</v>
      </c>
      <c r="H1042" t="str">
        <f>IFERROR(VLOOKUP(C1042,Sheet1!$B$2:$C$25,2,FALSE),"")</f>
        <v/>
      </c>
      <c r="I1042">
        <f t="shared" si="50"/>
        <v>1613</v>
      </c>
    </row>
    <row r="1043" spans="1:9" x14ac:dyDescent="0.2">
      <c r="A1043" t="str">
        <f t="shared" si="48"/>
        <v/>
      </c>
      <c r="B1043" s="20">
        <v>2021</v>
      </c>
      <c r="C1043" s="21" t="s">
        <v>123</v>
      </c>
      <c r="D1043" s="20" t="s">
        <v>123</v>
      </c>
      <c r="E1043" s="23" t="s">
        <v>269</v>
      </c>
      <c r="F1043" s="20">
        <v>0</v>
      </c>
      <c r="G1043" s="30">
        <f t="shared" si="49"/>
        <v>0</v>
      </c>
      <c r="H1043" t="str">
        <f>IFERROR(VLOOKUP(C1043,Sheet1!$B$2:$C$25,2,FALSE),"")</f>
        <v/>
      </c>
      <c r="I1043">
        <f t="shared" si="50"/>
        <v>1613</v>
      </c>
    </row>
    <row r="1044" spans="1:9" x14ac:dyDescent="0.2">
      <c r="A1044" t="str">
        <f t="shared" si="48"/>
        <v/>
      </c>
      <c r="B1044" s="20">
        <v>2022</v>
      </c>
      <c r="C1044" s="21" t="s">
        <v>123</v>
      </c>
      <c r="D1044" s="21" t="s">
        <v>123</v>
      </c>
      <c r="E1044" s="23" t="s">
        <v>269</v>
      </c>
      <c r="F1044" s="20">
        <v>0</v>
      </c>
      <c r="G1044" s="30">
        <f t="shared" si="49"/>
        <v>0</v>
      </c>
      <c r="H1044" t="str">
        <f>IFERROR(VLOOKUP(C1044,Sheet1!$B$2:$C$25,2,FALSE),"")</f>
        <v/>
      </c>
      <c r="I1044">
        <f t="shared" si="50"/>
        <v>1613</v>
      </c>
    </row>
    <row r="1045" spans="1:9" x14ac:dyDescent="0.2">
      <c r="A1045" t="str">
        <f t="shared" si="48"/>
        <v/>
      </c>
      <c r="B1045" s="20">
        <v>2023</v>
      </c>
      <c r="C1045" s="21" t="s">
        <v>123</v>
      </c>
      <c r="D1045" s="21" t="s">
        <v>123</v>
      </c>
      <c r="E1045" s="23" t="s">
        <v>269</v>
      </c>
      <c r="F1045" s="20">
        <v>0</v>
      </c>
      <c r="G1045" s="30">
        <f t="shared" si="49"/>
        <v>0</v>
      </c>
      <c r="H1045" t="str">
        <f>IFERROR(VLOOKUP(C1045,Sheet1!$B$2:$C$25,2,FALSE),"")</f>
        <v/>
      </c>
      <c r="I1045">
        <f t="shared" si="50"/>
        <v>1613</v>
      </c>
    </row>
    <row r="1046" spans="1:9" x14ac:dyDescent="0.2">
      <c r="A1046" t="str">
        <f t="shared" si="48"/>
        <v/>
      </c>
      <c r="B1046" s="20">
        <v>2015</v>
      </c>
      <c r="C1046" s="21" t="s">
        <v>124</v>
      </c>
      <c r="D1046" s="21" t="s">
        <v>124</v>
      </c>
      <c r="E1046" s="23">
        <v>3754</v>
      </c>
      <c r="F1046" s="20">
        <v>58889.199990000001</v>
      </c>
      <c r="G1046" s="30">
        <f t="shared" si="49"/>
        <v>62643.199990000001</v>
      </c>
      <c r="H1046" t="str">
        <f>IFERROR(VLOOKUP(C1046,Sheet1!$B$2:$C$25,2,FALSE),"")</f>
        <v/>
      </c>
      <c r="I1046">
        <f t="shared" si="50"/>
        <v>1613</v>
      </c>
    </row>
    <row r="1047" spans="1:9" x14ac:dyDescent="0.2">
      <c r="A1047" t="str">
        <f t="shared" si="48"/>
        <v/>
      </c>
      <c r="B1047" s="20">
        <v>2016</v>
      </c>
      <c r="C1047" s="21" t="s">
        <v>124</v>
      </c>
      <c r="D1047" s="21" t="s">
        <v>124</v>
      </c>
      <c r="E1047" s="23">
        <v>3754</v>
      </c>
      <c r="F1047" s="20">
        <v>58595.577469999997</v>
      </c>
      <c r="G1047" s="30">
        <f t="shared" si="49"/>
        <v>62349.577469999997</v>
      </c>
      <c r="H1047" t="str">
        <f>IFERROR(VLOOKUP(C1047,Sheet1!$B$2:$C$25,2,FALSE),"")</f>
        <v/>
      </c>
      <c r="I1047">
        <f t="shared" si="50"/>
        <v>1613</v>
      </c>
    </row>
    <row r="1048" spans="1:9" x14ac:dyDescent="0.2">
      <c r="A1048" t="str">
        <f t="shared" si="48"/>
        <v/>
      </c>
      <c r="B1048" s="20">
        <v>2017</v>
      </c>
      <c r="C1048" s="21" t="s">
        <v>124</v>
      </c>
      <c r="D1048" s="21" t="s">
        <v>124</v>
      </c>
      <c r="E1048" s="23">
        <v>3754</v>
      </c>
      <c r="F1048" s="20">
        <v>62055.119279999999</v>
      </c>
      <c r="G1048" s="30">
        <f t="shared" si="49"/>
        <v>65809.119279999999</v>
      </c>
      <c r="H1048" t="str">
        <f>IFERROR(VLOOKUP(C1048,Sheet1!$B$2:$C$25,2,FALSE),"")</f>
        <v/>
      </c>
      <c r="I1048">
        <f t="shared" si="50"/>
        <v>1613</v>
      </c>
    </row>
    <row r="1049" spans="1:9" x14ac:dyDescent="0.2">
      <c r="A1049" t="str">
        <f t="shared" si="48"/>
        <v/>
      </c>
      <c r="B1049" s="20">
        <v>2018</v>
      </c>
      <c r="C1049" s="21" t="s">
        <v>124</v>
      </c>
      <c r="D1049" s="21" t="s">
        <v>124</v>
      </c>
      <c r="E1049" s="23">
        <v>3754</v>
      </c>
      <c r="F1049" s="20">
        <v>56483.828809999999</v>
      </c>
      <c r="G1049" s="30">
        <f t="shared" si="49"/>
        <v>60237.828809999999</v>
      </c>
      <c r="H1049" t="str">
        <f>IFERROR(VLOOKUP(C1049,Sheet1!$B$2:$C$25,2,FALSE),"")</f>
        <v/>
      </c>
      <c r="I1049">
        <f t="shared" si="50"/>
        <v>1613</v>
      </c>
    </row>
    <row r="1050" spans="1:9" x14ac:dyDescent="0.2">
      <c r="A1050" t="str">
        <f t="shared" si="48"/>
        <v/>
      </c>
      <c r="B1050" s="20">
        <v>2019</v>
      </c>
      <c r="C1050" s="21" t="s">
        <v>124</v>
      </c>
      <c r="D1050" s="21" t="s">
        <v>124</v>
      </c>
      <c r="E1050" s="23">
        <v>3754</v>
      </c>
      <c r="F1050" s="20">
        <v>54012.997179999998</v>
      </c>
      <c r="G1050" s="30">
        <f t="shared" si="49"/>
        <v>57766.997179999998</v>
      </c>
      <c r="H1050" t="str">
        <f>IFERROR(VLOOKUP(C1050,Sheet1!$B$2:$C$25,2,FALSE),"")</f>
        <v/>
      </c>
      <c r="I1050">
        <f t="shared" si="50"/>
        <v>1613</v>
      </c>
    </row>
    <row r="1051" spans="1:9" x14ac:dyDescent="0.2">
      <c r="A1051" t="str">
        <f t="shared" si="48"/>
        <v/>
      </c>
      <c r="B1051" s="20">
        <v>2020</v>
      </c>
      <c r="C1051" s="21" t="s">
        <v>124</v>
      </c>
      <c r="D1051" s="21" t="s">
        <v>124</v>
      </c>
      <c r="E1051" s="23">
        <v>3754</v>
      </c>
      <c r="F1051" s="20">
        <v>52478.460679999997</v>
      </c>
      <c r="G1051" s="30">
        <f t="shared" si="49"/>
        <v>56232.460679999997</v>
      </c>
      <c r="H1051" t="str">
        <f>IFERROR(VLOOKUP(C1051,Sheet1!$B$2:$C$25,2,FALSE),"")</f>
        <v/>
      </c>
      <c r="I1051">
        <f t="shared" si="50"/>
        <v>1613</v>
      </c>
    </row>
    <row r="1052" spans="1:9" x14ac:dyDescent="0.2">
      <c r="A1052" t="str">
        <f t="shared" si="48"/>
        <v/>
      </c>
      <c r="B1052" s="20">
        <v>2021</v>
      </c>
      <c r="C1052" s="21" t="s">
        <v>124</v>
      </c>
      <c r="D1052" s="20" t="s">
        <v>124</v>
      </c>
      <c r="E1052" s="23" t="s">
        <v>269</v>
      </c>
      <c r="F1052" s="20">
        <v>0</v>
      </c>
      <c r="G1052" s="30">
        <f t="shared" si="49"/>
        <v>0</v>
      </c>
      <c r="H1052" t="str">
        <f>IFERROR(VLOOKUP(C1052,Sheet1!$B$2:$C$25,2,FALSE),"")</f>
        <v/>
      </c>
      <c r="I1052">
        <f t="shared" si="50"/>
        <v>1613</v>
      </c>
    </row>
    <row r="1053" spans="1:9" x14ac:dyDescent="0.2">
      <c r="A1053" t="str">
        <f t="shared" si="48"/>
        <v/>
      </c>
      <c r="B1053" s="20">
        <v>2022</v>
      </c>
      <c r="C1053" s="21" t="s">
        <v>124</v>
      </c>
      <c r="D1053" s="21" t="s">
        <v>124</v>
      </c>
      <c r="E1053" s="23" t="s">
        <v>269</v>
      </c>
      <c r="F1053" s="20">
        <v>0</v>
      </c>
      <c r="G1053" s="30">
        <f t="shared" si="49"/>
        <v>0</v>
      </c>
      <c r="H1053" t="str">
        <f>IFERROR(VLOOKUP(C1053,Sheet1!$B$2:$C$25,2,FALSE),"")</f>
        <v/>
      </c>
      <c r="I1053">
        <f t="shared" si="50"/>
        <v>1613</v>
      </c>
    </row>
    <row r="1054" spans="1:9" x14ac:dyDescent="0.2">
      <c r="A1054" t="str">
        <f t="shared" si="48"/>
        <v/>
      </c>
      <c r="B1054" s="20">
        <v>2023</v>
      </c>
      <c r="C1054" s="21" t="s">
        <v>124</v>
      </c>
      <c r="D1054" s="21" t="s">
        <v>124</v>
      </c>
      <c r="E1054" s="23" t="s">
        <v>269</v>
      </c>
      <c r="F1054" s="20">
        <v>0</v>
      </c>
      <c r="G1054" s="30">
        <f t="shared" si="49"/>
        <v>0</v>
      </c>
      <c r="H1054" t="str">
        <f>IFERROR(VLOOKUP(C1054,Sheet1!$B$2:$C$25,2,FALSE),"")</f>
        <v/>
      </c>
      <c r="I1054">
        <f t="shared" si="50"/>
        <v>1613</v>
      </c>
    </row>
    <row r="1055" spans="1:9" x14ac:dyDescent="0.2">
      <c r="A1055" t="str">
        <f t="shared" si="48"/>
        <v/>
      </c>
      <c r="B1055" s="20">
        <v>2015</v>
      </c>
      <c r="C1055" s="21" t="s">
        <v>125</v>
      </c>
      <c r="D1055" s="21" t="s">
        <v>125</v>
      </c>
      <c r="E1055" s="23">
        <v>33104</v>
      </c>
      <c r="F1055" s="20">
        <v>519304.2292</v>
      </c>
      <c r="G1055" s="30">
        <f t="shared" si="49"/>
        <v>552408.22919999994</v>
      </c>
      <c r="H1055" t="str">
        <f>IFERROR(VLOOKUP(C1055,Sheet1!$B$2:$C$25,2,FALSE),"")</f>
        <v/>
      </c>
      <c r="I1055">
        <f t="shared" si="50"/>
        <v>1613</v>
      </c>
    </row>
    <row r="1056" spans="1:9" x14ac:dyDescent="0.2">
      <c r="A1056" t="str">
        <f t="shared" si="48"/>
        <v/>
      </c>
      <c r="B1056" s="20">
        <v>2016</v>
      </c>
      <c r="C1056" s="21" t="s">
        <v>125</v>
      </c>
      <c r="D1056" s="21" t="s">
        <v>125</v>
      </c>
      <c r="E1056" s="23">
        <v>26845</v>
      </c>
      <c r="F1056" s="20">
        <v>419019.25339999999</v>
      </c>
      <c r="G1056" s="30">
        <f t="shared" si="49"/>
        <v>445864.25339999999</v>
      </c>
      <c r="H1056" t="str">
        <f>IFERROR(VLOOKUP(C1056,Sheet1!$B$2:$C$25,2,FALSE),"")</f>
        <v/>
      </c>
      <c r="I1056">
        <f t="shared" si="50"/>
        <v>1613</v>
      </c>
    </row>
    <row r="1057" spans="1:9" x14ac:dyDescent="0.2">
      <c r="A1057" t="str">
        <f t="shared" si="48"/>
        <v/>
      </c>
      <c r="B1057" s="20">
        <v>2017</v>
      </c>
      <c r="C1057" s="21" t="s">
        <v>125</v>
      </c>
      <c r="D1057" s="21" t="s">
        <v>125</v>
      </c>
      <c r="E1057" s="23">
        <v>24154</v>
      </c>
      <c r="F1057" s="20">
        <v>399275.26659999997</v>
      </c>
      <c r="G1057" s="30">
        <f t="shared" si="49"/>
        <v>423429.26659999997</v>
      </c>
      <c r="H1057" t="str">
        <f>IFERROR(VLOOKUP(C1057,Sheet1!$B$2:$C$25,2,FALSE),"")</f>
        <v/>
      </c>
      <c r="I1057">
        <f t="shared" si="50"/>
        <v>1613</v>
      </c>
    </row>
    <row r="1058" spans="1:9" x14ac:dyDescent="0.2">
      <c r="A1058" t="str">
        <f t="shared" si="48"/>
        <v/>
      </c>
      <c r="B1058" s="20">
        <v>2018</v>
      </c>
      <c r="C1058" s="21" t="s">
        <v>125</v>
      </c>
      <c r="D1058" s="21" t="s">
        <v>125</v>
      </c>
      <c r="E1058" s="23">
        <v>28921</v>
      </c>
      <c r="F1058" s="20">
        <v>435154.18569999997</v>
      </c>
      <c r="G1058" s="30">
        <f t="shared" si="49"/>
        <v>464075.18569999997</v>
      </c>
      <c r="H1058" t="str">
        <f>IFERROR(VLOOKUP(C1058,Sheet1!$B$2:$C$25,2,FALSE),"")</f>
        <v/>
      </c>
      <c r="I1058">
        <f t="shared" si="50"/>
        <v>1613</v>
      </c>
    </row>
    <row r="1059" spans="1:9" x14ac:dyDescent="0.2">
      <c r="A1059" t="str">
        <f t="shared" si="48"/>
        <v/>
      </c>
      <c r="B1059" s="20">
        <v>2019</v>
      </c>
      <c r="C1059" s="21" t="s">
        <v>125</v>
      </c>
      <c r="D1059" s="21" t="s">
        <v>125</v>
      </c>
      <c r="E1059" s="23">
        <v>31365</v>
      </c>
      <c r="F1059" s="20">
        <v>451283.3395</v>
      </c>
      <c r="G1059" s="30">
        <f t="shared" si="49"/>
        <v>482648.3395</v>
      </c>
      <c r="H1059" t="str">
        <f>IFERROR(VLOOKUP(C1059,Sheet1!$B$2:$C$25,2,FALSE),"")</f>
        <v/>
      </c>
      <c r="I1059">
        <f t="shared" si="50"/>
        <v>1613</v>
      </c>
    </row>
    <row r="1060" spans="1:9" x14ac:dyDescent="0.2">
      <c r="A1060" t="str">
        <f t="shared" si="48"/>
        <v/>
      </c>
      <c r="B1060" s="20">
        <v>2020</v>
      </c>
      <c r="C1060" s="21" t="s">
        <v>125</v>
      </c>
      <c r="D1060" s="21" t="s">
        <v>125</v>
      </c>
      <c r="E1060" s="23">
        <v>33772</v>
      </c>
      <c r="F1060" s="20">
        <v>472110.43530000001</v>
      </c>
      <c r="G1060" s="30">
        <f t="shared" si="49"/>
        <v>505882.43530000001</v>
      </c>
      <c r="H1060" t="str">
        <f>IFERROR(VLOOKUP(C1060,Sheet1!$B$2:$C$25,2,FALSE),"")</f>
        <v/>
      </c>
      <c r="I1060">
        <f t="shared" si="50"/>
        <v>1613</v>
      </c>
    </row>
    <row r="1061" spans="1:9" x14ac:dyDescent="0.2">
      <c r="A1061" t="str">
        <f t="shared" si="48"/>
        <v/>
      </c>
      <c r="B1061" s="20">
        <v>2021</v>
      </c>
      <c r="C1061" s="21" t="s">
        <v>125</v>
      </c>
      <c r="D1061" s="20" t="s">
        <v>125</v>
      </c>
      <c r="E1061" s="23">
        <v>39942</v>
      </c>
      <c r="F1061" s="20">
        <v>521402.27630000003</v>
      </c>
      <c r="G1061" s="30">
        <f t="shared" si="49"/>
        <v>561344.27630000003</v>
      </c>
      <c r="H1061" t="str">
        <f>IFERROR(VLOOKUP(C1061,Sheet1!$B$2:$C$25,2,FALSE),"")</f>
        <v/>
      </c>
      <c r="I1061">
        <f t="shared" si="50"/>
        <v>1613</v>
      </c>
    </row>
    <row r="1062" spans="1:9" x14ac:dyDescent="0.2">
      <c r="A1062" t="str">
        <f t="shared" si="48"/>
        <v/>
      </c>
      <c r="B1062" s="20">
        <v>2022</v>
      </c>
      <c r="C1062" s="21" t="s">
        <v>125</v>
      </c>
      <c r="D1062" s="21" t="s">
        <v>125</v>
      </c>
      <c r="E1062" s="23">
        <v>44756</v>
      </c>
      <c r="F1062" s="20">
        <v>615284.1</v>
      </c>
      <c r="G1062" s="30">
        <f t="shared" si="49"/>
        <v>660040.1</v>
      </c>
      <c r="H1062" t="str">
        <f>IFERROR(VLOOKUP(C1062,Sheet1!$B$2:$C$25,2,FALSE),"")</f>
        <v/>
      </c>
      <c r="I1062">
        <f t="shared" si="50"/>
        <v>1613</v>
      </c>
    </row>
    <row r="1063" spans="1:9" x14ac:dyDescent="0.2">
      <c r="A1063" t="str">
        <f t="shared" si="48"/>
        <v/>
      </c>
      <c r="B1063" s="20">
        <v>2023</v>
      </c>
      <c r="C1063" s="21" t="s">
        <v>125</v>
      </c>
      <c r="D1063" s="21" t="s">
        <v>125</v>
      </c>
      <c r="E1063" s="23">
        <v>37511</v>
      </c>
      <c r="F1063" s="20">
        <v>502038.30190000002</v>
      </c>
      <c r="G1063" s="30">
        <f t="shared" si="49"/>
        <v>539549.30190000008</v>
      </c>
      <c r="H1063" t="str">
        <f>IFERROR(VLOOKUP(C1063,Sheet1!$B$2:$C$25,2,FALSE),"")</f>
        <v/>
      </c>
      <c r="I1063">
        <f t="shared" si="50"/>
        <v>1613</v>
      </c>
    </row>
    <row r="1064" spans="1:9" x14ac:dyDescent="0.2">
      <c r="A1064" t="str">
        <f t="shared" si="48"/>
        <v/>
      </c>
      <c r="B1064" s="20">
        <v>2015</v>
      </c>
      <c r="C1064" s="21" t="s">
        <v>126</v>
      </c>
      <c r="D1064" s="21" t="s">
        <v>126</v>
      </c>
      <c r="E1064" s="23">
        <v>122411</v>
      </c>
      <c r="F1064" s="20">
        <v>1920267.9439999999</v>
      </c>
      <c r="G1064" s="30">
        <f t="shared" si="49"/>
        <v>2042678.9439999999</v>
      </c>
      <c r="H1064" t="str">
        <f>IFERROR(VLOOKUP(C1064,Sheet1!$B$2:$C$25,2,FALSE),"")</f>
        <v/>
      </c>
      <c r="I1064">
        <f t="shared" si="50"/>
        <v>1613</v>
      </c>
    </row>
    <row r="1065" spans="1:9" x14ac:dyDescent="0.2">
      <c r="A1065" t="str">
        <f t="shared" si="48"/>
        <v/>
      </c>
      <c r="B1065" s="20">
        <v>2016</v>
      </c>
      <c r="C1065" s="21" t="s">
        <v>126</v>
      </c>
      <c r="D1065" s="21" t="s">
        <v>126</v>
      </c>
      <c r="E1065" s="23">
        <v>110039</v>
      </c>
      <c r="F1065" s="20">
        <v>1717580.9140000001</v>
      </c>
      <c r="G1065" s="30">
        <f t="shared" si="49"/>
        <v>1827619.9140000001</v>
      </c>
      <c r="H1065" t="str">
        <f>IFERROR(VLOOKUP(C1065,Sheet1!$B$2:$C$25,2,FALSE),"")</f>
        <v/>
      </c>
      <c r="I1065">
        <f t="shared" si="50"/>
        <v>1613</v>
      </c>
    </row>
    <row r="1066" spans="1:9" x14ac:dyDescent="0.2">
      <c r="A1066" t="str">
        <f t="shared" si="48"/>
        <v/>
      </c>
      <c r="B1066" s="20">
        <v>2017</v>
      </c>
      <c r="C1066" s="21" t="s">
        <v>126</v>
      </c>
      <c r="D1066" s="21" t="s">
        <v>126</v>
      </c>
      <c r="E1066" s="23">
        <v>106811</v>
      </c>
      <c r="F1066" s="20">
        <v>1765628.4879999999</v>
      </c>
      <c r="G1066" s="30">
        <f t="shared" si="49"/>
        <v>1872439.4879999999</v>
      </c>
      <c r="H1066" t="str">
        <f>IFERROR(VLOOKUP(C1066,Sheet1!$B$2:$C$25,2,FALSE),"")</f>
        <v/>
      </c>
      <c r="I1066">
        <f t="shared" si="50"/>
        <v>1613</v>
      </c>
    </row>
    <row r="1067" spans="1:9" x14ac:dyDescent="0.2">
      <c r="A1067" t="str">
        <f t="shared" si="48"/>
        <v/>
      </c>
      <c r="B1067" s="20">
        <v>2018</v>
      </c>
      <c r="C1067" s="21" t="s">
        <v>126</v>
      </c>
      <c r="D1067" s="21" t="s">
        <v>126</v>
      </c>
      <c r="E1067" s="23">
        <v>130764</v>
      </c>
      <c r="F1067" s="20">
        <v>1967515.0220000001</v>
      </c>
      <c r="G1067" s="30">
        <f t="shared" si="49"/>
        <v>2098279.0219999999</v>
      </c>
      <c r="H1067" t="str">
        <f>IFERROR(VLOOKUP(C1067,Sheet1!$B$2:$C$25,2,FALSE),"")</f>
        <v/>
      </c>
      <c r="I1067">
        <f t="shared" si="50"/>
        <v>1613</v>
      </c>
    </row>
    <row r="1068" spans="1:9" x14ac:dyDescent="0.2">
      <c r="A1068" t="str">
        <f t="shared" si="48"/>
        <v/>
      </c>
      <c r="B1068" s="20">
        <v>2019</v>
      </c>
      <c r="C1068" s="21" t="s">
        <v>126</v>
      </c>
      <c r="D1068" s="21" t="s">
        <v>126</v>
      </c>
      <c r="E1068" s="23">
        <v>164356</v>
      </c>
      <c r="F1068" s="20">
        <v>2364773.6189999999</v>
      </c>
      <c r="G1068" s="30">
        <f t="shared" si="49"/>
        <v>2529129.6189999999</v>
      </c>
      <c r="H1068" t="str">
        <f>IFERROR(VLOOKUP(C1068,Sheet1!$B$2:$C$25,2,FALSE),"")</f>
        <v/>
      </c>
      <c r="I1068">
        <f t="shared" si="50"/>
        <v>1613</v>
      </c>
    </row>
    <row r="1069" spans="1:9" x14ac:dyDescent="0.2">
      <c r="A1069" t="str">
        <f t="shared" si="48"/>
        <v/>
      </c>
      <c r="B1069" s="20">
        <v>2020</v>
      </c>
      <c r="C1069" s="21" t="s">
        <v>126</v>
      </c>
      <c r="D1069" s="21" t="s">
        <v>126</v>
      </c>
      <c r="E1069" s="23">
        <v>148658</v>
      </c>
      <c r="F1069" s="20">
        <v>2078141.4509999999</v>
      </c>
      <c r="G1069" s="30">
        <f t="shared" si="49"/>
        <v>2226799.4509999999</v>
      </c>
      <c r="H1069" t="str">
        <f>IFERROR(VLOOKUP(C1069,Sheet1!$B$2:$C$25,2,FALSE),"")</f>
        <v/>
      </c>
      <c r="I1069">
        <f t="shared" si="50"/>
        <v>1613</v>
      </c>
    </row>
    <row r="1070" spans="1:9" x14ac:dyDescent="0.2">
      <c r="A1070" t="str">
        <f t="shared" si="48"/>
        <v/>
      </c>
      <c r="B1070" s="20">
        <v>2021</v>
      </c>
      <c r="C1070" s="21" t="s">
        <v>126</v>
      </c>
      <c r="D1070" s="20" t="s">
        <v>126</v>
      </c>
      <c r="E1070" s="23">
        <v>155930</v>
      </c>
      <c r="F1070" s="20">
        <v>2035507.91</v>
      </c>
      <c r="G1070" s="30">
        <f t="shared" si="49"/>
        <v>2191437.91</v>
      </c>
      <c r="H1070" t="str">
        <f>IFERROR(VLOOKUP(C1070,Sheet1!$B$2:$C$25,2,FALSE),"")</f>
        <v/>
      </c>
      <c r="I1070">
        <f t="shared" si="50"/>
        <v>1613</v>
      </c>
    </row>
    <row r="1071" spans="1:9" x14ac:dyDescent="0.2">
      <c r="A1071" t="str">
        <f t="shared" si="48"/>
        <v/>
      </c>
      <c r="B1071" s="20">
        <v>2022</v>
      </c>
      <c r="C1071" s="21" t="s">
        <v>126</v>
      </c>
      <c r="D1071" s="21" t="s">
        <v>126</v>
      </c>
      <c r="E1071" s="23">
        <v>160430</v>
      </c>
      <c r="F1071" s="20">
        <v>2205514.9739999999</v>
      </c>
      <c r="G1071" s="30">
        <f t="shared" si="49"/>
        <v>2365944.9739999999</v>
      </c>
      <c r="H1071" t="str">
        <f>IFERROR(VLOOKUP(C1071,Sheet1!$B$2:$C$25,2,FALSE),"")</f>
        <v/>
      </c>
      <c r="I1071">
        <f t="shared" si="50"/>
        <v>1613</v>
      </c>
    </row>
    <row r="1072" spans="1:9" x14ac:dyDescent="0.2">
      <c r="A1072" t="str">
        <f t="shared" si="48"/>
        <v/>
      </c>
      <c r="B1072" s="20">
        <v>2023</v>
      </c>
      <c r="C1072" s="21" t="s">
        <v>126</v>
      </c>
      <c r="D1072" s="21" t="s">
        <v>126</v>
      </c>
      <c r="E1072" s="23">
        <v>175515</v>
      </c>
      <c r="F1072" s="20">
        <v>2349051.0129999998</v>
      </c>
      <c r="G1072" s="30">
        <f t="shared" si="49"/>
        <v>2524566.0129999998</v>
      </c>
      <c r="H1072" t="str">
        <f>IFERROR(VLOOKUP(C1072,Sheet1!$B$2:$C$25,2,FALSE),"")</f>
        <v/>
      </c>
      <c r="I1072">
        <f t="shared" si="50"/>
        <v>1613</v>
      </c>
    </row>
    <row r="1073" spans="1:9" x14ac:dyDescent="0.2">
      <c r="A1073" t="str">
        <f t="shared" si="48"/>
        <v/>
      </c>
      <c r="B1073" s="20">
        <v>2020</v>
      </c>
      <c r="C1073" s="21" t="s">
        <v>234</v>
      </c>
      <c r="D1073" s="21" t="s">
        <v>234</v>
      </c>
      <c r="E1073" s="23">
        <v>79104</v>
      </c>
      <c r="F1073" s="20">
        <v>1105822.0970000001</v>
      </c>
      <c r="G1073" s="30">
        <f t="shared" si="49"/>
        <v>1184926.0970000001</v>
      </c>
      <c r="H1073" t="str">
        <f>IFERROR(VLOOKUP(C1073,Sheet1!$B$2:$C$25,2,FALSE),"")</f>
        <v/>
      </c>
      <c r="I1073">
        <f t="shared" si="50"/>
        <v>1613</v>
      </c>
    </row>
    <row r="1074" spans="1:9" x14ac:dyDescent="0.2">
      <c r="A1074" t="str">
        <f t="shared" si="48"/>
        <v/>
      </c>
      <c r="B1074" s="20">
        <v>2021</v>
      </c>
      <c r="C1074" s="21" t="s">
        <v>234</v>
      </c>
      <c r="D1074" s="20" t="s">
        <v>234</v>
      </c>
      <c r="E1074" s="23">
        <v>100205</v>
      </c>
      <c r="F1074" s="20">
        <v>1308074.5859999999</v>
      </c>
      <c r="G1074" s="30">
        <f t="shared" si="49"/>
        <v>1408279.5859999999</v>
      </c>
      <c r="H1074" t="str">
        <f>IFERROR(VLOOKUP(C1074,Sheet1!$B$2:$C$25,2,FALSE),"")</f>
        <v/>
      </c>
      <c r="I1074">
        <f t="shared" si="50"/>
        <v>1613</v>
      </c>
    </row>
    <row r="1075" spans="1:9" x14ac:dyDescent="0.2">
      <c r="A1075" t="str">
        <f t="shared" si="48"/>
        <v/>
      </c>
      <c r="B1075" s="20">
        <v>2022</v>
      </c>
      <c r="C1075" s="21" t="s">
        <v>234</v>
      </c>
      <c r="D1075" s="21" t="s">
        <v>234</v>
      </c>
      <c r="E1075" s="23">
        <v>114637</v>
      </c>
      <c r="F1075" s="20">
        <v>1575974.693</v>
      </c>
      <c r="G1075" s="30">
        <f t="shared" si="49"/>
        <v>1690611.693</v>
      </c>
      <c r="H1075" t="str">
        <f>IFERROR(VLOOKUP(C1075,Sheet1!$B$2:$C$25,2,FALSE),"")</f>
        <v/>
      </c>
      <c r="I1075">
        <f t="shared" si="50"/>
        <v>1613</v>
      </c>
    </row>
    <row r="1076" spans="1:9" x14ac:dyDescent="0.2">
      <c r="A1076" t="str">
        <f t="shared" si="48"/>
        <v/>
      </c>
      <c r="B1076" s="20">
        <v>2023</v>
      </c>
      <c r="C1076" s="21" t="s">
        <v>234</v>
      </c>
      <c r="D1076" s="21" t="s">
        <v>234</v>
      </c>
      <c r="E1076" s="23">
        <v>84370</v>
      </c>
      <c r="F1076" s="20">
        <v>1129188.0120000001</v>
      </c>
      <c r="G1076" s="30">
        <f t="shared" si="49"/>
        <v>1213558.0120000001</v>
      </c>
      <c r="H1076" t="str">
        <f>IFERROR(VLOOKUP(C1076,Sheet1!$B$2:$C$25,2,FALSE),"")</f>
        <v/>
      </c>
      <c r="I1076">
        <f t="shared" si="50"/>
        <v>1613</v>
      </c>
    </row>
    <row r="1077" spans="1:9" x14ac:dyDescent="0.2">
      <c r="A1077" t="str">
        <f t="shared" si="48"/>
        <v/>
      </c>
      <c r="B1077" s="20">
        <v>2015</v>
      </c>
      <c r="C1077" s="21" t="s">
        <v>127</v>
      </c>
      <c r="D1077" s="21" t="s">
        <v>127</v>
      </c>
      <c r="E1077" s="23">
        <v>169093</v>
      </c>
      <c r="F1077" s="20">
        <v>2652570.9890000001</v>
      </c>
      <c r="G1077" s="30">
        <f t="shared" si="49"/>
        <v>2821663.9890000001</v>
      </c>
      <c r="H1077" t="str">
        <f>IFERROR(VLOOKUP(C1077,Sheet1!$B$2:$C$25,2,FALSE),"")</f>
        <v/>
      </c>
      <c r="I1077">
        <f t="shared" si="50"/>
        <v>1613</v>
      </c>
    </row>
    <row r="1078" spans="1:9" x14ac:dyDescent="0.2">
      <c r="A1078" t="str">
        <f t="shared" si="48"/>
        <v/>
      </c>
      <c r="B1078" s="20">
        <v>2016</v>
      </c>
      <c r="C1078" s="21" t="s">
        <v>127</v>
      </c>
      <c r="D1078" s="21" t="s">
        <v>127</v>
      </c>
      <c r="E1078" s="23">
        <v>163814</v>
      </c>
      <c r="F1078" s="20">
        <v>2556946.1719999998</v>
      </c>
      <c r="G1078" s="30">
        <f t="shared" si="49"/>
        <v>2720760.1719999998</v>
      </c>
      <c r="H1078" t="str">
        <f>IFERROR(VLOOKUP(C1078,Sheet1!$B$2:$C$25,2,FALSE),"")</f>
        <v/>
      </c>
      <c r="I1078">
        <f t="shared" si="50"/>
        <v>1613</v>
      </c>
    </row>
    <row r="1079" spans="1:9" x14ac:dyDescent="0.2">
      <c r="A1079" t="str">
        <f t="shared" si="48"/>
        <v/>
      </c>
      <c r="B1079" s="20">
        <v>2017</v>
      </c>
      <c r="C1079" s="21" t="s">
        <v>127</v>
      </c>
      <c r="D1079" s="21" t="s">
        <v>127</v>
      </c>
      <c r="E1079" s="23">
        <v>153431</v>
      </c>
      <c r="F1079" s="20">
        <v>2536275.7069999999</v>
      </c>
      <c r="G1079" s="30">
        <f t="shared" si="49"/>
        <v>2689706.7069999999</v>
      </c>
      <c r="H1079" t="str">
        <f>IFERROR(VLOOKUP(C1079,Sheet1!$B$2:$C$25,2,FALSE),"")</f>
        <v/>
      </c>
      <c r="I1079">
        <f t="shared" si="50"/>
        <v>1613</v>
      </c>
    </row>
    <row r="1080" spans="1:9" x14ac:dyDescent="0.2">
      <c r="A1080" t="str">
        <f t="shared" si="48"/>
        <v/>
      </c>
      <c r="B1080" s="20">
        <v>2018</v>
      </c>
      <c r="C1080" s="21" t="s">
        <v>127</v>
      </c>
      <c r="D1080" s="21" t="s">
        <v>127</v>
      </c>
      <c r="E1080" s="23">
        <v>157926</v>
      </c>
      <c r="F1080" s="20">
        <v>2376202.7570000002</v>
      </c>
      <c r="G1080" s="30">
        <f t="shared" si="49"/>
        <v>2534128.7570000002</v>
      </c>
      <c r="H1080" t="str">
        <f>IFERROR(VLOOKUP(C1080,Sheet1!$B$2:$C$25,2,FALSE),"")</f>
        <v/>
      </c>
      <c r="I1080">
        <f t="shared" si="50"/>
        <v>1613</v>
      </c>
    </row>
    <row r="1081" spans="1:9" x14ac:dyDescent="0.2">
      <c r="A1081" t="str">
        <f t="shared" si="48"/>
        <v/>
      </c>
      <c r="B1081" s="20">
        <v>2019</v>
      </c>
      <c r="C1081" s="21" t="s">
        <v>127</v>
      </c>
      <c r="D1081" s="21" t="s">
        <v>127</v>
      </c>
      <c r="E1081" s="23">
        <v>188469</v>
      </c>
      <c r="F1081" s="20">
        <v>2711714.3220000002</v>
      </c>
      <c r="G1081" s="30">
        <f t="shared" si="49"/>
        <v>2900183.3220000002</v>
      </c>
      <c r="H1081" t="str">
        <f>IFERROR(VLOOKUP(C1081,Sheet1!$B$2:$C$25,2,FALSE),"")</f>
        <v/>
      </c>
      <c r="I1081">
        <f t="shared" si="50"/>
        <v>1613</v>
      </c>
    </row>
    <row r="1082" spans="1:9" x14ac:dyDescent="0.2">
      <c r="A1082" t="str">
        <f t="shared" si="48"/>
        <v/>
      </c>
      <c r="B1082" s="20">
        <v>2020</v>
      </c>
      <c r="C1082" s="21" t="s">
        <v>127</v>
      </c>
      <c r="D1082" s="21" t="s">
        <v>127</v>
      </c>
      <c r="E1082" s="23">
        <v>201847</v>
      </c>
      <c r="F1082" s="20">
        <v>2821688.8259999999</v>
      </c>
      <c r="G1082" s="30">
        <f t="shared" si="49"/>
        <v>3023535.8259999999</v>
      </c>
      <c r="H1082" t="str">
        <f>IFERROR(VLOOKUP(C1082,Sheet1!$B$2:$C$25,2,FALSE),"")</f>
        <v/>
      </c>
      <c r="I1082">
        <f t="shared" si="50"/>
        <v>1613</v>
      </c>
    </row>
    <row r="1083" spans="1:9" x14ac:dyDescent="0.2">
      <c r="A1083" t="str">
        <f t="shared" si="48"/>
        <v/>
      </c>
      <c r="B1083" s="20">
        <v>2021</v>
      </c>
      <c r="C1083" s="21" t="s">
        <v>127</v>
      </c>
      <c r="D1083" s="20" t="s">
        <v>127</v>
      </c>
      <c r="E1083" s="23">
        <v>257722</v>
      </c>
      <c r="F1083" s="20">
        <v>3364299.17</v>
      </c>
      <c r="G1083" s="30">
        <f t="shared" si="49"/>
        <v>3622021.17</v>
      </c>
      <c r="H1083" t="str">
        <f>IFERROR(VLOOKUP(C1083,Sheet1!$B$2:$C$25,2,FALSE),"")</f>
        <v/>
      </c>
      <c r="I1083">
        <f t="shared" si="50"/>
        <v>1613</v>
      </c>
    </row>
    <row r="1084" spans="1:9" x14ac:dyDescent="0.2">
      <c r="A1084" t="str">
        <f t="shared" si="48"/>
        <v/>
      </c>
      <c r="B1084" s="20">
        <v>2022</v>
      </c>
      <c r="C1084" s="21" t="s">
        <v>127</v>
      </c>
      <c r="D1084" s="21" t="s">
        <v>127</v>
      </c>
      <c r="E1084" s="23">
        <v>253967</v>
      </c>
      <c r="F1084" s="20">
        <v>3491416.95</v>
      </c>
      <c r="G1084" s="30">
        <f t="shared" si="49"/>
        <v>3745383.95</v>
      </c>
      <c r="H1084" t="str">
        <f>IFERROR(VLOOKUP(C1084,Sheet1!$B$2:$C$25,2,FALSE),"")</f>
        <v/>
      </c>
      <c r="I1084">
        <f t="shared" si="50"/>
        <v>1613</v>
      </c>
    </row>
    <row r="1085" spans="1:9" x14ac:dyDescent="0.2">
      <c r="A1085" t="str">
        <f t="shared" si="48"/>
        <v/>
      </c>
      <c r="B1085" s="20">
        <v>2023</v>
      </c>
      <c r="C1085" s="21" t="s">
        <v>127</v>
      </c>
      <c r="D1085" s="21" t="s">
        <v>127</v>
      </c>
      <c r="E1085" s="23">
        <v>262916</v>
      </c>
      <c r="F1085" s="20">
        <v>3518805.2089999998</v>
      </c>
      <c r="G1085" s="30">
        <f t="shared" si="49"/>
        <v>3781721.2089999998</v>
      </c>
      <c r="H1085" t="str">
        <f>IFERROR(VLOOKUP(C1085,Sheet1!$B$2:$C$25,2,FALSE),"")</f>
        <v/>
      </c>
      <c r="I1085">
        <f t="shared" si="50"/>
        <v>1613</v>
      </c>
    </row>
    <row r="1086" spans="1:9" x14ac:dyDescent="0.2">
      <c r="A1086" t="str">
        <f t="shared" si="48"/>
        <v/>
      </c>
      <c r="B1086" s="20">
        <v>2015</v>
      </c>
      <c r="C1086" s="21" t="s">
        <v>128</v>
      </c>
      <c r="D1086" s="21" t="s">
        <v>128</v>
      </c>
      <c r="E1086" s="23">
        <v>262145</v>
      </c>
      <c r="F1086" s="20">
        <v>4112282.72</v>
      </c>
      <c r="G1086" s="30">
        <f t="shared" si="49"/>
        <v>4374427.7200000007</v>
      </c>
      <c r="H1086" t="str">
        <f>IFERROR(VLOOKUP(C1086,Sheet1!$B$2:$C$25,2,FALSE),"")</f>
        <v/>
      </c>
      <c r="I1086">
        <f t="shared" si="50"/>
        <v>1613</v>
      </c>
    </row>
    <row r="1087" spans="1:9" x14ac:dyDescent="0.2">
      <c r="A1087" t="str">
        <f t="shared" si="48"/>
        <v/>
      </c>
      <c r="B1087" s="20">
        <v>2016</v>
      </c>
      <c r="C1087" s="21" t="s">
        <v>128</v>
      </c>
      <c r="D1087" s="21" t="s">
        <v>128</v>
      </c>
      <c r="E1087" s="23">
        <v>227559</v>
      </c>
      <c r="F1087" s="20">
        <v>3551931.5430000001</v>
      </c>
      <c r="G1087" s="30">
        <f t="shared" si="49"/>
        <v>3779490.5430000001</v>
      </c>
      <c r="H1087" t="str">
        <f>IFERROR(VLOOKUP(C1087,Sheet1!$B$2:$C$25,2,FALSE),"")</f>
        <v/>
      </c>
      <c r="I1087">
        <f t="shared" si="50"/>
        <v>1613</v>
      </c>
    </row>
    <row r="1088" spans="1:9" x14ac:dyDescent="0.2">
      <c r="A1088" t="str">
        <f t="shared" si="48"/>
        <v/>
      </c>
      <c r="B1088" s="20">
        <v>2017</v>
      </c>
      <c r="C1088" s="21" t="s">
        <v>128</v>
      </c>
      <c r="D1088" s="21" t="s">
        <v>128</v>
      </c>
      <c r="E1088" s="23">
        <v>221194</v>
      </c>
      <c r="F1088" s="20">
        <v>3656425.1609999998</v>
      </c>
      <c r="G1088" s="30">
        <f t="shared" si="49"/>
        <v>3877619.1609999998</v>
      </c>
      <c r="H1088" t="str">
        <f>IFERROR(VLOOKUP(C1088,Sheet1!$B$2:$C$25,2,FALSE),"")</f>
        <v/>
      </c>
      <c r="I1088">
        <f t="shared" si="50"/>
        <v>1613</v>
      </c>
    </row>
    <row r="1089" spans="1:9" x14ac:dyDescent="0.2">
      <c r="A1089" t="str">
        <f t="shared" si="48"/>
        <v/>
      </c>
      <c r="B1089" s="20">
        <v>2018</v>
      </c>
      <c r="C1089" s="21" t="s">
        <v>128</v>
      </c>
      <c r="D1089" s="21" t="s">
        <v>128</v>
      </c>
      <c r="E1089" s="23">
        <v>252311</v>
      </c>
      <c r="F1089" s="20">
        <v>3796348.25</v>
      </c>
      <c r="G1089" s="30">
        <f t="shared" si="49"/>
        <v>4048659.25</v>
      </c>
      <c r="H1089" t="str">
        <f>IFERROR(VLOOKUP(C1089,Sheet1!$B$2:$C$25,2,FALSE),"")</f>
        <v/>
      </c>
      <c r="I1089">
        <f t="shared" si="50"/>
        <v>1613</v>
      </c>
    </row>
    <row r="1090" spans="1:9" x14ac:dyDescent="0.2">
      <c r="A1090" t="str">
        <f t="shared" si="48"/>
        <v/>
      </c>
      <c r="B1090" s="20">
        <v>2019</v>
      </c>
      <c r="C1090" s="21" t="s">
        <v>128</v>
      </c>
      <c r="D1090" s="21" t="s">
        <v>128</v>
      </c>
      <c r="E1090" s="23">
        <v>322973</v>
      </c>
      <c r="F1090" s="20">
        <v>4646973.8250000002</v>
      </c>
      <c r="G1090" s="30">
        <f t="shared" si="49"/>
        <v>4969946.8250000002</v>
      </c>
      <c r="H1090" t="str">
        <f>IFERROR(VLOOKUP(C1090,Sheet1!$B$2:$C$25,2,FALSE),"")</f>
        <v/>
      </c>
      <c r="I1090">
        <f t="shared" si="50"/>
        <v>1613</v>
      </c>
    </row>
    <row r="1091" spans="1:9" x14ac:dyDescent="0.2">
      <c r="A1091" t="str">
        <f t="shared" ref="A1091:A1154" si="51">H1091</f>
        <v/>
      </c>
      <c r="B1091" s="20">
        <v>2020</v>
      </c>
      <c r="C1091" s="21" t="s">
        <v>128</v>
      </c>
      <c r="D1091" s="21" t="s">
        <v>128</v>
      </c>
      <c r="E1091" s="23">
        <v>331640</v>
      </c>
      <c r="F1091" s="20">
        <v>4636109.9359999998</v>
      </c>
      <c r="G1091" s="30">
        <f t="shared" ref="G1091:G1154" si="52">SUM(E1091:F1091)</f>
        <v>4967749.9359999998</v>
      </c>
      <c r="H1091" t="str">
        <f>IFERROR(VLOOKUP(C1091,Sheet1!$B$2:$C$25,2,FALSE),"")</f>
        <v/>
      </c>
      <c r="I1091">
        <f t="shared" ref="I1091:I1154" si="53">COUNTIF($H$2:$H$1812,H1091)</f>
        <v>1613</v>
      </c>
    </row>
    <row r="1092" spans="1:9" x14ac:dyDescent="0.2">
      <c r="A1092" t="str">
        <f t="shared" si="51"/>
        <v/>
      </c>
      <c r="B1092" s="20">
        <v>2021</v>
      </c>
      <c r="C1092" s="21" t="s">
        <v>128</v>
      </c>
      <c r="D1092" s="20" t="s">
        <v>128</v>
      </c>
      <c r="E1092" s="23">
        <v>372994</v>
      </c>
      <c r="F1092" s="20">
        <v>4869058.1500000004</v>
      </c>
      <c r="G1092" s="30">
        <f t="shared" si="52"/>
        <v>5242052.1500000004</v>
      </c>
      <c r="H1092" t="str">
        <f>IFERROR(VLOOKUP(C1092,Sheet1!$B$2:$C$25,2,FALSE),"")</f>
        <v/>
      </c>
      <c r="I1092">
        <f t="shared" si="53"/>
        <v>1613</v>
      </c>
    </row>
    <row r="1093" spans="1:9" x14ac:dyDescent="0.2">
      <c r="A1093" t="str">
        <f t="shared" si="51"/>
        <v/>
      </c>
      <c r="B1093" s="20">
        <v>2022</v>
      </c>
      <c r="C1093" s="21" t="s">
        <v>128</v>
      </c>
      <c r="D1093" s="21" t="s">
        <v>128</v>
      </c>
      <c r="E1093" s="23">
        <v>456692</v>
      </c>
      <c r="F1093" s="20">
        <v>6278383.3720000004</v>
      </c>
      <c r="G1093" s="30">
        <f t="shared" si="52"/>
        <v>6735075.3720000004</v>
      </c>
      <c r="H1093" t="str">
        <f>IFERROR(VLOOKUP(C1093,Sheet1!$B$2:$C$25,2,FALSE),"")</f>
        <v/>
      </c>
      <c r="I1093">
        <f t="shared" si="53"/>
        <v>1613</v>
      </c>
    </row>
    <row r="1094" spans="1:9" x14ac:dyDescent="0.2">
      <c r="A1094" t="str">
        <f t="shared" si="51"/>
        <v/>
      </c>
      <c r="B1094" s="20">
        <v>2023</v>
      </c>
      <c r="C1094" s="21" t="s">
        <v>128</v>
      </c>
      <c r="D1094" s="21" t="s">
        <v>128</v>
      </c>
      <c r="E1094" s="23">
        <v>465616</v>
      </c>
      <c r="F1094" s="20">
        <v>6231693.7960000001</v>
      </c>
      <c r="G1094" s="30">
        <f t="shared" si="52"/>
        <v>6697309.7960000001</v>
      </c>
      <c r="H1094" t="str">
        <f>IFERROR(VLOOKUP(C1094,Sheet1!$B$2:$C$25,2,FALSE),"")</f>
        <v/>
      </c>
      <c r="I1094">
        <f t="shared" si="53"/>
        <v>1613</v>
      </c>
    </row>
    <row r="1095" spans="1:9" x14ac:dyDescent="0.2">
      <c r="A1095" t="str">
        <f t="shared" si="51"/>
        <v/>
      </c>
      <c r="B1095" s="20">
        <v>2015</v>
      </c>
      <c r="C1095" s="21" t="s">
        <v>129</v>
      </c>
      <c r="D1095" s="21" t="s">
        <v>129</v>
      </c>
      <c r="E1095" s="23">
        <v>31452</v>
      </c>
      <c r="F1095" s="20">
        <v>493389.21629999997</v>
      </c>
      <c r="G1095" s="30">
        <f t="shared" si="52"/>
        <v>524841.21629999997</v>
      </c>
      <c r="H1095" t="str">
        <f>IFERROR(VLOOKUP(C1095,Sheet1!$B$2:$C$25,2,FALSE),"")</f>
        <v/>
      </c>
      <c r="I1095">
        <f t="shared" si="53"/>
        <v>1613</v>
      </c>
    </row>
    <row r="1096" spans="1:9" x14ac:dyDescent="0.2">
      <c r="A1096" t="str">
        <f t="shared" si="51"/>
        <v/>
      </c>
      <c r="B1096" s="20">
        <v>2016</v>
      </c>
      <c r="C1096" s="21" t="s">
        <v>129</v>
      </c>
      <c r="D1096" s="21" t="s">
        <v>129</v>
      </c>
      <c r="E1096" s="23">
        <v>25305</v>
      </c>
      <c r="F1096" s="20">
        <v>394981.64299999998</v>
      </c>
      <c r="G1096" s="30">
        <f t="shared" si="52"/>
        <v>420286.64299999998</v>
      </c>
      <c r="H1096" t="str">
        <f>IFERROR(VLOOKUP(C1096,Sheet1!$B$2:$C$25,2,FALSE),"")</f>
        <v/>
      </c>
      <c r="I1096">
        <f t="shared" si="53"/>
        <v>1613</v>
      </c>
    </row>
    <row r="1097" spans="1:9" x14ac:dyDescent="0.2">
      <c r="A1097" t="str">
        <f t="shared" si="51"/>
        <v/>
      </c>
      <c r="B1097" s="20">
        <v>2017</v>
      </c>
      <c r="C1097" s="21" t="s">
        <v>129</v>
      </c>
      <c r="D1097" s="21" t="s">
        <v>129</v>
      </c>
      <c r="E1097" s="23">
        <v>29720</v>
      </c>
      <c r="F1097" s="20">
        <v>491283.46960000001</v>
      </c>
      <c r="G1097" s="30">
        <f t="shared" si="52"/>
        <v>521003.46960000001</v>
      </c>
      <c r="H1097" t="str">
        <f>IFERROR(VLOOKUP(C1097,Sheet1!$B$2:$C$25,2,FALSE),"")</f>
        <v/>
      </c>
      <c r="I1097">
        <f t="shared" si="53"/>
        <v>1613</v>
      </c>
    </row>
    <row r="1098" spans="1:9" x14ac:dyDescent="0.2">
      <c r="A1098" t="str">
        <f t="shared" si="51"/>
        <v/>
      </c>
      <c r="B1098" s="20">
        <v>2018</v>
      </c>
      <c r="C1098" s="21" t="s">
        <v>129</v>
      </c>
      <c r="D1098" s="21" t="s">
        <v>129</v>
      </c>
      <c r="E1098" s="23">
        <v>37230</v>
      </c>
      <c r="F1098" s="20">
        <v>560173.93359999999</v>
      </c>
      <c r="G1098" s="30">
        <f t="shared" si="52"/>
        <v>597403.93359999999</v>
      </c>
      <c r="H1098" t="str">
        <f>IFERROR(VLOOKUP(C1098,Sheet1!$B$2:$C$25,2,FALSE),"")</f>
        <v/>
      </c>
      <c r="I1098">
        <f t="shared" si="53"/>
        <v>1613</v>
      </c>
    </row>
    <row r="1099" spans="1:9" x14ac:dyDescent="0.2">
      <c r="A1099" t="str">
        <f t="shared" si="51"/>
        <v/>
      </c>
      <c r="B1099" s="20">
        <v>2019</v>
      </c>
      <c r="C1099" s="21" t="s">
        <v>129</v>
      </c>
      <c r="D1099" s="21" t="s">
        <v>129</v>
      </c>
      <c r="E1099" s="23">
        <v>44120</v>
      </c>
      <c r="F1099" s="20">
        <v>634803.79220000003</v>
      </c>
      <c r="G1099" s="30">
        <f t="shared" si="52"/>
        <v>678923.79220000003</v>
      </c>
      <c r="H1099" t="str">
        <f>IFERROR(VLOOKUP(C1099,Sheet1!$B$2:$C$25,2,FALSE),"")</f>
        <v/>
      </c>
      <c r="I1099">
        <f t="shared" si="53"/>
        <v>1613</v>
      </c>
    </row>
    <row r="1100" spans="1:9" x14ac:dyDescent="0.2">
      <c r="A1100" t="str">
        <f t="shared" si="51"/>
        <v/>
      </c>
      <c r="B1100" s="20">
        <v>2020</v>
      </c>
      <c r="C1100" s="21" t="s">
        <v>129</v>
      </c>
      <c r="D1100" s="21" t="s">
        <v>129</v>
      </c>
      <c r="E1100" s="23">
        <v>47941</v>
      </c>
      <c r="F1100" s="20">
        <v>670183.77289999998</v>
      </c>
      <c r="G1100" s="30">
        <f t="shared" si="52"/>
        <v>718124.77289999998</v>
      </c>
      <c r="H1100" t="str">
        <f>IFERROR(VLOOKUP(C1100,Sheet1!$B$2:$C$25,2,FALSE),"")</f>
        <v/>
      </c>
      <c r="I1100">
        <f t="shared" si="53"/>
        <v>1613</v>
      </c>
    </row>
    <row r="1101" spans="1:9" x14ac:dyDescent="0.2">
      <c r="A1101" t="str">
        <f t="shared" si="51"/>
        <v/>
      </c>
      <c r="B1101" s="20">
        <v>2021</v>
      </c>
      <c r="C1101" s="21" t="s">
        <v>129</v>
      </c>
      <c r="D1101" s="20" t="s">
        <v>129</v>
      </c>
      <c r="E1101" s="23">
        <v>54988</v>
      </c>
      <c r="F1101" s="20">
        <v>717812.53740000003</v>
      </c>
      <c r="G1101" s="30">
        <f t="shared" si="52"/>
        <v>772800.53740000003</v>
      </c>
      <c r="H1101" t="str">
        <f>IFERROR(VLOOKUP(C1101,Sheet1!$B$2:$C$25,2,FALSE),"")</f>
        <v/>
      </c>
      <c r="I1101">
        <f t="shared" si="53"/>
        <v>1613</v>
      </c>
    </row>
    <row r="1102" spans="1:9" x14ac:dyDescent="0.2">
      <c r="A1102" t="str">
        <f t="shared" si="51"/>
        <v/>
      </c>
      <c r="B1102" s="20">
        <v>2022</v>
      </c>
      <c r="C1102" s="21" t="s">
        <v>129</v>
      </c>
      <c r="D1102" s="21" t="s">
        <v>129</v>
      </c>
      <c r="E1102" s="23">
        <v>51475</v>
      </c>
      <c r="F1102" s="20">
        <v>707653.70109999995</v>
      </c>
      <c r="G1102" s="30">
        <f t="shared" si="52"/>
        <v>759128.70109999995</v>
      </c>
      <c r="H1102" t="str">
        <f>IFERROR(VLOOKUP(C1102,Sheet1!$B$2:$C$25,2,FALSE),"")</f>
        <v/>
      </c>
      <c r="I1102">
        <f t="shared" si="53"/>
        <v>1613</v>
      </c>
    </row>
    <row r="1103" spans="1:9" x14ac:dyDescent="0.2">
      <c r="A1103" t="str">
        <f t="shared" si="51"/>
        <v/>
      </c>
      <c r="B1103" s="20">
        <v>2023</v>
      </c>
      <c r="C1103" s="21" t="s">
        <v>129</v>
      </c>
      <c r="D1103" s="21" t="s">
        <v>129</v>
      </c>
      <c r="E1103" s="23">
        <v>57433</v>
      </c>
      <c r="F1103" s="20">
        <v>768669.61140000005</v>
      </c>
      <c r="G1103" s="30">
        <f t="shared" si="52"/>
        <v>826102.61140000005</v>
      </c>
      <c r="H1103" t="str">
        <f>IFERROR(VLOOKUP(C1103,Sheet1!$B$2:$C$25,2,FALSE),"")</f>
        <v/>
      </c>
      <c r="I1103">
        <f t="shared" si="53"/>
        <v>1613</v>
      </c>
    </row>
    <row r="1104" spans="1:9" x14ac:dyDescent="0.2">
      <c r="A1104" t="str">
        <f t="shared" si="51"/>
        <v/>
      </c>
      <c r="B1104" s="20">
        <v>2015</v>
      </c>
      <c r="C1104" s="21" t="s">
        <v>130</v>
      </c>
      <c r="D1104" s="21" t="s">
        <v>130</v>
      </c>
      <c r="E1104" s="23">
        <v>83512</v>
      </c>
      <c r="F1104" s="20">
        <v>1310057.2379999999</v>
      </c>
      <c r="G1104" s="30">
        <f t="shared" si="52"/>
        <v>1393569.2379999999</v>
      </c>
      <c r="H1104" t="str">
        <f>IFERROR(VLOOKUP(C1104,Sheet1!$B$2:$C$25,2,FALSE),"")</f>
        <v/>
      </c>
      <c r="I1104">
        <f t="shared" si="53"/>
        <v>1613</v>
      </c>
    </row>
    <row r="1105" spans="1:9" x14ac:dyDescent="0.2">
      <c r="A1105" t="str">
        <f t="shared" si="51"/>
        <v/>
      </c>
      <c r="B1105" s="20">
        <v>2016</v>
      </c>
      <c r="C1105" s="21" t="s">
        <v>130</v>
      </c>
      <c r="D1105" s="21" t="s">
        <v>130</v>
      </c>
      <c r="E1105" s="23">
        <v>76105</v>
      </c>
      <c r="F1105" s="20">
        <v>1187910.608</v>
      </c>
      <c r="G1105" s="30">
        <f t="shared" si="52"/>
        <v>1264015.608</v>
      </c>
      <c r="H1105" t="str">
        <f>IFERROR(VLOOKUP(C1105,Sheet1!$B$2:$C$25,2,FALSE),"")</f>
        <v/>
      </c>
      <c r="I1105">
        <f t="shared" si="53"/>
        <v>1613</v>
      </c>
    </row>
    <row r="1106" spans="1:9" x14ac:dyDescent="0.2">
      <c r="A1106" t="str">
        <f t="shared" si="51"/>
        <v/>
      </c>
      <c r="B1106" s="20">
        <v>2017</v>
      </c>
      <c r="C1106" s="21" t="s">
        <v>130</v>
      </c>
      <c r="D1106" s="21" t="s">
        <v>130</v>
      </c>
      <c r="E1106" s="23">
        <v>71544</v>
      </c>
      <c r="F1106" s="20">
        <v>1182650.8929999999</v>
      </c>
      <c r="G1106" s="30">
        <f t="shared" si="52"/>
        <v>1254194.8929999999</v>
      </c>
      <c r="H1106" t="str">
        <f>IFERROR(VLOOKUP(C1106,Sheet1!$B$2:$C$25,2,FALSE),"")</f>
        <v/>
      </c>
      <c r="I1106">
        <f t="shared" si="53"/>
        <v>1613</v>
      </c>
    </row>
    <row r="1107" spans="1:9" x14ac:dyDescent="0.2">
      <c r="A1107" t="str">
        <f t="shared" si="51"/>
        <v/>
      </c>
      <c r="B1107" s="20">
        <v>2018</v>
      </c>
      <c r="C1107" s="21" t="s">
        <v>130</v>
      </c>
      <c r="D1107" s="21" t="s">
        <v>215</v>
      </c>
      <c r="E1107" s="23">
        <v>82378</v>
      </c>
      <c r="F1107" s="20">
        <v>1239484.51</v>
      </c>
      <c r="G1107" s="30">
        <f t="shared" si="52"/>
        <v>1321862.51</v>
      </c>
      <c r="H1107" t="str">
        <f>IFERROR(VLOOKUP(C1107,Sheet1!$B$2:$C$25,2,FALSE),"")</f>
        <v/>
      </c>
      <c r="I1107">
        <f t="shared" si="53"/>
        <v>1613</v>
      </c>
    </row>
    <row r="1108" spans="1:9" x14ac:dyDescent="0.2">
      <c r="A1108" t="str">
        <f t="shared" si="51"/>
        <v/>
      </c>
      <c r="B1108" s="20">
        <v>2019</v>
      </c>
      <c r="C1108" s="21" t="s">
        <v>130</v>
      </c>
      <c r="D1108" s="21" t="s">
        <v>130</v>
      </c>
      <c r="E1108" s="23">
        <v>83200</v>
      </c>
      <c r="F1108" s="20">
        <v>1197091.4669999999</v>
      </c>
      <c r="G1108" s="30">
        <f t="shared" si="52"/>
        <v>1280291.4669999999</v>
      </c>
      <c r="H1108" t="str">
        <f>IFERROR(VLOOKUP(C1108,Sheet1!$B$2:$C$25,2,FALSE),"")</f>
        <v/>
      </c>
      <c r="I1108">
        <f t="shared" si="53"/>
        <v>1613</v>
      </c>
    </row>
    <row r="1109" spans="1:9" x14ac:dyDescent="0.2">
      <c r="A1109" t="str">
        <f t="shared" si="51"/>
        <v/>
      </c>
      <c r="B1109" s="20">
        <v>2020</v>
      </c>
      <c r="C1109" s="21" t="s">
        <v>130</v>
      </c>
      <c r="D1109" s="21" t="s">
        <v>130</v>
      </c>
      <c r="E1109" s="23">
        <v>91823</v>
      </c>
      <c r="F1109" s="20">
        <v>1283625.385</v>
      </c>
      <c r="G1109" s="30">
        <f t="shared" si="52"/>
        <v>1375448.385</v>
      </c>
      <c r="H1109" t="str">
        <f>IFERROR(VLOOKUP(C1109,Sheet1!$B$2:$C$25,2,FALSE),"")</f>
        <v/>
      </c>
      <c r="I1109">
        <f t="shared" si="53"/>
        <v>1613</v>
      </c>
    </row>
    <row r="1110" spans="1:9" x14ac:dyDescent="0.2">
      <c r="A1110" t="str">
        <f t="shared" si="51"/>
        <v/>
      </c>
      <c r="B1110" s="20">
        <v>2021</v>
      </c>
      <c r="C1110" s="21" t="s">
        <v>130</v>
      </c>
      <c r="D1110" s="20" t="s">
        <v>130</v>
      </c>
      <c r="E1110" s="23">
        <v>99081</v>
      </c>
      <c r="F1110" s="20">
        <v>1293401.906</v>
      </c>
      <c r="G1110" s="30">
        <f t="shared" si="52"/>
        <v>1392482.906</v>
      </c>
      <c r="H1110" t="str">
        <f>IFERROR(VLOOKUP(C1110,Sheet1!$B$2:$C$25,2,FALSE),"")</f>
        <v/>
      </c>
      <c r="I1110">
        <f t="shared" si="53"/>
        <v>1613</v>
      </c>
    </row>
    <row r="1111" spans="1:9" x14ac:dyDescent="0.2">
      <c r="A1111" t="str">
        <f t="shared" si="51"/>
        <v/>
      </c>
      <c r="B1111" s="20">
        <v>2022</v>
      </c>
      <c r="C1111" s="21" t="s">
        <v>130</v>
      </c>
      <c r="D1111" s="21" t="s">
        <v>130</v>
      </c>
      <c r="E1111" s="23">
        <v>111837</v>
      </c>
      <c r="F1111" s="20">
        <v>1537481.6310000001</v>
      </c>
      <c r="G1111" s="30">
        <f t="shared" si="52"/>
        <v>1649318.6310000001</v>
      </c>
      <c r="H1111" t="str">
        <f>IFERROR(VLOOKUP(C1111,Sheet1!$B$2:$C$25,2,FALSE),"")</f>
        <v/>
      </c>
      <c r="I1111">
        <f t="shared" si="53"/>
        <v>1613</v>
      </c>
    </row>
    <row r="1112" spans="1:9" x14ac:dyDescent="0.2">
      <c r="A1112" t="str">
        <f t="shared" si="51"/>
        <v/>
      </c>
      <c r="B1112" s="20">
        <v>2023</v>
      </c>
      <c r="C1112" s="21" t="s">
        <v>130</v>
      </c>
      <c r="D1112" s="21" t="s">
        <v>130</v>
      </c>
      <c r="E1112" s="23">
        <v>106152</v>
      </c>
      <c r="F1112" s="20">
        <v>1420713.12</v>
      </c>
      <c r="G1112" s="30">
        <f t="shared" si="52"/>
        <v>1526865.12</v>
      </c>
      <c r="H1112" t="str">
        <f>IFERROR(VLOOKUP(C1112,Sheet1!$B$2:$C$25,2,FALSE),"")</f>
        <v/>
      </c>
      <c r="I1112">
        <f t="shared" si="53"/>
        <v>1613</v>
      </c>
    </row>
    <row r="1113" spans="1:9" x14ac:dyDescent="0.2">
      <c r="A1113" t="str">
        <f t="shared" si="51"/>
        <v/>
      </c>
      <c r="B1113" s="20">
        <v>2015</v>
      </c>
      <c r="C1113" s="21" t="s">
        <v>131</v>
      </c>
      <c r="D1113" s="21" t="s">
        <v>131</v>
      </c>
      <c r="E1113" s="23">
        <v>79726</v>
      </c>
      <c r="F1113" s="20">
        <v>1250666.0519999999</v>
      </c>
      <c r="G1113" s="30">
        <f t="shared" si="52"/>
        <v>1330392.0519999999</v>
      </c>
      <c r="H1113" t="str">
        <f>IFERROR(VLOOKUP(C1113,Sheet1!$B$2:$C$25,2,FALSE),"")</f>
        <v/>
      </c>
      <c r="I1113">
        <f t="shared" si="53"/>
        <v>1613</v>
      </c>
    </row>
    <row r="1114" spans="1:9" x14ac:dyDescent="0.2">
      <c r="A1114" t="str">
        <f t="shared" si="51"/>
        <v/>
      </c>
      <c r="B1114" s="20">
        <v>2016</v>
      </c>
      <c r="C1114" s="21" t="s">
        <v>131</v>
      </c>
      <c r="D1114" s="21" t="s">
        <v>131</v>
      </c>
      <c r="E1114" s="23">
        <v>69139</v>
      </c>
      <c r="F1114" s="20">
        <v>1079179.443</v>
      </c>
      <c r="G1114" s="30">
        <f t="shared" si="52"/>
        <v>1148318.443</v>
      </c>
      <c r="H1114" t="str">
        <f>IFERROR(VLOOKUP(C1114,Sheet1!$B$2:$C$25,2,FALSE),"")</f>
        <v/>
      </c>
      <c r="I1114">
        <f t="shared" si="53"/>
        <v>1613</v>
      </c>
    </row>
    <row r="1115" spans="1:9" x14ac:dyDescent="0.2">
      <c r="A1115" t="str">
        <f t="shared" si="51"/>
        <v/>
      </c>
      <c r="B1115" s="20">
        <v>2017</v>
      </c>
      <c r="C1115" s="21" t="s">
        <v>131</v>
      </c>
      <c r="D1115" s="21" t="s">
        <v>131</v>
      </c>
      <c r="E1115" s="23">
        <v>72170</v>
      </c>
      <c r="F1115" s="20">
        <v>1192998.923</v>
      </c>
      <c r="G1115" s="30">
        <f t="shared" si="52"/>
        <v>1265168.923</v>
      </c>
      <c r="H1115" t="str">
        <f>IFERROR(VLOOKUP(C1115,Sheet1!$B$2:$C$25,2,FALSE),"")</f>
        <v/>
      </c>
      <c r="I1115">
        <f t="shared" si="53"/>
        <v>1613</v>
      </c>
    </row>
    <row r="1116" spans="1:9" x14ac:dyDescent="0.2">
      <c r="A1116" t="str">
        <f t="shared" si="51"/>
        <v/>
      </c>
      <c r="B1116" s="20">
        <v>2018</v>
      </c>
      <c r="C1116" s="21" t="s">
        <v>131</v>
      </c>
      <c r="D1116" s="21" t="s">
        <v>131</v>
      </c>
      <c r="E1116" s="23">
        <v>73122</v>
      </c>
      <c r="F1116" s="20">
        <v>1100215.9110000001</v>
      </c>
      <c r="G1116" s="30">
        <f t="shared" si="52"/>
        <v>1173337.9110000001</v>
      </c>
      <c r="H1116" t="str">
        <f>IFERROR(VLOOKUP(C1116,Sheet1!$B$2:$C$25,2,FALSE),"")</f>
        <v/>
      </c>
      <c r="I1116">
        <f t="shared" si="53"/>
        <v>1613</v>
      </c>
    </row>
    <row r="1117" spans="1:9" x14ac:dyDescent="0.2">
      <c r="A1117" t="str">
        <f t="shared" si="51"/>
        <v/>
      </c>
      <c r="B1117" s="20">
        <v>2019</v>
      </c>
      <c r="C1117" s="21" t="s">
        <v>131</v>
      </c>
      <c r="D1117" s="21" t="s">
        <v>131</v>
      </c>
      <c r="E1117" s="23">
        <v>82362</v>
      </c>
      <c r="F1117" s="20">
        <v>1185034.223</v>
      </c>
      <c r="G1117" s="30">
        <f t="shared" si="52"/>
        <v>1267396.223</v>
      </c>
      <c r="H1117" t="str">
        <f>IFERROR(VLOOKUP(C1117,Sheet1!$B$2:$C$25,2,FALSE),"")</f>
        <v/>
      </c>
      <c r="I1117">
        <f t="shared" si="53"/>
        <v>1613</v>
      </c>
    </row>
    <row r="1118" spans="1:9" x14ac:dyDescent="0.2">
      <c r="A1118" t="str">
        <f t="shared" si="51"/>
        <v/>
      </c>
      <c r="B1118" s="20">
        <v>2020</v>
      </c>
      <c r="C1118" s="21" t="s">
        <v>131</v>
      </c>
      <c r="D1118" s="21" t="s">
        <v>131</v>
      </c>
      <c r="E1118" s="23">
        <v>92215</v>
      </c>
      <c r="F1118" s="20">
        <v>1289105.2879999999</v>
      </c>
      <c r="G1118" s="30">
        <f t="shared" si="52"/>
        <v>1381320.2879999999</v>
      </c>
      <c r="H1118" t="str">
        <f>IFERROR(VLOOKUP(C1118,Sheet1!$B$2:$C$25,2,FALSE),"")</f>
        <v/>
      </c>
      <c r="I1118">
        <f t="shared" si="53"/>
        <v>1613</v>
      </c>
    </row>
    <row r="1119" spans="1:9" x14ac:dyDescent="0.2">
      <c r="A1119" t="str">
        <f t="shared" si="51"/>
        <v/>
      </c>
      <c r="B1119" s="20">
        <v>2021</v>
      </c>
      <c r="C1119" s="21" t="s">
        <v>131</v>
      </c>
      <c r="D1119" s="20" t="s">
        <v>131</v>
      </c>
      <c r="E1119" s="23">
        <v>103785</v>
      </c>
      <c r="F1119" s="20">
        <v>1354807.8529999999</v>
      </c>
      <c r="G1119" s="30">
        <f t="shared" si="52"/>
        <v>1458592.8529999999</v>
      </c>
      <c r="H1119" t="str">
        <f>IFERROR(VLOOKUP(C1119,Sheet1!$B$2:$C$25,2,FALSE),"")</f>
        <v/>
      </c>
      <c r="I1119">
        <f t="shared" si="53"/>
        <v>1613</v>
      </c>
    </row>
    <row r="1120" spans="1:9" x14ac:dyDescent="0.2">
      <c r="A1120" t="str">
        <f t="shared" si="51"/>
        <v/>
      </c>
      <c r="B1120" s="20">
        <v>2022</v>
      </c>
      <c r="C1120" s="21" t="s">
        <v>131</v>
      </c>
      <c r="D1120" s="21" t="s">
        <v>131</v>
      </c>
      <c r="E1120" s="23">
        <v>98736</v>
      </c>
      <c r="F1120" s="20">
        <v>1357375.344</v>
      </c>
      <c r="G1120" s="30">
        <f t="shared" si="52"/>
        <v>1456111.344</v>
      </c>
      <c r="H1120" t="str">
        <f>IFERROR(VLOOKUP(C1120,Sheet1!$B$2:$C$25,2,FALSE),"")</f>
        <v/>
      </c>
      <c r="I1120">
        <f t="shared" si="53"/>
        <v>1613</v>
      </c>
    </row>
    <row r="1121" spans="1:9" x14ac:dyDescent="0.2">
      <c r="A1121" t="str">
        <f t="shared" si="51"/>
        <v/>
      </c>
      <c r="B1121" s="20">
        <v>2023</v>
      </c>
      <c r="C1121" s="21" t="s">
        <v>131</v>
      </c>
      <c r="D1121" s="21" t="s">
        <v>131</v>
      </c>
      <c r="E1121" s="23">
        <v>105382</v>
      </c>
      <c r="F1121" s="20">
        <v>1410407.6229999999</v>
      </c>
      <c r="G1121" s="30">
        <f t="shared" si="52"/>
        <v>1515789.6229999999</v>
      </c>
      <c r="H1121" t="str">
        <f>IFERROR(VLOOKUP(C1121,Sheet1!$B$2:$C$25,2,FALSE),"")</f>
        <v/>
      </c>
      <c r="I1121">
        <f t="shared" si="53"/>
        <v>1613</v>
      </c>
    </row>
    <row r="1122" spans="1:9" x14ac:dyDescent="0.2">
      <c r="A1122" t="str">
        <f t="shared" si="51"/>
        <v/>
      </c>
      <c r="B1122" s="20">
        <v>2015</v>
      </c>
      <c r="C1122" s="21" t="s">
        <v>132</v>
      </c>
      <c r="D1122" s="21" t="s">
        <v>132</v>
      </c>
      <c r="E1122" s="23">
        <v>22556</v>
      </c>
      <c r="F1122" s="20">
        <v>353837.18569999997</v>
      </c>
      <c r="G1122" s="30">
        <f t="shared" si="52"/>
        <v>376393.18569999997</v>
      </c>
      <c r="H1122" t="str">
        <f>IFERROR(VLOOKUP(C1122,Sheet1!$B$2:$C$25,2,FALSE),"")</f>
        <v/>
      </c>
      <c r="I1122">
        <f t="shared" si="53"/>
        <v>1613</v>
      </c>
    </row>
    <row r="1123" spans="1:9" x14ac:dyDescent="0.2">
      <c r="A1123" t="str">
        <f t="shared" si="51"/>
        <v/>
      </c>
      <c r="B1123" s="20">
        <v>2016</v>
      </c>
      <c r="C1123" s="21" t="s">
        <v>132</v>
      </c>
      <c r="D1123" s="21" t="s">
        <v>132</v>
      </c>
      <c r="E1123" s="23">
        <v>13939</v>
      </c>
      <c r="F1123" s="20">
        <v>217571.59150000001</v>
      </c>
      <c r="G1123" s="30">
        <f t="shared" si="52"/>
        <v>231510.59150000001</v>
      </c>
      <c r="H1123" t="str">
        <f>IFERROR(VLOOKUP(C1123,Sheet1!$B$2:$C$25,2,FALSE),"")</f>
        <v/>
      </c>
      <c r="I1123">
        <f t="shared" si="53"/>
        <v>1613</v>
      </c>
    </row>
    <row r="1124" spans="1:9" x14ac:dyDescent="0.2">
      <c r="A1124" t="str">
        <f t="shared" si="51"/>
        <v/>
      </c>
      <c r="B1124" s="20">
        <v>2017</v>
      </c>
      <c r="C1124" s="21" t="s">
        <v>132</v>
      </c>
      <c r="D1124" s="21" t="s">
        <v>132</v>
      </c>
      <c r="E1124" s="23" t="s">
        <v>269</v>
      </c>
      <c r="F1124" s="20">
        <v>0</v>
      </c>
      <c r="G1124" s="30">
        <f t="shared" si="52"/>
        <v>0</v>
      </c>
      <c r="H1124" t="str">
        <f>IFERROR(VLOOKUP(C1124,Sheet1!$B$2:$C$25,2,FALSE),"")</f>
        <v/>
      </c>
      <c r="I1124">
        <f t="shared" si="53"/>
        <v>1613</v>
      </c>
    </row>
    <row r="1125" spans="1:9" x14ac:dyDescent="0.2">
      <c r="A1125" t="str">
        <f t="shared" si="51"/>
        <v/>
      </c>
      <c r="B1125" s="20">
        <v>2015</v>
      </c>
      <c r="C1125" s="21" t="s">
        <v>133</v>
      </c>
      <c r="D1125" s="21" t="s">
        <v>133</v>
      </c>
      <c r="E1125" s="23">
        <v>61710</v>
      </c>
      <c r="F1125" s="20">
        <v>968048.09039999999</v>
      </c>
      <c r="G1125" s="30">
        <f t="shared" si="52"/>
        <v>1029758.0904</v>
      </c>
      <c r="H1125" t="str">
        <f>IFERROR(VLOOKUP(C1125,Sheet1!$B$2:$C$25,2,FALSE),"")</f>
        <v/>
      </c>
      <c r="I1125">
        <f t="shared" si="53"/>
        <v>1613</v>
      </c>
    </row>
    <row r="1126" spans="1:9" x14ac:dyDescent="0.2">
      <c r="A1126" t="str">
        <f t="shared" si="51"/>
        <v/>
      </c>
      <c r="B1126" s="20">
        <v>2016</v>
      </c>
      <c r="C1126" s="21" t="s">
        <v>133</v>
      </c>
      <c r="D1126" s="21" t="s">
        <v>133</v>
      </c>
      <c r="E1126" s="23">
        <v>58281</v>
      </c>
      <c r="F1126" s="20">
        <v>909698.68160000001</v>
      </c>
      <c r="G1126" s="30">
        <f t="shared" si="52"/>
        <v>967979.68160000001</v>
      </c>
      <c r="H1126" t="str">
        <f>IFERROR(VLOOKUP(C1126,Sheet1!$B$2:$C$25,2,FALSE),"")</f>
        <v/>
      </c>
      <c r="I1126">
        <f t="shared" si="53"/>
        <v>1613</v>
      </c>
    </row>
    <row r="1127" spans="1:9" x14ac:dyDescent="0.2">
      <c r="A1127" t="str">
        <f t="shared" si="51"/>
        <v/>
      </c>
      <c r="B1127" s="20">
        <v>2017</v>
      </c>
      <c r="C1127" s="21" t="s">
        <v>133</v>
      </c>
      <c r="D1127" s="21" t="s">
        <v>133</v>
      </c>
      <c r="E1127" s="23">
        <v>64311</v>
      </c>
      <c r="F1127" s="20">
        <v>1063086.5149999999</v>
      </c>
      <c r="G1127" s="30">
        <f t="shared" si="52"/>
        <v>1127397.5149999999</v>
      </c>
      <c r="H1127" t="str">
        <f>IFERROR(VLOOKUP(C1127,Sheet1!$B$2:$C$25,2,FALSE),"")</f>
        <v/>
      </c>
      <c r="I1127">
        <f t="shared" si="53"/>
        <v>1613</v>
      </c>
    </row>
    <row r="1128" spans="1:9" x14ac:dyDescent="0.2">
      <c r="A1128" t="str">
        <f t="shared" si="51"/>
        <v/>
      </c>
      <c r="B1128" s="20">
        <v>2018</v>
      </c>
      <c r="C1128" s="21" t="s">
        <v>133</v>
      </c>
      <c r="D1128" s="21" t="s">
        <v>133</v>
      </c>
      <c r="E1128" s="23">
        <v>66711</v>
      </c>
      <c r="F1128" s="20">
        <v>1003754.05</v>
      </c>
      <c r="G1128" s="30">
        <f t="shared" si="52"/>
        <v>1070465.05</v>
      </c>
      <c r="H1128" t="str">
        <f>IFERROR(VLOOKUP(C1128,Sheet1!$B$2:$C$25,2,FALSE),"")</f>
        <v/>
      </c>
      <c r="I1128">
        <f t="shared" si="53"/>
        <v>1613</v>
      </c>
    </row>
    <row r="1129" spans="1:9" x14ac:dyDescent="0.2">
      <c r="A1129" t="str">
        <f t="shared" si="51"/>
        <v/>
      </c>
      <c r="B1129" s="20">
        <v>2019</v>
      </c>
      <c r="C1129" s="21" t="s">
        <v>133</v>
      </c>
      <c r="D1129" s="21" t="s">
        <v>133</v>
      </c>
      <c r="E1129" s="23">
        <v>68234</v>
      </c>
      <c r="F1129" s="20">
        <v>981758.88379999995</v>
      </c>
      <c r="G1129" s="30">
        <f t="shared" si="52"/>
        <v>1049992.8838</v>
      </c>
      <c r="H1129" t="str">
        <f>IFERROR(VLOOKUP(C1129,Sheet1!$B$2:$C$25,2,FALSE),"")</f>
        <v/>
      </c>
      <c r="I1129">
        <f t="shared" si="53"/>
        <v>1613</v>
      </c>
    </row>
    <row r="1130" spans="1:9" x14ac:dyDescent="0.2">
      <c r="A1130" t="str">
        <f t="shared" si="51"/>
        <v/>
      </c>
      <c r="B1130" s="20">
        <v>2020</v>
      </c>
      <c r="C1130" s="21" t="s">
        <v>133</v>
      </c>
      <c r="D1130" s="21" t="s">
        <v>133</v>
      </c>
      <c r="E1130" s="23">
        <v>69831</v>
      </c>
      <c r="F1130" s="20">
        <v>976191.63230000006</v>
      </c>
      <c r="G1130" s="30">
        <f t="shared" si="52"/>
        <v>1046022.6323000001</v>
      </c>
      <c r="H1130" t="str">
        <f>IFERROR(VLOOKUP(C1130,Sheet1!$B$2:$C$25,2,FALSE),"")</f>
        <v/>
      </c>
      <c r="I1130">
        <f t="shared" si="53"/>
        <v>1613</v>
      </c>
    </row>
    <row r="1131" spans="1:9" x14ac:dyDescent="0.2">
      <c r="A1131" t="str">
        <f t="shared" si="51"/>
        <v/>
      </c>
      <c r="B1131" s="20">
        <v>2021</v>
      </c>
      <c r="C1131" s="21" t="s">
        <v>133</v>
      </c>
      <c r="D1131" s="20" t="s">
        <v>133</v>
      </c>
      <c r="E1131" s="23">
        <v>74665</v>
      </c>
      <c r="F1131" s="20">
        <v>974675.80390000006</v>
      </c>
      <c r="G1131" s="30">
        <f t="shared" si="52"/>
        <v>1049340.8039000002</v>
      </c>
      <c r="H1131" t="str">
        <f>IFERROR(VLOOKUP(C1131,Sheet1!$B$2:$C$25,2,FALSE),"")</f>
        <v/>
      </c>
      <c r="I1131">
        <f t="shared" si="53"/>
        <v>1613</v>
      </c>
    </row>
    <row r="1132" spans="1:9" x14ac:dyDescent="0.2">
      <c r="A1132" t="str">
        <f t="shared" si="51"/>
        <v/>
      </c>
      <c r="B1132" s="20">
        <v>2022</v>
      </c>
      <c r="C1132" s="21" t="s">
        <v>133</v>
      </c>
      <c r="D1132" s="21" t="s">
        <v>133</v>
      </c>
      <c r="E1132" s="23">
        <v>76373</v>
      </c>
      <c r="F1132" s="20">
        <v>1049939.507</v>
      </c>
      <c r="G1132" s="30">
        <f t="shared" si="52"/>
        <v>1126312.507</v>
      </c>
      <c r="H1132" t="str">
        <f>IFERROR(VLOOKUP(C1132,Sheet1!$B$2:$C$25,2,FALSE),"")</f>
        <v/>
      </c>
      <c r="I1132">
        <f t="shared" si="53"/>
        <v>1613</v>
      </c>
    </row>
    <row r="1133" spans="1:9" x14ac:dyDescent="0.2">
      <c r="A1133" t="str">
        <f t="shared" si="51"/>
        <v/>
      </c>
      <c r="B1133" s="20">
        <v>2023</v>
      </c>
      <c r="C1133" s="21" t="s">
        <v>133</v>
      </c>
      <c r="D1133" s="21" t="s">
        <v>133</v>
      </c>
      <c r="E1133" s="23">
        <v>85200</v>
      </c>
      <c r="F1133" s="20">
        <v>1140296.5349999999</v>
      </c>
      <c r="G1133" s="30">
        <f t="shared" si="52"/>
        <v>1225496.5349999999</v>
      </c>
      <c r="H1133" t="str">
        <f>IFERROR(VLOOKUP(C1133,Sheet1!$B$2:$C$25,2,FALSE),"")</f>
        <v/>
      </c>
      <c r="I1133">
        <f t="shared" si="53"/>
        <v>1613</v>
      </c>
    </row>
    <row r="1134" spans="1:9" x14ac:dyDescent="0.2">
      <c r="A1134" t="str">
        <f t="shared" si="51"/>
        <v/>
      </c>
      <c r="B1134" s="20">
        <v>2015</v>
      </c>
      <c r="C1134" s="21" t="s">
        <v>134</v>
      </c>
      <c r="D1134" s="21" t="s">
        <v>134</v>
      </c>
      <c r="E1134" s="23">
        <v>204401</v>
      </c>
      <c r="F1134" s="20">
        <v>3206449.4849999999</v>
      </c>
      <c r="G1134" s="30">
        <f t="shared" si="52"/>
        <v>3410850.4849999999</v>
      </c>
      <c r="H1134" t="str">
        <f>IFERROR(VLOOKUP(C1134,Sheet1!$B$2:$C$25,2,FALSE),"")</f>
        <v/>
      </c>
      <c r="I1134">
        <f t="shared" si="53"/>
        <v>1613</v>
      </c>
    </row>
    <row r="1135" spans="1:9" x14ac:dyDescent="0.2">
      <c r="A1135" t="str">
        <f t="shared" si="51"/>
        <v/>
      </c>
      <c r="B1135" s="20">
        <v>2016</v>
      </c>
      <c r="C1135" s="21" t="s">
        <v>134</v>
      </c>
      <c r="D1135" s="21" t="s">
        <v>134</v>
      </c>
      <c r="E1135" s="23">
        <v>177406</v>
      </c>
      <c r="F1135" s="20">
        <v>2769101.4959999998</v>
      </c>
      <c r="G1135" s="30">
        <f t="shared" si="52"/>
        <v>2946507.4959999998</v>
      </c>
      <c r="H1135" t="str">
        <f>IFERROR(VLOOKUP(C1135,Sheet1!$B$2:$C$25,2,FALSE),"")</f>
        <v/>
      </c>
      <c r="I1135">
        <f t="shared" si="53"/>
        <v>1613</v>
      </c>
    </row>
    <row r="1136" spans="1:9" x14ac:dyDescent="0.2">
      <c r="A1136" t="str">
        <f t="shared" si="51"/>
        <v/>
      </c>
      <c r="B1136" s="20">
        <v>2017</v>
      </c>
      <c r="C1136" s="21" t="s">
        <v>134</v>
      </c>
      <c r="D1136" s="21" t="s">
        <v>134</v>
      </c>
      <c r="E1136" s="23">
        <v>160472</v>
      </c>
      <c r="F1136" s="20">
        <v>2652666.2489999998</v>
      </c>
      <c r="G1136" s="30">
        <f t="shared" si="52"/>
        <v>2813138.2489999998</v>
      </c>
      <c r="H1136" t="str">
        <f>IFERROR(VLOOKUP(C1136,Sheet1!$B$2:$C$25,2,FALSE),"")</f>
        <v/>
      </c>
      <c r="I1136">
        <f t="shared" si="53"/>
        <v>1613</v>
      </c>
    </row>
    <row r="1137" spans="1:9" x14ac:dyDescent="0.2">
      <c r="A1137" t="str">
        <f t="shared" si="51"/>
        <v/>
      </c>
      <c r="B1137" s="20">
        <v>2018</v>
      </c>
      <c r="C1137" s="21" t="s">
        <v>134</v>
      </c>
      <c r="D1137" s="21" t="s">
        <v>134</v>
      </c>
      <c r="E1137" s="23">
        <v>116297</v>
      </c>
      <c r="F1137" s="20">
        <v>1749840.128</v>
      </c>
      <c r="G1137" s="30">
        <f t="shared" si="52"/>
        <v>1866137.128</v>
      </c>
      <c r="H1137" t="str">
        <f>IFERROR(VLOOKUP(C1137,Sheet1!$B$2:$C$25,2,FALSE),"")</f>
        <v/>
      </c>
      <c r="I1137">
        <f t="shared" si="53"/>
        <v>1613</v>
      </c>
    </row>
    <row r="1138" spans="1:9" x14ac:dyDescent="0.2">
      <c r="A1138" t="str">
        <f t="shared" si="51"/>
        <v/>
      </c>
      <c r="B1138" s="20">
        <v>2019</v>
      </c>
      <c r="C1138" s="21" t="s">
        <v>134</v>
      </c>
      <c r="D1138" s="21" t="s">
        <v>134</v>
      </c>
      <c r="E1138" s="23">
        <v>125605</v>
      </c>
      <c r="F1138" s="20">
        <v>1807219.635</v>
      </c>
      <c r="G1138" s="30">
        <f t="shared" si="52"/>
        <v>1932824.635</v>
      </c>
      <c r="H1138" t="str">
        <f>IFERROR(VLOOKUP(C1138,Sheet1!$B$2:$C$25,2,FALSE),"")</f>
        <v/>
      </c>
      <c r="I1138">
        <f t="shared" si="53"/>
        <v>1613</v>
      </c>
    </row>
    <row r="1139" spans="1:9" x14ac:dyDescent="0.2">
      <c r="A1139" t="str">
        <f t="shared" si="51"/>
        <v/>
      </c>
      <c r="B1139" s="20">
        <v>2020</v>
      </c>
      <c r="C1139" s="21" t="s">
        <v>134</v>
      </c>
      <c r="D1139" s="21" t="s">
        <v>134</v>
      </c>
      <c r="E1139" s="23">
        <v>150868</v>
      </c>
      <c r="F1139" s="20">
        <v>2109035.8029999998</v>
      </c>
      <c r="G1139" s="30">
        <f t="shared" si="52"/>
        <v>2259903.8029999998</v>
      </c>
      <c r="H1139" t="str">
        <f>IFERROR(VLOOKUP(C1139,Sheet1!$B$2:$C$25,2,FALSE),"")</f>
        <v/>
      </c>
      <c r="I1139">
        <f t="shared" si="53"/>
        <v>1613</v>
      </c>
    </row>
    <row r="1140" spans="1:9" x14ac:dyDescent="0.2">
      <c r="A1140" t="str">
        <f t="shared" si="51"/>
        <v/>
      </c>
      <c r="B1140" s="20">
        <v>2021</v>
      </c>
      <c r="C1140" s="21" t="s">
        <v>134</v>
      </c>
      <c r="D1140" s="20" t="s">
        <v>134</v>
      </c>
      <c r="E1140" s="23">
        <v>168752</v>
      </c>
      <c r="F1140" s="20">
        <v>2202886.108</v>
      </c>
      <c r="G1140" s="30">
        <f t="shared" si="52"/>
        <v>2371638.108</v>
      </c>
      <c r="H1140" t="str">
        <f>IFERROR(VLOOKUP(C1140,Sheet1!$B$2:$C$25,2,FALSE),"")</f>
        <v/>
      </c>
      <c r="I1140">
        <f t="shared" si="53"/>
        <v>1613</v>
      </c>
    </row>
    <row r="1141" spans="1:9" x14ac:dyDescent="0.2">
      <c r="A1141" t="str">
        <f t="shared" si="51"/>
        <v/>
      </c>
      <c r="B1141" s="20">
        <v>2022</v>
      </c>
      <c r="C1141" s="21" t="s">
        <v>134</v>
      </c>
      <c r="D1141" s="21" t="s">
        <v>134</v>
      </c>
      <c r="E1141" s="23">
        <v>217849</v>
      </c>
      <c r="F1141" s="20">
        <v>2994883.946</v>
      </c>
      <c r="G1141" s="30">
        <f t="shared" si="52"/>
        <v>3212732.946</v>
      </c>
      <c r="H1141" t="str">
        <f>IFERROR(VLOOKUP(C1141,Sheet1!$B$2:$C$25,2,FALSE),"")</f>
        <v/>
      </c>
      <c r="I1141">
        <f t="shared" si="53"/>
        <v>1613</v>
      </c>
    </row>
    <row r="1142" spans="1:9" x14ac:dyDescent="0.2">
      <c r="A1142" t="str">
        <f t="shared" si="51"/>
        <v/>
      </c>
      <c r="B1142" s="20">
        <v>2023</v>
      </c>
      <c r="C1142" s="21" t="s">
        <v>134</v>
      </c>
      <c r="D1142" s="21" t="s">
        <v>134</v>
      </c>
      <c r="E1142" s="23">
        <v>231950</v>
      </c>
      <c r="F1142" s="20">
        <v>3104363.63</v>
      </c>
      <c r="G1142" s="30">
        <f t="shared" si="52"/>
        <v>3336313.63</v>
      </c>
      <c r="H1142" t="str">
        <f>IFERROR(VLOOKUP(C1142,Sheet1!$B$2:$C$25,2,FALSE),"")</f>
        <v/>
      </c>
      <c r="I1142">
        <f t="shared" si="53"/>
        <v>1613</v>
      </c>
    </row>
    <row r="1143" spans="1:9" x14ac:dyDescent="0.2">
      <c r="A1143" t="str">
        <f t="shared" si="51"/>
        <v/>
      </c>
      <c r="B1143" s="20">
        <v>2018</v>
      </c>
      <c r="C1143" s="21" t="s">
        <v>216</v>
      </c>
      <c r="D1143" s="21" t="s">
        <v>216</v>
      </c>
      <c r="E1143" s="23">
        <v>95740</v>
      </c>
      <c r="F1143" s="20">
        <v>1440533.237</v>
      </c>
      <c r="G1143" s="30">
        <f t="shared" si="52"/>
        <v>1536273.237</v>
      </c>
      <c r="H1143" t="str">
        <f>IFERROR(VLOOKUP(C1143,Sheet1!$B$2:$C$25,2,FALSE),"")</f>
        <v/>
      </c>
      <c r="I1143">
        <f t="shared" si="53"/>
        <v>1613</v>
      </c>
    </row>
    <row r="1144" spans="1:9" x14ac:dyDescent="0.2">
      <c r="A1144" t="str">
        <f t="shared" si="51"/>
        <v/>
      </c>
      <c r="B1144" s="20">
        <v>2019</v>
      </c>
      <c r="C1144" s="21" t="s">
        <v>216</v>
      </c>
      <c r="D1144" s="21" t="s">
        <v>216</v>
      </c>
      <c r="E1144" s="23">
        <v>126914</v>
      </c>
      <c r="F1144" s="20">
        <v>1826053.683</v>
      </c>
      <c r="G1144" s="30">
        <f t="shared" si="52"/>
        <v>1952967.683</v>
      </c>
      <c r="H1144" t="str">
        <f>IFERROR(VLOOKUP(C1144,Sheet1!$B$2:$C$25,2,FALSE),"")</f>
        <v/>
      </c>
      <c r="I1144">
        <f t="shared" si="53"/>
        <v>1613</v>
      </c>
    </row>
    <row r="1145" spans="1:9" x14ac:dyDescent="0.2">
      <c r="A1145" t="str">
        <f t="shared" si="51"/>
        <v/>
      </c>
      <c r="B1145" s="20">
        <v>2020</v>
      </c>
      <c r="C1145" s="21" t="s">
        <v>216</v>
      </c>
      <c r="D1145" s="21" t="s">
        <v>216</v>
      </c>
      <c r="E1145" s="23">
        <v>134908</v>
      </c>
      <c r="F1145" s="20">
        <v>1885925.459</v>
      </c>
      <c r="G1145" s="30">
        <f t="shared" si="52"/>
        <v>2020833.459</v>
      </c>
      <c r="H1145" t="str">
        <f>IFERROR(VLOOKUP(C1145,Sheet1!$B$2:$C$25,2,FALSE),"")</f>
        <v/>
      </c>
      <c r="I1145">
        <f t="shared" si="53"/>
        <v>1613</v>
      </c>
    </row>
    <row r="1146" spans="1:9" x14ac:dyDescent="0.2">
      <c r="A1146" t="str">
        <f t="shared" si="51"/>
        <v/>
      </c>
      <c r="B1146" s="20">
        <v>2021</v>
      </c>
      <c r="C1146" s="21" t="s">
        <v>216</v>
      </c>
      <c r="D1146" s="20" t="s">
        <v>216</v>
      </c>
      <c r="E1146" s="23">
        <v>172025</v>
      </c>
      <c r="F1146" s="20">
        <v>2245611.8020000001</v>
      </c>
      <c r="G1146" s="30">
        <f t="shared" si="52"/>
        <v>2417636.8020000001</v>
      </c>
      <c r="H1146" t="str">
        <f>IFERROR(VLOOKUP(C1146,Sheet1!$B$2:$C$25,2,FALSE),"")</f>
        <v/>
      </c>
      <c r="I1146">
        <f t="shared" si="53"/>
        <v>1613</v>
      </c>
    </row>
    <row r="1147" spans="1:9" x14ac:dyDescent="0.2">
      <c r="A1147" t="str">
        <f t="shared" si="51"/>
        <v/>
      </c>
      <c r="B1147" s="20">
        <v>2022</v>
      </c>
      <c r="C1147" s="21" t="s">
        <v>216</v>
      </c>
      <c r="D1147" s="21" t="s">
        <v>216</v>
      </c>
      <c r="E1147" s="23">
        <v>86240</v>
      </c>
      <c r="F1147" s="20">
        <v>1185586.308</v>
      </c>
      <c r="G1147" s="30">
        <f t="shared" si="52"/>
        <v>1271826.308</v>
      </c>
      <c r="H1147" t="str">
        <f>IFERROR(VLOOKUP(C1147,Sheet1!$B$2:$C$25,2,FALSE),"")</f>
        <v/>
      </c>
      <c r="I1147">
        <f t="shared" si="53"/>
        <v>1613</v>
      </c>
    </row>
    <row r="1148" spans="1:9" x14ac:dyDescent="0.2">
      <c r="A1148" t="str">
        <f t="shared" si="51"/>
        <v/>
      </c>
      <c r="B1148" s="20">
        <v>2023</v>
      </c>
      <c r="C1148" s="21" t="s">
        <v>216</v>
      </c>
      <c r="D1148" s="21" t="s">
        <v>216</v>
      </c>
      <c r="E1148" s="23">
        <v>170608</v>
      </c>
      <c r="F1148" s="20">
        <v>2283376.8930000002</v>
      </c>
      <c r="G1148" s="30">
        <f t="shared" si="52"/>
        <v>2453984.8930000002</v>
      </c>
      <c r="H1148" t="str">
        <f>IFERROR(VLOOKUP(C1148,Sheet1!$B$2:$C$25,2,FALSE),"")</f>
        <v/>
      </c>
      <c r="I1148">
        <f t="shared" si="53"/>
        <v>1613</v>
      </c>
    </row>
    <row r="1149" spans="1:9" x14ac:dyDescent="0.2">
      <c r="A1149" t="str">
        <f t="shared" si="51"/>
        <v/>
      </c>
      <c r="B1149" s="20">
        <v>2015</v>
      </c>
      <c r="C1149" s="21" t="s">
        <v>135</v>
      </c>
      <c r="D1149" s="21" t="s">
        <v>135</v>
      </c>
      <c r="E1149" s="23">
        <v>17354</v>
      </c>
      <c r="F1149" s="20">
        <v>272233.13179999997</v>
      </c>
      <c r="G1149" s="30">
        <f t="shared" si="52"/>
        <v>289587.13179999997</v>
      </c>
      <c r="H1149" t="str">
        <f>IFERROR(VLOOKUP(C1149,Sheet1!$B$2:$C$25,2,FALSE),"")</f>
        <v/>
      </c>
      <c r="I1149">
        <f t="shared" si="53"/>
        <v>1613</v>
      </c>
    </row>
    <row r="1150" spans="1:9" x14ac:dyDescent="0.2">
      <c r="A1150" t="str">
        <f t="shared" si="51"/>
        <v/>
      </c>
      <c r="B1150" s="20">
        <v>2016</v>
      </c>
      <c r="C1150" s="21" t="s">
        <v>135</v>
      </c>
      <c r="D1150" s="21" t="s">
        <v>135</v>
      </c>
      <c r="E1150" s="23">
        <v>15255</v>
      </c>
      <c r="F1150" s="20">
        <v>238112.82209999999</v>
      </c>
      <c r="G1150" s="30">
        <f t="shared" si="52"/>
        <v>253367.82209999999</v>
      </c>
      <c r="H1150" t="str">
        <f>IFERROR(VLOOKUP(C1150,Sheet1!$B$2:$C$25,2,FALSE),"")</f>
        <v/>
      </c>
      <c r="I1150">
        <f t="shared" si="53"/>
        <v>1613</v>
      </c>
    </row>
    <row r="1151" spans="1:9" x14ac:dyDescent="0.2">
      <c r="A1151" t="str">
        <f t="shared" si="51"/>
        <v/>
      </c>
      <c r="B1151" s="20">
        <v>2017</v>
      </c>
      <c r="C1151" s="21" t="s">
        <v>135</v>
      </c>
      <c r="D1151" s="21" t="s">
        <v>135</v>
      </c>
      <c r="E1151" s="23">
        <v>17126</v>
      </c>
      <c r="F1151" s="20">
        <v>283099.61979999999</v>
      </c>
      <c r="G1151" s="30">
        <f t="shared" si="52"/>
        <v>300225.61979999999</v>
      </c>
      <c r="H1151" t="str">
        <f>IFERROR(VLOOKUP(C1151,Sheet1!$B$2:$C$25,2,FALSE),"")</f>
        <v/>
      </c>
      <c r="I1151">
        <f t="shared" si="53"/>
        <v>1613</v>
      </c>
    </row>
    <row r="1152" spans="1:9" x14ac:dyDescent="0.2">
      <c r="A1152" t="str">
        <f t="shared" si="51"/>
        <v/>
      </c>
      <c r="B1152" s="20">
        <v>2018</v>
      </c>
      <c r="C1152" s="21" t="s">
        <v>135</v>
      </c>
      <c r="D1152" s="21" t="s">
        <v>135</v>
      </c>
      <c r="E1152" s="23">
        <v>18974</v>
      </c>
      <c r="F1152" s="20">
        <v>285488.59029999998</v>
      </c>
      <c r="G1152" s="30">
        <f t="shared" si="52"/>
        <v>304462.59029999998</v>
      </c>
      <c r="H1152" t="str">
        <f>IFERROR(VLOOKUP(C1152,Sheet1!$B$2:$C$25,2,FALSE),"")</f>
        <v/>
      </c>
      <c r="I1152">
        <f t="shared" si="53"/>
        <v>1613</v>
      </c>
    </row>
    <row r="1153" spans="1:9" x14ac:dyDescent="0.2">
      <c r="A1153" t="str">
        <f t="shared" si="51"/>
        <v/>
      </c>
      <c r="B1153" s="20">
        <v>2019</v>
      </c>
      <c r="C1153" s="21" t="s">
        <v>135</v>
      </c>
      <c r="D1153" s="21" t="s">
        <v>135</v>
      </c>
      <c r="E1153" s="23">
        <v>20745</v>
      </c>
      <c r="F1153" s="20">
        <v>298481.52010000002</v>
      </c>
      <c r="G1153" s="30">
        <f t="shared" si="52"/>
        <v>319226.52010000002</v>
      </c>
      <c r="H1153" t="str">
        <f>IFERROR(VLOOKUP(C1153,Sheet1!$B$2:$C$25,2,FALSE),"")</f>
        <v/>
      </c>
      <c r="I1153">
        <f t="shared" si="53"/>
        <v>1613</v>
      </c>
    </row>
    <row r="1154" spans="1:9" x14ac:dyDescent="0.2">
      <c r="A1154" t="str">
        <f t="shared" si="51"/>
        <v/>
      </c>
      <c r="B1154" s="20">
        <v>2020</v>
      </c>
      <c r="C1154" s="21" t="s">
        <v>135</v>
      </c>
      <c r="D1154" s="21" t="s">
        <v>135</v>
      </c>
      <c r="E1154" s="23">
        <v>22120</v>
      </c>
      <c r="F1154" s="20">
        <v>309223.10869999998</v>
      </c>
      <c r="G1154" s="30">
        <f t="shared" si="52"/>
        <v>331343.10869999998</v>
      </c>
      <c r="H1154" t="str">
        <f>IFERROR(VLOOKUP(C1154,Sheet1!$B$2:$C$25,2,FALSE),"")</f>
        <v/>
      </c>
      <c r="I1154">
        <f t="shared" si="53"/>
        <v>1613</v>
      </c>
    </row>
    <row r="1155" spans="1:9" x14ac:dyDescent="0.2">
      <c r="A1155" t="str">
        <f t="shared" ref="A1155:A1218" si="54">H1155</f>
        <v/>
      </c>
      <c r="B1155" s="20">
        <v>2021</v>
      </c>
      <c r="C1155" s="21" t="s">
        <v>135</v>
      </c>
      <c r="D1155" s="20" t="s">
        <v>135</v>
      </c>
      <c r="E1155" s="23">
        <v>15298</v>
      </c>
      <c r="F1155" s="20">
        <v>199699.86540000001</v>
      </c>
      <c r="G1155" s="30">
        <f t="shared" ref="G1155:G1218" si="55">SUM(E1155:F1155)</f>
        <v>214997.86540000001</v>
      </c>
      <c r="H1155" t="str">
        <f>IFERROR(VLOOKUP(C1155,Sheet1!$B$2:$C$25,2,FALSE),"")</f>
        <v/>
      </c>
      <c r="I1155">
        <f t="shared" ref="I1155:I1218" si="56">COUNTIF($H$2:$H$1812,H1155)</f>
        <v>1613</v>
      </c>
    </row>
    <row r="1156" spans="1:9" x14ac:dyDescent="0.2">
      <c r="A1156" t="str">
        <f t="shared" si="54"/>
        <v/>
      </c>
      <c r="B1156" s="20">
        <v>2022</v>
      </c>
      <c r="C1156" s="21" t="s">
        <v>135</v>
      </c>
      <c r="D1156" s="21" t="s">
        <v>135</v>
      </c>
      <c r="E1156" s="23">
        <v>16315</v>
      </c>
      <c r="F1156" s="20">
        <v>224290.82339999999</v>
      </c>
      <c r="G1156" s="30">
        <f t="shared" si="55"/>
        <v>240605.82339999999</v>
      </c>
      <c r="H1156" t="str">
        <f>IFERROR(VLOOKUP(C1156,Sheet1!$B$2:$C$25,2,FALSE),"")</f>
        <v/>
      </c>
      <c r="I1156">
        <f t="shared" si="56"/>
        <v>1613</v>
      </c>
    </row>
    <row r="1157" spans="1:9" x14ac:dyDescent="0.2">
      <c r="A1157" t="str">
        <f t="shared" si="54"/>
        <v/>
      </c>
      <c r="B1157" s="20">
        <v>2023</v>
      </c>
      <c r="C1157" s="21" t="s">
        <v>135</v>
      </c>
      <c r="D1157" s="21" t="s">
        <v>135</v>
      </c>
      <c r="E1157" s="23">
        <v>17776</v>
      </c>
      <c r="F1157" s="20">
        <v>237909.75589999999</v>
      </c>
      <c r="G1157" s="30">
        <f t="shared" si="55"/>
        <v>255685.75589999999</v>
      </c>
      <c r="H1157" t="str">
        <f>IFERROR(VLOOKUP(C1157,Sheet1!$B$2:$C$25,2,FALSE),"")</f>
        <v/>
      </c>
      <c r="I1157">
        <f t="shared" si="56"/>
        <v>1613</v>
      </c>
    </row>
    <row r="1158" spans="1:9" x14ac:dyDescent="0.2">
      <c r="A1158" t="str">
        <f t="shared" si="54"/>
        <v/>
      </c>
      <c r="B1158" s="20">
        <v>2015</v>
      </c>
      <c r="C1158" s="21" t="s">
        <v>140</v>
      </c>
      <c r="D1158" s="21" t="s">
        <v>140</v>
      </c>
      <c r="E1158" s="23">
        <v>18583</v>
      </c>
      <c r="F1158" s="20">
        <v>291512.5209</v>
      </c>
      <c r="G1158" s="30">
        <f t="shared" si="55"/>
        <v>310095.5209</v>
      </c>
      <c r="H1158" t="str">
        <f>IFERROR(VLOOKUP(C1158,Sheet1!$B$2:$C$25,2,FALSE),"")</f>
        <v/>
      </c>
      <c r="I1158">
        <f t="shared" si="56"/>
        <v>1613</v>
      </c>
    </row>
    <row r="1159" spans="1:9" x14ac:dyDescent="0.2">
      <c r="A1159" t="str">
        <f t="shared" si="54"/>
        <v/>
      </c>
      <c r="B1159" s="20">
        <v>2016</v>
      </c>
      <c r="C1159" s="21" t="s">
        <v>140</v>
      </c>
      <c r="D1159" s="21" t="s">
        <v>140</v>
      </c>
      <c r="E1159" s="23">
        <v>20009</v>
      </c>
      <c r="F1159" s="20">
        <v>312317.23749999999</v>
      </c>
      <c r="G1159" s="30">
        <f t="shared" si="55"/>
        <v>332326.23749999999</v>
      </c>
      <c r="H1159" t="str">
        <f>IFERROR(VLOOKUP(C1159,Sheet1!$B$2:$C$25,2,FALSE),"")</f>
        <v/>
      </c>
      <c r="I1159">
        <f t="shared" si="56"/>
        <v>1613</v>
      </c>
    </row>
    <row r="1160" spans="1:9" x14ac:dyDescent="0.2">
      <c r="A1160" t="str">
        <f t="shared" si="54"/>
        <v/>
      </c>
      <c r="B1160" s="20">
        <v>2017</v>
      </c>
      <c r="C1160" s="21" t="s">
        <v>140</v>
      </c>
      <c r="D1160" s="21" t="s">
        <v>140</v>
      </c>
      <c r="E1160" s="23">
        <v>22311</v>
      </c>
      <c r="F1160" s="20">
        <v>368809.74060000002</v>
      </c>
      <c r="G1160" s="30">
        <f t="shared" si="55"/>
        <v>391120.74060000002</v>
      </c>
      <c r="H1160" t="str">
        <f>IFERROR(VLOOKUP(C1160,Sheet1!$B$2:$C$25,2,FALSE),"")</f>
        <v/>
      </c>
      <c r="I1160">
        <f t="shared" si="56"/>
        <v>1613</v>
      </c>
    </row>
    <row r="1161" spans="1:9" x14ac:dyDescent="0.2">
      <c r="A1161" t="str">
        <f t="shared" si="54"/>
        <v/>
      </c>
      <c r="B1161" s="20">
        <v>2018</v>
      </c>
      <c r="C1161" s="21" t="s">
        <v>140</v>
      </c>
      <c r="D1161" s="21" t="s">
        <v>140</v>
      </c>
      <c r="E1161" s="23">
        <v>23337</v>
      </c>
      <c r="F1161" s="20">
        <v>351135.6188</v>
      </c>
      <c r="G1161" s="30">
        <f t="shared" si="55"/>
        <v>374472.6188</v>
      </c>
      <c r="H1161" t="str">
        <f>IFERROR(VLOOKUP(C1161,Sheet1!$B$2:$C$25,2,FALSE),"")</f>
        <v/>
      </c>
      <c r="I1161">
        <f t="shared" si="56"/>
        <v>1613</v>
      </c>
    </row>
    <row r="1162" spans="1:9" x14ac:dyDescent="0.2">
      <c r="A1162" t="str">
        <f t="shared" si="54"/>
        <v/>
      </c>
      <c r="B1162" s="20">
        <v>2019</v>
      </c>
      <c r="C1162" s="21" t="s">
        <v>140</v>
      </c>
      <c r="D1162" s="21" t="s">
        <v>140</v>
      </c>
      <c r="E1162" s="23">
        <v>23615</v>
      </c>
      <c r="F1162" s="20">
        <v>339775.42050000001</v>
      </c>
      <c r="G1162" s="30">
        <f t="shared" si="55"/>
        <v>363390.42050000001</v>
      </c>
      <c r="H1162" t="str">
        <f>IFERROR(VLOOKUP(C1162,Sheet1!$B$2:$C$25,2,FALSE),"")</f>
        <v/>
      </c>
      <c r="I1162">
        <f t="shared" si="56"/>
        <v>1613</v>
      </c>
    </row>
    <row r="1163" spans="1:9" x14ac:dyDescent="0.2">
      <c r="A1163" t="str">
        <f t="shared" si="54"/>
        <v/>
      </c>
      <c r="B1163" s="20">
        <v>2020</v>
      </c>
      <c r="C1163" s="21" t="s">
        <v>140</v>
      </c>
      <c r="D1163" s="21" t="s">
        <v>140</v>
      </c>
      <c r="E1163" s="23">
        <v>26270</v>
      </c>
      <c r="F1163" s="20">
        <v>367237.39</v>
      </c>
      <c r="G1163" s="30">
        <f t="shared" si="55"/>
        <v>393507.39</v>
      </c>
      <c r="H1163" t="str">
        <f>IFERROR(VLOOKUP(C1163,Sheet1!$B$2:$C$25,2,FALSE),"")</f>
        <v/>
      </c>
      <c r="I1163">
        <f t="shared" si="56"/>
        <v>1613</v>
      </c>
    </row>
    <row r="1164" spans="1:9" x14ac:dyDescent="0.2">
      <c r="A1164" t="str">
        <f t="shared" si="54"/>
        <v/>
      </c>
      <c r="B1164" s="20">
        <v>2021</v>
      </c>
      <c r="C1164" s="21" t="s">
        <v>140</v>
      </c>
      <c r="D1164" s="20" t="s">
        <v>140</v>
      </c>
      <c r="E1164" s="23">
        <v>29258</v>
      </c>
      <c r="F1164" s="20">
        <v>381933.49859999999</v>
      </c>
      <c r="G1164" s="30">
        <f t="shared" si="55"/>
        <v>411191.49859999999</v>
      </c>
      <c r="H1164" t="str">
        <f>IFERROR(VLOOKUP(C1164,Sheet1!$B$2:$C$25,2,FALSE),"")</f>
        <v/>
      </c>
      <c r="I1164">
        <f t="shared" si="56"/>
        <v>1613</v>
      </c>
    </row>
    <row r="1165" spans="1:9" x14ac:dyDescent="0.2">
      <c r="A1165" t="str">
        <f t="shared" si="54"/>
        <v/>
      </c>
      <c r="B1165" s="20">
        <v>2022</v>
      </c>
      <c r="C1165" s="21" t="s">
        <v>140</v>
      </c>
      <c r="D1165" s="21" t="s">
        <v>140</v>
      </c>
      <c r="E1165" s="23">
        <v>29986</v>
      </c>
      <c r="F1165" s="20">
        <v>412233.19829999999</v>
      </c>
      <c r="G1165" s="30">
        <f t="shared" si="55"/>
        <v>442219.19829999999</v>
      </c>
      <c r="H1165" t="str">
        <f>IFERROR(VLOOKUP(C1165,Sheet1!$B$2:$C$25,2,FALSE),"")</f>
        <v/>
      </c>
      <c r="I1165">
        <f t="shared" si="56"/>
        <v>1613</v>
      </c>
    </row>
    <row r="1166" spans="1:9" x14ac:dyDescent="0.2">
      <c r="A1166" t="str">
        <f t="shared" si="54"/>
        <v/>
      </c>
      <c r="B1166" s="20">
        <v>2023</v>
      </c>
      <c r="C1166" s="21" t="s">
        <v>140</v>
      </c>
      <c r="D1166" s="21" t="s">
        <v>140</v>
      </c>
      <c r="E1166" s="23">
        <v>32399</v>
      </c>
      <c r="F1166" s="20">
        <v>433620.5098</v>
      </c>
      <c r="G1166" s="30">
        <f t="shared" si="55"/>
        <v>466019.5098</v>
      </c>
      <c r="H1166" t="str">
        <f>IFERROR(VLOOKUP(C1166,Sheet1!$B$2:$C$25,2,FALSE),"")</f>
        <v/>
      </c>
      <c r="I1166">
        <f t="shared" si="56"/>
        <v>1613</v>
      </c>
    </row>
    <row r="1167" spans="1:9" x14ac:dyDescent="0.2">
      <c r="A1167" t="str">
        <f t="shared" si="54"/>
        <v/>
      </c>
      <c r="B1167" s="20">
        <v>2015</v>
      </c>
      <c r="C1167" s="21" t="s">
        <v>136</v>
      </c>
      <c r="D1167" s="21" t="s">
        <v>250</v>
      </c>
      <c r="E1167" s="23">
        <v>439261</v>
      </c>
      <c r="F1167" s="20">
        <v>6890710.9419999998</v>
      </c>
      <c r="G1167" s="30">
        <f t="shared" si="55"/>
        <v>7329971.9419999998</v>
      </c>
      <c r="H1167" t="str">
        <f>IFERROR(VLOOKUP(C1167,Sheet1!$B$2:$C$25,2,FALSE),"")</f>
        <v/>
      </c>
      <c r="I1167">
        <f t="shared" si="56"/>
        <v>1613</v>
      </c>
    </row>
    <row r="1168" spans="1:9" x14ac:dyDescent="0.2">
      <c r="A1168" t="str">
        <f t="shared" si="54"/>
        <v/>
      </c>
      <c r="B1168" s="20">
        <v>2016</v>
      </c>
      <c r="C1168" s="21" t="s">
        <v>136</v>
      </c>
      <c r="D1168" s="21" t="s">
        <v>136</v>
      </c>
      <c r="E1168" s="23">
        <v>375761</v>
      </c>
      <c r="F1168" s="20">
        <v>5865192.5379999997</v>
      </c>
      <c r="G1168" s="30">
        <f t="shared" si="55"/>
        <v>6240953.5379999997</v>
      </c>
      <c r="H1168" t="str">
        <f>IFERROR(VLOOKUP(C1168,Sheet1!$B$2:$C$25,2,FALSE),"")</f>
        <v/>
      </c>
      <c r="I1168">
        <f t="shared" si="56"/>
        <v>1613</v>
      </c>
    </row>
    <row r="1169" spans="1:9" x14ac:dyDescent="0.2">
      <c r="A1169" t="str">
        <f t="shared" si="54"/>
        <v/>
      </c>
      <c r="B1169" s="20">
        <v>2017</v>
      </c>
      <c r="C1169" s="21" t="s">
        <v>136</v>
      </c>
      <c r="D1169" s="21" t="s">
        <v>136</v>
      </c>
      <c r="E1169" s="23">
        <v>353280</v>
      </c>
      <c r="F1169" s="20">
        <v>5839859.4929999998</v>
      </c>
      <c r="G1169" s="30">
        <f t="shared" si="55"/>
        <v>6193139.4929999998</v>
      </c>
      <c r="H1169" t="str">
        <f>IFERROR(VLOOKUP(C1169,Sheet1!$B$2:$C$25,2,FALSE),"")</f>
        <v/>
      </c>
      <c r="I1169">
        <f t="shared" si="56"/>
        <v>1613</v>
      </c>
    </row>
    <row r="1170" spans="1:9" x14ac:dyDescent="0.2">
      <c r="A1170" t="str">
        <f t="shared" si="54"/>
        <v/>
      </c>
      <c r="B1170" s="20">
        <v>2018</v>
      </c>
      <c r="C1170" s="21" t="s">
        <v>136</v>
      </c>
      <c r="D1170" s="21" t="s">
        <v>136</v>
      </c>
      <c r="E1170" s="23">
        <v>347705</v>
      </c>
      <c r="F1170" s="20">
        <v>5231675.4649999999</v>
      </c>
      <c r="G1170" s="30">
        <f t="shared" si="55"/>
        <v>5579380.4649999999</v>
      </c>
      <c r="H1170" t="str">
        <f>IFERROR(VLOOKUP(C1170,Sheet1!$B$2:$C$25,2,FALSE),"")</f>
        <v/>
      </c>
      <c r="I1170">
        <f t="shared" si="56"/>
        <v>1613</v>
      </c>
    </row>
    <row r="1171" spans="1:9" x14ac:dyDescent="0.2">
      <c r="A1171" t="str">
        <f t="shared" si="54"/>
        <v/>
      </c>
      <c r="B1171" s="20">
        <v>2019</v>
      </c>
      <c r="C1171" s="21" t="s">
        <v>136</v>
      </c>
      <c r="D1171" s="21" t="s">
        <v>136</v>
      </c>
      <c r="E1171" s="23">
        <v>366554</v>
      </c>
      <c r="F1171" s="20">
        <v>5274022.4210000001</v>
      </c>
      <c r="G1171" s="30">
        <f t="shared" si="55"/>
        <v>5640576.4210000001</v>
      </c>
      <c r="H1171" t="str">
        <f>IFERROR(VLOOKUP(C1171,Sheet1!$B$2:$C$25,2,FALSE),"")</f>
        <v/>
      </c>
      <c r="I1171">
        <f t="shared" si="56"/>
        <v>1613</v>
      </c>
    </row>
    <row r="1172" spans="1:9" x14ac:dyDescent="0.2">
      <c r="A1172" t="str">
        <f t="shared" si="54"/>
        <v/>
      </c>
      <c r="B1172" s="20">
        <v>2020</v>
      </c>
      <c r="C1172" s="21" t="s">
        <v>136</v>
      </c>
      <c r="D1172" s="21" t="s">
        <v>136</v>
      </c>
      <c r="E1172" s="23">
        <v>367946</v>
      </c>
      <c r="F1172" s="20">
        <v>5143644.0310000004</v>
      </c>
      <c r="G1172" s="30">
        <f t="shared" si="55"/>
        <v>5511590.0310000004</v>
      </c>
      <c r="H1172" t="str">
        <f>IFERROR(VLOOKUP(C1172,Sheet1!$B$2:$C$25,2,FALSE),"")</f>
        <v/>
      </c>
      <c r="I1172">
        <f t="shared" si="56"/>
        <v>1613</v>
      </c>
    </row>
    <row r="1173" spans="1:9" x14ac:dyDescent="0.2">
      <c r="A1173" t="str">
        <f t="shared" si="54"/>
        <v/>
      </c>
      <c r="B1173" s="20">
        <v>2021</v>
      </c>
      <c r="C1173" s="21" t="s">
        <v>136</v>
      </c>
      <c r="D1173" s="20" t="s">
        <v>136</v>
      </c>
      <c r="E1173" s="23">
        <v>469033</v>
      </c>
      <c r="F1173" s="20">
        <v>6122749.8339999998</v>
      </c>
      <c r="G1173" s="30">
        <f t="shared" si="55"/>
        <v>6591782.8339999998</v>
      </c>
      <c r="H1173" t="str">
        <f>IFERROR(VLOOKUP(C1173,Sheet1!$B$2:$C$25,2,FALSE),"")</f>
        <v/>
      </c>
      <c r="I1173">
        <f t="shared" si="56"/>
        <v>1613</v>
      </c>
    </row>
    <row r="1174" spans="1:9" x14ac:dyDescent="0.2">
      <c r="A1174" t="str">
        <f t="shared" si="54"/>
        <v/>
      </c>
      <c r="B1174" s="20">
        <v>2022</v>
      </c>
      <c r="C1174" s="21" t="s">
        <v>136</v>
      </c>
      <c r="D1174" s="21" t="s">
        <v>136</v>
      </c>
      <c r="E1174" s="23">
        <v>407440</v>
      </c>
      <c r="F1174" s="20">
        <v>5601290.4129999997</v>
      </c>
      <c r="G1174" s="30">
        <f t="shared" si="55"/>
        <v>6008730.4129999997</v>
      </c>
      <c r="H1174" t="str">
        <f>IFERROR(VLOOKUP(C1174,Sheet1!$B$2:$C$25,2,FALSE),"")</f>
        <v/>
      </c>
      <c r="I1174">
        <f t="shared" si="56"/>
        <v>1613</v>
      </c>
    </row>
    <row r="1175" spans="1:9" x14ac:dyDescent="0.2">
      <c r="A1175" t="str">
        <f t="shared" si="54"/>
        <v/>
      </c>
      <c r="B1175" s="20">
        <v>2023</v>
      </c>
      <c r="C1175" s="21" t="s">
        <v>136</v>
      </c>
      <c r="D1175" s="21" t="s">
        <v>136</v>
      </c>
      <c r="E1175" s="23">
        <v>395802</v>
      </c>
      <c r="F1175" s="20">
        <v>5297319.8260000004</v>
      </c>
      <c r="G1175" s="30">
        <f t="shared" si="55"/>
        <v>5693121.8260000004</v>
      </c>
      <c r="H1175" t="str">
        <f>IFERROR(VLOOKUP(C1175,Sheet1!$B$2:$C$25,2,FALSE),"")</f>
        <v/>
      </c>
      <c r="I1175">
        <f t="shared" si="56"/>
        <v>1613</v>
      </c>
    </row>
    <row r="1176" spans="1:9" x14ac:dyDescent="0.2">
      <c r="A1176" t="str">
        <f t="shared" si="54"/>
        <v/>
      </c>
      <c r="B1176" s="20">
        <v>2015</v>
      </c>
      <c r="C1176" s="21" t="s">
        <v>141</v>
      </c>
      <c r="D1176" s="21" t="s">
        <v>254</v>
      </c>
      <c r="E1176" s="23">
        <v>74744</v>
      </c>
      <c r="F1176" s="20">
        <v>1172513.1499999999</v>
      </c>
      <c r="G1176" s="30">
        <f t="shared" si="55"/>
        <v>1247257.1499999999</v>
      </c>
      <c r="H1176" t="str">
        <f>IFERROR(VLOOKUP(C1176,Sheet1!$B$2:$C$25,2,FALSE),"")</f>
        <v/>
      </c>
      <c r="I1176">
        <f t="shared" si="56"/>
        <v>1613</v>
      </c>
    </row>
    <row r="1177" spans="1:9" x14ac:dyDescent="0.2">
      <c r="A1177" t="str">
        <f t="shared" si="54"/>
        <v/>
      </c>
      <c r="B1177" s="20">
        <v>2016</v>
      </c>
      <c r="C1177" s="21" t="s">
        <v>141</v>
      </c>
      <c r="D1177" s="21" t="s">
        <v>141</v>
      </c>
      <c r="E1177" s="23">
        <v>58294</v>
      </c>
      <c r="F1177" s="20">
        <v>909901.59649999999</v>
      </c>
      <c r="G1177" s="30">
        <f t="shared" si="55"/>
        <v>968195.59649999999</v>
      </c>
      <c r="H1177" t="str">
        <f>IFERROR(VLOOKUP(C1177,Sheet1!$B$2:$C$25,2,FALSE),"")</f>
        <v/>
      </c>
      <c r="I1177">
        <f t="shared" si="56"/>
        <v>1613</v>
      </c>
    </row>
    <row r="1178" spans="1:9" x14ac:dyDescent="0.2">
      <c r="A1178" t="str">
        <f t="shared" si="54"/>
        <v/>
      </c>
      <c r="B1178" s="20">
        <v>2017</v>
      </c>
      <c r="C1178" s="21" t="s">
        <v>141</v>
      </c>
      <c r="D1178" s="21" t="s">
        <v>141</v>
      </c>
      <c r="E1178" s="23">
        <v>47777</v>
      </c>
      <c r="F1178" s="20">
        <v>789772.89119999995</v>
      </c>
      <c r="G1178" s="30">
        <f t="shared" si="55"/>
        <v>837549.89119999995</v>
      </c>
      <c r="H1178" t="str">
        <f>IFERROR(VLOOKUP(C1178,Sheet1!$B$2:$C$25,2,FALSE),"")</f>
        <v/>
      </c>
      <c r="I1178">
        <f t="shared" si="56"/>
        <v>1613</v>
      </c>
    </row>
    <row r="1179" spans="1:9" x14ac:dyDescent="0.2">
      <c r="A1179" t="str">
        <f t="shared" si="54"/>
        <v/>
      </c>
      <c r="B1179" s="20">
        <v>2018</v>
      </c>
      <c r="C1179" s="21" t="s">
        <v>141</v>
      </c>
      <c r="D1179" s="21" t="s">
        <v>141</v>
      </c>
      <c r="E1179" s="23">
        <v>46533</v>
      </c>
      <c r="F1179" s="20">
        <v>700149.70860000001</v>
      </c>
      <c r="G1179" s="30">
        <f t="shared" si="55"/>
        <v>746682.70860000001</v>
      </c>
      <c r="H1179" t="str">
        <f>IFERROR(VLOOKUP(C1179,Sheet1!$B$2:$C$25,2,FALSE),"")</f>
        <v/>
      </c>
      <c r="I1179">
        <f t="shared" si="56"/>
        <v>1613</v>
      </c>
    </row>
    <row r="1180" spans="1:9" x14ac:dyDescent="0.2">
      <c r="A1180" t="str">
        <f t="shared" si="54"/>
        <v/>
      </c>
      <c r="B1180" s="20">
        <v>2019</v>
      </c>
      <c r="C1180" s="21" t="s">
        <v>141</v>
      </c>
      <c r="D1180" s="21" t="s">
        <v>141</v>
      </c>
      <c r="E1180" s="23">
        <v>51799</v>
      </c>
      <c r="F1180" s="20">
        <v>745290.15480000002</v>
      </c>
      <c r="G1180" s="30">
        <f t="shared" si="55"/>
        <v>797089.15480000002</v>
      </c>
      <c r="H1180" t="str">
        <f>IFERROR(VLOOKUP(C1180,Sheet1!$B$2:$C$25,2,FALSE),"")</f>
        <v/>
      </c>
      <c r="I1180">
        <f t="shared" si="56"/>
        <v>1613</v>
      </c>
    </row>
    <row r="1181" spans="1:9" x14ac:dyDescent="0.2">
      <c r="A1181" t="str">
        <f t="shared" si="54"/>
        <v/>
      </c>
      <c r="B1181" s="20">
        <v>2020</v>
      </c>
      <c r="C1181" s="21" t="s">
        <v>141</v>
      </c>
      <c r="D1181" s="21" t="s">
        <v>141</v>
      </c>
      <c r="E1181" s="23">
        <v>69554</v>
      </c>
      <c r="F1181" s="20">
        <v>972319.35380000004</v>
      </c>
      <c r="G1181" s="30">
        <f t="shared" si="55"/>
        <v>1041873.3538</v>
      </c>
      <c r="H1181" t="str">
        <f>IFERROR(VLOOKUP(C1181,Sheet1!$B$2:$C$25,2,FALSE),"")</f>
        <v/>
      </c>
      <c r="I1181">
        <f t="shared" si="56"/>
        <v>1613</v>
      </c>
    </row>
    <row r="1182" spans="1:9" x14ac:dyDescent="0.2">
      <c r="A1182" t="str">
        <f t="shared" si="54"/>
        <v/>
      </c>
      <c r="B1182" s="20">
        <v>2021</v>
      </c>
      <c r="C1182" s="21" t="s">
        <v>141</v>
      </c>
      <c r="D1182" s="20" t="s">
        <v>141</v>
      </c>
      <c r="E1182" s="23">
        <v>59267</v>
      </c>
      <c r="F1182" s="20">
        <v>773670.54</v>
      </c>
      <c r="G1182" s="30">
        <f t="shared" si="55"/>
        <v>832937.54</v>
      </c>
      <c r="H1182" t="str">
        <f>IFERROR(VLOOKUP(C1182,Sheet1!$B$2:$C$25,2,FALSE),"")</f>
        <v/>
      </c>
      <c r="I1182">
        <f t="shared" si="56"/>
        <v>1613</v>
      </c>
    </row>
    <row r="1183" spans="1:9" x14ac:dyDescent="0.2">
      <c r="A1183" t="str">
        <f t="shared" si="54"/>
        <v/>
      </c>
      <c r="B1183" s="20">
        <v>2022</v>
      </c>
      <c r="C1183" s="21" t="s">
        <v>141</v>
      </c>
      <c r="D1183" s="21" t="s">
        <v>141</v>
      </c>
      <c r="E1183" s="23">
        <v>73979</v>
      </c>
      <c r="F1183" s="20">
        <v>1017027.939</v>
      </c>
      <c r="G1183" s="30">
        <f t="shared" si="55"/>
        <v>1091006.939</v>
      </c>
      <c r="H1183" t="str">
        <f>IFERROR(VLOOKUP(C1183,Sheet1!$B$2:$C$25,2,FALSE),"")</f>
        <v/>
      </c>
      <c r="I1183">
        <f t="shared" si="56"/>
        <v>1613</v>
      </c>
    </row>
    <row r="1184" spans="1:9" x14ac:dyDescent="0.2">
      <c r="A1184" t="str">
        <f t="shared" si="54"/>
        <v/>
      </c>
      <c r="B1184" s="20">
        <v>2023</v>
      </c>
      <c r="C1184" s="21" t="s">
        <v>141</v>
      </c>
      <c r="D1184" s="21" t="s">
        <v>141</v>
      </c>
      <c r="E1184" s="23">
        <v>78248</v>
      </c>
      <c r="F1184" s="20">
        <v>1047252.621</v>
      </c>
      <c r="G1184" s="30">
        <f t="shared" si="55"/>
        <v>1125500.621</v>
      </c>
      <c r="H1184" t="str">
        <f>IFERROR(VLOOKUP(C1184,Sheet1!$B$2:$C$25,2,FALSE),"")</f>
        <v/>
      </c>
      <c r="I1184">
        <f t="shared" si="56"/>
        <v>1613</v>
      </c>
    </row>
    <row r="1185" spans="1:9" x14ac:dyDescent="0.2">
      <c r="A1185" t="str">
        <f t="shared" si="54"/>
        <v/>
      </c>
      <c r="B1185" s="20">
        <v>2015</v>
      </c>
      <c r="C1185" s="21" t="s">
        <v>137</v>
      </c>
      <c r="D1185" s="21" t="s">
        <v>251</v>
      </c>
      <c r="E1185" s="23">
        <v>15211875</v>
      </c>
      <c r="F1185" s="20">
        <v>238629501.59999999</v>
      </c>
      <c r="G1185" s="30">
        <f t="shared" si="55"/>
        <v>253841376.59999999</v>
      </c>
      <c r="H1185" t="str">
        <f>IFERROR(VLOOKUP(C1185,Sheet1!$B$2:$C$25,2,FALSE),"")</f>
        <v/>
      </c>
      <c r="I1185">
        <f t="shared" si="56"/>
        <v>1613</v>
      </c>
    </row>
    <row r="1186" spans="1:9" x14ac:dyDescent="0.2">
      <c r="A1186" t="str">
        <f t="shared" si="54"/>
        <v/>
      </c>
      <c r="B1186" s="20">
        <v>2016</v>
      </c>
      <c r="C1186" s="21" t="s">
        <v>137</v>
      </c>
      <c r="D1186" s="21" t="s">
        <v>137</v>
      </c>
      <c r="E1186" s="23">
        <v>13220699</v>
      </c>
      <c r="F1186" s="20">
        <v>206359747.59999999</v>
      </c>
      <c r="G1186" s="30">
        <f t="shared" si="55"/>
        <v>219580446.59999999</v>
      </c>
      <c r="H1186" t="str">
        <f>IFERROR(VLOOKUP(C1186,Sheet1!$B$2:$C$25,2,FALSE),"")</f>
        <v/>
      </c>
      <c r="I1186">
        <f t="shared" si="56"/>
        <v>1613</v>
      </c>
    </row>
    <row r="1187" spans="1:9" x14ac:dyDescent="0.2">
      <c r="A1187" t="str">
        <f t="shared" si="54"/>
        <v/>
      </c>
      <c r="B1187" s="20">
        <v>2017</v>
      </c>
      <c r="C1187" s="21" t="s">
        <v>137</v>
      </c>
      <c r="D1187" s="21" t="s">
        <v>137</v>
      </c>
      <c r="E1187" s="23">
        <v>12442017</v>
      </c>
      <c r="F1187" s="20">
        <v>205671510.09999999</v>
      </c>
      <c r="G1187" s="30">
        <f t="shared" si="55"/>
        <v>218113527.09999999</v>
      </c>
      <c r="H1187" t="str">
        <f>IFERROR(VLOOKUP(C1187,Sheet1!$B$2:$C$25,2,FALSE),"")</f>
        <v/>
      </c>
      <c r="I1187">
        <f t="shared" si="56"/>
        <v>1613</v>
      </c>
    </row>
    <row r="1188" spans="1:9" x14ac:dyDescent="0.2">
      <c r="A1188" t="str">
        <f t="shared" si="54"/>
        <v/>
      </c>
      <c r="B1188" s="20">
        <v>2018</v>
      </c>
      <c r="C1188" s="21" t="s">
        <v>137</v>
      </c>
      <c r="D1188" s="21" t="s">
        <v>137</v>
      </c>
      <c r="E1188" s="23">
        <v>13629583</v>
      </c>
      <c r="F1188" s="20">
        <v>205074862.30000001</v>
      </c>
      <c r="G1188" s="30">
        <f t="shared" si="55"/>
        <v>218704445.30000001</v>
      </c>
      <c r="H1188" t="str">
        <f>IFERROR(VLOOKUP(C1188,Sheet1!$B$2:$C$25,2,FALSE),"")</f>
        <v/>
      </c>
      <c r="I1188">
        <f t="shared" si="56"/>
        <v>1613</v>
      </c>
    </row>
    <row r="1189" spans="1:9" x14ac:dyDescent="0.2">
      <c r="A1189" t="str">
        <f t="shared" si="54"/>
        <v/>
      </c>
      <c r="B1189" s="20">
        <v>2019</v>
      </c>
      <c r="C1189" s="21" t="s">
        <v>137</v>
      </c>
      <c r="D1189" s="21" t="s">
        <v>137</v>
      </c>
      <c r="E1189" s="23">
        <v>15237753</v>
      </c>
      <c r="F1189" s="20">
        <v>219242597.19999999</v>
      </c>
      <c r="G1189" s="30">
        <f t="shared" si="55"/>
        <v>234480350.19999999</v>
      </c>
      <c r="H1189" t="str">
        <f>IFERROR(VLOOKUP(C1189,Sheet1!$B$2:$C$25,2,FALSE),"")</f>
        <v/>
      </c>
      <c r="I1189">
        <f t="shared" si="56"/>
        <v>1613</v>
      </c>
    </row>
    <row r="1190" spans="1:9" x14ac:dyDescent="0.2">
      <c r="A1190" t="str">
        <f t="shared" si="54"/>
        <v/>
      </c>
      <c r="B1190" s="20">
        <v>2020</v>
      </c>
      <c r="C1190" s="21" t="s">
        <v>137</v>
      </c>
      <c r="D1190" s="21" t="s">
        <v>137</v>
      </c>
      <c r="E1190" s="23">
        <v>17140130</v>
      </c>
      <c r="F1190" s="20">
        <v>239607788.59999999</v>
      </c>
      <c r="G1190" s="30">
        <f t="shared" si="55"/>
        <v>256747918.59999999</v>
      </c>
      <c r="H1190" t="str">
        <f>IFERROR(VLOOKUP(C1190,Sheet1!$B$2:$C$25,2,FALSE),"")</f>
        <v/>
      </c>
      <c r="I1190">
        <f t="shared" si="56"/>
        <v>1613</v>
      </c>
    </row>
    <row r="1191" spans="1:9" x14ac:dyDescent="0.2">
      <c r="A1191" t="str">
        <f t="shared" si="54"/>
        <v/>
      </c>
      <c r="B1191" s="20">
        <v>2021</v>
      </c>
      <c r="C1191" s="21" t="s">
        <v>137</v>
      </c>
      <c r="D1191" s="20" t="s">
        <v>137</v>
      </c>
      <c r="E1191" s="23">
        <v>20395258</v>
      </c>
      <c r="F1191" s="20">
        <v>266239395.80000001</v>
      </c>
      <c r="G1191" s="30">
        <f t="shared" si="55"/>
        <v>286634653.80000001</v>
      </c>
      <c r="H1191" t="str">
        <f>IFERROR(VLOOKUP(C1191,Sheet1!$B$2:$C$25,2,FALSE),"")</f>
        <v/>
      </c>
      <c r="I1191">
        <f t="shared" si="56"/>
        <v>1613</v>
      </c>
    </row>
    <row r="1192" spans="1:9" x14ac:dyDescent="0.2">
      <c r="A1192" t="str">
        <f t="shared" si="54"/>
        <v/>
      </c>
      <c r="B1192" s="20">
        <v>2022</v>
      </c>
      <c r="C1192" s="21" t="s">
        <v>137</v>
      </c>
      <c r="D1192" s="21" t="s">
        <v>137</v>
      </c>
      <c r="E1192" s="23">
        <v>16189374</v>
      </c>
      <c r="F1192" s="20">
        <v>222563777.19999999</v>
      </c>
      <c r="G1192" s="30">
        <f t="shared" si="55"/>
        <v>238753151.19999999</v>
      </c>
      <c r="H1192" t="str">
        <f>IFERROR(VLOOKUP(C1192,Sheet1!$B$2:$C$25,2,FALSE),"")</f>
        <v/>
      </c>
      <c r="I1192">
        <f t="shared" si="56"/>
        <v>1613</v>
      </c>
    </row>
    <row r="1193" spans="1:9" x14ac:dyDescent="0.2">
      <c r="A1193" t="str">
        <f t="shared" si="54"/>
        <v/>
      </c>
      <c r="B1193" s="20">
        <v>2023</v>
      </c>
      <c r="C1193" s="21" t="s">
        <v>137</v>
      </c>
      <c r="D1193" s="21" t="s">
        <v>137</v>
      </c>
      <c r="E1193" s="23">
        <v>17224754</v>
      </c>
      <c r="F1193" s="20">
        <v>230532010.59999999</v>
      </c>
      <c r="G1193" s="30">
        <f t="shared" si="55"/>
        <v>247756764.59999999</v>
      </c>
      <c r="H1193" t="str">
        <f>IFERROR(VLOOKUP(C1193,Sheet1!$B$2:$C$25,2,FALSE),"")</f>
        <v/>
      </c>
      <c r="I1193">
        <f t="shared" si="56"/>
        <v>1613</v>
      </c>
    </row>
    <row r="1194" spans="1:9" x14ac:dyDescent="0.2">
      <c r="A1194" t="str">
        <f t="shared" si="54"/>
        <v/>
      </c>
      <c r="B1194" s="20">
        <v>2015</v>
      </c>
      <c r="C1194" s="21" t="s">
        <v>138</v>
      </c>
      <c r="D1194" s="21" t="s">
        <v>252</v>
      </c>
      <c r="E1194" s="23">
        <v>224456</v>
      </c>
      <c r="F1194" s="20">
        <v>3521053.3489999999</v>
      </c>
      <c r="G1194" s="30">
        <f t="shared" si="55"/>
        <v>3745509.3489999999</v>
      </c>
      <c r="H1194" t="str">
        <f>IFERROR(VLOOKUP(C1194,Sheet1!$B$2:$C$25,2,FALSE),"")</f>
        <v/>
      </c>
      <c r="I1194">
        <f t="shared" si="56"/>
        <v>1613</v>
      </c>
    </row>
    <row r="1195" spans="1:9" x14ac:dyDescent="0.2">
      <c r="A1195" t="str">
        <f t="shared" si="54"/>
        <v/>
      </c>
      <c r="B1195" s="20">
        <v>2016</v>
      </c>
      <c r="C1195" s="21" t="s">
        <v>138</v>
      </c>
      <c r="D1195" s="21" t="s">
        <v>138</v>
      </c>
      <c r="E1195" s="23">
        <v>205149</v>
      </c>
      <c r="F1195" s="20">
        <v>3202137.486</v>
      </c>
      <c r="G1195" s="30">
        <f t="shared" si="55"/>
        <v>3407286.486</v>
      </c>
      <c r="H1195" t="str">
        <f>IFERROR(VLOOKUP(C1195,Sheet1!$B$2:$C$25,2,FALSE),"")</f>
        <v/>
      </c>
      <c r="I1195">
        <f t="shared" si="56"/>
        <v>1613</v>
      </c>
    </row>
    <row r="1196" spans="1:9" x14ac:dyDescent="0.2">
      <c r="A1196" t="str">
        <f t="shared" si="54"/>
        <v/>
      </c>
      <c r="B1196" s="20">
        <v>2017</v>
      </c>
      <c r="C1196" s="21" t="s">
        <v>138</v>
      </c>
      <c r="D1196" s="21" t="s">
        <v>138</v>
      </c>
      <c r="E1196" s="23">
        <v>193572</v>
      </c>
      <c r="F1196" s="20">
        <v>3199822.469</v>
      </c>
      <c r="G1196" s="30">
        <f t="shared" si="55"/>
        <v>3393394.469</v>
      </c>
      <c r="H1196" t="str">
        <f>IFERROR(VLOOKUP(C1196,Sheet1!$B$2:$C$25,2,FALSE),"")</f>
        <v/>
      </c>
      <c r="I1196">
        <f t="shared" si="56"/>
        <v>1613</v>
      </c>
    </row>
    <row r="1197" spans="1:9" x14ac:dyDescent="0.2">
      <c r="A1197" t="str">
        <f t="shared" si="54"/>
        <v/>
      </c>
      <c r="B1197" s="20">
        <v>2018</v>
      </c>
      <c r="C1197" s="21" t="s">
        <v>138</v>
      </c>
      <c r="D1197" s="21" t="s">
        <v>138</v>
      </c>
      <c r="E1197" s="23">
        <v>241870</v>
      </c>
      <c r="F1197" s="20">
        <v>3639249.78</v>
      </c>
      <c r="G1197" s="30">
        <f t="shared" si="55"/>
        <v>3881119.78</v>
      </c>
      <c r="H1197" t="str">
        <f>IFERROR(VLOOKUP(C1197,Sheet1!$B$2:$C$25,2,FALSE),"")</f>
        <v/>
      </c>
      <c r="I1197">
        <f t="shared" si="56"/>
        <v>1613</v>
      </c>
    </row>
    <row r="1198" spans="1:9" x14ac:dyDescent="0.2">
      <c r="A1198" t="str">
        <f t="shared" si="54"/>
        <v/>
      </c>
      <c r="B1198" s="20">
        <v>2019</v>
      </c>
      <c r="C1198" s="21" t="s">
        <v>138</v>
      </c>
      <c r="D1198" s="21" t="s">
        <v>138</v>
      </c>
      <c r="E1198" s="23">
        <v>274034</v>
      </c>
      <c r="F1198" s="20">
        <v>3942833.6889999998</v>
      </c>
      <c r="G1198" s="30">
        <f t="shared" si="55"/>
        <v>4216867.6889999993</v>
      </c>
      <c r="H1198" t="str">
        <f>IFERROR(VLOOKUP(C1198,Sheet1!$B$2:$C$25,2,FALSE),"")</f>
        <v/>
      </c>
      <c r="I1198">
        <f t="shared" si="56"/>
        <v>1613</v>
      </c>
    </row>
    <row r="1199" spans="1:9" x14ac:dyDescent="0.2">
      <c r="A1199" t="str">
        <f t="shared" si="54"/>
        <v/>
      </c>
      <c r="B1199" s="20">
        <v>2020</v>
      </c>
      <c r="C1199" s="21" t="s">
        <v>138</v>
      </c>
      <c r="D1199" s="21" t="s">
        <v>138</v>
      </c>
      <c r="E1199" s="23">
        <v>320411</v>
      </c>
      <c r="F1199" s="20">
        <v>4479135.8720000004</v>
      </c>
      <c r="G1199" s="30">
        <f t="shared" si="55"/>
        <v>4799546.8720000004</v>
      </c>
      <c r="H1199" t="str">
        <f>IFERROR(VLOOKUP(C1199,Sheet1!$B$2:$C$25,2,FALSE),"")</f>
        <v/>
      </c>
      <c r="I1199">
        <f t="shared" si="56"/>
        <v>1613</v>
      </c>
    </row>
    <row r="1200" spans="1:9" x14ac:dyDescent="0.2">
      <c r="A1200" t="str">
        <f t="shared" si="54"/>
        <v/>
      </c>
      <c r="B1200" s="20">
        <v>2021</v>
      </c>
      <c r="C1200" s="21" t="s">
        <v>138</v>
      </c>
      <c r="D1200" s="20" t="s">
        <v>138</v>
      </c>
      <c r="E1200" s="23">
        <v>373827</v>
      </c>
      <c r="F1200" s="20">
        <v>4879932.12</v>
      </c>
      <c r="G1200" s="30">
        <f t="shared" si="55"/>
        <v>5253759.12</v>
      </c>
      <c r="H1200" t="str">
        <f>IFERROR(VLOOKUP(C1200,Sheet1!$B$2:$C$25,2,FALSE),"")</f>
        <v/>
      </c>
      <c r="I1200">
        <f t="shared" si="56"/>
        <v>1613</v>
      </c>
    </row>
    <row r="1201" spans="1:9" x14ac:dyDescent="0.2">
      <c r="A1201" t="str">
        <f t="shared" si="54"/>
        <v/>
      </c>
      <c r="B1201" s="20">
        <v>2022</v>
      </c>
      <c r="C1201" s="21" t="s">
        <v>138</v>
      </c>
      <c r="D1201" s="21" t="s">
        <v>138</v>
      </c>
      <c r="E1201" s="23">
        <v>413491</v>
      </c>
      <c r="F1201" s="20">
        <v>5684476.6689999998</v>
      </c>
      <c r="G1201" s="30">
        <f t="shared" si="55"/>
        <v>6097967.6689999998</v>
      </c>
      <c r="H1201" t="str">
        <f>IFERROR(VLOOKUP(C1201,Sheet1!$B$2:$C$25,2,FALSE),"")</f>
        <v/>
      </c>
      <c r="I1201">
        <f t="shared" si="56"/>
        <v>1613</v>
      </c>
    </row>
    <row r="1202" spans="1:9" x14ac:dyDescent="0.2">
      <c r="A1202" t="str">
        <f t="shared" si="54"/>
        <v/>
      </c>
      <c r="B1202" s="20">
        <v>2023</v>
      </c>
      <c r="C1202" s="21" t="s">
        <v>138</v>
      </c>
      <c r="D1202" s="21" t="s">
        <v>138</v>
      </c>
      <c r="E1202" s="23">
        <v>410211</v>
      </c>
      <c r="F1202" s="20">
        <v>5490166.4539999999</v>
      </c>
      <c r="G1202" s="30">
        <f t="shared" si="55"/>
        <v>5900377.4539999999</v>
      </c>
      <c r="H1202" t="str">
        <f>IFERROR(VLOOKUP(C1202,Sheet1!$B$2:$C$25,2,FALSE),"")</f>
        <v/>
      </c>
      <c r="I1202">
        <f t="shared" si="56"/>
        <v>1613</v>
      </c>
    </row>
    <row r="1203" spans="1:9" x14ac:dyDescent="0.2">
      <c r="A1203" t="str">
        <f t="shared" si="54"/>
        <v/>
      </c>
      <c r="B1203" s="20">
        <v>2015</v>
      </c>
      <c r="C1203" s="21" t="s">
        <v>142</v>
      </c>
      <c r="D1203" s="21" t="s">
        <v>142</v>
      </c>
      <c r="E1203" s="23">
        <v>58497</v>
      </c>
      <c r="F1203" s="20">
        <v>917645.58660000004</v>
      </c>
      <c r="G1203" s="30">
        <f t="shared" si="55"/>
        <v>976142.58660000004</v>
      </c>
      <c r="H1203" t="str">
        <f>IFERROR(VLOOKUP(C1203,Sheet1!$B$2:$C$25,2,FALSE),"")</f>
        <v/>
      </c>
      <c r="I1203">
        <f t="shared" si="56"/>
        <v>1613</v>
      </c>
    </row>
    <row r="1204" spans="1:9" x14ac:dyDescent="0.2">
      <c r="A1204" t="str">
        <f t="shared" si="54"/>
        <v/>
      </c>
      <c r="B1204" s="20">
        <v>2016</v>
      </c>
      <c r="C1204" s="21" t="s">
        <v>142</v>
      </c>
      <c r="D1204" s="21" t="s">
        <v>142</v>
      </c>
      <c r="E1204" s="23">
        <v>67025</v>
      </c>
      <c r="F1204" s="20">
        <v>1046182.36</v>
      </c>
      <c r="G1204" s="30">
        <f t="shared" si="55"/>
        <v>1113207.3599999999</v>
      </c>
      <c r="H1204" t="str">
        <f>IFERROR(VLOOKUP(C1204,Sheet1!$B$2:$C$25,2,FALSE),"")</f>
        <v/>
      </c>
      <c r="I1204">
        <f t="shared" si="56"/>
        <v>1613</v>
      </c>
    </row>
    <row r="1205" spans="1:9" x14ac:dyDescent="0.2">
      <c r="A1205" t="str">
        <f t="shared" si="54"/>
        <v/>
      </c>
      <c r="B1205" s="20">
        <v>2017</v>
      </c>
      <c r="C1205" s="21" t="s">
        <v>142</v>
      </c>
      <c r="D1205" s="21" t="s">
        <v>142</v>
      </c>
      <c r="E1205" s="23">
        <v>96118</v>
      </c>
      <c r="F1205" s="20">
        <v>1588868.9280000001</v>
      </c>
      <c r="G1205" s="30">
        <f t="shared" si="55"/>
        <v>1684986.9280000001</v>
      </c>
      <c r="H1205" t="str">
        <f>IFERROR(VLOOKUP(C1205,Sheet1!$B$2:$C$25,2,FALSE),"")</f>
        <v/>
      </c>
      <c r="I1205">
        <f t="shared" si="56"/>
        <v>1613</v>
      </c>
    </row>
    <row r="1206" spans="1:9" x14ac:dyDescent="0.2">
      <c r="A1206" t="str">
        <f t="shared" si="54"/>
        <v/>
      </c>
      <c r="B1206" s="20">
        <v>2018</v>
      </c>
      <c r="C1206" s="21" t="s">
        <v>142</v>
      </c>
      <c r="D1206" s="21" t="s">
        <v>142</v>
      </c>
      <c r="E1206" s="23">
        <v>74153</v>
      </c>
      <c r="F1206" s="20">
        <v>1115728.652</v>
      </c>
      <c r="G1206" s="30">
        <f t="shared" si="55"/>
        <v>1189881.652</v>
      </c>
      <c r="H1206" t="str">
        <f>IFERROR(VLOOKUP(C1206,Sheet1!$B$2:$C$25,2,FALSE),"")</f>
        <v/>
      </c>
      <c r="I1206">
        <f t="shared" si="56"/>
        <v>1613</v>
      </c>
    </row>
    <row r="1207" spans="1:9" x14ac:dyDescent="0.2">
      <c r="A1207" t="str">
        <f t="shared" si="54"/>
        <v/>
      </c>
      <c r="B1207" s="20">
        <v>2019</v>
      </c>
      <c r="C1207" s="21" t="s">
        <v>142</v>
      </c>
      <c r="D1207" s="21" t="s">
        <v>142</v>
      </c>
      <c r="E1207" s="23">
        <v>76353</v>
      </c>
      <c r="F1207" s="20">
        <v>1098576.0190000001</v>
      </c>
      <c r="G1207" s="30">
        <f t="shared" si="55"/>
        <v>1174929.0190000001</v>
      </c>
      <c r="H1207" t="str">
        <f>IFERROR(VLOOKUP(C1207,Sheet1!$B$2:$C$25,2,FALSE),"")</f>
        <v/>
      </c>
      <c r="I1207">
        <f t="shared" si="56"/>
        <v>1613</v>
      </c>
    </row>
    <row r="1208" spans="1:9" x14ac:dyDescent="0.2">
      <c r="A1208" t="str">
        <f t="shared" si="54"/>
        <v/>
      </c>
      <c r="B1208" s="20">
        <v>2020</v>
      </c>
      <c r="C1208" s="21" t="s">
        <v>142</v>
      </c>
      <c r="D1208" s="21" t="s">
        <v>142</v>
      </c>
      <c r="E1208" s="23">
        <v>81454</v>
      </c>
      <c r="F1208" s="20">
        <v>1138673.558</v>
      </c>
      <c r="G1208" s="30">
        <f t="shared" si="55"/>
        <v>1220127.558</v>
      </c>
      <c r="H1208" t="str">
        <f>IFERROR(VLOOKUP(C1208,Sheet1!$B$2:$C$25,2,FALSE),"")</f>
        <v/>
      </c>
      <c r="I1208">
        <f t="shared" si="56"/>
        <v>1613</v>
      </c>
    </row>
    <row r="1209" spans="1:9" x14ac:dyDescent="0.2">
      <c r="A1209" t="str">
        <f t="shared" si="54"/>
        <v/>
      </c>
      <c r="B1209" s="20">
        <v>2021</v>
      </c>
      <c r="C1209" s="21" t="s">
        <v>142</v>
      </c>
      <c r="D1209" s="20" t="s">
        <v>142</v>
      </c>
      <c r="E1209" s="23">
        <v>87427</v>
      </c>
      <c r="F1209" s="20">
        <v>1141270.763</v>
      </c>
      <c r="G1209" s="30">
        <f t="shared" si="55"/>
        <v>1228697.763</v>
      </c>
      <c r="H1209" t="str">
        <f>IFERROR(VLOOKUP(C1209,Sheet1!$B$2:$C$25,2,FALSE),"")</f>
        <v/>
      </c>
      <c r="I1209">
        <f t="shared" si="56"/>
        <v>1613</v>
      </c>
    </row>
    <row r="1210" spans="1:9" x14ac:dyDescent="0.2">
      <c r="A1210" t="str">
        <f t="shared" si="54"/>
        <v/>
      </c>
      <c r="B1210" s="20">
        <v>2022</v>
      </c>
      <c r="C1210" s="21" t="s">
        <v>142</v>
      </c>
      <c r="D1210" s="21" t="s">
        <v>142</v>
      </c>
      <c r="E1210" s="23">
        <v>87596</v>
      </c>
      <c r="F1210" s="20">
        <v>1204227.9480000001</v>
      </c>
      <c r="G1210" s="30">
        <f t="shared" si="55"/>
        <v>1291823.9480000001</v>
      </c>
      <c r="H1210" t="str">
        <f>IFERROR(VLOOKUP(C1210,Sheet1!$B$2:$C$25,2,FALSE),"")</f>
        <v/>
      </c>
      <c r="I1210">
        <f t="shared" si="56"/>
        <v>1613</v>
      </c>
    </row>
    <row r="1211" spans="1:9" x14ac:dyDescent="0.2">
      <c r="A1211" t="str">
        <f t="shared" si="54"/>
        <v/>
      </c>
      <c r="B1211" s="20">
        <v>2023</v>
      </c>
      <c r="C1211" s="21" t="s">
        <v>142</v>
      </c>
      <c r="D1211" s="21" t="s">
        <v>142</v>
      </c>
      <c r="E1211" s="23">
        <v>93465</v>
      </c>
      <c r="F1211" s="20">
        <v>1250913.3289999999</v>
      </c>
      <c r="G1211" s="30">
        <f t="shared" si="55"/>
        <v>1344378.3289999999</v>
      </c>
      <c r="H1211" t="str">
        <f>IFERROR(VLOOKUP(C1211,Sheet1!$B$2:$C$25,2,FALSE),"")</f>
        <v/>
      </c>
      <c r="I1211">
        <f t="shared" si="56"/>
        <v>1613</v>
      </c>
    </row>
    <row r="1212" spans="1:9" x14ac:dyDescent="0.2">
      <c r="A1212">
        <f t="shared" si="54"/>
        <v>2400510</v>
      </c>
      <c r="B1212" s="20">
        <v>2015</v>
      </c>
      <c r="C1212" s="21" t="s">
        <v>139</v>
      </c>
      <c r="D1212" s="21" t="s">
        <v>253</v>
      </c>
      <c r="E1212" s="23">
        <v>18599969</v>
      </c>
      <c r="F1212" s="20">
        <v>291778714.5</v>
      </c>
      <c r="G1212" s="30">
        <f t="shared" si="55"/>
        <v>310378683.5</v>
      </c>
      <c r="H1212">
        <f>IFERROR(VLOOKUP(C1212,Sheet1!$B$2:$C$25,2,FALSE),"")</f>
        <v>2400510</v>
      </c>
      <c r="I1212">
        <f t="shared" si="56"/>
        <v>9</v>
      </c>
    </row>
    <row r="1213" spans="1:9" x14ac:dyDescent="0.2">
      <c r="A1213">
        <f t="shared" si="54"/>
        <v>2400510</v>
      </c>
      <c r="B1213" s="20">
        <v>2016</v>
      </c>
      <c r="C1213" s="21" t="s">
        <v>139</v>
      </c>
      <c r="D1213" s="21" t="s">
        <v>139</v>
      </c>
      <c r="E1213" s="23">
        <v>17033693</v>
      </c>
      <c r="F1213" s="20">
        <v>265876152.90000001</v>
      </c>
      <c r="G1213" s="30">
        <f t="shared" si="55"/>
        <v>282909845.89999998</v>
      </c>
      <c r="H1213">
        <f>IFERROR(VLOOKUP(C1213,Sheet1!$B$2:$C$25,2,FALSE),"")</f>
        <v>2400510</v>
      </c>
      <c r="I1213">
        <f t="shared" si="56"/>
        <v>9</v>
      </c>
    </row>
    <row r="1214" spans="1:9" x14ac:dyDescent="0.2">
      <c r="A1214">
        <f t="shared" si="54"/>
        <v>2400510</v>
      </c>
      <c r="B1214" s="20">
        <v>2017</v>
      </c>
      <c r="C1214" s="21" t="s">
        <v>139</v>
      </c>
      <c r="D1214" s="21" t="s">
        <v>139</v>
      </c>
      <c r="E1214" s="23">
        <v>16609195</v>
      </c>
      <c r="F1214" s="20">
        <v>274556626.69999999</v>
      </c>
      <c r="G1214" s="30">
        <f t="shared" si="55"/>
        <v>291165821.69999999</v>
      </c>
      <c r="H1214">
        <f>IFERROR(VLOOKUP(C1214,Sheet1!$B$2:$C$25,2,FALSE),"")</f>
        <v>2400510</v>
      </c>
      <c r="I1214">
        <f t="shared" si="56"/>
        <v>9</v>
      </c>
    </row>
    <row r="1215" spans="1:9" x14ac:dyDescent="0.2">
      <c r="A1215">
        <f t="shared" si="54"/>
        <v>2400510</v>
      </c>
      <c r="B1215" s="20">
        <v>2018</v>
      </c>
      <c r="C1215" s="21" t="s">
        <v>139</v>
      </c>
      <c r="D1215" s="21" t="s">
        <v>139</v>
      </c>
      <c r="E1215" s="23">
        <v>17344515</v>
      </c>
      <c r="F1215" s="20">
        <v>260970862</v>
      </c>
      <c r="G1215" s="30">
        <f t="shared" si="55"/>
        <v>278315377</v>
      </c>
      <c r="H1215">
        <f>IFERROR(VLOOKUP(C1215,Sheet1!$B$2:$C$25,2,FALSE),"")</f>
        <v>2400510</v>
      </c>
      <c r="I1215">
        <f t="shared" si="56"/>
        <v>9</v>
      </c>
    </row>
    <row r="1216" spans="1:9" x14ac:dyDescent="0.2">
      <c r="A1216">
        <f t="shared" si="54"/>
        <v>2400510</v>
      </c>
      <c r="B1216" s="20">
        <v>2019</v>
      </c>
      <c r="C1216" s="21" t="s">
        <v>139</v>
      </c>
      <c r="D1216" s="21" t="s">
        <v>139</v>
      </c>
      <c r="E1216" s="23">
        <v>18606967</v>
      </c>
      <c r="F1216" s="20">
        <v>267719247.80000001</v>
      </c>
      <c r="G1216" s="30">
        <f t="shared" si="55"/>
        <v>286326214.80000001</v>
      </c>
      <c r="H1216">
        <f>IFERROR(VLOOKUP(C1216,Sheet1!$B$2:$C$25,2,FALSE),"")</f>
        <v>2400510</v>
      </c>
      <c r="I1216">
        <f t="shared" si="56"/>
        <v>9</v>
      </c>
    </row>
    <row r="1217" spans="1:9" x14ac:dyDescent="0.2">
      <c r="A1217">
        <f t="shared" si="54"/>
        <v>2400510</v>
      </c>
      <c r="B1217" s="20">
        <v>2020</v>
      </c>
      <c r="C1217" s="21" t="s">
        <v>139</v>
      </c>
      <c r="D1217" s="21" t="s">
        <v>139</v>
      </c>
      <c r="E1217" s="23">
        <v>19701282</v>
      </c>
      <c r="F1217" s="20">
        <v>275411015.69999999</v>
      </c>
      <c r="G1217" s="30">
        <f t="shared" si="55"/>
        <v>295112297.69999999</v>
      </c>
      <c r="H1217">
        <f>IFERROR(VLOOKUP(C1217,Sheet1!$B$2:$C$25,2,FALSE),"")</f>
        <v>2400510</v>
      </c>
      <c r="I1217">
        <f t="shared" si="56"/>
        <v>9</v>
      </c>
    </row>
    <row r="1218" spans="1:9" x14ac:dyDescent="0.2">
      <c r="A1218">
        <f t="shared" si="54"/>
        <v>2400510</v>
      </c>
      <c r="B1218" s="20">
        <v>2021</v>
      </c>
      <c r="C1218" s="21" t="s">
        <v>139</v>
      </c>
      <c r="D1218" s="20" t="s">
        <v>139</v>
      </c>
      <c r="E1218" s="23">
        <v>22772302</v>
      </c>
      <c r="F1218" s="20">
        <v>297269293</v>
      </c>
      <c r="G1218" s="30">
        <f t="shared" si="55"/>
        <v>320041595</v>
      </c>
      <c r="H1218">
        <f>IFERROR(VLOOKUP(C1218,Sheet1!$B$2:$C$25,2,FALSE),"")</f>
        <v>2400510</v>
      </c>
      <c r="I1218">
        <f t="shared" si="56"/>
        <v>9</v>
      </c>
    </row>
    <row r="1219" spans="1:9" x14ac:dyDescent="0.2">
      <c r="A1219">
        <f t="shared" ref="A1219:A1282" si="57">H1219</f>
        <v>2400510</v>
      </c>
      <c r="B1219" s="20">
        <v>2022</v>
      </c>
      <c r="C1219" s="21" t="s">
        <v>139</v>
      </c>
      <c r="D1219" s="21" t="s">
        <v>139</v>
      </c>
      <c r="E1219" s="23">
        <v>22109883</v>
      </c>
      <c r="F1219" s="20">
        <v>303956105.60000002</v>
      </c>
      <c r="G1219" s="30">
        <f t="shared" ref="G1219:G1282" si="58">SUM(E1219:F1219)</f>
        <v>326065988.60000002</v>
      </c>
      <c r="H1219">
        <f>IFERROR(VLOOKUP(C1219,Sheet1!$B$2:$C$25,2,FALSE),"")</f>
        <v>2400510</v>
      </c>
      <c r="I1219">
        <f t="shared" ref="I1219:I1282" si="59">COUNTIF($H$2:$H$1812,H1219)</f>
        <v>9</v>
      </c>
    </row>
    <row r="1220" spans="1:9" x14ac:dyDescent="0.2">
      <c r="A1220">
        <f t="shared" si="57"/>
        <v>2400510</v>
      </c>
      <c r="B1220" s="20">
        <v>2023</v>
      </c>
      <c r="C1220" s="21" t="s">
        <v>139</v>
      </c>
      <c r="D1220" s="21" t="s">
        <v>139</v>
      </c>
      <c r="E1220" s="23">
        <v>23297903</v>
      </c>
      <c r="F1220" s="20">
        <v>311813592.30000001</v>
      </c>
      <c r="G1220" s="30">
        <f t="shared" si="58"/>
        <v>335111495.30000001</v>
      </c>
      <c r="H1220">
        <f>IFERROR(VLOOKUP(C1220,Sheet1!$B$2:$C$25,2,FALSE),"")</f>
        <v>2400510</v>
      </c>
      <c r="I1220">
        <f t="shared" si="59"/>
        <v>9</v>
      </c>
    </row>
    <row r="1221" spans="1:9" x14ac:dyDescent="0.2">
      <c r="A1221" t="str">
        <f t="shared" si="57"/>
        <v/>
      </c>
      <c r="B1221" s="20">
        <v>2015</v>
      </c>
      <c r="C1221" s="21" t="s">
        <v>143</v>
      </c>
      <c r="D1221" s="21" t="s">
        <v>143</v>
      </c>
      <c r="E1221" s="23">
        <v>45819</v>
      </c>
      <c r="F1221" s="20">
        <v>718765.11840000004</v>
      </c>
      <c r="G1221" s="30">
        <f t="shared" si="58"/>
        <v>764584.11840000004</v>
      </c>
      <c r="H1221" t="str">
        <f>IFERROR(VLOOKUP(C1221,Sheet1!$B$2:$C$25,2,FALSE),"")</f>
        <v/>
      </c>
      <c r="I1221">
        <f t="shared" si="59"/>
        <v>1613</v>
      </c>
    </row>
    <row r="1222" spans="1:9" x14ac:dyDescent="0.2">
      <c r="A1222" t="str">
        <f t="shared" si="57"/>
        <v/>
      </c>
      <c r="B1222" s="20">
        <v>2016</v>
      </c>
      <c r="C1222" s="21" t="s">
        <v>143</v>
      </c>
      <c r="D1222" s="21" t="s">
        <v>143</v>
      </c>
      <c r="E1222" s="23">
        <v>27860</v>
      </c>
      <c r="F1222" s="20">
        <v>434862.22389999998</v>
      </c>
      <c r="G1222" s="30">
        <f t="shared" si="58"/>
        <v>462722.22389999998</v>
      </c>
      <c r="H1222" t="str">
        <f>IFERROR(VLOOKUP(C1222,Sheet1!$B$2:$C$25,2,FALSE),"")</f>
        <v/>
      </c>
      <c r="I1222">
        <f t="shared" si="59"/>
        <v>1613</v>
      </c>
    </row>
    <row r="1223" spans="1:9" x14ac:dyDescent="0.2">
      <c r="A1223" t="str">
        <f t="shared" si="57"/>
        <v/>
      </c>
      <c r="B1223" s="20">
        <v>2017</v>
      </c>
      <c r="C1223" s="21" t="s">
        <v>143</v>
      </c>
      <c r="D1223" s="21" t="s">
        <v>143</v>
      </c>
      <c r="E1223" s="23">
        <v>29325</v>
      </c>
      <c r="F1223" s="20">
        <v>484753.96179999999</v>
      </c>
      <c r="G1223" s="30">
        <f t="shared" si="58"/>
        <v>514078.96179999999</v>
      </c>
      <c r="H1223" t="str">
        <f>IFERROR(VLOOKUP(C1223,Sheet1!$B$2:$C$25,2,FALSE),"")</f>
        <v/>
      </c>
      <c r="I1223">
        <f t="shared" si="59"/>
        <v>1613</v>
      </c>
    </row>
    <row r="1224" spans="1:9" x14ac:dyDescent="0.2">
      <c r="A1224" t="str">
        <f t="shared" si="57"/>
        <v/>
      </c>
      <c r="B1224" s="20">
        <v>2018</v>
      </c>
      <c r="C1224" s="21" t="s">
        <v>143</v>
      </c>
      <c r="D1224" s="21" t="s">
        <v>143</v>
      </c>
      <c r="E1224" s="23">
        <v>32764</v>
      </c>
      <c r="F1224" s="20">
        <v>492977.13559999998</v>
      </c>
      <c r="G1224" s="30">
        <f t="shared" si="58"/>
        <v>525741.13559999992</v>
      </c>
      <c r="H1224" t="str">
        <f>IFERROR(VLOOKUP(C1224,Sheet1!$B$2:$C$25,2,FALSE),"")</f>
        <v/>
      </c>
      <c r="I1224">
        <f t="shared" si="59"/>
        <v>1613</v>
      </c>
    </row>
    <row r="1225" spans="1:9" x14ac:dyDescent="0.2">
      <c r="A1225" t="str">
        <f t="shared" si="57"/>
        <v/>
      </c>
      <c r="B1225" s="20">
        <v>2019</v>
      </c>
      <c r="C1225" s="21" t="s">
        <v>143</v>
      </c>
      <c r="D1225" s="21" t="s">
        <v>143</v>
      </c>
      <c r="E1225" s="23">
        <v>37877</v>
      </c>
      <c r="F1225" s="20">
        <v>544978.76780000003</v>
      </c>
      <c r="G1225" s="30">
        <f t="shared" si="58"/>
        <v>582855.76780000003</v>
      </c>
      <c r="H1225" t="str">
        <f>IFERROR(VLOOKUP(C1225,Sheet1!$B$2:$C$25,2,FALSE),"")</f>
        <v/>
      </c>
      <c r="I1225">
        <f t="shared" si="59"/>
        <v>1613</v>
      </c>
    </row>
    <row r="1226" spans="1:9" x14ac:dyDescent="0.2">
      <c r="A1226" t="str">
        <f t="shared" si="57"/>
        <v/>
      </c>
      <c r="B1226" s="20">
        <v>2020</v>
      </c>
      <c r="C1226" s="21" t="s">
        <v>143</v>
      </c>
      <c r="D1226" s="21" t="s">
        <v>143</v>
      </c>
      <c r="E1226" s="23">
        <v>41141</v>
      </c>
      <c r="F1226" s="20">
        <v>575124.22770000005</v>
      </c>
      <c r="G1226" s="30">
        <f t="shared" si="58"/>
        <v>616265.22770000005</v>
      </c>
      <c r="H1226" t="str">
        <f>IFERROR(VLOOKUP(C1226,Sheet1!$B$2:$C$25,2,FALSE),"")</f>
        <v/>
      </c>
      <c r="I1226">
        <f t="shared" si="59"/>
        <v>1613</v>
      </c>
    </row>
    <row r="1227" spans="1:9" x14ac:dyDescent="0.2">
      <c r="A1227" t="str">
        <f t="shared" si="57"/>
        <v/>
      </c>
      <c r="B1227" s="20">
        <v>2021</v>
      </c>
      <c r="C1227" s="21" t="s">
        <v>143</v>
      </c>
      <c r="D1227" s="20" t="s">
        <v>143</v>
      </c>
      <c r="E1227" s="23">
        <v>34567</v>
      </c>
      <c r="F1227" s="20">
        <v>451237.10590000002</v>
      </c>
      <c r="G1227" s="30">
        <f t="shared" si="58"/>
        <v>485804.10590000002</v>
      </c>
      <c r="H1227" t="str">
        <f>IFERROR(VLOOKUP(C1227,Sheet1!$B$2:$C$25,2,FALSE),"")</f>
        <v/>
      </c>
      <c r="I1227">
        <f t="shared" si="59"/>
        <v>1613</v>
      </c>
    </row>
    <row r="1228" spans="1:9" x14ac:dyDescent="0.2">
      <c r="A1228" t="str">
        <f t="shared" si="57"/>
        <v/>
      </c>
      <c r="B1228" s="20">
        <v>2022</v>
      </c>
      <c r="C1228" s="21" t="s">
        <v>143</v>
      </c>
      <c r="D1228" s="21" t="s">
        <v>143</v>
      </c>
      <c r="E1228" s="23">
        <v>50654</v>
      </c>
      <c r="F1228" s="20">
        <v>696366.98549999995</v>
      </c>
      <c r="G1228" s="30">
        <f t="shared" si="58"/>
        <v>747020.98549999995</v>
      </c>
      <c r="H1228" t="str">
        <f>IFERROR(VLOOKUP(C1228,Sheet1!$B$2:$C$25,2,FALSE),"")</f>
        <v/>
      </c>
      <c r="I1228">
        <f t="shared" si="59"/>
        <v>1613</v>
      </c>
    </row>
    <row r="1229" spans="1:9" x14ac:dyDescent="0.2">
      <c r="A1229" t="str">
        <f t="shared" si="57"/>
        <v/>
      </c>
      <c r="B1229" s="20">
        <v>2023</v>
      </c>
      <c r="C1229" s="21" t="s">
        <v>143</v>
      </c>
      <c r="D1229" s="21" t="s">
        <v>143</v>
      </c>
      <c r="E1229" s="23">
        <v>63766</v>
      </c>
      <c r="F1229" s="20">
        <v>853428.97710000002</v>
      </c>
      <c r="G1229" s="30">
        <f t="shared" si="58"/>
        <v>917194.97710000002</v>
      </c>
      <c r="H1229" t="str">
        <f>IFERROR(VLOOKUP(C1229,Sheet1!$B$2:$C$25,2,FALSE),"")</f>
        <v/>
      </c>
      <c r="I1229">
        <f t="shared" si="59"/>
        <v>1613</v>
      </c>
    </row>
    <row r="1230" spans="1:9" x14ac:dyDescent="0.2">
      <c r="A1230" t="str">
        <f t="shared" si="57"/>
        <v/>
      </c>
      <c r="B1230" s="20">
        <v>2015</v>
      </c>
      <c r="C1230" s="21" t="s">
        <v>144</v>
      </c>
      <c r="D1230" s="21" t="s">
        <v>144</v>
      </c>
      <c r="E1230" s="23">
        <v>115785</v>
      </c>
      <c r="F1230" s="20">
        <v>1816325.5249999999</v>
      </c>
      <c r="G1230" s="30">
        <f t="shared" si="58"/>
        <v>1932110.5249999999</v>
      </c>
      <c r="H1230" t="str">
        <f>IFERROR(VLOOKUP(C1230,Sheet1!$B$2:$C$25,2,FALSE),"")</f>
        <v/>
      </c>
      <c r="I1230">
        <f t="shared" si="59"/>
        <v>1613</v>
      </c>
    </row>
    <row r="1231" spans="1:9" x14ac:dyDescent="0.2">
      <c r="A1231" t="str">
        <f t="shared" si="57"/>
        <v/>
      </c>
      <c r="B1231" s="20">
        <v>2016</v>
      </c>
      <c r="C1231" s="21" t="s">
        <v>144</v>
      </c>
      <c r="D1231" s="21" t="s">
        <v>144</v>
      </c>
      <c r="E1231" s="23">
        <v>105917</v>
      </c>
      <c r="F1231" s="20">
        <v>1653241.284</v>
      </c>
      <c r="G1231" s="30">
        <f t="shared" si="58"/>
        <v>1759158.284</v>
      </c>
      <c r="H1231" t="str">
        <f>IFERROR(VLOOKUP(C1231,Sheet1!$B$2:$C$25,2,FALSE),"")</f>
        <v/>
      </c>
      <c r="I1231">
        <f t="shared" si="59"/>
        <v>1613</v>
      </c>
    </row>
    <row r="1232" spans="1:9" x14ac:dyDescent="0.2">
      <c r="A1232" t="str">
        <f t="shared" si="57"/>
        <v/>
      </c>
      <c r="B1232" s="20">
        <v>2017</v>
      </c>
      <c r="C1232" s="21" t="s">
        <v>144</v>
      </c>
      <c r="D1232" s="21" t="s">
        <v>144</v>
      </c>
      <c r="E1232" s="23">
        <v>128470</v>
      </c>
      <c r="F1232" s="20">
        <v>2123660.4079999998</v>
      </c>
      <c r="G1232" s="30">
        <f t="shared" si="58"/>
        <v>2252130.4079999998</v>
      </c>
      <c r="H1232" t="str">
        <f>IFERROR(VLOOKUP(C1232,Sheet1!$B$2:$C$25,2,FALSE),"")</f>
        <v/>
      </c>
      <c r="I1232">
        <f t="shared" si="59"/>
        <v>1613</v>
      </c>
    </row>
    <row r="1233" spans="1:9" x14ac:dyDescent="0.2">
      <c r="A1233" t="str">
        <f t="shared" si="57"/>
        <v/>
      </c>
      <c r="B1233" s="20">
        <v>2018</v>
      </c>
      <c r="C1233" s="21" t="s">
        <v>144</v>
      </c>
      <c r="D1233" s="21" t="s">
        <v>144</v>
      </c>
      <c r="E1233" s="23">
        <v>126459</v>
      </c>
      <c r="F1233" s="20">
        <v>1902740.679</v>
      </c>
      <c r="G1233" s="30">
        <f t="shared" si="58"/>
        <v>2029199.679</v>
      </c>
      <c r="H1233" t="str">
        <f>IFERROR(VLOOKUP(C1233,Sheet1!$B$2:$C$25,2,FALSE),"")</f>
        <v/>
      </c>
      <c r="I1233">
        <f t="shared" si="59"/>
        <v>1613</v>
      </c>
    </row>
    <row r="1234" spans="1:9" x14ac:dyDescent="0.2">
      <c r="A1234" t="str">
        <f t="shared" si="57"/>
        <v/>
      </c>
      <c r="B1234" s="20">
        <v>2019</v>
      </c>
      <c r="C1234" s="21" t="s">
        <v>144</v>
      </c>
      <c r="D1234" s="21" t="s">
        <v>144</v>
      </c>
      <c r="E1234" s="23">
        <v>135438</v>
      </c>
      <c r="F1234" s="20">
        <v>1948698.0049999999</v>
      </c>
      <c r="G1234" s="30">
        <f t="shared" si="58"/>
        <v>2084136.0049999999</v>
      </c>
      <c r="H1234" t="str">
        <f>IFERROR(VLOOKUP(C1234,Sheet1!$B$2:$C$25,2,FALSE),"")</f>
        <v/>
      </c>
      <c r="I1234">
        <f t="shared" si="59"/>
        <v>1613</v>
      </c>
    </row>
    <row r="1235" spans="1:9" x14ac:dyDescent="0.2">
      <c r="A1235" t="str">
        <f t="shared" si="57"/>
        <v/>
      </c>
      <c r="B1235" s="20">
        <v>2020</v>
      </c>
      <c r="C1235" s="21" t="s">
        <v>144</v>
      </c>
      <c r="D1235" s="21" t="s">
        <v>144</v>
      </c>
      <c r="E1235" s="23">
        <v>147640</v>
      </c>
      <c r="F1235" s="20">
        <v>2063910.4779999999</v>
      </c>
      <c r="G1235" s="30">
        <f t="shared" si="58"/>
        <v>2211550.4780000001</v>
      </c>
      <c r="H1235" t="str">
        <f>IFERROR(VLOOKUP(C1235,Sheet1!$B$2:$C$25,2,FALSE),"")</f>
        <v/>
      </c>
      <c r="I1235">
        <f t="shared" si="59"/>
        <v>1613</v>
      </c>
    </row>
    <row r="1236" spans="1:9" x14ac:dyDescent="0.2">
      <c r="A1236" t="str">
        <f t="shared" si="57"/>
        <v/>
      </c>
      <c r="B1236" s="20">
        <v>2021</v>
      </c>
      <c r="C1236" s="21" t="s">
        <v>144</v>
      </c>
      <c r="D1236" s="20" t="s">
        <v>144</v>
      </c>
      <c r="E1236" s="23">
        <v>143063</v>
      </c>
      <c r="F1236" s="20">
        <v>1867542.2830000001</v>
      </c>
      <c r="G1236" s="30">
        <f t="shared" si="58"/>
        <v>2010605.2830000001</v>
      </c>
      <c r="H1236" t="str">
        <f>IFERROR(VLOOKUP(C1236,Sheet1!$B$2:$C$25,2,FALSE),"")</f>
        <v/>
      </c>
      <c r="I1236">
        <f t="shared" si="59"/>
        <v>1613</v>
      </c>
    </row>
    <row r="1237" spans="1:9" x14ac:dyDescent="0.2">
      <c r="A1237" t="str">
        <f t="shared" si="57"/>
        <v/>
      </c>
      <c r="B1237" s="20">
        <v>2022</v>
      </c>
      <c r="C1237" s="21" t="s">
        <v>144</v>
      </c>
      <c r="D1237" s="21" t="s">
        <v>144</v>
      </c>
      <c r="E1237" s="23">
        <v>154449</v>
      </c>
      <c r="F1237" s="20">
        <v>2123291.0440000002</v>
      </c>
      <c r="G1237" s="30">
        <f t="shared" si="58"/>
        <v>2277740.0440000002</v>
      </c>
      <c r="H1237" t="str">
        <f>IFERROR(VLOOKUP(C1237,Sheet1!$B$2:$C$25,2,FALSE),"")</f>
        <v/>
      </c>
      <c r="I1237">
        <f t="shared" si="59"/>
        <v>1613</v>
      </c>
    </row>
    <row r="1238" spans="1:9" x14ac:dyDescent="0.2">
      <c r="A1238" t="str">
        <f t="shared" si="57"/>
        <v/>
      </c>
      <c r="B1238" s="20">
        <v>2023</v>
      </c>
      <c r="C1238" s="21" t="s">
        <v>144</v>
      </c>
      <c r="D1238" s="21" t="s">
        <v>144</v>
      </c>
      <c r="E1238" s="23">
        <v>160663</v>
      </c>
      <c r="F1238" s="20">
        <v>2150275.378</v>
      </c>
      <c r="G1238" s="30">
        <f t="shared" si="58"/>
        <v>2310938.378</v>
      </c>
      <c r="H1238" t="str">
        <f>IFERROR(VLOOKUP(C1238,Sheet1!$B$2:$C$25,2,FALSE),"")</f>
        <v/>
      </c>
      <c r="I1238">
        <f t="shared" si="59"/>
        <v>1613</v>
      </c>
    </row>
    <row r="1239" spans="1:9" x14ac:dyDescent="0.2">
      <c r="A1239" t="str">
        <f t="shared" si="57"/>
        <v/>
      </c>
      <c r="B1239" s="20">
        <v>2015</v>
      </c>
      <c r="C1239" s="21" t="s">
        <v>147</v>
      </c>
      <c r="D1239" s="21" t="s">
        <v>147</v>
      </c>
      <c r="E1239" s="23">
        <v>22813</v>
      </c>
      <c r="F1239" s="20">
        <v>357868.7585</v>
      </c>
      <c r="G1239" s="30">
        <f t="shared" si="58"/>
        <v>380681.7585</v>
      </c>
      <c r="H1239" t="str">
        <f>IFERROR(VLOOKUP(C1239,Sheet1!$B$2:$C$25,2,FALSE),"")</f>
        <v/>
      </c>
      <c r="I1239">
        <f t="shared" si="59"/>
        <v>1613</v>
      </c>
    </row>
    <row r="1240" spans="1:9" x14ac:dyDescent="0.2">
      <c r="A1240" t="str">
        <f t="shared" si="57"/>
        <v/>
      </c>
      <c r="B1240" s="20">
        <v>2016</v>
      </c>
      <c r="C1240" s="21" t="s">
        <v>147</v>
      </c>
      <c r="D1240" s="21" t="s">
        <v>147</v>
      </c>
      <c r="E1240" s="23">
        <v>26608</v>
      </c>
      <c r="F1240" s="20">
        <v>415319.95880000002</v>
      </c>
      <c r="G1240" s="30">
        <f t="shared" si="58"/>
        <v>441927.95880000002</v>
      </c>
      <c r="H1240" t="str">
        <f>IFERROR(VLOOKUP(C1240,Sheet1!$B$2:$C$25,2,FALSE),"")</f>
        <v/>
      </c>
      <c r="I1240">
        <f t="shared" si="59"/>
        <v>1613</v>
      </c>
    </row>
    <row r="1241" spans="1:9" x14ac:dyDescent="0.2">
      <c r="A1241" t="str">
        <f t="shared" si="57"/>
        <v/>
      </c>
      <c r="B1241" s="20">
        <v>2017</v>
      </c>
      <c r="C1241" s="21" t="s">
        <v>147</v>
      </c>
      <c r="D1241" s="21" t="s">
        <v>147</v>
      </c>
      <c r="E1241" s="23">
        <v>29695</v>
      </c>
      <c r="F1241" s="20">
        <v>490870.2096</v>
      </c>
      <c r="G1241" s="30">
        <f t="shared" si="58"/>
        <v>520565.2096</v>
      </c>
      <c r="H1241" t="str">
        <f>IFERROR(VLOOKUP(C1241,Sheet1!$B$2:$C$25,2,FALSE),"")</f>
        <v/>
      </c>
      <c r="I1241">
        <f t="shared" si="59"/>
        <v>1613</v>
      </c>
    </row>
    <row r="1242" spans="1:9" x14ac:dyDescent="0.2">
      <c r="A1242" t="str">
        <f t="shared" si="57"/>
        <v/>
      </c>
      <c r="B1242" s="20">
        <v>2018</v>
      </c>
      <c r="C1242" s="21" t="s">
        <v>147</v>
      </c>
      <c r="D1242" s="21" t="s">
        <v>147</v>
      </c>
      <c r="E1242" s="23">
        <v>30150</v>
      </c>
      <c r="F1242" s="20">
        <v>453646.09450000001</v>
      </c>
      <c r="G1242" s="30">
        <f t="shared" si="58"/>
        <v>483796.09450000001</v>
      </c>
      <c r="H1242" t="str">
        <f>IFERROR(VLOOKUP(C1242,Sheet1!$B$2:$C$25,2,FALSE),"")</f>
        <v/>
      </c>
      <c r="I1242">
        <f t="shared" si="59"/>
        <v>1613</v>
      </c>
    </row>
    <row r="1243" spans="1:9" x14ac:dyDescent="0.2">
      <c r="A1243" t="str">
        <f t="shared" si="57"/>
        <v/>
      </c>
      <c r="B1243" s="20">
        <v>2019</v>
      </c>
      <c r="C1243" s="21" t="s">
        <v>147</v>
      </c>
      <c r="D1243" s="21" t="s">
        <v>147</v>
      </c>
      <c r="E1243" s="23">
        <v>30182</v>
      </c>
      <c r="F1243" s="20">
        <v>434262.19530000002</v>
      </c>
      <c r="G1243" s="30">
        <f t="shared" si="58"/>
        <v>464444.19530000002</v>
      </c>
      <c r="H1243" t="str">
        <f>IFERROR(VLOOKUP(C1243,Sheet1!$B$2:$C$25,2,FALSE),"")</f>
        <v/>
      </c>
      <c r="I1243">
        <f t="shared" si="59"/>
        <v>1613</v>
      </c>
    </row>
    <row r="1244" spans="1:9" x14ac:dyDescent="0.2">
      <c r="A1244" t="str">
        <f t="shared" si="57"/>
        <v/>
      </c>
      <c r="B1244" s="20">
        <v>2020</v>
      </c>
      <c r="C1244" s="21" t="s">
        <v>147</v>
      </c>
      <c r="D1244" s="21" t="s">
        <v>147</v>
      </c>
      <c r="E1244" s="23">
        <v>35663</v>
      </c>
      <c r="F1244" s="20">
        <v>498545.37650000001</v>
      </c>
      <c r="G1244" s="30">
        <f t="shared" si="58"/>
        <v>534208.37650000001</v>
      </c>
      <c r="H1244" t="str">
        <f>IFERROR(VLOOKUP(C1244,Sheet1!$B$2:$C$25,2,FALSE),"")</f>
        <v/>
      </c>
      <c r="I1244">
        <f t="shared" si="59"/>
        <v>1613</v>
      </c>
    </row>
    <row r="1245" spans="1:9" x14ac:dyDescent="0.2">
      <c r="A1245" t="str">
        <f t="shared" si="57"/>
        <v/>
      </c>
      <c r="B1245" s="20">
        <v>2021</v>
      </c>
      <c r="C1245" s="20" t="s">
        <v>147</v>
      </c>
      <c r="D1245" s="20" t="s">
        <v>147</v>
      </c>
      <c r="E1245" s="23">
        <v>39831</v>
      </c>
      <c r="F1245" s="20">
        <v>519953.28389999998</v>
      </c>
      <c r="G1245" s="30">
        <f t="shared" si="58"/>
        <v>559784.28389999992</v>
      </c>
      <c r="H1245" t="str">
        <f>IFERROR(VLOOKUP(C1245,Sheet1!$B$2:$C$25,2,FALSE),"")</f>
        <v/>
      </c>
      <c r="I1245">
        <f t="shared" si="59"/>
        <v>1613</v>
      </c>
    </row>
    <row r="1246" spans="1:9" x14ac:dyDescent="0.2">
      <c r="A1246" t="str">
        <f t="shared" si="57"/>
        <v/>
      </c>
      <c r="B1246" s="20">
        <v>2022</v>
      </c>
      <c r="C1246" s="21" t="s">
        <v>147</v>
      </c>
      <c r="D1246" s="21" t="s">
        <v>147</v>
      </c>
      <c r="E1246" s="23">
        <v>40452</v>
      </c>
      <c r="F1246" s="20">
        <v>556114.7648</v>
      </c>
      <c r="G1246" s="30">
        <f t="shared" si="58"/>
        <v>596566.7648</v>
      </c>
      <c r="H1246" t="str">
        <f>IFERROR(VLOOKUP(C1246,Sheet1!$B$2:$C$25,2,FALSE),"")</f>
        <v/>
      </c>
      <c r="I1246">
        <f t="shared" si="59"/>
        <v>1613</v>
      </c>
    </row>
    <row r="1247" spans="1:9" x14ac:dyDescent="0.2">
      <c r="A1247" t="str">
        <f t="shared" si="57"/>
        <v/>
      </c>
      <c r="B1247" s="20">
        <v>2023</v>
      </c>
      <c r="C1247" s="21" t="s">
        <v>147</v>
      </c>
      <c r="D1247" s="21" t="s">
        <v>147</v>
      </c>
      <c r="E1247" s="23">
        <v>41841</v>
      </c>
      <c r="F1247" s="20">
        <v>559989.99199999997</v>
      </c>
      <c r="G1247" s="30">
        <f t="shared" si="58"/>
        <v>601830.99199999997</v>
      </c>
      <c r="H1247" t="str">
        <f>IFERROR(VLOOKUP(C1247,Sheet1!$B$2:$C$25,2,FALSE),"")</f>
        <v/>
      </c>
      <c r="I1247">
        <f t="shared" si="59"/>
        <v>1613</v>
      </c>
    </row>
    <row r="1248" spans="1:9" x14ac:dyDescent="0.2">
      <c r="A1248" t="str">
        <f t="shared" si="57"/>
        <v/>
      </c>
      <c r="B1248" s="20">
        <v>2015</v>
      </c>
      <c r="C1248" s="21" t="s">
        <v>145</v>
      </c>
      <c r="D1248" s="21" t="s">
        <v>255</v>
      </c>
      <c r="E1248" s="23">
        <v>1761155</v>
      </c>
      <c r="F1248" s="20">
        <v>27627333.25</v>
      </c>
      <c r="G1248" s="30">
        <f t="shared" si="58"/>
        <v>29388488.25</v>
      </c>
      <c r="H1248" t="str">
        <f>IFERROR(VLOOKUP(C1248,Sheet1!$B$2:$C$25,2,FALSE),"")</f>
        <v/>
      </c>
      <c r="I1248">
        <f t="shared" si="59"/>
        <v>1613</v>
      </c>
    </row>
    <row r="1249" spans="1:9" x14ac:dyDescent="0.2">
      <c r="A1249" t="str">
        <f t="shared" si="57"/>
        <v/>
      </c>
      <c r="B1249" s="20">
        <v>2016</v>
      </c>
      <c r="C1249" s="21" t="s">
        <v>145</v>
      </c>
      <c r="D1249" s="21" t="s">
        <v>145</v>
      </c>
      <c r="E1249" s="23">
        <v>1716142</v>
      </c>
      <c r="F1249" s="20">
        <v>26786982.289999999</v>
      </c>
      <c r="G1249" s="30">
        <f t="shared" si="58"/>
        <v>28503124.289999999</v>
      </c>
      <c r="H1249" t="str">
        <f>IFERROR(VLOOKUP(C1249,Sheet1!$B$2:$C$25,2,FALSE),"")</f>
        <v/>
      </c>
      <c r="I1249">
        <f t="shared" si="59"/>
        <v>1613</v>
      </c>
    </row>
    <row r="1250" spans="1:9" x14ac:dyDescent="0.2">
      <c r="A1250" t="str">
        <f t="shared" si="57"/>
        <v/>
      </c>
      <c r="B1250" s="20">
        <v>2017</v>
      </c>
      <c r="C1250" s="21" t="s">
        <v>145</v>
      </c>
      <c r="D1250" s="21" t="s">
        <v>145</v>
      </c>
      <c r="E1250" s="23">
        <v>1769615</v>
      </c>
      <c r="F1250" s="20">
        <v>29252442.699999999</v>
      </c>
      <c r="G1250" s="30">
        <f t="shared" si="58"/>
        <v>31022057.699999999</v>
      </c>
      <c r="H1250" t="str">
        <f>IFERROR(VLOOKUP(C1250,Sheet1!$B$2:$C$25,2,FALSE),"")</f>
        <v/>
      </c>
      <c r="I1250">
        <f t="shared" si="59"/>
        <v>1613</v>
      </c>
    </row>
    <row r="1251" spans="1:9" x14ac:dyDescent="0.2">
      <c r="A1251" t="str">
        <f t="shared" si="57"/>
        <v/>
      </c>
      <c r="B1251" s="20">
        <v>2018</v>
      </c>
      <c r="C1251" s="21" t="s">
        <v>145</v>
      </c>
      <c r="D1251" s="21" t="s">
        <v>145</v>
      </c>
      <c r="E1251" s="23">
        <v>1950935</v>
      </c>
      <c r="F1251" s="20">
        <v>29354362.960000001</v>
      </c>
      <c r="G1251" s="30">
        <f t="shared" si="58"/>
        <v>31305297.960000001</v>
      </c>
      <c r="H1251" t="str">
        <f>IFERROR(VLOOKUP(C1251,Sheet1!$B$2:$C$25,2,FALSE),"")</f>
        <v/>
      </c>
      <c r="I1251">
        <f t="shared" si="59"/>
        <v>1613</v>
      </c>
    </row>
    <row r="1252" spans="1:9" x14ac:dyDescent="0.2">
      <c r="A1252" t="str">
        <f t="shared" si="57"/>
        <v/>
      </c>
      <c r="B1252" s="20">
        <v>2019</v>
      </c>
      <c r="C1252" s="21" t="s">
        <v>145</v>
      </c>
      <c r="D1252" s="21" t="s">
        <v>145</v>
      </c>
      <c r="E1252" s="23">
        <v>2041765</v>
      </c>
      <c r="F1252" s="20">
        <v>29377156.949999999</v>
      </c>
      <c r="G1252" s="30">
        <f t="shared" si="58"/>
        <v>31418921.949999999</v>
      </c>
      <c r="H1252" t="str">
        <f>IFERROR(VLOOKUP(C1252,Sheet1!$B$2:$C$25,2,FALSE),"")</f>
        <v/>
      </c>
      <c r="I1252">
        <f t="shared" si="59"/>
        <v>1613</v>
      </c>
    </row>
    <row r="1253" spans="1:9" x14ac:dyDescent="0.2">
      <c r="A1253" t="str">
        <f t="shared" si="57"/>
        <v/>
      </c>
      <c r="B1253" s="20">
        <v>2020</v>
      </c>
      <c r="C1253" s="21" t="s">
        <v>145</v>
      </c>
      <c r="D1253" s="21" t="s">
        <v>145</v>
      </c>
      <c r="E1253" s="23">
        <v>2242110</v>
      </c>
      <c r="F1253" s="20">
        <v>31343228.949999999</v>
      </c>
      <c r="G1253" s="30">
        <f t="shared" si="58"/>
        <v>33585338.950000003</v>
      </c>
      <c r="H1253" t="str">
        <f>IFERROR(VLOOKUP(C1253,Sheet1!$B$2:$C$25,2,FALSE),"")</f>
        <v/>
      </c>
      <c r="I1253">
        <f t="shared" si="59"/>
        <v>1613</v>
      </c>
    </row>
    <row r="1254" spans="1:9" x14ac:dyDescent="0.2">
      <c r="A1254" t="str">
        <f t="shared" si="57"/>
        <v/>
      </c>
      <c r="B1254" s="20">
        <v>2021</v>
      </c>
      <c r="C1254" s="20" t="s">
        <v>145</v>
      </c>
      <c r="D1254" s="20" t="s">
        <v>145</v>
      </c>
      <c r="E1254" s="23">
        <v>2618687</v>
      </c>
      <c r="F1254" s="20">
        <v>34184301.299999997</v>
      </c>
      <c r="G1254" s="30">
        <f t="shared" si="58"/>
        <v>36802988.299999997</v>
      </c>
      <c r="H1254" t="str">
        <f>IFERROR(VLOOKUP(C1254,Sheet1!$B$2:$C$25,2,FALSE),"")</f>
        <v/>
      </c>
      <c r="I1254">
        <f t="shared" si="59"/>
        <v>1613</v>
      </c>
    </row>
    <row r="1255" spans="1:9" x14ac:dyDescent="0.2">
      <c r="A1255" t="str">
        <f t="shared" si="57"/>
        <v/>
      </c>
      <c r="B1255" s="20">
        <v>2022</v>
      </c>
      <c r="C1255" s="21" t="s">
        <v>145</v>
      </c>
      <c r="D1255" s="21" t="s">
        <v>145</v>
      </c>
      <c r="E1255" s="23">
        <v>2451340</v>
      </c>
      <c r="F1255" s="20">
        <v>33699850.869999997</v>
      </c>
      <c r="G1255" s="30">
        <f t="shared" si="58"/>
        <v>36151190.869999997</v>
      </c>
      <c r="H1255" t="str">
        <f>IFERROR(VLOOKUP(C1255,Sheet1!$B$2:$C$25,2,FALSE),"")</f>
        <v/>
      </c>
      <c r="I1255">
        <f t="shared" si="59"/>
        <v>1613</v>
      </c>
    </row>
    <row r="1256" spans="1:9" x14ac:dyDescent="0.2">
      <c r="A1256" t="str">
        <f t="shared" si="57"/>
        <v/>
      </c>
      <c r="B1256" s="20">
        <v>2023</v>
      </c>
      <c r="C1256" s="21" t="s">
        <v>145</v>
      </c>
      <c r="D1256" s="21" t="s">
        <v>145</v>
      </c>
      <c r="E1256" s="23">
        <v>2837408</v>
      </c>
      <c r="F1256" s="20">
        <v>37975193.789999999</v>
      </c>
      <c r="G1256" s="30">
        <f t="shared" si="58"/>
        <v>40812601.789999999</v>
      </c>
      <c r="H1256" t="str">
        <f>IFERROR(VLOOKUP(C1256,Sheet1!$B$2:$C$25,2,FALSE),"")</f>
        <v/>
      </c>
      <c r="I1256">
        <f t="shared" si="59"/>
        <v>1613</v>
      </c>
    </row>
    <row r="1257" spans="1:9" x14ac:dyDescent="0.2">
      <c r="A1257" t="str">
        <f t="shared" si="57"/>
        <v/>
      </c>
      <c r="B1257" s="20">
        <v>2022</v>
      </c>
      <c r="C1257" s="21" t="s">
        <v>236</v>
      </c>
      <c r="D1257" s="21" t="s">
        <v>236</v>
      </c>
      <c r="E1257" s="23">
        <v>404193</v>
      </c>
      <c r="F1257" s="20">
        <v>5556652.2079999996</v>
      </c>
      <c r="G1257" s="30">
        <f t="shared" si="58"/>
        <v>5960845.2079999996</v>
      </c>
      <c r="H1257" t="str">
        <f>IFERROR(VLOOKUP(C1257,Sheet1!$B$2:$C$25,2,FALSE),"")</f>
        <v/>
      </c>
      <c r="I1257">
        <f t="shared" si="59"/>
        <v>1613</v>
      </c>
    </row>
    <row r="1258" spans="1:9" x14ac:dyDescent="0.2">
      <c r="A1258" t="str">
        <f t="shared" si="57"/>
        <v/>
      </c>
      <c r="B1258" s="20">
        <v>2023</v>
      </c>
      <c r="C1258" s="21" t="s">
        <v>236</v>
      </c>
      <c r="D1258" s="21" t="s">
        <v>236</v>
      </c>
      <c r="E1258" s="23">
        <v>473765</v>
      </c>
      <c r="F1258" s="20">
        <v>6340758.074</v>
      </c>
      <c r="G1258" s="30">
        <f t="shared" si="58"/>
        <v>6814523.074</v>
      </c>
      <c r="H1258" t="str">
        <f>IFERROR(VLOOKUP(C1258,Sheet1!$B$2:$C$25,2,FALSE),"")</f>
        <v/>
      </c>
      <c r="I1258">
        <f t="shared" si="59"/>
        <v>1613</v>
      </c>
    </row>
    <row r="1259" spans="1:9" x14ac:dyDescent="0.2">
      <c r="A1259" t="str">
        <f t="shared" si="57"/>
        <v/>
      </c>
      <c r="B1259" s="20">
        <v>2015</v>
      </c>
      <c r="C1259" s="21" t="s">
        <v>148</v>
      </c>
      <c r="D1259" s="21" t="s">
        <v>148</v>
      </c>
      <c r="E1259" s="23">
        <v>723319</v>
      </c>
      <c r="F1259" s="20">
        <v>11346744.07</v>
      </c>
      <c r="G1259" s="30">
        <f t="shared" si="58"/>
        <v>12070063.07</v>
      </c>
      <c r="H1259" t="str">
        <f>IFERROR(VLOOKUP(C1259,Sheet1!$B$2:$C$25,2,FALSE),"")</f>
        <v/>
      </c>
      <c r="I1259">
        <f t="shared" si="59"/>
        <v>1613</v>
      </c>
    </row>
    <row r="1260" spans="1:9" x14ac:dyDescent="0.2">
      <c r="A1260" t="str">
        <f t="shared" si="57"/>
        <v/>
      </c>
      <c r="B1260" s="20">
        <v>2016</v>
      </c>
      <c r="C1260" s="21" t="s">
        <v>148</v>
      </c>
      <c r="D1260" s="21" t="s">
        <v>148</v>
      </c>
      <c r="E1260" s="23">
        <v>734259</v>
      </c>
      <c r="F1260" s="20">
        <v>11460929.710000001</v>
      </c>
      <c r="G1260" s="30">
        <f t="shared" si="58"/>
        <v>12195188.710000001</v>
      </c>
      <c r="H1260" t="str">
        <f>IFERROR(VLOOKUP(C1260,Sheet1!$B$2:$C$25,2,FALSE),"")</f>
        <v/>
      </c>
      <c r="I1260">
        <f t="shared" si="59"/>
        <v>1613</v>
      </c>
    </row>
    <row r="1261" spans="1:9" x14ac:dyDescent="0.2">
      <c r="A1261" t="str">
        <f t="shared" si="57"/>
        <v/>
      </c>
      <c r="B1261" s="20">
        <v>2017</v>
      </c>
      <c r="C1261" s="21" t="s">
        <v>148</v>
      </c>
      <c r="D1261" s="21" t="s">
        <v>148</v>
      </c>
      <c r="E1261" s="23">
        <v>710241</v>
      </c>
      <c r="F1261" s="20">
        <v>11740567.390000001</v>
      </c>
      <c r="G1261" s="30">
        <f t="shared" si="58"/>
        <v>12450808.390000001</v>
      </c>
      <c r="H1261" t="str">
        <f>IFERROR(VLOOKUP(C1261,Sheet1!$B$2:$C$25,2,FALSE),"")</f>
        <v/>
      </c>
      <c r="I1261">
        <f t="shared" si="59"/>
        <v>1613</v>
      </c>
    </row>
    <row r="1262" spans="1:9" x14ac:dyDescent="0.2">
      <c r="A1262" t="str">
        <f t="shared" si="57"/>
        <v/>
      </c>
      <c r="B1262" s="20">
        <v>2018</v>
      </c>
      <c r="C1262" s="21" t="s">
        <v>148</v>
      </c>
      <c r="D1262" s="21" t="s">
        <v>148</v>
      </c>
      <c r="E1262" s="23">
        <v>778614</v>
      </c>
      <c r="F1262" s="20">
        <v>11715263.689999999</v>
      </c>
      <c r="G1262" s="30">
        <f t="shared" si="58"/>
        <v>12493877.689999999</v>
      </c>
      <c r="H1262" t="str">
        <f>IFERROR(VLOOKUP(C1262,Sheet1!$B$2:$C$25,2,FALSE),"")</f>
        <v/>
      </c>
      <c r="I1262">
        <f t="shared" si="59"/>
        <v>1613</v>
      </c>
    </row>
    <row r="1263" spans="1:9" x14ac:dyDescent="0.2">
      <c r="A1263" t="str">
        <f t="shared" si="57"/>
        <v/>
      </c>
      <c r="B1263" s="20">
        <v>2019</v>
      </c>
      <c r="C1263" s="21" t="s">
        <v>148</v>
      </c>
      <c r="D1263" s="21" t="s">
        <v>148</v>
      </c>
      <c r="E1263" s="23">
        <v>863431</v>
      </c>
      <c r="F1263" s="20">
        <v>12423147.619999999</v>
      </c>
      <c r="G1263" s="30">
        <f t="shared" si="58"/>
        <v>13286578.619999999</v>
      </c>
      <c r="H1263" t="str">
        <f>IFERROR(VLOOKUP(C1263,Sheet1!$B$2:$C$25,2,FALSE),"")</f>
        <v/>
      </c>
      <c r="I1263">
        <f t="shared" si="59"/>
        <v>1613</v>
      </c>
    </row>
    <row r="1264" spans="1:9" x14ac:dyDescent="0.2">
      <c r="A1264" t="str">
        <f t="shared" si="57"/>
        <v/>
      </c>
      <c r="B1264" s="20">
        <v>2020</v>
      </c>
      <c r="C1264" s="21" t="s">
        <v>148</v>
      </c>
      <c r="D1264" s="21" t="s">
        <v>148</v>
      </c>
      <c r="E1264" s="23">
        <v>969449</v>
      </c>
      <c r="F1264" s="20">
        <v>13552261.91</v>
      </c>
      <c r="G1264" s="30">
        <f t="shared" si="58"/>
        <v>14521710.91</v>
      </c>
      <c r="H1264" t="str">
        <f>IFERROR(VLOOKUP(C1264,Sheet1!$B$2:$C$25,2,FALSE),"")</f>
        <v/>
      </c>
      <c r="I1264">
        <f t="shared" si="59"/>
        <v>1613</v>
      </c>
    </row>
    <row r="1265" spans="1:9" x14ac:dyDescent="0.2">
      <c r="A1265" t="str">
        <f t="shared" si="57"/>
        <v/>
      </c>
      <c r="B1265" s="20">
        <v>2021</v>
      </c>
      <c r="C1265" s="20" t="s">
        <v>148</v>
      </c>
      <c r="D1265" s="20" t="s">
        <v>148</v>
      </c>
      <c r="E1265" s="23">
        <v>1187375</v>
      </c>
      <c r="F1265" s="20">
        <v>15499975.66</v>
      </c>
      <c r="G1265" s="30">
        <f t="shared" si="58"/>
        <v>16687350.66</v>
      </c>
      <c r="H1265" t="str">
        <f>IFERROR(VLOOKUP(C1265,Sheet1!$B$2:$C$25,2,FALSE),"")</f>
        <v/>
      </c>
      <c r="I1265">
        <f t="shared" si="59"/>
        <v>1613</v>
      </c>
    </row>
    <row r="1266" spans="1:9" x14ac:dyDescent="0.2">
      <c r="A1266" t="str">
        <f t="shared" si="57"/>
        <v/>
      </c>
      <c r="B1266" s="20">
        <v>2022</v>
      </c>
      <c r="C1266" s="21" t="s">
        <v>148</v>
      </c>
      <c r="D1266" s="21" t="s">
        <v>148</v>
      </c>
      <c r="E1266" s="23">
        <v>1126114</v>
      </c>
      <c r="F1266" s="20">
        <v>15481277.119999999</v>
      </c>
      <c r="G1266" s="30">
        <f t="shared" si="58"/>
        <v>16607391.119999999</v>
      </c>
      <c r="H1266" t="str">
        <f>IFERROR(VLOOKUP(C1266,Sheet1!$B$2:$C$25,2,FALSE),"")</f>
        <v/>
      </c>
      <c r="I1266">
        <f t="shared" si="59"/>
        <v>1613</v>
      </c>
    </row>
    <row r="1267" spans="1:9" x14ac:dyDescent="0.2">
      <c r="A1267" t="str">
        <f t="shared" si="57"/>
        <v/>
      </c>
      <c r="B1267" s="20">
        <v>2023</v>
      </c>
      <c r="C1267" s="21" t="s">
        <v>148</v>
      </c>
      <c r="D1267" s="21" t="s">
        <v>148</v>
      </c>
      <c r="E1267" s="23">
        <v>1429341</v>
      </c>
      <c r="F1267" s="20">
        <v>19129959.969999999</v>
      </c>
      <c r="G1267" s="30">
        <f t="shared" si="58"/>
        <v>20559300.969999999</v>
      </c>
      <c r="H1267" t="str">
        <f>IFERROR(VLOOKUP(C1267,Sheet1!$B$2:$C$25,2,FALSE),"")</f>
        <v/>
      </c>
      <c r="I1267">
        <f t="shared" si="59"/>
        <v>1613</v>
      </c>
    </row>
    <row r="1268" spans="1:9" x14ac:dyDescent="0.2">
      <c r="A1268">
        <f t="shared" si="57"/>
        <v>2400540</v>
      </c>
      <c r="B1268" s="20">
        <v>2015</v>
      </c>
      <c r="C1268" s="21" t="s">
        <v>146</v>
      </c>
      <c r="D1268" s="21" t="s">
        <v>256</v>
      </c>
      <c r="E1268" s="23">
        <v>461154</v>
      </c>
      <c r="F1268" s="20">
        <v>7234147.6109999996</v>
      </c>
      <c r="G1268" s="30">
        <f t="shared" si="58"/>
        <v>7695301.6109999996</v>
      </c>
      <c r="H1268">
        <f>IFERROR(VLOOKUP(C1268,Sheet1!$B$2:$C$25,2,FALSE),"")</f>
        <v>2400540</v>
      </c>
      <c r="I1268">
        <f t="shared" si="59"/>
        <v>9</v>
      </c>
    </row>
    <row r="1269" spans="1:9" x14ac:dyDescent="0.2">
      <c r="A1269">
        <f t="shared" si="57"/>
        <v>2400540</v>
      </c>
      <c r="B1269" s="20">
        <v>2016</v>
      </c>
      <c r="C1269" s="21" t="s">
        <v>146</v>
      </c>
      <c r="D1269" s="21" t="s">
        <v>146</v>
      </c>
      <c r="E1269" s="23">
        <v>424398</v>
      </c>
      <c r="F1269" s="20">
        <v>6624359.5870000003</v>
      </c>
      <c r="G1269" s="30">
        <f t="shared" si="58"/>
        <v>7048757.5870000003</v>
      </c>
      <c r="H1269">
        <f>IFERROR(VLOOKUP(C1269,Sheet1!$B$2:$C$25,2,FALSE),"")</f>
        <v>2400540</v>
      </c>
      <c r="I1269">
        <f t="shared" si="59"/>
        <v>9</v>
      </c>
    </row>
    <row r="1270" spans="1:9" x14ac:dyDescent="0.2">
      <c r="A1270">
        <f t="shared" si="57"/>
        <v>2400540</v>
      </c>
      <c r="B1270" s="20">
        <v>2017</v>
      </c>
      <c r="C1270" s="21" t="s">
        <v>146</v>
      </c>
      <c r="D1270" s="21" t="s">
        <v>146</v>
      </c>
      <c r="E1270" s="23">
        <v>414088</v>
      </c>
      <c r="F1270" s="20">
        <v>6845040.0190000003</v>
      </c>
      <c r="G1270" s="30">
        <f t="shared" si="58"/>
        <v>7259128.0190000003</v>
      </c>
      <c r="H1270">
        <f>IFERROR(VLOOKUP(C1270,Sheet1!$B$2:$C$25,2,FALSE),"")</f>
        <v>2400540</v>
      </c>
      <c r="I1270">
        <f t="shared" si="59"/>
        <v>9</v>
      </c>
    </row>
    <row r="1271" spans="1:9" x14ac:dyDescent="0.2">
      <c r="A1271">
        <f t="shared" si="57"/>
        <v>2400540</v>
      </c>
      <c r="B1271" s="20">
        <v>2018</v>
      </c>
      <c r="C1271" s="21" t="s">
        <v>146</v>
      </c>
      <c r="D1271" s="21" t="s">
        <v>146</v>
      </c>
      <c r="E1271" s="23">
        <v>459900</v>
      </c>
      <c r="F1271" s="20">
        <v>6919795.6500000004</v>
      </c>
      <c r="G1271" s="30">
        <f t="shared" si="58"/>
        <v>7379695.6500000004</v>
      </c>
      <c r="H1271">
        <f>IFERROR(VLOOKUP(C1271,Sheet1!$B$2:$C$25,2,FALSE),"")</f>
        <v>2400540</v>
      </c>
      <c r="I1271">
        <f t="shared" si="59"/>
        <v>9</v>
      </c>
    </row>
    <row r="1272" spans="1:9" x14ac:dyDescent="0.2">
      <c r="A1272">
        <f t="shared" si="57"/>
        <v>2400540</v>
      </c>
      <c r="B1272" s="20">
        <v>2019</v>
      </c>
      <c r="C1272" s="21" t="s">
        <v>146</v>
      </c>
      <c r="D1272" s="21" t="s">
        <v>146</v>
      </c>
      <c r="E1272" s="23">
        <v>518683</v>
      </c>
      <c r="F1272" s="20">
        <v>7462872.5140000004</v>
      </c>
      <c r="G1272" s="30">
        <f t="shared" si="58"/>
        <v>7981555.5140000004</v>
      </c>
      <c r="H1272">
        <f>IFERROR(VLOOKUP(C1272,Sheet1!$B$2:$C$25,2,FALSE),"")</f>
        <v>2400540</v>
      </c>
      <c r="I1272">
        <f t="shared" si="59"/>
        <v>9</v>
      </c>
    </row>
    <row r="1273" spans="1:9" x14ac:dyDescent="0.2">
      <c r="A1273">
        <f t="shared" si="57"/>
        <v>2400540</v>
      </c>
      <c r="B1273" s="20">
        <v>2020</v>
      </c>
      <c r="C1273" s="21" t="s">
        <v>146</v>
      </c>
      <c r="D1273" s="21" t="s">
        <v>146</v>
      </c>
      <c r="E1273" s="23">
        <v>549684</v>
      </c>
      <c r="F1273" s="20">
        <v>7684222.2110000001</v>
      </c>
      <c r="G1273" s="30">
        <f t="shared" si="58"/>
        <v>8233906.2110000001</v>
      </c>
      <c r="H1273">
        <f>IFERROR(VLOOKUP(C1273,Sheet1!$B$2:$C$25,2,FALSE),"")</f>
        <v>2400540</v>
      </c>
      <c r="I1273">
        <f t="shared" si="59"/>
        <v>9</v>
      </c>
    </row>
    <row r="1274" spans="1:9" x14ac:dyDescent="0.2">
      <c r="A1274">
        <f t="shared" si="57"/>
        <v>2400540</v>
      </c>
      <c r="B1274" s="20">
        <v>2021</v>
      </c>
      <c r="C1274" s="21" t="s">
        <v>146</v>
      </c>
      <c r="D1274" s="20" t="s">
        <v>146</v>
      </c>
      <c r="E1274" s="23">
        <v>632990</v>
      </c>
      <c r="F1274" s="20">
        <v>8263042.0829999996</v>
      </c>
      <c r="G1274" s="30">
        <f t="shared" si="58"/>
        <v>8896032.0830000006</v>
      </c>
      <c r="H1274">
        <f>IFERROR(VLOOKUP(C1274,Sheet1!$B$2:$C$25,2,FALSE),"")</f>
        <v>2400540</v>
      </c>
      <c r="I1274">
        <f t="shared" si="59"/>
        <v>9</v>
      </c>
    </row>
    <row r="1275" spans="1:9" x14ac:dyDescent="0.2">
      <c r="A1275">
        <f t="shared" si="57"/>
        <v>2400540</v>
      </c>
      <c r="B1275" s="20">
        <v>2022</v>
      </c>
      <c r="C1275" s="21" t="s">
        <v>146</v>
      </c>
      <c r="D1275" s="21" t="s">
        <v>146</v>
      </c>
      <c r="E1275" s="23">
        <v>672111</v>
      </c>
      <c r="F1275" s="20">
        <v>9239860.8399999999</v>
      </c>
      <c r="G1275" s="30">
        <f t="shared" si="58"/>
        <v>9911971.8399999999</v>
      </c>
      <c r="H1275">
        <f>IFERROR(VLOOKUP(C1275,Sheet1!$B$2:$C$25,2,FALSE),"")</f>
        <v>2400540</v>
      </c>
      <c r="I1275">
        <f t="shared" si="59"/>
        <v>9</v>
      </c>
    </row>
    <row r="1276" spans="1:9" x14ac:dyDescent="0.2">
      <c r="A1276">
        <f t="shared" si="57"/>
        <v>2400540</v>
      </c>
      <c r="B1276" s="20">
        <v>2023</v>
      </c>
      <c r="C1276" s="21" t="s">
        <v>146</v>
      </c>
      <c r="D1276" s="21" t="s">
        <v>146</v>
      </c>
      <c r="E1276" s="23">
        <v>730514</v>
      </c>
      <c r="F1276" s="20">
        <v>9777025.6219999995</v>
      </c>
      <c r="G1276" s="30">
        <f t="shared" si="58"/>
        <v>10507539.622</v>
      </c>
      <c r="H1276">
        <f>IFERROR(VLOOKUP(C1276,Sheet1!$B$2:$C$25,2,FALSE),"")</f>
        <v>2400540</v>
      </c>
      <c r="I1276">
        <f t="shared" si="59"/>
        <v>9</v>
      </c>
    </row>
    <row r="1277" spans="1:9" x14ac:dyDescent="0.2">
      <c r="A1277" t="str">
        <f t="shared" si="57"/>
        <v/>
      </c>
      <c r="B1277" s="20">
        <v>2015</v>
      </c>
      <c r="C1277" s="21" t="s">
        <v>149</v>
      </c>
      <c r="D1277" s="21" t="s">
        <v>149</v>
      </c>
      <c r="E1277" s="23">
        <v>13866</v>
      </c>
      <c r="F1277" s="20">
        <v>217516.6881</v>
      </c>
      <c r="G1277" s="30">
        <f t="shared" si="58"/>
        <v>231382.6881</v>
      </c>
      <c r="H1277" t="str">
        <f>IFERROR(VLOOKUP(C1277,Sheet1!$B$2:$C$25,2,FALSE),"")</f>
        <v/>
      </c>
      <c r="I1277">
        <f t="shared" si="59"/>
        <v>1613</v>
      </c>
    </row>
    <row r="1278" spans="1:9" x14ac:dyDescent="0.2">
      <c r="A1278" t="str">
        <f t="shared" si="57"/>
        <v/>
      </c>
      <c r="B1278" s="20">
        <v>2016</v>
      </c>
      <c r="C1278" s="21" t="s">
        <v>149</v>
      </c>
      <c r="D1278" s="21" t="s">
        <v>149</v>
      </c>
      <c r="E1278" s="23">
        <v>12881</v>
      </c>
      <c r="F1278" s="20">
        <v>201057.44099999999</v>
      </c>
      <c r="G1278" s="30">
        <f t="shared" si="58"/>
        <v>213938.44099999999</v>
      </c>
      <c r="H1278" t="str">
        <f>IFERROR(VLOOKUP(C1278,Sheet1!$B$2:$C$25,2,FALSE),"")</f>
        <v/>
      </c>
      <c r="I1278">
        <f t="shared" si="59"/>
        <v>1613</v>
      </c>
    </row>
    <row r="1279" spans="1:9" x14ac:dyDescent="0.2">
      <c r="A1279" t="str">
        <f t="shared" si="57"/>
        <v/>
      </c>
      <c r="B1279" s="20">
        <v>2017</v>
      </c>
      <c r="C1279" s="21" t="s">
        <v>149</v>
      </c>
      <c r="D1279" s="21" t="s">
        <v>149</v>
      </c>
      <c r="E1279" s="23">
        <v>12868</v>
      </c>
      <c r="F1279" s="20">
        <v>212713.17920000001</v>
      </c>
      <c r="G1279" s="30">
        <f t="shared" si="58"/>
        <v>225581.17920000001</v>
      </c>
      <c r="H1279" t="str">
        <f>IFERROR(VLOOKUP(C1279,Sheet1!$B$2:$C$25,2,FALSE),"")</f>
        <v/>
      </c>
      <c r="I1279">
        <f t="shared" si="59"/>
        <v>1613</v>
      </c>
    </row>
    <row r="1280" spans="1:9" x14ac:dyDescent="0.2">
      <c r="A1280" t="str">
        <f t="shared" si="57"/>
        <v/>
      </c>
      <c r="B1280" s="20">
        <v>2018</v>
      </c>
      <c r="C1280" s="21" t="s">
        <v>149</v>
      </c>
      <c r="D1280" s="21" t="s">
        <v>149</v>
      </c>
      <c r="E1280" s="23">
        <v>13644</v>
      </c>
      <c r="F1280" s="20">
        <v>205291.78479999999</v>
      </c>
      <c r="G1280" s="30">
        <f t="shared" si="58"/>
        <v>218935.78479999999</v>
      </c>
      <c r="H1280" t="str">
        <f>IFERROR(VLOOKUP(C1280,Sheet1!$B$2:$C$25,2,FALSE),"")</f>
        <v/>
      </c>
      <c r="I1280">
        <f t="shared" si="59"/>
        <v>1613</v>
      </c>
    </row>
    <row r="1281" spans="1:9" x14ac:dyDescent="0.2">
      <c r="A1281" t="str">
        <f t="shared" si="57"/>
        <v/>
      </c>
      <c r="B1281" s="20">
        <v>2019</v>
      </c>
      <c r="C1281" s="21" t="s">
        <v>149</v>
      </c>
      <c r="D1281" s="21" t="s">
        <v>149</v>
      </c>
      <c r="E1281" s="23">
        <v>11401</v>
      </c>
      <c r="F1281" s="20">
        <v>164038.94</v>
      </c>
      <c r="G1281" s="30">
        <f t="shared" si="58"/>
        <v>175439.94</v>
      </c>
      <c r="H1281" t="str">
        <f>IFERROR(VLOOKUP(C1281,Sheet1!$B$2:$C$25,2,FALSE),"")</f>
        <v/>
      </c>
      <c r="I1281">
        <f t="shared" si="59"/>
        <v>1613</v>
      </c>
    </row>
    <row r="1282" spans="1:9" x14ac:dyDescent="0.2">
      <c r="A1282" t="str">
        <f t="shared" si="57"/>
        <v/>
      </c>
      <c r="B1282" s="20">
        <v>2020</v>
      </c>
      <c r="C1282" s="21" t="s">
        <v>149</v>
      </c>
      <c r="D1282" s="21" t="s">
        <v>149</v>
      </c>
      <c r="E1282" s="23">
        <v>12645</v>
      </c>
      <c r="F1282" s="20">
        <v>176768.81599999999</v>
      </c>
      <c r="G1282" s="30">
        <f t="shared" si="58"/>
        <v>189413.81599999999</v>
      </c>
      <c r="H1282" t="str">
        <f>IFERROR(VLOOKUP(C1282,Sheet1!$B$2:$C$25,2,FALSE),"")</f>
        <v/>
      </c>
      <c r="I1282">
        <f t="shared" si="59"/>
        <v>1613</v>
      </c>
    </row>
    <row r="1283" spans="1:9" x14ac:dyDescent="0.2">
      <c r="A1283" t="str">
        <f t="shared" ref="A1283:A1346" si="60">H1283</f>
        <v/>
      </c>
      <c r="B1283" s="20">
        <v>2021</v>
      </c>
      <c r="C1283" s="21" t="s">
        <v>149</v>
      </c>
      <c r="D1283" s="20" t="s">
        <v>149</v>
      </c>
      <c r="E1283" s="23">
        <v>17517</v>
      </c>
      <c r="F1283" s="20">
        <v>228666.65849999999</v>
      </c>
      <c r="G1283" s="30">
        <f t="shared" ref="G1283:G1346" si="61">SUM(E1283:F1283)</f>
        <v>246183.65849999999</v>
      </c>
      <c r="H1283" t="str">
        <f>IFERROR(VLOOKUP(C1283,Sheet1!$B$2:$C$25,2,FALSE),"")</f>
        <v/>
      </c>
      <c r="I1283">
        <f t="shared" ref="I1283:I1346" si="62">COUNTIF($H$2:$H$1812,H1283)</f>
        <v>1613</v>
      </c>
    </row>
    <row r="1284" spans="1:9" x14ac:dyDescent="0.2">
      <c r="A1284" t="str">
        <f t="shared" si="60"/>
        <v/>
      </c>
      <c r="B1284" s="20">
        <v>2022</v>
      </c>
      <c r="C1284" s="21" t="s">
        <v>149</v>
      </c>
      <c r="D1284" s="21" t="s">
        <v>149</v>
      </c>
      <c r="E1284" s="23">
        <v>18867</v>
      </c>
      <c r="F1284" s="20">
        <v>259374.49979999999</v>
      </c>
      <c r="G1284" s="30">
        <f t="shared" si="61"/>
        <v>278241.49979999999</v>
      </c>
      <c r="H1284" t="str">
        <f>IFERROR(VLOOKUP(C1284,Sheet1!$B$2:$C$25,2,FALSE),"")</f>
        <v/>
      </c>
      <c r="I1284">
        <f t="shared" si="62"/>
        <v>1613</v>
      </c>
    </row>
    <row r="1285" spans="1:9" x14ac:dyDescent="0.2">
      <c r="A1285" t="str">
        <f t="shared" si="60"/>
        <v/>
      </c>
      <c r="B1285" s="20">
        <v>2023</v>
      </c>
      <c r="C1285" s="21" t="s">
        <v>149</v>
      </c>
      <c r="D1285" s="21" t="s">
        <v>149</v>
      </c>
      <c r="E1285" s="23">
        <v>23802</v>
      </c>
      <c r="F1285" s="20">
        <v>318560.30660000001</v>
      </c>
      <c r="G1285" s="30">
        <f t="shared" si="61"/>
        <v>342362.30660000001</v>
      </c>
      <c r="H1285" t="str">
        <f>IFERROR(VLOOKUP(C1285,Sheet1!$B$2:$C$25,2,FALSE),"")</f>
        <v/>
      </c>
      <c r="I1285">
        <f t="shared" si="62"/>
        <v>1613</v>
      </c>
    </row>
    <row r="1286" spans="1:9" x14ac:dyDescent="0.2">
      <c r="A1286" t="str">
        <f t="shared" si="60"/>
        <v/>
      </c>
      <c r="B1286" s="20">
        <v>2015</v>
      </c>
      <c r="C1286" s="21" t="s">
        <v>150</v>
      </c>
      <c r="D1286" s="21" t="s">
        <v>150</v>
      </c>
      <c r="E1286" s="23">
        <v>37145</v>
      </c>
      <c r="F1286" s="20">
        <v>582695.61369999999</v>
      </c>
      <c r="G1286" s="30">
        <f t="shared" si="61"/>
        <v>619840.61369999999</v>
      </c>
      <c r="H1286" t="str">
        <f>IFERROR(VLOOKUP(C1286,Sheet1!$B$2:$C$25,2,FALSE),"")</f>
        <v/>
      </c>
      <c r="I1286">
        <f t="shared" si="62"/>
        <v>1613</v>
      </c>
    </row>
    <row r="1287" spans="1:9" x14ac:dyDescent="0.2">
      <c r="A1287" t="str">
        <f t="shared" si="60"/>
        <v/>
      </c>
      <c r="B1287" s="20">
        <v>2016</v>
      </c>
      <c r="C1287" s="21" t="s">
        <v>150</v>
      </c>
      <c r="D1287" s="21" t="s">
        <v>150</v>
      </c>
      <c r="E1287" s="23">
        <v>32171</v>
      </c>
      <c r="F1287" s="20">
        <v>502151.924</v>
      </c>
      <c r="G1287" s="30">
        <f t="shared" si="61"/>
        <v>534322.924</v>
      </c>
      <c r="H1287" t="str">
        <f>IFERROR(VLOOKUP(C1287,Sheet1!$B$2:$C$25,2,FALSE),"")</f>
        <v/>
      </c>
      <c r="I1287">
        <f t="shared" si="62"/>
        <v>1613</v>
      </c>
    </row>
    <row r="1288" spans="1:9" x14ac:dyDescent="0.2">
      <c r="A1288" t="str">
        <f t="shared" si="60"/>
        <v/>
      </c>
      <c r="B1288" s="20">
        <v>2017</v>
      </c>
      <c r="C1288" s="21" t="s">
        <v>150</v>
      </c>
      <c r="D1288" s="21" t="s">
        <v>150</v>
      </c>
      <c r="E1288" s="23">
        <v>27305</v>
      </c>
      <c r="F1288" s="20">
        <v>451362.5551</v>
      </c>
      <c r="G1288" s="30">
        <f t="shared" si="61"/>
        <v>478667.5551</v>
      </c>
      <c r="H1288" t="str">
        <f>IFERROR(VLOOKUP(C1288,Sheet1!$B$2:$C$25,2,FALSE),"")</f>
        <v/>
      </c>
      <c r="I1288">
        <f t="shared" si="62"/>
        <v>1613</v>
      </c>
    </row>
    <row r="1289" spans="1:9" x14ac:dyDescent="0.2">
      <c r="A1289" t="str">
        <f t="shared" si="60"/>
        <v/>
      </c>
      <c r="B1289" s="20">
        <v>2018</v>
      </c>
      <c r="C1289" s="21" t="s">
        <v>150</v>
      </c>
      <c r="D1289" s="21" t="s">
        <v>150</v>
      </c>
      <c r="E1289" s="23">
        <v>30907</v>
      </c>
      <c r="F1289" s="20">
        <v>465036.14730000001</v>
      </c>
      <c r="G1289" s="30">
        <f t="shared" si="61"/>
        <v>495943.14730000001</v>
      </c>
      <c r="H1289" t="str">
        <f>IFERROR(VLOOKUP(C1289,Sheet1!$B$2:$C$25,2,FALSE),"")</f>
        <v/>
      </c>
      <c r="I1289">
        <f t="shared" si="62"/>
        <v>1613</v>
      </c>
    </row>
    <row r="1290" spans="1:9" x14ac:dyDescent="0.2">
      <c r="A1290" t="str">
        <f t="shared" si="60"/>
        <v/>
      </c>
      <c r="B1290" s="20">
        <v>2019</v>
      </c>
      <c r="C1290" s="21" t="s">
        <v>150</v>
      </c>
      <c r="D1290" s="21" t="s">
        <v>150</v>
      </c>
      <c r="E1290" s="23">
        <v>32496</v>
      </c>
      <c r="F1290" s="20">
        <v>467556.30170000001</v>
      </c>
      <c r="G1290" s="30">
        <f t="shared" si="61"/>
        <v>500052.30170000001</v>
      </c>
      <c r="H1290" t="str">
        <f>IFERROR(VLOOKUP(C1290,Sheet1!$B$2:$C$25,2,FALSE),"")</f>
        <v/>
      </c>
      <c r="I1290">
        <f t="shared" si="62"/>
        <v>1613</v>
      </c>
    </row>
    <row r="1291" spans="1:9" x14ac:dyDescent="0.2">
      <c r="A1291" t="str">
        <f t="shared" si="60"/>
        <v/>
      </c>
      <c r="B1291" s="20">
        <v>2020</v>
      </c>
      <c r="C1291" s="21" t="s">
        <v>150</v>
      </c>
      <c r="D1291" s="21" t="s">
        <v>150</v>
      </c>
      <c r="E1291" s="23">
        <v>44162</v>
      </c>
      <c r="F1291" s="20">
        <v>617355.82860000001</v>
      </c>
      <c r="G1291" s="30">
        <f t="shared" si="61"/>
        <v>661517.82860000001</v>
      </c>
      <c r="H1291" t="str">
        <f>IFERROR(VLOOKUP(C1291,Sheet1!$B$2:$C$25,2,FALSE),"")</f>
        <v/>
      </c>
      <c r="I1291">
        <f t="shared" si="62"/>
        <v>1613</v>
      </c>
    </row>
    <row r="1292" spans="1:9" x14ac:dyDescent="0.2">
      <c r="A1292" t="str">
        <f t="shared" si="60"/>
        <v/>
      </c>
      <c r="B1292" s="20">
        <v>2021</v>
      </c>
      <c r="C1292" s="21" t="s">
        <v>150</v>
      </c>
      <c r="D1292" s="20" t="s">
        <v>150</v>
      </c>
      <c r="E1292" s="23">
        <v>44817</v>
      </c>
      <c r="F1292" s="20">
        <v>585040.45409999997</v>
      </c>
      <c r="G1292" s="30">
        <f t="shared" si="61"/>
        <v>629857.45409999997</v>
      </c>
      <c r="H1292" t="str">
        <f>IFERROR(VLOOKUP(C1292,Sheet1!$B$2:$C$25,2,FALSE),"")</f>
        <v/>
      </c>
      <c r="I1292">
        <f t="shared" si="62"/>
        <v>1613</v>
      </c>
    </row>
    <row r="1293" spans="1:9" x14ac:dyDescent="0.2">
      <c r="A1293" t="str">
        <f t="shared" si="60"/>
        <v/>
      </c>
      <c r="B1293" s="20">
        <v>2022</v>
      </c>
      <c r="C1293" s="21" t="s">
        <v>150</v>
      </c>
      <c r="D1293" s="21" t="s">
        <v>150</v>
      </c>
      <c r="E1293" s="23">
        <v>57326</v>
      </c>
      <c r="F1293" s="20">
        <v>788090.45310000004</v>
      </c>
      <c r="G1293" s="30">
        <f t="shared" si="61"/>
        <v>845416.45310000004</v>
      </c>
      <c r="H1293" t="str">
        <f>IFERROR(VLOOKUP(C1293,Sheet1!$B$2:$C$25,2,FALSE),"")</f>
        <v/>
      </c>
      <c r="I1293">
        <f t="shared" si="62"/>
        <v>1613</v>
      </c>
    </row>
    <row r="1294" spans="1:9" x14ac:dyDescent="0.2">
      <c r="A1294" t="str">
        <f t="shared" si="60"/>
        <v/>
      </c>
      <c r="B1294" s="20">
        <v>2023</v>
      </c>
      <c r="C1294" s="21" t="s">
        <v>150</v>
      </c>
      <c r="D1294" s="21" t="s">
        <v>150</v>
      </c>
      <c r="E1294" s="23">
        <v>54155</v>
      </c>
      <c r="F1294" s="20">
        <v>724797.63910000003</v>
      </c>
      <c r="G1294" s="30">
        <f t="shared" si="61"/>
        <v>778952.63910000003</v>
      </c>
      <c r="H1294" t="str">
        <f>IFERROR(VLOOKUP(C1294,Sheet1!$B$2:$C$25,2,FALSE),"")</f>
        <v/>
      </c>
      <c r="I1294">
        <f t="shared" si="62"/>
        <v>1613</v>
      </c>
    </row>
    <row r="1295" spans="1:9" x14ac:dyDescent="0.2">
      <c r="A1295" t="str">
        <f t="shared" si="60"/>
        <v/>
      </c>
      <c r="B1295" s="20">
        <v>2015</v>
      </c>
      <c r="C1295" s="21" t="s">
        <v>151</v>
      </c>
      <c r="D1295" s="21" t="s">
        <v>151</v>
      </c>
      <c r="E1295" s="23">
        <v>43320</v>
      </c>
      <c r="F1295" s="20">
        <v>679563.17090000003</v>
      </c>
      <c r="G1295" s="30">
        <f t="shared" si="61"/>
        <v>722883.17090000003</v>
      </c>
      <c r="H1295" t="str">
        <f>IFERROR(VLOOKUP(C1295,Sheet1!$B$2:$C$25,2,FALSE),"")</f>
        <v/>
      </c>
      <c r="I1295">
        <f t="shared" si="62"/>
        <v>1613</v>
      </c>
    </row>
    <row r="1296" spans="1:9" x14ac:dyDescent="0.2">
      <c r="A1296" t="str">
        <f t="shared" si="60"/>
        <v/>
      </c>
      <c r="B1296" s="20">
        <v>2016</v>
      </c>
      <c r="C1296" s="21" t="s">
        <v>151</v>
      </c>
      <c r="D1296" s="21" t="s">
        <v>151</v>
      </c>
      <c r="E1296" s="23">
        <v>38111</v>
      </c>
      <c r="F1296" s="20">
        <v>594868.42119999998</v>
      </c>
      <c r="G1296" s="30">
        <f t="shared" si="61"/>
        <v>632979.42119999998</v>
      </c>
      <c r="H1296" t="str">
        <f>IFERROR(VLOOKUP(C1296,Sheet1!$B$2:$C$25,2,FALSE),"")</f>
        <v/>
      </c>
      <c r="I1296">
        <f t="shared" si="62"/>
        <v>1613</v>
      </c>
    </row>
    <row r="1297" spans="1:9" x14ac:dyDescent="0.2">
      <c r="A1297" t="str">
        <f t="shared" si="60"/>
        <v/>
      </c>
      <c r="B1297" s="20">
        <v>2017</v>
      </c>
      <c r="C1297" s="21" t="s">
        <v>151</v>
      </c>
      <c r="D1297" s="21" t="s">
        <v>151</v>
      </c>
      <c r="E1297" s="23">
        <v>38799</v>
      </c>
      <c r="F1297" s="20">
        <v>641362.9656</v>
      </c>
      <c r="G1297" s="30">
        <f t="shared" si="61"/>
        <v>680161.9656</v>
      </c>
      <c r="H1297" t="str">
        <f>IFERROR(VLOOKUP(C1297,Sheet1!$B$2:$C$25,2,FALSE),"")</f>
        <v/>
      </c>
      <c r="I1297">
        <f t="shared" si="62"/>
        <v>1613</v>
      </c>
    </row>
    <row r="1298" spans="1:9" x14ac:dyDescent="0.2">
      <c r="A1298" t="str">
        <f t="shared" si="60"/>
        <v/>
      </c>
      <c r="B1298" s="20">
        <v>2018</v>
      </c>
      <c r="C1298" s="21" t="s">
        <v>151</v>
      </c>
      <c r="D1298" s="21" t="s">
        <v>151</v>
      </c>
      <c r="E1298" s="23">
        <v>41351</v>
      </c>
      <c r="F1298" s="20">
        <v>622179.75630000001</v>
      </c>
      <c r="G1298" s="30">
        <f t="shared" si="61"/>
        <v>663530.75630000001</v>
      </c>
      <c r="H1298" t="str">
        <f>IFERROR(VLOOKUP(C1298,Sheet1!$B$2:$C$25,2,FALSE),"")</f>
        <v/>
      </c>
      <c r="I1298">
        <f t="shared" si="62"/>
        <v>1613</v>
      </c>
    </row>
    <row r="1299" spans="1:9" x14ac:dyDescent="0.2">
      <c r="A1299" t="str">
        <f t="shared" si="60"/>
        <v/>
      </c>
      <c r="B1299" s="20">
        <v>2019</v>
      </c>
      <c r="C1299" s="21" t="s">
        <v>151</v>
      </c>
      <c r="D1299" s="21" t="s">
        <v>151</v>
      </c>
      <c r="E1299" s="23">
        <v>39197</v>
      </c>
      <c r="F1299" s="20">
        <v>563971.08429999999</v>
      </c>
      <c r="G1299" s="30">
        <f t="shared" si="61"/>
        <v>603168.08429999999</v>
      </c>
      <c r="H1299" t="str">
        <f>IFERROR(VLOOKUP(C1299,Sheet1!$B$2:$C$25,2,FALSE),"")</f>
        <v/>
      </c>
      <c r="I1299">
        <f t="shared" si="62"/>
        <v>1613</v>
      </c>
    </row>
    <row r="1300" spans="1:9" x14ac:dyDescent="0.2">
      <c r="A1300" t="str">
        <f t="shared" si="60"/>
        <v/>
      </c>
      <c r="B1300" s="20">
        <v>2020</v>
      </c>
      <c r="C1300" s="21" t="s">
        <v>151</v>
      </c>
      <c r="D1300" s="21" t="s">
        <v>151</v>
      </c>
      <c r="E1300" s="23">
        <v>32537</v>
      </c>
      <c r="F1300" s="20">
        <v>454845.94439999998</v>
      </c>
      <c r="G1300" s="30">
        <f t="shared" si="61"/>
        <v>487382.94439999998</v>
      </c>
      <c r="H1300" t="str">
        <f>IFERROR(VLOOKUP(C1300,Sheet1!$B$2:$C$25,2,FALSE),"")</f>
        <v/>
      </c>
      <c r="I1300">
        <f t="shared" si="62"/>
        <v>1613</v>
      </c>
    </row>
    <row r="1301" spans="1:9" x14ac:dyDescent="0.2">
      <c r="A1301" t="str">
        <f t="shared" si="60"/>
        <v/>
      </c>
      <c r="B1301" s="20">
        <v>2021</v>
      </c>
      <c r="C1301" s="21" t="s">
        <v>151</v>
      </c>
      <c r="D1301" s="20" t="s">
        <v>151</v>
      </c>
      <c r="E1301" s="23">
        <v>43000</v>
      </c>
      <c r="F1301" s="20">
        <v>561321.36300000001</v>
      </c>
      <c r="G1301" s="30">
        <f t="shared" si="61"/>
        <v>604321.36300000001</v>
      </c>
      <c r="H1301" t="str">
        <f>IFERROR(VLOOKUP(C1301,Sheet1!$B$2:$C$25,2,FALSE),"")</f>
        <v/>
      </c>
      <c r="I1301">
        <f t="shared" si="62"/>
        <v>1613</v>
      </c>
    </row>
    <row r="1302" spans="1:9" x14ac:dyDescent="0.2">
      <c r="A1302" t="str">
        <f t="shared" si="60"/>
        <v/>
      </c>
      <c r="B1302" s="20">
        <v>2022</v>
      </c>
      <c r="C1302" s="21" t="s">
        <v>151</v>
      </c>
      <c r="D1302" s="21" t="s">
        <v>151</v>
      </c>
      <c r="E1302" s="23">
        <v>40612</v>
      </c>
      <c r="F1302" s="20">
        <v>558314.36829999997</v>
      </c>
      <c r="G1302" s="30">
        <f t="shared" si="61"/>
        <v>598926.36829999997</v>
      </c>
      <c r="H1302" t="str">
        <f>IFERROR(VLOOKUP(C1302,Sheet1!$B$2:$C$25,2,FALSE),"")</f>
        <v/>
      </c>
      <c r="I1302">
        <f t="shared" si="62"/>
        <v>1613</v>
      </c>
    </row>
    <row r="1303" spans="1:9" x14ac:dyDescent="0.2">
      <c r="A1303" t="str">
        <f t="shared" si="60"/>
        <v/>
      </c>
      <c r="B1303" s="20">
        <v>2023</v>
      </c>
      <c r="C1303" s="21" t="s">
        <v>151</v>
      </c>
      <c r="D1303" s="21" t="s">
        <v>151</v>
      </c>
      <c r="E1303" s="23">
        <v>42954</v>
      </c>
      <c r="F1303" s="20">
        <v>574886.11930000002</v>
      </c>
      <c r="G1303" s="30">
        <f t="shared" si="61"/>
        <v>617840.11930000002</v>
      </c>
      <c r="H1303" t="str">
        <f>IFERROR(VLOOKUP(C1303,Sheet1!$B$2:$C$25,2,FALSE),"")</f>
        <v/>
      </c>
      <c r="I1303">
        <f t="shared" si="62"/>
        <v>1613</v>
      </c>
    </row>
    <row r="1304" spans="1:9" x14ac:dyDescent="0.2">
      <c r="A1304" t="str">
        <f t="shared" si="60"/>
        <v/>
      </c>
      <c r="B1304" s="20">
        <v>2015</v>
      </c>
      <c r="C1304" s="21" t="s">
        <v>152</v>
      </c>
      <c r="D1304" s="21" t="s">
        <v>152</v>
      </c>
      <c r="E1304" s="23">
        <v>924868</v>
      </c>
      <c r="F1304" s="20">
        <v>14508454.08</v>
      </c>
      <c r="G1304" s="30">
        <f t="shared" si="61"/>
        <v>15433322.08</v>
      </c>
      <c r="H1304" t="str">
        <f>IFERROR(VLOOKUP(C1304,Sheet1!$B$2:$C$25,2,FALSE),"")</f>
        <v/>
      </c>
      <c r="I1304">
        <f t="shared" si="62"/>
        <v>1613</v>
      </c>
    </row>
    <row r="1305" spans="1:9" x14ac:dyDescent="0.2">
      <c r="A1305" t="str">
        <f t="shared" si="60"/>
        <v/>
      </c>
      <c r="B1305" s="20">
        <v>2016</v>
      </c>
      <c r="C1305" s="21" t="s">
        <v>152</v>
      </c>
      <c r="D1305" s="21" t="s">
        <v>152</v>
      </c>
      <c r="E1305" s="23">
        <v>853547</v>
      </c>
      <c r="F1305" s="20">
        <v>13322876.76</v>
      </c>
      <c r="G1305" s="30">
        <f t="shared" si="61"/>
        <v>14176423.76</v>
      </c>
      <c r="H1305" t="str">
        <f>IFERROR(VLOOKUP(C1305,Sheet1!$B$2:$C$25,2,FALSE),"")</f>
        <v/>
      </c>
      <c r="I1305">
        <f t="shared" si="62"/>
        <v>1613</v>
      </c>
    </row>
    <row r="1306" spans="1:9" x14ac:dyDescent="0.2">
      <c r="A1306" t="str">
        <f t="shared" si="60"/>
        <v/>
      </c>
      <c r="B1306" s="20">
        <v>2017</v>
      </c>
      <c r="C1306" s="21" t="s">
        <v>152</v>
      </c>
      <c r="D1306" s="21" t="s">
        <v>152</v>
      </c>
      <c r="E1306" s="23">
        <v>829995</v>
      </c>
      <c r="F1306" s="20">
        <v>13720148.83</v>
      </c>
      <c r="G1306" s="30">
        <f t="shared" si="61"/>
        <v>14550143.83</v>
      </c>
      <c r="H1306" t="str">
        <f>IFERROR(VLOOKUP(C1306,Sheet1!$B$2:$C$25,2,FALSE),"")</f>
        <v/>
      </c>
      <c r="I1306">
        <f t="shared" si="62"/>
        <v>1613</v>
      </c>
    </row>
    <row r="1307" spans="1:9" x14ac:dyDescent="0.2">
      <c r="A1307" t="str">
        <f t="shared" si="60"/>
        <v/>
      </c>
      <c r="B1307" s="20">
        <v>2018</v>
      </c>
      <c r="C1307" s="21" t="s">
        <v>152</v>
      </c>
      <c r="D1307" s="21" t="s">
        <v>152</v>
      </c>
      <c r="E1307" s="23">
        <v>871477</v>
      </c>
      <c r="F1307" s="20">
        <v>13112508.710000001</v>
      </c>
      <c r="G1307" s="30">
        <f t="shared" si="61"/>
        <v>13983985.710000001</v>
      </c>
      <c r="H1307" t="str">
        <f>IFERROR(VLOOKUP(C1307,Sheet1!$B$2:$C$25,2,FALSE),"")</f>
        <v/>
      </c>
      <c r="I1307">
        <f t="shared" si="62"/>
        <v>1613</v>
      </c>
    </row>
    <row r="1308" spans="1:9" x14ac:dyDescent="0.2">
      <c r="A1308" t="str">
        <f t="shared" si="60"/>
        <v/>
      </c>
      <c r="B1308" s="20">
        <v>2019</v>
      </c>
      <c r="C1308" s="21" t="s">
        <v>152</v>
      </c>
      <c r="D1308" s="21" t="s">
        <v>152</v>
      </c>
      <c r="E1308" s="23">
        <v>974969</v>
      </c>
      <c r="F1308" s="20">
        <v>14027969.59</v>
      </c>
      <c r="G1308" s="30">
        <f t="shared" si="61"/>
        <v>15002938.59</v>
      </c>
      <c r="H1308" t="str">
        <f>IFERROR(VLOOKUP(C1308,Sheet1!$B$2:$C$25,2,FALSE),"")</f>
        <v/>
      </c>
      <c r="I1308">
        <f t="shared" si="62"/>
        <v>1613</v>
      </c>
    </row>
    <row r="1309" spans="1:9" x14ac:dyDescent="0.2">
      <c r="A1309" t="str">
        <f t="shared" si="60"/>
        <v/>
      </c>
      <c r="B1309" s="20">
        <v>2020</v>
      </c>
      <c r="C1309" s="21" t="s">
        <v>152</v>
      </c>
      <c r="D1309" s="21" t="s">
        <v>152</v>
      </c>
      <c r="E1309" s="23">
        <v>1045629</v>
      </c>
      <c r="F1309" s="20">
        <v>14617208.41</v>
      </c>
      <c r="G1309" s="30">
        <f t="shared" si="61"/>
        <v>15662837.41</v>
      </c>
      <c r="H1309" t="str">
        <f>IFERROR(VLOOKUP(C1309,Sheet1!$B$2:$C$25,2,FALSE),"")</f>
        <v/>
      </c>
      <c r="I1309">
        <f t="shared" si="62"/>
        <v>1613</v>
      </c>
    </row>
    <row r="1310" spans="1:9" x14ac:dyDescent="0.2">
      <c r="A1310" t="str">
        <f t="shared" si="60"/>
        <v/>
      </c>
      <c r="B1310" s="20">
        <v>2021</v>
      </c>
      <c r="C1310" s="21" t="s">
        <v>152</v>
      </c>
      <c r="D1310" s="20" t="s">
        <v>152</v>
      </c>
      <c r="E1310" s="23">
        <v>1167784</v>
      </c>
      <c r="F1310" s="20">
        <v>15244235.039999999</v>
      </c>
      <c r="G1310" s="30">
        <f t="shared" si="61"/>
        <v>16412019.039999999</v>
      </c>
      <c r="H1310" t="str">
        <f>IFERROR(VLOOKUP(C1310,Sheet1!$B$2:$C$25,2,FALSE),"")</f>
        <v/>
      </c>
      <c r="I1310">
        <f t="shared" si="62"/>
        <v>1613</v>
      </c>
    </row>
    <row r="1311" spans="1:9" x14ac:dyDescent="0.2">
      <c r="A1311" t="str">
        <f t="shared" si="60"/>
        <v/>
      </c>
      <c r="B1311" s="20">
        <v>2022</v>
      </c>
      <c r="C1311" s="21" t="s">
        <v>152</v>
      </c>
      <c r="D1311" s="21" t="s">
        <v>152</v>
      </c>
      <c r="E1311" s="23">
        <v>1171926</v>
      </c>
      <c r="F1311" s="20">
        <v>16111078.609999999</v>
      </c>
      <c r="G1311" s="30">
        <f t="shared" si="61"/>
        <v>17283004.609999999</v>
      </c>
      <c r="H1311" t="str">
        <f>IFERROR(VLOOKUP(C1311,Sheet1!$B$2:$C$25,2,FALSE),"")</f>
        <v/>
      </c>
      <c r="I1311">
        <f t="shared" si="62"/>
        <v>1613</v>
      </c>
    </row>
    <row r="1312" spans="1:9" x14ac:dyDescent="0.2">
      <c r="A1312" t="str">
        <f t="shared" si="60"/>
        <v/>
      </c>
      <c r="B1312" s="20">
        <v>2023</v>
      </c>
      <c r="C1312" s="21" t="s">
        <v>152</v>
      </c>
      <c r="D1312" s="21" t="s">
        <v>152</v>
      </c>
      <c r="E1312" s="23">
        <v>1253320</v>
      </c>
      <c r="F1312" s="20">
        <v>16774136.779999999</v>
      </c>
      <c r="G1312" s="30">
        <f t="shared" si="61"/>
        <v>18027456.780000001</v>
      </c>
      <c r="H1312" t="str">
        <f>IFERROR(VLOOKUP(C1312,Sheet1!$B$2:$C$25,2,FALSE),"")</f>
        <v/>
      </c>
      <c r="I1312">
        <f t="shared" si="62"/>
        <v>1613</v>
      </c>
    </row>
    <row r="1313" spans="1:9" x14ac:dyDescent="0.2">
      <c r="A1313" t="str">
        <f t="shared" si="60"/>
        <v/>
      </c>
      <c r="B1313" s="20">
        <v>2015</v>
      </c>
      <c r="C1313" s="21" t="s">
        <v>230</v>
      </c>
      <c r="D1313" s="21" t="s">
        <v>153</v>
      </c>
      <c r="E1313" s="23">
        <v>2066875</v>
      </c>
      <c r="F1313" s="20">
        <v>32423179.34</v>
      </c>
      <c r="G1313" s="30">
        <f t="shared" si="61"/>
        <v>34490054.340000004</v>
      </c>
      <c r="H1313" t="str">
        <f>IFERROR(VLOOKUP(C1313,Sheet1!$B$2:$C$25,2,FALSE),"")</f>
        <v/>
      </c>
      <c r="I1313">
        <f t="shared" si="62"/>
        <v>1613</v>
      </c>
    </row>
    <row r="1314" spans="1:9" x14ac:dyDescent="0.2">
      <c r="A1314" t="str">
        <f t="shared" si="60"/>
        <v/>
      </c>
      <c r="B1314" s="20">
        <v>2016</v>
      </c>
      <c r="C1314" s="21" t="s">
        <v>230</v>
      </c>
      <c r="D1314" s="21" t="s">
        <v>153</v>
      </c>
      <c r="E1314" s="23">
        <v>2232222</v>
      </c>
      <c r="F1314" s="20">
        <v>34842391.350000001</v>
      </c>
      <c r="G1314" s="30">
        <f t="shared" si="61"/>
        <v>37074613.350000001</v>
      </c>
      <c r="H1314" t="str">
        <f>IFERROR(VLOOKUP(C1314,Sheet1!$B$2:$C$25,2,FALSE),"")</f>
        <v/>
      </c>
      <c r="I1314">
        <f t="shared" si="62"/>
        <v>1613</v>
      </c>
    </row>
    <row r="1315" spans="1:9" x14ac:dyDescent="0.2">
      <c r="A1315" t="str">
        <f t="shared" si="60"/>
        <v/>
      </c>
      <c r="B1315" s="20">
        <v>2017</v>
      </c>
      <c r="C1315" s="21" t="s">
        <v>230</v>
      </c>
      <c r="D1315" s="21" t="s">
        <v>153</v>
      </c>
      <c r="E1315" s="23">
        <v>2220500</v>
      </c>
      <c r="F1315" s="20">
        <v>36705751.829999998</v>
      </c>
      <c r="G1315" s="30">
        <f t="shared" si="61"/>
        <v>38926251.829999998</v>
      </c>
      <c r="H1315" t="str">
        <f>IFERROR(VLOOKUP(C1315,Sheet1!$B$2:$C$25,2,FALSE),"")</f>
        <v/>
      </c>
      <c r="I1315">
        <f t="shared" si="62"/>
        <v>1613</v>
      </c>
    </row>
    <row r="1316" spans="1:9" x14ac:dyDescent="0.2">
      <c r="A1316" t="str">
        <f t="shared" si="60"/>
        <v/>
      </c>
      <c r="B1316" s="20">
        <v>2018</v>
      </c>
      <c r="C1316" s="21" t="s">
        <v>230</v>
      </c>
      <c r="D1316" s="21" t="s">
        <v>217</v>
      </c>
      <c r="E1316" s="23">
        <v>2316726</v>
      </c>
      <c r="F1316" s="20">
        <v>34858165.899999999</v>
      </c>
      <c r="G1316" s="30">
        <f t="shared" si="61"/>
        <v>37174891.899999999</v>
      </c>
      <c r="H1316" t="str">
        <f>IFERROR(VLOOKUP(C1316,Sheet1!$B$2:$C$25,2,FALSE),"")</f>
        <v/>
      </c>
      <c r="I1316">
        <f t="shared" si="62"/>
        <v>1613</v>
      </c>
    </row>
    <row r="1317" spans="1:9" x14ac:dyDescent="0.2">
      <c r="A1317" t="str">
        <f t="shared" si="60"/>
        <v/>
      </c>
      <c r="B1317" s="20">
        <v>2019</v>
      </c>
      <c r="C1317" s="21" t="s">
        <v>230</v>
      </c>
      <c r="D1317" s="21" t="s">
        <v>230</v>
      </c>
      <c r="E1317" s="23">
        <v>2443797</v>
      </c>
      <c r="F1317" s="20">
        <v>35161641.039999999</v>
      </c>
      <c r="G1317" s="30">
        <f t="shared" si="61"/>
        <v>37605438.039999999</v>
      </c>
      <c r="H1317" t="str">
        <f>IFERROR(VLOOKUP(C1317,Sheet1!$B$2:$C$25,2,FALSE),"")</f>
        <v/>
      </c>
      <c r="I1317">
        <f t="shared" si="62"/>
        <v>1613</v>
      </c>
    </row>
    <row r="1318" spans="1:9" x14ac:dyDescent="0.2">
      <c r="A1318" t="str">
        <f t="shared" si="60"/>
        <v/>
      </c>
      <c r="B1318" s="20">
        <v>2020</v>
      </c>
      <c r="C1318" s="21" t="s">
        <v>230</v>
      </c>
      <c r="D1318" s="21" t="s">
        <v>230</v>
      </c>
      <c r="E1318" s="23">
        <v>2774665</v>
      </c>
      <c r="F1318" s="20">
        <v>38787998.960000001</v>
      </c>
      <c r="G1318" s="30">
        <f t="shared" si="61"/>
        <v>41562663.960000001</v>
      </c>
      <c r="H1318" t="str">
        <f>IFERROR(VLOOKUP(C1318,Sheet1!$B$2:$C$25,2,FALSE),"")</f>
        <v/>
      </c>
      <c r="I1318">
        <f t="shared" si="62"/>
        <v>1613</v>
      </c>
    </row>
    <row r="1319" spans="1:9" x14ac:dyDescent="0.2">
      <c r="A1319" t="str">
        <f t="shared" si="60"/>
        <v/>
      </c>
      <c r="B1319" s="20">
        <v>2021</v>
      </c>
      <c r="C1319" s="21" t="s">
        <v>230</v>
      </c>
      <c r="D1319" s="20" t="s">
        <v>230</v>
      </c>
      <c r="E1319" s="23">
        <v>3124595</v>
      </c>
      <c r="F1319" s="20">
        <v>40788416.840000004</v>
      </c>
      <c r="G1319" s="30">
        <f t="shared" si="61"/>
        <v>43913011.840000004</v>
      </c>
      <c r="H1319" t="str">
        <f>IFERROR(VLOOKUP(C1319,Sheet1!$B$2:$C$25,2,FALSE),"")</f>
        <v/>
      </c>
      <c r="I1319">
        <f t="shared" si="62"/>
        <v>1613</v>
      </c>
    </row>
    <row r="1320" spans="1:9" x14ac:dyDescent="0.2">
      <c r="A1320" t="str">
        <f t="shared" si="60"/>
        <v/>
      </c>
      <c r="B1320" s="20">
        <v>2022</v>
      </c>
      <c r="C1320" s="21" t="s">
        <v>230</v>
      </c>
      <c r="D1320" s="21" t="s">
        <v>230</v>
      </c>
      <c r="E1320" s="23">
        <v>3169591</v>
      </c>
      <c r="F1320" s="20">
        <v>43574022.380000003</v>
      </c>
      <c r="G1320" s="30">
        <f t="shared" si="61"/>
        <v>46743613.380000003</v>
      </c>
      <c r="H1320" t="str">
        <f>IFERROR(VLOOKUP(C1320,Sheet1!$B$2:$C$25,2,FALSE),"")</f>
        <v/>
      </c>
      <c r="I1320">
        <f t="shared" si="62"/>
        <v>1613</v>
      </c>
    </row>
    <row r="1321" spans="1:9" x14ac:dyDescent="0.2">
      <c r="A1321" t="str">
        <f t="shared" si="60"/>
        <v/>
      </c>
      <c r="B1321" s="20">
        <v>2023</v>
      </c>
      <c r="C1321" s="21" t="s">
        <v>230</v>
      </c>
      <c r="D1321" s="21" t="s">
        <v>230</v>
      </c>
      <c r="E1321" s="23">
        <v>3660065</v>
      </c>
      <c r="F1321" s="20">
        <v>48985439.409999996</v>
      </c>
      <c r="G1321" s="30">
        <f t="shared" si="61"/>
        <v>52645504.409999996</v>
      </c>
      <c r="H1321" t="str">
        <f>IFERROR(VLOOKUP(C1321,Sheet1!$B$2:$C$25,2,FALSE),"")</f>
        <v/>
      </c>
      <c r="I1321">
        <f t="shared" si="62"/>
        <v>1613</v>
      </c>
    </row>
    <row r="1322" spans="1:9" x14ac:dyDescent="0.2">
      <c r="A1322" t="str">
        <f t="shared" si="60"/>
        <v/>
      </c>
      <c r="B1322" s="20">
        <v>2015</v>
      </c>
      <c r="C1322" s="21" t="s">
        <v>154</v>
      </c>
      <c r="D1322" s="21" t="s">
        <v>154</v>
      </c>
      <c r="E1322" s="23">
        <v>677119</v>
      </c>
      <c r="F1322" s="20">
        <v>10622002.189999999</v>
      </c>
      <c r="G1322" s="30">
        <f t="shared" si="61"/>
        <v>11299121.189999999</v>
      </c>
      <c r="H1322" t="str">
        <f>IFERROR(VLOOKUP(C1322,Sheet1!$B$2:$C$25,2,FALSE),"")</f>
        <v/>
      </c>
      <c r="I1322">
        <f t="shared" si="62"/>
        <v>1613</v>
      </c>
    </row>
    <row r="1323" spans="1:9" x14ac:dyDescent="0.2">
      <c r="A1323" t="str">
        <f t="shared" si="60"/>
        <v/>
      </c>
      <c r="B1323" s="20">
        <v>2016</v>
      </c>
      <c r="C1323" s="21" t="s">
        <v>154</v>
      </c>
      <c r="D1323" s="21" t="s">
        <v>154</v>
      </c>
      <c r="E1323" s="23">
        <v>642913</v>
      </c>
      <c r="F1323" s="20">
        <v>10035124.800000001</v>
      </c>
      <c r="G1323" s="30">
        <f t="shared" si="61"/>
        <v>10678037.800000001</v>
      </c>
      <c r="H1323" t="str">
        <f>IFERROR(VLOOKUP(C1323,Sheet1!$B$2:$C$25,2,FALSE),"")</f>
        <v/>
      </c>
      <c r="I1323">
        <f t="shared" si="62"/>
        <v>1613</v>
      </c>
    </row>
    <row r="1324" spans="1:9" x14ac:dyDescent="0.2">
      <c r="A1324" t="str">
        <f t="shared" si="60"/>
        <v/>
      </c>
      <c r="B1324" s="20">
        <v>2017</v>
      </c>
      <c r="C1324" s="21" t="s">
        <v>154</v>
      </c>
      <c r="D1324" s="21" t="s">
        <v>154</v>
      </c>
      <c r="E1324" s="23">
        <v>630949</v>
      </c>
      <c r="F1324" s="20">
        <v>10429838.960000001</v>
      </c>
      <c r="G1324" s="30">
        <f t="shared" si="61"/>
        <v>11060787.960000001</v>
      </c>
      <c r="H1324" t="str">
        <f>IFERROR(VLOOKUP(C1324,Sheet1!$B$2:$C$25,2,FALSE),"")</f>
        <v/>
      </c>
      <c r="I1324">
        <f t="shared" si="62"/>
        <v>1613</v>
      </c>
    </row>
    <row r="1325" spans="1:9" x14ac:dyDescent="0.2">
      <c r="A1325" t="str">
        <f t="shared" si="60"/>
        <v/>
      </c>
      <c r="B1325" s="20">
        <v>2018</v>
      </c>
      <c r="C1325" s="21" t="s">
        <v>154</v>
      </c>
      <c r="D1325" s="21" t="s">
        <v>154</v>
      </c>
      <c r="E1325" s="23">
        <v>577478</v>
      </c>
      <c r="F1325" s="20">
        <v>8688910.0950000007</v>
      </c>
      <c r="G1325" s="30">
        <f t="shared" si="61"/>
        <v>9266388.0950000007</v>
      </c>
      <c r="H1325" t="str">
        <f>IFERROR(VLOOKUP(C1325,Sheet1!$B$2:$C$25,2,FALSE),"")</f>
        <v/>
      </c>
      <c r="I1325">
        <f t="shared" si="62"/>
        <v>1613</v>
      </c>
    </row>
    <row r="1326" spans="1:9" x14ac:dyDescent="0.2">
      <c r="A1326" t="str">
        <f t="shared" si="60"/>
        <v/>
      </c>
      <c r="B1326" s="20">
        <v>2019</v>
      </c>
      <c r="C1326" s="21" t="s">
        <v>154</v>
      </c>
      <c r="D1326" s="21" t="s">
        <v>154</v>
      </c>
      <c r="E1326" s="23">
        <v>666063</v>
      </c>
      <c r="F1326" s="20">
        <v>9583393.432</v>
      </c>
      <c r="G1326" s="30">
        <f t="shared" si="61"/>
        <v>10249456.432</v>
      </c>
      <c r="H1326" t="str">
        <f>IFERROR(VLOOKUP(C1326,Sheet1!$B$2:$C$25,2,FALSE),"")</f>
        <v/>
      </c>
      <c r="I1326">
        <f t="shared" si="62"/>
        <v>1613</v>
      </c>
    </row>
    <row r="1327" spans="1:9" x14ac:dyDescent="0.2">
      <c r="A1327" t="str">
        <f t="shared" si="60"/>
        <v/>
      </c>
      <c r="B1327" s="20">
        <v>2020</v>
      </c>
      <c r="C1327" s="21" t="s">
        <v>154</v>
      </c>
      <c r="D1327" s="21" t="s">
        <v>154</v>
      </c>
      <c r="E1327" s="23">
        <v>697972</v>
      </c>
      <c r="F1327" s="20">
        <v>9757191.3039999995</v>
      </c>
      <c r="G1327" s="30">
        <f t="shared" si="61"/>
        <v>10455163.304</v>
      </c>
      <c r="H1327" t="str">
        <f>IFERROR(VLOOKUP(C1327,Sheet1!$B$2:$C$25,2,FALSE),"")</f>
        <v/>
      </c>
      <c r="I1327">
        <f t="shared" si="62"/>
        <v>1613</v>
      </c>
    </row>
    <row r="1328" spans="1:9" x14ac:dyDescent="0.2">
      <c r="A1328" t="str">
        <f t="shared" si="60"/>
        <v/>
      </c>
      <c r="B1328" s="20">
        <v>2021</v>
      </c>
      <c r="C1328" s="21" t="s">
        <v>154</v>
      </c>
      <c r="D1328" s="20" t="s">
        <v>154</v>
      </c>
      <c r="E1328" s="23">
        <v>704938</v>
      </c>
      <c r="F1328" s="20">
        <v>9202250.2090000007</v>
      </c>
      <c r="G1328" s="30">
        <f t="shared" si="61"/>
        <v>9907188.2090000007</v>
      </c>
      <c r="H1328" t="str">
        <f>IFERROR(VLOOKUP(C1328,Sheet1!$B$2:$C$25,2,FALSE),"")</f>
        <v/>
      </c>
      <c r="I1328">
        <f t="shared" si="62"/>
        <v>1613</v>
      </c>
    </row>
    <row r="1329" spans="1:9" x14ac:dyDescent="0.2">
      <c r="A1329" t="str">
        <f t="shared" si="60"/>
        <v/>
      </c>
      <c r="B1329" s="20">
        <v>2022</v>
      </c>
      <c r="C1329" s="21" t="s">
        <v>154</v>
      </c>
      <c r="D1329" s="21" t="s">
        <v>154</v>
      </c>
      <c r="E1329" s="23">
        <v>715013</v>
      </c>
      <c r="F1329" s="20">
        <v>9829657.034</v>
      </c>
      <c r="G1329" s="30">
        <f t="shared" si="61"/>
        <v>10544670.034</v>
      </c>
      <c r="H1329" t="str">
        <f>IFERROR(VLOOKUP(C1329,Sheet1!$B$2:$C$25,2,FALSE),"")</f>
        <v/>
      </c>
      <c r="I1329">
        <f t="shared" si="62"/>
        <v>1613</v>
      </c>
    </row>
    <row r="1330" spans="1:9" x14ac:dyDescent="0.2">
      <c r="A1330" t="str">
        <f t="shared" si="60"/>
        <v/>
      </c>
      <c r="B1330" s="20">
        <v>2023</v>
      </c>
      <c r="C1330" s="21" t="s">
        <v>154</v>
      </c>
      <c r="D1330" s="21" t="s">
        <v>154</v>
      </c>
      <c r="E1330" s="23">
        <v>824664</v>
      </c>
      <c r="F1330" s="20">
        <v>11037106.83</v>
      </c>
      <c r="G1330" s="30">
        <f t="shared" si="61"/>
        <v>11861770.83</v>
      </c>
      <c r="H1330" t="str">
        <f>IFERROR(VLOOKUP(C1330,Sheet1!$B$2:$C$25,2,FALSE),"")</f>
        <v/>
      </c>
      <c r="I1330">
        <f t="shared" si="62"/>
        <v>1613</v>
      </c>
    </row>
    <row r="1331" spans="1:9" x14ac:dyDescent="0.2">
      <c r="A1331" t="str">
        <f t="shared" si="60"/>
        <v/>
      </c>
      <c r="B1331" s="20">
        <v>2015</v>
      </c>
      <c r="C1331" s="21" t="s">
        <v>155</v>
      </c>
      <c r="D1331" s="21" t="s">
        <v>155</v>
      </c>
      <c r="E1331" s="23">
        <v>118985</v>
      </c>
      <c r="F1331" s="20">
        <v>1866524.0970000001</v>
      </c>
      <c r="G1331" s="30">
        <f t="shared" si="61"/>
        <v>1985509.0970000001</v>
      </c>
      <c r="H1331" t="str">
        <f>IFERROR(VLOOKUP(C1331,Sheet1!$B$2:$C$25,2,FALSE),"")</f>
        <v/>
      </c>
      <c r="I1331">
        <f t="shared" si="62"/>
        <v>1613</v>
      </c>
    </row>
    <row r="1332" spans="1:9" x14ac:dyDescent="0.2">
      <c r="A1332" t="str">
        <f t="shared" si="60"/>
        <v/>
      </c>
      <c r="B1332" s="20">
        <v>2016</v>
      </c>
      <c r="C1332" s="21" t="s">
        <v>155</v>
      </c>
      <c r="D1332" s="21" t="s">
        <v>155</v>
      </c>
      <c r="E1332" s="23">
        <v>110784</v>
      </c>
      <c r="F1332" s="20">
        <v>1729209.4979999999</v>
      </c>
      <c r="G1332" s="30">
        <f t="shared" si="61"/>
        <v>1839993.4979999999</v>
      </c>
      <c r="H1332" t="str">
        <f>IFERROR(VLOOKUP(C1332,Sheet1!$B$2:$C$25,2,FALSE),"")</f>
        <v/>
      </c>
      <c r="I1332">
        <f t="shared" si="62"/>
        <v>1613</v>
      </c>
    </row>
    <row r="1333" spans="1:9" x14ac:dyDescent="0.2">
      <c r="A1333" t="str">
        <f t="shared" si="60"/>
        <v/>
      </c>
      <c r="B1333" s="20">
        <v>2017</v>
      </c>
      <c r="C1333" s="21" t="s">
        <v>155</v>
      </c>
      <c r="D1333" s="21" t="s">
        <v>155</v>
      </c>
      <c r="E1333" s="23">
        <v>109453</v>
      </c>
      <c r="F1333" s="20">
        <v>1809301.8030000001</v>
      </c>
      <c r="G1333" s="30">
        <f t="shared" si="61"/>
        <v>1918754.8030000001</v>
      </c>
      <c r="H1333" t="str">
        <f>IFERROR(VLOOKUP(C1333,Sheet1!$B$2:$C$25,2,FALSE),"")</f>
        <v/>
      </c>
      <c r="I1333">
        <f t="shared" si="62"/>
        <v>1613</v>
      </c>
    </row>
    <row r="1334" spans="1:9" x14ac:dyDescent="0.2">
      <c r="A1334" t="str">
        <f t="shared" si="60"/>
        <v/>
      </c>
      <c r="B1334" s="20">
        <v>2018</v>
      </c>
      <c r="C1334" s="21" t="s">
        <v>155</v>
      </c>
      <c r="D1334" s="21" t="s">
        <v>155</v>
      </c>
      <c r="E1334" s="23">
        <v>113035</v>
      </c>
      <c r="F1334" s="20">
        <v>1700759.081</v>
      </c>
      <c r="G1334" s="30">
        <f t="shared" si="61"/>
        <v>1813794.081</v>
      </c>
      <c r="H1334" t="str">
        <f>IFERROR(VLOOKUP(C1334,Sheet1!$B$2:$C$25,2,FALSE),"")</f>
        <v/>
      </c>
      <c r="I1334">
        <f t="shared" si="62"/>
        <v>1613</v>
      </c>
    </row>
    <row r="1335" spans="1:9" x14ac:dyDescent="0.2">
      <c r="A1335" t="str">
        <f t="shared" si="60"/>
        <v/>
      </c>
      <c r="B1335" s="20">
        <v>2019</v>
      </c>
      <c r="C1335" s="21" t="s">
        <v>155</v>
      </c>
      <c r="D1335" s="21" t="s">
        <v>155</v>
      </c>
      <c r="E1335" s="23">
        <v>107922</v>
      </c>
      <c r="F1335" s="20">
        <v>1552794.534</v>
      </c>
      <c r="G1335" s="30">
        <f t="shared" si="61"/>
        <v>1660716.534</v>
      </c>
      <c r="H1335" t="str">
        <f>IFERROR(VLOOKUP(C1335,Sheet1!$B$2:$C$25,2,FALSE),"")</f>
        <v/>
      </c>
      <c r="I1335">
        <f t="shared" si="62"/>
        <v>1613</v>
      </c>
    </row>
    <row r="1336" spans="1:9" x14ac:dyDescent="0.2">
      <c r="A1336" t="str">
        <f t="shared" si="60"/>
        <v/>
      </c>
      <c r="B1336" s="20">
        <v>2020</v>
      </c>
      <c r="C1336" s="21" t="s">
        <v>155</v>
      </c>
      <c r="D1336" s="21" t="s">
        <v>155</v>
      </c>
      <c r="E1336" s="23">
        <v>85344</v>
      </c>
      <c r="F1336" s="20">
        <v>1193053.209</v>
      </c>
      <c r="G1336" s="30">
        <f t="shared" si="61"/>
        <v>1278397.209</v>
      </c>
      <c r="H1336" t="str">
        <f>IFERROR(VLOOKUP(C1336,Sheet1!$B$2:$C$25,2,FALSE),"")</f>
        <v/>
      </c>
      <c r="I1336">
        <f t="shared" si="62"/>
        <v>1613</v>
      </c>
    </row>
    <row r="1337" spans="1:9" x14ac:dyDescent="0.2">
      <c r="A1337" t="str">
        <f t="shared" si="60"/>
        <v/>
      </c>
      <c r="B1337" s="20">
        <v>2021</v>
      </c>
      <c r="C1337" s="21" t="s">
        <v>155</v>
      </c>
      <c r="D1337" s="20" t="s">
        <v>155</v>
      </c>
      <c r="E1337" s="23">
        <v>93489</v>
      </c>
      <c r="F1337" s="20">
        <v>1220404.0209999999</v>
      </c>
      <c r="G1337" s="30">
        <f t="shared" si="61"/>
        <v>1313893.0209999999</v>
      </c>
      <c r="H1337" t="str">
        <f>IFERROR(VLOOKUP(C1337,Sheet1!$B$2:$C$25,2,FALSE),"")</f>
        <v/>
      </c>
      <c r="I1337">
        <f t="shared" si="62"/>
        <v>1613</v>
      </c>
    </row>
    <row r="1338" spans="1:9" x14ac:dyDescent="0.2">
      <c r="A1338" t="str">
        <f t="shared" si="60"/>
        <v/>
      </c>
      <c r="B1338" s="20">
        <v>2022</v>
      </c>
      <c r="C1338" s="21" t="s">
        <v>155</v>
      </c>
      <c r="D1338" s="21" t="s">
        <v>155</v>
      </c>
      <c r="E1338" s="23">
        <v>90696</v>
      </c>
      <c r="F1338" s="20">
        <v>1246845.2660000001</v>
      </c>
      <c r="G1338" s="30">
        <f t="shared" si="61"/>
        <v>1337541.2660000001</v>
      </c>
      <c r="H1338" t="str">
        <f>IFERROR(VLOOKUP(C1338,Sheet1!$B$2:$C$25,2,FALSE),"")</f>
        <v/>
      </c>
      <c r="I1338">
        <f t="shared" si="62"/>
        <v>1613</v>
      </c>
    </row>
    <row r="1339" spans="1:9" x14ac:dyDescent="0.2">
      <c r="A1339" t="str">
        <f t="shared" si="60"/>
        <v/>
      </c>
      <c r="B1339" s="20">
        <v>2023</v>
      </c>
      <c r="C1339" s="21" t="s">
        <v>155</v>
      </c>
      <c r="D1339" s="21" t="s">
        <v>155</v>
      </c>
      <c r="E1339" s="23">
        <v>102858</v>
      </c>
      <c r="F1339" s="20">
        <v>1376627.007</v>
      </c>
      <c r="G1339" s="30">
        <f t="shared" si="61"/>
        <v>1479485.007</v>
      </c>
      <c r="H1339" t="str">
        <f>IFERROR(VLOOKUP(C1339,Sheet1!$B$2:$C$25,2,FALSE),"")</f>
        <v/>
      </c>
      <c r="I1339">
        <f t="shared" si="62"/>
        <v>1613</v>
      </c>
    </row>
    <row r="1340" spans="1:9" x14ac:dyDescent="0.2">
      <c r="A1340" t="str">
        <f t="shared" si="60"/>
        <v/>
      </c>
      <c r="B1340" s="20">
        <v>2015</v>
      </c>
      <c r="C1340" s="21" t="s">
        <v>156</v>
      </c>
      <c r="D1340" s="21" t="s">
        <v>156</v>
      </c>
      <c r="E1340" s="23">
        <v>747191</v>
      </c>
      <c r="F1340" s="20">
        <v>11721225.42</v>
      </c>
      <c r="G1340" s="30">
        <f t="shared" si="61"/>
        <v>12468416.42</v>
      </c>
      <c r="H1340" t="str">
        <f>IFERROR(VLOOKUP(C1340,Sheet1!$B$2:$C$25,2,FALSE),"")</f>
        <v/>
      </c>
      <c r="I1340">
        <f t="shared" si="62"/>
        <v>1613</v>
      </c>
    </row>
    <row r="1341" spans="1:9" x14ac:dyDescent="0.2">
      <c r="A1341" t="str">
        <f t="shared" si="60"/>
        <v/>
      </c>
      <c r="B1341" s="20">
        <v>2016</v>
      </c>
      <c r="C1341" s="21" t="s">
        <v>156</v>
      </c>
      <c r="D1341" s="21" t="s">
        <v>156</v>
      </c>
      <c r="E1341" s="23">
        <v>625725</v>
      </c>
      <c r="F1341" s="20">
        <v>9766840.0940000005</v>
      </c>
      <c r="G1341" s="30">
        <f t="shared" si="61"/>
        <v>10392565.094000001</v>
      </c>
      <c r="H1341" t="str">
        <f>IFERROR(VLOOKUP(C1341,Sheet1!$B$2:$C$25,2,FALSE),"")</f>
        <v/>
      </c>
      <c r="I1341">
        <f t="shared" si="62"/>
        <v>1613</v>
      </c>
    </row>
    <row r="1342" spans="1:9" x14ac:dyDescent="0.2">
      <c r="A1342" t="str">
        <f t="shared" si="60"/>
        <v/>
      </c>
      <c r="B1342" s="20">
        <v>2017</v>
      </c>
      <c r="C1342" s="21" t="s">
        <v>156</v>
      </c>
      <c r="D1342" s="21" t="s">
        <v>156</v>
      </c>
      <c r="E1342" s="23">
        <v>622810</v>
      </c>
      <c r="F1342" s="20">
        <v>10295298.039999999</v>
      </c>
      <c r="G1342" s="30">
        <f t="shared" si="61"/>
        <v>10918108.039999999</v>
      </c>
      <c r="H1342" t="str">
        <f>IFERROR(VLOOKUP(C1342,Sheet1!$B$2:$C$25,2,FALSE),"")</f>
        <v/>
      </c>
      <c r="I1342">
        <f t="shared" si="62"/>
        <v>1613</v>
      </c>
    </row>
    <row r="1343" spans="1:9" x14ac:dyDescent="0.2">
      <c r="A1343" t="str">
        <f t="shared" si="60"/>
        <v/>
      </c>
      <c r="B1343" s="20">
        <v>2018</v>
      </c>
      <c r="C1343" s="21" t="s">
        <v>156</v>
      </c>
      <c r="D1343" s="21" t="s">
        <v>156</v>
      </c>
      <c r="E1343" s="23">
        <v>692380</v>
      </c>
      <c r="F1343" s="20">
        <v>10417760.630000001</v>
      </c>
      <c r="G1343" s="30">
        <f t="shared" si="61"/>
        <v>11110140.630000001</v>
      </c>
      <c r="H1343" t="str">
        <f>IFERROR(VLOOKUP(C1343,Sheet1!$B$2:$C$25,2,FALSE),"")</f>
        <v/>
      </c>
      <c r="I1343">
        <f t="shared" si="62"/>
        <v>1613</v>
      </c>
    </row>
    <row r="1344" spans="1:9" x14ac:dyDescent="0.2">
      <c r="A1344" t="str">
        <f t="shared" si="60"/>
        <v/>
      </c>
      <c r="B1344" s="20">
        <v>2019</v>
      </c>
      <c r="C1344" s="21" t="s">
        <v>156</v>
      </c>
      <c r="D1344" s="21" t="s">
        <v>156</v>
      </c>
      <c r="E1344" s="23">
        <v>771875</v>
      </c>
      <c r="F1344" s="20">
        <v>11105829.039999999</v>
      </c>
      <c r="G1344" s="30">
        <f t="shared" si="61"/>
        <v>11877704.039999999</v>
      </c>
      <c r="H1344" t="str">
        <f>IFERROR(VLOOKUP(C1344,Sheet1!$B$2:$C$25,2,FALSE),"")</f>
        <v/>
      </c>
      <c r="I1344">
        <f t="shared" si="62"/>
        <v>1613</v>
      </c>
    </row>
    <row r="1345" spans="1:9" x14ac:dyDescent="0.2">
      <c r="A1345" t="str">
        <f t="shared" si="60"/>
        <v/>
      </c>
      <c r="B1345" s="20">
        <v>2020</v>
      </c>
      <c r="C1345" s="21" t="s">
        <v>156</v>
      </c>
      <c r="D1345" s="21" t="s">
        <v>156</v>
      </c>
      <c r="E1345" s="23">
        <v>776869</v>
      </c>
      <c r="F1345" s="20">
        <v>10860119.68</v>
      </c>
      <c r="G1345" s="30">
        <f t="shared" si="61"/>
        <v>11636988.68</v>
      </c>
      <c r="H1345" t="str">
        <f>IFERROR(VLOOKUP(C1345,Sheet1!$B$2:$C$25,2,FALSE),"")</f>
        <v/>
      </c>
      <c r="I1345">
        <f t="shared" si="62"/>
        <v>1613</v>
      </c>
    </row>
    <row r="1346" spans="1:9" x14ac:dyDescent="0.2">
      <c r="A1346" t="str">
        <f t="shared" si="60"/>
        <v/>
      </c>
      <c r="B1346" s="20">
        <v>2021</v>
      </c>
      <c r="C1346" s="21" t="s">
        <v>156</v>
      </c>
      <c r="D1346" s="20" t="s">
        <v>156</v>
      </c>
      <c r="E1346" s="23">
        <v>842491</v>
      </c>
      <c r="F1346" s="20">
        <v>10997865.029999999</v>
      </c>
      <c r="G1346" s="30">
        <f t="shared" si="61"/>
        <v>11840356.029999999</v>
      </c>
      <c r="H1346" t="str">
        <f>IFERROR(VLOOKUP(C1346,Sheet1!$B$2:$C$25,2,FALSE),"")</f>
        <v/>
      </c>
      <c r="I1346">
        <f t="shared" si="62"/>
        <v>1613</v>
      </c>
    </row>
    <row r="1347" spans="1:9" x14ac:dyDescent="0.2">
      <c r="A1347" t="str">
        <f t="shared" ref="A1347:A1410" si="63">H1347</f>
        <v/>
      </c>
      <c r="B1347" s="20">
        <v>2022</v>
      </c>
      <c r="C1347" s="21" t="s">
        <v>156</v>
      </c>
      <c r="D1347" s="21" t="s">
        <v>156</v>
      </c>
      <c r="E1347" s="23">
        <v>898509</v>
      </c>
      <c r="F1347" s="20">
        <v>12352272.35</v>
      </c>
      <c r="G1347" s="30">
        <f t="shared" ref="G1347:G1410" si="64">SUM(E1347:F1347)</f>
        <v>13250781.35</v>
      </c>
      <c r="H1347" t="str">
        <f>IFERROR(VLOOKUP(C1347,Sheet1!$B$2:$C$25,2,FALSE),"")</f>
        <v/>
      </c>
      <c r="I1347">
        <f t="shared" ref="I1347:I1410" si="65">COUNTIF($H$2:$H$1812,H1347)</f>
        <v>1613</v>
      </c>
    </row>
    <row r="1348" spans="1:9" x14ac:dyDescent="0.2">
      <c r="A1348" t="str">
        <f t="shared" si="63"/>
        <v/>
      </c>
      <c r="B1348" s="20">
        <v>2023</v>
      </c>
      <c r="C1348" s="21" t="s">
        <v>156</v>
      </c>
      <c r="D1348" s="21" t="s">
        <v>156</v>
      </c>
      <c r="E1348" s="23">
        <v>861434</v>
      </c>
      <c r="F1348" s="20">
        <v>11529227.76</v>
      </c>
      <c r="G1348" s="30">
        <f t="shared" si="64"/>
        <v>12390661.76</v>
      </c>
      <c r="H1348" t="str">
        <f>IFERROR(VLOOKUP(C1348,Sheet1!$B$2:$C$25,2,FALSE),"")</f>
        <v/>
      </c>
      <c r="I1348">
        <f t="shared" si="65"/>
        <v>1613</v>
      </c>
    </row>
    <row r="1349" spans="1:9" x14ac:dyDescent="0.2">
      <c r="A1349" t="str">
        <f t="shared" si="63"/>
        <v/>
      </c>
      <c r="B1349" s="20">
        <v>2023</v>
      </c>
      <c r="C1349" s="21" t="s">
        <v>240</v>
      </c>
      <c r="D1349" s="21" t="s">
        <v>240</v>
      </c>
      <c r="E1349" s="23">
        <v>308781</v>
      </c>
      <c r="F1349" s="20">
        <v>4132651.46</v>
      </c>
      <c r="G1349" s="30">
        <f t="shared" si="64"/>
        <v>4441432.46</v>
      </c>
      <c r="H1349" t="str">
        <f>IFERROR(VLOOKUP(C1349,Sheet1!$B$2:$C$25,2,FALSE),"")</f>
        <v/>
      </c>
      <c r="I1349">
        <f t="shared" si="65"/>
        <v>1613</v>
      </c>
    </row>
    <row r="1350" spans="1:9" x14ac:dyDescent="0.2">
      <c r="A1350" t="str">
        <f t="shared" si="63"/>
        <v/>
      </c>
      <c r="B1350" s="20">
        <v>2015</v>
      </c>
      <c r="C1350" s="21" t="s">
        <v>157</v>
      </c>
      <c r="D1350" s="21" t="s">
        <v>157</v>
      </c>
      <c r="E1350" s="23">
        <v>8492</v>
      </c>
      <c r="F1350" s="20">
        <v>133214.46090000001</v>
      </c>
      <c r="G1350" s="30">
        <f t="shared" si="64"/>
        <v>141706.46090000001</v>
      </c>
      <c r="H1350" t="str">
        <f>IFERROR(VLOOKUP(C1350,Sheet1!$B$2:$C$25,2,FALSE),"")</f>
        <v/>
      </c>
      <c r="I1350">
        <f t="shared" si="65"/>
        <v>1613</v>
      </c>
    </row>
    <row r="1351" spans="1:9" x14ac:dyDescent="0.2">
      <c r="A1351" t="str">
        <f t="shared" si="63"/>
        <v/>
      </c>
      <c r="B1351" s="20">
        <v>2016</v>
      </c>
      <c r="C1351" s="21" t="s">
        <v>157</v>
      </c>
      <c r="D1351" s="21" t="s">
        <v>157</v>
      </c>
      <c r="E1351" s="23">
        <v>9083</v>
      </c>
      <c r="F1351" s="20">
        <v>141775.07459999999</v>
      </c>
      <c r="G1351" s="30">
        <f t="shared" si="64"/>
        <v>150858.07459999999</v>
      </c>
      <c r="H1351" t="str">
        <f>IFERROR(VLOOKUP(C1351,Sheet1!$B$2:$C$25,2,FALSE),"")</f>
        <v/>
      </c>
      <c r="I1351">
        <f t="shared" si="65"/>
        <v>1613</v>
      </c>
    </row>
    <row r="1352" spans="1:9" x14ac:dyDescent="0.2">
      <c r="A1352" t="str">
        <f t="shared" si="63"/>
        <v/>
      </c>
      <c r="B1352" s="20">
        <v>2017</v>
      </c>
      <c r="C1352" s="21" t="s">
        <v>157</v>
      </c>
      <c r="D1352" s="21" t="s">
        <v>157</v>
      </c>
      <c r="E1352" s="23">
        <v>8894</v>
      </c>
      <c r="F1352" s="20">
        <v>147021.37210000001</v>
      </c>
      <c r="G1352" s="30">
        <f t="shared" si="64"/>
        <v>155915.37210000001</v>
      </c>
      <c r="H1352" t="str">
        <f>IFERROR(VLOOKUP(C1352,Sheet1!$B$2:$C$25,2,FALSE),"")</f>
        <v/>
      </c>
      <c r="I1352">
        <f t="shared" si="65"/>
        <v>1613</v>
      </c>
    </row>
    <row r="1353" spans="1:9" x14ac:dyDescent="0.2">
      <c r="A1353" t="str">
        <f t="shared" si="63"/>
        <v/>
      </c>
      <c r="B1353" s="20">
        <v>2018</v>
      </c>
      <c r="C1353" s="21" t="s">
        <v>157</v>
      </c>
      <c r="D1353" s="21" t="s">
        <v>157</v>
      </c>
      <c r="E1353" s="23">
        <v>9752</v>
      </c>
      <c r="F1353" s="20">
        <v>146731.56599999999</v>
      </c>
      <c r="G1353" s="30">
        <f t="shared" si="64"/>
        <v>156483.56599999999</v>
      </c>
      <c r="H1353" t="str">
        <f>IFERROR(VLOOKUP(C1353,Sheet1!$B$2:$C$25,2,FALSE),"")</f>
        <v/>
      </c>
      <c r="I1353">
        <f t="shared" si="65"/>
        <v>1613</v>
      </c>
    </row>
    <row r="1354" spans="1:9" x14ac:dyDescent="0.2">
      <c r="A1354" t="str">
        <f t="shared" si="63"/>
        <v/>
      </c>
      <c r="B1354" s="20">
        <v>2019</v>
      </c>
      <c r="C1354" s="21" t="s">
        <v>157</v>
      </c>
      <c r="D1354" s="21" t="s">
        <v>157</v>
      </c>
      <c r="E1354" s="23">
        <v>10551</v>
      </c>
      <c r="F1354" s="20">
        <v>151809.0392</v>
      </c>
      <c r="G1354" s="30">
        <f t="shared" si="64"/>
        <v>162360.0392</v>
      </c>
      <c r="H1354" t="str">
        <f>IFERROR(VLOOKUP(C1354,Sheet1!$B$2:$C$25,2,FALSE),"")</f>
        <v/>
      </c>
      <c r="I1354">
        <f t="shared" si="65"/>
        <v>1613</v>
      </c>
    </row>
    <row r="1355" spans="1:9" x14ac:dyDescent="0.2">
      <c r="A1355" t="str">
        <f t="shared" si="63"/>
        <v/>
      </c>
      <c r="B1355" s="20">
        <v>2020</v>
      </c>
      <c r="C1355" s="21" t="s">
        <v>157</v>
      </c>
      <c r="D1355" s="21" t="s">
        <v>157</v>
      </c>
      <c r="E1355" s="23">
        <v>11482</v>
      </c>
      <c r="F1355" s="20">
        <v>160510.83790000001</v>
      </c>
      <c r="G1355" s="30">
        <f t="shared" si="64"/>
        <v>171992.83790000001</v>
      </c>
      <c r="H1355" t="str">
        <f>IFERROR(VLOOKUP(C1355,Sheet1!$B$2:$C$25,2,FALSE),"")</f>
        <v/>
      </c>
      <c r="I1355">
        <f t="shared" si="65"/>
        <v>1613</v>
      </c>
    </row>
    <row r="1356" spans="1:9" x14ac:dyDescent="0.2">
      <c r="A1356" t="str">
        <f t="shared" si="63"/>
        <v/>
      </c>
      <c r="B1356" s="20">
        <v>2021</v>
      </c>
      <c r="C1356" s="21" t="s">
        <v>157</v>
      </c>
      <c r="D1356" s="20" t="s">
        <v>157</v>
      </c>
      <c r="E1356" s="23">
        <v>13069</v>
      </c>
      <c r="F1356" s="20">
        <v>170602.5324</v>
      </c>
      <c r="G1356" s="30">
        <f t="shared" si="64"/>
        <v>183671.5324</v>
      </c>
      <c r="H1356" t="str">
        <f>IFERROR(VLOOKUP(C1356,Sheet1!$B$2:$C$25,2,FALSE),"")</f>
        <v/>
      </c>
      <c r="I1356">
        <f t="shared" si="65"/>
        <v>1613</v>
      </c>
    </row>
    <row r="1357" spans="1:9" x14ac:dyDescent="0.2">
      <c r="A1357" t="str">
        <f t="shared" si="63"/>
        <v/>
      </c>
      <c r="B1357" s="20">
        <v>2022</v>
      </c>
      <c r="C1357" s="21" t="s">
        <v>157</v>
      </c>
      <c r="D1357" s="21" t="s">
        <v>157</v>
      </c>
      <c r="E1357" s="23">
        <v>13531</v>
      </c>
      <c r="F1357" s="20">
        <v>186017.7218</v>
      </c>
      <c r="G1357" s="30">
        <f t="shared" si="64"/>
        <v>199548.7218</v>
      </c>
      <c r="H1357" t="str">
        <f>IFERROR(VLOOKUP(C1357,Sheet1!$B$2:$C$25,2,FALSE),"")</f>
        <v/>
      </c>
      <c r="I1357">
        <f t="shared" si="65"/>
        <v>1613</v>
      </c>
    </row>
    <row r="1358" spans="1:9" x14ac:dyDescent="0.2">
      <c r="A1358" t="str">
        <f t="shared" si="63"/>
        <v/>
      </c>
      <c r="B1358" s="20">
        <v>2023</v>
      </c>
      <c r="C1358" s="21" t="s">
        <v>157</v>
      </c>
      <c r="D1358" s="21" t="s">
        <v>157</v>
      </c>
      <c r="E1358" s="23">
        <v>14418</v>
      </c>
      <c r="F1358" s="20">
        <v>192967.08259999999</v>
      </c>
      <c r="G1358" s="30">
        <f t="shared" si="64"/>
        <v>207385.08259999999</v>
      </c>
      <c r="H1358" t="str">
        <f>IFERROR(VLOOKUP(C1358,Sheet1!$B$2:$C$25,2,FALSE),"")</f>
        <v/>
      </c>
      <c r="I1358">
        <f t="shared" si="65"/>
        <v>1613</v>
      </c>
    </row>
    <row r="1359" spans="1:9" x14ac:dyDescent="0.2">
      <c r="A1359">
        <f t="shared" si="63"/>
        <v>2400570</v>
      </c>
      <c r="B1359" s="20">
        <v>2015</v>
      </c>
      <c r="C1359" s="21" t="s">
        <v>158</v>
      </c>
      <c r="D1359" s="21" t="s">
        <v>158</v>
      </c>
      <c r="E1359" s="23">
        <v>178293</v>
      </c>
      <c r="F1359" s="20">
        <v>2796891.8840000001</v>
      </c>
      <c r="G1359" s="30">
        <f t="shared" si="64"/>
        <v>2975184.8840000001</v>
      </c>
      <c r="H1359">
        <f>IFERROR(VLOOKUP(C1359,Sheet1!$B$2:$C$25,2,FALSE),"")</f>
        <v>2400570</v>
      </c>
      <c r="I1359">
        <f t="shared" si="65"/>
        <v>9</v>
      </c>
    </row>
    <row r="1360" spans="1:9" x14ac:dyDescent="0.2">
      <c r="A1360">
        <f t="shared" si="63"/>
        <v>2400570</v>
      </c>
      <c r="B1360" s="20">
        <v>2016</v>
      </c>
      <c r="C1360" s="21" t="s">
        <v>158</v>
      </c>
      <c r="D1360" s="21" t="s">
        <v>158</v>
      </c>
      <c r="E1360" s="23">
        <v>167908</v>
      </c>
      <c r="F1360" s="20">
        <v>2620848.7540000002</v>
      </c>
      <c r="G1360" s="30">
        <f t="shared" si="64"/>
        <v>2788756.7540000002</v>
      </c>
      <c r="H1360">
        <f>IFERROR(VLOOKUP(C1360,Sheet1!$B$2:$C$25,2,FALSE),"")</f>
        <v>2400570</v>
      </c>
      <c r="I1360">
        <f t="shared" si="65"/>
        <v>9</v>
      </c>
    </row>
    <row r="1361" spans="1:9" x14ac:dyDescent="0.2">
      <c r="A1361">
        <f t="shared" si="63"/>
        <v>2400570</v>
      </c>
      <c r="B1361" s="20">
        <v>2017</v>
      </c>
      <c r="C1361" s="21" t="s">
        <v>158</v>
      </c>
      <c r="D1361" s="21" t="s">
        <v>158</v>
      </c>
      <c r="E1361" s="23">
        <v>167735</v>
      </c>
      <c r="F1361" s="20">
        <v>2772726.54</v>
      </c>
      <c r="G1361" s="30">
        <f t="shared" si="64"/>
        <v>2940461.54</v>
      </c>
      <c r="H1361">
        <f>IFERROR(VLOOKUP(C1361,Sheet1!$B$2:$C$25,2,FALSE),"")</f>
        <v>2400570</v>
      </c>
      <c r="I1361">
        <f t="shared" si="65"/>
        <v>9</v>
      </c>
    </row>
    <row r="1362" spans="1:9" x14ac:dyDescent="0.2">
      <c r="A1362">
        <f t="shared" si="63"/>
        <v>2400570</v>
      </c>
      <c r="B1362" s="20">
        <v>2018</v>
      </c>
      <c r="C1362" s="21" t="s">
        <v>158</v>
      </c>
      <c r="D1362" s="21" t="s">
        <v>158</v>
      </c>
      <c r="E1362" s="23">
        <v>203500</v>
      </c>
      <c r="F1362" s="20">
        <v>3061923.0589999999</v>
      </c>
      <c r="G1362" s="30">
        <f t="shared" si="64"/>
        <v>3265423.0589999999</v>
      </c>
      <c r="H1362">
        <f>IFERROR(VLOOKUP(C1362,Sheet1!$B$2:$C$25,2,FALSE),"")</f>
        <v>2400570</v>
      </c>
      <c r="I1362">
        <f t="shared" si="65"/>
        <v>9</v>
      </c>
    </row>
    <row r="1363" spans="1:9" x14ac:dyDescent="0.2">
      <c r="A1363">
        <f t="shared" si="63"/>
        <v>2400570</v>
      </c>
      <c r="B1363" s="20">
        <v>2019</v>
      </c>
      <c r="C1363" s="21" t="s">
        <v>158</v>
      </c>
      <c r="D1363" s="21" t="s">
        <v>158</v>
      </c>
      <c r="E1363" s="23">
        <v>233820</v>
      </c>
      <c r="F1363" s="20">
        <v>3364229.889</v>
      </c>
      <c r="G1363" s="30">
        <f t="shared" si="64"/>
        <v>3598049.889</v>
      </c>
      <c r="H1363">
        <f>IFERROR(VLOOKUP(C1363,Sheet1!$B$2:$C$25,2,FALSE),"")</f>
        <v>2400570</v>
      </c>
      <c r="I1363">
        <f t="shared" si="65"/>
        <v>9</v>
      </c>
    </row>
    <row r="1364" spans="1:9" x14ac:dyDescent="0.2">
      <c r="A1364">
        <f t="shared" si="63"/>
        <v>2400570</v>
      </c>
      <c r="B1364" s="20">
        <v>2020</v>
      </c>
      <c r="C1364" s="21" t="s">
        <v>158</v>
      </c>
      <c r="D1364" s="21" t="s">
        <v>158</v>
      </c>
      <c r="E1364" s="23">
        <v>256636</v>
      </c>
      <c r="F1364" s="20">
        <v>3587603.1529999999</v>
      </c>
      <c r="G1364" s="30">
        <f t="shared" si="64"/>
        <v>3844239.1529999999</v>
      </c>
      <c r="H1364">
        <f>IFERROR(VLOOKUP(C1364,Sheet1!$B$2:$C$25,2,FALSE),"")</f>
        <v>2400570</v>
      </c>
      <c r="I1364">
        <f t="shared" si="65"/>
        <v>9</v>
      </c>
    </row>
    <row r="1365" spans="1:9" x14ac:dyDescent="0.2">
      <c r="A1365">
        <f t="shared" si="63"/>
        <v>2400570</v>
      </c>
      <c r="B1365" s="20">
        <v>2021</v>
      </c>
      <c r="C1365" s="21" t="s">
        <v>158</v>
      </c>
      <c r="D1365" s="20" t="s">
        <v>158</v>
      </c>
      <c r="E1365" s="23">
        <v>323965</v>
      </c>
      <c r="F1365" s="20">
        <v>4229034.3109999998</v>
      </c>
      <c r="G1365" s="30">
        <f t="shared" si="64"/>
        <v>4552999.3109999998</v>
      </c>
      <c r="H1365">
        <f>IFERROR(VLOOKUP(C1365,Sheet1!$B$2:$C$25,2,FALSE),"")</f>
        <v>2400570</v>
      </c>
      <c r="I1365">
        <f t="shared" si="65"/>
        <v>9</v>
      </c>
    </row>
    <row r="1366" spans="1:9" x14ac:dyDescent="0.2">
      <c r="A1366">
        <f t="shared" si="63"/>
        <v>2400570</v>
      </c>
      <c r="B1366" s="20">
        <v>2022</v>
      </c>
      <c r="C1366" s="21" t="s">
        <v>158</v>
      </c>
      <c r="D1366" s="21" t="s">
        <v>158</v>
      </c>
      <c r="E1366" s="23">
        <v>384107</v>
      </c>
      <c r="F1366" s="20">
        <v>5280519.4790000003</v>
      </c>
      <c r="G1366" s="30">
        <f t="shared" si="64"/>
        <v>5664626.4790000003</v>
      </c>
      <c r="H1366">
        <f>IFERROR(VLOOKUP(C1366,Sheet1!$B$2:$C$25,2,FALSE),"")</f>
        <v>2400570</v>
      </c>
      <c r="I1366">
        <f t="shared" si="65"/>
        <v>9</v>
      </c>
    </row>
    <row r="1367" spans="1:9" x14ac:dyDescent="0.2">
      <c r="A1367">
        <f t="shared" si="63"/>
        <v>2400570</v>
      </c>
      <c r="B1367" s="20">
        <v>2023</v>
      </c>
      <c r="C1367" s="21" t="s">
        <v>158</v>
      </c>
      <c r="D1367" s="21" t="s">
        <v>158</v>
      </c>
      <c r="E1367" s="23">
        <v>458110</v>
      </c>
      <c r="F1367" s="20">
        <v>6131235.2779999999</v>
      </c>
      <c r="G1367" s="30">
        <f t="shared" si="64"/>
        <v>6589345.2779999999</v>
      </c>
      <c r="H1367">
        <f>IFERROR(VLOOKUP(C1367,Sheet1!$B$2:$C$25,2,FALSE),"")</f>
        <v>2400570</v>
      </c>
      <c r="I1367">
        <f t="shared" si="65"/>
        <v>9</v>
      </c>
    </row>
    <row r="1368" spans="1:9" x14ac:dyDescent="0.2">
      <c r="A1368" t="str">
        <f t="shared" si="63"/>
        <v/>
      </c>
      <c r="B1368" s="20">
        <v>2015</v>
      </c>
      <c r="C1368" s="21" t="s">
        <v>159</v>
      </c>
      <c r="D1368" s="21" t="s">
        <v>159</v>
      </c>
      <c r="E1368" s="23">
        <v>83927</v>
      </c>
      <c r="F1368" s="20">
        <v>1316567.365</v>
      </c>
      <c r="G1368" s="30">
        <f t="shared" si="64"/>
        <v>1400494.365</v>
      </c>
      <c r="H1368" t="str">
        <f>IFERROR(VLOOKUP(C1368,Sheet1!$B$2:$C$25,2,FALSE),"")</f>
        <v/>
      </c>
      <c r="I1368">
        <f t="shared" si="65"/>
        <v>1613</v>
      </c>
    </row>
    <row r="1369" spans="1:9" x14ac:dyDescent="0.2">
      <c r="A1369" t="str">
        <f t="shared" si="63"/>
        <v/>
      </c>
      <c r="B1369" s="20">
        <v>2016</v>
      </c>
      <c r="C1369" s="21" t="s">
        <v>159</v>
      </c>
      <c r="D1369" s="21" t="s">
        <v>159</v>
      </c>
      <c r="E1369" s="23">
        <v>64824</v>
      </c>
      <c r="F1369" s="20">
        <v>1011827.308</v>
      </c>
      <c r="G1369" s="30">
        <f t="shared" si="64"/>
        <v>1076651.308</v>
      </c>
      <c r="H1369" t="str">
        <f>IFERROR(VLOOKUP(C1369,Sheet1!$B$2:$C$25,2,FALSE),"")</f>
        <v/>
      </c>
      <c r="I1369">
        <f t="shared" si="65"/>
        <v>1613</v>
      </c>
    </row>
    <row r="1370" spans="1:9" x14ac:dyDescent="0.2">
      <c r="A1370" t="str">
        <f t="shared" si="63"/>
        <v/>
      </c>
      <c r="B1370" s="20">
        <v>2017</v>
      </c>
      <c r="C1370" s="21" t="s">
        <v>159</v>
      </c>
      <c r="D1370" s="21" t="s">
        <v>159</v>
      </c>
      <c r="E1370" s="23">
        <v>67597</v>
      </c>
      <c r="F1370" s="20">
        <v>1117405.4069999999</v>
      </c>
      <c r="G1370" s="30">
        <f t="shared" si="64"/>
        <v>1185002.4069999999</v>
      </c>
      <c r="H1370" t="str">
        <f>IFERROR(VLOOKUP(C1370,Sheet1!$B$2:$C$25,2,FALSE),"")</f>
        <v/>
      </c>
      <c r="I1370">
        <f t="shared" si="65"/>
        <v>1613</v>
      </c>
    </row>
    <row r="1371" spans="1:9" x14ac:dyDescent="0.2">
      <c r="A1371" t="str">
        <f t="shared" si="63"/>
        <v/>
      </c>
      <c r="B1371" s="20">
        <v>2018</v>
      </c>
      <c r="C1371" s="21" t="s">
        <v>159</v>
      </c>
      <c r="D1371" s="21" t="s">
        <v>159</v>
      </c>
      <c r="E1371" s="23">
        <v>70221</v>
      </c>
      <c r="F1371" s="20">
        <v>1056566.58</v>
      </c>
      <c r="G1371" s="30">
        <f t="shared" si="64"/>
        <v>1126787.58</v>
      </c>
      <c r="H1371" t="str">
        <f>IFERROR(VLOOKUP(C1371,Sheet1!$B$2:$C$25,2,FALSE),"")</f>
        <v/>
      </c>
      <c r="I1371">
        <f t="shared" si="65"/>
        <v>1613</v>
      </c>
    </row>
    <row r="1372" spans="1:9" x14ac:dyDescent="0.2">
      <c r="A1372" t="str">
        <f t="shared" si="63"/>
        <v/>
      </c>
      <c r="B1372" s="20">
        <v>2019</v>
      </c>
      <c r="C1372" s="21" t="s">
        <v>159</v>
      </c>
      <c r="D1372" s="21" t="s">
        <v>159</v>
      </c>
      <c r="E1372" s="23">
        <v>86060</v>
      </c>
      <c r="F1372" s="20">
        <v>1238241.486</v>
      </c>
      <c r="G1372" s="30">
        <f t="shared" si="64"/>
        <v>1324301.486</v>
      </c>
      <c r="H1372" t="str">
        <f>IFERROR(VLOOKUP(C1372,Sheet1!$B$2:$C$25,2,FALSE),"")</f>
        <v/>
      </c>
      <c r="I1372">
        <f t="shared" si="65"/>
        <v>1613</v>
      </c>
    </row>
    <row r="1373" spans="1:9" x14ac:dyDescent="0.2">
      <c r="A1373" t="str">
        <f t="shared" si="63"/>
        <v/>
      </c>
      <c r="B1373" s="20">
        <v>2020</v>
      </c>
      <c r="C1373" s="21" t="s">
        <v>159</v>
      </c>
      <c r="D1373" s="21" t="s">
        <v>159</v>
      </c>
      <c r="E1373" s="23">
        <v>94255</v>
      </c>
      <c r="F1373" s="20">
        <v>1317623.152</v>
      </c>
      <c r="G1373" s="30">
        <f t="shared" si="64"/>
        <v>1411878.152</v>
      </c>
      <c r="H1373" t="str">
        <f>IFERROR(VLOOKUP(C1373,Sheet1!$B$2:$C$25,2,FALSE),"")</f>
        <v/>
      </c>
      <c r="I1373">
        <f t="shared" si="65"/>
        <v>1613</v>
      </c>
    </row>
    <row r="1374" spans="1:9" x14ac:dyDescent="0.2">
      <c r="A1374" t="str">
        <f t="shared" si="63"/>
        <v/>
      </c>
      <c r="B1374" s="20">
        <v>2021</v>
      </c>
      <c r="C1374" s="21" t="s">
        <v>159</v>
      </c>
      <c r="D1374" s="20" t="s">
        <v>159</v>
      </c>
      <c r="E1374" s="23">
        <v>95732</v>
      </c>
      <c r="F1374" s="20">
        <v>1249684.1100000001</v>
      </c>
      <c r="G1374" s="30">
        <f t="shared" si="64"/>
        <v>1345416.11</v>
      </c>
      <c r="H1374" t="str">
        <f>IFERROR(VLOOKUP(C1374,Sheet1!$B$2:$C$25,2,FALSE),"")</f>
        <v/>
      </c>
      <c r="I1374">
        <f t="shared" si="65"/>
        <v>1613</v>
      </c>
    </row>
    <row r="1375" spans="1:9" x14ac:dyDescent="0.2">
      <c r="A1375" t="str">
        <f t="shared" si="63"/>
        <v/>
      </c>
      <c r="B1375" s="20">
        <v>2022</v>
      </c>
      <c r="C1375" s="21" t="s">
        <v>159</v>
      </c>
      <c r="D1375" s="21" t="s">
        <v>159</v>
      </c>
      <c r="E1375" s="23">
        <v>114237</v>
      </c>
      <c r="F1375" s="20">
        <v>1570475.6839999999</v>
      </c>
      <c r="G1375" s="30">
        <f t="shared" si="64"/>
        <v>1684712.6839999999</v>
      </c>
      <c r="H1375" t="str">
        <f>IFERROR(VLOOKUP(C1375,Sheet1!$B$2:$C$25,2,FALSE),"")</f>
        <v/>
      </c>
      <c r="I1375">
        <f t="shared" si="65"/>
        <v>1613</v>
      </c>
    </row>
    <row r="1376" spans="1:9" x14ac:dyDescent="0.2">
      <c r="A1376" t="str">
        <f t="shared" si="63"/>
        <v/>
      </c>
      <c r="B1376" s="20">
        <v>2023</v>
      </c>
      <c r="C1376" s="21" t="s">
        <v>159</v>
      </c>
      <c r="D1376" s="21" t="s">
        <v>159</v>
      </c>
      <c r="E1376" s="23">
        <v>123747</v>
      </c>
      <c r="F1376" s="20">
        <v>1656200.4140000001</v>
      </c>
      <c r="G1376" s="30">
        <f t="shared" si="64"/>
        <v>1779947.4140000001</v>
      </c>
      <c r="H1376" t="str">
        <f>IFERROR(VLOOKUP(C1376,Sheet1!$B$2:$C$25,2,FALSE),"")</f>
        <v/>
      </c>
      <c r="I1376">
        <f t="shared" si="65"/>
        <v>1613</v>
      </c>
    </row>
    <row r="1377" spans="1:9" x14ac:dyDescent="0.2">
      <c r="A1377" t="str">
        <f t="shared" si="63"/>
        <v/>
      </c>
      <c r="B1377" s="20">
        <v>2015</v>
      </c>
      <c r="C1377" s="21" t="s">
        <v>257</v>
      </c>
      <c r="D1377" s="21" t="s">
        <v>257</v>
      </c>
      <c r="E1377" s="23">
        <v>282039</v>
      </c>
      <c r="F1377" s="20">
        <v>4424360.9689999996</v>
      </c>
      <c r="G1377" s="30">
        <f t="shared" si="64"/>
        <v>4706399.9689999996</v>
      </c>
      <c r="H1377" t="str">
        <f>IFERROR(VLOOKUP(C1377,Sheet1!$B$2:$C$25,2,FALSE),"")</f>
        <v/>
      </c>
      <c r="I1377">
        <f t="shared" si="65"/>
        <v>1613</v>
      </c>
    </row>
    <row r="1378" spans="1:9" x14ac:dyDescent="0.2">
      <c r="A1378" t="str">
        <f t="shared" si="63"/>
        <v/>
      </c>
      <c r="B1378" s="20">
        <v>2016</v>
      </c>
      <c r="C1378" s="21" t="s">
        <v>257</v>
      </c>
      <c r="D1378" s="21" t="s">
        <v>160</v>
      </c>
      <c r="E1378" s="23">
        <v>245741</v>
      </c>
      <c r="F1378" s="20">
        <v>3835731.4339999999</v>
      </c>
      <c r="G1378" s="30">
        <f t="shared" si="64"/>
        <v>4081472.4339999999</v>
      </c>
      <c r="H1378" t="str">
        <f>IFERROR(VLOOKUP(C1378,Sheet1!$B$2:$C$25,2,FALSE),"")</f>
        <v/>
      </c>
      <c r="I1378">
        <f t="shared" si="65"/>
        <v>1613</v>
      </c>
    </row>
    <row r="1379" spans="1:9" x14ac:dyDescent="0.2">
      <c r="A1379" t="str">
        <f t="shared" si="63"/>
        <v/>
      </c>
      <c r="B1379" s="20">
        <v>2017</v>
      </c>
      <c r="C1379" s="21" t="s">
        <v>257</v>
      </c>
      <c r="D1379" s="21" t="s">
        <v>160</v>
      </c>
      <c r="E1379" s="23">
        <v>240818</v>
      </c>
      <c r="F1379" s="20">
        <v>3980817.7179999999</v>
      </c>
      <c r="G1379" s="30">
        <f t="shared" si="64"/>
        <v>4221635.7180000003</v>
      </c>
      <c r="H1379" t="str">
        <f>IFERROR(VLOOKUP(C1379,Sheet1!$B$2:$C$25,2,FALSE),"")</f>
        <v/>
      </c>
      <c r="I1379">
        <f t="shared" si="65"/>
        <v>1613</v>
      </c>
    </row>
    <row r="1380" spans="1:9" x14ac:dyDescent="0.2">
      <c r="A1380" t="str">
        <f t="shared" si="63"/>
        <v/>
      </c>
      <c r="B1380" s="20">
        <v>2018</v>
      </c>
      <c r="C1380" s="21" t="s">
        <v>257</v>
      </c>
      <c r="D1380" s="21" t="s">
        <v>218</v>
      </c>
      <c r="E1380" s="23">
        <v>247223</v>
      </c>
      <c r="F1380" s="20">
        <v>3719792.6510000001</v>
      </c>
      <c r="G1380" s="30">
        <f t="shared" si="64"/>
        <v>3967015.6510000001</v>
      </c>
      <c r="H1380" t="str">
        <f>IFERROR(VLOOKUP(C1380,Sheet1!$B$2:$C$25,2,FALSE),"")</f>
        <v/>
      </c>
      <c r="I1380">
        <f t="shared" si="65"/>
        <v>1613</v>
      </c>
    </row>
    <row r="1381" spans="1:9" x14ac:dyDescent="0.2">
      <c r="A1381" t="str">
        <f t="shared" si="63"/>
        <v/>
      </c>
      <c r="B1381" s="20">
        <v>2019</v>
      </c>
      <c r="C1381" s="21" t="s">
        <v>257</v>
      </c>
      <c r="D1381" s="21" t="s">
        <v>160</v>
      </c>
      <c r="E1381" s="23">
        <v>278481</v>
      </c>
      <c r="F1381" s="20">
        <v>4006817.6529999999</v>
      </c>
      <c r="G1381" s="30">
        <f t="shared" si="64"/>
        <v>4285298.6529999999</v>
      </c>
      <c r="H1381" t="str">
        <f>IFERROR(VLOOKUP(C1381,Sheet1!$B$2:$C$25,2,FALSE),"")</f>
        <v/>
      </c>
      <c r="I1381">
        <f t="shared" si="65"/>
        <v>1613</v>
      </c>
    </row>
    <row r="1382" spans="1:9" x14ac:dyDescent="0.2">
      <c r="A1382" t="str">
        <f t="shared" si="63"/>
        <v/>
      </c>
      <c r="B1382" s="20">
        <v>2020</v>
      </c>
      <c r="C1382" s="21" t="s">
        <v>257</v>
      </c>
      <c r="D1382" s="21" t="s">
        <v>160</v>
      </c>
      <c r="E1382" s="23">
        <v>330216</v>
      </c>
      <c r="F1382" s="20">
        <v>4616203.3490000004</v>
      </c>
      <c r="G1382" s="30">
        <f t="shared" si="64"/>
        <v>4946419.3490000004</v>
      </c>
      <c r="H1382" t="str">
        <f>IFERROR(VLOOKUP(C1382,Sheet1!$B$2:$C$25,2,FALSE),"")</f>
        <v/>
      </c>
      <c r="I1382">
        <f t="shared" si="65"/>
        <v>1613</v>
      </c>
    </row>
    <row r="1383" spans="1:9" x14ac:dyDescent="0.2">
      <c r="A1383" t="str">
        <f t="shared" si="63"/>
        <v/>
      </c>
      <c r="B1383" s="20">
        <v>2021</v>
      </c>
      <c r="C1383" s="21" t="s">
        <v>257</v>
      </c>
      <c r="D1383" s="20" t="s">
        <v>160</v>
      </c>
      <c r="E1383" s="23">
        <v>235574</v>
      </c>
      <c r="F1383" s="20">
        <v>3075179.5060000001</v>
      </c>
      <c r="G1383" s="30">
        <f t="shared" si="64"/>
        <v>3310753.5060000001</v>
      </c>
      <c r="H1383" t="str">
        <f>IFERROR(VLOOKUP(C1383,Sheet1!$B$2:$C$25,2,FALSE),"")</f>
        <v/>
      </c>
      <c r="I1383">
        <f t="shared" si="65"/>
        <v>1613</v>
      </c>
    </row>
    <row r="1384" spans="1:9" x14ac:dyDescent="0.2">
      <c r="A1384" t="str">
        <f t="shared" si="63"/>
        <v/>
      </c>
      <c r="B1384" s="20">
        <v>2022</v>
      </c>
      <c r="C1384" s="21" t="s">
        <v>257</v>
      </c>
      <c r="D1384" s="21" t="s">
        <v>160</v>
      </c>
      <c r="E1384" s="23">
        <v>235153</v>
      </c>
      <c r="F1384" s="20">
        <v>3232771.0690000001</v>
      </c>
      <c r="G1384" s="30">
        <f t="shared" si="64"/>
        <v>3467924.0690000001</v>
      </c>
      <c r="H1384" t="str">
        <f>IFERROR(VLOOKUP(C1384,Sheet1!$B$2:$C$25,2,FALSE),"")</f>
        <v/>
      </c>
      <c r="I1384">
        <f t="shared" si="65"/>
        <v>1613</v>
      </c>
    </row>
    <row r="1385" spans="1:9" x14ac:dyDescent="0.2">
      <c r="A1385" t="str">
        <f t="shared" si="63"/>
        <v/>
      </c>
      <c r="B1385" s="20">
        <v>2023</v>
      </c>
      <c r="C1385" s="21" t="s">
        <v>257</v>
      </c>
      <c r="D1385" s="21" t="s">
        <v>160</v>
      </c>
      <c r="E1385" s="23">
        <v>287520</v>
      </c>
      <c r="F1385" s="20">
        <v>3848099.2930000001</v>
      </c>
      <c r="G1385" s="30">
        <f t="shared" si="64"/>
        <v>4135619.2930000001</v>
      </c>
      <c r="H1385" t="str">
        <f>IFERROR(VLOOKUP(C1385,Sheet1!$B$2:$C$25,2,FALSE),"")</f>
        <v/>
      </c>
      <c r="I1385">
        <f t="shared" si="65"/>
        <v>1613</v>
      </c>
    </row>
    <row r="1386" spans="1:9" x14ac:dyDescent="0.2">
      <c r="A1386" t="str">
        <f t="shared" si="63"/>
        <v/>
      </c>
      <c r="B1386" s="20">
        <v>2015</v>
      </c>
      <c r="C1386" s="21" t="s">
        <v>258</v>
      </c>
      <c r="D1386" s="21" t="s">
        <v>258</v>
      </c>
      <c r="E1386" s="23">
        <v>445652</v>
      </c>
      <c r="F1386" s="20">
        <v>6990966.9029999999</v>
      </c>
      <c r="G1386" s="30">
        <f t="shared" si="64"/>
        <v>7436618.9029999999</v>
      </c>
      <c r="H1386" t="str">
        <f>IFERROR(VLOOKUP(C1386,Sheet1!$B$2:$C$25,2,FALSE),"")</f>
        <v/>
      </c>
      <c r="I1386">
        <f t="shared" si="65"/>
        <v>1613</v>
      </c>
    </row>
    <row r="1387" spans="1:9" x14ac:dyDescent="0.2">
      <c r="A1387">
        <f t="shared" si="63"/>
        <v>2400600</v>
      </c>
      <c r="B1387" s="20">
        <v>2015</v>
      </c>
      <c r="C1387" s="21" t="s">
        <v>162</v>
      </c>
      <c r="D1387" s="21" t="s">
        <v>162</v>
      </c>
      <c r="E1387" s="23">
        <v>1269261</v>
      </c>
      <c r="F1387" s="20">
        <v>19910965.600000001</v>
      </c>
      <c r="G1387" s="30">
        <f t="shared" si="64"/>
        <v>21180226.600000001</v>
      </c>
      <c r="H1387">
        <f>IFERROR(VLOOKUP(C1387,Sheet1!$B$2:$C$25,2,FALSE),"")</f>
        <v>2400600</v>
      </c>
      <c r="I1387">
        <f t="shared" si="65"/>
        <v>9</v>
      </c>
    </row>
    <row r="1388" spans="1:9" x14ac:dyDescent="0.2">
      <c r="A1388">
        <f t="shared" si="63"/>
        <v>2400600</v>
      </c>
      <c r="B1388" s="20">
        <v>2016</v>
      </c>
      <c r="C1388" s="21" t="s">
        <v>162</v>
      </c>
      <c r="D1388" s="21" t="s">
        <v>162</v>
      </c>
      <c r="E1388" s="23">
        <v>1092326</v>
      </c>
      <c r="F1388" s="20">
        <v>17049939.469999999</v>
      </c>
      <c r="G1388" s="30">
        <f t="shared" si="64"/>
        <v>18142265.469999999</v>
      </c>
      <c r="H1388">
        <f>IFERROR(VLOOKUP(C1388,Sheet1!$B$2:$C$25,2,FALSE),"")</f>
        <v>2400600</v>
      </c>
      <c r="I1388">
        <f t="shared" si="65"/>
        <v>9</v>
      </c>
    </row>
    <row r="1389" spans="1:9" x14ac:dyDescent="0.2">
      <c r="A1389">
        <f t="shared" si="63"/>
        <v>2400600</v>
      </c>
      <c r="B1389" s="20">
        <v>2017</v>
      </c>
      <c r="C1389" s="21" t="s">
        <v>162</v>
      </c>
      <c r="D1389" s="21" t="s">
        <v>162</v>
      </c>
      <c r="E1389" s="23">
        <v>1098303</v>
      </c>
      <c r="F1389" s="20">
        <v>18155387.23</v>
      </c>
      <c r="G1389" s="30">
        <f t="shared" si="64"/>
        <v>19253690.23</v>
      </c>
      <c r="H1389">
        <f>IFERROR(VLOOKUP(C1389,Sheet1!$B$2:$C$25,2,FALSE),"")</f>
        <v>2400600</v>
      </c>
      <c r="I1389">
        <f t="shared" si="65"/>
        <v>9</v>
      </c>
    </row>
    <row r="1390" spans="1:9" x14ac:dyDescent="0.2">
      <c r="A1390">
        <f t="shared" si="63"/>
        <v>2400600</v>
      </c>
      <c r="B1390" s="20">
        <v>2018</v>
      </c>
      <c r="C1390" s="21" t="s">
        <v>162</v>
      </c>
      <c r="D1390" s="21" t="s">
        <v>220</v>
      </c>
      <c r="E1390" s="23">
        <v>1227914</v>
      </c>
      <c r="F1390" s="20">
        <v>18475568.510000002</v>
      </c>
      <c r="G1390" s="30">
        <f t="shared" si="64"/>
        <v>19703482.510000002</v>
      </c>
      <c r="H1390">
        <f>IFERROR(VLOOKUP(C1390,Sheet1!$B$2:$C$25,2,FALSE),"")</f>
        <v>2400600</v>
      </c>
      <c r="I1390">
        <f t="shared" si="65"/>
        <v>9</v>
      </c>
    </row>
    <row r="1391" spans="1:9" x14ac:dyDescent="0.2">
      <c r="A1391" t="str">
        <f t="shared" si="63"/>
        <v/>
      </c>
      <c r="B1391" s="20">
        <v>2018</v>
      </c>
      <c r="C1391" s="21" t="s">
        <v>221</v>
      </c>
      <c r="D1391" s="21" t="s">
        <v>221</v>
      </c>
      <c r="E1391" s="23">
        <v>2050820</v>
      </c>
      <c r="F1391" s="20">
        <v>30857263.129999999</v>
      </c>
      <c r="G1391" s="30">
        <f t="shared" si="64"/>
        <v>32908083.129999999</v>
      </c>
      <c r="H1391" t="str">
        <f>IFERROR(VLOOKUP(C1391,Sheet1!$B$2:$C$25,2,FALSE),"")</f>
        <v/>
      </c>
      <c r="I1391">
        <f t="shared" si="65"/>
        <v>1613</v>
      </c>
    </row>
    <row r="1392" spans="1:9" x14ac:dyDescent="0.2">
      <c r="A1392">
        <f t="shared" si="63"/>
        <v>2400600</v>
      </c>
      <c r="B1392" s="20">
        <v>2019</v>
      </c>
      <c r="C1392" s="21" t="s">
        <v>162</v>
      </c>
      <c r="D1392" s="21" t="s">
        <v>162</v>
      </c>
      <c r="E1392" s="23">
        <v>1319557</v>
      </c>
      <c r="F1392" s="20">
        <v>18985942.600000001</v>
      </c>
      <c r="G1392" s="30">
        <f t="shared" si="64"/>
        <v>20305499.600000001</v>
      </c>
      <c r="H1392">
        <f>IFERROR(VLOOKUP(C1392,Sheet1!$B$2:$C$25,2,FALSE),"")</f>
        <v>2400600</v>
      </c>
      <c r="I1392">
        <f t="shared" si="65"/>
        <v>9</v>
      </c>
    </row>
    <row r="1393" spans="1:9" x14ac:dyDescent="0.2">
      <c r="A1393">
        <f t="shared" si="63"/>
        <v>2400600</v>
      </c>
      <c r="B1393" s="20">
        <v>2020</v>
      </c>
      <c r="C1393" s="21" t="s">
        <v>162</v>
      </c>
      <c r="D1393" s="21" t="s">
        <v>162</v>
      </c>
      <c r="E1393" s="23">
        <v>1428552</v>
      </c>
      <c r="F1393" s="20">
        <v>19970221.09</v>
      </c>
      <c r="G1393" s="30">
        <f t="shared" si="64"/>
        <v>21398773.09</v>
      </c>
      <c r="H1393">
        <f>IFERROR(VLOOKUP(C1393,Sheet1!$B$2:$C$25,2,FALSE),"")</f>
        <v>2400600</v>
      </c>
      <c r="I1393">
        <f t="shared" si="65"/>
        <v>9</v>
      </c>
    </row>
    <row r="1394" spans="1:9" x14ac:dyDescent="0.2">
      <c r="A1394">
        <f t="shared" si="63"/>
        <v>2400600</v>
      </c>
      <c r="B1394" s="20">
        <v>2021</v>
      </c>
      <c r="C1394" s="20" t="s">
        <v>162</v>
      </c>
      <c r="D1394" s="20" t="s">
        <v>162</v>
      </c>
      <c r="E1394" s="23">
        <v>1619548</v>
      </c>
      <c r="F1394" s="20">
        <v>21141555.600000001</v>
      </c>
      <c r="G1394" s="30">
        <f t="shared" si="64"/>
        <v>22761103.600000001</v>
      </c>
      <c r="H1394">
        <f>IFERROR(VLOOKUP(C1394,Sheet1!$B$2:$C$25,2,FALSE),"")</f>
        <v>2400600</v>
      </c>
      <c r="I1394">
        <f t="shared" si="65"/>
        <v>9</v>
      </c>
    </row>
    <row r="1395" spans="1:9" x14ac:dyDescent="0.2">
      <c r="A1395">
        <f t="shared" si="63"/>
        <v>2400600</v>
      </c>
      <c r="B1395" s="20">
        <v>2022</v>
      </c>
      <c r="C1395" s="21" t="s">
        <v>162</v>
      </c>
      <c r="D1395" s="21" t="s">
        <v>162</v>
      </c>
      <c r="E1395" s="23">
        <v>1719726</v>
      </c>
      <c r="F1395" s="20">
        <v>23641971.23</v>
      </c>
      <c r="G1395" s="30">
        <f t="shared" si="64"/>
        <v>25361697.23</v>
      </c>
      <c r="H1395">
        <f>IFERROR(VLOOKUP(C1395,Sheet1!$B$2:$C$25,2,FALSE),"")</f>
        <v>2400600</v>
      </c>
      <c r="I1395">
        <f t="shared" si="65"/>
        <v>9</v>
      </c>
    </row>
    <row r="1396" spans="1:9" x14ac:dyDescent="0.2">
      <c r="A1396">
        <f t="shared" si="63"/>
        <v>2400600</v>
      </c>
      <c r="B1396" s="20">
        <v>2023</v>
      </c>
      <c r="C1396" s="21" t="s">
        <v>162</v>
      </c>
      <c r="D1396" s="21" t="s">
        <v>162</v>
      </c>
      <c r="E1396" s="23">
        <v>1855536</v>
      </c>
      <c r="F1396" s="20">
        <v>24834052.48</v>
      </c>
      <c r="G1396" s="30">
        <f t="shared" si="64"/>
        <v>26689588.48</v>
      </c>
      <c r="H1396">
        <f>IFERROR(VLOOKUP(C1396,Sheet1!$B$2:$C$25,2,FALSE),"")</f>
        <v>2400600</v>
      </c>
      <c r="I1396">
        <f t="shared" si="65"/>
        <v>9</v>
      </c>
    </row>
    <row r="1397" spans="1:9" x14ac:dyDescent="0.2">
      <c r="A1397" t="str">
        <f t="shared" si="63"/>
        <v/>
      </c>
      <c r="B1397" s="20">
        <v>2015</v>
      </c>
      <c r="C1397" s="21" t="s">
        <v>163</v>
      </c>
      <c r="D1397" s="21" t="s">
        <v>163</v>
      </c>
      <c r="E1397" s="23">
        <v>2187861</v>
      </c>
      <c r="F1397" s="20">
        <v>34321093.229999997</v>
      </c>
      <c r="G1397" s="30">
        <f t="shared" si="64"/>
        <v>36508954.229999997</v>
      </c>
      <c r="H1397" t="str">
        <f>IFERROR(VLOOKUP(C1397,Sheet1!$B$2:$C$25,2,FALSE),"")</f>
        <v/>
      </c>
      <c r="I1397">
        <f t="shared" si="65"/>
        <v>1613</v>
      </c>
    </row>
    <row r="1398" spans="1:9" x14ac:dyDescent="0.2">
      <c r="A1398" t="str">
        <f t="shared" si="63"/>
        <v/>
      </c>
      <c r="B1398" s="20">
        <v>2016</v>
      </c>
      <c r="C1398" s="21" t="s">
        <v>163</v>
      </c>
      <c r="D1398" s="21" t="s">
        <v>163</v>
      </c>
      <c r="E1398" s="23">
        <v>1953519</v>
      </c>
      <c r="F1398" s="20">
        <v>30492161.399999999</v>
      </c>
      <c r="G1398" s="30">
        <f t="shared" si="64"/>
        <v>32445680.399999999</v>
      </c>
      <c r="H1398" t="str">
        <f>IFERROR(VLOOKUP(C1398,Sheet1!$B$2:$C$25,2,FALSE),"")</f>
        <v/>
      </c>
      <c r="I1398">
        <f t="shared" si="65"/>
        <v>1613</v>
      </c>
    </row>
    <row r="1399" spans="1:9" x14ac:dyDescent="0.2">
      <c r="A1399" t="str">
        <f t="shared" si="63"/>
        <v/>
      </c>
      <c r="B1399" s="20">
        <v>2017</v>
      </c>
      <c r="C1399" s="21" t="s">
        <v>163</v>
      </c>
      <c r="D1399" s="21" t="s">
        <v>163</v>
      </c>
      <c r="E1399" s="23">
        <v>1989232</v>
      </c>
      <c r="F1399" s="20">
        <v>32882799.420000002</v>
      </c>
      <c r="G1399" s="30">
        <f t="shared" si="64"/>
        <v>34872031.420000002</v>
      </c>
      <c r="H1399" t="str">
        <f>IFERROR(VLOOKUP(C1399,Sheet1!$B$2:$C$25,2,FALSE),"")</f>
        <v/>
      </c>
      <c r="I1399">
        <f t="shared" si="65"/>
        <v>1613</v>
      </c>
    </row>
    <row r="1400" spans="1:9" x14ac:dyDescent="0.2">
      <c r="A1400" t="str">
        <f t="shared" si="63"/>
        <v/>
      </c>
      <c r="B1400" s="20">
        <v>2019</v>
      </c>
      <c r="C1400" s="21" t="s">
        <v>163</v>
      </c>
      <c r="D1400" s="21" t="s">
        <v>163</v>
      </c>
      <c r="E1400" s="23">
        <v>2156799</v>
      </c>
      <c r="F1400" s="20">
        <v>31032279.789999999</v>
      </c>
      <c r="G1400" s="30">
        <f t="shared" si="64"/>
        <v>33189078.789999999</v>
      </c>
      <c r="H1400" t="str">
        <f>IFERROR(VLOOKUP(C1400,Sheet1!$B$2:$C$25,2,FALSE),"")</f>
        <v/>
      </c>
      <c r="I1400">
        <f t="shared" si="65"/>
        <v>1613</v>
      </c>
    </row>
    <row r="1401" spans="1:9" x14ac:dyDescent="0.2">
      <c r="A1401" t="str">
        <f t="shared" si="63"/>
        <v/>
      </c>
      <c r="B1401" s="20">
        <v>2020</v>
      </c>
      <c r="C1401" s="21" t="s">
        <v>163</v>
      </c>
      <c r="D1401" s="21" t="s">
        <v>163</v>
      </c>
      <c r="E1401" s="23">
        <v>2419045</v>
      </c>
      <c r="F1401" s="20">
        <v>33816664.329999998</v>
      </c>
      <c r="G1401" s="30">
        <f t="shared" si="64"/>
        <v>36235709.329999998</v>
      </c>
      <c r="H1401" t="str">
        <f>IFERROR(VLOOKUP(C1401,Sheet1!$B$2:$C$25,2,FALSE),"")</f>
        <v/>
      </c>
      <c r="I1401">
        <f t="shared" si="65"/>
        <v>1613</v>
      </c>
    </row>
    <row r="1402" spans="1:9" x14ac:dyDescent="0.2">
      <c r="A1402" t="str">
        <f t="shared" si="63"/>
        <v/>
      </c>
      <c r="B1402" s="20">
        <v>2021</v>
      </c>
      <c r="C1402" s="20" t="s">
        <v>163</v>
      </c>
      <c r="D1402" s="20" t="s">
        <v>163</v>
      </c>
      <c r="E1402" s="23">
        <v>2903407</v>
      </c>
      <c r="F1402" s="20">
        <v>37901031.969999999</v>
      </c>
      <c r="G1402" s="30">
        <f t="shared" si="64"/>
        <v>40804438.969999999</v>
      </c>
      <c r="H1402" t="str">
        <f>IFERROR(VLOOKUP(C1402,Sheet1!$B$2:$C$25,2,FALSE),"")</f>
        <v/>
      </c>
      <c r="I1402">
        <f t="shared" si="65"/>
        <v>1613</v>
      </c>
    </row>
    <row r="1403" spans="1:9" x14ac:dyDescent="0.2">
      <c r="A1403" t="str">
        <f t="shared" si="63"/>
        <v/>
      </c>
      <c r="B1403" s="20">
        <v>2022</v>
      </c>
      <c r="C1403" s="21" t="s">
        <v>163</v>
      </c>
      <c r="D1403" s="21" t="s">
        <v>163</v>
      </c>
      <c r="E1403" s="23">
        <v>3175169</v>
      </c>
      <c r="F1403" s="20">
        <v>43650706.060000002</v>
      </c>
      <c r="G1403" s="30">
        <f t="shared" si="64"/>
        <v>46825875.060000002</v>
      </c>
      <c r="H1403" t="str">
        <f>IFERROR(VLOOKUP(C1403,Sheet1!$B$2:$C$25,2,FALSE),"")</f>
        <v/>
      </c>
      <c r="I1403">
        <f t="shared" si="65"/>
        <v>1613</v>
      </c>
    </row>
    <row r="1404" spans="1:9" x14ac:dyDescent="0.2">
      <c r="A1404" t="str">
        <f t="shared" si="63"/>
        <v/>
      </c>
      <c r="B1404" s="20">
        <v>2023</v>
      </c>
      <c r="C1404" s="21" t="s">
        <v>163</v>
      </c>
      <c r="D1404" s="21" t="s">
        <v>163</v>
      </c>
      <c r="E1404" s="23">
        <v>3585106</v>
      </c>
      <c r="F1404" s="20">
        <v>47982205.979999997</v>
      </c>
      <c r="G1404" s="30">
        <f t="shared" si="64"/>
        <v>51567311.979999997</v>
      </c>
      <c r="H1404" t="str">
        <f>IFERROR(VLOOKUP(C1404,Sheet1!$B$2:$C$25,2,FALSE),"")</f>
        <v/>
      </c>
      <c r="I1404">
        <f t="shared" si="65"/>
        <v>1613</v>
      </c>
    </row>
    <row r="1405" spans="1:9" x14ac:dyDescent="0.2">
      <c r="A1405" t="str">
        <f t="shared" si="63"/>
        <v/>
      </c>
      <c r="B1405" s="20">
        <v>2016</v>
      </c>
      <c r="C1405" s="21" t="s">
        <v>161</v>
      </c>
      <c r="D1405" s="21" t="s">
        <v>161</v>
      </c>
      <c r="E1405" s="23">
        <v>419241</v>
      </c>
      <c r="F1405" s="20">
        <v>6543864.8099999996</v>
      </c>
      <c r="G1405" s="30">
        <f t="shared" si="64"/>
        <v>6963105.8099999996</v>
      </c>
      <c r="H1405" t="str">
        <f>IFERROR(VLOOKUP(C1405,Sheet1!$B$2:$C$25,2,FALSE),"")</f>
        <v/>
      </c>
      <c r="I1405">
        <f t="shared" si="65"/>
        <v>1613</v>
      </c>
    </row>
    <row r="1406" spans="1:9" x14ac:dyDescent="0.2">
      <c r="A1406" t="str">
        <f t="shared" si="63"/>
        <v/>
      </c>
      <c r="B1406" s="20">
        <v>2017</v>
      </c>
      <c r="C1406" s="21" t="s">
        <v>161</v>
      </c>
      <c r="D1406" s="21" t="s">
        <v>161</v>
      </c>
      <c r="E1406" s="23">
        <v>429057</v>
      </c>
      <c r="F1406" s="20">
        <v>7092483.5669999998</v>
      </c>
      <c r="G1406" s="30">
        <f t="shared" si="64"/>
        <v>7521540.5669999998</v>
      </c>
      <c r="H1406" t="str">
        <f>IFERROR(VLOOKUP(C1406,Sheet1!$B$2:$C$25,2,FALSE),"")</f>
        <v/>
      </c>
      <c r="I1406">
        <f t="shared" si="65"/>
        <v>1613</v>
      </c>
    </row>
    <row r="1407" spans="1:9" x14ac:dyDescent="0.2">
      <c r="A1407" t="str">
        <f t="shared" si="63"/>
        <v/>
      </c>
      <c r="B1407" s="20">
        <v>2018</v>
      </c>
      <c r="C1407" s="21" t="s">
        <v>161</v>
      </c>
      <c r="D1407" s="21" t="s">
        <v>219</v>
      </c>
      <c r="E1407" s="23">
        <v>430870</v>
      </c>
      <c r="F1407" s="20">
        <v>6483001.4170000004</v>
      </c>
      <c r="G1407" s="30">
        <f t="shared" si="64"/>
        <v>6913871.4170000004</v>
      </c>
      <c r="H1407" t="str">
        <f>IFERROR(VLOOKUP(C1407,Sheet1!$B$2:$C$25,2,FALSE),"")</f>
        <v/>
      </c>
      <c r="I1407">
        <f t="shared" si="65"/>
        <v>1613</v>
      </c>
    </row>
    <row r="1408" spans="1:9" x14ac:dyDescent="0.2">
      <c r="A1408" t="str">
        <f t="shared" si="63"/>
        <v/>
      </c>
      <c r="B1408" s="20">
        <v>2019</v>
      </c>
      <c r="C1408" s="21" t="s">
        <v>161</v>
      </c>
      <c r="D1408" s="21" t="s">
        <v>161</v>
      </c>
      <c r="E1408" s="23">
        <v>487479</v>
      </c>
      <c r="F1408" s="20">
        <v>7013905.6619999995</v>
      </c>
      <c r="G1408" s="30">
        <f t="shared" si="64"/>
        <v>7501384.6619999995</v>
      </c>
      <c r="H1408" t="str">
        <f>IFERROR(VLOOKUP(C1408,Sheet1!$B$2:$C$25,2,FALSE),"")</f>
        <v/>
      </c>
      <c r="I1408">
        <f t="shared" si="65"/>
        <v>1613</v>
      </c>
    </row>
    <row r="1409" spans="1:9" x14ac:dyDescent="0.2">
      <c r="A1409" t="str">
        <f t="shared" si="63"/>
        <v/>
      </c>
      <c r="B1409" s="20">
        <v>2020</v>
      </c>
      <c r="C1409" s="21" t="s">
        <v>161</v>
      </c>
      <c r="D1409" s="21" t="s">
        <v>161</v>
      </c>
      <c r="E1409" s="23">
        <v>529249</v>
      </c>
      <c r="F1409" s="20">
        <v>7398554.2980000004</v>
      </c>
      <c r="G1409" s="30">
        <f t="shared" si="64"/>
        <v>7927803.2980000004</v>
      </c>
      <c r="H1409" t="str">
        <f>IFERROR(VLOOKUP(C1409,Sheet1!$B$2:$C$25,2,FALSE),"")</f>
        <v/>
      </c>
      <c r="I1409">
        <f t="shared" si="65"/>
        <v>1613</v>
      </c>
    </row>
    <row r="1410" spans="1:9" x14ac:dyDescent="0.2">
      <c r="A1410" t="str">
        <f t="shared" si="63"/>
        <v/>
      </c>
      <c r="B1410" s="20">
        <v>2021</v>
      </c>
      <c r="C1410" s="20" t="s">
        <v>161</v>
      </c>
      <c r="D1410" s="20" t="s">
        <v>161</v>
      </c>
      <c r="E1410" s="23">
        <v>616924</v>
      </c>
      <c r="F1410" s="20">
        <v>8053316.7570000002</v>
      </c>
      <c r="G1410" s="30">
        <f t="shared" si="64"/>
        <v>8670240.7569999993</v>
      </c>
      <c r="H1410" t="str">
        <f>IFERROR(VLOOKUP(C1410,Sheet1!$B$2:$C$25,2,FALSE),"")</f>
        <v/>
      </c>
      <c r="I1410">
        <f t="shared" si="65"/>
        <v>1613</v>
      </c>
    </row>
    <row r="1411" spans="1:9" x14ac:dyDescent="0.2">
      <c r="A1411" t="str">
        <f t="shared" ref="A1411:A1474" si="66">H1411</f>
        <v/>
      </c>
      <c r="B1411" s="20">
        <v>2022</v>
      </c>
      <c r="C1411" s="21" t="s">
        <v>161</v>
      </c>
      <c r="D1411" s="21" t="s">
        <v>161</v>
      </c>
      <c r="E1411" s="23">
        <v>646370</v>
      </c>
      <c r="F1411" s="20">
        <v>8885985.8729999997</v>
      </c>
      <c r="G1411" s="30">
        <f t="shared" ref="G1411:G1474" si="67">SUM(E1411:F1411)</f>
        <v>9532355.8729999997</v>
      </c>
      <c r="H1411" t="str">
        <f>IFERROR(VLOOKUP(C1411,Sheet1!$B$2:$C$25,2,FALSE),"")</f>
        <v/>
      </c>
      <c r="I1411">
        <f t="shared" ref="I1411:I1474" si="68">COUNTIF($H$2:$H$1812,H1411)</f>
        <v>1613</v>
      </c>
    </row>
    <row r="1412" spans="1:9" x14ac:dyDescent="0.2">
      <c r="A1412" t="str">
        <f t="shared" si="66"/>
        <v/>
      </c>
      <c r="B1412" s="20">
        <v>2023</v>
      </c>
      <c r="C1412" s="21" t="s">
        <v>161</v>
      </c>
      <c r="D1412" s="21" t="s">
        <v>161</v>
      </c>
      <c r="E1412" s="23">
        <v>665744</v>
      </c>
      <c r="F1412" s="20">
        <v>8910159.3469999991</v>
      </c>
      <c r="G1412" s="30">
        <f t="shared" si="67"/>
        <v>9575903.3469999991</v>
      </c>
      <c r="H1412" t="str">
        <f>IFERROR(VLOOKUP(C1412,Sheet1!$B$2:$C$25,2,FALSE),"")</f>
        <v/>
      </c>
      <c r="I1412">
        <f t="shared" si="68"/>
        <v>1613</v>
      </c>
    </row>
    <row r="1413" spans="1:9" x14ac:dyDescent="0.2">
      <c r="A1413" t="str">
        <f t="shared" si="66"/>
        <v/>
      </c>
      <c r="B1413" s="20">
        <v>2015</v>
      </c>
      <c r="C1413" s="21" t="s">
        <v>164</v>
      </c>
      <c r="D1413" s="21" t="s">
        <v>164</v>
      </c>
      <c r="E1413" s="23">
        <v>17786</v>
      </c>
      <c r="F1413" s="20">
        <v>279009.93900000001</v>
      </c>
      <c r="G1413" s="30">
        <f t="shared" si="67"/>
        <v>296795.93900000001</v>
      </c>
      <c r="H1413" t="str">
        <f>IFERROR(VLOOKUP(C1413,Sheet1!$B$2:$C$25,2,FALSE),"")</f>
        <v/>
      </c>
      <c r="I1413">
        <f t="shared" si="68"/>
        <v>1613</v>
      </c>
    </row>
    <row r="1414" spans="1:9" x14ac:dyDescent="0.2">
      <c r="A1414" t="str">
        <f t="shared" si="66"/>
        <v/>
      </c>
      <c r="B1414" s="20">
        <v>2016</v>
      </c>
      <c r="C1414" s="21" t="s">
        <v>164</v>
      </c>
      <c r="D1414" s="21" t="s">
        <v>164</v>
      </c>
      <c r="E1414" s="23">
        <v>20123</v>
      </c>
      <c r="F1414" s="20">
        <v>314096.64500000002</v>
      </c>
      <c r="G1414" s="30">
        <f t="shared" si="67"/>
        <v>334219.64500000002</v>
      </c>
      <c r="H1414" t="str">
        <f>IFERROR(VLOOKUP(C1414,Sheet1!$B$2:$C$25,2,FALSE),"")</f>
        <v/>
      </c>
      <c r="I1414">
        <f t="shared" si="68"/>
        <v>1613</v>
      </c>
    </row>
    <row r="1415" spans="1:9" x14ac:dyDescent="0.2">
      <c r="A1415" t="str">
        <f t="shared" si="66"/>
        <v/>
      </c>
      <c r="B1415" s="20">
        <v>2017</v>
      </c>
      <c r="C1415" s="21" t="s">
        <v>164</v>
      </c>
      <c r="D1415" s="21" t="s">
        <v>164</v>
      </c>
      <c r="E1415" s="23">
        <v>23252</v>
      </c>
      <c r="F1415" s="20">
        <v>384364.84639999998</v>
      </c>
      <c r="G1415" s="30">
        <f t="shared" si="67"/>
        <v>407616.84639999998</v>
      </c>
      <c r="H1415" t="str">
        <f>IFERROR(VLOOKUP(C1415,Sheet1!$B$2:$C$25,2,FALSE),"")</f>
        <v/>
      </c>
      <c r="I1415">
        <f t="shared" si="68"/>
        <v>1613</v>
      </c>
    </row>
    <row r="1416" spans="1:9" x14ac:dyDescent="0.2">
      <c r="A1416" t="str">
        <f t="shared" si="66"/>
        <v/>
      </c>
      <c r="B1416" s="20">
        <v>2018</v>
      </c>
      <c r="C1416" s="21" t="s">
        <v>164</v>
      </c>
      <c r="D1416" s="21" t="s">
        <v>222</v>
      </c>
      <c r="E1416" s="23">
        <v>23608</v>
      </c>
      <c r="F1416" s="20">
        <v>355213.16739999998</v>
      </c>
      <c r="G1416" s="30">
        <f t="shared" si="67"/>
        <v>378821.16739999998</v>
      </c>
      <c r="H1416" t="str">
        <f>IFERROR(VLOOKUP(C1416,Sheet1!$B$2:$C$25,2,FALSE),"")</f>
        <v/>
      </c>
      <c r="I1416">
        <f t="shared" si="68"/>
        <v>1613</v>
      </c>
    </row>
    <row r="1417" spans="1:9" x14ac:dyDescent="0.2">
      <c r="A1417" t="str">
        <f t="shared" si="66"/>
        <v/>
      </c>
      <c r="B1417" s="20">
        <v>2019</v>
      </c>
      <c r="C1417" s="21" t="s">
        <v>164</v>
      </c>
      <c r="D1417" s="21" t="s">
        <v>164</v>
      </c>
      <c r="E1417" s="23">
        <v>23634</v>
      </c>
      <c r="F1417" s="20">
        <v>340048.79470000003</v>
      </c>
      <c r="G1417" s="30">
        <f t="shared" si="67"/>
        <v>363682.79470000003</v>
      </c>
      <c r="H1417" t="str">
        <f>IFERROR(VLOOKUP(C1417,Sheet1!$B$2:$C$25,2,FALSE),"")</f>
        <v/>
      </c>
      <c r="I1417">
        <f t="shared" si="68"/>
        <v>1613</v>
      </c>
    </row>
    <row r="1418" spans="1:9" x14ac:dyDescent="0.2">
      <c r="A1418" t="str">
        <f t="shared" si="66"/>
        <v/>
      </c>
      <c r="B1418" s="20">
        <v>2020</v>
      </c>
      <c r="C1418" s="21" t="s">
        <v>164</v>
      </c>
      <c r="D1418" s="21" t="s">
        <v>164</v>
      </c>
      <c r="E1418" s="23">
        <v>31185</v>
      </c>
      <c r="F1418" s="20">
        <v>435945.8701</v>
      </c>
      <c r="G1418" s="30">
        <f t="shared" si="67"/>
        <v>467130.8701</v>
      </c>
      <c r="H1418" t="str">
        <f>IFERROR(VLOOKUP(C1418,Sheet1!$B$2:$C$25,2,FALSE),"")</f>
        <v/>
      </c>
      <c r="I1418">
        <f t="shared" si="68"/>
        <v>1613</v>
      </c>
    </row>
    <row r="1419" spans="1:9" x14ac:dyDescent="0.2">
      <c r="A1419" t="str">
        <f t="shared" si="66"/>
        <v/>
      </c>
      <c r="B1419" s="20">
        <v>2021</v>
      </c>
      <c r="C1419" s="20" t="s">
        <v>164</v>
      </c>
      <c r="D1419" s="20" t="s">
        <v>164</v>
      </c>
      <c r="E1419" s="23">
        <v>34054</v>
      </c>
      <c r="F1419" s="20">
        <v>444540.41149999999</v>
      </c>
      <c r="G1419" s="30">
        <f t="shared" si="67"/>
        <v>478594.41149999999</v>
      </c>
      <c r="H1419" t="str">
        <f>IFERROR(VLOOKUP(C1419,Sheet1!$B$2:$C$25,2,FALSE),"")</f>
        <v/>
      </c>
      <c r="I1419">
        <f t="shared" si="68"/>
        <v>1613</v>
      </c>
    </row>
    <row r="1420" spans="1:9" x14ac:dyDescent="0.2">
      <c r="A1420" t="str">
        <f t="shared" si="66"/>
        <v/>
      </c>
      <c r="B1420" s="20">
        <v>2022</v>
      </c>
      <c r="C1420" s="21" t="s">
        <v>164</v>
      </c>
      <c r="D1420" s="21" t="s">
        <v>164</v>
      </c>
      <c r="E1420" s="23">
        <v>34736</v>
      </c>
      <c r="F1420" s="20">
        <v>477533.92839999998</v>
      </c>
      <c r="G1420" s="30">
        <f t="shared" si="67"/>
        <v>512269.92839999998</v>
      </c>
      <c r="H1420" t="str">
        <f>IFERROR(VLOOKUP(C1420,Sheet1!$B$2:$C$25,2,FALSE),"")</f>
        <v/>
      </c>
      <c r="I1420">
        <f t="shared" si="68"/>
        <v>1613</v>
      </c>
    </row>
    <row r="1421" spans="1:9" x14ac:dyDescent="0.2">
      <c r="A1421" t="str">
        <f t="shared" si="66"/>
        <v/>
      </c>
      <c r="B1421" s="20">
        <v>2023</v>
      </c>
      <c r="C1421" s="21" t="s">
        <v>164</v>
      </c>
      <c r="D1421" s="21" t="s">
        <v>164</v>
      </c>
      <c r="E1421" s="23">
        <v>36073</v>
      </c>
      <c r="F1421" s="20">
        <v>482792.45199999999</v>
      </c>
      <c r="G1421" s="30">
        <f t="shared" si="67"/>
        <v>518865.45199999999</v>
      </c>
      <c r="H1421" t="str">
        <f>IFERROR(VLOOKUP(C1421,Sheet1!$B$2:$C$25,2,FALSE),"")</f>
        <v/>
      </c>
      <c r="I1421">
        <f t="shared" si="68"/>
        <v>1613</v>
      </c>
    </row>
    <row r="1422" spans="1:9" x14ac:dyDescent="0.2">
      <c r="A1422" t="str">
        <f t="shared" si="66"/>
        <v/>
      </c>
      <c r="B1422" s="20">
        <v>2015</v>
      </c>
      <c r="C1422" s="21" t="s">
        <v>165</v>
      </c>
      <c r="D1422" s="21" t="s">
        <v>165</v>
      </c>
      <c r="E1422" s="23">
        <v>50620</v>
      </c>
      <c r="F1422" s="20">
        <v>794078.66370000003</v>
      </c>
      <c r="G1422" s="30">
        <f t="shared" si="67"/>
        <v>844698.66370000003</v>
      </c>
      <c r="H1422" t="str">
        <f>IFERROR(VLOOKUP(C1422,Sheet1!$B$2:$C$25,2,FALSE),"")</f>
        <v/>
      </c>
      <c r="I1422">
        <f t="shared" si="68"/>
        <v>1613</v>
      </c>
    </row>
    <row r="1423" spans="1:9" x14ac:dyDescent="0.2">
      <c r="A1423" t="str">
        <f t="shared" si="66"/>
        <v/>
      </c>
      <c r="B1423" s="20">
        <v>2016</v>
      </c>
      <c r="C1423" s="21" t="s">
        <v>165</v>
      </c>
      <c r="D1423" s="21" t="s">
        <v>165</v>
      </c>
      <c r="E1423" s="23">
        <v>44394</v>
      </c>
      <c r="F1423" s="20">
        <v>692938.74970000004</v>
      </c>
      <c r="G1423" s="30">
        <f t="shared" si="67"/>
        <v>737332.74970000004</v>
      </c>
      <c r="H1423" t="str">
        <f>IFERROR(VLOOKUP(C1423,Sheet1!$B$2:$C$25,2,FALSE),"")</f>
        <v/>
      </c>
      <c r="I1423">
        <f t="shared" si="68"/>
        <v>1613</v>
      </c>
    </row>
    <row r="1424" spans="1:9" x14ac:dyDescent="0.2">
      <c r="A1424" t="str">
        <f t="shared" si="66"/>
        <v/>
      </c>
      <c r="B1424" s="20">
        <v>2017</v>
      </c>
      <c r="C1424" s="21" t="s">
        <v>165</v>
      </c>
      <c r="D1424" s="21" t="s">
        <v>165</v>
      </c>
      <c r="E1424" s="23">
        <v>41021</v>
      </c>
      <c r="F1424" s="20">
        <v>678093.51300000004</v>
      </c>
      <c r="G1424" s="30">
        <f t="shared" si="67"/>
        <v>719114.51300000004</v>
      </c>
      <c r="H1424" t="str">
        <f>IFERROR(VLOOKUP(C1424,Sheet1!$B$2:$C$25,2,FALSE),"")</f>
        <v/>
      </c>
      <c r="I1424">
        <f t="shared" si="68"/>
        <v>1613</v>
      </c>
    </row>
    <row r="1425" spans="1:9" x14ac:dyDescent="0.2">
      <c r="A1425" t="str">
        <f t="shared" si="66"/>
        <v/>
      </c>
      <c r="B1425" s="20">
        <v>2018</v>
      </c>
      <c r="C1425" s="21" t="s">
        <v>165</v>
      </c>
      <c r="D1425" s="21" t="s">
        <v>223</v>
      </c>
      <c r="E1425" s="23">
        <v>45940</v>
      </c>
      <c r="F1425" s="20">
        <v>691227.24979999999</v>
      </c>
      <c r="G1425" s="30">
        <f t="shared" si="67"/>
        <v>737167.24979999999</v>
      </c>
      <c r="H1425" t="str">
        <f>IFERROR(VLOOKUP(C1425,Sheet1!$B$2:$C$25,2,FALSE),"")</f>
        <v/>
      </c>
      <c r="I1425">
        <f t="shared" si="68"/>
        <v>1613</v>
      </c>
    </row>
    <row r="1426" spans="1:9" x14ac:dyDescent="0.2">
      <c r="A1426" t="str">
        <f t="shared" si="66"/>
        <v/>
      </c>
      <c r="B1426" s="20">
        <v>2019</v>
      </c>
      <c r="C1426" s="21" t="s">
        <v>165</v>
      </c>
      <c r="D1426" s="21" t="s">
        <v>165</v>
      </c>
      <c r="E1426" s="23">
        <v>54440</v>
      </c>
      <c r="F1426" s="20">
        <v>783289.17599999998</v>
      </c>
      <c r="G1426" s="30">
        <f t="shared" si="67"/>
        <v>837729.17599999998</v>
      </c>
      <c r="H1426" t="str">
        <f>IFERROR(VLOOKUP(C1426,Sheet1!$B$2:$C$25,2,FALSE),"")</f>
        <v/>
      </c>
      <c r="I1426">
        <f t="shared" si="68"/>
        <v>1613</v>
      </c>
    </row>
    <row r="1427" spans="1:9" x14ac:dyDescent="0.2">
      <c r="A1427" t="str">
        <f t="shared" si="66"/>
        <v/>
      </c>
      <c r="B1427" s="20">
        <v>2020</v>
      </c>
      <c r="C1427" s="21" t="s">
        <v>165</v>
      </c>
      <c r="D1427" s="21" t="s">
        <v>165</v>
      </c>
      <c r="E1427" s="23">
        <v>60642</v>
      </c>
      <c r="F1427" s="20">
        <v>847735.43220000004</v>
      </c>
      <c r="G1427" s="30">
        <f t="shared" si="67"/>
        <v>908377.43220000004</v>
      </c>
      <c r="H1427" t="str">
        <f>IFERROR(VLOOKUP(C1427,Sheet1!$B$2:$C$25,2,FALSE),"")</f>
        <v/>
      </c>
      <c r="I1427">
        <f t="shared" si="68"/>
        <v>1613</v>
      </c>
    </row>
    <row r="1428" spans="1:9" x14ac:dyDescent="0.2">
      <c r="A1428" t="str">
        <f t="shared" si="66"/>
        <v/>
      </c>
      <c r="B1428" s="20">
        <v>2021</v>
      </c>
      <c r="C1428" s="20" t="s">
        <v>165</v>
      </c>
      <c r="D1428" s="20" t="s">
        <v>165</v>
      </c>
      <c r="E1428" s="23">
        <v>64957</v>
      </c>
      <c r="F1428" s="20">
        <v>847947.71569999994</v>
      </c>
      <c r="G1428" s="30">
        <f t="shared" si="67"/>
        <v>912904.71569999994</v>
      </c>
      <c r="H1428" t="str">
        <f>IFERROR(VLOOKUP(C1428,Sheet1!$B$2:$C$25,2,FALSE),"")</f>
        <v/>
      </c>
      <c r="I1428">
        <f t="shared" si="68"/>
        <v>1613</v>
      </c>
    </row>
    <row r="1429" spans="1:9" x14ac:dyDescent="0.2">
      <c r="A1429" t="str">
        <f t="shared" si="66"/>
        <v/>
      </c>
      <c r="B1429" s="20">
        <v>2022</v>
      </c>
      <c r="C1429" s="21" t="s">
        <v>165</v>
      </c>
      <c r="D1429" s="21" t="s">
        <v>165</v>
      </c>
      <c r="E1429" s="23">
        <v>91380</v>
      </c>
      <c r="F1429" s="20">
        <v>1256248.571</v>
      </c>
      <c r="G1429" s="30">
        <f t="shared" si="67"/>
        <v>1347628.571</v>
      </c>
      <c r="H1429" t="str">
        <f>IFERROR(VLOOKUP(C1429,Sheet1!$B$2:$C$25,2,FALSE),"")</f>
        <v/>
      </c>
      <c r="I1429">
        <f t="shared" si="68"/>
        <v>1613</v>
      </c>
    </row>
    <row r="1430" spans="1:9" x14ac:dyDescent="0.2">
      <c r="A1430" t="str">
        <f t="shared" si="66"/>
        <v/>
      </c>
      <c r="B1430" s="20">
        <v>2023</v>
      </c>
      <c r="C1430" s="21" t="s">
        <v>165</v>
      </c>
      <c r="D1430" s="21" t="s">
        <v>165</v>
      </c>
      <c r="E1430" s="23">
        <v>112702</v>
      </c>
      <c r="F1430" s="20">
        <v>1508376.7620000001</v>
      </c>
      <c r="G1430" s="30">
        <f t="shared" si="67"/>
        <v>1621078.7620000001</v>
      </c>
      <c r="H1430" t="str">
        <f>IFERROR(VLOOKUP(C1430,Sheet1!$B$2:$C$25,2,FALSE),"")</f>
        <v/>
      </c>
      <c r="I1430">
        <f t="shared" si="68"/>
        <v>1613</v>
      </c>
    </row>
    <row r="1431" spans="1:9" x14ac:dyDescent="0.2">
      <c r="A1431" t="str">
        <f t="shared" si="66"/>
        <v/>
      </c>
      <c r="B1431" s="20">
        <v>2015</v>
      </c>
      <c r="C1431" s="21" t="s">
        <v>166</v>
      </c>
      <c r="D1431" s="21" t="s">
        <v>166</v>
      </c>
      <c r="E1431" s="23">
        <v>98837</v>
      </c>
      <c r="F1431" s="20">
        <v>1550461.3370000001</v>
      </c>
      <c r="G1431" s="30">
        <f t="shared" si="67"/>
        <v>1649298.3370000001</v>
      </c>
      <c r="H1431" t="str">
        <f>IFERROR(VLOOKUP(C1431,Sheet1!$B$2:$C$25,2,FALSE),"")</f>
        <v/>
      </c>
      <c r="I1431">
        <f t="shared" si="68"/>
        <v>1613</v>
      </c>
    </row>
    <row r="1432" spans="1:9" x14ac:dyDescent="0.2">
      <c r="A1432" t="str">
        <f t="shared" si="66"/>
        <v/>
      </c>
      <c r="B1432" s="20">
        <v>2016</v>
      </c>
      <c r="C1432" s="21" t="s">
        <v>166</v>
      </c>
      <c r="D1432" s="21" t="s">
        <v>166</v>
      </c>
      <c r="E1432" s="23">
        <v>103779</v>
      </c>
      <c r="F1432" s="20">
        <v>1619869.588</v>
      </c>
      <c r="G1432" s="30">
        <f t="shared" si="67"/>
        <v>1723648.588</v>
      </c>
      <c r="H1432" t="str">
        <f>IFERROR(VLOOKUP(C1432,Sheet1!$B$2:$C$25,2,FALSE),"")</f>
        <v/>
      </c>
      <c r="I1432">
        <f t="shared" si="68"/>
        <v>1613</v>
      </c>
    </row>
    <row r="1433" spans="1:9" x14ac:dyDescent="0.2">
      <c r="A1433" t="str">
        <f t="shared" si="66"/>
        <v/>
      </c>
      <c r="B1433" s="20">
        <v>2017</v>
      </c>
      <c r="C1433" s="21" t="s">
        <v>166</v>
      </c>
      <c r="D1433" s="21" t="s">
        <v>166</v>
      </c>
      <c r="E1433" s="23">
        <v>108968</v>
      </c>
      <c r="F1433" s="20">
        <v>1801284.56</v>
      </c>
      <c r="G1433" s="30">
        <f t="shared" si="67"/>
        <v>1910252.56</v>
      </c>
      <c r="H1433" t="str">
        <f>IFERROR(VLOOKUP(C1433,Sheet1!$B$2:$C$25,2,FALSE),"")</f>
        <v/>
      </c>
      <c r="I1433">
        <f t="shared" si="68"/>
        <v>1613</v>
      </c>
    </row>
    <row r="1434" spans="1:9" x14ac:dyDescent="0.2">
      <c r="A1434" t="str">
        <f t="shared" si="66"/>
        <v/>
      </c>
      <c r="B1434" s="20">
        <v>2018</v>
      </c>
      <c r="C1434" s="21" t="s">
        <v>166</v>
      </c>
      <c r="D1434" s="21" t="s">
        <v>224</v>
      </c>
      <c r="E1434" s="23">
        <v>114416</v>
      </c>
      <c r="F1434" s="20">
        <v>1721538.0279999999</v>
      </c>
      <c r="G1434" s="30">
        <f t="shared" si="67"/>
        <v>1835954.0279999999</v>
      </c>
      <c r="H1434" t="str">
        <f>IFERROR(VLOOKUP(C1434,Sheet1!$B$2:$C$25,2,FALSE),"")</f>
        <v/>
      </c>
      <c r="I1434">
        <f t="shared" si="68"/>
        <v>1613</v>
      </c>
    </row>
    <row r="1435" spans="1:9" x14ac:dyDescent="0.2">
      <c r="A1435" t="str">
        <f t="shared" si="66"/>
        <v/>
      </c>
      <c r="B1435" s="20">
        <v>2019</v>
      </c>
      <c r="C1435" s="21" t="s">
        <v>166</v>
      </c>
      <c r="D1435" s="21" t="s">
        <v>166</v>
      </c>
      <c r="E1435" s="23">
        <v>120137</v>
      </c>
      <c r="F1435" s="20">
        <v>1728545.4029999999</v>
      </c>
      <c r="G1435" s="30">
        <f t="shared" si="67"/>
        <v>1848682.4029999999</v>
      </c>
      <c r="H1435" t="str">
        <f>IFERROR(VLOOKUP(C1435,Sheet1!$B$2:$C$25,2,FALSE),"")</f>
        <v/>
      </c>
      <c r="I1435">
        <f t="shared" si="68"/>
        <v>1613</v>
      </c>
    </row>
    <row r="1436" spans="1:9" x14ac:dyDescent="0.2">
      <c r="A1436" t="str">
        <f t="shared" si="66"/>
        <v/>
      </c>
      <c r="B1436" s="20">
        <v>2020</v>
      </c>
      <c r="C1436" s="21" t="s">
        <v>166</v>
      </c>
      <c r="D1436" s="21" t="s">
        <v>166</v>
      </c>
      <c r="E1436" s="23">
        <v>126144</v>
      </c>
      <c r="F1436" s="20">
        <v>1763410.4809999999</v>
      </c>
      <c r="G1436" s="30">
        <f t="shared" si="67"/>
        <v>1889554.4809999999</v>
      </c>
      <c r="H1436" t="str">
        <f>IFERROR(VLOOKUP(C1436,Sheet1!$B$2:$C$25,2,FALSE),"")</f>
        <v/>
      </c>
      <c r="I1436">
        <f t="shared" si="68"/>
        <v>1613</v>
      </c>
    </row>
    <row r="1437" spans="1:9" x14ac:dyDescent="0.2">
      <c r="A1437" t="str">
        <f t="shared" si="66"/>
        <v/>
      </c>
      <c r="B1437" s="20">
        <v>2021</v>
      </c>
      <c r="C1437" s="21" t="s">
        <v>166</v>
      </c>
      <c r="D1437" s="20" t="s">
        <v>166</v>
      </c>
      <c r="E1437" s="23" t="s">
        <v>269</v>
      </c>
      <c r="F1437" s="20">
        <v>0</v>
      </c>
      <c r="G1437" s="30">
        <f t="shared" si="67"/>
        <v>0</v>
      </c>
      <c r="H1437" t="str">
        <f>IFERROR(VLOOKUP(C1437,Sheet1!$B$2:$C$25,2,FALSE),"")</f>
        <v/>
      </c>
      <c r="I1437">
        <f t="shared" si="68"/>
        <v>1613</v>
      </c>
    </row>
    <row r="1438" spans="1:9" x14ac:dyDescent="0.2">
      <c r="A1438" t="str">
        <f t="shared" si="66"/>
        <v/>
      </c>
      <c r="B1438" s="20">
        <v>2022</v>
      </c>
      <c r="C1438" s="21" t="s">
        <v>166</v>
      </c>
      <c r="D1438" s="21" t="s">
        <v>166</v>
      </c>
      <c r="E1438" s="23" t="s">
        <v>269</v>
      </c>
      <c r="F1438" s="20">
        <v>0</v>
      </c>
      <c r="G1438" s="30">
        <f t="shared" si="67"/>
        <v>0</v>
      </c>
      <c r="H1438" t="str">
        <f>IFERROR(VLOOKUP(C1438,Sheet1!$B$2:$C$25,2,FALSE),"")</f>
        <v/>
      </c>
      <c r="I1438">
        <f t="shared" si="68"/>
        <v>1613</v>
      </c>
    </row>
    <row r="1439" spans="1:9" x14ac:dyDescent="0.2">
      <c r="A1439" t="str">
        <f t="shared" si="66"/>
        <v/>
      </c>
      <c r="B1439" s="20">
        <v>2023</v>
      </c>
      <c r="C1439" s="21" t="s">
        <v>166</v>
      </c>
      <c r="D1439" s="21" t="s">
        <v>166</v>
      </c>
      <c r="E1439" s="23" t="s">
        <v>269</v>
      </c>
      <c r="F1439" s="20">
        <v>0</v>
      </c>
      <c r="G1439" s="30">
        <f t="shared" si="67"/>
        <v>0</v>
      </c>
      <c r="H1439" t="str">
        <f>IFERROR(VLOOKUP(C1439,Sheet1!$B$2:$C$25,2,FALSE),"")</f>
        <v/>
      </c>
      <c r="I1439">
        <f t="shared" si="68"/>
        <v>1613</v>
      </c>
    </row>
    <row r="1440" spans="1:9" x14ac:dyDescent="0.2">
      <c r="A1440" t="str">
        <f t="shared" si="66"/>
        <v/>
      </c>
      <c r="B1440" s="20">
        <v>2018</v>
      </c>
      <c r="C1440" s="21" t="s">
        <v>167</v>
      </c>
      <c r="D1440" s="21" t="s">
        <v>225</v>
      </c>
      <c r="E1440" s="23">
        <v>81595</v>
      </c>
      <c r="F1440" s="20">
        <v>1227703.253</v>
      </c>
      <c r="G1440" s="30">
        <f t="shared" si="67"/>
        <v>1309298.253</v>
      </c>
      <c r="H1440" t="str">
        <f>IFERROR(VLOOKUP(C1440,Sheet1!$B$2:$C$25,2,FALSE),"")</f>
        <v/>
      </c>
      <c r="I1440">
        <f t="shared" si="68"/>
        <v>1613</v>
      </c>
    </row>
    <row r="1441" spans="1:9" x14ac:dyDescent="0.2">
      <c r="A1441" t="str">
        <f t="shared" si="66"/>
        <v/>
      </c>
      <c r="B1441" s="20">
        <v>2015</v>
      </c>
      <c r="C1441" s="21" t="s">
        <v>237</v>
      </c>
      <c r="D1441" s="21" t="s">
        <v>167</v>
      </c>
      <c r="E1441" s="23">
        <v>98254</v>
      </c>
      <c r="F1441" s="20">
        <v>1541315.7849999999</v>
      </c>
      <c r="G1441" s="30">
        <f t="shared" si="67"/>
        <v>1639569.7849999999</v>
      </c>
      <c r="H1441" t="str">
        <f>IFERROR(VLOOKUP(C1441,Sheet1!$B$2:$C$25,2,FALSE),"")</f>
        <v/>
      </c>
      <c r="I1441">
        <f t="shared" si="68"/>
        <v>1613</v>
      </c>
    </row>
    <row r="1442" spans="1:9" x14ac:dyDescent="0.2">
      <c r="A1442" t="str">
        <f t="shared" si="66"/>
        <v/>
      </c>
      <c r="B1442" s="20">
        <v>2016</v>
      </c>
      <c r="C1442" s="21" t="s">
        <v>237</v>
      </c>
      <c r="D1442" s="21" t="s">
        <v>167</v>
      </c>
      <c r="E1442" s="23">
        <v>86845</v>
      </c>
      <c r="F1442" s="20">
        <v>1355549.527</v>
      </c>
      <c r="G1442" s="30">
        <f t="shared" si="67"/>
        <v>1442394.527</v>
      </c>
      <c r="H1442" t="str">
        <f>IFERROR(VLOOKUP(C1442,Sheet1!$B$2:$C$25,2,FALSE),"")</f>
        <v/>
      </c>
      <c r="I1442">
        <f t="shared" si="68"/>
        <v>1613</v>
      </c>
    </row>
    <row r="1443" spans="1:9" x14ac:dyDescent="0.2">
      <c r="A1443" t="str">
        <f t="shared" si="66"/>
        <v/>
      </c>
      <c r="B1443" s="20">
        <v>2017</v>
      </c>
      <c r="C1443" s="21" t="s">
        <v>237</v>
      </c>
      <c r="D1443" s="21" t="s">
        <v>167</v>
      </c>
      <c r="E1443" s="23">
        <v>82855</v>
      </c>
      <c r="F1443" s="20">
        <v>1369626.2409999999</v>
      </c>
      <c r="G1443" s="30">
        <f t="shared" si="67"/>
        <v>1452481.2409999999</v>
      </c>
      <c r="H1443" t="str">
        <f>IFERROR(VLOOKUP(C1443,Sheet1!$B$2:$C$25,2,FALSE),"")</f>
        <v/>
      </c>
      <c r="I1443">
        <f t="shared" si="68"/>
        <v>1613</v>
      </c>
    </row>
    <row r="1444" spans="1:9" x14ac:dyDescent="0.2">
      <c r="A1444" t="str">
        <f t="shared" si="66"/>
        <v/>
      </c>
      <c r="B1444" s="20">
        <v>2019</v>
      </c>
      <c r="C1444" s="21" t="s">
        <v>237</v>
      </c>
      <c r="D1444" s="21" t="s">
        <v>167</v>
      </c>
      <c r="E1444" s="23">
        <v>99861</v>
      </c>
      <c r="F1444" s="20">
        <v>1436811.91</v>
      </c>
      <c r="G1444" s="30">
        <f t="shared" si="67"/>
        <v>1536672.91</v>
      </c>
      <c r="H1444" t="str">
        <f>IFERROR(VLOOKUP(C1444,Sheet1!$B$2:$C$25,2,FALSE),"")</f>
        <v/>
      </c>
      <c r="I1444">
        <f t="shared" si="68"/>
        <v>1613</v>
      </c>
    </row>
    <row r="1445" spans="1:9" x14ac:dyDescent="0.2">
      <c r="A1445" t="str">
        <f t="shared" si="66"/>
        <v/>
      </c>
      <c r="B1445" s="20">
        <v>2020</v>
      </c>
      <c r="C1445" s="21" t="s">
        <v>237</v>
      </c>
      <c r="D1445" s="21" t="s">
        <v>167</v>
      </c>
      <c r="E1445" s="23">
        <v>99951</v>
      </c>
      <c r="F1445" s="20">
        <v>1397249.5</v>
      </c>
      <c r="G1445" s="30">
        <f t="shared" si="67"/>
        <v>1497200.5</v>
      </c>
      <c r="H1445" t="str">
        <f>IFERROR(VLOOKUP(C1445,Sheet1!$B$2:$C$25,2,FALSE),"")</f>
        <v/>
      </c>
      <c r="I1445">
        <f t="shared" si="68"/>
        <v>1613</v>
      </c>
    </row>
    <row r="1446" spans="1:9" x14ac:dyDescent="0.2">
      <c r="A1446" t="str">
        <f t="shared" si="66"/>
        <v/>
      </c>
      <c r="B1446" s="20">
        <v>2021</v>
      </c>
      <c r="C1446" s="21" t="s">
        <v>237</v>
      </c>
      <c r="D1446" s="20" t="s">
        <v>167</v>
      </c>
      <c r="E1446" s="23">
        <v>213162</v>
      </c>
      <c r="F1446" s="20">
        <v>2782613.59</v>
      </c>
      <c r="G1446" s="30">
        <f t="shared" si="67"/>
        <v>2995775.59</v>
      </c>
      <c r="H1446" t="str">
        <f>IFERROR(VLOOKUP(C1446,Sheet1!$B$2:$C$25,2,FALSE),"")</f>
        <v/>
      </c>
      <c r="I1446">
        <f t="shared" si="68"/>
        <v>1613</v>
      </c>
    </row>
    <row r="1447" spans="1:9" x14ac:dyDescent="0.2">
      <c r="A1447" t="str">
        <f t="shared" si="66"/>
        <v/>
      </c>
      <c r="B1447" s="20">
        <v>2022</v>
      </c>
      <c r="C1447" s="21" t="s">
        <v>237</v>
      </c>
      <c r="D1447" s="21" t="s">
        <v>167</v>
      </c>
      <c r="E1447" s="23">
        <v>73437</v>
      </c>
      <c r="F1447" s="20">
        <v>1009576.782</v>
      </c>
      <c r="G1447" s="30">
        <f t="shared" si="67"/>
        <v>1083013.7820000001</v>
      </c>
      <c r="H1447" t="str">
        <f>IFERROR(VLOOKUP(C1447,Sheet1!$B$2:$C$25,2,FALSE),"")</f>
        <v/>
      </c>
      <c r="I1447">
        <f t="shared" si="68"/>
        <v>1613</v>
      </c>
    </row>
    <row r="1448" spans="1:9" x14ac:dyDescent="0.2">
      <c r="A1448" t="str">
        <f t="shared" si="66"/>
        <v/>
      </c>
      <c r="B1448" s="20">
        <v>2022</v>
      </c>
      <c r="C1448" s="21" t="s">
        <v>237</v>
      </c>
      <c r="D1448" s="21" t="s">
        <v>237</v>
      </c>
      <c r="E1448" s="23">
        <v>122690</v>
      </c>
      <c r="F1448" s="20">
        <v>1686683.4890000001</v>
      </c>
      <c r="G1448" s="30">
        <f t="shared" si="67"/>
        <v>1809373.4890000001</v>
      </c>
      <c r="H1448" t="str">
        <f>IFERROR(VLOOKUP(C1448,Sheet1!$B$2:$C$25,2,FALSE),"")</f>
        <v/>
      </c>
      <c r="I1448">
        <f t="shared" si="68"/>
        <v>1613</v>
      </c>
    </row>
    <row r="1449" spans="1:9" x14ac:dyDescent="0.2">
      <c r="A1449" t="str">
        <f t="shared" si="66"/>
        <v/>
      </c>
      <c r="B1449" s="20">
        <v>2023</v>
      </c>
      <c r="C1449" s="21" t="s">
        <v>237</v>
      </c>
      <c r="D1449" s="21" t="s">
        <v>167</v>
      </c>
      <c r="E1449" s="23">
        <v>66096</v>
      </c>
      <c r="F1449" s="20">
        <v>884613.14289999998</v>
      </c>
      <c r="G1449" s="30">
        <f t="shared" si="67"/>
        <v>950709.14289999998</v>
      </c>
      <c r="H1449" t="str">
        <f>IFERROR(VLOOKUP(C1449,Sheet1!$B$2:$C$25,2,FALSE),"")</f>
        <v/>
      </c>
      <c r="I1449">
        <f t="shared" si="68"/>
        <v>1613</v>
      </c>
    </row>
    <row r="1450" spans="1:9" x14ac:dyDescent="0.2">
      <c r="A1450" t="str">
        <f t="shared" si="66"/>
        <v/>
      </c>
      <c r="B1450" s="20">
        <v>2023</v>
      </c>
      <c r="C1450" s="21" t="s">
        <v>237</v>
      </c>
      <c r="D1450" s="21" t="s">
        <v>237</v>
      </c>
      <c r="E1450" s="23">
        <v>189892</v>
      </c>
      <c r="F1450" s="20">
        <v>2541469.3620000002</v>
      </c>
      <c r="G1450" s="30">
        <f t="shared" si="67"/>
        <v>2731361.3620000002</v>
      </c>
      <c r="H1450" t="str">
        <f>IFERROR(VLOOKUP(C1450,Sheet1!$B$2:$C$25,2,FALSE),"")</f>
        <v/>
      </c>
      <c r="I1450">
        <f t="shared" si="68"/>
        <v>1613</v>
      </c>
    </row>
    <row r="1451" spans="1:9" x14ac:dyDescent="0.2">
      <c r="A1451" t="str">
        <f t="shared" si="66"/>
        <v/>
      </c>
      <c r="B1451" s="20">
        <v>2015</v>
      </c>
      <c r="C1451" s="21" t="s">
        <v>168</v>
      </c>
      <c r="D1451" s="21" t="s">
        <v>168</v>
      </c>
      <c r="E1451" s="23">
        <v>33898</v>
      </c>
      <c r="F1451" s="20">
        <v>531759.75</v>
      </c>
      <c r="G1451" s="30">
        <f t="shared" si="67"/>
        <v>565657.75</v>
      </c>
      <c r="H1451" t="str">
        <f>IFERROR(VLOOKUP(C1451,Sheet1!$B$2:$C$25,2,FALSE),"")</f>
        <v/>
      </c>
      <c r="I1451">
        <f t="shared" si="68"/>
        <v>1613</v>
      </c>
    </row>
    <row r="1452" spans="1:9" x14ac:dyDescent="0.2">
      <c r="A1452" t="str">
        <f t="shared" si="66"/>
        <v/>
      </c>
      <c r="B1452" s="20">
        <v>2016</v>
      </c>
      <c r="C1452" s="21" t="s">
        <v>168</v>
      </c>
      <c r="D1452" s="21" t="s">
        <v>168</v>
      </c>
      <c r="E1452" s="23">
        <v>38676</v>
      </c>
      <c r="F1452" s="20">
        <v>603687.41460000002</v>
      </c>
      <c r="G1452" s="30">
        <f t="shared" si="67"/>
        <v>642363.41460000002</v>
      </c>
      <c r="H1452" t="str">
        <f>IFERROR(VLOOKUP(C1452,Sheet1!$B$2:$C$25,2,FALSE),"")</f>
        <v/>
      </c>
      <c r="I1452">
        <f t="shared" si="68"/>
        <v>1613</v>
      </c>
    </row>
    <row r="1453" spans="1:9" x14ac:dyDescent="0.2">
      <c r="A1453" t="str">
        <f t="shared" si="66"/>
        <v/>
      </c>
      <c r="B1453" s="20">
        <v>2017</v>
      </c>
      <c r="C1453" s="21" t="s">
        <v>168</v>
      </c>
      <c r="D1453" s="21" t="s">
        <v>168</v>
      </c>
      <c r="E1453" s="23">
        <v>38025</v>
      </c>
      <c r="F1453" s="20">
        <v>628568.43649999995</v>
      </c>
      <c r="G1453" s="30">
        <f t="shared" si="67"/>
        <v>666593.43649999995</v>
      </c>
      <c r="H1453" t="str">
        <f>IFERROR(VLOOKUP(C1453,Sheet1!$B$2:$C$25,2,FALSE),"")</f>
        <v/>
      </c>
      <c r="I1453">
        <f t="shared" si="68"/>
        <v>1613</v>
      </c>
    </row>
    <row r="1454" spans="1:9" x14ac:dyDescent="0.2">
      <c r="A1454" t="str">
        <f t="shared" si="66"/>
        <v/>
      </c>
      <c r="B1454" s="20">
        <v>2018</v>
      </c>
      <c r="C1454" s="21" t="s">
        <v>168</v>
      </c>
      <c r="D1454" s="21" t="s">
        <v>168</v>
      </c>
      <c r="E1454" s="23">
        <v>42980</v>
      </c>
      <c r="F1454" s="20">
        <v>646690.18709999998</v>
      </c>
      <c r="G1454" s="30">
        <f t="shared" si="67"/>
        <v>689670.18709999998</v>
      </c>
      <c r="H1454" t="str">
        <f>IFERROR(VLOOKUP(C1454,Sheet1!$B$2:$C$25,2,FALSE),"")</f>
        <v/>
      </c>
      <c r="I1454">
        <f t="shared" si="68"/>
        <v>1613</v>
      </c>
    </row>
    <row r="1455" spans="1:9" x14ac:dyDescent="0.2">
      <c r="A1455" t="str">
        <f t="shared" si="66"/>
        <v/>
      </c>
      <c r="B1455" s="20">
        <v>2019</v>
      </c>
      <c r="C1455" s="21" t="s">
        <v>168</v>
      </c>
      <c r="D1455" s="21" t="s">
        <v>168</v>
      </c>
      <c r="E1455" s="23">
        <v>48956</v>
      </c>
      <c r="F1455" s="20">
        <v>704384.73369999998</v>
      </c>
      <c r="G1455" s="30">
        <f t="shared" si="67"/>
        <v>753340.73369999998</v>
      </c>
      <c r="H1455" t="str">
        <f>IFERROR(VLOOKUP(C1455,Sheet1!$B$2:$C$25,2,FALSE),"")</f>
        <v/>
      </c>
      <c r="I1455">
        <f t="shared" si="68"/>
        <v>1613</v>
      </c>
    </row>
    <row r="1456" spans="1:9" x14ac:dyDescent="0.2">
      <c r="A1456" t="str">
        <f t="shared" si="66"/>
        <v/>
      </c>
      <c r="B1456" s="20">
        <v>2020</v>
      </c>
      <c r="C1456" s="21" t="s">
        <v>168</v>
      </c>
      <c r="D1456" s="21" t="s">
        <v>168</v>
      </c>
      <c r="E1456" s="23">
        <v>32852</v>
      </c>
      <c r="F1456" s="20">
        <v>459249.43800000002</v>
      </c>
      <c r="G1456" s="30">
        <f t="shared" si="67"/>
        <v>492101.43800000002</v>
      </c>
      <c r="H1456" t="str">
        <f>IFERROR(VLOOKUP(C1456,Sheet1!$B$2:$C$25,2,FALSE),"")</f>
        <v/>
      </c>
      <c r="I1456">
        <f t="shared" si="68"/>
        <v>1613</v>
      </c>
    </row>
    <row r="1457" spans="1:9" x14ac:dyDescent="0.2">
      <c r="A1457" t="str">
        <f t="shared" si="66"/>
        <v/>
      </c>
      <c r="B1457" s="20">
        <v>2021</v>
      </c>
      <c r="C1457" s="21" t="s">
        <v>168</v>
      </c>
      <c r="D1457" s="20" t="s">
        <v>168</v>
      </c>
      <c r="E1457" s="23">
        <v>46624</v>
      </c>
      <c r="F1457" s="20">
        <v>608629.00529999996</v>
      </c>
      <c r="G1457" s="30">
        <f t="shared" si="67"/>
        <v>655253.00529999996</v>
      </c>
      <c r="H1457" t="str">
        <f>IFERROR(VLOOKUP(C1457,Sheet1!$B$2:$C$25,2,FALSE),"")</f>
        <v/>
      </c>
      <c r="I1457">
        <f t="shared" si="68"/>
        <v>1613</v>
      </c>
    </row>
    <row r="1458" spans="1:9" x14ac:dyDescent="0.2">
      <c r="A1458" t="str">
        <f t="shared" si="66"/>
        <v/>
      </c>
      <c r="B1458" s="20">
        <v>2022</v>
      </c>
      <c r="C1458" s="21" t="s">
        <v>168</v>
      </c>
      <c r="D1458" s="21" t="s">
        <v>168</v>
      </c>
      <c r="E1458" s="23">
        <v>46391</v>
      </c>
      <c r="F1458" s="20">
        <v>637761.29870000004</v>
      </c>
      <c r="G1458" s="30">
        <f t="shared" si="67"/>
        <v>684152.29870000004</v>
      </c>
      <c r="H1458" t="str">
        <f>IFERROR(VLOOKUP(C1458,Sheet1!$B$2:$C$25,2,FALSE),"")</f>
        <v/>
      </c>
      <c r="I1458">
        <f t="shared" si="68"/>
        <v>1613</v>
      </c>
    </row>
    <row r="1459" spans="1:9" x14ac:dyDescent="0.2">
      <c r="A1459" t="str">
        <f t="shared" si="66"/>
        <v/>
      </c>
      <c r="B1459" s="20">
        <v>2023</v>
      </c>
      <c r="C1459" s="21" t="s">
        <v>168</v>
      </c>
      <c r="D1459" s="21" t="s">
        <v>168</v>
      </c>
      <c r="E1459" s="23">
        <v>59405</v>
      </c>
      <c r="F1459" s="20">
        <v>795062.39040000003</v>
      </c>
      <c r="G1459" s="30">
        <f t="shared" si="67"/>
        <v>854467.39040000003</v>
      </c>
      <c r="H1459" t="str">
        <f>IFERROR(VLOOKUP(C1459,Sheet1!$B$2:$C$25,2,FALSE),"")</f>
        <v/>
      </c>
      <c r="I1459">
        <f t="shared" si="68"/>
        <v>1613</v>
      </c>
    </row>
    <row r="1460" spans="1:9" x14ac:dyDescent="0.2">
      <c r="A1460" t="str">
        <f t="shared" si="66"/>
        <v/>
      </c>
      <c r="B1460" s="20">
        <v>2020</v>
      </c>
      <c r="C1460" s="21" t="s">
        <v>235</v>
      </c>
      <c r="D1460" s="21" t="s">
        <v>235</v>
      </c>
      <c r="E1460" s="23">
        <v>47221</v>
      </c>
      <c r="F1460" s="20">
        <v>660118.6446</v>
      </c>
      <c r="G1460" s="30">
        <f t="shared" si="67"/>
        <v>707339.6446</v>
      </c>
      <c r="H1460" t="str">
        <f>IFERROR(VLOOKUP(C1460,Sheet1!$B$2:$C$25,2,FALSE),"")</f>
        <v/>
      </c>
      <c r="I1460">
        <f t="shared" si="68"/>
        <v>1613</v>
      </c>
    </row>
    <row r="1461" spans="1:9" x14ac:dyDescent="0.2">
      <c r="A1461" t="str">
        <f t="shared" si="66"/>
        <v/>
      </c>
      <c r="B1461" s="20">
        <v>2021</v>
      </c>
      <c r="C1461" s="21" t="s">
        <v>235</v>
      </c>
      <c r="D1461" s="20" t="s">
        <v>235</v>
      </c>
      <c r="E1461" s="23">
        <v>78889</v>
      </c>
      <c r="F1461" s="20">
        <v>1029815.8370000001</v>
      </c>
      <c r="G1461" s="30">
        <f t="shared" si="67"/>
        <v>1108704.8370000001</v>
      </c>
      <c r="H1461" t="str">
        <f>IFERROR(VLOOKUP(C1461,Sheet1!$B$2:$C$25,2,FALSE),"")</f>
        <v/>
      </c>
      <c r="I1461">
        <f t="shared" si="68"/>
        <v>1613</v>
      </c>
    </row>
    <row r="1462" spans="1:9" x14ac:dyDescent="0.2">
      <c r="A1462" t="str">
        <f t="shared" si="66"/>
        <v/>
      </c>
      <c r="B1462" s="20">
        <v>2022</v>
      </c>
      <c r="C1462" s="21" t="s">
        <v>235</v>
      </c>
      <c r="D1462" s="21" t="s">
        <v>235</v>
      </c>
      <c r="E1462" s="23">
        <v>62733</v>
      </c>
      <c r="F1462" s="20">
        <v>862423.30519999994</v>
      </c>
      <c r="G1462" s="30">
        <f t="shared" si="67"/>
        <v>925156.30519999994</v>
      </c>
      <c r="H1462" t="str">
        <f>IFERROR(VLOOKUP(C1462,Sheet1!$B$2:$C$25,2,FALSE),"")</f>
        <v/>
      </c>
      <c r="I1462">
        <f t="shared" si="68"/>
        <v>1613</v>
      </c>
    </row>
    <row r="1463" spans="1:9" x14ac:dyDescent="0.2">
      <c r="A1463" t="str">
        <f t="shared" si="66"/>
        <v/>
      </c>
      <c r="B1463" s="20">
        <v>2023</v>
      </c>
      <c r="C1463" s="21" t="s">
        <v>235</v>
      </c>
      <c r="D1463" s="21" t="s">
        <v>235</v>
      </c>
      <c r="E1463" s="23">
        <v>94601</v>
      </c>
      <c r="F1463" s="20">
        <v>1266117.2830000001</v>
      </c>
      <c r="G1463" s="30">
        <f t="shared" si="67"/>
        <v>1360718.2830000001</v>
      </c>
      <c r="H1463" t="str">
        <f>IFERROR(VLOOKUP(C1463,Sheet1!$B$2:$C$25,2,FALSE),"")</f>
        <v/>
      </c>
      <c r="I1463">
        <f t="shared" si="68"/>
        <v>1613</v>
      </c>
    </row>
    <row r="1464" spans="1:9" x14ac:dyDescent="0.2">
      <c r="A1464" t="str">
        <f t="shared" si="66"/>
        <v/>
      </c>
      <c r="B1464" s="20">
        <v>2015</v>
      </c>
      <c r="C1464" s="21" t="s">
        <v>169</v>
      </c>
      <c r="D1464" s="21" t="s">
        <v>169</v>
      </c>
      <c r="E1464" s="23">
        <v>596531</v>
      </c>
      <c r="F1464" s="20">
        <v>9357813.8949999996</v>
      </c>
      <c r="G1464" s="30">
        <f t="shared" si="67"/>
        <v>9954344.8949999996</v>
      </c>
      <c r="H1464" t="str">
        <f>IFERROR(VLOOKUP(C1464,Sheet1!$B$2:$C$25,2,FALSE),"")</f>
        <v/>
      </c>
      <c r="I1464">
        <f t="shared" si="68"/>
        <v>1613</v>
      </c>
    </row>
    <row r="1465" spans="1:9" x14ac:dyDescent="0.2">
      <c r="A1465" t="str">
        <f t="shared" si="66"/>
        <v/>
      </c>
      <c r="B1465" s="20">
        <v>2016</v>
      </c>
      <c r="C1465" s="21" t="s">
        <v>169</v>
      </c>
      <c r="D1465" s="21" t="s">
        <v>169</v>
      </c>
      <c r="E1465" s="23">
        <v>566946</v>
      </c>
      <c r="F1465" s="20">
        <v>8849368.2109999992</v>
      </c>
      <c r="G1465" s="30">
        <f t="shared" si="67"/>
        <v>9416314.2109999992</v>
      </c>
      <c r="H1465" t="str">
        <f>IFERROR(VLOOKUP(C1465,Sheet1!$B$2:$C$25,2,FALSE),"")</f>
        <v/>
      </c>
      <c r="I1465">
        <f t="shared" si="68"/>
        <v>1613</v>
      </c>
    </row>
    <row r="1466" spans="1:9" x14ac:dyDescent="0.2">
      <c r="A1466" t="str">
        <f t="shared" si="66"/>
        <v/>
      </c>
      <c r="B1466" s="20">
        <v>2017</v>
      </c>
      <c r="C1466" s="21" t="s">
        <v>169</v>
      </c>
      <c r="D1466" s="21" t="s">
        <v>169</v>
      </c>
      <c r="E1466" s="23">
        <v>560772</v>
      </c>
      <c r="F1466" s="20">
        <v>9269785.1219999995</v>
      </c>
      <c r="G1466" s="30">
        <f t="shared" si="67"/>
        <v>9830557.1219999995</v>
      </c>
      <c r="H1466" t="str">
        <f>IFERROR(VLOOKUP(C1466,Sheet1!$B$2:$C$25,2,FALSE),"")</f>
        <v/>
      </c>
      <c r="I1466">
        <f t="shared" si="68"/>
        <v>1613</v>
      </c>
    </row>
    <row r="1467" spans="1:9" x14ac:dyDescent="0.2">
      <c r="A1467" t="str">
        <f t="shared" si="66"/>
        <v/>
      </c>
      <c r="B1467" s="20">
        <v>2018</v>
      </c>
      <c r="C1467" s="21" t="s">
        <v>169</v>
      </c>
      <c r="D1467" s="21" t="s">
        <v>169</v>
      </c>
      <c r="E1467" s="23">
        <v>605034</v>
      </c>
      <c r="F1467" s="20">
        <v>9103526.0739999991</v>
      </c>
      <c r="G1467" s="30">
        <f t="shared" si="67"/>
        <v>9708560.0739999991</v>
      </c>
      <c r="H1467" t="str">
        <f>IFERROR(VLOOKUP(C1467,Sheet1!$B$2:$C$25,2,FALSE),"")</f>
        <v/>
      </c>
      <c r="I1467">
        <f t="shared" si="68"/>
        <v>1613</v>
      </c>
    </row>
    <row r="1468" spans="1:9" x14ac:dyDescent="0.2">
      <c r="A1468" t="str">
        <f t="shared" si="66"/>
        <v/>
      </c>
      <c r="B1468" s="20">
        <v>2019</v>
      </c>
      <c r="C1468" s="21" t="s">
        <v>169</v>
      </c>
      <c r="D1468" s="21" t="s">
        <v>169</v>
      </c>
      <c r="E1468" s="23">
        <v>634587</v>
      </c>
      <c r="F1468" s="20">
        <v>9130513.0109999999</v>
      </c>
      <c r="G1468" s="30">
        <f t="shared" si="67"/>
        <v>9765100.0109999999</v>
      </c>
      <c r="H1468" t="str">
        <f>IFERROR(VLOOKUP(C1468,Sheet1!$B$2:$C$25,2,FALSE),"")</f>
        <v/>
      </c>
      <c r="I1468">
        <f t="shared" si="68"/>
        <v>1613</v>
      </c>
    </row>
    <row r="1469" spans="1:9" x14ac:dyDescent="0.2">
      <c r="A1469" t="str">
        <f t="shared" si="66"/>
        <v/>
      </c>
      <c r="B1469" s="20">
        <v>2020</v>
      </c>
      <c r="C1469" s="21" t="s">
        <v>169</v>
      </c>
      <c r="D1469" s="21" t="s">
        <v>169</v>
      </c>
      <c r="E1469" s="23">
        <v>695060</v>
      </c>
      <c r="F1469" s="20">
        <v>9716483.4519999996</v>
      </c>
      <c r="G1469" s="30">
        <f t="shared" si="67"/>
        <v>10411543.452</v>
      </c>
      <c r="H1469" t="str">
        <f>IFERROR(VLOOKUP(C1469,Sheet1!$B$2:$C$25,2,FALSE),"")</f>
        <v/>
      </c>
      <c r="I1469">
        <f t="shared" si="68"/>
        <v>1613</v>
      </c>
    </row>
    <row r="1470" spans="1:9" x14ac:dyDescent="0.2">
      <c r="A1470" t="str">
        <f t="shared" si="66"/>
        <v/>
      </c>
      <c r="B1470" s="20">
        <v>2021</v>
      </c>
      <c r="C1470" s="21" t="s">
        <v>169</v>
      </c>
      <c r="D1470" s="20" t="s">
        <v>169</v>
      </c>
      <c r="E1470" s="23">
        <v>879420</v>
      </c>
      <c r="F1470" s="20">
        <v>11479935.65</v>
      </c>
      <c r="G1470" s="30">
        <f t="shared" si="67"/>
        <v>12359355.65</v>
      </c>
      <c r="H1470" t="str">
        <f>IFERROR(VLOOKUP(C1470,Sheet1!$B$2:$C$25,2,FALSE),"")</f>
        <v/>
      </c>
      <c r="I1470">
        <f t="shared" si="68"/>
        <v>1613</v>
      </c>
    </row>
    <row r="1471" spans="1:9" x14ac:dyDescent="0.2">
      <c r="A1471" t="str">
        <f t="shared" si="66"/>
        <v/>
      </c>
      <c r="B1471" s="20">
        <v>2022</v>
      </c>
      <c r="C1471" s="21" t="s">
        <v>169</v>
      </c>
      <c r="D1471" s="21" t="s">
        <v>169</v>
      </c>
      <c r="E1471" s="23">
        <v>777372</v>
      </c>
      <c r="F1471" s="20">
        <v>10686938.77</v>
      </c>
      <c r="G1471" s="30">
        <f t="shared" si="67"/>
        <v>11464310.77</v>
      </c>
      <c r="H1471" t="str">
        <f>IFERROR(VLOOKUP(C1471,Sheet1!$B$2:$C$25,2,FALSE),"")</f>
        <v/>
      </c>
      <c r="I1471">
        <f t="shared" si="68"/>
        <v>1613</v>
      </c>
    </row>
    <row r="1472" spans="1:9" x14ac:dyDescent="0.2">
      <c r="A1472" t="str">
        <f t="shared" si="66"/>
        <v/>
      </c>
      <c r="B1472" s="20">
        <v>2023</v>
      </c>
      <c r="C1472" s="21" t="s">
        <v>169</v>
      </c>
      <c r="D1472" s="21" t="s">
        <v>169</v>
      </c>
      <c r="E1472" s="23">
        <v>836215</v>
      </c>
      <c r="F1472" s="20">
        <v>11191702.66</v>
      </c>
      <c r="G1472" s="30">
        <f t="shared" si="67"/>
        <v>12027917.66</v>
      </c>
      <c r="H1472" t="str">
        <f>IFERROR(VLOOKUP(C1472,Sheet1!$B$2:$C$25,2,FALSE),"")</f>
        <v/>
      </c>
      <c r="I1472">
        <f t="shared" si="68"/>
        <v>1613</v>
      </c>
    </row>
    <row r="1473" spans="1:9" x14ac:dyDescent="0.2">
      <c r="A1473" t="str">
        <f t="shared" si="66"/>
        <v/>
      </c>
      <c r="B1473" s="20">
        <v>2015</v>
      </c>
      <c r="C1473" s="21" t="s">
        <v>170</v>
      </c>
      <c r="D1473" s="21" t="s">
        <v>170</v>
      </c>
      <c r="E1473" s="23">
        <v>1066694</v>
      </c>
      <c r="F1473" s="20">
        <v>16733286.17</v>
      </c>
      <c r="G1473" s="30">
        <f t="shared" si="67"/>
        <v>17799980.170000002</v>
      </c>
      <c r="H1473" t="str">
        <f>IFERROR(VLOOKUP(C1473,Sheet1!$B$2:$C$25,2,FALSE),"")</f>
        <v/>
      </c>
      <c r="I1473">
        <f t="shared" si="68"/>
        <v>1613</v>
      </c>
    </row>
    <row r="1474" spans="1:9" x14ac:dyDescent="0.2">
      <c r="A1474" t="str">
        <f t="shared" si="66"/>
        <v/>
      </c>
      <c r="B1474" s="20">
        <v>2016</v>
      </c>
      <c r="C1474" s="21" t="s">
        <v>170</v>
      </c>
      <c r="D1474" s="21" t="s">
        <v>170</v>
      </c>
      <c r="E1474" s="23">
        <v>1003807</v>
      </c>
      <c r="F1474" s="20">
        <v>15668260.74</v>
      </c>
      <c r="G1474" s="30">
        <f t="shared" si="67"/>
        <v>16672067.74</v>
      </c>
      <c r="H1474" t="str">
        <f>IFERROR(VLOOKUP(C1474,Sheet1!$B$2:$C$25,2,FALSE),"")</f>
        <v/>
      </c>
      <c r="I1474">
        <f t="shared" si="68"/>
        <v>1613</v>
      </c>
    </row>
    <row r="1475" spans="1:9" x14ac:dyDescent="0.2">
      <c r="A1475" t="str">
        <f t="shared" ref="A1475:A1538" si="69">H1475</f>
        <v/>
      </c>
      <c r="B1475" s="20">
        <v>2017</v>
      </c>
      <c r="C1475" s="21" t="s">
        <v>170</v>
      </c>
      <c r="D1475" s="21" t="s">
        <v>170</v>
      </c>
      <c r="E1475" s="23">
        <v>982515</v>
      </c>
      <c r="F1475" s="20">
        <v>16241365.35</v>
      </c>
      <c r="G1475" s="30">
        <f t="shared" ref="G1475:G1538" si="70">SUM(E1475:F1475)</f>
        <v>17223880.350000001</v>
      </c>
      <c r="H1475" t="str">
        <f>IFERROR(VLOOKUP(C1475,Sheet1!$B$2:$C$25,2,FALSE),"")</f>
        <v/>
      </c>
      <c r="I1475">
        <f t="shared" ref="I1475:I1538" si="71">COUNTIF($H$2:$H$1812,H1475)</f>
        <v>1613</v>
      </c>
    </row>
    <row r="1476" spans="1:9" x14ac:dyDescent="0.2">
      <c r="A1476" t="str">
        <f t="shared" si="69"/>
        <v/>
      </c>
      <c r="B1476" s="20">
        <v>2018</v>
      </c>
      <c r="C1476" s="21" t="s">
        <v>170</v>
      </c>
      <c r="D1476" s="21" t="s">
        <v>170</v>
      </c>
      <c r="E1476" s="23">
        <v>1084960</v>
      </c>
      <c r="F1476" s="20">
        <v>16324639.029999999</v>
      </c>
      <c r="G1476" s="30">
        <f t="shared" si="70"/>
        <v>17409599.030000001</v>
      </c>
      <c r="H1476" t="str">
        <f>IFERROR(VLOOKUP(C1476,Sheet1!$B$2:$C$25,2,FALSE),"")</f>
        <v/>
      </c>
      <c r="I1476">
        <f t="shared" si="71"/>
        <v>1613</v>
      </c>
    </row>
    <row r="1477" spans="1:9" x14ac:dyDescent="0.2">
      <c r="A1477" t="str">
        <f t="shared" si="69"/>
        <v/>
      </c>
      <c r="B1477" s="20">
        <v>2019</v>
      </c>
      <c r="C1477" s="21" t="s">
        <v>170</v>
      </c>
      <c r="D1477" s="21" t="s">
        <v>170</v>
      </c>
      <c r="E1477" s="23">
        <v>1169154</v>
      </c>
      <c r="F1477" s="20">
        <v>16821926.399999999</v>
      </c>
      <c r="G1477" s="30">
        <f t="shared" si="70"/>
        <v>17991080.399999999</v>
      </c>
      <c r="H1477" t="str">
        <f>IFERROR(VLOOKUP(C1477,Sheet1!$B$2:$C$25,2,FALSE),"")</f>
        <v/>
      </c>
      <c r="I1477">
        <f t="shared" si="71"/>
        <v>1613</v>
      </c>
    </row>
    <row r="1478" spans="1:9" x14ac:dyDescent="0.2">
      <c r="A1478" t="str">
        <f t="shared" si="69"/>
        <v/>
      </c>
      <c r="B1478" s="20">
        <v>2020</v>
      </c>
      <c r="C1478" s="21" t="s">
        <v>170</v>
      </c>
      <c r="D1478" s="21" t="s">
        <v>170</v>
      </c>
      <c r="E1478" s="23">
        <v>1323132</v>
      </c>
      <c r="F1478" s="20">
        <v>18496518.550000001</v>
      </c>
      <c r="G1478" s="30">
        <f t="shared" si="70"/>
        <v>19819650.550000001</v>
      </c>
      <c r="H1478" t="str">
        <f>IFERROR(VLOOKUP(C1478,Sheet1!$B$2:$C$25,2,FALSE),"")</f>
        <v/>
      </c>
      <c r="I1478">
        <f t="shared" si="71"/>
        <v>1613</v>
      </c>
    </row>
    <row r="1479" spans="1:9" x14ac:dyDescent="0.2">
      <c r="A1479" t="str">
        <f t="shared" si="69"/>
        <v/>
      </c>
      <c r="B1479" s="20">
        <v>2021</v>
      </c>
      <c r="C1479" s="21" t="s">
        <v>170</v>
      </c>
      <c r="D1479" s="20" t="s">
        <v>170</v>
      </c>
      <c r="E1479" s="23">
        <v>1460440</v>
      </c>
      <c r="F1479" s="20">
        <v>19064562.120000001</v>
      </c>
      <c r="G1479" s="30">
        <f t="shared" si="70"/>
        <v>20525002.120000001</v>
      </c>
      <c r="H1479" t="str">
        <f>IFERROR(VLOOKUP(C1479,Sheet1!$B$2:$C$25,2,FALSE),"")</f>
        <v/>
      </c>
      <c r="I1479">
        <f t="shared" si="71"/>
        <v>1613</v>
      </c>
    </row>
    <row r="1480" spans="1:9" x14ac:dyDescent="0.2">
      <c r="A1480" t="str">
        <f t="shared" si="69"/>
        <v/>
      </c>
      <c r="B1480" s="20">
        <v>2022</v>
      </c>
      <c r="C1480" s="21" t="s">
        <v>170</v>
      </c>
      <c r="D1480" s="21" t="s">
        <v>170</v>
      </c>
      <c r="E1480" s="23">
        <v>1545735</v>
      </c>
      <c r="F1480" s="20">
        <v>21250026.100000001</v>
      </c>
      <c r="G1480" s="30">
        <f t="shared" si="70"/>
        <v>22795761.100000001</v>
      </c>
      <c r="H1480" t="str">
        <f>IFERROR(VLOOKUP(C1480,Sheet1!$B$2:$C$25,2,FALSE),"")</f>
        <v/>
      </c>
      <c r="I1480">
        <f t="shared" si="71"/>
        <v>1613</v>
      </c>
    </row>
    <row r="1481" spans="1:9" x14ac:dyDescent="0.2">
      <c r="A1481" t="str">
        <f t="shared" si="69"/>
        <v/>
      </c>
      <c r="B1481" s="20">
        <v>2023</v>
      </c>
      <c r="C1481" s="21" t="s">
        <v>170</v>
      </c>
      <c r="D1481" s="21" t="s">
        <v>170</v>
      </c>
      <c r="E1481" s="23">
        <v>1495670</v>
      </c>
      <c r="F1481" s="20">
        <v>20017691.530000001</v>
      </c>
      <c r="G1481" s="30">
        <f t="shared" si="70"/>
        <v>21513361.530000001</v>
      </c>
      <c r="H1481" t="str">
        <f>IFERROR(VLOOKUP(C1481,Sheet1!$B$2:$C$25,2,FALSE),"")</f>
        <v/>
      </c>
      <c r="I1481">
        <f t="shared" si="71"/>
        <v>1613</v>
      </c>
    </row>
    <row r="1482" spans="1:9" x14ac:dyDescent="0.2">
      <c r="A1482" t="str">
        <f t="shared" si="69"/>
        <v/>
      </c>
      <c r="B1482" s="20">
        <v>2015</v>
      </c>
      <c r="C1482" s="21" t="s">
        <v>171</v>
      </c>
      <c r="D1482" s="21" t="s">
        <v>171</v>
      </c>
      <c r="E1482" s="23">
        <v>28736</v>
      </c>
      <c r="F1482" s="20">
        <v>450783.17820000002</v>
      </c>
      <c r="G1482" s="30">
        <f t="shared" si="70"/>
        <v>479519.17820000002</v>
      </c>
      <c r="H1482" t="str">
        <f>IFERROR(VLOOKUP(C1482,Sheet1!$B$2:$C$25,2,FALSE),"")</f>
        <v/>
      </c>
      <c r="I1482">
        <f t="shared" si="71"/>
        <v>1613</v>
      </c>
    </row>
    <row r="1483" spans="1:9" x14ac:dyDescent="0.2">
      <c r="A1483" t="str">
        <f t="shared" si="69"/>
        <v/>
      </c>
      <c r="B1483" s="20">
        <v>2016</v>
      </c>
      <c r="C1483" s="21" t="s">
        <v>171</v>
      </c>
      <c r="D1483" s="21" t="s">
        <v>171</v>
      </c>
      <c r="E1483" s="23">
        <v>17887</v>
      </c>
      <c r="F1483" s="20">
        <v>279195.28350000002</v>
      </c>
      <c r="G1483" s="30">
        <f t="shared" si="70"/>
        <v>297082.28350000002</v>
      </c>
      <c r="H1483" t="str">
        <f>IFERROR(VLOOKUP(C1483,Sheet1!$B$2:$C$25,2,FALSE),"")</f>
        <v/>
      </c>
      <c r="I1483">
        <f t="shared" si="71"/>
        <v>1613</v>
      </c>
    </row>
    <row r="1484" spans="1:9" x14ac:dyDescent="0.2">
      <c r="A1484" t="str">
        <f t="shared" si="69"/>
        <v/>
      </c>
      <c r="B1484" s="20">
        <v>2017</v>
      </c>
      <c r="C1484" s="21" t="s">
        <v>171</v>
      </c>
      <c r="D1484" s="21" t="s">
        <v>171</v>
      </c>
      <c r="E1484" s="23">
        <v>20668</v>
      </c>
      <c r="F1484" s="20">
        <v>341650.29440000001</v>
      </c>
      <c r="G1484" s="30">
        <f t="shared" si="70"/>
        <v>362318.29440000001</v>
      </c>
      <c r="H1484" t="str">
        <f>IFERROR(VLOOKUP(C1484,Sheet1!$B$2:$C$25,2,FALSE),"")</f>
        <v/>
      </c>
      <c r="I1484">
        <f t="shared" si="71"/>
        <v>1613</v>
      </c>
    </row>
    <row r="1485" spans="1:9" x14ac:dyDescent="0.2">
      <c r="A1485" t="str">
        <f t="shared" si="69"/>
        <v/>
      </c>
      <c r="B1485" s="20">
        <v>2018</v>
      </c>
      <c r="C1485" s="21" t="s">
        <v>171</v>
      </c>
      <c r="D1485" s="21" t="s">
        <v>171</v>
      </c>
      <c r="E1485" s="23">
        <v>20985</v>
      </c>
      <c r="F1485" s="20">
        <v>315746.7095</v>
      </c>
      <c r="G1485" s="30">
        <f t="shared" si="70"/>
        <v>336731.7095</v>
      </c>
      <c r="H1485" t="str">
        <f>IFERROR(VLOOKUP(C1485,Sheet1!$B$2:$C$25,2,FALSE),"")</f>
        <v/>
      </c>
      <c r="I1485">
        <f t="shared" si="71"/>
        <v>1613</v>
      </c>
    </row>
    <row r="1486" spans="1:9" x14ac:dyDescent="0.2">
      <c r="A1486" t="str">
        <f t="shared" si="69"/>
        <v/>
      </c>
      <c r="B1486" s="20">
        <v>2019</v>
      </c>
      <c r="C1486" s="21" t="s">
        <v>171</v>
      </c>
      <c r="D1486" s="21" t="s">
        <v>171</v>
      </c>
      <c r="E1486" s="23">
        <v>21008</v>
      </c>
      <c r="F1486" s="20">
        <v>302265.59529999999</v>
      </c>
      <c r="G1486" s="30">
        <f t="shared" si="70"/>
        <v>323273.59529999999</v>
      </c>
      <c r="H1486" t="str">
        <f>IFERROR(VLOOKUP(C1486,Sheet1!$B$2:$C$25,2,FALSE),"")</f>
        <v/>
      </c>
      <c r="I1486">
        <f t="shared" si="71"/>
        <v>1613</v>
      </c>
    </row>
    <row r="1487" spans="1:9" x14ac:dyDescent="0.2">
      <c r="A1487" t="str">
        <f t="shared" si="69"/>
        <v/>
      </c>
      <c r="B1487" s="20">
        <v>2020</v>
      </c>
      <c r="C1487" s="21" t="s">
        <v>171</v>
      </c>
      <c r="D1487" s="21" t="s">
        <v>171</v>
      </c>
      <c r="E1487" s="23">
        <v>22898</v>
      </c>
      <c r="F1487" s="20">
        <v>320099.03909999999</v>
      </c>
      <c r="G1487" s="30">
        <f t="shared" si="70"/>
        <v>342997.03909999999</v>
      </c>
      <c r="H1487" t="str">
        <f>IFERROR(VLOOKUP(C1487,Sheet1!$B$2:$C$25,2,FALSE),"")</f>
        <v/>
      </c>
      <c r="I1487">
        <f t="shared" si="71"/>
        <v>1613</v>
      </c>
    </row>
    <row r="1488" spans="1:9" x14ac:dyDescent="0.2">
      <c r="A1488" t="str">
        <f t="shared" si="69"/>
        <v/>
      </c>
      <c r="B1488" s="20">
        <v>2021</v>
      </c>
      <c r="C1488" s="21" t="s">
        <v>171</v>
      </c>
      <c r="D1488" s="20" t="s">
        <v>171</v>
      </c>
      <c r="E1488" s="23">
        <v>25073</v>
      </c>
      <c r="F1488" s="20">
        <v>327302.57059999998</v>
      </c>
      <c r="G1488" s="30">
        <f t="shared" si="70"/>
        <v>352375.57059999998</v>
      </c>
      <c r="H1488" t="str">
        <f>IFERROR(VLOOKUP(C1488,Sheet1!$B$2:$C$25,2,FALSE),"")</f>
        <v/>
      </c>
      <c r="I1488">
        <f t="shared" si="71"/>
        <v>1613</v>
      </c>
    </row>
    <row r="1489" spans="1:9" x14ac:dyDescent="0.2">
      <c r="A1489" t="str">
        <f t="shared" si="69"/>
        <v/>
      </c>
      <c r="B1489" s="20">
        <v>2022</v>
      </c>
      <c r="C1489" s="21" t="s">
        <v>171</v>
      </c>
      <c r="D1489" s="21" t="s">
        <v>171</v>
      </c>
      <c r="E1489" s="23">
        <v>25639</v>
      </c>
      <c r="F1489" s="20">
        <v>352472.71960000001</v>
      </c>
      <c r="G1489" s="30">
        <f t="shared" si="70"/>
        <v>378111.71960000001</v>
      </c>
      <c r="H1489" t="str">
        <f>IFERROR(VLOOKUP(C1489,Sheet1!$B$2:$C$25,2,FALSE),"")</f>
        <v/>
      </c>
      <c r="I1489">
        <f t="shared" si="71"/>
        <v>1613</v>
      </c>
    </row>
    <row r="1490" spans="1:9" x14ac:dyDescent="0.2">
      <c r="A1490" t="str">
        <f t="shared" si="69"/>
        <v/>
      </c>
      <c r="B1490" s="20">
        <v>2023</v>
      </c>
      <c r="C1490" s="21" t="s">
        <v>171</v>
      </c>
      <c r="D1490" s="21" t="s">
        <v>171</v>
      </c>
      <c r="E1490" s="23">
        <v>26691</v>
      </c>
      <c r="F1490" s="20">
        <v>357225.99550000002</v>
      </c>
      <c r="G1490" s="30">
        <f t="shared" si="70"/>
        <v>383916.99550000002</v>
      </c>
      <c r="H1490" t="str">
        <f>IFERROR(VLOOKUP(C1490,Sheet1!$B$2:$C$25,2,FALSE),"")</f>
        <v/>
      </c>
      <c r="I1490">
        <f t="shared" si="71"/>
        <v>1613</v>
      </c>
    </row>
    <row r="1491" spans="1:9" x14ac:dyDescent="0.2">
      <c r="A1491">
        <f t="shared" si="69"/>
        <v>2400630</v>
      </c>
      <c r="B1491" s="20">
        <v>2015</v>
      </c>
      <c r="C1491" s="21" t="s">
        <v>172</v>
      </c>
      <c r="D1491" s="21" t="s">
        <v>172</v>
      </c>
      <c r="E1491" s="23">
        <v>512633</v>
      </c>
      <c r="F1491" s="20">
        <v>8041701.4539999999</v>
      </c>
      <c r="G1491" s="30">
        <f t="shared" si="70"/>
        <v>8554334.4539999999</v>
      </c>
      <c r="H1491">
        <f>IFERROR(VLOOKUP(C1491,Sheet1!$B$2:$C$25,2,FALSE),"")</f>
        <v>2400630</v>
      </c>
      <c r="I1491">
        <f t="shared" si="71"/>
        <v>9</v>
      </c>
    </row>
    <row r="1492" spans="1:9" x14ac:dyDescent="0.2">
      <c r="A1492">
        <f t="shared" si="69"/>
        <v>2400630</v>
      </c>
      <c r="B1492" s="20">
        <v>2016</v>
      </c>
      <c r="C1492" s="21" t="s">
        <v>172</v>
      </c>
      <c r="D1492" s="21" t="s">
        <v>172</v>
      </c>
      <c r="E1492" s="23">
        <v>429946</v>
      </c>
      <c r="F1492" s="20">
        <v>6710957.4189999998</v>
      </c>
      <c r="G1492" s="30">
        <f t="shared" si="70"/>
        <v>7140903.4189999998</v>
      </c>
      <c r="H1492">
        <f>IFERROR(VLOOKUP(C1492,Sheet1!$B$2:$C$25,2,FALSE),"")</f>
        <v>2400630</v>
      </c>
      <c r="I1492">
        <f t="shared" si="71"/>
        <v>9</v>
      </c>
    </row>
    <row r="1493" spans="1:9" x14ac:dyDescent="0.2">
      <c r="A1493">
        <f t="shared" si="69"/>
        <v>2400630</v>
      </c>
      <c r="B1493" s="20">
        <v>2017</v>
      </c>
      <c r="C1493" s="21" t="s">
        <v>172</v>
      </c>
      <c r="D1493" s="21" t="s">
        <v>172</v>
      </c>
      <c r="E1493" s="23">
        <v>377541</v>
      </c>
      <c r="F1493" s="20">
        <v>6240903.5130000003</v>
      </c>
      <c r="G1493" s="30">
        <f t="shared" si="70"/>
        <v>6618444.5130000003</v>
      </c>
      <c r="H1493">
        <f>IFERROR(VLOOKUP(C1493,Sheet1!$B$2:$C$25,2,FALSE),"")</f>
        <v>2400630</v>
      </c>
      <c r="I1493">
        <f t="shared" si="71"/>
        <v>9</v>
      </c>
    </row>
    <row r="1494" spans="1:9" x14ac:dyDescent="0.2">
      <c r="A1494">
        <f t="shared" si="69"/>
        <v>2400630</v>
      </c>
      <c r="B1494" s="20">
        <v>2018</v>
      </c>
      <c r="C1494" s="21" t="s">
        <v>172</v>
      </c>
      <c r="D1494" s="21" t="s">
        <v>172</v>
      </c>
      <c r="E1494" s="23">
        <v>396514</v>
      </c>
      <c r="F1494" s="20">
        <v>5966070.5640000002</v>
      </c>
      <c r="G1494" s="30">
        <f t="shared" si="70"/>
        <v>6362584.5640000002</v>
      </c>
      <c r="H1494">
        <f>IFERROR(VLOOKUP(C1494,Sheet1!$B$2:$C$25,2,FALSE),"")</f>
        <v>2400630</v>
      </c>
      <c r="I1494">
        <f t="shared" si="71"/>
        <v>9</v>
      </c>
    </row>
    <row r="1495" spans="1:9" x14ac:dyDescent="0.2">
      <c r="A1495">
        <f t="shared" si="69"/>
        <v>2400630</v>
      </c>
      <c r="B1495" s="20">
        <v>2019</v>
      </c>
      <c r="C1495" s="21" t="s">
        <v>172</v>
      </c>
      <c r="D1495" s="21" t="s">
        <v>172</v>
      </c>
      <c r="E1495" s="23">
        <v>424706</v>
      </c>
      <c r="F1495" s="20">
        <v>6110720.2939999998</v>
      </c>
      <c r="G1495" s="30">
        <f t="shared" si="70"/>
        <v>6535426.2939999998</v>
      </c>
      <c r="H1495">
        <f>IFERROR(VLOOKUP(C1495,Sheet1!$B$2:$C$25,2,FALSE),"")</f>
        <v>2400630</v>
      </c>
      <c r="I1495">
        <f t="shared" si="71"/>
        <v>9</v>
      </c>
    </row>
    <row r="1496" spans="1:9" x14ac:dyDescent="0.2">
      <c r="A1496">
        <f t="shared" si="69"/>
        <v>2400630</v>
      </c>
      <c r="B1496" s="20">
        <v>2020</v>
      </c>
      <c r="C1496" s="21" t="s">
        <v>172</v>
      </c>
      <c r="D1496" s="21" t="s">
        <v>172</v>
      </c>
      <c r="E1496" s="23">
        <v>452005</v>
      </c>
      <c r="F1496" s="20">
        <v>6318733.7819999997</v>
      </c>
      <c r="G1496" s="30">
        <f t="shared" si="70"/>
        <v>6770738.7819999997</v>
      </c>
      <c r="H1496">
        <f>IFERROR(VLOOKUP(C1496,Sheet1!$B$2:$C$25,2,FALSE),"")</f>
        <v>2400630</v>
      </c>
      <c r="I1496">
        <f t="shared" si="71"/>
        <v>9</v>
      </c>
    </row>
    <row r="1497" spans="1:9" x14ac:dyDescent="0.2">
      <c r="A1497">
        <f t="shared" si="69"/>
        <v>2400630</v>
      </c>
      <c r="B1497" s="20">
        <v>2021</v>
      </c>
      <c r="C1497" s="21" t="s">
        <v>172</v>
      </c>
      <c r="D1497" s="20" t="s">
        <v>172</v>
      </c>
      <c r="E1497" s="23">
        <v>534696</v>
      </c>
      <c r="F1497" s="20">
        <v>6979913.6629999997</v>
      </c>
      <c r="G1497" s="30">
        <f t="shared" si="70"/>
        <v>7514609.6629999997</v>
      </c>
      <c r="H1497">
        <f>IFERROR(VLOOKUP(C1497,Sheet1!$B$2:$C$25,2,FALSE),"")</f>
        <v>2400630</v>
      </c>
      <c r="I1497">
        <f t="shared" si="71"/>
        <v>9</v>
      </c>
    </row>
    <row r="1498" spans="1:9" x14ac:dyDescent="0.2">
      <c r="A1498">
        <f t="shared" si="69"/>
        <v>2400630</v>
      </c>
      <c r="B1498" s="20">
        <v>2022</v>
      </c>
      <c r="C1498" s="21" t="s">
        <v>172</v>
      </c>
      <c r="D1498" s="21" t="s">
        <v>172</v>
      </c>
      <c r="E1498" s="23">
        <v>572686</v>
      </c>
      <c r="F1498" s="20">
        <v>7873013.4529999997</v>
      </c>
      <c r="G1498" s="30">
        <f t="shared" si="70"/>
        <v>8445699.4529999997</v>
      </c>
      <c r="H1498">
        <f>IFERROR(VLOOKUP(C1498,Sheet1!$B$2:$C$25,2,FALSE),"")</f>
        <v>2400630</v>
      </c>
      <c r="I1498">
        <f t="shared" si="71"/>
        <v>9</v>
      </c>
    </row>
    <row r="1499" spans="1:9" x14ac:dyDescent="0.2">
      <c r="A1499">
        <f t="shared" si="69"/>
        <v>2400630</v>
      </c>
      <c r="B1499" s="20">
        <v>2023</v>
      </c>
      <c r="C1499" s="21" t="s">
        <v>172</v>
      </c>
      <c r="D1499" s="21" t="s">
        <v>172</v>
      </c>
      <c r="E1499" s="23">
        <v>613986</v>
      </c>
      <c r="F1499" s="20">
        <v>8217442.5860000001</v>
      </c>
      <c r="G1499" s="30">
        <f t="shared" si="70"/>
        <v>8831428.5859999992</v>
      </c>
      <c r="H1499">
        <f>IFERROR(VLOOKUP(C1499,Sheet1!$B$2:$C$25,2,FALSE),"")</f>
        <v>2400630</v>
      </c>
      <c r="I1499">
        <f t="shared" si="71"/>
        <v>9</v>
      </c>
    </row>
    <row r="1500" spans="1:9" x14ac:dyDescent="0.2">
      <c r="A1500" t="str">
        <f t="shared" si="69"/>
        <v/>
      </c>
      <c r="B1500" s="20">
        <v>2023</v>
      </c>
      <c r="C1500" s="21" t="s">
        <v>241</v>
      </c>
      <c r="D1500" s="21" t="s">
        <v>241</v>
      </c>
      <c r="E1500" s="23">
        <v>742139</v>
      </c>
      <c r="F1500" s="20">
        <v>9932611.8570000008</v>
      </c>
      <c r="G1500" s="30">
        <f t="shared" si="70"/>
        <v>10674750.857000001</v>
      </c>
      <c r="H1500" t="str">
        <f>IFERROR(VLOOKUP(C1500,Sheet1!$B$2:$C$25,2,FALSE),"")</f>
        <v/>
      </c>
      <c r="I1500">
        <f t="shared" si="71"/>
        <v>1613</v>
      </c>
    </row>
    <row r="1501" spans="1:9" x14ac:dyDescent="0.2">
      <c r="A1501" t="str">
        <f t="shared" si="69"/>
        <v/>
      </c>
      <c r="B1501" s="20">
        <v>2015</v>
      </c>
      <c r="C1501" s="21" t="s">
        <v>173</v>
      </c>
      <c r="D1501" s="21" t="s">
        <v>173</v>
      </c>
      <c r="E1501" s="23">
        <v>75383</v>
      </c>
      <c r="F1501" s="20">
        <v>1182537.1769999999</v>
      </c>
      <c r="G1501" s="30">
        <f t="shared" si="70"/>
        <v>1257920.1769999999</v>
      </c>
      <c r="H1501" t="str">
        <f>IFERROR(VLOOKUP(C1501,Sheet1!$B$2:$C$25,2,FALSE),"")</f>
        <v/>
      </c>
      <c r="I1501">
        <f t="shared" si="71"/>
        <v>1613</v>
      </c>
    </row>
    <row r="1502" spans="1:9" x14ac:dyDescent="0.2">
      <c r="A1502" t="str">
        <f t="shared" si="69"/>
        <v/>
      </c>
      <c r="B1502" s="20">
        <v>2016</v>
      </c>
      <c r="C1502" s="21" t="s">
        <v>173</v>
      </c>
      <c r="D1502" s="21" t="s">
        <v>173</v>
      </c>
      <c r="E1502" s="23">
        <v>63824</v>
      </c>
      <c r="F1502" s="20">
        <v>996218.47010000004</v>
      </c>
      <c r="G1502" s="30">
        <f t="shared" si="70"/>
        <v>1060042.4701</v>
      </c>
      <c r="H1502" t="str">
        <f>IFERROR(VLOOKUP(C1502,Sheet1!$B$2:$C$25,2,FALSE),"")</f>
        <v/>
      </c>
      <c r="I1502">
        <f t="shared" si="71"/>
        <v>1613</v>
      </c>
    </row>
    <row r="1503" spans="1:9" x14ac:dyDescent="0.2">
      <c r="A1503" t="str">
        <f t="shared" si="69"/>
        <v/>
      </c>
      <c r="B1503" s="20">
        <v>2017</v>
      </c>
      <c r="C1503" s="21" t="s">
        <v>173</v>
      </c>
      <c r="D1503" s="21" t="s">
        <v>173</v>
      </c>
      <c r="E1503" s="23">
        <v>64487</v>
      </c>
      <c r="F1503" s="20">
        <v>1065995.865</v>
      </c>
      <c r="G1503" s="30">
        <f t="shared" si="70"/>
        <v>1130482.865</v>
      </c>
      <c r="H1503" t="str">
        <f>IFERROR(VLOOKUP(C1503,Sheet1!$B$2:$C$25,2,FALSE),"")</f>
        <v/>
      </c>
      <c r="I1503">
        <f t="shared" si="71"/>
        <v>1613</v>
      </c>
    </row>
    <row r="1504" spans="1:9" x14ac:dyDescent="0.2">
      <c r="A1504" t="str">
        <f t="shared" si="69"/>
        <v/>
      </c>
      <c r="B1504" s="20">
        <v>2018</v>
      </c>
      <c r="C1504" s="21" t="s">
        <v>173</v>
      </c>
      <c r="D1504" s="21" t="s">
        <v>173</v>
      </c>
      <c r="E1504" s="23">
        <v>69008</v>
      </c>
      <c r="F1504" s="20">
        <v>1038315.4129999999</v>
      </c>
      <c r="G1504" s="30">
        <f t="shared" si="70"/>
        <v>1107323.4129999999</v>
      </c>
      <c r="H1504" t="str">
        <f>IFERROR(VLOOKUP(C1504,Sheet1!$B$2:$C$25,2,FALSE),"")</f>
        <v/>
      </c>
      <c r="I1504">
        <f t="shared" si="71"/>
        <v>1613</v>
      </c>
    </row>
    <row r="1505" spans="1:9" x14ac:dyDescent="0.2">
      <c r="A1505" t="str">
        <f t="shared" si="69"/>
        <v/>
      </c>
      <c r="B1505" s="20">
        <v>2019</v>
      </c>
      <c r="C1505" s="21" t="s">
        <v>173</v>
      </c>
      <c r="D1505" s="21" t="s">
        <v>173</v>
      </c>
      <c r="E1505" s="23">
        <v>70952</v>
      </c>
      <c r="F1505" s="20">
        <v>1020865.79</v>
      </c>
      <c r="G1505" s="30">
        <f t="shared" si="70"/>
        <v>1091817.79</v>
      </c>
      <c r="H1505" t="str">
        <f>IFERROR(VLOOKUP(C1505,Sheet1!$B$2:$C$25,2,FALSE),"")</f>
        <v/>
      </c>
      <c r="I1505">
        <f t="shared" si="71"/>
        <v>1613</v>
      </c>
    </row>
    <row r="1506" spans="1:9" x14ac:dyDescent="0.2">
      <c r="A1506" t="str">
        <f t="shared" si="69"/>
        <v/>
      </c>
      <c r="B1506" s="20">
        <v>2020</v>
      </c>
      <c r="C1506" s="21" t="s">
        <v>173</v>
      </c>
      <c r="D1506" s="21" t="s">
        <v>173</v>
      </c>
      <c r="E1506" s="23">
        <v>79987</v>
      </c>
      <c r="F1506" s="20">
        <v>1118165.8589999999</v>
      </c>
      <c r="G1506" s="30">
        <f t="shared" si="70"/>
        <v>1198152.8589999999</v>
      </c>
      <c r="H1506" t="str">
        <f>IFERROR(VLOOKUP(C1506,Sheet1!$B$2:$C$25,2,FALSE),"")</f>
        <v/>
      </c>
      <c r="I1506">
        <f t="shared" si="71"/>
        <v>1613</v>
      </c>
    </row>
    <row r="1507" spans="1:9" x14ac:dyDescent="0.2">
      <c r="A1507" t="str">
        <f t="shared" si="69"/>
        <v/>
      </c>
      <c r="B1507" s="20">
        <v>2021</v>
      </c>
      <c r="C1507" s="21" t="s">
        <v>173</v>
      </c>
      <c r="D1507" s="20" t="s">
        <v>173</v>
      </c>
      <c r="E1507" s="23">
        <v>96195</v>
      </c>
      <c r="F1507" s="20">
        <v>1255728.105</v>
      </c>
      <c r="G1507" s="30">
        <f t="shared" si="70"/>
        <v>1351923.105</v>
      </c>
      <c r="H1507" t="str">
        <f>IFERROR(VLOOKUP(C1507,Sheet1!$B$2:$C$25,2,FALSE),"")</f>
        <v/>
      </c>
      <c r="I1507">
        <f t="shared" si="71"/>
        <v>1613</v>
      </c>
    </row>
    <row r="1508" spans="1:9" x14ac:dyDescent="0.2">
      <c r="A1508" t="str">
        <f t="shared" si="69"/>
        <v/>
      </c>
      <c r="B1508" s="20">
        <v>2022</v>
      </c>
      <c r="C1508" s="21" t="s">
        <v>173</v>
      </c>
      <c r="D1508" s="21" t="s">
        <v>173</v>
      </c>
      <c r="E1508" s="23">
        <v>111585</v>
      </c>
      <c r="F1508" s="20">
        <v>1534017.2560000001</v>
      </c>
      <c r="G1508" s="30">
        <f t="shared" si="70"/>
        <v>1645602.2560000001</v>
      </c>
      <c r="H1508" t="str">
        <f>IFERROR(VLOOKUP(C1508,Sheet1!$B$2:$C$25,2,FALSE),"")</f>
        <v/>
      </c>
      <c r="I1508">
        <f t="shared" si="71"/>
        <v>1613</v>
      </c>
    </row>
    <row r="1509" spans="1:9" x14ac:dyDescent="0.2">
      <c r="A1509" t="str">
        <f t="shared" si="69"/>
        <v/>
      </c>
      <c r="B1509" s="20">
        <v>2023</v>
      </c>
      <c r="C1509" s="21" t="s">
        <v>173</v>
      </c>
      <c r="D1509" s="21" t="s">
        <v>173</v>
      </c>
      <c r="E1509" s="23">
        <v>128460</v>
      </c>
      <c r="F1509" s="20">
        <v>1719278.085</v>
      </c>
      <c r="G1509" s="30">
        <f t="shared" si="70"/>
        <v>1847738.085</v>
      </c>
      <c r="H1509" t="str">
        <f>IFERROR(VLOOKUP(C1509,Sheet1!$B$2:$C$25,2,FALSE),"")</f>
        <v/>
      </c>
      <c r="I1509">
        <f t="shared" si="71"/>
        <v>1613</v>
      </c>
    </row>
    <row r="1510" spans="1:9" x14ac:dyDescent="0.2">
      <c r="A1510" t="str">
        <f t="shared" si="69"/>
        <v/>
      </c>
      <c r="B1510" s="20">
        <v>2015</v>
      </c>
      <c r="C1510" s="21" t="s">
        <v>174</v>
      </c>
      <c r="D1510" s="21" t="s">
        <v>174</v>
      </c>
      <c r="E1510" s="23">
        <v>156950</v>
      </c>
      <c r="F1510" s="20">
        <v>2462083.0950000002</v>
      </c>
      <c r="G1510" s="30">
        <f t="shared" si="70"/>
        <v>2619033.0950000002</v>
      </c>
      <c r="H1510" t="str">
        <f>IFERROR(VLOOKUP(C1510,Sheet1!$B$2:$C$25,2,FALSE),"")</f>
        <v/>
      </c>
      <c r="I1510">
        <f t="shared" si="71"/>
        <v>1613</v>
      </c>
    </row>
    <row r="1511" spans="1:9" x14ac:dyDescent="0.2">
      <c r="A1511" t="str">
        <f t="shared" si="69"/>
        <v/>
      </c>
      <c r="B1511" s="20">
        <v>2016</v>
      </c>
      <c r="C1511" s="21" t="s">
        <v>174</v>
      </c>
      <c r="D1511" s="21" t="s">
        <v>174</v>
      </c>
      <c r="E1511" s="23">
        <v>166921</v>
      </c>
      <c r="F1511" s="20">
        <v>2605442.8309999998</v>
      </c>
      <c r="G1511" s="30">
        <f t="shared" si="70"/>
        <v>2772363.8309999998</v>
      </c>
      <c r="H1511" t="str">
        <f>IFERROR(VLOOKUP(C1511,Sheet1!$B$2:$C$25,2,FALSE),"")</f>
        <v/>
      </c>
      <c r="I1511">
        <f t="shared" si="71"/>
        <v>1613</v>
      </c>
    </row>
    <row r="1512" spans="1:9" x14ac:dyDescent="0.2">
      <c r="A1512" t="str">
        <f t="shared" si="69"/>
        <v/>
      </c>
      <c r="B1512" s="20">
        <v>2017</v>
      </c>
      <c r="C1512" s="21" t="s">
        <v>174</v>
      </c>
      <c r="D1512" s="21" t="s">
        <v>174</v>
      </c>
      <c r="E1512" s="23">
        <v>169718</v>
      </c>
      <c r="F1512" s="20">
        <v>2805506.3220000002</v>
      </c>
      <c r="G1512" s="30">
        <f t="shared" si="70"/>
        <v>2975224.3220000002</v>
      </c>
      <c r="H1512" t="str">
        <f>IFERROR(VLOOKUP(C1512,Sheet1!$B$2:$C$25,2,FALSE),"")</f>
        <v/>
      </c>
      <c r="I1512">
        <f t="shared" si="71"/>
        <v>1613</v>
      </c>
    </row>
    <row r="1513" spans="1:9" x14ac:dyDescent="0.2">
      <c r="A1513" t="str">
        <f t="shared" si="69"/>
        <v/>
      </c>
      <c r="B1513" s="20">
        <v>2018</v>
      </c>
      <c r="C1513" s="21" t="s">
        <v>174</v>
      </c>
      <c r="D1513" s="21" t="s">
        <v>174</v>
      </c>
      <c r="E1513" s="23">
        <v>169921</v>
      </c>
      <c r="F1513" s="20">
        <v>2556683.1850000001</v>
      </c>
      <c r="G1513" s="30">
        <f t="shared" si="70"/>
        <v>2726604.1850000001</v>
      </c>
      <c r="H1513" t="str">
        <f>IFERROR(VLOOKUP(C1513,Sheet1!$B$2:$C$25,2,FALSE),"")</f>
        <v/>
      </c>
      <c r="I1513">
        <f t="shared" si="71"/>
        <v>1613</v>
      </c>
    </row>
    <row r="1514" spans="1:9" x14ac:dyDescent="0.2">
      <c r="A1514" t="str">
        <f t="shared" si="69"/>
        <v/>
      </c>
      <c r="B1514" s="20">
        <v>2019</v>
      </c>
      <c r="C1514" s="21" t="s">
        <v>174</v>
      </c>
      <c r="D1514" s="21" t="s">
        <v>174</v>
      </c>
      <c r="E1514" s="23">
        <v>182613</v>
      </c>
      <c r="F1514" s="20">
        <v>2627457.5</v>
      </c>
      <c r="G1514" s="30">
        <f t="shared" si="70"/>
        <v>2810070.5</v>
      </c>
      <c r="H1514" t="str">
        <f>IFERROR(VLOOKUP(C1514,Sheet1!$B$2:$C$25,2,FALSE),"")</f>
        <v/>
      </c>
      <c r="I1514">
        <f t="shared" si="71"/>
        <v>1613</v>
      </c>
    </row>
    <row r="1515" spans="1:9" x14ac:dyDescent="0.2">
      <c r="A1515" t="str">
        <f t="shared" si="69"/>
        <v/>
      </c>
      <c r="B1515" s="20">
        <v>2020</v>
      </c>
      <c r="C1515" s="21" t="s">
        <v>174</v>
      </c>
      <c r="D1515" s="21" t="s">
        <v>174</v>
      </c>
      <c r="E1515" s="23">
        <v>166115</v>
      </c>
      <c r="F1515" s="20">
        <v>2322178.875</v>
      </c>
      <c r="G1515" s="30">
        <f t="shared" si="70"/>
        <v>2488293.875</v>
      </c>
      <c r="H1515" t="str">
        <f>IFERROR(VLOOKUP(C1515,Sheet1!$B$2:$C$25,2,FALSE),"")</f>
        <v/>
      </c>
      <c r="I1515">
        <f t="shared" si="71"/>
        <v>1613</v>
      </c>
    </row>
    <row r="1516" spans="1:9" x14ac:dyDescent="0.2">
      <c r="A1516" t="str">
        <f t="shared" si="69"/>
        <v/>
      </c>
      <c r="B1516" s="20">
        <v>2021</v>
      </c>
      <c r="C1516" s="21" t="s">
        <v>174</v>
      </c>
      <c r="D1516" s="20" t="s">
        <v>174</v>
      </c>
      <c r="E1516" s="23">
        <v>216687</v>
      </c>
      <c r="F1516" s="20">
        <v>2828628.8879999998</v>
      </c>
      <c r="G1516" s="30">
        <f t="shared" si="70"/>
        <v>3045315.8879999998</v>
      </c>
      <c r="H1516" t="str">
        <f>IFERROR(VLOOKUP(C1516,Sheet1!$B$2:$C$25,2,FALSE),"")</f>
        <v/>
      </c>
      <c r="I1516">
        <f t="shared" si="71"/>
        <v>1613</v>
      </c>
    </row>
    <row r="1517" spans="1:9" x14ac:dyDescent="0.2">
      <c r="A1517" t="str">
        <f t="shared" si="69"/>
        <v/>
      </c>
      <c r="B1517" s="20">
        <v>2022</v>
      </c>
      <c r="C1517" s="21" t="s">
        <v>174</v>
      </c>
      <c r="D1517" s="21" t="s">
        <v>174</v>
      </c>
      <c r="E1517" s="23">
        <v>229529</v>
      </c>
      <c r="F1517" s="20">
        <v>3155455.0049999999</v>
      </c>
      <c r="G1517" s="30">
        <f t="shared" si="70"/>
        <v>3384984.0049999999</v>
      </c>
      <c r="H1517" t="str">
        <f>IFERROR(VLOOKUP(C1517,Sheet1!$B$2:$C$25,2,FALSE),"")</f>
        <v/>
      </c>
      <c r="I1517">
        <f t="shared" si="71"/>
        <v>1613</v>
      </c>
    </row>
    <row r="1518" spans="1:9" x14ac:dyDescent="0.2">
      <c r="A1518" t="str">
        <f t="shared" si="69"/>
        <v/>
      </c>
      <c r="B1518" s="20">
        <v>2023</v>
      </c>
      <c r="C1518" s="21" t="s">
        <v>174</v>
      </c>
      <c r="D1518" s="21" t="s">
        <v>174</v>
      </c>
      <c r="E1518" s="23">
        <v>196245</v>
      </c>
      <c r="F1518" s="20">
        <v>2626496.4029999999</v>
      </c>
      <c r="G1518" s="30">
        <f t="shared" si="70"/>
        <v>2822741.4029999999</v>
      </c>
      <c r="H1518" t="str">
        <f>IFERROR(VLOOKUP(C1518,Sheet1!$B$2:$C$25,2,FALSE),"")</f>
        <v/>
      </c>
      <c r="I1518">
        <f t="shared" si="71"/>
        <v>1613</v>
      </c>
    </row>
    <row r="1519" spans="1:9" x14ac:dyDescent="0.2">
      <c r="A1519" t="str">
        <f t="shared" si="69"/>
        <v/>
      </c>
      <c r="B1519" s="20">
        <v>2015</v>
      </c>
      <c r="C1519" s="21" t="s">
        <v>175</v>
      </c>
      <c r="D1519" s="21" t="s">
        <v>175</v>
      </c>
      <c r="E1519" s="23">
        <v>400457</v>
      </c>
      <c r="F1519" s="20">
        <v>6281990.5060000001</v>
      </c>
      <c r="G1519" s="30">
        <f t="shared" si="70"/>
        <v>6682447.5060000001</v>
      </c>
      <c r="H1519" t="str">
        <f>IFERROR(VLOOKUP(C1519,Sheet1!$B$2:$C$25,2,FALSE),"")</f>
        <v/>
      </c>
      <c r="I1519">
        <f t="shared" si="71"/>
        <v>1613</v>
      </c>
    </row>
    <row r="1520" spans="1:9" x14ac:dyDescent="0.2">
      <c r="A1520" t="str">
        <f t="shared" si="69"/>
        <v/>
      </c>
      <c r="B1520" s="20">
        <v>2016</v>
      </c>
      <c r="C1520" s="21" t="s">
        <v>175</v>
      </c>
      <c r="D1520" s="21" t="s">
        <v>175</v>
      </c>
      <c r="E1520" s="23">
        <v>384349</v>
      </c>
      <c r="F1520" s="20">
        <v>5999241.2379999999</v>
      </c>
      <c r="G1520" s="30">
        <f t="shared" si="70"/>
        <v>6383590.2379999999</v>
      </c>
      <c r="H1520" t="str">
        <f>IFERROR(VLOOKUP(C1520,Sheet1!$B$2:$C$25,2,FALSE),"")</f>
        <v/>
      </c>
      <c r="I1520">
        <f t="shared" si="71"/>
        <v>1613</v>
      </c>
    </row>
    <row r="1521" spans="1:9" x14ac:dyDescent="0.2">
      <c r="A1521" t="str">
        <f t="shared" si="69"/>
        <v/>
      </c>
      <c r="B1521" s="20">
        <v>2017</v>
      </c>
      <c r="C1521" s="21" t="s">
        <v>175</v>
      </c>
      <c r="D1521" s="21" t="s">
        <v>175</v>
      </c>
      <c r="E1521" s="23">
        <v>382765</v>
      </c>
      <c r="F1521" s="20">
        <v>6327258.3190000001</v>
      </c>
      <c r="G1521" s="30">
        <f t="shared" si="70"/>
        <v>6710023.3190000001</v>
      </c>
      <c r="H1521" t="str">
        <f>IFERROR(VLOOKUP(C1521,Sheet1!$B$2:$C$25,2,FALSE),"")</f>
        <v/>
      </c>
      <c r="I1521">
        <f t="shared" si="71"/>
        <v>1613</v>
      </c>
    </row>
    <row r="1522" spans="1:9" x14ac:dyDescent="0.2">
      <c r="A1522" t="str">
        <f t="shared" si="69"/>
        <v/>
      </c>
      <c r="B1522" s="20">
        <v>2018</v>
      </c>
      <c r="C1522" s="21" t="s">
        <v>175</v>
      </c>
      <c r="D1522" s="21" t="s">
        <v>175</v>
      </c>
      <c r="E1522" s="23">
        <v>400502</v>
      </c>
      <c r="F1522" s="20">
        <v>6026075.2280000001</v>
      </c>
      <c r="G1522" s="30">
        <f t="shared" si="70"/>
        <v>6426577.2280000001</v>
      </c>
      <c r="H1522" t="str">
        <f>IFERROR(VLOOKUP(C1522,Sheet1!$B$2:$C$25,2,FALSE),"")</f>
        <v/>
      </c>
      <c r="I1522">
        <f t="shared" si="71"/>
        <v>1613</v>
      </c>
    </row>
    <row r="1523" spans="1:9" x14ac:dyDescent="0.2">
      <c r="A1523" t="str">
        <f t="shared" si="69"/>
        <v/>
      </c>
      <c r="B1523" s="20">
        <v>2019</v>
      </c>
      <c r="C1523" s="21" t="s">
        <v>175</v>
      </c>
      <c r="D1523" s="21" t="s">
        <v>175</v>
      </c>
      <c r="E1523" s="23">
        <v>401711</v>
      </c>
      <c r="F1523" s="20">
        <v>5779865.5070000002</v>
      </c>
      <c r="G1523" s="30">
        <f t="shared" si="70"/>
        <v>6181576.5070000002</v>
      </c>
      <c r="H1523" t="str">
        <f>IFERROR(VLOOKUP(C1523,Sheet1!$B$2:$C$25,2,FALSE),"")</f>
        <v/>
      </c>
      <c r="I1523">
        <f t="shared" si="71"/>
        <v>1613</v>
      </c>
    </row>
    <row r="1524" spans="1:9" x14ac:dyDescent="0.2">
      <c r="A1524" t="str">
        <f t="shared" si="69"/>
        <v/>
      </c>
      <c r="B1524" s="20">
        <v>2020</v>
      </c>
      <c r="C1524" s="21" t="s">
        <v>175</v>
      </c>
      <c r="D1524" s="21" t="s">
        <v>175</v>
      </c>
      <c r="E1524" s="23">
        <v>409503</v>
      </c>
      <c r="F1524" s="20">
        <v>5724583.6660000002</v>
      </c>
      <c r="G1524" s="30">
        <f t="shared" si="70"/>
        <v>6134086.6660000002</v>
      </c>
      <c r="H1524" t="str">
        <f>IFERROR(VLOOKUP(C1524,Sheet1!$B$2:$C$25,2,FALSE),"")</f>
        <v/>
      </c>
      <c r="I1524">
        <f t="shared" si="71"/>
        <v>1613</v>
      </c>
    </row>
    <row r="1525" spans="1:9" x14ac:dyDescent="0.2">
      <c r="A1525" t="str">
        <f t="shared" si="69"/>
        <v/>
      </c>
      <c r="B1525" s="20">
        <v>2021</v>
      </c>
      <c r="C1525" s="21" t="s">
        <v>175</v>
      </c>
      <c r="D1525" s="20" t="s">
        <v>175</v>
      </c>
      <c r="E1525" s="23">
        <v>449775</v>
      </c>
      <c r="F1525" s="20">
        <v>5871356.1869999999</v>
      </c>
      <c r="G1525" s="30">
        <f t="shared" si="70"/>
        <v>6321131.1869999999</v>
      </c>
      <c r="H1525" t="str">
        <f>IFERROR(VLOOKUP(C1525,Sheet1!$B$2:$C$25,2,FALSE),"")</f>
        <v/>
      </c>
      <c r="I1525">
        <f t="shared" si="71"/>
        <v>1613</v>
      </c>
    </row>
    <row r="1526" spans="1:9" x14ac:dyDescent="0.2">
      <c r="A1526" t="str">
        <f t="shared" si="69"/>
        <v/>
      </c>
      <c r="B1526" s="20">
        <v>2022</v>
      </c>
      <c r="C1526" s="21" t="s">
        <v>175</v>
      </c>
      <c r="D1526" s="21" t="s">
        <v>175</v>
      </c>
      <c r="E1526" s="23">
        <v>468976</v>
      </c>
      <c r="F1526" s="20">
        <v>6447257.9340000004</v>
      </c>
      <c r="G1526" s="30">
        <f t="shared" si="70"/>
        <v>6916233.9340000004</v>
      </c>
      <c r="H1526" t="str">
        <f>IFERROR(VLOOKUP(C1526,Sheet1!$B$2:$C$25,2,FALSE),"")</f>
        <v/>
      </c>
      <c r="I1526">
        <f t="shared" si="71"/>
        <v>1613</v>
      </c>
    </row>
    <row r="1527" spans="1:9" x14ac:dyDescent="0.2">
      <c r="A1527" t="str">
        <f t="shared" si="69"/>
        <v/>
      </c>
      <c r="B1527" s="20">
        <v>2023</v>
      </c>
      <c r="C1527" s="21" t="s">
        <v>175</v>
      </c>
      <c r="D1527" s="21" t="s">
        <v>175</v>
      </c>
      <c r="E1527" s="23">
        <v>407035</v>
      </c>
      <c r="F1527" s="20">
        <v>5447659.6260000002</v>
      </c>
      <c r="G1527" s="30">
        <f t="shared" si="70"/>
        <v>5854694.6260000002</v>
      </c>
      <c r="H1527" t="str">
        <f>IFERROR(VLOOKUP(C1527,Sheet1!$B$2:$C$25,2,FALSE),"")</f>
        <v/>
      </c>
      <c r="I1527">
        <f t="shared" si="71"/>
        <v>1613</v>
      </c>
    </row>
    <row r="1528" spans="1:9" x14ac:dyDescent="0.2">
      <c r="A1528" t="str">
        <f t="shared" si="69"/>
        <v/>
      </c>
      <c r="B1528" s="20">
        <v>2015</v>
      </c>
      <c r="C1528" s="21" t="s">
        <v>176</v>
      </c>
      <c r="D1528" s="21" t="s">
        <v>176</v>
      </c>
      <c r="E1528" s="23">
        <v>338851</v>
      </c>
      <c r="F1528" s="20">
        <v>5315573.87</v>
      </c>
      <c r="G1528" s="30">
        <f t="shared" si="70"/>
        <v>5654424.8700000001</v>
      </c>
      <c r="H1528" t="str">
        <f>IFERROR(VLOOKUP(C1528,Sheet1!$B$2:$C$25,2,FALSE),"")</f>
        <v/>
      </c>
      <c r="I1528">
        <f t="shared" si="71"/>
        <v>1613</v>
      </c>
    </row>
    <row r="1529" spans="1:9" x14ac:dyDescent="0.2">
      <c r="A1529" t="str">
        <f t="shared" si="69"/>
        <v/>
      </c>
      <c r="B1529" s="20">
        <v>2016</v>
      </c>
      <c r="C1529" s="21" t="s">
        <v>176</v>
      </c>
      <c r="D1529" s="21" t="s">
        <v>176</v>
      </c>
      <c r="E1529" s="23">
        <v>285290</v>
      </c>
      <c r="F1529" s="20">
        <v>4453045.3640000001</v>
      </c>
      <c r="G1529" s="30">
        <f t="shared" si="70"/>
        <v>4738335.3640000001</v>
      </c>
      <c r="H1529" t="str">
        <f>IFERROR(VLOOKUP(C1529,Sheet1!$B$2:$C$25,2,FALSE),"")</f>
        <v/>
      </c>
      <c r="I1529">
        <f t="shared" si="71"/>
        <v>1613</v>
      </c>
    </row>
    <row r="1530" spans="1:9" x14ac:dyDescent="0.2">
      <c r="A1530" t="str">
        <f t="shared" si="69"/>
        <v/>
      </c>
      <c r="B1530" s="20">
        <v>2017</v>
      </c>
      <c r="C1530" s="21" t="s">
        <v>176</v>
      </c>
      <c r="D1530" s="21" t="s">
        <v>176</v>
      </c>
      <c r="E1530" s="23">
        <v>293753</v>
      </c>
      <c r="F1530" s="20">
        <v>4855854.409</v>
      </c>
      <c r="G1530" s="30">
        <f t="shared" si="70"/>
        <v>5149607.409</v>
      </c>
      <c r="H1530" t="str">
        <f>IFERROR(VLOOKUP(C1530,Sheet1!$B$2:$C$25,2,FALSE),"")</f>
        <v/>
      </c>
      <c r="I1530">
        <f t="shared" si="71"/>
        <v>1613</v>
      </c>
    </row>
    <row r="1531" spans="1:9" x14ac:dyDescent="0.2">
      <c r="A1531" t="str">
        <f t="shared" si="69"/>
        <v/>
      </c>
      <c r="B1531" s="20">
        <v>2018</v>
      </c>
      <c r="C1531" s="21" t="s">
        <v>176</v>
      </c>
      <c r="D1531" s="21" t="s">
        <v>176</v>
      </c>
      <c r="E1531" s="23">
        <v>305745</v>
      </c>
      <c r="F1531" s="20">
        <v>4600332.5089999996</v>
      </c>
      <c r="G1531" s="30">
        <f t="shared" si="70"/>
        <v>4906077.5089999996</v>
      </c>
      <c r="H1531" t="str">
        <f>IFERROR(VLOOKUP(C1531,Sheet1!$B$2:$C$25,2,FALSE),"")</f>
        <v/>
      </c>
      <c r="I1531">
        <f t="shared" si="71"/>
        <v>1613</v>
      </c>
    </row>
    <row r="1532" spans="1:9" x14ac:dyDescent="0.2">
      <c r="A1532" t="str">
        <f t="shared" si="69"/>
        <v/>
      </c>
      <c r="B1532" s="20">
        <v>2019</v>
      </c>
      <c r="C1532" s="21" t="s">
        <v>176</v>
      </c>
      <c r="D1532" s="21" t="s">
        <v>176</v>
      </c>
      <c r="E1532" s="23">
        <v>339139</v>
      </c>
      <c r="F1532" s="20">
        <v>4879572.1500000004</v>
      </c>
      <c r="G1532" s="30">
        <f t="shared" si="70"/>
        <v>5218711.1500000004</v>
      </c>
      <c r="H1532" t="str">
        <f>IFERROR(VLOOKUP(C1532,Sheet1!$B$2:$C$25,2,FALSE),"")</f>
        <v/>
      </c>
      <c r="I1532">
        <f t="shared" si="71"/>
        <v>1613</v>
      </c>
    </row>
    <row r="1533" spans="1:9" x14ac:dyDescent="0.2">
      <c r="A1533" t="str">
        <f t="shared" si="69"/>
        <v/>
      </c>
      <c r="B1533" s="20">
        <v>2020</v>
      </c>
      <c r="C1533" s="21" t="s">
        <v>176</v>
      </c>
      <c r="D1533" s="21" t="s">
        <v>176</v>
      </c>
      <c r="E1533" s="23">
        <v>369196</v>
      </c>
      <c r="F1533" s="20">
        <v>5161118.2120000003</v>
      </c>
      <c r="G1533" s="30">
        <f t="shared" si="70"/>
        <v>5530314.2120000003</v>
      </c>
      <c r="H1533" t="str">
        <f>IFERROR(VLOOKUP(C1533,Sheet1!$B$2:$C$25,2,FALSE),"")</f>
        <v/>
      </c>
      <c r="I1533">
        <f t="shared" si="71"/>
        <v>1613</v>
      </c>
    </row>
    <row r="1534" spans="1:9" x14ac:dyDescent="0.2">
      <c r="A1534" t="str">
        <f t="shared" si="69"/>
        <v/>
      </c>
      <c r="B1534" s="20">
        <v>2021</v>
      </c>
      <c r="C1534" s="21" t="s">
        <v>176</v>
      </c>
      <c r="D1534" s="20" t="s">
        <v>176</v>
      </c>
      <c r="E1534" s="23">
        <v>373622</v>
      </c>
      <c r="F1534" s="20">
        <v>4877256.0530000003</v>
      </c>
      <c r="G1534" s="30">
        <f t="shared" si="70"/>
        <v>5250878.0530000003</v>
      </c>
      <c r="H1534" t="str">
        <f>IFERROR(VLOOKUP(C1534,Sheet1!$B$2:$C$25,2,FALSE),"")</f>
        <v/>
      </c>
      <c r="I1534">
        <f t="shared" si="71"/>
        <v>1613</v>
      </c>
    </row>
    <row r="1535" spans="1:9" x14ac:dyDescent="0.2">
      <c r="A1535" t="str">
        <f t="shared" si="69"/>
        <v/>
      </c>
      <c r="B1535" s="20">
        <v>2022</v>
      </c>
      <c r="C1535" s="21" t="s">
        <v>176</v>
      </c>
      <c r="D1535" s="21" t="s">
        <v>176</v>
      </c>
      <c r="E1535" s="23">
        <v>374482</v>
      </c>
      <c r="F1535" s="20">
        <v>5148199.5789999999</v>
      </c>
      <c r="G1535" s="30">
        <f t="shared" si="70"/>
        <v>5522681.5789999999</v>
      </c>
      <c r="H1535" t="str">
        <f>IFERROR(VLOOKUP(C1535,Sheet1!$B$2:$C$25,2,FALSE),"")</f>
        <v/>
      </c>
      <c r="I1535">
        <f t="shared" si="71"/>
        <v>1613</v>
      </c>
    </row>
    <row r="1536" spans="1:9" x14ac:dyDescent="0.2">
      <c r="A1536" t="str">
        <f t="shared" si="69"/>
        <v/>
      </c>
      <c r="B1536" s="20">
        <v>2023</v>
      </c>
      <c r="C1536" s="21" t="s">
        <v>176</v>
      </c>
      <c r="D1536" s="21" t="s">
        <v>176</v>
      </c>
      <c r="E1536" s="23">
        <v>417290</v>
      </c>
      <c r="F1536" s="20">
        <v>5584910.1069999998</v>
      </c>
      <c r="G1536" s="30">
        <f t="shared" si="70"/>
        <v>6002200.1069999998</v>
      </c>
      <c r="H1536" t="str">
        <f>IFERROR(VLOOKUP(C1536,Sheet1!$B$2:$C$25,2,FALSE),"")</f>
        <v/>
      </c>
      <c r="I1536">
        <f t="shared" si="71"/>
        <v>1613</v>
      </c>
    </row>
    <row r="1537" spans="1:9" x14ac:dyDescent="0.2">
      <c r="A1537" t="str">
        <f t="shared" si="69"/>
        <v/>
      </c>
      <c r="B1537" s="20">
        <v>2015</v>
      </c>
      <c r="C1537" s="21" t="s">
        <v>177</v>
      </c>
      <c r="D1537" s="21" t="s">
        <v>177</v>
      </c>
      <c r="E1537" s="23">
        <v>27717</v>
      </c>
      <c r="F1537" s="20">
        <v>434798.07040000003</v>
      </c>
      <c r="G1537" s="30">
        <f t="shared" si="70"/>
        <v>462515.07040000003</v>
      </c>
      <c r="H1537" t="str">
        <f>IFERROR(VLOOKUP(C1537,Sheet1!$B$2:$C$25,2,FALSE),"")</f>
        <v/>
      </c>
      <c r="I1537">
        <f t="shared" si="71"/>
        <v>1613</v>
      </c>
    </row>
    <row r="1538" spans="1:9" x14ac:dyDescent="0.2">
      <c r="A1538" t="str">
        <f t="shared" si="69"/>
        <v/>
      </c>
      <c r="B1538" s="20">
        <v>2016</v>
      </c>
      <c r="C1538" s="21" t="s">
        <v>177</v>
      </c>
      <c r="D1538" s="21" t="s">
        <v>177</v>
      </c>
      <c r="E1538" s="23">
        <v>25513</v>
      </c>
      <c r="F1538" s="20">
        <v>398228.28129999997</v>
      </c>
      <c r="G1538" s="30">
        <f t="shared" si="70"/>
        <v>423741.28129999997</v>
      </c>
      <c r="H1538" t="str">
        <f>IFERROR(VLOOKUP(C1538,Sheet1!$B$2:$C$25,2,FALSE),"")</f>
        <v/>
      </c>
      <c r="I1538">
        <f t="shared" si="71"/>
        <v>1613</v>
      </c>
    </row>
    <row r="1539" spans="1:9" x14ac:dyDescent="0.2">
      <c r="A1539" t="str">
        <f t="shared" ref="A1539:A1602" si="72">H1539</f>
        <v/>
      </c>
      <c r="B1539" s="20">
        <v>2017</v>
      </c>
      <c r="C1539" s="21" t="s">
        <v>177</v>
      </c>
      <c r="D1539" s="21" t="s">
        <v>177</v>
      </c>
      <c r="E1539" s="23">
        <v>24498</v>
      </c>
      <c r="F1539" s="20">
        <v>404961.72399999999</v>
      </c>
      <c r="G1539" s="30">
        <f t="shared" ref="G1539:G1602" si="73">SUM(E1539:F1539)</f>
        <v>429459.72399999999</v>
      </c>
      <c r="H1539" t="str">
        <f>IFERROR(VLOOKUP(C1539,Sheet1!$B$2:$C$25,2,FALSE),"")</f>
        <v/>
      </c>
      <c r="I1539">
        <f t="shared" ref="I1539:I1602" si="74">COUNTIF($H$2:$H$1812,H1539)</f>
        <v>1613</v>
      </c>
    </row>
    <row r="1540" spans="1:9" x14ac:dyDescent="0.2">
      <c r="A1540" t="str">
        <f t="shared" si="72"/>
        <v/>
      </c>
      <c r="B1540" s="20">
        <v>2018</v>
      </c>
      <c r="C1540" s="21" t="s">
        <v>177</v>
      </c>
      <c r="D1540" s="21" t="s">
        <v>177</v>
      </c>
      <c r="E1540" s="23">
        <v>27306</v>
      </c>
      <c r="F1540" s="20">
        <v>410854.4032</v>
      </c>
      <c r="G1540" s="30">
        <f t="shared" si="73"/>
        <v>438160.4032</v>
      </c>
      <c r="H1540" t="str">
        <f>IFERROR(VLOOKUP(C1540,Sheet1!$B$2:$C$25,2,FALSE),"")</f>
        <v/>
      </c>
      <c r="I1540">
        <f t="shared" si="74"/>
        <v>1613</v>
      </c>
    </row>
    <row r="1541" spans="1:9" x14ac:dyDescent="0.2">
      <c r="A1541" t="str">
        <f t="shared" si="72"/>
        <v/>
      </c>
      <c r="B1541" s="20">
        <v>2019</v>
      </c>
      <c r="C1541" s="21" t="s">
        <v>177</v>
      </c>
      <c r="D1541" s="21" t="s">
        <v>177</v>
      </c>
      <c r="E1541" s="23">
        <v>34760</v>
      </c>
      <c r="F1541" s="20">
        <v>500131.00219999999</v>
      </c>
      <c r="G1541" s="30">
        <f t="shared" si="73"/>
        <v>534891.00219999999</v>
      </c>
      <c r="H1541" t="str">
        <f>IFERROR(VLOOKUP(C1541,Sheet1!$B$2:$C$25,2,FALSE),"")</f>
        <v/>
      </c>
      <c r="I1541">
        <f t="shared" si="74"/>
        <v>1613</v>
      </c>
    </row>
    <row r="1542" spans="1:9" x14ac:dyDescent="0.2">
      <c r="A1542" t="str">
        <f t="shared" si="72"/>
        <v/>
      </c>
      <c r="B1542" s="20">
        <v>2020</v>
      </c>
      <c r="C1542" s="21" t="s">
        <v>177</v>
      </c>
      <c r="D1542" s="21" t="s">
        <v>177</v>
      </c>
      <c r="E1542" s="23">
        <v>37315</v>
      </c>
      <c r="F1542" s="20">
        <v>521639.25420000002</v>
      </c>
      <c r="G1542" s="30">
        <f t="shared" si="73"/>
        <v>558954.25420000008</v>
      </c>
      <c r="H1542" t="str">
        <f>IFERROR(VLOOKUP(C1542,Sheet1!$B$2:$C$25,2,FALSE),"")</f>
        <v/>
      </c>
      <c r="I1542">
        <f t="shared" si="74"/>
        <v>1613</v>
      </c>
    </row>
    <row r="1543" spans="1:9" x14ac:dyDescent="0.2">
      <c r="A1543" t="str">
        <f t="shared" si="72"/>
        <v/>
      </c>
      <c r="B1543" s="20">
        <v>2021</v>
      </c>
      <c r="C1543" s="21" t="s">
        <v>177</v>
      </c>
      <c r="D1543" s="20" t="s">
        <v>177</v>
      </c>
      <c r="E1543" s="23">
        <v>2969</v>
      </c>
      <c r="F1543" s="20">
        <v>38757.282019999999</v>
      </c>
      <c r="G1543" s="30">
        <f t="shared" si="73"/>
        <v>41726.282019999999</v>
      </c>
      <c r="H1543" t="str">
        <f>IFERROR(VLOOKUP(C1543,Sheet1!$B$2:$C$25,2,FALSE),"")</f>
        <v/>
      </c>
      <c r="I1543">
        <f t="shared" si="74"/>
        <v>1613</v>
      </c>
    </row>
    <row r="1544" spans="1:9" x14ac:dyDescent="0.2">
      <c r="A1544" t="str">
        <f t="shared" si="72"/>
        <v/>
      </c>
      <c r="B1544" s="20">
        <v>2022</v>
      </c>
      <c r="C1544" s="21" t="s">
        <v>177</v>
      </c>
      <c r="D1544" s="21" t="s">
        <v>177</v>
      </c>
      <c r="E1544" s="23">
        <v>48976</v>
      </c>
      <c r="F1544" s="20">
        <v>673298.64339999994</v>
      </c>
      <c r="G1544" s="30">
        <f t="shared" si="73"/>
        <v>722274.64339999994</v>
      </c>
      <c r="H1544" t="str">
        <f>IFERROR(VLOOKUP(C1544,Sheet1!$B$2:$C$25,2,FALSE),"")</f>
        <v/>
      </c>
      <c r="I1544">
        <f t="shared" si="74"/>
        <v>1613</v>
      </c>
    </row>
    <row r="1545" spans="1:9" x14ac:dyDescent="0.2">
      <c r="A1545" t="str">
        <f t="shared" si="72"/>
        <v/>
      </c>
      <c r="B1545" s="20">
        <v>2023</v>
      </c>
      <c r="C1545" s="21" t="s">
        <v>177</v>
      </c>
      <c r="D1545" s="21" t="s">
        <v>177</v>
      </c>
      <c r="E1545" s="23">
        <v>54256</v>
      </c>
      <c r="F1545" s="20">
        <v>726149.39910000004</v>
      </c>
      <c r="G1545" s="30">
        <f t="shared" si="73"/>
        <v>780405.39910000004</v>
      </c>
      <c r="H1545" t="str">
        <f>IFERROR(VLOOKUP(C1545,Sheet1!$B$2:$C$25,2,FALSE),"")</f>
        <v/>
      </c>
      <c r="I1545">
        <f t="shared" si="74"/>
        <v>1613</v>
      </c>
    </row>
    <row r="1546" spans="1:9" x14ac:dyDescent="0.2">
      <c r="A1546" t="str">
        <f t="shared" si="72"/>
        <v/>
      </c>
      <c r="B1546" s="20">
        <v>2015</v>
      </c>
      <c r="C1546" s="21" t="s">
        <v>178</v>
      </c>
      <c r="D1546" s="21" t="s">
        <v>178</v>
      </c>
      <c r="E1546" s="23">
        <v>13034</v>
      </c>
      <c r="F1546" s="20">
        <v>204465.05929999999</v>
      </c>
      <c r="G1546" s="30">
        <f t="shared" si="73"/>
        <v>217499.05929999999</v>
      </c>
      <c r="H1546" t="str">
        <f>IFERROR(VLOOKUP(C1546,Sheet1!$B$2:$C$25,2,FALSE),"")</f>
        <v/>
      </c>
      <c r="I1546">
        <f t="shared" si="74"/>
        <v>1613</v>
      </c>
    </row>
    <row r="1547" spans="1:9" x14ac:dyDescent="0.2">
      <c r="A1547" t="str">
        <f t="shared" si="72"/>
        <v/>
      </c>
      <c r="B1547" s="20">
        <v>2016</v>
      </c>
      <c r="C1547" s="21" t="s">
        <v>178</v>
      </c>
      <c r="D1547" s="21" t="s">
        <v>178</v>
      </c>
      <c r="E1547" s="23">
        <v>10696</v>
      </c>
      <c r="F1547" s="20">
        <v>166952.13020000001</v>
      </c>
      <c r="G1547" s="30">
        <f t="shared" si="73"/>
        <v>177648.13020000001</v>
      </c>
      <c r="H1547" t="str">
        <f>IFERROR(VLOOKUP(C1547,Sheet1!$B$2:$C$25,2,FALSE),"")</f>
        <v/>
      </c>
      <c r="I1547">
        <f t="shared" si="74"/>
        <v>1613</v>
      </c>
    </row>
    <row r="1548" spans="1:9" x14ac:dyDescent="0.2">
      <c r="A1548" t="str">
        <f t="shared" si="72"/>
        <v/>
      </c>
      <c r="B1548" s="20">
        <v>2017</v>
      </c>
      <c r="C1548" s="21" t="s">
        <v>178</v>
      </c>
      <c r="D1548" s="21" t="s">
        <v>178</v>
      </c>
      <c r="E1548" s="23">
        <v>9936</v>
      </c>
      <c r="F1548" s="20">
        <v>164246.04819999999</v>
      </c>
      <c r="G1548" s="30">
        <f t="shared" si="73"/>
        <v>174182.04819999999</v>
      </c>
      <c r="H1548" t="str">
        <f>IFERROR(VLOOKUP(C1548,Sheet1!$B$2:$C$25,2,FALSE),"")</f>
        <v/>
      </c>
      <c r="I1548">
        <f t="shared" si="74"/>
        <v>1613</v>
      </c>
    </row>
    <row r="1549" spans="1:9" x14ac:dyDescent="0.2">
      <c r="A1549" t="str">
        <f t="shared" si="72"/>
        <v/>
      </c>
      <c r="B1549" s="20">
        <v>2018</v>
      </c>
      <c r="C1549" s="21" t="s">
        <v>178</v>
      </c>
      <c r="D1549" s="21" t="s">
        <v>178</v>
      </c>
      <c r="E1549" s="23">
        <v>1502</v>
      </c>
      <c r="F1549" s="20">
        <v>22599.550050000002</v>
      </c>
      <c r="G1549" s="30">
        <f t="shared" si="73"/>
        <v>24101.550050000002</v>
      </c>
      <c r="H1549" t="str">
        <f>IFERROR(VLOOKUP(C1549,Sheet1!$B$2:$C$25,2,FALSE),"")</f>
        <v/>
      </c>
      <c r="I1549">
        <f t="shared" si="74"/>
        <v>1613</v>
      </c>
    </row>
    <row r="1550" spans="1:9" x14ac:dyDescent="0.2">
      <c r="A1550" t="str">
        <f t="shared" si="72"/>
        <v/>
      </c>
      <c r="B1550" s="20">
        <v>2019</v>
      </c>
      <c r="C1550" s="21" t="s">
        <v>178</v>
      </c>
      <c r="D1550" s="21" t="s">
        <v>231</v>
      </c>
      <c r="E1550" s="23">
        <v>1882</v>
      </c>
      <c r="F1550" s="20">
        <v>27078.439180000001</v>
      </c>
      <c r="G1550" s="30">
        <f t="shared" si="73"/>
        <v>28960.439180000001</v>
      </c>
      <c r="H1550" t="str">
        <f>IFERROR(VLOOKUP(C1550,Sheet1!$B$2:$C$25,2,FALSE),"")</f>
        <v/>
      </c>
      <c r="I1550">
        <f t="shared" si="74"/>
        <v>1613</v>
      </c>
    </row>
    <row r="1551" spans="1:9" x14ac:dyDescent="0.2">
      <c r="A1551" t="str">
        <f t="shared" si="72"/>
        <v/>
      </c>
      <c r="B1551" s="20">
        <v>2020</v>
      </c>
      <c r="C1551" s="21" t="s">
        <v>178</v>
      </c>
      <c r="D1551" s="21" t="s">
        <v>231</v>
      </c>
      <c r="E1551" s="23">
        <v>2013</v>
      </c>
      <c r="F1551" s="20">
        <v>28140.42124</v>
      </c>
      <c r="G1551" s="30">
        <f t="shared" si="73"/>
        <v>30153.42124</v>
      </c>
      <c r="H1551" t="str">
        <f>IFERROR(VLOOKUP(C1551,Sheet1!$B$2:$C$25,2,FALSE),"")</f>
        <v/>
      </c>
      <c r="I1551">
        <f t="shared" si="74"/>
        <v>1613</v>
      </c>
    </row>
    <row r="1552" spans="1:9" x14ac:dyDescent="0.2">
      <c r="A1552" t="str">
        <f t="shared" si="72"/>
        <v/>
      </c>
      <c r="B1552" s="20">
        <v>2021</v>
      </c>
      <c r="C1552" s="21" t="s">
        <v>178</v>
      </c>
      <c r="D1552" s="20" t="s">
        <v>178</v>
      </c>
      <c r="E1552" s="23" t="s">
        <v>6</v>
      </c>
      <c r="F1552" s="20">
        <v>0</v>
      </c>
      <c r="G1552" s="30">
        <f t="shared" si="73"/>
        <v>0</v>
      </c>
      <c r="H1552" t="str">
        <f>IFERROR(VLOOKUP(C1552,Sheet1!$B$2:$C$25,2,FALSE),"")</f>
        <v/>
      </c>
      <c r="I1552">
        <f t="shared" si="74"/>
        <v>1613</v>
      </c>
    </row>
    <row r="1553" spans="1:9" x14ac:dyDescent="0.2">
      <c r="A1553" t="str">
        <f t="shared" si="72"/>
        <v/>
      </c>
      <c r="B1553" s="20">
        <v>2023</v>
      </c>
      <c r="C1553" s="21" t="s">
        <v>178</v>
      </c>
      <c r="D1553" s="21" t="s">
        <v>178</v>
      </c>
      <c r="E1553" s="23" t="s">
        <v>269</v>
      </c>
      <c r="F1553" s="20">
        <v>0</v>
      </c>
      <c r="G1553" s="30">
        <f t="shared" si="73"/>
        <v>0</v>
      </c>
      <c r="H1553" t="str">
        <f>IFERROR(VLOOKUP(C1553,Sheet1!$B$2:$C$25,2,FALSE),"")</f>
        <v/>
      </c>
      <c r="I1553">
        <f t="shared" si="74"/>
        <v>1613</v>
      </c>
    </row>
    <row r="1554" spans="1:9" x14ac:dyDescent="0.2">
      <c r="A1554" t="str">
        <f t="shared" si="72"/>
        <v/>
      </c>
      <c r="B1554" s="20">
        <v>2015</v>
      </c>
      <c r="C1554" s="21" t="s">
        <v>179</v>
      </c>
      <c r="D1554" s="21" t="s">
        <v>179</v>
      </c>
      <c r="E1554" s="23">
        <v>799995</v>
      </c>
      <c r="F1554" s="20">
        <v>12549564.609999999</v>
      </c>
      <c r="G1554" s="30">
        <f t="shared" si="73"/>
        <v>13349559.609999999</v>
      </c>
      <c r="H1554" t="str">
        <f>IFERROR(VLOOKUP(C1554,Sheet1!$B$2:$C$25,2,FALSE),"")</f>
        <v/>
      </c>
      <c r="I1554">
        <f t="shared" si="74"/>
        <v>1613</v>
      </c>
    </row>
    <row r="1555" spans="1:9" x14ac:dyDescent="0.2">
      <c r="A1555" t="str">
        <f t="shared" si="72"/>
        <v/>
      </c>
      <c r="B1555" s="20">
        <v>2016</v>
      </c>
      <c r="C1555" s="21" t="s">
        <v>179</v>
      </c>
      <c r="D1555" s="21" t="s">
        <v>179</v>
      </c>
      <c r="E1555" s="23">
        <v>693629</v>
      </c>
      <c r="F1555" s="20">
        <v>10826742.619999999</v>
      </c>
      <c r="G1555" s="30">
        <f t="shared" si="73"/>
        <v>11520371.619999999</v>
      </c>
      <c r="H1555" t="str">
        <f>IFERROR(VLOOKUP(C1555,Sheet1!$B$2:$C$25,2,FALSE),"")</f>
        <v/>
      </c>
      <c r="I1555">
        <f t="shared" si="74"/>
        <v>1613</v>
      </c>
    </row>
    <row r="1556" spans="1:9" x14ac:dyDescent="0.2">
      <c r="A1556" t="str">
        <f t="shared" si="72"/>
        <v/>
      </c>
      <c r="B1556" s="20">
        <v>2017</v>
      </c>
      <c r="C1556" s="21" t="s">
        <v>179</v>
      </c>
      <c r="D1556" s="21" t="s">
        <v>179</v>
      </c>
      <c r="E1556" s="23">
        <v>611489</v>
      </c>
      <c r="F1556" s="20">
        <v>10108157.390000001</v>
      </c>
      <c r="G1556" s="30">
        <f t="shared" si="73"/>
        <v>10719646.390000001</v>
      </c>
      <c r="H1556" t="str">
        <f>IFERROR(VLOOKUP(C1556,Sheet1!$B$2:$C$25,2,FALSE),"")</f>
        <v/>
      </c>
      <c r="I1556">
        <f t="shared" si="74"/>
        <v>1613</v>
      </c>
    </row>
    <row r="1557" spans="1:9" x14ac:dyDescent="0.2">
      <c r="A1557" t="str">
        <f t="shared" si="72"/>
        <v/>
      </c>
      <c r="B1557" s="20">
        <v>2018</v>
      </c>
      <c r="C1557" s="21" t="s">
        <v>179</v>
      </c>
      <c r="D1557" s="21" t="s">
        <v>179</v>
      </c>
      <c r="E1557" s="23">
        <v>532497</v>
      </c>
      <c r="F1557" s="20">
        <v>8012112.2510000002</v>
      </c>
      <c r="G1557" s="30">
        <f t="shared" si="73"/>
        <v>8544609.2510000002</v>
      </c>
      <c r="H1557" t="str">
        <f>IFERROR(VLOOKUP(C1557,Sheet1!$B$2:$C$25,2,FALSE),"")</f>
        <v/>
      </c>
      <c r="I1557">
        <f t="shared" si="74"/>
        <v>1613</v>
      </c>
    </row>
    <row r="1558" spans="1:9" x14ac:dyDescent="0.2">
      <c r="A1558" t="str">
        <f t="shared" si="72"/>
        <v/>
      </c>
      <c r="B1558" s="20">
        <v>2019</v>
      </c>
      <c r="C1558" s="21" t="s">
        <v>179</v>
      </c>
      <c r="D1558" s="21" t="s">
        <v>179</v>
      </c>
      <c r="E1558" s="23">
        <v>457777</v>
      </c>
      <c r="F1558" s="20">
        <v>6586549.7630000003</v>
      </c>
      <c r="G1558" s="30">
        <f t="shared" si="73"/>
        <v>7044326.7630000003</v>
      </c>
      <c r="H1558" t="str">
        <f>IFERROR(VLOOKUP(C1558,Sheet1!$B$2:$C$25,2,FALSE),"")</f>
        <v/>
      </c>
      <c r="I1558">
        <f t="shared" si="74"/>
        <v>1613</v>
      </c>
    </row>
    <row r="1559" spans="1:9" x14ac:dyDescent="0.2">
      <c r="A1559" t="str">
        <f t="shared" si="72"/>
        <v/>
      </c>
      <c r="B1559" s="20">
        <v>2020</v>
      </c>
      <c r="C1559" s="21" t="s">
        <v>179</v>
      </c>
      <c r="D1559" s="21" t="s">
        <v>179</v>
      </c>
      <c r="E1559" s="23">
        <v>387221</v>
      </c>
      <c r="F1559" s="20">
        <v>5413095.9040000001</v>
      </c>
      <c r="G1559" s="30">
        <f t="shared" si="73"/>
        <v>5800316.9040000001</v>
      </c>
      <c r="H1559" t="str">
        <f>IFERROR(VLOOKUP(C1559,Sheet1!$B$2:$C$25,2,FALSE),"")</f>
        <v/>
      </c>
      <c r="I1559">
        <f t="shared" si="74"/>
        <v>1613</v>
      </c>
    </row>
    <row r="1560" spans="1:9" x14ac:dyDescent="0.2">
      <c r="A1560" t="str">
        <f t="shared" si="72"/>
        <v/>
      </c>
      <c r="B1560" s="20">
        <v>2021</v>
      </c>
      <c r="C1560" s="21" t="s">
        <v>179</v>
      </c>
      <c r="D1560" s="20" t="s">
        <v>179</v>
      </c>
      <c r="E1560" s="23" t="s">
        <v>6</v>
      </c>
      <c r="F1560" s="20">
        <v>0</v>
      </c>
      <c r="G1560" s="30">
        <f t="shared" si="73"/>
        <v>0</v>
      </c>
      <c r="H1560" t="str">
        <f>IFERROR(VLOOKUP(C1560,Sheet1!$B$2:$C$25,2,FALSE),"")</f>
        <v/>
      </c>
      <c r="I1560">
        <f t="shared" si="74"/>
        <v>1613</v>
      </c>
    </row>
    <row r="1561" spans="1:9" x14ac:dyDescent="0.2">
      <c r="A1561" t="str">
        <f t="shared" si="72"/>
        <v/>
      </c>
      <c r="B1561" s="20">
        <v>2023</v>
      </c>
      <c r="C1561" s="21" t="s">
        <v>179</v>
      </c>
      <c r="D1561" s="21" t="s">
        <v>179</v>
      </c>
      <c r="E1561" s="23" t="s">
        <v>269</v>
      </c>
      <c r="F1561" s="20">
        <v>0</v>
      </c>
      <c r="G1561" s="30">
        <f t="shared" si="73"/>
        <v>0</v>
      </c>
      <c r="H1561" t="str">
        <f>IFERROR(VLOOKUP(C1561,Sheet1!$B$2:$C$25,2,FALSE),"")</f>
        <v/>
      </c>
      <c r="I1561">
        <f t="shared" si="74"/>
        <v>1613</v>
      </c>
    </row>
    <row r="1562" spans="1:9" x14ac:dyDescent="0.2">
      <c r="A1562" t="str">
        <f t="shared" si="72"/>
        <v/>
      </c>
      <c r="B1562" s="20">
        <v>2015</v>
      </c>
      <c r="C1562" s="21" t="s">
        <v>180</v>
      </c>
      <c r="D1562" s="21" t="s">
        <v>180</v>
      </c>
      <c r="E1562" s="23">
        <v>109723</v>
      </c>
      <c r="F1562" s="20">
        <v>1721230.605</v>
      </c>
      <c r="G1562" s="30">
        <f t="shared" si="73"/>
        <v>1830953.605</v>
      </c>
      <c r="H1562" t="str">
        <f>IFERROR(VLOOKUP(C1562,Sheet1!$B$2:$C$25,2,FALSE),"")</f>
        <v/>
      </c>
      <c r="I1562">
        <f t="shared" si="74"/>
        <v>1613</v>
      </c>
    </row>
    <row r="1563" spans="1:9" x14ac:dyDescent="0.2">
      <c r="A1563" t="str">
        <f t="shared" si="72"/>
        <v/>
      </c>
      <c r="B1563" s="20">
        <v>2016</v>
      </c>
      <c r="C1563" s="21" t="s">
        <v>180</v>
      </c>
      <c r="D1563" s="21" t="s">
        <v>180</v>
      </c>
      <c r="E1563" s="23">
        <v>101809</v>
      </c>
      <c r="F1563" s="20">
        <v>1589120.1780000001</v>
      </c>
      <c r="G1563" s="30">
        <f t="shared" si="73"/>
        <v>1690929.1780000001</v>
      </c>
      <c r="H1563" t="str">
        <f>IFERROR(VLOOKUP(C1563,Sheet1!$B$2:$C$25,2,FALSE),"")</f>
        <v/>
      </c>
      <c r="I1563">
        <f t="shared" si="74"/>
        <v>1613</v>
      </c>
    </row>
    <row r="1564" spans="1:9" x14ac:dyDescent="0.2">
      <c r="A1564" t="str">
        <f t="shared" si="72"/>
        <v/>
      </c>
      <c r="B1564" s="20">
        <v>2017</v>
      </c>
      <c r="C1564" s="21" t="s">
        <v>180</v>
      </c>
      <c r="D1564" s="21" t="s">
        <v>180</v>
      </c>
      <c r="E1564" s="23">
        <v>96882</v>
      </c>
      <c r="F1564" s="20">
        <v>1601498.1529999999</v>
      </c>
      <c r="G1564" s="30">
        <f t="shared" si="73"/>
        <v>1698380.1529999999</v>
      </c>
      <c r="H1564" t="str">
        <f>IFERROR(VLOOKUP(C1564,Sheet1!$B$2:$C$25,2,FALSE),"")</f>
        <v/>
      </c>
      <c r="I1564">
        <f t="shared" si="74"/>
        <v>1613</v>
      </c>
    </row>
    <row r="1565" spans="1:9" x14ac:dyDescent="0.2">
      <c r="A1565" t="str">
        <f t="shared" si="72"/>
        <v/>
      </c>
      <c r="B1565" s="20">
        <v>2018</v>
      </c>
      <c r="C1565" s="21" t="s">
        <v>180</v>
      </c>
      <c r="D1565" s="21" t="s">
        <v>180</v>
      </c>
      <c r="E1565" s="23">
        <v>110916</v>
      </c>
      <c r="F1565" s="20">
        <v>1668875.9609999999</v>
      </c>
      <c r="G1565" s="30">
        <f t="shared" si="73"/>
        <v>1779791.9609999999</v>
      </c>
      <c r="H1565" t="str">
        <f>IFERROR(VLOOKUP(C1565,Sheet1!$B$2:$C$25,2,FALSE),"")</f>
        <v/>
      </c>
      <c r="I1565">
        <f t="shared" si="74"/>
        <v>1613</v>
      </c>
    </row>
    <row r="1566" spans="1:9" x14ac:dyDescent="0.2">
      <c r="A1566" t="str">
        <f t="shared" si="72"/>
        <v/>
      </c>
      <c r="B1566" s="20">
        <v>2019</v>
      </c>
      <c r="C1566" s="21" t="s">
        <v>180</v>
      </c>
      <c r="D1566" s="21" t="s">
        <v>180</v>
      </c>
      <c r="E1566" s="23">
        <v>120210</v>
      </c>
      <c r="F1566" s="20">
        <v>1729595.736</v>
      </c>
      <c r="G1566" s="30">
        <f t="shared" si="73"/>
        <v>1849805.736</v>
      </c>
      <c r="H1566" t="str">
        <f>IFERROR(VLOOKUP(C1566,Sheet1!$B$2:$C$25,2,FALSE),"")</f>
        <v/>
      </c>
      <c r="I1566">
        <f t="shared" si="74"/>
        <v>1613</v>
      </c>
    </row>
    <row r="1567" spans="1:9" x14ac:dyDescent="0.2">
      <c r="A1567" t="str">
        <f t="shared" si="72"/>
        <v/>
      </c>
      <c r="B1567" s="20">
        <v>2020</v>
      </c>
      <c r="C1567" s="21" t="s">
        <v>180</v>
      </c>
      <c r="D1567" s="21" t="s">
        <v>180</v>
      </c>
      <c r="E1567" s="23">
        <v>125930</v>
      </c>
      <c r="F1567" s="20">
        <v>1760418.9010000001</v>
      </c>
      <c r="G1567" s="30">
        <f t="shared" si="73"/>
        <v>1886348.9010000001</v>
      </c>
      <c r="H1567" t="str">
        <f>IFERROR(VLOOKUP(C1567,Sheet1!$B$2:$C$25,2,FALSE),"")</f>
        <v/>
      </c>
      <c r="I1567">
        <f t="shared" si="74"/>
        <v>1613</v>
      </c>
    </row>
    <row r="1568" spans="1:9" x14ac:dyDescent="0.2">
      <c r="A1568" t="str">
        <f t="shared" si="72"/>
        <v/>
      </c>
      <c r="B1568" s="20">
        <v>2021</v>
      </c>
      <c r="C1568" s="21" t="s">
        <v>180</v>
      </c>
      <c r="D1568" s="20" t="s">
        <v>180</v>
      </c>
      <c r="E1568" s="23">
        <v>144281</v>
      </c>
      <c r="F1568" s="20">
        <v>1883442.037</v>
      </c>
      <c r="G1568" s="30">
        <f t="shared" si="73"/>
        <v>2027723.037</v>
      </c>
      <c r="H1568" t="str">
        <f>IFERROR(VLOOKUP(C1568,Sheet1!$B$2:$C$25,2,FALSE),"")</f>
        <v/>
      </c>
      <c r="I1568">
        <f t="shared" si="74"/>
        <v>1613</v>
      </c>
    </row>
    <row r="1569" spans="1:9" x14ac:dyDescent="0.2">
      <c r="A1569" t="str">
        <f t="shared" si="72"/>
        <v/>
      </c>
      <c r="B1569" s="20">
        <v>2022</v>
      </c>
      <c r="C1569" s="21" t="s">
        <v>180</v>
      </c>
      <c r="D1569" s="21" t="s">
        <v>180</v>
      </c>
      <c r="E1569" s="23">
        <v>127077</v>
      </c>
      <c r="F1569" s="20">
        <v>1746993.868</v>
      </c>
      <c r="G1569" s="30">
        <f t="shared" si="73"/>
        <v>1874070.868</v>
      </c>
      <c r="H1569" t="str">
        <f>IFERROR(VLOOKUP(C1569,Sheet1!$B$2:$C$25,2,FALSE),"")</f>
        <v/>
      </c>
      <c r="I1569">
        <f t="shared" si="74"/>
        <v>1613</v>
      </c>
    </row>
    <row r="1570" spans="1:9" x14ac:dyDescent="0.2">
      <c r="A1570" t="str">
        <f t="shared" si="72"/>
        <v/>
      </c>
      <c r="B1570" s="20">
        <v>2023</v>
      </c>
      <c r="C1570" s="21" t="s">
        <v>180</v>
      </c>
      <c r="D1570" s="21" t="s">
        <v>180</v>
      </c>
      <c r="E1570" s="23">
        <v>144214</v>
      </c>
      <c r="F1570" s="20">
        <v>1930125.8740000001</v>
      </c>
      <c r="G1570" s="30">
        <f t="shared" si="73"/>
        <v>2074339.8740000001</v>
      </c>
      <c r="H1570" t="str">
        <f>IFERROR(VLOOKUP(C1570,Sheet1!$B$2:$C$25,2,FALSE),"")</f>
        <v/>
      </c>
      <c r="I1570">
        <f t="shared" si="74"/>
        <v>1613</v>
      </c>
    </row>
    <row r="1571" spans="1:9" x14ac:dyDescent="0.2">
      <c r="A1571" t="str">
        <f t="shared" si="72"/>
        <v/>
      </c>
      <c r="B1571" s="20">
        <v>2015</v>
      </c>
      <c r="C1571" s="21" t="s">
        <v>181</v>
      </c>
      <c r="D1571" s="21" t="s">
        <v>181</v>
      </c>
      <c r="E1571" s="23">
        <v>29841</v>
      </c>
      <c r="F1571" s="20">
        <v>468117.37270000001</v>
      </c>
      <c r="G1571" s="30">
        <f t="shared" si="73"/>
        <v>497958.37270000001</v>
      </c>
      <c r="H1571" t="str">
        <f>IFERROR(VLOOKUP(C1571,Sheet1!$B$2:$C$25,2,FALSE),"")</f>
        <v/>
      </c>
      <c r="I1571">
        <f t="shared" si="74"/>
        <v>1613</v>
      </c>
    </row>
    <row r="1572" spans="1:9" x14ac:dyDescent="0.2">
      <c r="A1572" t="str">
        <f t="shared" si="72"/>
        <v/>
      </c>
      <c r="B1572" s="20">
        <v>2016</v>
      </c>
      <c r="C1572" s="21" t="s">
        <v>181</v>
      </c>
      <c r="D1572" s="21" t="s">
        <v>181</v>
      </c>
      <c r="E1572" s="23">
        <v>24313</v>
      </c>
      <c r="F1572" s="20">
        <v>379497.67580000003</v>
      </c>
      <c r="G1572" s="30">
        <f t="shared" si="73"/>
        <v>403810.67580000003</v>
      </c>
      <c r="H1572" t="str">
        <f>IFERROR(VLOOKUP(C1572,Sheet1!$B$2:$C$25,2,FALSE),"")</f>
        <v/>
      </c>
      <c r="I1572">
        <f t="shared" si="74"/>
        <v>1613</v>
      </c>
    </row>
    <row r="1573" spans="1:9" x14ac:dyDescent="0.2">
      <c r="A1573" t="str">
        <f t="shared" si="72"/>
        <v/>
      </c>
      <c r="B1573" s="20">
        <v>2017</v>
      </c>
      <c r="C1573" s="21" t="s">
        <v>181</v>
      </c>
      <c r="D1573" s="21" t="s">
        <v>181</v>
      </c>
      <c r="E1573" s="23">
        <v>30129</v>
      </c>
      <c r="F1573" s="20">
        <v>498044.40289999999</v>
      </c>
      <c r="G1573" s="30">
        <f t="shared" si="73"/>
        <v>528173.40289999999</v>
      </c>
      <c r="H1573" t="str">
        <f>IFERROR(VLOOKUP(C1573,Sheet1!$B$2:$C$25,2,FALSE),"")</f>
        <v/>
      </c>
      <c r="I1573">
        <f t="shared" si="74"/>
        <v>1613</v>
      </c>
    </row>
    <row r="1574" spans="1:9" x14ac:dyDescent="0.2">
      <c r="A1574" t="str">
        <f t="shared" si="72"/>
        <v/>
      </c>
      <c r="B1574" s="20">
        <v>2018</v>
      </c>
      <c r="C1574" s="21" t="s">
        <v>181</v>
      </c>
      <c r="D1574" s="21" t="s">
        <v>181</v>
      </c>
      <c r="E1574" s="23">
        <v>32659</v>
      </c>
      <c r="F1574" s="20">
        <v>491397.27360000001</v>
      </c>
      <c r="G1574" s="30">
        <f t="shared" si="73"/>
        <v>524056.27360000001</v>
      </c>
      <c r="H1574" t="str">
        <f>IFERROR(VLOOKUP(C1574,Sheet1!$B$2:$C$25,2,FALSE),"")</f>
        <v/>
      </c>
      <c r="I1574">
        <f t="shared" si="74"/>
        <v>1613</v>
      </c>
    </row>
    <row r="1575" spans="1:9" x14ac:dyDescent="0.2">
      <c r="A1575" t="str">
        <f t="shared" si="72"/>
        <v/>
      </c>
      <c r="B1575" s="20">
        <v>2019</v>
      </c>
      <c r="C1575" s="21" t="s">
        <v>181</v>
      </c>
      <c r="D1575" s="21" t="s">
        <v>181</v>
      </c>
      <c r="E1575" s="23">
        <v>43206</v>
      </c>
      <c r="F1575" s="20">
        <v>621653.05180000002</v>
      </c>
      <c r="G1575" s="30">
        <f t="shared" si="73"/>
        <v>664859.05180000002</v>
      </c>
      <c r="H1575" t="str">
        <f>IFERROR(VLOOKUP(C1575,Sheet1!$B$2:$C$25,2,FALSE),"")</f>
        <v/>
      </c>
      <c r="I1575">
        <f t="shared" si="74"/>
        <v>1613</v>
      </c>
    </row>
    <row r="1576" spans="1:9" x14ac:dyDescent="0.2">
      <c r="A1576" t="str">
        <f t="shared" si="72"/>
        <v/>
      </c>
      <c r="B1576" s="20">
        <v>2020</v>
      </c>
      <c r="C1576" s="21" t="s">
        <v>181</v>
      </c>
      <c r="D1576" s="21" t="s">
        <v>181</v>
      </c>
      <c r="E1576" s="23">
        <v>54018</v>
      </c>
      <c r="F1576" s="20">
        <v>755136.25170000002</v>
      </c>
      <c r="G1576" s="30">
        <f t="shared" si="73"/>
        <v>809154.25170000002</v>
      </c>
      <c r="H1576" t="str">
        <f>IFERROR(VLOOKUP(C1576,Sheet1!$B$2:$C$25,2,FALSE),"")</f>
        <v/>
      </c>
      <c r="I1576">
        <f t="shared" si="74"/>
        <v>1613</v>
      </c>
    </row>
    <row r="1577" spans="1:9" x14ac:dyDescent="0.2">
      <c r="A1577" t="str">
        <f t="shared" si="72"/>
        <v/>
      </c>
      <c r="B1577" s="20">
        <v>2021</v>
      </c>
      <c r="C1577" s="21" t="s">
        <v>181</v>
      </c>
      <c r="D1577" s="20" t="s">
        <v>181</v>
      </c>
      <c r="E1577" s="23">
        <v>56436</v>
      </c>
      <c r="F1577" s="20">
        <v>736714.70799999998</v>
      </c>
      <c r="G1577" s="30">
        <f t="shared" si="73"/>
        <v>793150.70799999998</v>
      </c>
      <c r="H1577" t="str">
        <f>IFERROR(VLOOKUP(C1577,Sheet1!$B$2:$C$25,2,FALSE),"")</f>
        <v/>
      </c>
      <c r="I1577">
        <f t="shared" si="74"/>
        <v>1613</v>
      </c>
    </row>
    <row r="1578" spans="1:9" x14ac:dyDescent="0.2">
      <c r="A1578" t="str">
        <f t="shared" si="72"/>
        <v/>
      </c>
      <c r="B1578" s="20">
        <v>2022</v>
      </c>
      <c r="C1578" s="21" t="s">
        <v>181</v>
      </c>
      <c r="D1578" s="21" t="s">
        <v>181</v>
      </c>
      <c r="E1578" s="23">
        <v>62889</v>
      </c>
      <c r="F1578" s="20">
        <v>864567.91859999998</v>
      </c>
      <c r="G1578" s="30">
        <f t="shared" si="73"/>
        <v>927456.91859999998</v>
      </c>
      <c r="H1578" t="str">
        <f>IFERROR(VLOOKUP(C1578,Sheet1!$B$2:$C$25,2,FALSE),"")</f>
        <v/>
      </c>
      <c r="I1578">
        <f t="shared" si="74"/>
        <v>1613</v>
      </c>
    </row>
    <row r="1579" spans="1:9" x14ac:dyDescent="0.2">
      <c r="A1579" t="str">
        <f t="shared" si="72"/>
        <v/>
      </c>
      <c r="B1579" s="20">
        <v>2023</v>
      </c>
      <c r="C1579" s="21" t="s">
        <v>181</v>
      </c>
      <c r="D1579" s="21" t="s">
        <v>181</v>
      </c>
      <c r="E1579" s="23">
        <v>67409</v>
      </c>
      <c r="F1579" s="20">
        <v>902186.02260000003</v>
      </c>
      <c r="G1579" s="30">
        <f t="shared" si="73"/>
        <v>969595.02260000003</v>
      </c>
      <c r="H1579" t="str">
        <f>IFERROR(VLOOKUP(C1579,Sheet1!$B$2:$C$25,2,FALSE),"")</f>
        <v/>
      </c>
      <c r="I1579">
        <f t="shared" si="74"/>
        <v>1613</v>
      </c>
    </row>
    <row r="1580" spans="1:9" x14ac:dyDescent="0.2">
      <c r="A1580" t="str">
        <f t="shared" si="72"/>
        <v/>
      </c>
      <c r="B1580" s="20">
        <v>2015</v>
      </c>
      <c r="C1580" s="21" t="s">
        <v>182</v>
      </c>
      <c r="D1580" s="21" t="s">
        <v>182</v>
      </c>
      <c r="E1580" s="23">
        <v>67976</v>
      </c>
      <c r="F1580" s="20">
        <v>1066343.17</v>
      </c>
      <c r="G1580" s="30">
        <f t="shared" si="73"/>
        <v>1134319.17</v>
      </c>
      <c r="H1580" t="str">
        <f>IFERROR(VLOOKUP(C1580,Sheet1!$B$2:$C$25,2,FALSE),"")</f>
        <v/>
      </c>
      <c r="I1580">
        <f t="shared" si="74"/>
        <v>1613</v>
      </c>
    </row>
    <row r="1581" spans="1:9" x14ac:dyDescent="0.2">
      <c r="A1581" t="str">
        <f t="shared" si="72"/>
        <v/>
      </c>
      <c r="B1581" s="20">
        <v>2016</v>
      </c>
      <c r="C1581" s="21" t="s">
        <v>182</v>
      </c>
      <c r="D1581" s="21" t="s">
        <v>182</v>
      </c>
      <c r="E1581" s="23">
        <v>59755</v>
      </c>
      <c r="F1581" s="20">
        <v>932706.10860000004</v>
      </c>
      <c r="G1581" s="30">
        <f t="shared" si="73"/>
        <v>992461.10860000004</v>
      </c>
      <c r="H1581" t="str">
        <f>IFERROR(VLOOKUP(C1581,Sheet1!$B$2:$C$25,2,FALSE),"")</f>
        <v/>
      </c>
      <c r="I1581">
        <f t="shared" si="74"/>
        <v>1613</v>
      </c>
    </row>
    <row r="1582" spans="1:9" x14ac:dyDescent="0.2">
      <c r="A1582" t="str">
        <f t="shared" si="72"/>
        <v/>
      </c>
      <c r="B1582" s="20">
        <v>2017</v>
      </c>
      <c r="C1582" s="21" t="s">
        <v>182</v>
      </c>
      <c r="D1582" s="21" t="s">
        <v>182</v>
      </c>
      <c r="E1582" s="23">
        <v>61670</v>
      </c>
      <c r="F1582" s="20">
        <v>1019429.73</v>
      </c>
      <c r="G1582" s="30">
        <f t="shared" si="73"/>
        <v>1081099.73</v>
      </c>
      <c r="H1582" t="str">
        <f>IFERROR(VLOOKUP(C1582,Sheet1!$B$2:$C$25,2,FALSE),"")</f>
        <v/>
      </c>
      <c r="I1582">
        <f t="shared" si="74"/>
        <v>1613</v>
      </c>
    </row>
    <row r="1583" spans="1:9" x14ac:dyDescent="0.2">
      <c r="A1583" t="str">
        <f t="shared" si="72"/>
        <v/>
      </c>
      <c r="B1583" s="20">
        <v>2018</v>
      </c>
      <c r="C1583" s="21" t="s">
        <v>182</v>
      </c>
      <c r="D1583" s="21" t="s">
        <v>182</v>
      </c>
      <c r="E1583" s="23">
        <v>67011</v>
      </c>
      <c r="F1583" s="20">
        <v>1008267.942</v>
      </c>
      <c r="G1583" s="30">
        <f t="shared" si="73"/>
        <v>1075278.942</v>
      </c>
      <c r="H1583" t="str">
        <f>IFERROR(VLOOKUP(C1583,Sheet1!$B$2:$C$25,2,FALSE),"")</f>
        <v/>
      </c>
      <c r="I1583">
        <f t="shared" si="74"/>
        <v>1613</v>
      </c>
    </row>
    <row r="1584" spans="1:9" x14ac:dyDescent="0.2">
      <c r="A1584" t="str">
        <f t="shared" si="72"/>
        <v/>
      </c>
      <c r="B1584" s="20">
        <v>2019</v>
      </c>
      <c r="C1584" s="21" t="s">
        <v>182</v>
      </c>
      <c r="D1584" s="21" t="s">
        <v>182</v>
      </c>
      <c r="E1584" s="23">
        <v>74759</v>
      </c>
      <c r="F1584" s="20">
        <v>1075641.358</v>
      </c>
      <c r="G1584" s="30">
        <f t="shared" si="73"/>
        <v>1150400.358</v>
      </c>
      <c r="H1584" t="str">
        <f>IFERROR(VLOOKUP(C1584,Sheet1!$B$2:$C$25,2,FALSE),"")</f>
        <v/>
      </c>
      <c r="I1584">
        <f t="shared" si="74"/>
        <v>1613</v>
      </c>
    </row>
    <row r="1585" spans="1:9" x14ac:dyDescent="0.2">
      <c r="A1585" t="str">
        <f t="shared" si="72"/>
        <v/>
      </c>
      <c r="B1585" s="20">
        <v>2020</v>
      </c>
      <c r="C1585" s="21" t="s">
        <v>182</v>
      </c>
      <c r="D1585" s="21" t="s">
        <v>182</v>
      </c>
      <c r="E1585" s="23">
        <v>83946</v>
      </c>
      <c r="F1585" s="20">
        <v>1173510.085</v>
      </c>
      <c r="G1585" s="30">
        <f t="shared" si="73"/>
        <v>1257456.085</v>
      </c>
      <c r="H1585" t="str">
        <f>IFERROR(VLOOKUP(C1585,Sheet1!$B$2:$C$25,2,FALSE),"")</f>
        <v/>
      </c>
      <c r="I1585">
        <f t="shared" si="74"/>
        <v>1613</v>
      </c>
    </row>
    <row r="1586" spans="1:9" x14ac:dyDescent="0.2">
      <c r="A1586" t="str">
        <f t="shared" si="72"/>
        <v/>
      </c>
      <c r="B1586" s="20">
        <v>2021</v>
      </c>
      <c r="C1586" s="21" t="s">
        <v>182</v>
      </c>
      <c r="D1586" s="20" t="s">
        <v>182</v>
      </c>
      <c r="E1586" s="23">
        <v>97498</v>
      </c>
      <c r="F1586" s="20">
        <v>1272737.4480000001</v>
      </c>
      <c r="G1586" s="30">
        <f t="shared" si="73"/>
        <v>1370235.4480000001</v>
      </c>
      <c r="H1586" t="str">
        <f>IFERROR(VLOOKUP(C1586,Sheet1!$B$2:$C$25,2,FALSE),"")</f>
        <v/>
      </c>
      <c r="I1586">
        <f t="shared" si="74"/>
        <v>1613</v>
      </c>
    </row>
    <row r="1587" spans="1:9" x14ac:dyDescent="0.2">
      <c r="A1587" t="str">
        <f t="shared" si="72"/>
        <v/>
      </c>
      <c r="B1587" s="20">
        <v>2022</v>
      </c>
      <c r="C1587" s="21" t="s">
        <v>182</v>
      </c>
      <c r="D1587" s="21" t="s">
        <v>182</v>
      </c>
      <c r="E1587" s="23">
        <v>100690</v>
      </c>
      <c r="F1587" s="20">
        <v>1384238.0020000001</v>
      </c>
      <c r="G1587" s="30">
        <f t="shared" si="73"/>
        <v>1484928.0020000001</v>
      </c>
      <c r="H1587" t="str">
        <f>IFERROR(VLOOKUP(C1587,Sheet1!$B$2:$C$25,2,FALSE),"")</f>
        <v/>
      </c>
      <c r="I1587">
        <f t="shared" si="74"/>
        <v>1613</v>
      </c>
    </row>
    <row r="1588" spans="1:9" x14ac:dyDescent="0.2">
      <c r="A1588" t="str">
        <f t="shared" si="72"/>
        <v/>
      </c>
      <c r="B1588" s="20">
        <v>2023</v>
      </c>
      <c r="C1588" s="21" t="s">
        <v>182</v>
      </c>
      <c r="D1588" s="21" t="s">
        <v>182</v>
      </c>
      <c r="E1588" s="23">
        <v>106550</v>
      </c>
      <c r="F1588" s="20">
        <v>1426039.8570000001</v>
      </c>
      <c r="G1588" s="30">
        <f t="shared" si="73"/>
        <v>1532589.8570000001</v>
      </c>
      <c r="H1588" t="str">
        <f>IFERROR(VLOOKUP(C1588,Sheet1!$B$2:$C$25,2,FALSE),"")</f>
        <v/>
      </c>
      <c r="I1588">
        <f t="shared" si="74"/>
        <v>1613</v>
      </c>
    </row>
    <row r="1589" spans="1:9" x14ac:dyDescent="0.2">
      <c r="A1589">
        <f t="shared" si="72"/>
        <v>2400660</v>
      </c>
      <c r="B1589" s="20">
        <v>2015</v>
      </c>
      <c r="C1589" s="21" t="s">
        <v>183</v>
      </c>
      <c r="D1589" s="21" t="s">
        <v>183</v>
      </c>
      <c r="E1589" s="23">
        <v>1864791</v>
      </c>
      <c r="F1589" s="20">
        <v>29253076.760000002</v>
      </c>
      <c r="G1589" s="30">
        <f t="shared" si="73"/>
        <v>31117867.760000002</v>
      </c>
      <c r="H1589">
        <f>IFERROR(VLOOKUP(C1589,Sheet1!$B$2:$C$25,2,FALSE),"")</f>
        <v>2400660</v>
      </c>
      <c r="I1589">
        <f t="shared" si="74"/>
        <v>9</v>
      </c>
    </row>
    <row r="1590" spans="1:9" x14ac:dyDescent="0.2">
      <c r="A1590">
        <f t="shared" si="72"/>
        <v>2400660</v>
      </c>
      <c r="B1590" s="20">
        <v>2016</v>
      </c>
      <c r="C1590" s="21" t="s">
        <v>183</v>
      </c>
      <c r="D1590" s="21" t="s">
        <v>183</v>
      </c>
      <c r="E1590" s="23">
        <v>1651954</v>
      </c>
      <c r="F1590" s="20">
        <v>25785082.199999999</v>
      </c>
      <c r="G1590" s="30">
        <f t="shared" si="73"/>
        <v>27437036.199999999</v>
      </c>
      <c r="H1590">
        <f>IFERROR(VLOOKUP(C1590,Sheet1!$B$2:$C$25,2,FALSE),"")</f>
        <v>2400660</v>
      </c>
      <c r="I1590">
        <f t="shared" si="74"/>
        <v>9</v>
      </c>
    </row>
    <row r="1591" spans="1:9" x14ac:dyDescent="0.2">
      <c r="A1591">
        <f t="shared" si="72"/>
        <v>2400660</v>
      </c>
      <c r="B1591" s="20">
        <v>2017</v>
      </c>
      <c r="C1591" s="21" t="s">
        <v>183</v>
      </c>
      <c r="D1591" s="21" t="s">
        <v>183</v>
      </c>
      <c r="E1591" s="23">
        <v>1501485</v>
      </c>
      <c r="F1591" s="20">
        <v>24820146.710000001</v>
      </c>
      <c r="G1591" s="30">
        <f t="shared" si="73"/>
        <v>26321631.710000001</v>
      </c>
      <c r="H1591">
        <f>IFERROR(VLOOKUP(C1591,Sheet1!$B$2:$C$25,2,FALSE),"")</f>
        <v>2400660</v>
      </c>
      <c r="I1591">
        <f t="shared" si="74"/>
        <v>9</v>
      </c>
    </row>
    <row r="1592" spans="1:9" x14ac:dyDescent="0.2">
      <c r="A1592">
        <f t="shared" si="72"/>
        <v>2400660</v>
      </c>
      <c r="B1592" s="20">
        <v>2018</v>
      </c>
      <c r="C1592" s="21" t="s">
        <v>183</v>
      </c>
      <c r="D1592" s="21" t="s">
        <v>183</v>
      </c>
      <c r="E1592" s="23">
        <v>1745013</v>
      </c>
      <c r="F1592" s="20">
        <v>26255997.75</v>
      </c>
      <c r="G1592" s="30">
        <f t="shared" si="73"/>
        <v>28001010.75</v>
      </c>
      <c r="H1592">
        <f>IFERROR(VLOOKUP(C1592,Sheet1!$B$2:$C$25,2,FALSE),"")</f>
        <v>2400660</v>
      </c>
      <c r="I1592">
        <f t="shared" si="74"/>
        <v>9</v>
      </c>
    </row>
    <row r="1593" spans="1:9" x14ac:dyDescent="0.2">
      <c r="A1593">
        <f t="shared" si="72"/>
        <v>2400660</v>
      </c>
      <c r="B1593" s="20">
        <v>2019</v>
      </c>
      <c r="C1593" s="21" t="s">
        <v>183</v>
      </c>
      <c r="D1593" s="21" t="s">
        <v>183</v>
      </c>
      <c r="E1593" s="23">
        <v>1844557</v>
      </c>
      <c r="F1593" s="20">
        <v>26539704.859999999</v>
      </c>
      <c r="G1593" s="30">
        <f t="shared" si="73"/>
        <v>28384261.859999999</v>
      </c>
      <c r="H1593">
        <f>IFERROR(VLOOKUP(C1593,Sheet1!$B$2:$C$25,2,FALSE),"")</f>
        <v>2400660</v>
      </c>
      <c r="I1593">
        <f t="shared" si="74"/>
        <v>9</v>
      </c>
    </row>
    <row r="1594" spans="1:9" x14ac:dyDescent="0.2">
      <c r="A1594">
        <f t="shared" si="72"/>
        <v>2400660</v>
      </c>
      <c r="B1594" s="20">
        <v>2020</v>
      </c>
      <c r="C1594" s="21" t="s">
        <v>183</v>
      </c>
      <c r="D1594" s="21" t="s">
        <v>183</v>
      </c>
      <c r="E1594" s="23">
        <v>1978818</v>
      </c>
      <c r="F1594" s="20">
        <v>27662579.280000001</v>
      </c>
      <c r="G1594" s="30">
        <f t="shared" si="73"/>
        <v>29641397.280000001</v>
      </c>
      <c r="H1594">
        <f>IFERROR(VLOOKUP(C1594,Sheet1!$B$2:$C$25,2,FALSE),"")</f>
        <v>2400660</v>
      </c>
      <c r="I1594">
        <f t="shared" si="74"/>
        <v>9</v>
      </c>
    </row>
    <row r="1595" spans="1:9" x14ac:dyDescent="0.2">
      <c r="A1595">
        <f t="shared" si="72"/>
        <v>2400660</v>
      </c>
      <c r="B1595" s="20">
        <v>2021</v>
      </c>
      <c r="C1595" s="21" t="s">
        <v>183</v>
      </c>
      <c r="D1595" s="20" t="s">
        <v>183</v>
      </c>
      <c r="E1595" s="23">
        <v>2210129</v>
      </c>
      <c r="F1595" s="20">
        <v>28850991.219999999</v>
      </c>
      <c r="G1595" s="30">
        <f t="shared" si="73"/>
        <v>31061120.219999999</v>
      </c>
      <c r="H1595">
        <f>IFERROR(VLOOKUP(C1595,Sheet1!$B$2:$C$25,2,FALSE),"")</f>
        <v>2400660</v>
      </c>
      <c r="I1595">
        <f t="shared" si="74"/>
        <v>9</v>
      </c>
    </row>
    <row r="1596" spans="1:9" x14ac:dyDescent="0.2">
      <c r="A1596">
        <f t="shared" si="72"/>
        <v>2400660</v>
      </c>
      <c r="B1596" s="20">
        <v>2022</v>
      </c>
      <c r="C1596" s="21" t="s">
        <v>183</v>
      </c>
      <c r="D1596" s="21" t="s">
        <v>183</v>
      </c>
      <c r="E1596" s="23">
        <v>2255527</v>
      </c>
      <c r="F1596" s="20">
        <v>31007907.32</v>
      </c>
      <c r="G1596" s="30">
        <f t="shared" si="73"/>
        <v>33263434.32</v>
      </c>
      <c r="H1596">
        <f>IFERROR(VLOOKUP(C1596,Sheet1!$B$2:$C$25,2,FALSE),"")</f>
        <v>2400660</v>
      </c>
      <c r="I1596">
        <f t="shared" si="74"/>
        <v>9</v>
      </c>
    </row>
    <row r="1597" spans="1:9" x14ac:dyDescent="0.2">
      <c r="A1597">
        <f t="shared" si="72"/>
        <v>2400660</v>
      </c>
      <c r="B1597" s="20">
        <v>2023</v>
      </c>
      <c r="C1597" s="21" t="s">
        <v>183</v>
      </c>
      <c r="D1597" s="21" t="s">
        <v>183</v>
      </c>
      <c r="E1597" s="23">
        <v>2569261</v>
      </c>
      <c r="F1597" s="20">
        <v>34386378.119999997</v>
      </c>
      <c r="G1597" s="30">
        <f t="shared" si="73"/>
        <v>36955639.119999997</v>
      </c>
      <c r="H1597">
        <f>IFERROR(VLOOKUP(C1597,Sheet1!$B$2:$C$25,2,FALSE),"")</f>
        <v>2400660</v>
      </c>
      <c r="I1597">
        <f t="shared" si="74"/>
        <v>9</v>
      </c>
    </row>
    <row r="1598" spans="1:9" x14ac:dyDescent="0.2">
      <c r="A1598" t="str">
        <f t="shared" si="72"/>
        <v/>
      </c>
      <c r="B1598" s="20">
        <v>2015</v>
      </c>
      <c r="C1598" s="21" t="s">
        <v>184</v>
      </c>
      <c r="D1598" s="21" t="s">
        <v>184</v>
      </c>
      <c r="E1598" s="23">
        <v>73529</v>
      </c>
      <c r="F1598" s="20">
        <v>1153453.379</v>
      </c>
      <c r="G1598" s="30">
        <f t="shared" si="73"/>
        <v>1226982.379</v>
      </c>
      <c r="H1598" t="str">
        <f>IFERROR(VLOOKUP(C1598,Sheet1!$B$2:$C$25,2,FALSE),"")</f>
        <v/>
      </c>
      <c r="I1598">
        <f t="shared" si="74"/>
        <v>1613</v>
      </c>
    </row>
    <row r="1599" spans="1:9" x14ac:dyDescent="0.2">
      <c r="A1599" t="str">
        <f t="shared" si="72"/>
        <v/>
      </c>
      <c r="B1599" s="20">
        <v>2016</v>
      </c>
      <c r="C1599" s="21" t="s">
        <v>184</v>
      </c>
      <c r="D1599" s="21" t="s">
        <v>184</v>
      </c>
      <c r="E1599" s="23">
        <v>77205</v>
      </c>
      <c r="F1599" s="20">
        <v>1205080.33</v>
      </c>
      <c r="G1599" s="30">
        <f t="shared" si="73"/>
        <v>1282285.33</v>
      </c>
      <c r="H1599" t="str">
        <f>IFERROR(VLOOKUP(C1599,Sheet1!$B$2:$C$25,2,FALSE),"")</f>
        <v/>
      </c>
      <c r="I1599">
        <f t="shared" si="74"/>
        <v>1613</v>
      </c>
    </row>
    <row r="1600" spans="1:9" x14ac:dyDescent="0.2">
      <c r="A1600" t="str">
        <f t="shared" si="72"/>
        <v/>
      </c>
      <c r="B1600" s="20">
        <v>2017</v>
      </c>
      <c r="C1600" s="21" t="s">
        <v>184</v>
      </c>
      <c r="D1600" s="21" t="s">
        <v>184</v>
      </c>
      <c r="E1600" s="23">
        <v>81065</v>
      </c>
      <c r="F1600" s="20">
        <v>1340036.8259999999</v>
      </c>
      <c r="G1600" s="30">
        <f t="shared" si="73"/>
        <v>1421101.8259999999</v>
      </c>
      <c r="H1600" t="str">
        <f>IFERROR(VLOOKUP(C1600,Sheet1!$B$2:$C$25,2,FALSE),"")</f>
        <v/>
      </c>
      <c r="I1600">
        <f t="shared" si="74"/>
        <v>1613</v>
      </c>
    </row>
    <row r="1601" spans="1:9" x14ac:dyDescent="0.2">
      <c r="A1601" t="str">
        <f t="shared" si="72"/>
        <v/>
      </c>
      <c r="B1601" s="20">
        <v>2018</v>
      </c>
      <c r="C1601" s="21" t="s">
        <v>184</v>
      </c>
      <c r="D1601" s="21" t="s">
        <v>184</v>
      </c>
      <c r="E1601" s="23">
        <v>85118</v>
      </c>
      <c r="F1601" s="20">
        <v>1280711.385</v>
      </c>
      <c r="G1601" s="30">
        <f t="shared" si="73"/>
        <v>1365829.385</v>
      </c>
      <c r="H1601" t="str">
        <f>IFERROR(VLOOKUP(C1601,Sheet1!$B$2:$C$25,2,FALSE),"")</f>
        <v/>
      </c>
      <c r="I1601">
        <f t="shared" si="74"/>
        <v>1613</v>
      </c>
    </row>
    <row r="1602" spans="1:9" x14ac:dyDescent="0.2">
      <c r="A1602" t="str">
        <f t="shared" si="72"/>
        <v/>
      </c>
      <c r="B1602" s="20">
        <v>2019</v>
      </c>
      <c r="C1602" s="21" t="s">
        <v>184</v>
      </c>
      <c r="D1602" s="21" t="s">
        <v>184</v>
      </c>
      <c r="E1602" s="23">
        <v>89374</v>
      </c>
      <c r="F1602" s="20">
        <v>1285923.7109999999</v>
      </c>
      <c r="G1602" s="30">
        <f t="shared" si="73"/>
        <v>1375297.7109999999</v>
      </c>
      <c r="H1602" t="str">
        <f>IFERROR(VLOOKUP(C1602,Sheet1!$B$2:$C$25,2,FALSE),"")</f>
        <v/>
      </c>
      <c r="I1602">
        <f t="shared" si="74"/>
        <v>1613</v>
      </c>
    </row>
    <row r="1603" spans="1:9" x14ac:dyDescent="0.2">
      <c r="A1603" t="str">
        <f t="shared" ref="A1603:A1666" si="75">H1603</f>
        <v/>
      </c>
      <c r="B1603" s="20">
        <v>2020</v>
      </c>
      <c r="C1603" s="21" t="s">
        <v>184</v>
      </c>
      <c r="D1603" s="21" t="s">
        <v>184</v>
      </c>
      <c r="E1603" s="23">
        <v>93843</v>
      </c>
      <c r="F1603" s="20">
        <v>1311863.662</v>
      </c>
      <c r="G1603" s="30">
        <f t="shared" ref="G1603:G1666" si="76">SUM(E1603:F1603)</f>
        <v>1405706.662</v>
      </c>
      <c r="H1603" t="str">
        <f>IFERROR(VLOOKUP(C1603,Sheet1!$B$2:$C$25,2,FALSE),"")</f>
        <v/>
      </c>
      <c r="I1603">
        <f t="shared" ref="I1603:I1666" si="77">COUNTIF($H$2:$H$1812,H1603)</f>
        <v>1613</v>
      </c>
    </row>
    <row r="1604" spans="1:9" x14ac:dyDescent="0.2">
      <c r="A1604" t="str">
        <f t="shared" si="75"/>
        <v/>
      </c>
      <c r="B1604" s="20">
        <v>2021</v>
      </c>
      <c r="C1604" s="21" t="s">
        <v>184</v>
      </c>
      <c r="D1604" s="20" t="s">
        <v>184</v>
      </c>
      <c r="E1604" s="23" t="s">
        <v>6</v>
      </c>
      <c r="F1604" s="20">
        <v>0</v>
      </c>
      <c r="G1604" s="30">
        <f t="shared" si="76"/>
        <v>0</v>
      </c>
      <c r="H1604" t="str">
        <f>IFERROR(VLOOKUP(C1604,Sheet1!$B$2:$C$25,2,FALSE),"")</f>
        <v/>
      </c>
      <c r="I1604">
        <f t="shared" si="77"/>
        <v>1613</v>
      </c>
    </row>
    <row r="1605" spans="1:9" x14ac:dyDescent="0.2">
      <c r="A1605" t="str">
        <f t="shared" si="75"/>
        <v/>
      </c>
      <c r="B1605" s="20">
        <v>2022</v>
      </c>
      <c r="C1605" s="21" t="s">
        <v>184</v>
      </c>
      <c r="D1605" s="21" t="s">
        <v>184</v>
      </c>
      <c r="E1605" s="23" t="s">
        <v>269</v>
      </c>
      <c r="F1605" s="20">
        <v>0</v>
      </c>
      <c r="G1605" s="30">
        <f t="shared" si="76"/>
        <v>0</v>
      </c>
      <c r="H1605" t="str">
        <f>IFERROR(VLOOKUP(C1605,Sheet1!$B$2:$C$25,2,FALSE),"")</f>
        <v/>
      </c>
      <c r="I1605">
        <f t="shared" si="77"/>
        <v>1613</v>
      </c>
    </row>
    <row r="1606" spans="1:9" x14ac:dyDescent="0.2">
      <c r="A1606" t="str">
        <f t="shared" si="75"/>
        <v/>
      </c>
      <c r="B1606" s="20">
        <v>2023</v>
      </c>
      <c r="C1606" s="21" t="s">
        <v>184</v>
      </c>
      <c r="D1606" s="21" t="s">
        <v>184</v>
      </c>
      <c r="E1606" s="23" t="s">
        <v>269</v>
      </c>
      <c r="F1606" s="20">
        <v>0</v>
      </c>
      <c r="G1606" s="30">
        <f t="shared" si="76"/>
        <v>0</v>
      </c>
      <c r="H1606" t="str">
        <f>IFERROR(VLOOKUP(C1606,Sheet1!$B$2:$C$25,2,FALSE),"")</f>
        <v/>
      </c>
      <c r="I1606">
        <f t="shared" si="77"/>
        <v>1613</v>
      </c>
    </row>
    <row r="1607" spans="1:9" x14ac:dyDescent="0.2">
      <c r="A1607" t="str">
        <f t="shared" si="75"/>
        <v/>
      </c>
      <c r="B1607" s="20">
        <v>2015</v>
      </c>
      <c r="C1607" s="21" t="s">
        <v>185</v>
      </c>
      <c r="D1607" s="21" t="s">
        <v>185</v>
      </c>
      <c r="E1607" s="23">
        <v>9535</v>
      </c>
      <c r="F1607" s="20">
        <v>149576.05809999999</v>
      </c>
      <c r="G1607" s="30">
        <f t="shared" si="76"/>
        <v>159111.05809999999</v>
      </c>
      <c r="H1607" t="str">
        <f>IFERROR(VLOOKUP(C1607,Sheet1!$B$2:$C$25,2,FALSE),"")</f>
        <v/>
      </c>
      <c r="I1607">
        <f t="shared" si="77"/>
        <v>1613</v>
      </c>
    </row>
    <row r="1608" spans="1:9" x14ac:dyDescent="0.2">
      <c r="A1608" t="str">
        <f t="shared" si="75"/>
        <v/>
      </c>
      <c r="B1608" s="20">
        <v>2016</v>
      </c>
      <c r="C1608" s="21" t="s">
        <v>185</v>
      </c>
      <c r="D1608" s="21" t="s">
        <v>185</v>
      </c>
      <c r="E1608" s="23">
        <v>9573</v>
      </c>
      <c r="F1608" s="20">
        <v>149423.40520000001</v>
      </c>
      <c r="G1608" s="30">
        <f t="shared" si="76"/>
        <v>158996.40520000001</v>
      </c>
      <c r="H1608" t="str">
        <f>IFERROR(VLOOKUP(C1608,Sheet1!$B$2:$C$25,2,FALSE),"")</f>
        <v/>
      </c>
      <c r="I1608">
        <f t="shared" si="77"/>
        <v>1613</v>
      </c>
    </row>
    <row r="1609" spans="1:9" x14ac:dyDescent="0.2">
      <c r="A1609" t="str">
        <f t="shared" si="75"/>
        <v/>
      </c>
      <c r="B1609" s="20">
        <v>2017</v>
      </c>
      <c r="C1609" s="21" t="s">
        <v>185</v>
      </c>
      <c r="D1609" s="21" t="s">
        <v>185</v>
      </c>
      <c r="E1609" s="23">
        <v>9329</v>
      </c>
      <c r="F1609" s="20">
        <v>154212.09580000001</v>
      </c>
      <c r="G1609" s="30">
        <f t="shared" si="76"/>
        <v>163541.09580000001</v>
      </c>
      <c r="H1609" t="str">
        <f>IFERROR(VLOOKUP(C1609,Sheet1!$B$2:$C$25,2,FALSE),"")</f>
        <v/>
      </c>
      <c r="I1609">
        <f t="shared" si="77"/>
        <v>1613</v>
      </c>
    </row>
    <row r="1610" spans="1:9" x14ac:dyDescent="0.2">
      <c r="A1610" t="str">
        <f t="shared" si="75"/>
        <v/>
      </c>
      <c r="B1610" s="20">
        <v>2018</v>
      </c>
      <c r="C1610" s="21" t="s">
        <v>185</v>
      </c>
      <c r="D1610" s="21" t="s">
        <v>185</v>
      </c>
      <c r="E1610" s="23">
        <v>9970</v>
      </c>
      <c r="F1610" s="20">
        <v>150011.66039999999</v>
      </c>
      <c r="G1610" s="30">
        <f t="shared" si="76"/>
        <v>159981.66039999999</v>
      </c>
      <c r="H1610" t="str">
        <f>IFERROR(VLOOKUP(C1610,Sheet1!$B$2:$C$25,2,FALSE),"")</f>
        <v/>
      </c>
      <c r="I1610">
        <f t="shared" si="77"/>
        <v>1613</v>
      </c>
    </row>
    <row r="1611" spans="1:9" x14ac:dyDescent="0.2">
      <c r="A1611" t="str">
        <f t="shared" si="75"/>
        <v/>
      </c>
      <c r="B1611" s="20">
        <v>2019</v>
      </c>
      <c r="C1611" s="21" t="s">
        <v>185</v>
      </c>
      <c r="D1611" s="21" t="s">
        <v>185</v>
      </c>
      <c r="E1611" s="23">
        <v>11794</v>
      </c>
      <c r="F1611" s="20">
        <v>169693.4706</v>
      </c>
      <c r="G1611" s="30">
        <f t="shared" si="76"/>
        <v>181487.4706</v>
      </c>
      <c r="H1611" t="str">
        <f>IFERROR(VLOOKUP(C1611,Sheet1!$B$2:$C$25,2,FALSE),"")</f>
        <v/>
      </c>
      <c r="I1611">
        <f t="shared" si="77"/>
        <v>1613</v>
      </c>
    </row>
    <row r="1612" spans="1:9" x14ac:dyDescent="0.2">
      <c r="A1612" t="str">
        <f t="shared" si="75"/>
        <v/>
      </c>
      <c r="B1612" s="20">
        <v>2020</v>
      </c>
      <c r="C1612" s="21" t="s">
        <v>185</v>
      </c>
      <c r="D1612" s="21" t="s">
        <v>185</v>
      </c>
      <c r="E1612" s="23">
        <v>12761</v>
      </c>
      <c r="F1612" s="20">
        <v>178390.42</v>
      </c>
      <c r="G1612" s="30">
        <f t="shared" si="76"/>
        <v>191151.42</v>
      </c>
      <c r="H1612" t="str">
        <f>IFERROR(VLOOKUP(C1612,Sheet1!$B$2:$C$25,2,FALSE),"")</f>
        <v/>
      </c>
      <c r="I1612">
        <f t="shared" si="77"/>
        <v>1613</v>
      </c>
    </row>
    <row r="1613" spans="1:9" x14ac:dyDescent="0.2">
      <c r="A1613" t="str">
        <f t="shared" si="75"/>
        <v/>
      </c>
      <c r="B1613" s="20">
        <v>2021</v>
      </c>
      <c r="C1613" s="21" t="s">
        <v>185</v>
      </c>
      <c r="D1613" s="20" t="s">
        <v>185</v>
      </c>
      <c r="E1613" s="23" t="s">
        <v>6</v>
      </c>
      <c r="F1613" s="20">
        <v>0</v>
      </c>
      <c r="G1613" s="30">
        <f t="shared" si="76"/>
        <v>0</v>
      </c>
      <c r="H1613" t="str">
        <f>IFERROR(VLOOKUP(C1613,Sheet1!$B$2:$C$25,2,FALSE),"")</f>
        <v/>
      </c>
      <c r="I1613">
        <f t="shared" si="77"/>
        <v>1613</v>
      </c>
    </row>
    <row r="1614" spans="1:9" x14ac:dyDescent="0.2">
      <c r="A1614" t="str">
        <f t="shared" si="75"/>
        <v/>
      </c>
      <c r="B1614" s="20">
        <v>2022</v>
      </c>
      <c r="C1614" s="21" t="s">
        <v>185</v>
      </c>
      <c r="D1614" s="21" t="s">
        <v>185</v>
      </c>
      <c r="E1614" s="23">
        <v>14573</v>
      </c>
      <c r="F1614" s="20">
        <v>200342.63990000001</v>
      </c>
      <c r="G1614" s="30">
        <f t="shared" si="76"/>
        <v>214915.63990000001</v>
      </c>
      <c r="H1614" t="str">
        <f>IFERROR(VLOOKUP(C1614,Sheet1!$B$2:$C$25,2,FALSE),"")</f>
        <v/>
      </c>
      <c r="I1614">
        <f t="shared" si="77"/>
        <v>1613</v>
      </c>
    </row>
    <row r="1615" spans="1:9" x14ac:dyDescent="0.2">
      <c r="A1615" t="str">
        <f t="shared" si="75"/>
        <v/>
      </c>
      <c r="B1615" s="20">
        <v>2023</v>
      </c>
      <c r="C1615" s="21" t="s">
        <v>185</v>
      </c>
      <c r="D1615" s="21" t="s">
        <v>185</v>
      </c>
      <c r="E1615" s="23">
        <v>14907</v>
      </c>
      <c r="F1615" s="20">
        <v>199511.74230000001</v>
      </c>
      <c r="G1615" s="30">
        <f t="shared" si="76"/>
        <v>214418.74230000001</v>
      </c>
      <c r="H1615" t="str">
        <f>IFERROR(VLOOKUP(C1615,Sheet1!$B$2:$C$25,2,FALSE),"")</f>
        <v/>
      </c>
      <c r="I1615">
        <f t="shared" si="77"/>
        <v>1613</v>
      </c>
    </row>
    <row r="1616" spans="1:9" x14ac:dyDescent="0.2">
      <c r="A1616" t="str">
        <f t="shared" si="75"/>
        <v/>
      </c>
      <c r="B1616" s="20">
        <v>2015</v>
      </c>
      <c r="C1616" s="21" t="s">
        <v>186</v>
      </c>
      <c r="D1616" s="21" t="s">
        <v>186</v>
      </c>
      <c r="E1616" s="23">
        <v>446</v>
      </c>
      <c r="F1616" s="20">
        <v>6996.4259979999997</v>
      </c>
      <c r="G1616" s="30">
        <f t="shared" si="76"/>
        <v>7442.4259979999997</v>
      </c>
      <c r="H1616" t="str">
        <f>IFERROR(VLOOKUP(C1616,Sheet1!$B$2:$C$25,2,FALSE),"")</f>
        <v/>
      </c>
      <c r="I1616">
        <f t="shared" si="77"/>
        <v>1613</v>
      </c>
    </row>
    <row r="1617" spans="1:9" x14ac:dyDescent="0.2">
      <c r="A1617" t="str">
        <f t="shared" si="75"/>
        <v/>
      </c>
      <c r="B1617" s="20">
        <v>2016</v>
      </c>
      <c r="C1617" s="21" t="s">
        <v>186</v>
      </c>
      <c r="D1617" s="21" t="s">
        <v>186</v>
      </c>
      <c r="E1617" s="23">
        <v>468</v>
      </c>
      <c r="F1617" s="20">
        <v>7304.9361369999997</v>
      </c>
      <c r="G1617" s="30">
        <f t="shared" si="76"/>
        <v>7772.9361369999997</v>
      </c>
      <c r="H1617" t="str">
        <f>IFERROR(VLOOKUP(C1617,Sheet1!$B$2:$C$25,2,FALSE),"")</f>
        <v/>
      </c>
      <c r="I1617">
        <f t="shared" si="77"/>
        <v>1613</v>
      </c>
    </row>
    <row r="1618" spans="1:9" x14ac:dyDescent="0.2">
      <c r="A1618" t="str">
        <f t="shared" si="75"/>
        <v/>
      </c>
      <c r="B1618" s="20">
        <v>2017</v>
      </c>
      <c r="C1618" s="21" t="s">
        <v>186</v>
      </c>
      <c r="D1618" s="21" t="s">
        <v>186</v>
      </c>
      <c r="E1618" s="23">
        <v>491</v>
      </c>
      <c r="F1618" s="20">
        <v>8116.4260960000001</v>
      </c>
      <c r="G1618" s="30">
        <f t="shared" si="76"/>
        <v>8607.4260959999992</v>
      </c>
      <c r="H1618" t="str">
        <f>IFERROR(VLOOKUP(C1618,Sheet1!$B$2:$C$25,2,FALSE),"")</f>
        <v/>
      </c>
      <c r="I1618">
        <f t="shared" si="77"/>
        <v>1613</v>
      </c>
    </row>
    <row r="1619" spans="1:9" x14ac:dyDescent="0.2">
      <c r="A1619" t="str">
        <f t="shared" si="75"/>
        <v/>
      </c>
      <c r="B1619" s="20">
        <v>2018</v>
      </c>
      <c r="C1619" s="21" t="s">
        <v>186</v>
      </c>
      <c r="D1619" s="21" t="s">
        <v>186</v>
      </c>
      <c r="E1619" s="23">
        <v>516</v>
      </c>
      <c r="F1619" s="20">
        <v>7763.8933580000003</v>
      </c>
      <c r="G1619" s="30">
        <f t="shared" si="76"/>
        <v>8279.8933580000012</v>
      </c>
      <c r="H1619" t="str">
        <f>IFERROR(VLOOKUP(C1619,Sheet1!$B$2:$C$25,2,FALSE),"")</f>
        <v/>
      </c>
      <c r="I1619">
        <f t="shared" si="77"/>
        <v>1613</v>
      </c>
    </row>
    <row r="1620" spans="1:9" x14ac:dyDescent="0.2">
      <c r="A1620" t="str">
        <f t="shared" si="75"/>
        <v/>
      </c>
      <c r="B1620" s="20">
        <v>2019</v>
      </c>
      <c r="C1620" s="21" t="s">
        <v>186</v>
      </c>
      <c r="D1620" s="21" t="s">
        <v>186</v>
      </c>
      <c r="E1620" s="23">
        <v>542</v>
      </c>
      <c r="F1620" s="20">
        <v>7798.360275</v>
      </c>
      <c r="G1620" s="30">
        <f t="shared" si="76"/>
        <v>8340.3602749999991</v>
      </c>
      <c r="H1620" t="str">
        <f>IFERROR(VLOOKUP(C1620,Sheet1!$B$2:$C$25,2,FALSE),"")</f>
        <v/>
      </c>
      <c r="I1620">
        <f t="shared" si="77"/>
        <v>1613</v>
      </c>
    </row>
    <row r="1621" spans="1:9" x14ac:dyDescent="0.2">
      <c r="A1621" t="str">
        <f t="shared" si="75"/>
        <v/>
      </c>
      <c r="B1621" s="20">
        <v>2020</v>
      </c>
      <c r="C1621" s="21" t="s">
        <v>186</v>
      </c>
      <c r="D1621" s="21" t="s">
        <v>186</v>
      </c>
      <c r="E1621" s="23">
        <v>569</v>
      </c>
      <c r="F1621" s="20">
        <v>7954.2472369999996</v>
      </c>
      <c r="G1621" s="30">
        <f t="shared" si="76"/>
        <v>8523.2472369999996</v>
      </c>
      <c r="H1621" t="str">
        <f>IFERROR(VLOOKUP(C1621,Sheet1!$B$2:$C$25,2,FALSE),"")</f>
        <v/>
      </c>
      <c r="I1621">
        <f t="shared" si="77"/>
        <v>1613</v>
      </c>
    </row>
    <row r="1622" spans="1:9" x14ac:dyDescent="0.2">
      <c r="A1622" t="str">
        <f t="shared" si="75"/>
        <v/>
      </c>
      <c r="B1622" s="20">
        <v>2021</v>
      </c>
      <c r="C1622" s="21" t="s">
        <v>186</v>
      </c>
      <c r="D1622" s="20" t="s">
        <v>186</v>
      </c>
      <c r="E1622" s="23" t="s">
        <v>6</v>
      </c>
      <c r="F1622" s="20">
        <v>0</v>
      </c>
      <c r="G1622" s="30">
        <f t="shared" si="76"/>
        <v>0</v>
      </c>
      <c r="H1622" t="str">
        <f>IFERROR(VLOOKUP(C1622,Sheet1!$B$2:$C$25,2,FALSE),"")</f>
        <v/>
      </c>
      <c r="I1622">
        <f t="shared" si="77"/>
        <v>1613</v>
      </c>
    </row>
    <row r="1623" spans="1:9" x14ac:dyDescent="0.2">
      <c r="A1623" t="str">
        <f t="shared" si="75"/>
        <v/>
      </c>
      <c r="B1623" s="20">
        <v>2022</v>
      </c>
      <c r="C1623" s="21" t="s">
        <v>186</v>
      </c>
      <c r="D1623" s="21" t="s">
        <v>186</v>
      </c>
      <c r="E1623" s="23" t="s">
        <v>269</v>
      </c>
      <c r="F1623" s="20">
        <v>0</v>
      </c>
      <c r="G1623" s="30">
        <f t="shared" si="76"/>
        <v>0</v>
      </c>
      <c r="H1623" t="str">
        <f>IFERROR(VLOOKUP(C1623,Sheet1!$B$2:$C$25,2,FALSE),"")</f>
        <v/>
      </c>
      <c r="I1623">
        <f t="shared" si="77"/>
        <v>1613</v>
      </c>
    </row>
    <row r="1624" spans="1:9" x14ac:dyDescent="0.2">
      <c r="A1624" t="str">
        <f t="shared" si="75"/>
        <v/>
      </c>
      <c r="B1624" s="20">
        <v>2023</v>
      </c>
      <c r="C1624" s="21" t="s">
        <v>186</v>
      </c>
      <c r="D1624" s="21" t="s">
        <v>186</v>
      </c>
      <c r="E1624" s="23" t="s">
        <v>269</v>
      </c>
      <c r="F1624" s="20">
        <v>0</v>
      </c>
      <c r="G1624" s="30">
        <f t="shared" si="76"/>
        <v>0</v>
      </c>
      <c r="H1624" t="str">
        <f>IFERROR(VLOOKUP(C1624,Sheet1!$B$2:$C$25,2,FALSE),"")</f>
        <v/>
      </c>
      <c r="I1624">
        <f t="shared" si="77"/>
        <v>1613</v>
      </c>
    </row>
    <row r="1625" spans="1:9" x14ac:dyDescent="0.2">
      <c r="A1625" t="str">
        <f t="shared" si="75"/>
        <v/>
      </c>
      <c r="B1625" s="20">
        <v>2015</v>
      </c>
      <c r="C1625" s="21" t="s">
        <v>187</v>
      </c>
      <c r="D1625" s="21" t="s">
        <v>187</v>
      </c>
      <c r="E1625" s="23">
        <v>59332</v>
      </c>
      <c r="F1625" s="20">
        <v>930744.27650000004</v>
      </c>
      <c r="G1625" s="30">
        <f t="shared" si="76"/>
        <v>990076.27650000004</v>
      </c>
      <c r="H1625" t="str">
        <f>IFERROR(VLOOKUP(C1625,Sheet1!$B$2:$C$25,2,FALSE),"")</f>
        <v/>
      </c>
      <c r="I1625">
        <f t="shared" si="77"/>
        <v>1613</v>
      </c>
    </row>
    <row r="1626" spans="1:9" x14ac:dyDescent="0.2">
      <c r="A1626" t="str">
        <f t="shared" si="75"/>
        <v/>
      </c>
      <c r="B1626" s="20">
        <v>2016</v>
      </c>
      <c r="C1626" s="21" t="s">
        <v>187</v>
      </c>
      <c r="D1626" s="21" t="s">
        <v>187</v>
      </c>
      <c r="E1626" s="23">
        <v>62299</v>
      </c>
      <c r="F1626" s="20">
        <v>972414.99230000004</v>
      </c>
      <c r="G1626" s="30">
        <f t="shared" si="76"/>
        <v>1034713.9923</v>
      </c>
      <c r="H1626" t="str">
        <f>IFERROR(VLOOKUP(C1626,Sheet1!$B$2:$C$25,2,FALSE),"")</f>
        <v/>
      </c>
      <c r="I1626">
        <f t="shared" si="77"/>
        <v>1613</v>
      </c>
    </row>
    <row r="1627" spans="1:9" x14ac:dyDescent="0.2">
      <c r="A1627" t="str">
        <f t="shared" si="75"/>
        <v/>
      </c>
      <c r="B1627" s="20">
        <v>2017</v>
      </c>
      <c r="C1627" s="21" t="s">
        <v>187</v>
      </c>
      <c r="D1627" s="21" t="s">
        <v>187</v>
      </c>
      <c r="E1627" s="23">
        <v>65414</v>
      </c>
      <c r="F1627" s="20">
        <v>1081319.5449999999</v>
      </c>
      <c r="G1627" s="30">
        <f t="shared" si="76"/>
        <v>1146733.5449999999</v>
      </c>
      <c r="H1627" t="str">
        <f>IFERROR(VLOOKUP(C1627,Sheet1!$B$2:$C$25,2,FALSE),"")</f>
        <v/>
      </c>
      <c r="I1627">
        <f t="shared" si="77"/>
        <v>1613</v>
      </c>
    </row>
    <row r="1628" spans="1:9" x14ac:dyDescent="0.2">
      <c r="A1628" t="str">
        <f t="shared" si="75"/>
        <v/>
      </c>
      <c r="B1628" s="20">
        <v>2018</v>
      </c>
      <c r="C1628" s="21" t="s">
        <v>187</v>
      </c>
      <c r="D1628" s="21" t="s">
        <v>187</v>
      </c>
      <c r="E1628" s="23">
        <v>68685</v>
      </c>
      <c r="F1628" s="20">
        <v>1033455.456</v>
      </c>
      <c r="G1628" s="30">
        <f t="shared" si="76"/>
        <v>1102140.456</v>
      </c>
      <c r="H1628" t="str">
        <f>IFERROR(VLOOKUP(C1628,Sheet1!$B$2:$C$25,2,FALSE),"")</f>
        <v/>
      </c>
      <c r="I1628">
        <f t="shared" si="77"/>
        <v>1613</v>
      </c>
    </row>
    <row r="1629" spans="1:9" x14ac:dyDescent="0.2">
      <c r="A1629" t="str">
        <f t="shared" si="75"/>
        <v/>
      </c>
      <c r="B1629" s="20">
        <v>2019</v>
      </c>
      <c r="C1629" s="21" t="s">
        <v>187</v>
      </c>
      <c r="D1629" s="21" t="s">
        <v>187</v>
      </c>
      <c r="E1629" s="23">
        <v>72119</v>
      </c>
      <c r="F1629" s="20">
        <v>1037656.725</v>
      </c>
      <c r="G1629" s="30">
        <f t="shared" si="76"/>
        <v>1109775.7250000001</v>
      </c>
      <c r="H1629" t="str">
        <f>IFERROR(VLOOKUP(C1629,Sheet1!$B$2:$C$25,2,FALSE),"")</f>
        <v/>
      </c>
      <c r="I1629">
        <f t="shared" si="77"/>
        <v>1613</v>
      </c>
    </row>
    <row r="1630" spans="1:9" x14ac:dyDescent="0.2">
      <c r="A1630" t="str">
        <f t="shared" si="75"/>
        <v/>
      </c>
      <c r="B1630" s="20">
        <v>2020</v>
      </c>
      <c r="C1630" s="21" t="s">
        <v>187</v>
      </c>
      <c r="D1630" s="21" t="s">
        <v>187</v>
      </c>
      <c r="E1630" s="23">
        <v>75725</v>
      </c>
      <c r="F1630" s="20">
        <v>1058585.8910000001</v>
      </c>
      <c r="G1630" s="30">
        <f t="shared" si="76"/>
        <v>1134310.8910000001</v>
      </c>
      <c r="H1630" t="str">
        <f>IFERROR(VLOOKUP(C1630,Sheet1!$B$2:$C$25,2,FALSE),"")</f>
        <v/>
      </c>
      <c r="I1630">
        <f t="shared" si="77"/>
        <v>1613</v>
      </c>
    </row>
    <row r="1631" spans="1:9" x14ac:dyDescent="0.2">
      <c r="A1631" t="str">
        <f t="shared" si="75"/>
        <v/>
      </c>
      <c r="B1631" s="20">
        <v>2021</v>
      </c>
      <c r="C1631" s="21" t="s">
        <v>187</v>
      </c>
      <c r="D1631" s="20" t="s">
        <v>187</v>
      </c>
      <c r="E1631" s="23" t="s">
        <v>6</v>
      </c>
      <c r="F1631" s="20">
        <v>0</v>
      </c>
      <c r="G1631" s="30">
        <f t="shared" si="76"/>
        <v>0</v>
      </c>
      <c r="H1631" t="str">
        <f>IFERROR(VLOOKUP(C1631,Sheet1!$B$2:$C$25,2,FALSE),"")</f>
        <v/>
      </c>
      <c r="I1631">
        <f t="shared" si="77"/>
        <v>1613</v>
      </c>
    </row>
    <row r="1632" spans="1:9" x14ac:dyDescent="0.2">
      <c r="A1632" t="str">
        <f t="shared" si="75"/>
        <v/>
      </c>
      <c r="B1632" s="20">
        <v>2022</v>
      </c>
      <c r="C1632" s="21" t="s">
        <v>187</v>
      </c>
      <c r="D1632" s="21" t="s">
        <v>187</v>
      </c>
      <c r="E1632" s="23" t="s">
        <v>269</v>
      </c>
      <c r="F1632" s="20">
        <v>0</v>
      </c>
      <c r="G1632" s="30">
        <f t="shared" si="76"/>
        <v>0</v>
      </c>
      <c r="H1632" t="str">
        <f>IFERROR(VLOOKUP(C1632,Sheet1!$B$2:$C$25,2,FALSE),"")</f>
        <v/>
      </c>
      <c r="I1632">
        <f t="shared" si="77"/>
        <v>1613</v>
      </c>
    </row>
    <row r="1633" spans="1:9" x14ac:dyDescent="0.2">
      <c r="A1633" t="str">
        <f t="shared" si="75"/>
        <v/>
      </c>
      <c r="B1633" s="20">
        <v>2023</v>
      </c>
      <c r="C1633" s="21" t="s">
        <v>187</v>
      </c>
      <c r="D1633" s="21" t="s">
        <v>187</v>
      </c>
      <c r="E1633" s="23" t="s">
        <v>269</v>
      </c>
      <c r="F1633" s="20">
        <v>0</v>
      </c>
      <c r="G1633" s="30">
        <f t="shared" si="76"/>
        <v>0</v>
      </c>
      <c r="H1633" t="str">
        <f>IFERROR(VLOOKUP(C1633,Sheet1!$B$2:$C$25,2,FALSE),"")</f>
        <v/>
      </c>
      <c r="I1633">
        <f t="shared" si="77"/>
        <v>1613</v>
      </c>
    </row>
    <row r="1634" spans="1:9" x14ac:dyDescent="0.2">
      <c r="A1634" t="str">
        <f t="shared" si="75"/>
        <v/>
      </c>
      <c r="B1634" s="20">
        <v>2015</v>
      </c>
      <c r="C1634" s="21" t="s">
        <v>188</v>
      </c>
      <c r="D1634" s="21" t="s">
        <v>188</v>
      </c>
      <c r="E1634" s="23">
        <v>17909</v>
      </c>
      <c r="F1634" s="20">
        <v>280939.44660000002</v>
      </c>
      <c r="G1634" s="30">
        <f t="shared" si="76"/>
        <v>298848.44660000002</v>
      </c>
      <c r="H1634" t="str">
        <f>IFERROR(VLOOKUP(C1634,Sheet1!$B$2:$C$25,2,FALSE),"")</f>
        <v/>
      </c>
      <c r="I1634">
        <f t="shared" si="77"/>
        <v>1613</v>
      </c>
    </row>
    <row r="1635" spans="1:9" x14ac:dyDescent="0.2">
      <c r="A1635" t="str">
        <f t="shared" si="75"/>
        <v/>
      </c>
      <c r="B1635" s="20">
        <v>2016</v>
      </c>
      <c r="C1635" s="21" t="s">
        <v>188</v>
      </c>
      <c r="D1635" s="21" t="s">
        <v>188</v>
      </c>
      <c r="E1635" s="23">
        <v>18804</v>
      </c>
      <c r="F1635" s="20">
        <v>293508.58789999998</v>
      </c>
      <c r="G1635" s="30">
        <f t="shared" si="76"/>
        <v>312312.58789999998</v>
      </c>
      <c r="H1635" t="str">
        <f>IFERROR(VLOOKUP(C1635,Sheet1!$B$2:$C$25,2,FALSE),"")</f>
        <v/>
      </c>
      <c r="I1635">
        <f t="shared" si="77"/>
        <v>1613</v>
      </c>
    </row>
    <row r="1636" spans="1:9" x14ac:dyDescent="0.2">
      <c r="A1636" t="str">
        <f t="shared" si="75"/>
        <v/>
      </c>
      <c r="B1636" s="20">
        <v>2017</v>
      </c>
      <c r="C1636" s="21" t="s">
        <v>188</v>
      </c>
      <c r="D1636" s="21" t="s">
        <v>188</v>
      </c>
      <c r="E1636" s="23">
        <v>19744</v>
      </c>
      <c r="F1636" s="20">
        <v>326376.20539999998</v>
      </c>
      <c r="G1636" s="30">
        <f t="shared" si="76"/>
        <v>346120.20539999998</v>
      </c>
      <c r="H1636" t="str">
        <f>IFERROR(VLOOKUP(C1636,Sheet1!$B$2:$C$25,2,FALSE),"")</f>
        <v/>
      </c>
      <c r="I1636">
        <f t="shared" si="77"/>
        <v>1613</v>
      </c>
    </row>
    <row r="1637" spans="1:9" x14ac:dyDescent="0.2">
      <c r="A1637" t="str">
        <f t="shared" si="75"/>
        <v/>
      </c>
      <c r="B1637" s="20">
        <v>2018</v>
      </c>
      <c r="C1637" s="21" t="s">
        <v>188</v>
      </c>
      <c r="D1637" s="21" t="s">
        <v>188</v>
      </c>
      <c r="E1637" s="23">
        <v>20731</v>
      </c>
      <c r="F1637" s="20">
        <v>311924.94809999998</v>
      </c>
      <c r="G1637" s="30">
        <f t="shared" si="76"/>
        <v>332655.94809999998</v>
      </c>
      <c r="H1637" t="str">
        <f>IFERROR(VLOOKUP(C1637,Sheet1!$B$2:$C$25,2,FALSE),"")</f>
        <v/>
      </c>
      <c r="I1637">
        <f t="shared" si="77"/>
        <v>1613</v>
      </c>
    </row>
    <row r="1638" spans="1:9" x14ac:dyDescent="0.2">
      <c r="A1638" t="str">
        <f t="shared" si="75"/>
        <v/>
      </c>
      <c r="B1638" s="20">
        <v>2019</v>
      </c>
      <c r="C1638" s="21" t="s">
        <v>188</v>
      </c>
      <c r="D1638" s="21" t="s">
        <v>188</v>
      </c>
      <c r="E1638" s="23">
        <v>21768</v>
      </c>
      <c r="F1638" s="20">
        <v>313200.56540000002</v>
      </c>
      <c r="G1638" s="30">
        <f t="shared" si="76"/>
        <v>334968.56540000002</v>
      </c>
      <c r="H1638" t="str">
        <f>IFERROR(VLOOKUP(C1638,Sheet1!$B$2:$C$25,2,FALSE),"")</f>
        <v/>
      </c>
      <c r="I1638">
        <f t="shared" si="77"/>
        <v>1613</v>
      </c>
    </row>
    <row r="1639" spans="1:9" x14ac:dyDescent="0.2">
      <c r="A1639" t="str">
        <f t="shared" si="75"/>
        <v/>
      </c>
      <c r="B1639" s="20">
        <v>2020</v>
      </c>
      <c r="C1639" s="21" t="s">
        <v>188</v>
      </c>
      <c r="D1639" s="21" t="s">
        <v>188</v>
      </c>
      <c r="E1639" s="23">
        <v>22856</v>
      </c>
      <c r="F1639" s="20">
        <v>319511.90659999999</v>
      </c>
      <c r="G1639" s="30">
        <f t="shared" si="76"/>
        <v>342367.90659999999</v>
      </c>
      <c r="H1639" t="str">
        <f>IFERROR(VLOOKUP(C1639,Sheet1!$B$2:$C$25,2,FALSE),"")</f>
        <v/>
      </c>
      <c r="I1639">
        <f t="shared" si="77"/>
        <v>1613</v>
      </c>
    </row>
    <row r="1640" spans="1:9" x14ac:dyDescent="0.2">
      <c r="A1640" t="str">
        <f t="shared" si="75"/>
        <v/>
      </c>
      <c r="B1640" s="20">
        <v>2021</v>
      </c>
      <c r="C1640" s="21" t="s">
        <v>188</v>
      </c>
      <c r="D1640" s="20" t="s">
        <v>188</v>
      </c>
      <c r="E1640" s="23" t="s">
        <v>6</v>
      </c>
      <c r="F1640" s="20">
        <v>0</v>
      </c>
      <c r="G1640" s="30">
        <f t="shared" si="76"/>
        <v>0</v>
      </c>
      <c r="H1640" t="str">
        <f>IFERROR(VLOOKUP(C1640,Sheet1!$B$2:$C$25,2,FALSE),"")</f>
        <v/>
      </c>
      <c r="I1640">
        <f t="shared" si="77"/>
        <v>1613</v>
      </c>
    </row>
    <row r="1641" spans="1:9" x14ac:dyDescent="0.2">
      <c r="A1641" t="str">
        <f t="shared" si="75"/>
        <v/>
      </c>
      <c r="B1641" s="20">
        <v>2022</v>
      </c>
      <c r="C1641" s="21" t="s">
        <v>188</v>
      </c>
      <c r="D1641" s="21" t="s">
        <v>188</v>
      </c>
      <c r="E1641" s="23" t="s">
        <v>269</v>
      </c>
      <c r="F1641" s="20">
        <v>0</v>
      </c>
      <c r="G1641" s="30">
        <f t="shared" si="76"/>
        <v>0</v>
      </c>
      <c r="H1641" t="str">
        <f>IFERROR(VLOOKUP(C1641,Sheet1!$B$2:$C$25,2,FALSE),"")</f>
        <v/>
      </c>
      <c r="I1641">
        <f t="shared" si="77"/>
        <v>1613</v>
      </c>
    </row>
    <row r="1642" spans="1:9" x14ac:dyDescent="0.2">
      <c r="A1642" t="str">
        <f t="shared" si="75"/>
        <v/>
      </c>
      <c r="B1642" s="20">
        <v>2023</v>
      </c>
      <c r="C1642" s="21" t="s">
        <v>188</v>
      </c>
      <c r="D1642" s="21" t="s">
        <v>188</v>
      </c>
      <c r="E1642" s="23" t="s">
        <v>269</v>
      </c>
      <c r="F1642" s="20">
        <v>0</v>
      </c>
      <c r="G1642" s="30">
        <f t="shared" si="76"/>
        <v>0</v>
      </c>
      <c r="H1642" t="str">
        <f>IFERROR(VLOOKUP(C1642,Sheet1!$B$2:$C$25,2,FALSE),"")</f>
        <v/>
      </c>
      <c r="I1642">
        <f t="shared" si="77"/>
        <v>1613</v>
      </c>
    </row>
    <row r="1643" spans="1:9" x14ac:dyDescent="0.2">
      <c r="A1643" t="str">
        <f t="shared" si="75"/>
        <v/>
      </c>
      <c r="B1643" s="20">
        <v>2015</v>
      </c>
      <c r="C1643" s="21" t="s">
        <v>190</v>
      </c>
      <c r="D1643" s="21" t="s">
        <v>190</v>
      </c>
      <c r="E1643" s="23">
        <v>8305</v>
      </c>
      <c r="F1643" s="20">
        <v>130280.9819</v>
      </c>
      <c r="G1643" s="30">
        <f t="shared" si="76"/>
        <v>138585.98190000001</v>
      </c>
      <c r="H1643" t="str">
        <f>IFERROR(VLOOKUP(C1643,Sheet1!$B$2:$C$25,2,FALSE),"")</f>
        <v/>
      </c>
      <c r="I1643">
        <f t="shared" si="77"/>
        <v>1613</v>
      </c>
    </row>
    <row r="1644" spans="1:9" x14ac:dyDescent="0.2">
      <c r="A1644" t="str">
        <f t="shared" si="75"/>
        <v/>
      </c>
      <c r="B1644" s="20">
        <v>2016</v>
      </c>
      <c r="C1644" s="21" t="s">
        <v>190</v>
      </c>
      <c r="D1644" s="21" t="s">
        <v>190</v>
      </c>
      <c r="E1644" s="23">
        <v>6573</v>
      </c>
      <c r="F1644" s="20">
        <v>102596.8915</v>
      </c>
      <c r="G1644" s="30">
        <f t="shared" si="76"/>
        <v>109169.8915</v>
      </c>
      <c r="H1644" t="str">
        <f>IFERROR(VLOOKUP(C1644,Sheet1!$B$2:$C$25,2,FALSE),"")</f>
        <v/>
      </c>
      <c r="I1644">
        <f t="shared" si="77"/>
        <v>1613</v>
      </c>
    </row>
    <row r="1645" spans="1:9" x14ac:dyDescent="0.2">
      <c r="A1645" t="str">
        <f t="shared" si="75"/>
        <v/>
      </c>
      <c r="B1645" s="20">
        <v>2017</v>
      </c>
      <c r="C1645" s="21" t="s">
        <v>190</v>
      </c>
      <c r="D1645" s="21" t="s">
        <v>190</v>
      </c>
      <c r="E1645" s="23">
        <v>8012</v>
      </c>
      <c r="F1645" s="20">
        <v>132441.55979999999</v>
      </c>
      <c r="G1645" s="30">
        <f t="shared" si="76"/>
        <v>140453.55979999999</v>
      </c>
      <c r="H1645" t="str">
        <f>IFERROR(VLOOKUP(C1645,Sheet1!$B$2:$C$25,2,FALSE),"")</f>
        <v/>
      </c>
      <c r="I1645">
        <f t="shared" si="77"/>
        <v>1613</v>
      </c>
    </row>
    <row r="1646" spans="1:9" x14ac:dyDescent="0.2">
      <c r="A1646" t="str">
        <f t="shared" si="75"/>
        <v/>
      </c>
      <c r="B1646" s="20">
        <v>2018</v>
      </c>
      <c r="C1646" s="21" t="s">
        <v>190</v>
      </c>
      <c r="D1646" s="21" t="s">
        <v>226</v>
      </c>
      <c r="E1646" s="23">
        <v>7796</v>
      </c>
      <c r="F1646" s="20">
        <v>117300.9935</v>
      </c>
      <c r="G1646" s="30">
        <f t="shared" si="76"/>
        <v>125096.9935</v>
      </c>
      <c r="H1646" t="str">
        <f>IFERROR(VLOOKUP(C1646,Sheet1!$B$2:$C$25,2,FALSE),"")</f>
        <v/>
      </c>
      <c r="I1646">
        <f t="shared" si="77"/>
        <v>1613</v>
      </c>
    </row>
    <row r="1647" spans="1:9" x14ac:dyDescent="0.2">
      <c r="A1647" t="str">
        <f t="shared" si="75"/>
        <v/>
      </c>
      <c r="B1647" s="20">
        <v>2019</v>
      </c>
      <c r="C1647" s="21" t="s">
        <v>190</v>
      </c>
      <c r="D1647" s="21" t="s">
        <v>190</v>
      </c>
      <c r="E1647" s="23">
        <v>7502</v>
      </c>
      <c r="F1647" s="20">
        <v>107939.6657</v>
      </c>
      <c r="G1647" s="30">
        <f t="shared" si="76"/>
        <v>115441.6657</v>
      </c>
      <c r="H1647" t="str">
        <f>IFERROR(VLOOKUP(C1647,Sheet1!$B$2:$C$25,2,FALSE),"")</f>
        <v/>
      </c>
      <c r="I1647">
        <f t="shared" si="77"/>
        <v>1613</v>
      </c>
    </row>
    <row r="1648" spans="1:9" x14ac:dyDescent="0.2">
      <c r="A1648" t="str">
        <f t="shared" si="75"/>
        <v/>
      </c>
      <c r="B1648" s="20">
        <v>2020</v>
      </c>
      <c r="C1648" s="21" t="s">
        <v>190</v>
      </c>
      <c r="D1648" s="21" t="s">
        <v>190</v>
      </c>
      <c r="E1648" s="23">
        <v>8949</v>
      </c>
      <c r="F1648" s="20">
        <v>125101.15730000001</v>
      </c>
      <c r="G1648" s="30">
        <f t="shared" si="76"/>
        <v>134050.15730000002</v>
      </c>
      <c r="H1648" t="str">
        <f>IFERROR(VLOOKUP(C1648,Sheet1!$B$2:$C$25,2,FALSE),"")</f>
        <v/>
      </c>
      <c r="I1648">
        <f t="shared" si="77"/>
        <v>1613</v>
      </c>
    </row>
    <row r="1649" spans="1:9" x14ac:dyDescent="0.2">
      <c r="A1649" t="str">
        <f t="shared" si="75"/>
        <v/>
      </c>
      <c r="B1649" s="20">
        <v>2021</v>
      </c>
      <c r="C1649" s="21" t="s">
        <v>190</v>
      </c>
      <c r="D1649" s="20" t="s">
        <v>190</v>
      </c>
      <c r="E1649" s="23">
        <v>6611</v>
      </c>
      <c r="F1649" s="20">
        <v>86299.896059999999</v>
      </c>
      <c r="G1649" s="30">
        <f t="shared" si="76"/>
        <v>92910.896059999999</v>
      </c>
      <c r="H1649" t="str">
        <f>IFERROR(VLOOKUP(C1649,Sheet1!$B$2:$C$25,2,FALSE),"")</f>
        <v/>
      </c>
      <c r="I1649">
        <f t="shared" si="77"/>
        <v>1613</v>
      </c>
    </row>
    <row r="1650" spans="1:9" x14ac:dyDescent="0.2">
      <c r="A1650" t="str">
        <f t="shared" si="75"/>
        <v/>
      </c>
      <c r="B1650" s="20">
        <v>2022</v>
      </c>
      <c r="C1650" s="21" t="s">
        <v>190</v>
      </c>
      <c r="D1650" s="21" t="s">
        <v>190</v>
      </c>
      <c r="E1650" s="23">
        <v>9336</v>
      </c>
      <c r="F1650" s="20">
        <v>128346.8665</v>
      </c>
      <c r="G1650" s="30">
        <f t="shared" si="76"/>
        <v>137682.8665</v>
      </c>
      <c r="H1650" t="str">
        <f>IFERROR(VLOOKUP(C1650,Sheet1!$B$2:$C$25,2,FALSE),"")</f>
        <v/>
      </c>
      <c r="I1650">
        <f t="shared" si="77"/>
        <v>1613</v>
      </c>
    </row>
    <row r="1651" spans="1:9" x14ac:dyDescent="0.2">
      <c r="A1651" t="str">
        <f t="shared" si="75"/>
        <v/>
      </c>
      <c r="B1651" s="20">
        <v>2023</v>
      </c>
      <c r="C1651" s="21" t="s">
        <v>190</v>
      </c>
      <c r="D1651" s="21" t="s">
        <v>190</v>
      </c>
      <c r="E1651" s="23">
        <v>7505</v>
      </c>
      <c r="F1651" s="20">
        <v>100445.1349</v>
      </c>
      <c r="G1651" s="30">
        <f t="shared" si="76"/>
        <v>107950.1349</v>
      </c>
      <c r="H1651" t="str">
        <f>IFERROR(VLOOKUP(C1651,Sheet1!$B$2:$C$25,2,FALSE),"")</f>
        <v/>
      </c>
      <c r="I1651">
        <f t="shared" si="77"/>
        <v>1613</v>
      </c>
    </row>
    <row r="1652" spans="1:9" x14ac:dyDescent="0.2">
      <c r="A1652" t="str">
        <f t="shared" si="75"/>
        <v/>
      </c>
      <c r="B1652" s="20">
        <v>2015</v>
      </c>
      <c r="C1652" s="21" t="s">
        <v>191</v>
      </c>
      <c r="D1652" s="21" t="s">
        <v>191</v>
      </c>
      <c r="E1652" s="23">
        <v>440932</v>
      </c>
      <c r="F1652" s="20">
        <v>6916924.0089999996</v>
      </c>
      <c r="G1652" s="30">
        <f t="shared" si="76"/>
        <v>7357856.0089999996</v>
      </c>
      <c r="H1652" t="str">
        <f>IFERROR(VLOOKUP(C1652,Sheet1!$B$2:$C$25,2,FALSE),"")</f>
        <v/>
      </c>
      <c r="I1652">
        <f t="shared" si="77"/>
        <v>1613</v>
      </c>
    </row>
    <row r="1653" spans="1:9" x14ac:dyDescent="0.2">
      <c r="A1653" t="str">
        <f t="shared" si="75"/>
        <v/>
      </c>
      <c r="B1653" s="20">
        <v>2016</v>
      </c>
      <c r="C1653" s="21" t="s">
        <v>191</v>
      </c>
      <c r="D1653" s="21" t="s">
        <v>191</v>
      </c>
      <c r="E1653" s="23">
        <v>387173</v>
      </c>
      <c r="F1653" s="20">
        <v>6043320.5959999999</v>
      </c>
      <c r="G1653" s="30">
        <f t="shared" si="76"/>
        <v>6430493.5959999999</v>
      </c>
      <c r="H1653" t="str">
        <f>IFERROR(VLOOKUP(C1653,Sheet1!$B$2:$C$25,2,FALSE),"")</f>
        <v/>
      </c>
      <c r="I1653">
        <f t="shared" si="77"/>
        <v>1613</v>
      </c>
    </row>
    <row r="1654" spans="1:9" x14ac:dyDescent="0.2">
      <c r="A1654" t="str">
        <f t="shared" si="75"/>
        <v/>
      </c>
      <c r="B1654" s="20">
        <v>2017</v>
      </c>
      <c r="C1654" s="21" t="s">
        <v>191</v>
      </c>
      <c r="D1654" s="21" t="s">
        <v>191</v>
      </c>
      <c r="E1654" s="23">
        <v>383806</v>
      </c>
      <c r="F1654" s="20">
        <v>6344466.4649999999</v>
      </c>
      <c r="G1654" s="30">
        <f t="shared" si="76"/>
        <v>6728272.4649999999</v>
      </c>
      <c r="H1654" t="str">
        <f>IFERROR(VLOOKUP(C1654,Sheet1!$B$2:$C$25,2,FALSE),"")</f>
        <v/>
      </c>
      <c r="I1654">
        <f t="shared" si="77"/>
        <v>1613</v>
      </c>
    </row>
    <row r="1655" spans="1:9" x14ac:dyDescent="0.2">
      <c r="A1655" t="str">
        <f t="shared" si="75"/>
        <v/>
      </c>
      <c r="B1655" s="20">
        <v>2018</v>
      </c>
      <c r="C1655" s="21" t="s">
        <v>191</v>
      </c>
      <c r="D1655" s="21" t="s">
        <v>191</v>
      </c>
      <c r="E1655" s="23">
        <v>431864</v>
      </c>
      <c r="F1655" s="20">
        <v>6497957.4440000001</v>
      </c>
      <c r="G1655" s="30">
        <f t="shared" si="76"/>
        <v>6929821.4440000001</v>
      </c>
      <c r="H1655" t="str">
        <f>IFERROR(VLOOKUP(C1655,Sheet1!$B$2:$C$25,2,FALSE),"")</f>
        <v/>
      </c>
      <c r="I1655">
        <f t="shared" si="77"/>
        <v>1613</v>
      </c>
    </row>
    <row r="1656" spans="1:9" x14ac:dyDescent="0.2">
      <c r="A1656" t="str">
        <f t="shared" si="75"/>
        <v/>
      </c>
      <c r="B1656" s="20">
        <v>2019</v>
      </c>
      <c r="C1656" s="21" t="s">
        <v>191</v>
      </c>
      <c r="D1656" s="21" t="s">
        <v>191</v>
      </c>
      <c r="E1656" s="23">
        <v>485324</v>
      </c>
      <c r="F1656" s="20">
        <v>6982899.2659999998</v>
      </c>
      <c r="G1656" s="30">
        <f t="shared" si="76"/>
        <v>7468223.2659999998</v>
      </c>
      <c r="H1656" t="str">
        <f>IFERROR(VLOOKUP(C1656,Sheet1!$B$2:$C$25,2,FALSE),"")</f>
        <v/>
      </c>
      <c r="I1656">
        <f t="shared" si="77"/>
        <v>1613</v>
      </c>
    </row>
    <row r="1657" spans="1:9" x14ac:dyDescent="0.2">
      <c r="A1657" t="str">
        <f t="shared" si="75"/>
        <v/>
      </c>
      <c r="B1657" s="20">
        <v>2020</v>
      </c>
      <c r="C1657" s="21" t="s">
        <v>191</v>
      </c>
      <c r="D1657" s="21" t="s">
        <v>191</v>
      </c>
      <c r="E1657" s="23">
        <v>518454</v>
      </c>
      <c r="F1657" s="20">
        <v>7247647.2699999996</v>
      </c>
      <c r="G1657" s="30">
        <f t="shared" si="76"/>
        <v>7766101.2699999996</v>
      </c>
      <c r="H1657" t="str">
        <f>IFERROR(VLOOKUP(C1657,Sheet1!$B$2:$C$25,2,FALSE),"")</f>
        <v/>
      </c>
      <c r="I1657">
        <f t="shared" si="77"/>
        <v>1613</v>
      </c>
    </row>
    <row r="1658" spans="1:9" x14ac:dyDescent="0.2">
      <c r="A1658" t="str">
        <f t="shared" si="75"/>
        <v/>
      </c>
      <c r="B1658" s="20">
        <v>2021</v>
      </c>
      <c r="C1658" s="21" t="s">
        <v>191</v>
      </c>
      <c r="D1658" s="20" t="s">
        <v>191</v>
      </c>
      <c r="E1658" s="23">
        <v>564647</v>
      </c>
      <c r="F1658" s="20">
        <v>7370893.5729999999</v>
      </c>
      <c r="G1658" s="30">
        <f t="shared" si="76"/>
        <v>7935540.5729999999</v>
      </c>
      <c r="H1658" t="str">
        <f>IFERROR(VLOOKUP(C1658,Sheet1!$B$2:$C$25,2,FALSE),"")</f>
        <v/>
      </c>
      <c r="I1658">
        <f t="shared" si="77"/>
        <v>1613</v>
      </c>
    </row>
    <row r="1659" spans="1:9" x14ac:dyDescent="0.2">
      <c r="A1659" t="str">
        <f t="shared" si="75"/>
        <v/>
      </c>
      <c r="B1659" s="20">
        <v>2022</v>
      </c>
      <c r="C1659" s="21" t="s">
        <v>191</v>
      </c>
      <c r="D1659" s="21" t="s">
        <v>191</v>
      </c>
      <c r="E1659" s="23">
        <v>583061</v>
      </c>
      <c r="F1659" s="20">
        <v>8015643.9950000001</v>
      </c>
      <c r="G1659" s="30">
        <f t="shared" si="76"/>
        <v>8598704.995000001</v>
      </c>
      <c r="H1659" t="str">
        <f>IFERROR(VLOOKUP(C1659,Sheet1!$B$2:$C$25,2,FALSE),"")</f>
        <v/>
      </c>
      <c r="I1659">
        <f t="shared" si="77"/>
        <v>1613</v>
      </c>
    </row>
    <row r="1660" spans="1:9" x14ac:dyDescent="0.2">
      <c r="A1660" t="str">
        <f t="shared" si="75"/>
        <v/>
      </c>
      <c r="B1660" s="20">
        <v>2023</v>
      </c>
      <c r="C1660" s="21" t="s">
        <v>191</v>
      </c>
      <c r="D1660" s="21" t="s">
        <v>191</v>
      </c>
      <c r="E1660" s="23">
        <v>652243</v>
      </c>
      <c r="F1660" s="20">
        <v>8729465.1750000007</v>
      </c>
      <c r="G1660" s="30">
        <f t="shared" si="76"/>
        <v>9381708.1750000007</v>
      </c>
      <c r="H1660" t="str">
        <f>IFERROR(VLOOKUP(C1660,Sheet1!$B$2:$C$25,2,FALSE),"")</f>
        <v/>
      </c>
      <c r="I1660">
        <f t="shared" si="77"/>
        <v>1613</v>
      </c>
    </row>
    <row r="1661" spans="1:9" x14ac:dyDescent="0.2">
      <c r="A1661" t="str">
        <f t="shared" si="75"/>
        <v/>
      </c>
      <c r="B1661" s="20">
        <v>2015</v>
      </c>
      <c r="C1661" s="21" t="s">
        <v>192</v>
      </c>
      <c r="D1661" s="21" t="s">
        <v>192</v>
      </c>
      <c r="E1661" s="23">
        <v>547440</v>
      </c>
      <c r="F1661" s="20">
        <v>8587720.7359999996</v>
      </c>
      <c r="G1661" s="30">
        <f t="shared" si="76"/>
        <v>9135160.7359999996</v>
      </c>
      <c r="H1661" t="str">
        <f>IFERROR(VLOOKUP(C1661,Sheet1!$B$2:$C$25,2,FALSE),"")</f>
        <v/>
      </c>
      <c r="I1661">
        <f t="shared" si="77"/>
        <v>1613</v>
      </c>
    </row>
    <row r="1662" spans="1:9" x14ac:dyDescent="0.2">
      <c r="A1662" t="str">
        <f t="shared" si="75"/>
        <v/>
      </c>
      <c r="B1662" s="20">
        <v>2016</v>
      </c>
      <c r="C1662" s="21" t="s">
        <v>192</v>
      </c>
      <c r="D1662" s="21" t="s">
        <v>192</v>
      </c>
      <c r="E1662" s="23">
        <v>563099</v>
      </c>
      <c r="F1662" s="20">
        <v>8789321.0120000001</v>
      </c>
      <c r="G1662" s="30">
        <f t="shared" si="76"/>
        <v>9352420.0120000001</v>
      </c>
      <c r="H1662" t="str">
        <f>IFERROR(VLOOKUP(C1662,Sheet1!$B$2:$C$25,2,FALSE),"")</f>
        <v/>
      </c>
      <c r="I1662">
        <f t="shared" si="77"/>
        <v>1613</v>
      </c>
    </row>
    <row r="1663" spans="1:9" x14ac:dyDescent="0.2">
      <c r="A1663" t="str">
        <f t="shared" si="75"/>
        <v/>
      </c>
      <c r="B1663" s="20">
        <v>2017</v>
      </c>
      <c r="C1663" s="21" t="s">
        <v>192</v>
      </c>
      <c r="D1663" s="21" t="s">
        <v>192</v>
      </c>
      <c r="E1663" s="23">
        <v>598069</v>
      </c>
      <c r="F1663" s="20">
        <v>9886319.4269999992</v>
      </c>
      <c r="G1663" s="30">
        <f t="shared" si="76"/>
        <v>10484388.426999999</v>
      </c>
      <c r="H1663" t="str">
        <f>IFERROR(VLOOKUP(C1663,Sheet1!$B$2:$C$25,2,FALSE),"")</f>
        <v/>
      </c>
      <c r="I1663">
        <f t="shared" si="77"/>
        <v>1613</v>
      </c>
    </row>
    <row r="1664" spans="1:9" x14ac:dyDescent="0.2">
      <c r="A1664" t="str">
        <f t="shared" si="75"/>
        <v/>
      </c>
      <c r="B1664" s="20">
        <v>2018</v>
      </c>
      <c r="C1664" s="21" t="s">
        <v>192</v>
      </c>
      <c r="D1664" s="21" t="s">
        <v>192</v>
      </c>
      <c r="E1664" s="23">
        <v>636487</v>
      </c>
      <c r="F1664" s="20">
        <v>9576777.5040000007</v>
      </c>
      <c r="G1664" s="30">
        <f t="shared" si="76"/>
        <v>10213264.504000001</v>
      </c>
      <c r="H1664" t="str">
        <f>IFERROR(VLOOKUP(C1664,Sheet1!$B$2:$C$25,2,FALSE),"")</f>
        <v/>
      </c>
      <c r="I1664">
        <f t="shared" si="77"/>
        <v>1613</v>
      </c>
    </row>
    <row r="1665" spans="1:9" x14ac:dyDescent="0.2">
      <c r="A1665" t="str">
        <f t="shared" si="75"/>
        <v/>
      </c>
      <c r="B1665" s="20">
        <v>2019</v>
      </c>
      <c r="C1665" s="21" t="s">
        <v>192</v>
      </c>
      <c r="D1665" s="21" t="s">
        <v>192</v>
      </c>
      <c r="E1665" s="23">
        <v>626065</v>
      </c>
      <c r="F1665" s="20">
        <v>9007897.4649999999</v>
      </c>
      <c r="G1665" s="30">
        <f t="shared" si="76"/>
        <v>9633962.4649999999</v>
      </c>
      <c r="H1665" t="str">
        <f>IFERROR(VLOOKUP(C1665,Sheet1!$B$2:$C$25,2,FALSE),"")</f>
        <v/>
      </c>
      <c r="I1665">
        <f t="shared" si="77"/>
        <v>1613</v>
      </c>
    </row>
    <row r="1666" spans="1:9" x14ac:dyDescent="0.2">
      <c r="A1666" t="str">
        <f t="shared" si="75"/>
        <v/>
      </c>
      <c r="B1666" s="20">
        <v>2020</v>
      </c>
      <c r="C1666" s="21" t="s">
        <v>192</v>
      </c>
      <c r="D1666" s="21" t="s">
        <v>192</v>
      </c>
      <c r="E1666" s="23">
        <v>724830</v>
      </c>
      <c r="F1666" s="20">
        <v>10132648.550000001</v>
      </c>
      <c r="G1666" s="30">
        <f t="shared" si="76"/>
        <v>10857478.550000001</v>
      </c>
      <c r="H1666" t="str">
        <f>IFERROR(VLOOKUP(C1666,Sheet1!$B$2:$C$25,2,FALSE),"")</f>
        <v/>
      </c>
      <c r="I1666">
        <f t="shared" si="77"/>
        <v>1613</v>
      </c>
    </row>
    <row r="1667" spans="1:9" x14ac:dyDescent="0.2">
      <c r="A1667" t="str">
        <f t="shared" ref="A1667:A1730" si="78">H1667</f>
        <v/>
      </c>
      <c r="B1667" s="20">
        <v>2021</v>
      </c>
      <c r="C1667" s="21" t="s">
        <v>192</v>
      </c>
      <c r="D1667" s="20" t="s">
        <v>192</v>
      </c>
      <c r="E1667" s="23">
        <v>817337</v>
      </c>
      <c r="F1667" s="20">
        <v>10669505.09</v>
      </c>
      <c r="G1667" s="30">
        <f t="shared" ref="G1667:G1730" si="79">SUM(E1667:F1667)</f>
        <v>11486842.09</v>
      </c>
      <c r="H1667" t="str">
        <f>IFERROR(VLOOKUP(C1667,Sheet1!$B$2:$C$25,2,FALSE),"")</f>
        <v/>
      </c>
      <c r="I1667">
        <f t="shared" ref="I1667:I1730" si="80">COUNTIF($H$2:$H$1812,H1667)</f>
        <v>1613</v>
      </c>
    </row>
    <row r="1668" spans="1:9" x14ac:dyDescent="0.2">
      <c r="A1668" t="str">
        <f t="shared" si="78"/>
        <v/>
      </c>
      <c r="B1668" s="20">
        <v>2022</v>
      </c>
      <c r="C1668" s="21" t="s">
        <v>192</v>
      </c>
      <c r="D1668" s="21" t="s">
        <v>192</v>
      </c>
      <c r="E1668" s="23">
        <v>867858</v>
      </c>
      <c r="F1668" s="20">
        <v>11930897.050000001</v>
      </c>
      <c r="G1668" s="30">
        <f t="shared" si="79"/>
        <v>12798755.050000001</v>
      </c>
      <c r="H1668" t="str">
        <f>IFERROR(VLOOKUP(C1668,Sheet1!$B$2:$C$25,2,FALSE),"")</f>
        <v/>
      </c>
      <c r="I1668">
        <f t="shared" si="80"/>
        <v>1613</v>
      </c>
    </row>
    <row r="1669" spans="1:9" x14ac:dyDescent="0.2">
      <c r="A1669" t="str">
        <f t="shared" si="78"/>
        <v/>
      </c>
      <c r="B1669" s="20">
        <v>2023</v>
      </c>
      <c r="C1669" s="21" t="s">
        <v>192</v>
      </c>
      <c r="D1669" s="21" t="s">
        <v>192</v>
      </c>
      <c r="E1669" s="23">
        <v>1103657</v>
      </c>
      <c r="F1669" s="20">
        <v>14771082.779999999</v>
      </c>
      <c r="G1669" s="30">
        <f t="shared" si="79"/>
        <v>15874739.779999999</v>
      </c>
      <c r="H1669" t="str">
        <f>IFERROR(VLOOKUP(C1669,Sheet1!$B$2:$C$25,2,FALSE),"")</f>
        <v/>
      </c>
      <c r="I1669">
        <f t="shared" si="80"/>
        <v>1613</v>
      </c>
    </row>
    <row r="1670" spans="1:9" x14ac:dyDescent="0.2">
      <c r="A1670" t="str">
        <f t="shared" si="78"/>
        <v/>
      </c>
      <c r="B1670" s="20">
        <v>2015</v>
      </c>
      <c r="C1670" s="21" t="s">
        <v>193</v>
      </c>
      <c r="D1670" s="21" t="s">
        <v>193</v>
      </c>
      <c r="E1670" s="23">
        <v>45938</v>
      </c>
      <c r="F1670" s="20">
        <v>720631.87780000002</v>
      </c>
      <c r="G1670" s="30">
        <f t="shared" si="79"/>
        <v>766569.87780000002</v>
      </c>
      <c r="H1670" t="str">
        <f>IFERROR(VLOOKUP(C1670,Sheet1!$B$2:$C$25,2,FALSE),"")</f>
        <v/>
      </c>
      <c r="I1670">
        <f t="shared" si="80"/>
        <v>1613</v>
      </c>
    </row>
    <row r="1671" spans="1:9" x14ac:dyDescent="0.2">
      <c r="A1671" t="str">
        <f t="shared" si="78"/>
        <v/>
      </c>
      <c r="B1671" s="20">
        <v>2016</v>
      </c>
      <c r="C1671" s="21" t="s">
        <v>193</v>
      </c>
      <c r="D1671" s="21" t="s">
        <v>193</v>
      </c>
      <c r="E1671" s="23">
        <v>48235</v>
      </c>
      <c r="F1671" s="20">
        <v>752892.29610000004</v>
      </c>
      <c r="G1671" s="30">
        <f t="shared" si="79"/>
        <v>801127.29610000004</v>
      </c>
      <c r="H1671" t="str">
        <f>IFERROR(VLOOKUP(C1671,Sheet1!$B$2:$C$25,2,FALSE),"")</f>
        <v/>
      </c>
      <c r="I1671">
        <f t="shared" si="80"/>
        <v>1613</v>
      </c>
    </row>
    <row r="1672" spans="1:9" x14ac:dyDescent="0.2">
      <c r="A1672" t="str">
        <f t="shared" si="78"/>
        <v/>
      </c>
      <c r="B1672" s="20">
        <v>2017</v>
      </c>
      <c r="C1672" s="21" t="s">
        <v>193</v>
      </c>
      <c r="D1672" s="21" t="s">
        <v>193</v>
      </c>
      <c r="E1672" s="23">
        <v>50647</v>
      </c>
      <c r="F1672" s="20">
        <v>837215.13740000001</v>
      </c>
      <c r="G1672" s="30">
        <f t="shared" si="79"/>
        <v>887862.13740000001</v>
      </c>
      <c r="H1672" t="str">
        <f>IFERROR(VLOOKUP(C1672,Sheet1!$B$2:$C$25,2,FALSE),"")</f>
        <v/>
      </c>
      <c r="I1672">
        <f t="shared" si="80"/>
        <v>1613</v>
      </c>
    </row>
    <row r="1673" spans="1:9" x14ac:dyDescent="0.2">
      <c r="A1673" t="str">
        <f t="shared" si="78"/>
        <v/>
      </c>
      <c r="B1673" s="20">
        <v>2018</v>
      </c>
      <c r="C1673" s="21" t="s">
        <v>193</v>
      </c>
      <c r="D1673" s="21" t="s">
        <v>227</v>
      </c>
      <c r="E1673" s="23">
        <v>53179</v>
      </c>
      <c r="F1673" s="20">
        <v>800147.45140000002</v>
      </c>
      <c r="G1673" s="30">
        <f t="shared" si="79"/>
        <v>853326.45140000002</v>
      </c>
      <c r="H1673" t="str">
        <f>IFERROR(VLOOKUP(C1673,Sheet1!$B$2:$C$25,2,FALSE),"")</f>
        <v/>
      </c>
      <c r="I1673">
        <f t="shared" si="80"/>
        <v>1613</v>
      </c>
    </row>
    <row r="1674" spans="1:9" x14ac:dyDescent="0.2">
      <c r="A1674" t="str">
        <f t="shared" si="78"/>
        <v/>
      </c>
      <c r="B1674" s="20">
        <v>2019</v>
      </c>
      <c r="C1674" s="21" t="s">
        <v>193</v>
      </c>
      <c r="D1674" s="21" t="s">
        <v>193</v>
      </c>
      <c r="E1674" s="23">
        <v>55838</v>
      </c>
      <c r="F1674" s="20">
        <v>803403.76580000005</v>
      </c>
      <c r="G1674" s="30">
        <f t="shared" si="79"/>
        <v>859241.76580000005</v>
      </c>
      <c r="H1674" t="str">
        <f>IFERROR(VLOOKUP(C1674,Sheet1!$B$2:$C$25,2,FALSE),"")</f>
        <v/>
      </c>
      <c r="I1674">
        <f t="shared" si="80"/>
        <v>1613</v>
      </c>
    </row>
    <row r="1675" spans="1:9" x14ac:dyDescent="0.2">
      <c r="A1675" t="str">
        <f t="shared" si="78"/>
        <v/>
      </c>
      <c r="B1675" s="20">
        <v>2020</v>
      </c>
      <c r="C1675" s="21" t="s">
        <v>193</v>
      </c>
      <c r="D1675" s="21" t="s">
        <v>193</v>
      </c>
      <c r="E1675" s="23">
        <v>58630</v>
      </c>
      <c r="F1675" s="20">
        <v>819608.99029999995</v>
      </c>
      <c r="G1675" s="30">
        <f t="shared" si="79"/>
        <v>878238.99029999995</v>
      </c>
      <c r="H1675" t="str">
        <f>IFERROR(VLOOKUP(C1675,Sheet1!$B$2:$C$25,2,FALSE),"")</f>
        <v/>
      </c>
      <c r="I1675">
        <f t="shared" si="80"/>
        <v>1613</v>
      </c>
    </row>
    <row r="1676" spans="1:9" x14ac:dyDescent="0.2">
      <c r="A1676" t="str">
        <f t="shared" si="78"/>
        <v/>
      </c>
      <c r="B1676" s="20">
        <v>2021</v>
      </c>
      <c r="C1676" s="21" t="s">
        <v>193</v>
      </c>
      <c r="D1676" s="20" t="s">
        <v>193</v>
      </c>
      <c r="E1676" s="23" t="s">
        <v>6</v>
      </c>
      <c r="F1676" s="20">
        <v>0</v>
      </c>
      <c r="G1676" s="30">
        <f t="shared" si="79"/>
        <v>0</v>
      </c>
      <c r="H1676" t="str">
        <f>IFERROR(VLOOKUP(C1676,Sheet1!$B$2:$C$25,2,FALSE),"")</f>
        <v/>
      </c>
      <c r="I1676">
        <f t="shared" si="80"/>
        <v>1613</v>
      </c>
    </row>
    <row r="1677" spans="1:9" x14ac:dyDescent="0.2">
      <c r="A1677" t="str">
        <f t="shared" si="78"/>
        <v/>
      </c>
      <c r="B1677" s="20">
        <v>2022</v>
      </c>
      <c r="C1677" s="21" t="s">
        <v>193</v>
      </c>
      <c r="D1677" s="21" t="s">
        <v>193</v>
      </c>
      <c r="E1677" s="23" t="s">
        <v>269</v>
      </c>
      <c r="F1677" s="20">
        <v>0</v>
      </c>
      <c r="G1677" s="30">
        <f t="shared" si="79"/>
        <v>0</v>
      </c>
      <c r="H1677" t="str">
        <f>IFERROR(VLOOKUP(C1677,Sheet1!$B$2:$C$25,2,FALSE),"")</f>
        <v/>
      </c>
      <c r="I1677">
        <f t="shared" si="80"/>
        <v>1613</v>
      </c>
    </row>
    <row r="1678" spans="1:9" x14ac:dyDescent="0.2">
      <c r="A1678" t="str">
        <f t="shared" si="78"/>
        <v/>
      </c>
      <c r="B1678" s="20">
        <v>2023</v>
      </c>
      <c r="C1678" s="21" t="s">
        <v>193</v>
      </c>
      <c r="D1678" s="21" t="s">
        <v>193</v>
      </c>
      <c r="E1678" s="23" t="s">
        <v>269</v>
      </c>
      <c r="F1678" s="20">
        <v>0</v>
      </c>
      <c r="G1678" s="30">
        <f t="shared" si="79"/>
        <v>0</v>
      </c>
      <c r="H1678" t="str">
        <f>IFERROR(VLOOKUP(C1678,Sheet1!$B$2:$C$25,2,FALSE),"")</f>
        <v/>
      </c>
      <c r="I1678">
        <f t="shared" si="80"/>
        <v>1613</v>
      </c>
    </row>
    <row r="1679" spans="1:9" x14ac:dyDescent="0.2">
      <c r="A1679" t="str">
        <f t="shared" si="78"/>
        <v/>
      </c>
      <c r="B1679" s="20">
        <v>2015</v>
      </c>
      <c r="C1679" s="21" t="s">
        <v>194</v>
      </c>
      <c r="D1679" s="21" t="s">
        <v>194</v>
      </c>
      <c r="E1679" s="23">
        <v>4612</v>
      </c>
      <c r="F1679" s="20">
        <v>72348.692160000006</v>
      </c>
      <c r="G1679" s="30">
        <f t="shared" si="79"/>
        <v>76960.692160000006</v>
      </c>
      <c r="H1679" t="str">
        <f>IFERROR(VLOOKUP(C1679,Sheet1!$B$2:$C$25,2,FALSE),"")</f>
        <v/>
      </c>
      <c r="I1679">
        <f t="shared" si="80"/>
        <v>1613</v>
      </c>
    </row>
    <row r="1680" spans="1:9" x14ac:dyDescent="0.2">
      <c r="A1680" t="str">
        <f t="shared" si="78"/>
        <v/>
      </c>
      <c r="B1680" s="20">
        <v>2016</v>
      </c>
      <c r="C1680" s="21" t="s">
        <v>194</v>
      </c>
      <c r="D1680" s="21" t="s">
        <v>194</v>
      </c>
      <c r="E1680" s="23">
        <v>4612</v>
      </c>
      <c r="F1680" s="20">
        <v>71987.960389999993</v>
      </c>
      <c r="G1680" s="30">
        <f t="shared" si="79"/>
        <v>76599.960389999993</v>
      </c>
      <c r="H1680" t="str">
        <f>IFERROR(VLOOKUP(C1680,Sheet1!$B$2:$C$25,2,FALSE),"")</f>
        <v/>
      </c>
      <c r="I1680">
        <f t="shared" si="80"/>
        <v>1613</v>
      </c>
    </row>
    <row r="1681" spans="1:9" x14ac:dyDescent="0.2">
      <c r="A1681" t="str">
        <f t="shared" si="78"/>
        <v/>
      </c>
      <c r="B1681" s="20">
        <v>2017</v>
      </c>
      <c r="C1681" s="21" t="s">
        <v>194</v>
      </c>
      <c r="D1681" s="21" t="s">
        <v>194</v>
      </c>
      <c r="E1681" s="23">
        <v>4612</v>
      </c>
      <c r="F1681" s="20">
        <v>76238.201939999999</v>
      </c>
      <c r="G1681" s="30">
        <f t="shared" si="79"/>
        <v>80850.201939999999</v>
      </c>
      <c r="H1681" t="str">
        <f>IFERROR(VLOOKUP(C1681,Sheet1!$B$2:$C$25,2,FALSE),"")</f>
        <v/>
      </c>
      <c r="I1681">
        <f t="shared" si="80"/>
        <v>1613</v>
      </c>
    </row>
    <row r="1682" spans="1:9" x14ac:dyDescent="0.2">
      <c r="A1682" t="str">
        <f t="shared" si="78"/>
        <v/>
      </c>
      <c r="B1682" s="20">
        <v>2018</v>
      </c>
      <c r="C1682" s="21" t="s">
        <v>194</v>
      </c>
      <c r="D1682" s="21" t="s">
        <v>194</v>
      </c>
      <c r="E1682" s="23">
        <v>4612</v>
      </c>
      <c r="F1682" s="20">
        <v>69393.558470000004</v>
      </c>
      <c r="G1682" s="30">
        <f t="shared" si="79"/>
        <v>74005.558470000004</v>
      </c>
      <c r="H1682" t="str">
        <f>IFERROR(VLOOKUP(C1682,Sheet1!$B$2:$C$25,2,FALSE),"")</f>
        <v/>
      </c>
      <c r="I1682">
        <f t="shared" si="80"/>
        <v>1613</v>
      </c>
    </row>
    <row r="1683" spans="1:9" x14ac:dyDescent="0.2">
      <c r="A1683" t="str">
        <f t="shared" si="78"/>
        <v/>
      </c>
      <c r="B1683" s="20">
        <v>2019</v>
      </c>
      <c r="C1683" s="21" t="s">
        <v>194</v>
      </c>
      <c r="D1683" s="21" t="s">
        <v>194</v>
      </c>
      <c r="E1683" s="23">
        <v>4612</v>
      </c>
      <c r="F1683" s="20">
        <v>66358.002930000002</v>
      </c>
      <c r="G1683" s="30">
        <f t="shared" si="79"/>
        <v>70970.002930000002</v>
      </c>
      <c r="H1683" t="str">
        <f>IFERROR(VLOOKUP(C1683,Sheet1!$B$2:$C$25,2,FALSE),"")</f>
        <v/>
      </c>
      <c r="I1683">
        <f t="shared" si="80"/>
        <v>1613</v>
      </c>
    </row>
    <row r="1684" spans="1:9" x14ac:dyDescent="0.2">
      <c r="A1684" t="str">
        <f t="shared" si="78"/>
        <v/>
      </c>
      <c r="B1684" s="20">
        <v>2020</v>
      </c>
      <c r="C1684" s="21" t="s">
        <v>194</v>
      </c>
      <c r="D1684" s="21" t="s">
        <v>194</v>
      </c>
      <c r="E1684" s="23">
        <v>4612</v>
      </c>
      <c r="F1684" s="20">
        <v>64472.738590000001</v>
      </c>
      <c r="G1684" s="30">
        <f t="shared" si="79"/>
        <v>69084.738589999994</v>
      </c>
      <c r="H1684" t="str">
        <f>IFERROR(VLOOKUP(C1684,Sheet1!$B$2:$C$25,2,FALSE),"")</f>
        <v/>
      </c>
      <c r="I1684">
        <f t="shared" si="80"/>
        <v>1613</v>
      </c>
    </row>
    <row r="1685" spans="1:9" x14ac:dyDescent="0.2">
      <c r="A1685" t="str">
        <f t="shared" si="78"/>
        <v/>
      </c>
      <c r="B1685" s="20">
        <v>2021</v>
      </c>
      <c r="C1685" s="21" t="s">
        <v>194</v>
      </c>
      <c r="D1685" s="20" t="s">
        <v>194</v>
      </c>
      <c r="E1685" s="23" t="s">
        <v>6</v>
      </c>
      <c r="F1685" s="20">
        <v>0</v>
      </c>
      <c r="G1685" s="30">
        <f t="shared" si="79"/>
        <v>0</v>
      </c>
      <c r="H1685" t="str">
        <f>IFERROR(VLOOKUP(C1685,Sheet1!$B$2:$C$25,2,FALSE),"")</f>
        <v/>
      </c>
      <c r="I1685">
        <f t="shared" si="80"/>
        <v>1613</v>
      </c>
    </row>
    <row r="1686" spans="1:9" x14ac:dyDescent="0.2">
      <c r="A1686" t="str">
        <f t="shared" si="78"/>
        <v/>
      </c>
      <c r="B1686" s="20">
        <v>2022</v>
      </c>
      <c r="C1686" s="21" t="s">
        <v>194</v>
      </c>
      <c r="D1686" s="21" t="s">
        <v>194</v>
      </c>
      <c r="E1686" s="23" t="s">
        <v>269</v>
      </c>
      <c r="F1686" s="20">
        <v>0</v>
      </c>
      <c r="G1686" s="30">
        <f t="shared" si="79"/>
        <v>0</v>
      </c>
      <c r="H1686" t="str">
        <f>IFERROR(VLOOKUP(C1686,Sheet1!$B$2:$C$25,2,FALSE),"")</f>
        <v/>
      </c>
      <c r="I1686">
        <f t="shared" si="80"/>
        <v>1613</v>
      </c>
    </row>
    <row r="1687" spans="1:9" x14ac:dyDescent="0.2">
      <c r="A1687" t="str">
        <f t="shared" si="78"/>
        <v/>
      </c>
      <c r="B1687" s="20">
        <v>2023</v>
      </c>
      <c r="C1687" s="21" t="s">
        <v>194</v>
      </c>
      <c r="D1687" s="21" t="s">
        <v>194</v>
      </c>
      <c r="E1687" s="23" t="s">
        <v>269</v>
      </c>
      <c r="F1687" s="20">
        <v>0</v>
      </c>
      <c r="G1687" s="30">
        <f t="shared" si="79"/>
        <v>0</v>
      </c>
      <c r="H1687" t="str">
        <f>IFERROR(VLOOKUP(C1687,Sheet1!$B$2:$C$25,2,FALSE),"")</f>
        <v/>
      </c>
      <c r="I1687">
        <f t="shared" si="80"/>
        <v>1613</v>
      </c>
    </row>
    <row r="1688" spans="1:9" x14ac:dyDescent="0.2">
      <c r="A1688" t="str">
        <f t="shared" si="78"/>
        <v/>
      </c>
      <c r="B1688" s="20">
        <v>2015</v>
      </c>
      <c r="C1688" s="21" t="s">
        <v>13</v>
      </c>
      <c r="D1688" s="21" t="s">
        <v>13</v>
      </c>
      <c r="E1688" s="23">
        <v>9379</v>
      </c>
      <c r="F1688" s="20">
        <v>147128.87770000001</v>
      </c>
      <c r="G1688" s="30">
        <f t="shared" si="79"/>
        <v>156507.87770000001</v>
      </c>
      <c r="H1688" t="str">
        <f>IFERROR(VLOOKUP(C1688,Sheet1!$B$2:$C$25,2,FALSE),"")</f>
        <v/>
      </c>
      <c r="I1688">
        <f t="shared" si="80"/>
        <v>1613</v>
      </c>
    </row>
    <row r="1689" spans="1:9" x14ac:dyDescent="0.2">
      <c r="A1689" t="str">
        <f t="shared" si="78"/>
        <v/>
      </c>
      <c r="B1689" s="20">
        <v>2016</v>
      </c>
      <c r="C1689" s="21" t="s">
        <v>13</v>
      </c>
      <c r="D1689" s="21" t="s">
        <v>13</v>
      </c>
      <c r="E1689" s="23">
        <v>9847</v>
      </c>
      <c r="F1689" s="20">
        <v>153700.2268</v>
      </c>
      <c r="G1689" s="30">
        <f t="shared" si="79"/>
        <v>163547.2268</v>
      </c>
      <c r="H1689" t="str">
        <f>IFERROR(VLOOKUP(C1689,Sheet1!$B$2:$C$25,2,FALSE),"")</f>
        <v/>
      </c>
      <c r="I1689">
        <f t="shared" si="80"/>
        <v>1613</v>
      </c>
    </row>
    <row r="1690" spans="1:9" x14ac:dyDescent="0.2">
      <c r="A1690" t="str">
        <f t="shared" si="78"/>
        <v/>
      </c>
      <c r="B1690" s="20">
        <v>2017</v>
      </c>
      <c r="C1690" s="21" t="s">
        <v>13</v>
      </c>
      <c r="D1690" s="21" t="s">
        <v>13</v>
      </c>
      <c r="E1690" s="23">
        <v>10339</v>
      </c>
      <c r="F1690" s="20">
        <v>170907.79920000001</v>
      </c>
      <c r="G1690" s="30">
        <f t="shared" si="79"/>
        <v>181246.79920000001</v>
      </c>
      <c r="H1690" t="str">
        <f>IFERROR(VLOOKUP(C1690,Sheet1!$B$2:$C$25,2,FALSE),"")</f>
        <v/>
      </c>
      <c r="I1690">
        <f t="shared" si="80"/>
        <v>1613</v>
      </c>
    </row>
    <row r="1691" spans="1:9" x14ac:dyDescent="0.2">
      <c r="A1691" t="str">
        <f t="shared" si="78"/>
        <v/>
      </c>
      <c r="B1691" s="20">
        <v>2018</v>
      </c>
      <c r="C1691" s="21" t="s">
        <v>13</v>
      </c>
      <c r="D1691" s="21" t="s">
        <v>13</v>
      </c>
      <c r="E1691" s="23">
        <v>10857</v>
      </c>
      <c r="F1691" s="20">
        <v>163357.7329</v>
      </c>
      <c r="G1691" s="30">
        <f t="shared" si="79"/>
        <v>174214.7329</v>
      </c>
      <c r="H1691" t="str">
        <f>IFERROR(VLOOKUP(C1691,Sheet1!$B$2:$C$25,2,FALSE),"")</f>
        <v/>
      </c>
      <c r="I1691">
        <f t="shared" si="80"/>
        <v>1613</v>
      </c>
    </row>
    <row r="1692" spans="1:9" x14ac:dyDescent="0.2">
      <c r="A1692" t="str">
        <f t="shared" si="78"/>
        <v/>
      </c>
      <c r="B1692" s="20">
        <v>2019</v>
      </c>
      <c r="C1692" s="21" t="s">
        <v>13</v>
      </c>
      <c r="D1692" s="21" t="s">
        <v>13</v>
      </c>
      <c r="E1692" s="23">
        <v>11399</v>
      </c>
      <c r="F1692" s="20">
        <v>164010.16380000001</v>
      </c>
      <c r="G1692" s="30">
        <f t="shared" si="79"/>
        <v>175409.16380000001</v>
      </c>
      <c r="H1692" t="str">
        <f>IFERROR(VLOOKUP(C1692,Sheet1!$B$2:$C$25,2,FALSE),"")</f>
        <v/>
      </c>
      <c r="I1692">
        <f t="shared" si="80"/>
        <v>1613</v>
      </c>
    </row>
    <row r="1693" spans="1:9" x14ac:dyDescent="0.2">
      <c r="A1693" t="str">
        <f t="shared" si="78"/>
        <v/>
      </c>
      <c r="B1693" s="20">
        <v>2020</v>
      </c>
      <c r="C1693" s="21" t="s">
        <v>13</v>
      </c>
      <c r="D1693" s="21" t="s">
        <v>13</v>
      </c>
      <c r="E1693" s="23">
        <v>11970</v>
      </c>
      <c r="F1693" s="20">
        <v>167332.75820000001</v>
      </c>
      <c r="G1693" s="30">
        <f t="shared" si="79"/>
        <v>179302.75820000001</v>
      </c>
      <c r="H1693" t="str">
        <f>IFERROR(VLOOKUP(C1693,Sheet1!$B$2:$C$25,2,FALSE),"")</f>
        <v/>
      </c>
      <c r="I1693">
        <f t="shared" si="80"/>
        <v>1613</v>
      </c>
    </row>
    <row r="1694" spans="1:9" x14ac:dyDescent="0.2">
      <c r="A1694" t="str">
        <f t="shared" si="78"/>
        <v/>
      </c>
      <c r="B1694" s="20">
        <v>2021</v>
      </c>
      <c r="C1694" s="21" t="s">
        <v>13</v>
      </c>
      <c r="D1694" s="21" t="s">
        <v>13</v>
      </c>
      <c r="E1694" s="23" t="s">
        <v>269</v>
      </c>
      <c r="F1694" s="20">
        <v>0</v>
      </c>
      <c r="G1694" s="30">
        <f t="shared" si="79"/>
        <v>0</v>
      </c>
      <c r="H1694" t="str">
        <f>IFERROR(VLOOKUP(C1694,Sheet1!$B$2:$C$25,2,FALSE),"")</f>
        <v/>
      </c>
      <c r="I1694">
        <f t="shared" si="80"/>
        <v>1613</v>
      </c>
    </row>
    <row r="1695" spans="1:9" x14ac:dyDescent="0.2">
      <c r="A1695" t="str">
        <f t="shared" si="78"/>
        <v/>
      </c>
      <c r="B1695" s="20">
        <v>2022</v>
      </c>
      <c r="C1695" s="21" t="s">
        <v>13</v>
      </c>
      <c r="D1695" s="21" t="s">
        <v>13</v>
      </c>
      <c r="E1695" s="23" t="s">
        <v>269</v>
      </c>
      <c r="F1695" s="20">
        <v>0</v>
      </c>
      <c r="G1695" s="30">
        <f t="shared" si="79"/>
        <v>0</v>
      </c>
      <c r="H1695" t="str">
        <f>IFERROR(VLOOKUP(C1695,Sheet1!$B$2:$C$25,2,FALSE),"")</f>
        <v/>
      </c>
      <c r="I1695">
        <f t="shared" si="80"/>
        <v>1613</v>
      </c>
    </row>
    <row r="1696" spans="1:9" x14ac:dyDescent="0.2">
      <c r="A1696" t="str">
        <f t="shared" si="78"/>
        <v/>
      </c>
      <c r="B1696" s="20">
        <v>2023</v>
      </c>
      <c r="C1696" s="21" t="s">
        <v>13</v>
      </c>
      <c r="D1696" s="21" t="s">
        <v>13</v>
      </c>
      <c r="E1696" s="23" t="s">
        <v>269</v>
      </c>
      <c r="F1696" s="20">
        <v>0</v>
      </c>
      <c r="G1696" s="30">
        <f t="shared" si="79"/>
        <v>0</v>
      </c>
      <c r="H1696" t="str">
        <f>IFERROR(VLOOKUP(C1696,Sheet1!$B$2:$C$25,2,FALSE),"")</f>
        <v/>
      </c>
      <c r="I1696">
        <f t="shared" si="80"/>
        <v>1613</v>
      </c>
    </row>
    <row r="1697" spans="1:9" x14ac:dyDescent="0.2">
      <c r="A1697" t="str">
        <f t="shared" si="78"/>
        <v/>
      </c>
      <c r="B1697" s="20">
        <v>2015</v>
      </c>
      <c r="C1697" s="21" t="s">
        <v>77</v>
      </c>
      <c r="D1697" s="21" t="s">
        <v>77</v>
      </c>
      <c r="E1697" s="23">
        <v>9378</v>
      </c>
      <c r="F1697" s="20">
        <v>147113.1906</v>
      </c>
      <c r="G1697" s="30">
        <f t="shared" si="79"/>
        <v>156491.1906</v>
      </c>
      <c r="H1697" t="str">
        <f>IFERROR(VLOOKUP(C1697,Sheet1!$B$2:$C$25,2,FALSE),"")</f>
        <v/>
      </c>
      <c r="I1697">
        <f t="shared" si="80"/>
        <v>1613</v>
      </c>
    </row>
    <row r="1698" spans="1:9" x14ac:dyDescent="0.2">
      <c r="A1698" t="str">
        <f t="shared" si="78"/>
        <v/>
      </c>
      <c r="B1698" s="20">
        <v>2016</v>
      </c>
      <c r="C1698" s="21" t="s">
        <v>77</v>
      </c>
      <c r="D1698" s="21" t="s">
        <v>77</v>
      </c>
      <c r="E1698" s="23">
        <v>9848</v>
      </c>
      <c r="F1698" s="20">
        <v>153715.83559999999</v>
      </c>
      <c r="G1698" s="30">
        <f t="shared" si="79"/>
        <v>163563.83559999999</v>
      </c>
      <c r="H1698" t="str">
        <f>IFERROR(VLOOKUP(C1698,Sheet1!$B$2:$C$25,2,FALSE),"")</f>
        <v/>
      </c>
      <c r="I1698">
        <f t="shared" si="80"/>
        <v>1613</v>
      </c>
    </row>
    <row r="1699" spans="1:9" x14ac:dyDescent="0.2">
      <c r="A1699" t="str">
        <f t="shared" si="78"/>
        <v/>
      </c>
      <c r="B1699" s="20">
        <v>2017</v>
      </c>
      <c r="C1699" s="21" t="s">
        <v>77</v>
      </c>
      <c r="D1699" s="21" t="s">
        <v>77</v>
      </c>
      <c r="E1699" s="23">
        <v>10340</v>
      </c>
      <c r="F1699" s="20">
        <v>170924.3296</v>
      </c>
      <c r="G1699" s="30">
        <f t="shared" si="79"/>
        <v>181264.3296</v>
      </c>
      <c r="H1699" t="str">
        <f>IFERROR(VLOOKUP(C1699,Sheet1!$B$2:$C$25,2,FALSE),"")</f>
        <v/>
      </c>
      <c r="I1699">
        <f t="shared" si="80"/>
        <v>1613</v>
      </c>
    </row>
    <row r="1700" spans="1:9" x14ac:dyDescent="0.2">
      <c r="A1700" t="str">
        <f t="shared" si="78"/>
        <v/>
      </c>
      <c r="B1700" s="20">
        <v>2018</v>
      </c>
      <c r="C1700" s="21" t="s">
        <v>77</v>
      </c>
      <c r="D1700" s="21" t="s">
        <v>77</v>
      </c>
      <c r="E1700" s="23">
        <v>10856</v>
      </c>
      <c r="F1700" s="20">
        <v>163342.68659999999</v>
      </c>
      <c r="G1700" s="30">
        <f t="shared" si="79"/>
        <v>174198.68659999999</v>
      </c>
      <c r="H1700" t="str">
        <f>IFERROR(VLOOKUP(C1700,Sheet1!$B$2:$C$25,2,FALSE),"")</f>
        <v/>
      </c>
      <c r="I1700">
        <f t="shared" si="80"/>
        <v>1613</v>
      </c>
    </row>
    <row r="1701" spans="1:9" x14ac:dyDescent="0.2">
      <c r="A1701" t="str">
        <f t="shared" si="78"/>
        <v/>
      </c>
      <c r="B1701" s="20">
        <v>2019</v>
      </c>
      <c r="C1701" s="21" t="s">
        <v>77</v>
      </c>
      <c r="D1701" s="21" t="s">
        <v>77</v>
      </c>
      <c r="E1701" s="23">
        <v>11400</v>
      </c>
      <c r="F1701" s="20">
        <v>164024.55189999999</v>
      </c>
      <c r="G1701" s="30">
        <f t="shared" si="79"/>
        <v>175424.55189999999</v>
      </c>
      <c r="H1701" t="str">
        <f>IFERROR(VLOOKUP(C1701,Sheet1!$B$2:$C$25,2,FALSE),"")</f>
        <v/>
      </c>
      <c r="I1701">
        <f t="shared" si="80"/>
        <v>1613</v>
      </c>
    </row>
    <row r="1702" spans="1:9" x14ac:dyDescent="0.2">
      <c r="A1702" t="str">
        <f t="shared" si="78"/>
        <v/>
      </c>
      <c r="B1702" s="20">
        <v>2020</v>
      </c>
      <c r="C1702" s="21" t="s">
        <v>77</v>
      </c>
      <c r="D1702" s="21" t="s">
        <v>77</v>
      </c>
      <c r="E1702" s="23">
        <v>11969</v>
      </c>
      <c r="F1702" s="20">
        <v>167318.7789</v>
      </c>
      <c r="G1702" s="30">
        <f t="shared" si="79"/>
        <v>179287.7789</v>
      </c>
      <c r="H1702" t="str">
        <f>IFERROR(VLOOKUP(C1702,Sheet1!$B$2:$C$25,2,FALSE),"")</f>
        <v/>
      </c>
      <c r="I1702">
        <f t="shared" si="80"/>
        <v>1613</v>
      </c>
    </row>
    <row r="1703" spans="1:9" x14ac:dyDescent="0.2">
      <c r="A1703" t="str">
        <f t="shared" si="78"/>
        <v/>
      </c>
      <c r="B1703" s="20">
        <v>2021</v>
      </c>
      <c r="C1703" s="21" t="s">
        <v>77</v>
      </c>
      <c r="D1703" s="21" t="s">
        <v>77</v>
      </c>
      <c r="E1703" s="23" t="s">
        <v>269</v>
      </c>
      <c r="F1703" s="20">
        <v>0</v>
      </c>
      <c r="G1703" s="30">
        <f t="shared" si="79"/>
        <v>0</v>
      </c>
      <c r="H1703" t="str">
        <f>IFERROR(VLOOKUP(C1703,Sheet1!$B$2:$C$25,2,FALSE),"")</f>
        <v/>
      </c>
      <c r="I1703">
        <f t="shared" si="80"/>
        <v>1613</v>
      </c>
    </row>
    <row r="1704" spans="1:9" x14ac:dyDescent="0.2">
      <c r="A1704" t="str">
        <f t="shared" si="78"/>
        <v/>
      </c>
      <c r="B1704" s="20">
        <v>2023</v>
      </c>
      <c r="C1704" s="21" t="s">
        <v>77</v>
      </c>
      <c r="D1704" s="21" t="s">
        <v>77</v>
      </c>
      <c r="E1704" s="23" t="s">
        <v>269</v>
      </c>
      <c r="F1704" s="20">
        <v>0</v>
      </c>
      <c r="G1704" s="30">
        <f t="shared" si="79"/>
        <v>0</v>
      </c>
      <c r="H1704" t="str">
        <f>IFERROR(VLOOKUP(C1704,Sheet1!$B$2:$C$25,2,FALSE),"")</f>
        <v/>
      </c>
      <c r="I1704">
        <f t="shared" si="80"/>
        <v>1613</v>
      </c>
    </row>
    <row r="1705" spans="1:9" x14ac:dyDescent="0.2">
      <c r="A1705" t="str">
        <f t="shared" si="78"/>
        <v/>
      </c>
      <c r="B1705" s="20">
        <v>2015</v>
      </c>
      <c r="C1705" s="21" t="s">
        <v>87</v>
      </c>
      <c r="D1705" s="21" t="s">
        <v>87</v>
      </c>
      <c r="E1705" s="23">
        <v>9378</v>
      </c>
      <c r="F1705" s="20">
        <v>147113.1906</v>
      </c>
      <c r="G1705" s="30">
        <f t="shared" si="79"/>
        <v>156491.1906</v>
      </c>
      <c r="H1705" t="str">
        <f>IFERROR(VLOOKUP(C1705,Sheet1!$B$2:$C$25,2,FALSE),"")</f>
        <v/>
      </c>
      <c r="I1705">
        <f t="shared" si="80"/>
        <v>1613</v>
      </c>
    </row>
    <row r="1706" spans="1:9" x14ac:dyDescent="0.2">
      <c r="A1706" t="str">
        <f t="shared" si="78"/>
        <v/>
      </c>
      <c r="B1706" s="20">
        <v>2016</v>
      </c>
      <c r="C1706" s="21" t="s">
        <v>87</v>
      </c>
      <c r="D1706" s="21" t="s">
        <v>87</v>
      </c>
      <c r="E1706" s="23">
        <v>9848</v>
      </c>
      <c r="F1706" s="20">
        <v>153715.83559999999</v>
      </c>
      <c r="G1706" s="30">
        <f t="shared" si="79"/>
        <v>163563.83559999999</v>
      </c>
      <c r="H1706" t="str">
        <f>IFERROR(VLOOKUP(C1706,Sheet1!$B$2:$C$25,2,FALSE),"")</f>
        <v/>
      </c>
      <c r="I1706">
        <f t="shared" si="80"/>
        <v>1613</v>
      </c>
    </row>
    <row r="1707" spans="1:9" x14ac:dyDescent="0.2">
      <c r="A1707" t="str">
        <f t="shared" si="78"/>
        <v/>
      </c>
      <c r="B1707" s="20">
        <v>2017</v>
      </c>
      <c r="C1707" s="21" t="s">
        <v>87</v>
      </c>
      <c r="D1707" s="21" t="s">
        <v>87</v>
      </c>
      <c r="E1707" s="23">
        <v>10340</v>
      </c>
      <c r="F1707" s="20">
        <v>170924.3296</v>
      </c>
      <c r="G1707" s="30">
        <f t="shared" si="79"/>
        <v>181264.3296</v>
      </c>
      <c r="H1707" t="str">
        <f>IFERROR(VLOOKUP(C1707,Sheet1!$B$2:$C$25,2,FALSE),"")</f>
        <v/>
      </c>
      <c r="I1707">
        <f t="shared" si="80"/>
        <v>1613</v>
      </c>
    </row>
    <row r="1708" spans="1:9" x14ac:dyDescent="0.2">
      <c r="A1708" t="str">
        <f t="shared" si="78"/>
        <v/>
      </c>
      <c r="B1708" s="20">
        <v>2018</v>
      </c>
      <c r="C1708" s="21" t="s">
        <v>87</v>
      </c>
      <c r="D1708" s="21" t="s">
        <v>87</v>
      </c>
      <c r="E1708" s="23">
        <v>10856</v>
      </c>
      <c r="F1708" s="20">
        <v>163342.68659999999</v>
      </c>
      <c r="G1708" s="30">
        <f t="shared" si="79"/>
        <v>174198.68659999999</v>
      </c>
      <c r="H1708" t="str">
        <f>IFERROR(VLOOKUP(C1708,Sheet1!$B$2:$C$25,2,FALSE),"")</f>
        <v/>
      </c>
      <c r="I1708">
        <f t="shared" si="80"/>
        <v>1613</v>
      </c>
    </row>
    <row r="1709" spans="1:9" x14ac:dyDescent="0.2">
      <c r="A1709" t="str">
        <f t="shared" si="78"/>
        <v/>
      </c>
      <c r="B1709" s="20">
        <v>2019</v>
      </c>
      <c r="C1709" s="21" t="s">
        <v>87</v>
      </c>
      <c r="D1709" s="21" t="s">
        <v>87</v>
      </c>
      <c r="E1709" s="23">
        <v>11400</v>
      </c>
      <c r="F1709" s="20">
        <v>164024.55189999999</v>
      </c>
      <c r="G1709" s="30">
        <f t="shared" si="79"/>
        <v>175424.55189999999</v>
      </c>
      <c r="H1709" t="str">
        <f>IFERROR(VLOOKUP(C1709,Sheet1!$B$2:$C$25,2,FALSE),"")</f>
        <v/>
      </c>
      <c r="I1709">
        <f t="shared" si="80"/>
        <v>1613</v>
      </c>
    </row>
    <row r="1710" spans="1:9" x14ac:dyDescent="0.2">
      <c r="A1710" t="str">
        <f t="shared" si="78"/>
        <v/>
      </c>
      <c r="B1710" s="20">
        <v>2020</v>
      </c>
      <c r="C1710" s="21" t="s">
        <v>87</v>
      </c>
      <c r="D1710" s="21" t="s">
        <v>87</v>
      </c>
      <c r="E1710" s="23">
        <v>11969</v>
      </c>
      <c r="F1710" s="20">
        <v>167318.7789</v>
      </c>
      <c r="G1710" s="30">
        <f t="shared" si="79"/>
        <v>179287.7789</v>
      </c>
      <c r="H1710" t="str">
        <f>IFERROR(VLOOKUP(C1710,Sheet1!$B$2:$C$25,2,FALSE),"")</f>
        <v/>
      </c>
      <c r="I1710">
        <f t="shared" si="80"/>
        <v>1613</v>
      </c>
    </row>
    <row r="1711" spans="1:9" x14ac:dyDescent="0.2">
      <c r="A1711" t="str">
        <f t="shared" si="78"/>
        <v/>
      </c>
      <c r="B1711" s="20">
        <v>2021</v>
      </c>
      <c r="C1711" s="21" t="s">
        <v>87</v>
      </c>
      <c r="D1711" s="21" t="s">
        <v>87</v>
      </c>
      <c r="E1711" s="23" t="s">
        <v>269</v>
      </c>
      <c r="F1711" s="20">
        <v>0</v>
      </c>
      <c r="G1711" s="30">
        <f t="shared" si="79"/>
        <v>0</v>
      </c>
      <c r="H1711" t="str">
        <f>IFERROR(VLOOKUP(C1711,Sheet1!$B$2:$C$25,2,FALSE),"")</f>
        <v/>
      </c>
      <c r="I1711">
        <f t="shared" si="80"/>
        <v>1613</v>
      </c>
    </row>
    <row r="1712" spans="1:9" x14ac:dyDescent="0.2">
      <c r="A1712" t="str">
        <f t="shared" si="78"/>
        <v/>
      </c>
      <c r="B1712" s="20">
        <v>2022</v>
      </c>
      <c r="C1712" s="21" t="s">
        <v>87</v>
      </c>
      <c r="D1712" s="21" t="s">
        <v>87</v>
      </c>
      <c r="E1712" s="23" t="s">
        <v>269</v>
      </c>
      <c r="F1712" s="20">
        <v>0</v>
      </c>
      <c r="G1712" s="30">
        <f t="shared" si="79"/>
        <v>0</v>
      </c>
      <c r="H1712" t="str">
        <f>IFERROR(VLOOKUP(C1712,Sheet1!$B$2:$C$25,2,FALSE),"")</f>
        <v/>
      </c>
      <c r="I1712">
        <f t="shared" si="80"/>
        <v>1613</v>
      </c>
    </row>
    <row r="1713" spans="1:9" x14ac:dyDescent="0.2">
      <c r="A1713" t="str">
        <f t="shared" si="78"/>
        <v/>
      </c>
      <c r="B1713" s="20">
        <v>2023</v>
      </c>
      <c r="C1713" s="21" t="s">
        <v>87</v>
      </c>
      <c r="D1713" s="21" t="s">
        <v>87</v>
      </c>
      <c r="E1713" s="23" t="s">
        <v>269</v>
      </c>
      <c r="F1713" s="20">
        <v>0</v>
      </c>
      <c r="G1713" s="30">
        <f t="shared" si="79"/>
        <v>0</v>
      </c>
      <c r="H1713" t="str">
        <f>IFERROR(VLOOKUP(C1713,Sheet1!$B$2:$C$25,2,FALSE),"")</f>
        <v/>
      </c>
      <c r="I1713">
        <f t="shared" si="80"/>
        <v>1613</v>
      </c>
    </row>
    <row r="1714" spans="1:9" x14ac:dyDescent="0.2">
      <c r="A1714" t="str">
        <f t="shared" si="78"/>
        <v/>
      </c>
      <c r="B1714" s="20">
        <v>2015</v>
      </c>
      <c r="C1714" s="21" t="s">
        <v>189</v>
      </c>
      <c r="D1714" s="21" t="s">
        <v>189</v>
      </c>
      <c r="E1714" s="23">
        <v>9379</v>
      </c>
      <c r="F1714" s="20">
        <v>147128.87770000001</v>
      </c>
      <c r="G1714" s="30">
        <f t="shared" si="79"/>
        <v>156507.87770000001</v>
      </c>
      <c r="H1714" t="str">
        <f>IFERROR(VLOOKUP(C1714,Sheet1!$B$2:$C$25,2,FALSE),"")</f>
        <v/>
      </c>
      <c r="I1714">
        <f t="shared" si="80"/>
        <v>1613</v>
      </c>
    </row>
    <row r="1715" spans="1:9" x14ac:dyDescent="0.2">
      <c r="A1715" t="str">
        <f t="shared" si="78"/>
        <v/>
      </c>
      <c r="B1715" s="20">
        <v>2016</v>
      </c>
      <c r="C1715" s="21" t="s">
        <v>189</v>
      </c>
      <c r="D1715" s="21" t="s">
        <v>189</v>
      </c>
      <c r="E1715" s="23">
        <v>9847</v>
      </c>
      <c r="F1715" s="20">
        <v>153700.2268</v>
      </c>
      <c r="G1715" s="30">
        <f t="shared" si="79"/>
        <v>163547.2268</v>
      </c>
      <c r="H1715" t="str">
        <f>IFERROR(VLOOKUP(C1715,Sheet1!$B$2:$C$25,2,FALSE),"")</f>
        <v/>
      </c>
      <c r="I1715">
        <f t="shared" si="80"/>
        <v>1613</v>
      </c>
    </row>
    <row r="1716" spans="1:9" x14ac:dyDescent="0.2">
      <c r="A1716" t="str">
        <f t="shared" si="78"/>
        <v/>
      </c>
      <c r="B1716" s="20">
        <v>2017</v>
      </c>
      <c r="C1716" s="21" t="s">
        <v>189</v>
      </c>
      <c r="D1716" s="21" t="s">
        <v>189</v>
      </c>
      <c r="E1716" s="23">
        <v>10339</v>
      </c>
      <c r="F1716" s="20">
        <v>170907.79920000001</v>
      </c>
      <c r="G1716" s="30">
        <f t="shared" si="79"/>
        <v>181246.79920000001</v>
      </c>
      <c r="H1716" t="str">
        <f>IFERROR(VLOOKUP(C1716,Sheet1!$B$2:$C$25,2,FALSE),"")</f>
        <v/>
      </c>
      <c r="I1716">
        <f t="shared" si="80"/>
        <v>1613</v>
      </c>
    </row>
    <row r="1717" spans="1:9" x14ac:dyDescent="0.2">
      <c r="A1717" t="str">
        <f t="shared" si="78"/>
        <v/>
      </c>
      <c r="B1717" s="20">
        <v>2018</v>
      </c>
      <c r="C1717" s="21" t="s">
        <v>189</v>
      </c>
      <c r="D1717" s="21" t="s">
        <v>189</v>
      </c>
      <c r="E1717" s="23">
        <v>10857</v>
      </c>
      <c r="F1717" s="20">
        <v>163357.7329</v>
      </c>
      <c r="G1717" s="30">
        <f t="shared" si="79"/>
        <v>174214.7329</v>
      </c>
      <c r="H1717" t="str">
        <f>IFERROR(VLOOKUP(C1717,Sheet1!$B$2:$C$25,2,FALSE),"")</f>
        <v/>
      </c>
      <c r="I1717">
        <f t="shared" si="80"/>
        <v>1613</v>
      </c>
    </row>
    <row r="1718" spans="1:9" x14ac:dyDescent="0.2">
      <c r="A1718" t="str">
        <f t="shared" si="78"/>
        <v/>
      </c>
      <c r="B1718" s="20">
        <v>2019</v>
      </c>
      <c r="C1718" s="21" t="s">
        <v>189</v>
      </c>
      <c r="D1718" s="21" t="s">
        <v>189</v>
      </c>
      <c r="E1718" s="23">
        <v>11399</v>
      </c>
      <c r="F1718" s="20">
        <v>164010.16380000001</v>
      </c>
      <c r="G1718" s="30">
        <f t="shared" si="79"/>
        <v>175409.16380000001</v>
      </c>
      <c r="H1718" t="str">
        <f>IFERROR(VLOOKUP(C1718,Sheet1!$B$2:$C$25,2,FALSE),"")</f>
        <v/>
      </c>
      <c r="I1718">
        <f t="shared" si="80"/>
        <v>1613</v>
      </c>
    </row>
    <row r="1719" spans="1:9" x14ac:dyDescent="0.2">
      <c r="A1719" t="str">
        <f t="shared" si="78"/>
        <v/>
      </c>
      <c r="B1719" s="20">
        <v>2020</v>
      </c>
      <c r="C1719" s="21" t="s">
        <v>189</v>
      </c>
      <c r="D1719" s="21" t="s">
        <v>189</v>
      </c>
      <c r="E1719" s="23">
        <v>11970</v>
      </c>
      <c r="F1719" s="20">
        <v>167332.75820000001</v>
      </c>
      <c r="G1719" s="30">
        <f t="shared" si="79"/>
        <v>179302.75820000001</v>
      </c>
      <c r="H1719" t="str">
        <f>IFERROR(VLOOKUP(C1719,Sheet1!$B$2:$C$25,2,FALSE),"")</f>
        <v/>
      </c>
      <c r="I1719">
        <f t="shared" si="80"/>
        <v>1613</v>
      </c>
    </row>
    <row r="1720" spans="1:9" x14ac:dyDescent="0.2">
      <c r="A1720" t="str">
        <f t="shared" si="78"/>
        <v/>
      </c>
      <c r="B1720" s="20">
        <v>2021</v>
      </c>
      <c r="C1720" s="21" t="s">
        <v>189</v>
      </c>
      <c r="D1720" s="20" t="s">
        <v>189</v>
      </c>
      <c r="E1720" s="23" t="s">
        <v>6</v>
      </c>
      <c r="F1720" s="20">
        <v>0</v>
      </c>
      <c r="G1720" s="30">
        <f t="shared" si="79"/>
        <v>0</v>
      </c>
      <c r="H1720" t="str">
        <f>IFERROR(VLOOKUP(C1720,Sheet1!$B$2:$C$25,2,FALSE),"")</f>
        <v/>
      </c>
      <c r="I1720">
        <f t="shared" si="80"/>
        <v>1613</v>
      </c>
    </row>
    <row r="1721" spans="1:9" x14ac:dyDescent="0.2">
      <c r="A1721" t="str">
        <f t="shared" si="78"/>
        <v/>
      </c>
      <c r="B1721" s="20">
        <v>2022</v>
      </c>
      <c r="C1721" s="21" t="s">
        <v>189</v>
      </c>
      <c r="D1721" s="21" t="s">
        <v>189</v>
      </c>
      <c r="E1721" s="23" t="s">
        <v>269</v>
      </c>
      <c r="F1721" s="20">
        <v>0</v>
      </c>
      <c r="G1721" s="30">
        <f t="shared" si="79"/>
        <v>0</v>
      </c>
      <c r="H1721" t="str">
        <f>IFERROR(VLOOKUP(C1721,Sheet1!$B$2:$C$25,2,FALSE),"")</f>
        <v/>
      </c>
      <c r="I1721">
        <f t="shared" si="80"/>
        <v>1613</v>
      </c>
    </row>
    <row r="1722" spans="1:9" x14ac:dyDescent="0.2">
      <c r="A1722" t="str">
        <f t="shared" si="78"/>
        <v/>
      </c>
      <c r="B1722" s="20">
        <v>2023</v>
      </c>
      <c r="C1722" s="21" t="s">
        <v>189</v>
      </c>
      <c r="D1722" s="21" t="s">
        <v>189</v>
      </c>
      <c r="E1722" s="23" t="s">
        <v>269</v>
      </c>
      <c r="F1722" s="20">
        <v>0</v>
      </c>
      <c r="G1722" s="30">
        <f t="shared" si="79"/>
        <v>0</v>
      </c>
      <c r="H1722" t="str">
        <f>IFERROR(VLOOKUP(C1722,Sheet1!$B$2:$C$25,2,FALSE),"")</f>
        <v/>
      </c>
      <c r="I1722">
        <f t="shared" si="80"/>
        <v>1613</v>
      </c>
    </row>
    <row r="1723" spans="1:9" x14ac:dyDescent="0.2">
      <c r="A1723" t="str">
        <f t="shared" si="78"/>
        <v/>
      </c>
      <c r="B1723" s="20">
        <v>2015</v>
      </c>
      <c r="C1723" s="21" t="s">
        <v>202</v>
      </c>
      <c r="D1723" s="21" t="s">
        <v>202</v>
      </c>
      <c r="E1723" s="23">
        <v>91647</v>
      </c>
      <c r="F1723" s="20">
        <v>1437671.42</v>
      </c>
      <c r="G1723" s="30">
        <f t="shared" si="79"/>
        <v>1529318.42</v>
      </c>
      <c r="H1723" t="str">
        <f>IFERROR(VLOOKUP(C1723,Sheet1!$B$2:$C$25,2,FALSE),"")</f>
        <v/>
      </c>
      <c r="I1723">
        <f t="shared" si="80"/>
        <v>1613</v>
      </c>
    </row>
    <row r="1724" spans="1:9" x14ac:dyDescent="0.2">
      <c r="A1724" t="str">
        <f t="shared" si="78"/>
        <v/>
      </c>
      <c r="B1724" s="20">
        <v>2016</v>
      </c>
      <c r="C1724" s="21" t="s">
        <v>202</v>
      </c>
      <c r="D1724" s="21" t="s">
        <v>202</v>
      </c>
      <c r="E1724" s="23">
        <v>84937</v>
      </c>
      <c r="F1724" s="20">
        <v>1325767.865</v>
      </c>
      <c r="G1724" s="30">
        <f t="shared" si="79"/>
        <v>1410704.865</v>
      </c>
      <c r="H1724" t="str">
        <f>IFERROR(VLOOKUP(C1724,Sheet1!$B$2:$C$25,2,FALSE),"")</f>
        <v/>
      </c>
      <c r="I1724">
        <f t="shared" si="80"/>
        <v>1613</v>
      </c>
    </row>
    <row r="1725" spans="1:9" x14ac:dyDescent="0.2">
      <c r="A1725" t="str">
        <f t="shared" si="78"/>
        <v/>
      </c>
      <c r="B1725" s="20">
        <v>2017</v>
      </c>
      <c r="C1725" s="21" t="s">
        <v>202</v>
      </c>
      <c r="D1725" s="21" t="s">
        <v>202</v>
      </c>
      <c r="E1725" s="23">
        <v>79401</v>
      </c>
      <c r="F1725" s="20">
        <v>1312530.2409999999</v>
      </c>
      <c r="G1725" s="30">
        <f t="shared" si="79"/>
        <v>1391931.2409999999</v>
      </c>
      <c r="H1725" t="str">
        <f>IFERROR(VLOOKUP(C1725,Sheet1!$B$2:$C$25,2,FALSE),"")</f>
        <v/>
      </c>
      <c r="I1725">
        <f t="shared" si="80"/>
        <v>1613</v>
      </c>
    </row>
    <row r="1726" spans="1:9" x14ac:dyDescent="0.2">
      <c r="A1726" t="str">
        <f t="shared" si="78"/>
        <v/>
      </c>
      <c r="B1726" s="20">
        <v>2018</v>
      </c>
      <c r="C1726" s="21" t="s">
        <v>202</v>
      </c>
      <c r="D1726" s="21" t="s">
        <v>202</v>
      </c>
      <c r="E1726" s="23">
        <v>82879</v>
      </c>
      <c r="F1726" s="20">
        <v>1247022.709</v>
      </c>
      <c r="G1726" s="30">
        <f t="shared" si="79"/>
        <v>1329901.709</v>
      </c>
      <c r="H1726" t="str">
        <f>IFERROR(VLOOKUP(C1726,Sheet1!$B$2:$C$25,2,FALSE),"")</f>
        <v/>
      </c>
      <c r="I1726">
        <f t="shared" si="80"/>
        <v>1613</v>
      </c>
    </row>
    <row r="1727" spans="1:9" x14ac:dyDescent="0.2">
      <c r="A1727" t="str">
        <f t="shared" si="78"/>
        <v/>
      </c>
      <c r="B1727" s="20">
        <v>2019</v>
      </c>
      <c r="C1727" s="21" t="s">
        <v>202</v>
      </c>
      <c r="D1727" s="21" t="s">
        <v>202</v>
      </c>
      <c r="E1727" s="23">
        <v>98970</v>
      </c>
      <c r="F1727" s="20">
        <v>1423992.0970000001</v>
      </c>
      <c r="G1727" s="30">
        <f t="shared" si="79"/>
        <v>1522962.0970000001</v>
      </c>
      <c r="H1727" t="str">
        <f>IFERROR(VLOOKUP(C1727,Sheet1!$B$2:$C$25,2,FALSE),"")</f>
        <v/>
      </c>
      <c r="I1727">
        <f t="shared" si="80"/>
        <v>1613</v>
      </c>
    </row>
    <row r="1728" spans="1:9" x14ac:dyDescent="0.2">
      <c r="A1728" t="str">
        <f t="shared" si="78"/>
        <v/>
      </c>
      <c r="B1728" s="20">
        <v>2020</v>
      </c>
      <c r="C1728" s="21" t="s">
        <v>202</v>
      </c>
      <c r="D1728" s="21" t="s">
        <v>202</v>
      </c>
      <c r="E1728" s="23">
        <v>109486</v>
      </c>
      <c r="F1728" s="20">
        <v>1530542.554</v>
      </c>
      <c r="G1728" s="30">
        <f t="shared" si="79"/>
        <v>1640028.554</v>
      </c>
      <c r="H1728" t="str">
        <f>IFERROR(VLOOKUP(C1728,Sheet1!$B$2:$C$25,2,FALSE),"")</f>
        <v/>
      </c>
      <c r="I1728">
        <f t="shared" si="80"/>
        <v>1613</v>
      </c>
    </row>
    <row r="1729" spans="1:9" x14ac:dyDescent="0.2">
      <c r="A1729" t="str">
        <f t="shared" si="78"/>
        <v/>
      </c>
      <c r="B1729" s="20">
        <v>2021</v>
      </c>
      <c r="C1729" s="21" t="s">
        <v>202</v>
      </c>
      <c r="D1729" s="20" t="s">
        <v>202</v>
      </c>
      <c r="E1729" s="23">
        <v>119384</v>
      </c>
      <c r="F1729" s="20">
        <v>1558436.9669999999</v>
      </c>
      <c r="G1729" s="30">
        <f t="shared" si="79"/>
        <v>1677820.9669999999</v>
      </c>
      <c r="H1729" t="str">
        <f>IFERROR(VLOOKUP(C1729,Sheet1!$B$2:$C$25,2,FALSE),"")</f>
        <v/>
      </c>
      <c r="I1729">
        <f t="shared" si="80"/>
        <v>1613</v>
      </c>
    </row>
    <row r="1730" spans="1:9" x14ac:dyDescent="0.2">
      <c r="A1730" t="str">
        <f t="shared" si="78"/>
        <v/>
      </c>
      <c r="B1730" s="20">
        <v>2022</v>
      </c>
      <c r="C1730" s="21" t="s">
        <v>202</v>
      </c>
      <c r="D1730" s="21" t="s">
        <v>202</v>
      </c>
      <c r="E1730" s="23">
        <v>119900</v>
      </c>
      <c r="F1730" s="20">
        <v>1648327.902</v>
      </c>
      <c r="G1730" s="30">
        <f t="shared" si="79"/>
        <v>1768227.902</v>
      </c>
      <c r="H1730" t="str">
        <f>IFERROR(VLOOKUP(C1730,Sheet1!$B$2:$C$25,2,FALSE),"")</f>
        <v/>
      </c>
      <c r="I1730">
        <f t="shared" si="80"/>
        <v>1613</v>
      </c>
    </row>
    <row r="1731" spans="1:9" x14ac:dyDescent="0.2">
      <c r="A1731" t="str">
        <f t="shared" ref="A1731:A1794" si="81">H1731</f>
        <v/>
      </c>
      <c r="B1731" s="20">
        <v>2023</v>
      </c>
      <c r="C1731" s="21" t="s">
        <v>202</v>
      </c>
      <c r="D1731" s="21" t="s">
        <v>202</v>
      </c>
      <c r="E1731" s="23">
        <v>123896</v>
      </c>
      <c r="F1731" s="20">
        <v>1658194.595</v>
      </c>
      <c r="G1731" s="30">
        <f t="shared" ref="G1731:G1794" si="82">SUM(E1731:F1731)</f>
        <v>1782090.595</v>
      </c>
      <c r="H1731" t="str">
        <f>IFERROR(VLOOKUP(C1731,Sheet1!$B$2:$C$25,2,FALSE),"")</f>
        <v/>
      </c>
      <c r="I1731">
        <f t="shared" ref="I1731:I1794" si="83">COUNTIF($H$2:$H$1812,H1731)</f>
        <v>1613</v>
      </c>
    </row>
    <row r="1732" spans="1:9" x14ac:dyDescent="0.2">
      <c r="A1732" t="str">
        <f t="shared" si="81"/>
        <v/>
      </c>
      <c r="B1732" s="20">
        <v>2015</v>
      </c>
      <c r="C1732" s="21" t="s">
        <v>197</v>
      </c>
      <c r="D1732" s="21" t="s">
        <v>197</v>
      </c>
      <c r="E1732" s="23">
        <v>543160</v>
      </c>
      <c r="F1732" s="20">
        <v>8520580.1459999997</v>
      </c>
      <c r="G1732" s="30">
        <f t="shared" si="82"/>
        <v>9063740.1459999997</v>
      </c>
      <c r="H1732" t="str">
        <f>IFERROR(VLOOKUP(C1732,Sheet1!$B$2:$C$25,2,FALSE),"")</f>
        <v/>
      </c>
      <c r="I1732">
        <f t="shared" si="83"/>
        <v>1613</v>
      </c>
    </row>
    <row r="1733" spans="1:9" x14ac:dyDescent="0.2">
      <c r="A1733" t="str">
        <f t="shared" si="81"/>
        <v/>
      </c>
      <c r="B1733" s="20">
        <v>2016</v>
      </c>
      <c r="C1733" s="21" t="s">
        <v>197</v>
      </c>
      <c r="D1733" s="21" t="s">
        <v>197</v>
      </c>
      <c r="E1733" s="23">
        <v>510036</v>
      </c>
      <c r="F1733" s="20">
        <v>7961069.2470000004</v>
      </c>
      <c r="G1733" s="30">
        <f t="shared" si="82"/>
        <v>8471105.2470000014</v>
      </c>
      <c r="H1733" t="str">
        <f>IFERROR(VLOOKUP(C1733,Sheet1!$B$2:$C$25,2,FALSE),"")</f>
        <v/>
      </c>
      <c r="I1733">
        <f t="shared" si="83"/>
        <v>1613</v>
      </c>
    </row>
    <row r="1734" spans="1:9" x14ac:dyDescent="0.2">
      <c r="A1734" t="str">
        <f t="shared" si="81"/>
        <v/>
      </c>
      <c r="B1734" s="20">
        <v>2017</v>
      </c>
      <c r="C1734" s="21" t="s">
        <v>197</v>
      </c>
      <c r="D1734" s="21" t="s">
        <v>197</v>
      </c>
      <c r="E1734" s="23">
        <v>477730</v>
      </c>
      <c r="F1734" s="20">
        <v>7897067.6960000005</v>
      </c>
      <c r="G1734" s="30">
        <f t="shared" si="82"/>
        <v>8374797.6960000005</v>
      </c>
      <c r="H1734" t="str">
        <f>IFERROR(VLOOKUP(C1734,Sheet1!$B$2:$C$25,2,FALSE),"")</f>
        <v/>
      </c>
      <c r="I1734">
        <f t="shared" si="83"/>
        <v>1613</v>
      </c>
    </row>
    <row r="1735" spans="1:9" x14ac:dyDescent="0.2">
      <c r="A1735" t="str">
        <f t="shared" si="81"/>
        <v/>
      </c>
      <c r="B1735" s="20">
        <v>2018</v>
      </c>
      <c r="C1735" s="21" t="s">
        <v>197</v>
      </c>
      <c r="D1735" s="21" t="s">
        <v>197</v>
      </c>
      <c r="E1735" s="23">
        <v>501423</v>
      </c>
      <c r="F1735" s="20">
        <v>7544563.3710000003</v>
      </c>
      <c r="G1735" s="30">
        <f t="shared" si="82"/>
        <v>8045986.3710000003</v>
      </c>
      <c r="H1735" t="str">
        <f>IFERROR(VLOOKUP(C1735,Sheet1!$B$2:$C$25,2,FALSE),"")</f>
        <v/>
      </c>
      <c r="I1735">
        <f t="shared" si="83"/>
        <v>1613</v>
      </c>
    </row>
    <row r="1736" spans="1:9" x14ac:dyDescent="0.2">
      <c r="A1736" t="str">
        <f t="shared" si="81"/>
        <v/>
      </c>
      <c r="B1736" s="20">
        <v>2019</v>
      </c>
      <c r="C1736" s="21" t="s">
        <v>197</v>
      </c>
      <c r="D1736" s="21" t="s">
        <v>197</v>
      </c>
      <c r="E1736" s="23">
        <v>541517</v>
      </c>
      <c r="F1736" s="20">
        <v>7791410.8140000002</v>
      </c>
      <c r="G1736" s="30">
        <f t="shared" si="82"/>
        <v>8332927.8140000002</v>
      </c>
      <c r="H1736" t="str">
        <f>IFERROR(VLOOKUP(C1736,Sheet1!$B$2:$C$25,2,FALSE),"")</f>
        <v/>
      </c>
      <c r="I1736">
        <f t="shared" si="83"/>
        <v>1613</v>
      </c>
    </row>
    <row r="1737" spans="1:9" x14ac:dyDescent="0.2">
      <c r="A1737" t="str">
        <f t="shared" si="81"/>
        <v/>
      </c>
      <c r="B1737" s="20">
        <v>2020</v>
      </c>
      <c r="C1737" s="21" t="s">
        <v>197</v>
      </c>
      <c r="D1737" s="21" t="s">
        <v>197</v>
      </c>
      <c r="E1737" s="23">
        <v>572844</v>
      </c>
      <c r="F1737" s="20">
        <v>8007983.8380000005</v>
      </c>
      <c r="G1737" s="30">
        <f t="shared" si="82"/>
        <v>8580827.8379999995</v>
      </c>
      <c r="H1737" t="str">
        <f>IFERROR(VLOOKUP(C1737,Sheet1!$B$2:$C$25,2,FALSE),"")</f>
        <v/>
      </c>
      <c r="I1737">
        <f t="shared" si="83"/>
        <v>1613</v>
      </c>
    </row>
    <row r="1738" spans="1:9" x14ac:dyDescent="0.2">
      <c r="A1738" t="str">
        <f t="shared" si="81"/>
        <v/>
      </c>
      <c r="B1738" s="20">
        <v>2021</v>
      </c>
      <c r="C1738" s="21" t="s">
        <v>197</v>
      </c>
      <c r="D1738" s="20" t="s">
        <v>197</v>
      </c>
      <c r="E1738" s="23">
        <v>546402</v>
      </c>
      <c r="F1738" s="20">
        <v>7132723.6140000001</v>
      </c>
      <c r="G1738" s="30">
        <f t="shared" si="82"/>
        <v>7679125.6140000001</v>
      </c>
      <c r="H1738" t="str">
        <f>IFERROR(VLOOKUP(C1738,Sheet1!$B$2:$C$25,2,FALSE),"")</f>
        <v/>
      </c>
      <c r="I1738">
        <f t="shared" si="83"/>
        <v>1613</v>
      </c>
    </row>
    <row r="1739" spans="1:9" x14ac:dyDescent="0.2">
      <c r="A1739" t="str">
        <f t="shared" si="81"/>
        <v/>
      </c>
      <c r="B1739" s="20">
        <v>2022</v>
      </c>
      <c r="C1739" s="21" t="s">
        <v>197</v>
      </c>
      <c r="D1739" s="21" t="s">
        <v>197</v>
      </c>
      <c r="E1739" s="23">
        <v>616246</v>
      </c>
      <c r="F1739" s="20">
        <v>8471855.5160000008</v>
      </c>
      <c r="G1739" s="30">
        <f t="shared" si="82"/>
        <v>9088101.5160000008</v>
      </c>
      <c r="H1739" t="str">
        <f>IFERROR(VLOOKUP(C1739,Sheet1!$B$2:$C$25,2,FALSE),"")</f>
        <v/>
      </c>
      <c r="I1739">
        <f t="shared" si="83"/>
        <v>1613</v>
      </c>
    </row>
    <row r="1740" spans="1:9" x14ac:dyDescent="0.2">
      <c r="A1740" t="str">
        <f t="shared" si="81"/>
        <v/>
      </c>
      <c r="B1740" s="20">
        <v>2023</v>
      </c>
      <c r="C1740" s="21" t="s">
        <v>197</v>
      </c>
      <c r="D1740" s="21" t="s">
        <v>197</v>
      </c>
      <c r="E1740" s="23">
        <v>644793</v>
      </c>
      <c r="F1740" s="20">
        <v>8629756.1469999999</v>
      </c>
      <c r="G1740" s="30">
        <f t="shared" si="82"/>
        <v>9274549.1469999999</v>
      </c>
      <c r="H1740" t="str">
        <f>IFERROR(VLOOKUP(C1740,Sheet1!$B$2:$C$25,2,FALSE),"")</f>
        <v/>
      </c>
      <c r="I1740">
        <f t="shared" si="83"/>
        <v>1613</v>
      </c>
    </row>
    <row r="1741" spans="1:9" x14ac:dyDescent="0.2">
      <c r="A1741" t="str">
        <f t="shared" si="81"/>
        <v/>
      </c>
      <c r="B1741" s="20">
        <v>2015</v>
      </c>
      <c r="C1741" s="21" t="s">
        <v>195</v>
      </c>
      <c r="D1741" s="21" t="s">
        <v>195</v>
      </c>
      <c r="E1741" s="23">
        <v>703944</v>
      </c>
      <c r="F1741" s="20">
        <v>11042807.41</v>
      </c>
      <c r="G1741" s="30">
        <f t="shared" si="82"/>
        <v>11746751.41</v>
      </c>
      <c r="H1741" t="str">
        <f>IFERROR(VLOOKUP(C1741,Sheet1!$B$2:$C$25,2,FALSE),"")</f>
        <v/>
      </c>
      <c r="I1741">
        <f t="shared" si="83"/>
        <v>1613</v>
      </c>
    </row>
    <row r="1742" spans="1:9" x14ac:dyDescent="0.2">
      <c r="A1742" t="str">
        <f t="shared" si="81"/>
        <v/>
      </c>
      <c r="B1742" s="20">
        <v>2016</v>
      </c>
      <c r="C1742" s="21" t="s">
        <v>195</v>
      </c>
      <c r="D1742" s="21" t="s">
        <v>195</v>
      </c>
      <c r="E1742" s="23">
        <v>782764</v>
      </c>
      <c r="F1742" s="20">
        <v>12218036.390000001</v>
      </c>
      <c r="G1742" s="30">
        <f t="shared" si="82"/>
        <v>13000800.390000001</v>
      </c>
      <c r="H1742" t="str">
        <f>IFERROR(VLOOKUP(C1742,Sheet1!$B$2:$C$25,2,FALSE),"")</f>
        <v/>
      </c>
      <c r="I1742">
        <f t="shared" si="83"/>
        <v>1613</v>
      </c>
    </row>
    <row r="1743" spans="1:9" x14ac:dyDescent="0.2">
      <c r="A1743" t="str">
        <f t="shared" si="81"/>
        <v/>
      </c>
      <c r="B1743" s="20">
        <v>2017</v>
      </c>
      <c r="C1743" s="21" t="s">
        <v>195</v>
      </c>
      <c r="D1743" s="21" t="s">
        <v>195</v>
      </c>
      <c r="E1743" s="23">
        <v>721863</v>
      </c>
      <c r="F1743" s="20">
        <v>11932683.689999999</v>
      </c>
      <c r="G1743" s="30">
        <f t="shared" si="82"/>
        <v>12654546.689999999</v>
      </c>
      <c r="H1743" t="str">
        <f>IFERROR(VLOOKUP(C1743,Sheet1!$B$2:$C$25,2,FALSE),"")</f>
        <v/>
      </c>
      <c r="I1743">
        <f t="shared" si="83"/>
        <v>1613</v>
      </c>
    </row>
    <row r="1744" spans="1:9" x14ac:dyDescent="0.2">
      <c r="A1744" t="str">
        <f t="shared" si="81"/>
        <v/>
      </c>
      <c r="B1744" s="20">
        <v>2018</v>
      </c>
      <c r="C1744" s="21" t="s">
        <v>195</v>
      </c>
      <c r="D1744" s="21" t="s">
        <v>195</v>
      </c>
      <c r="E1744" s="23">
        <v>867180</v>
      </c>
      <c r="F1744" s="20">
        <v>13047854.73</v>
      </c>
      <c r="G1744" s="30">
        <f t="shared" si="82"/>
        <v>13915034.73</v>
      </c>
      <c r="H1744" t="str">
        <f>IFERROR(VLOOKUP(C1744,Sheet1!$B$2:$C$25,2,FALSE),"")</f>
        <v/>
      </c>
      <c r="I1744">
        <f t="shared" si="83"/>
        <v>1613</v>
      </c>
    </row>
    <row r="1745" spans="1:9" x14ac:dyDescent="0.2">
      <c r="A1745" t="str">
        <f t="shared" si="81"/>
        <v/>
      </c>
      <c r="B1745" s="20">
        <v>2019</v>
      </c>
      <c r="C1745" s="21" t="s">
        <v>195</v>
      </c>
      <c r="D1745" s="21" t="s">
        <v>195</v>
      </c>
      <c r="E1745" s="23">
        <v>856341</v>
      </c>
      <c r="F1745" s="20">
        <v>12321135.859999999</v>
      </c>
      <c r="G1745" s="30">
        <f t="shared" si="82"/>
        <v>13177476.859999999</v>
      </c>
      <c r="H1745" t="str">
        <f>IFERROR(VLOOKUP(C1745,Sheet1!$B$2:$C$25,2,FALSE),"")</f>
        <v/>
      </c>
      <c r="I1745">
        <f t="shared" si="83"/>
        <v>1613</v>
      </c>
    </row>
    <row r="1746" spans="1:9" x14ac:dyDescent="0.2">
      <c r="A1746" t="str">
        <f t="shared" si="81"/>
        <v/>
      </c>
      <c r="B1746" s="20">
        <v>2020</v>
      </c>
      <c r="C1746" s="21" t="s">
        <v>195</v>
      </c>
      <c r="D1746" s="21" t="s">
        <v>195</v>
      </c>
      <c r="E1746" s="23">
        <v>943051</v>
      </c>
      <c r="F1746" s="20">
        <v>13183235.17</v>
      </c>
      <c r="G1746" s="30">
        <f t="shared" si="82"/>
        <v>14126286.17</v>
      </c>
      <c r="H1746" t="str">
        <f>IFERROR(VLOOKUP(C1746,Sheet1!$B$2:$C$25,2,FALSE),"")</f>
        <v/>
      </c>
      <c r="I1746">
        <f t="shared" si="83"/>
        <v>1613</v>
      </c>
    </row>
    <row r="1747" spans="1:9" x14ac:dyDescent="0.2">
      <c r="A1747" t="str">
        <f t="shared" si="81"/>
        <v/>
      </c>
      <c r="B1747" s="20">
        <v>2021</v>
      </c>
      <c r="C1747" s="21" t="s">
        <v>195</v>
      </c>
      <c r="D1747" s="20" t="s">
        <v>195</v>
      </c>
      <c r="E1747" s="23">
        <v>1117062</v>
      </c>
      <c r="F1747" s="20">
        <v>14582110.800000001</v>
      </c>
      <c r="G1747" s="30">
        <f t="shared" si="82"/>
        <v>15699172.800000001</v>
      </c>
      <c r="H1747" t="str">
        <f>IFERROR(VLOOKUP(C1747,Sheet1!$B$2:$C$25,2,FALSE),"")</f>
        <v/>
      </c>
      <c r="I1747">
        <f t="shared" si="83"/>
        <v>1613</v>
      </c>
    </row>
    <row r="1748" spans="1:9" x14ac:dyDescent="0.2">
      <c r="A1748" t="str">
        <f t="shared" si="81"/>
        <v/>
      </c>
      <c r="B1748" s="20">
        <v>2022</v>
      </c>
      <c r="C1748" s="21" t="s">
        <v>195</v>
      </c>
      <c r="D1748" s="21" t="s">
        <v>195</v>
      </c>
      <c r="E1748" s="23">
        <v>1149060</v>
      </c>
      <c r="F1748" s="20">
        <v>15796727.77</v>
      </c>
      <c r="G1748" s="30">
        <f t="shared" si="82"/>
        <v>16945787.77</v>
      </c>
      <c r="H1748" t="str">
        <f>IFERROR(VLOOKUP(C1748,Sheet1!$B$2:$C$25,2,FALSE),"")</f>
        <v/>
      </c>
      <c r="I1748">
        <f t="shared" si="83"/>
        <v>1613</v>
      </c>
    </row>
    <row r="1749" spans="1:9" x14ac:dyDescent="0.2">
      <c r="A1749" t="str">
        <f t="shared" si="81"/>
        <v/>
      </c>
      <c r="B1749" s="20">
        <v>2023</v>
      </c>
      <c r="C1749" s="21" t="s">
        <v>195</v>
      </c>
      <c r="D1749" s="21" t="s">
        <v>195</v>
      </c>
      <c r="E1749" s="23">
        <v>1494624</v>
      </c>
      <c r="F1749" s="20">
        <v>20003692.120000001</v>
      </c>
      <c r="G1749" s="30">
        <f t="shared" si="82"/>
        <v>21498316.120000001</v>
      </c>
      <c r="H1749" t="str">
        <f>IFERROR(VLOOKUP(C1749,Sheet1!$B$2:$C$25,2,FALSE),"")</f>
        <v/>
      </c>
      <c r="I1749">
        <f t="shared" si="83"/>
        <v>1613</v>
      </c>
    </row>
    <row r="1750" spans="1:9" x14ac:dyDescent="0.2">
      <c r="A1750">
        <f t="shared" si="81"/>
        <v>2400720</v>
      </c>
      <c r="B1750" s="20">
        <v>2015</v>
      </c>
      <c r="C1750" s="21" t="s">
        <v>196</v>
      </c>
      <c r="D1750" s="21" t="s">
        <v>196</v>
      </c>
      <c r="E1750" s="23">
        <v>498769</v>
      </c>
      <c r="F1750" s="20">
        <v>7824216.1399999997</v>
      </c>
      <c r="G1750" s="30">
        <f t="shared" si="82"/>
        <v>8322985.1399999997</v>
      </c>
      <c r="H1750">
        <f>IFERROR(VLOOKUP(C1750,Sheet1!$B$2:$C$25,2,FALSE),"")</f>
        <v>2400720</v>
      </c>
      <c r="I1750">
        <f t="shared" si="83"/>
        <v>9</v>
      </c>
    </row>
    <row r="1751" spans="1:9" x14ac:dyDescent="0.2">
      <c r="A1751">
        <f t="shared" si="81"/>
        <v>2400720</v>
      </c>
      <c r="B1751" s="20">
        <v>2016</v>
      </c>
      <c r="C1751" s="21" t="s">
        <v>196</v>
      </c>
      <c r="D1751" s="21" t="s">
        <v>196</v>
      </c>
      <c r="E1751" s="23">
        <v>463577</v>
      </c>
      <c r="F1751" s="20">
        <v>7235898.2470000004</v>
      </c>
      <c r="G1751" s="30">
        <f t="shared" si="82"/>
        <v>7699475.2470000004</v>
      </c>
      <c r="H1751">
        <f>IFERROR(VLOOKUP(C1751,Sheet1!$B$2:$C$25,2,FALSE),"")</f>
        <v>2400720</v>
      </c>
      <c r="I1751">
        <f t="shared" si="83"/>
        <v>9</v>
      </c>
    </row>
    <row r="1752" spans="1:9" x14ac:dyDescent="0.2">
      <c r="A1752">
        <f t="shared" si="81"/>
        <v>2400720</v>
      </c>
      <c r="B1752" s="20">
        <v>2017</v>
      </c>
      <c r="C1752" s="21" t="s">
        <v>196</v>
      </c>
      <c r="D1752" s="21" t="s">
        <v>196</v>
      </c>
      <c r="E1752" s="23">
        <v>439282</v>
      </c>
      <c r="F1752" s="20">
        <v>7261506.9009999996</v>
      </c>
      <c r="G1752" s="30">
        <f t="shared" si="82"/>
        <v>7700788.9009999996</v>
      </c>
      <c r="H1752">
        <f>IFERROR(VLOOKUP(C1752,Sheet1!$B$2:$C$25,2,FALSE),"")</f>
        <v>2400720</v>
      </c>
      <c r="I1752">
        <f t="shared" si="83"/>
        <v>9</v>
      </c>
    </row>
    <row r="1753" spans="1:9" x14ac:dyDescent="0.2">
      <c r="A1753">
        <f t="shared" si="81"/>
        <v>2400720</v>
      </c>
      <c r="B1753" s="20">
        <v>2018</v>
      </c>
      <c r="C1753" s="21" t="s">
        <v>196</v>
      </c>
      <c r="D1753" s="21" t="s">
        <v>196</v>
      </c>
      <c r="E1753" s="23">
        <v>482365</v>
      </c>
      <c r="F1753" s="20">
        <v>7257810.8909999998</v>
      </c>
      <c r="G1753" s="30">
        <f t="shared" si="82"/>
        <v>7740175.8909999998</v>
      </c>
      <c r="H1753">
        <f>IFERROR(VLOOKUP(C1753,Sheet1!$B$2:$C$25,2,FALSE),"")</f>
        <v>2400720</v>
      </c>
      <c r="I1753">
        <f t="shared" si="83"/>
        <v>9</v>
      </c>
    </row>
    <row r="1754" spans="1:9" x14ac:dyDescent="0.2">
      <c r="A1754">
        <f t="shared" si="81"/>
        <v>2400720</v>
      </c>
      <c r="B1754" s="20">
        <v>2019</v>
      </c>
      <c r="C1754" s="21" t="s">
        <v>196</v>
      </c>
      <c r="D1754" s="21" t="s">
        <v>196</v>
      </c>
      <c r="E1754" s="23">
        <v>530857</v>
      </c>
      <c r="F1754" s="20">
        <v>7638033.4699999997</v>
      </c>
      <c r="G1754" s="30">
        <f t="shared" si="82"/>
        <v>8168890.4699999997</v>
      </c>
      <c r="H1754">
        <f>IFERROR(VLOOKUP(C1754,Sheet1!$B$2:$C$25,2,FALSE),"")</f>
        <v>2400720</v>
      </c>
      <c r="I1754">
        <f t="shared" si="83"/>
        <v>9</v>
      </c>
    </row>
    <row r="1755" spans="1:9" x14ac:dyDescent="0.2">
      <c r="A1755">
        <f t="shared" si="81"/>
        <v>2400720</v>
      </c>
      <c r="B1755" s="20">
        <v>2020</v>
      </c>
      <c r="C1755" s="21" t="s">
        <v>196</v>
      </c>
      <c r="D1755" s="21" t="s">
        <v>196</v>
      </c>
      <c r="E1755" s="23">
        <v>554583</v>
      </c>
      <c r="F1755" s="20">
        <v>7752707.0219999999</v>
      </c>
      <c r="G1755" s="30">
        <f t="shared" si="82"/>
        <v>8307290.0219999999</v>
      </c>
      <c r="H1755">
        <f>IFERROR(VLOOKUP(C1755,Sheet1!$B$2:$C$25,2,FALSE),"")</f>
        <v>2400720</v>
      </c>
      <c r="I1755">
        <f t="shared" si="83"/>
        <v>9</v>
      </c>
    </row>
    <row r="1756" spans="1:9" x14ac:dyDescent="0.2">
      <c r="A1756">
        <f t="shared" si="81"/>
        <v>2400720</v>
      </c>
      <c r="B1756" s="20">
        <v>2021</v>
      </c>
      <c r="C1756" s="21" t="s">
        <v>196</v>
      </c>
      <c r="D1756" s="20" t="s">
        <v>196</v>
      </c>
      <c r="E1756" s="23">
        <v>624038</v>
      </c>
      <c r="F1756" s="20">
        <v>8146182.807</v>
      </c>
      <c r="G1756" s="30">
        <f t="shared" si="82"/>
        <v>8770220.807</v>
      </c>
      <c r="H1756">
        <f>IFERROR(VLOOKUP(C1756,Sheet1!$B$2:$C$25,2,FALSE),"")</f>
        <v>2400720</v>
      </c>
      <c r="I1756">
        <f t="shared" si="83"/>
        <v>9</v>
      </c>
    </row>
    <row r="1757" spans="1:9" x14ac:dyDescent="0.2">
      <c r="A1757">
        <f t="shared" si="81"/>
        <v>2400720</v>
      </c>
      <c r="B1757" s="20">
        <v>2022</v>
      </c>
      <c r="C1757" s="21" t="s">
        <v>196</v>
      </c>
      <c r="D1757" s="21" t="s">
        <v>196</v>
      </c>
      <c r="E1757" s="23">
        <v>648942</v>
      </c>
      <c r="F1757" s="20">
        <v>8921344.5</v>
      </c>
      <c r="G1757" s="30">
        <f t="shared" si="82"/>
        <v>9570286.5</v>
      </c>
      <c r="H1757">
        <f>IFERROR(VLOOKUP(C1757,Sheet1!$B$2:$C$25,2,FALSE),"")</f>
        <v>2400720</v>
      </c>
      <c r="I1757">
        <f t="shared" si="83"/>
        <v>9</v>
      </c>
    </row>
    <row r="1758" spans="1:9" x14ac:dyDescent="0.2">
      <c r="A1758">
        <f t="shared" si="81"/>
        <v>2400720</v>
      </c>
      <c r="B1758" s="20">
        <v>2023</v>
      </c>
      <c r="C1758" s="21" t="s">
        <v>196</v>
      </c>
      <c r="D1758" s="21" t="s">
        <v>196</v>
      </c>
      <c r="E1758" s="23">
        <v>689669</v>
      </c>
      <c r="F1758" s="20">
        <v>9230365.8570000008</v>
      </c>
      <c r="G1758" s="30">
        <f t="shared" si="82"/>
        <v>9920034.8570000008</v>
      </c>
      <c r="H1758">
        <f>IFERROR(VLOOKUP(C1758,Sheet1!$B$2:$C$25,2,FALSE),"")</f>
        <v>2400720</v>
      </c>
      <c r="I1758">
        <f t="shared" si="83"/>
        <v>9</v>
      </c>
    </row>
    <row r="1759" spans="1:9" x14ac:dyDescent="0.2">
      <c r="A1759" t="str">
        <f t="shared" si="81"/>
        <v/>
      </c>
      <c r="B1759" s="20">
        <v>2015</v>
      </c>
      <c r="C1759" s="21" t="s">
        <v>198</v>
      </c>
      <c r="D1759" s="21" t="s">
        <v>198</v>
      </c>
      <c r="E1759" s="23">
        <v>559</v>
      </c>
      <c r="F1759" s="20">
        <v>8769.0630779999992</v>
      </c>
      <c r="G1759" s="30">
        <f t="shared" si="82"/>
        <v>9328.0630779999992</v>
      </c>
      <c r="H1759" t="str">
        <f>IFERROR(VLOOKUP(C1759,Sheet1!$B$2:$C$25,2,FALSE),"")</f>
        <v/>
      </c>
      <c r="I1759">
        <f t="shared" si="83"/>
        <v>1613</v>
      </c>
    </row>
    <row r="1760" spans="1:9" x14ac:dyDescent="0.2">
      <c r="A1760" t="str">
        <f t="shared" si="81"/>
        <v/>
      </c>
      <c r="B1760" s="20">
        <v>2016</v>
      </c>
      <c r="C1760" s="21" t="s">
        <v>198</v>
      </c>
      <c r="D1760" s="21" t="s">
        <v>198</v>
      </c>
      <c r="E1760" s="23">
        <v>590</v>
      </c>
      <c r="F1760" s="20">
        <v>9209.2143599999999</v>
      </c>
      <c r="G1760" s="30">
        <f t="shared" si="82"/>
        <v>9799.2143599999999</v>
      </c>
      <c r="H1760" t="str">
        <f>IFERROR(VLOOKUP(C1760,Sheet1!$B$2:$C$25,2,FALSE),"")</f>
        <v/>
      </c>
      <c r="I1760">
        <f t="shared" si="83"/>
        <v>1613</v>
      </c>
    </row>
    <row r="1761" spans="1:9" x14ac:dyDescent="0.2">
      <c r="A1761" t="str">
        <f t="shared" si="81"/>
        <v/>
      </c>
      <c r="B1761" s="20">
        <v>2017</v>
      </c>
      <c r="C1761" s="21" t="s">
        <v>198</v>
      </c>
      <c r="D1761" s="21" t="s">
        <v>198</v>
      </c>
      <c r="E1761" s="23">
        <v>2742</v>
      </c>
      <c r="F1761" s="20">
        <v>45326.355100000001</v>
      </c>
      <c r="G1761" s="30">
        <f t="shared" si="82"/>
        <v>48068.355100000001</v>
      </c>
      <c r="H1761" t="str">
        <f>IFERROR(VLOOKUP(C1761,Sheet1!$B$2:$C$25,2,FALSE),"")</f>
        <v/>
      </c>
      <c r="I1761">
        <f t="shared" si="83"/>
        <v>1613</v>
      </c>
    </row>
    <row r="1762" spans="1:9" x14ac:dyDescent="0.2">
      <c r="A1762" t="str">
        <f t="shared" si="81"/>
        <v/>
      </c>
      <c r="B1762" s="20">
        <v>2018</v>
      </c>
      <c r="C1762" s="21" t="s">
        <v>198</v>
      </c>
      <c r="D1762" s="21" t="s">
        <v>198</v>
      </c>
      <c r="E1762" s="23">
        <v>2784</v>
      </c>
      <c r="F1762" s="20">
        <v>41888.913</v>
      </c>
      <c r="G1762" s="30">
        <f t="shared" si="82"/>
        <v>44672.913</v>
      </c>
      <c r="H1762" t="str">
        <f>IFERROR(VLOOKUP(C1762,Sheet1!$B$2:$C$25,2,FALSE),"")</f>
        <v/>
      </c>
      <c r="I1762">
        <f t="shared" si="83"/>
        <v>1613</v>
      </c>
    </row>
    <row r="1763" spans="1:9" x14ac:dyDescent="0.2">
      <c r="A1763" t="str">
        <f t="shared" si="81"/>
        <v/>
      </c>
      <c r="B1763" s="20">
        <v>2019</v>
      </c>
      <c r="C1763" s="21" t="s">
        <v>198</v>
      </c>
      <c r="D1763" s="21" t="s">
        <v>198</v>
      </c>
      <c r="E1763" s="23">
        <v>2787</v>
      </c>
      <c r="F1763" s="20">
        <v>40099.68651</v>
      </c>
      <c r="G1763" s="30">
        <f t="shared" si="82"/>
        <v>42886.68651</v>
      </c>
      <c r="H1763" t="str">
        <f>IFERROR(VLOOKUP(C1763,Sheet1!$B$2:$C$25,2,FALSE),"")</f>
        <v/>
      </c>
      <c r="I1763">
        <f t="shared" si="83"/>
        <v>1613</v>
      </c>
    </row>
    <row r="1764" spans="1:9" x14ac:dyDescent="0.2">
      <c r="A1764" t="str">
        <f t="shared" si="81"/>
        <v/>
      </c>
      <c r="B1764" s="20">
        <v>2020</v>
      </c>
      <c r="C1764" s="21" t="s">
        <v>198</v>
      </c>
      <c r="D1764" s="21" t="s">
        <v>198</v>
      </c>
      <c r="E1764" s="23">
        <v>2934</v>
      </c>
      <c r="F1764" s="20">
        <v>41015.397879999997</v>
      </c>
      <c r="G1764" s="30">
        <f t="shared" si="82"/>
        <v>43949.397879999997</v>
      </c>
      <c r="H1764" t="str">
        <f>IFERROR(VLOOKUP(C1764,Sheet1!$B$2:$C$25,2,FALSE),"")</f>
        <v/>
      </c>
      <c r="I1764">
        <f t="shared" si="83"/>
        <v>1613</v>
      </c>
    </row>
    <row r="1765" spans="1:9" x14ac:dyDescent="0.2">
      <c r="A1765" t="str">
        <f t="shared" si="81"/>
        <v/>
      </c>
      <c r="B1765" s="20">
        <v>2021</v>
      </c>
      <c r="C1765" s="21" t="s">
        <v>198</v>
      </c>
      <c r="D1765" s="20" t="s">
        <v>198</v>
      </c>
      <c r="E1765" s="23">
        <v>3107</v>
      </c>
      <c r="F1765" s="20">
        <v>40558.731970000001</v>
      </c>
      <c r="G1765" s="30">
        <f t="shared" si="82"/>
        <v>43665.731970000001</v>
      </c>
      <c r="H1765" t="str">
        <f>IFERROR(VLOOKUP(C1765,Sheet1!$B$2:$C$25,2,FALSE),"")</f>
        <v/>
      </c>
      <c r="I1765">
        <f t="shared" si="83"/>
        <v>1613</v>
      </c>
    </row>
    <row r="1766" spans="1:9" x14ac:dyDescent="0.2">
      <c r="A1766" t="str">
        <f t="shared" si="81"/>
        <v/>
      </c>
      <c r="B1766" s="20">
        <v>2022</v>
      </c>
      <c r="C1766" s="21" t="s">
        <v>198</v>
      </c>
      <c r="D1766" s="21" t="s">
        <v>198</v>
      </c>
      <c r="E1766" s="23">
        <v>3075</v>
      </c>
      <c r="F1766" s="20">
        <v>42273.630519999999</v>
      </c>
      <c r="G1766" s="30">
        <f t="shared" si="82"/>
        <v>45348.630519999999</v>
      </c>
      <c r="H1766" t="str">
        <f>IFERROR(VLOOKUP(C1766,Sheet1!$B$2:$C$25,2,FALSE),"")</f>
        <v/>
      </c>
      <c r="I1766">
        <f t="shared" si="83"/>
        <v>1613</v>
      </c>
    </row>
    <row r="1767" spans="1:9" x14ac:dyDescent="0.2">
      <c r="A1767" t="str">
        <f t="shared" si="81"/>
        <v/>
      </c>
      <c r="B1767" s="20">
        <v>2023</v>
      </c>
      <c r="C1767" s="21" t="s">
        <v>198</v>
      </c>
      <c r="D1767" s="21" t="s">
        <v>198</v>
      </c>
      <c r="E1767" s="23">
        <v>3102</v>
      </c>
      <c r="F1767" s="20">
        <v>41516.430180000003</v>
      </c>
      <c r="G1767" s="30">
        <f t="shared" si="82"/>
        <v>44618.430180000003</v>
      </c>
      <c r="H1767" t="str">
        <f>IFERROR(VLOOKUP(C1767,Sheet1!$B$2:$C$25,2,FALSE),"")</f>
        <v/>
      </c>
      <c r="I1767">
        <f t="shared" si="83"/>
        <v>1613</v>
      </c>
    </row>
    <row r="1768" spans="1:9" x14ac:dyDescent="0.2">
      <c r="A1768" t="str">
        <f t="shared" si="81"/>
        <v/>
      </c>
      <c r="B1768" s="20">
        <v>2015</v>
      </c>
      <c r="C1768" s="21" t="s">
        <v>199</v>
      </c>
      <c r="D1768" s="21" t="s">
        <v>199</v>
      </c>
      <c r="E1768" s="23">
        <v>1408564</v>
      </c>
      <c r="F1768" s="20">
        <v>22096219.260000002</v>
      </c>
      <c r="G1768" s="30">
        <f t="shared" si="82"/>
        <v>23504783.260000002</v>
      </c>
      <c r="H1768" t="str">
        <f>IFERROR(VLOOKUP(C1768,Sheet1!$B$2:$C$25,2,FALSE),"")</f>
        <v/>
      </c>
      <c r="I1768">
        <f t="shared" si="83"/>
        <v>1613</v>
      </c>
    </row>
    <row r="1769" spans="1:9" x14ac:dyDescent="0.2">
      <c r="A1769" t="str">
        <f t="shared" si="81"/>
        <v/>
      </c>
      <c r="B1769" s="20">
        <v>2016</v>
      </c>
      <c r="C1769" s="21" t="s">
        <v>199</v>
      </c>
      <c r="D1769" s="21" t="s">
        <v>199</v>
      </c>
      <c r="E1769" s="23">
        <v>1281871</v>
      </c>
      <c r="F1769" s="20">
        <v>20008516.649999999</v>
      </c>
      <c r="G1769" s="30">
        <f t="shared" si="82"/>
        <v>21290387.649999999</v>
      </c>
      <c r="H1769" t="str">
        <f>IFERROR(VLOOKUP(C1769,Sheet1!$B$2:$C$25,2,FALSE),"")</f>
        <v/>
      </c>
      <c r="I1769">
        <f t="shared" si="83"/>
        <v>1613</v>
      </c>
    </row>
    <row r="1770" spans="1:9" x14ac:dyDescent="0.2">
      <c r="A1770" t="str">
        <f t="shared" si="81"/>
        <v/>
      </c>
      <c r="B1770" s="20">
        <v>2017</v>
      </c>
      <c r="C1770" s="21" t="s">
        <v>199</v>
      </c>
      <c r="D1770" s="21" t="s">
        <v>199</v>
      </c>
      <c r="E1770" s="23">
        <v>1226557</v>
      </c>
      <c r="F1770" s="20">
        <v>20275477.07</v>
      </c>
      <c r="G1770" s="30">
        <f t="shared" si="82"/>
        <v>21502034.07</v>
      </c>
      <c r="H1770" t="str">
        <f>IFERROR(VLOOKUP(C1770,Sheet1!$B$2:$C$25,2,FALSE),"")</f>
        <v/>
      </c>
      <c r="I1770">
        <f t="shared" si="83"/>
        <v>1613</v>
      </c>
    </row>
    <row r="1771" spans="1:9" x14ac:dyDescent="0.2">
      <c r="A1771" t="str">
        <f t="shared" si="81"/>
        <v/>
      </c>
      <c r="B1771" s="20">
        <v>2018</v>
      </c>
      <c r="C1771" s="21" t="s">
        <v>199</v>
      </c>
      <c r="D1771" s="21" t="s">
        <v>199</v>
      </c>
      <c r="E1771" s="23">
        <v>1320592</v>
      </c>
      <c r="F1771" s="20">
        <v>19870029.960000001</v>
      </c>
      <c r="G1771" s="30">
        <f t="shared" si="82"/>
        <v>21190621.960000001</v>
      </c>
      <c r="H1771" t="str">
        <f>IFERROR(VLOOKUP(C1771,Sheet1!$B$2:$C$25,2,FALSE),"")</f>
        <v/>
      </c>
      <c r="I1771">
        <f t="shared" si="83"/>
        <v>1613</v>
      </c>
    </row>
    <row r="1772" spans="1:9" x14ac:dyDescent="0.2">
      <c r="A1772" t="str">
        <f t="shared" si="81"/>
        <v/>
      </c>
      <c r="B1772" s="20">
        <v>2019</v>
      </c>
      <c r="C1772" s="21" t="s">
        <v>199</v>
      </c>
      <c r="D1772" s="21" t="s">
        <v>199</v>
      </c>
      <c r="E1772" s="23">
        <v>1448264</v>
      </c>
      <c r="F1772" s="20">
        <v>20837794.18</v>
      </c>
      <c r="G1772" s="30">
        <f t="shared" si="82"/>
        <v>22286058.18</v>
      </c>
      <c r="H1772" t="str">
        <f>IFERROR(VLOOKUP(C1772,Sheet1!$B$2:$C$25,2,FALSE),"")</f>
        <v/>
      </c>
      <c r="I1772">
        <f t="shared" si="83"/>
        <v>1613</v>
      </c>
    </row>
    <row r="1773" spans="1:9" x14ac:dyDescent="0.2">
      <c r="A1773" t="str">
        <f t="shared" si="81"/>
        <v/>
      </c>
      <c r="B1773" s="20">
        <v>2020</v>
      </c>
      <c r="C1773" s="21" t="s">
        <v>199</v>
      </c>
      <c r="D1773" s="21" t="s">
        <v>199</v>
      </c>
      <c r="E1773" s="23">
        <v>1543775</v>
      </c>
      <c r="F1773" s="20">
        <v>21580963.140000001</v>
      </c>
      <c r="G1773" s="30">
        <f t="shared" si="82"/>
        <v>23124738.140000001</v>
      </c>
      <c r="H1773" t="str">
        <f>IFERROR(VLOOKUP(C1773,Sheet1!$B$2:$C$25,2,FALSE),"")</f>
        <v/>
      </c>
      <c r="I1773">
        <f t="shared" si="83"/>
        <v>1613</v>
      </c>
    </row>
    <row r="1774" spans="1:9" x14ac:dyDescent="0.2">
      <c r="A1774" t="str">
        <f t="shared" si="81"/>
        <v/>
      </c>
      <c r="B1774" s="20">
        <v>2021</v>
      </c>
      <c r="C1774" s="21" t="s">
        <v>199</v>
      </c>
      <c r="D1774" s="20" t="s">
        <v>199</v>
      </c>
      <c r="E1774" s="23">
        <v>1783395</v>
      </c>
      <c r="F1774" s="20">
        <v>23280411.91</v>
      </c>
      <c r="G1774" s="30">
        <f t="shared" si="82"/>
        <v>25063806.91</v>
      </c>
      <c r="H1774" t="str">
        <f>IFERROR(VLOOKUP(C1774,Sheet1!$B$2:$C$25,2,FALSE),"")</f>
        <v/>
      </c>
      <c r="I1774">
        <f t="shared" si="83"/>
        <v>1613</v>
      </c>
    </row>
    <row r="1775" spans="1:9" x14ac:dyDescent="0.2">
      <c r="A1775" t="str">
        <f t="shared" si="81"/>
        <v/>
      </c>
      <c r="B1775" s="20">
        <v>2022</v>
      </c>
      <c r="C1775" s="21" t="s">
        <v>199</v>
      </c>
      <c r="D1775" s="21" t="s">
        <v>199</v>
      </c>
      <c r="E1775" s="23">
        <v>1913745</v>
      </c>
      <c r="F1775" s="20">
        <v>26309251.719999999</v>
      </c>
      <c r="G1775" s="30">
        <f t="shared" si="82"/>
        <v>28222996.719999999</v>
      </c>
      <c r="H1775" t="str">
        <f>IFERROR(VLOOKUP(C1775,Sheet1!$B$2:$C$25,2,FALSE),"")</f>
        <v/>
      </c>
      <c r="I1775">
        <f t="shared" si="83"/>
        <v>1613</v>
      </c>
    </row>
    <row r="1776" spans="1:9" x14ac:dyDescent="0.2">
      <c r="A1776" t="str">
        <f t="shared" si="81"/>
        <v/>
      </c>
      <c r="B1776" s="20">
        <v>2023</v>
      </c>
      <c r="C1776" s="21" t="s">
        <v>199</v>
      </c>
      <c r="D1776" s="21" t="s">
        <v>199</v>
      </c>
      <c r="E1776" s="23">
        <v>2116767</v>
      </c>
      <c r="F1776" s="20">
        <v>28330306.050000001</v>
      </c>
      <c r="G1776" s="30">
        <f t="shared" si="82"/>
        <v>30447073.050000001</v>
      </c>
      <c r="H1776" t="str">
        <f>IFERROR(VLOOKUP(C1776,Sheet1!$B$2:$C$25,2,FALSE),"")</f>
        <v/>
      </c>
      <c r="I1776">
        <f t="shared" si="83"/>
        <v>1613</v>
      </c>
    </row>
    <row r="1777" spans="1:9" x14ac:dyDescent="0.2">
      <c r="A1777" t="str">
        <f t="shared" si="81"/>
        <v/>
      </c>
      <c r="B1777" s="20">
        <v>2015</v>
      </c>
      <c r="C1777" s="21" t="s">
        <v>200</v>
      </c>
      <c r="D1777" s="21" t="s">
        <v>200</v>
      </c>
      <c r="E1777" s="23">
        <v>98619</v>
      </c>
      <c r="F1777" s="20">
        <v>1547041.5589999999</v>
      </c>
      <c r="G1777" s="30">
        <f t="shared" si="82"/>
        <v>1645660.5589999999</v>
      </c>
      <c r="H1777" t="str">
        <f>IFERROR(VLOOKUP(C1777,Sheet1!$B$2:$C$25,2,FALSE),"")</f>
        <v/>
      </c>
      <c r="I1777">
        <f t="shared" si="83"/>
        <v>1613</v>
      </c>
    </row>
    <row r="1778" spans="1:9" x14ac:dyDescent="0.2">
      <c r="A1778" t="str">
        <f t="shared" si="81"/>
        <v/>
      </c>
      <c r="B1778" s="20">
        <v>2016</v>
      </c>
      <c r="C1778" s="21" t="s">
        <v>200</v>
      </c>
      <c r="D1778" s="21" t="s">
        <v>200</v>
      </c>
      <c r="E1778" s="23">
        <v>63185</v>
      </c>
      <c r="F1778" s="20">
        <v>986244.42260000005</v>
      </c>
      <c r="G1778" s="30">
        <f t="shared" si="82"/>
        <v>1049429.4226000002</v>
      </c>
      <c r="H1778" t="str">
        <f>IFERROR(VLOOKUP(C1778,Sheet1!$B$2:$C$25,2,FALSE),"")</f>
        <v/>
      </c>
      <c r="I1778">
        <f t="shared" si="83"/>
        <v>1613</v>
      </c>
    </row>
    <row r="1779" spans="1:9" x14ac:dyDescent="0.2">
      <c r="A1779" t="str">
        <f t="shared" si="81"/>
        <v/>
      </c>
      <c r="B1779" s="20">
        <v>2017</v>
      </c>
      <c r="C1779" s="21" t="s">
        <v>200</v>
      </c>
      <c r="D1779" s="21" t="s">
        <v>200</v>
      </c>
      <c r="E1779" s="23">
        <v>44394</v>
      </c>
      <c r="F1779" s="20">
        <v>733850.55009999999</v>
      </c>
      <c r="G1779" s="30">
        <f t="shared" si="82"/>
        <v>778244.55009999999</v>
      </c>
      <c r="H1779" t="str">
        <f>IFERROR(VLOOKUP(C1779,Sheet1!$B$2:$C$25,2,FALSE),"")</f>
        <v/>
      </c>
      <c r="I1779">
        <f t="shared" si="83"/>
        <v>1613</v>
      </c>
    </row>
    <row r="1780" spans="1:9" x14ac:dyDescent="0.2">
      <c r="A1780" t="str">
        <f t="shared" si="81"/>
        <v/>
      </c>
      <c r="B1780" s="20">
        <v>2018</v>
      </c>
      <c r="C1780" s="21" t="s">
        <v>200</v>
      </c>
      <c r="D1780" s="21" t="s">
        <v>200</v>
      </c>
      <c r="E1780" s="23">
        <v>42665</v>
      </c>
      <c r="F1780" s="20">
        <v>641950.60100000002</v>
      </c>
      <c r="G1780" s="30">
        <f t="shared" si="82"/>
        <v>684615.60100000002</v>
      </c>
      <c r="H1780" t="str">
        <f>IFERROR(VLOOKUP(C1780,Sheet1!$B$2:$C$25,2,FALSE),"")</f>
        <v/>
      </c>
      <c r="I1780">
        <f t="shared" si="83"/>
        <v>1613</v>
      </c>
    </row>
    <row r="1781" spans="1:9" x14ac:dyDescent="0.2">
      <c r="A1781" t="str">
        <f t="shared" si="81"/>
        <v/>
      </c>
      <c r="B1781" s="20">
        <v>2019</v>
      </c>
      <c r="C1781" s="21" t="s">
        <v>200</v>
      </c>
      <c r="D1781" s="21" t="s">
        <v>200</v>
      </c>
      <c r="E1781" s="23">
        <v>9419</v>
      </c>
      <c r="F1781" s="20">
        <v>135521.68900000001</v>
      </c>
      <c r="G1781" s="30">
        <f t="shared" si="82"/>
        <v>144940.68900000001</v>
      </c>
      <c r="H1781" t="str">
        <f>IFERROR(VLOOKUP(C1781,Sheet1!$B$2:$C$25,2,FALSE),"")</f>
        <v/>
      </c>
      <c r="I1781">
        <f t="shared" si="83"/>
        <v>1613</v>
      </c>
    </row>
    <row r="1782" spans="1:9" x14ac:dyDescent="0.2">
      <c r="A1782" t="str">
        <f t="shared" si="81"/>
        <v/>
      </c>
      <c r="B1782" s="20">
        <v>2020</v>
      </c>
      <c r="C1782" s="21" t="s">
        <v>200</v>
      </c>
      <c r="D1782" s="21" t="s">
        <v>200</v>
      </c>
      <c r="E1782" s="23">
        <v>7253</v>
      </c>
      <c r="F1782" s="20">
        <v>101392.1884</v>
      </c>
      <c r="G1782" s="30">
        <f t="shared" si="82"/>
        <v>108645.1884</v>
      </c>
      <c r="H1782" t="str">
        <f>IFERROR(VLOOKUP(C1782,Sheet1!$B$2:$C$25,2,FALSE),"")</f>
        <v/>
      </c>
      <c r="I1782">
        <f t="shared" si="83"/>
        <v>1613</v>
      </c>
    </row>
    <row r="1783" spans="1:9" x14ac:dyDescent="0.2">
      <c r="A1783" t="str">
        <f t="shared" si="81"/>
        <v/>
      </c>
      <c r="B1783" s="20">
        <v>2021</v>
      </c>
      <c r="C1783" s="21" t="s">
        <v>200</v>
      </c>
      <c r="D1783" s="20" t="s">
        <v>200</v>
      </c>
      <c r="E1783" s="23">
        <v>7847</v>
      </c>
      <c r="F1783" s="20">
        <v>102434.62179999999</v>
      </c>
      <c r="G1783" s="30">
        <f t="shared" si="82"/>
        <v>110281.62179999999</v>
      </c>
      <c r="H1783" t="str">
        <f>IFERROR(VLOOKUP(C1783,Sheet1!$B$2:$C$25,2,FALSE),"")</f>
        <v/>
      </c>
      <c r="I1783">
        <f t="shared" si="83"/>
        <v>1613</v>
      </c>
    </row>
    <row r="1784" spans="1:9" x14ac:dyDescent="0.2">
      <c r="A1784" t="str">
        <f t="shared" si="81"/>
        <v/>
      </c>
      <c r="B1784" s="20">
        <v>2022</v>
      </c>
      <c r="C1784" s="21" t="s">
        <v>200</v>
      </c>
      <c r="D1784" s="21" t="s">
        <v>200</v>
      </c>
      <c r="E1784" s="23" t="s">
        <v>269</v>
      </c>
      <c r="F1784" s="20">
        <v>0</v>
      </c>
      <c r="G1784" s="30">
        <f t="shared" si="82"/>
        <v>0</v>
      </c>
      <c r="H1784" t="str">
        <f>IFERROR(VLOOKUP(C1784,Sheet1!$B$2:$C$25,2,FALSE),"")</f>
        <v/>
      </c>
      <c r="I1784">
        <f t="shared" si="83"/>
        <v>1613</v>
      </c>
    </row>
    <row r="1785" spans="1:9" x14ac:dyDescent="0.2">
      <c r="A1785" t="str">
        <f t="shared" si="81"/>
        <v/>
      </c>
      <c r="B1785" s="20">
        <v>2023</v>
      </c>
      <c r="C1785" s="21" t="s">
        <v>200</v>
      </c>
      <c r="D1785" s="21" t="s">
        <v>200</v>
      </c>
      <c r="E1785" s="23" t="s">
        <v>269</v>
      </c>
      <c r="F1785" s="20">
        <v>0</v>
      </c>
      <c r="G1785" s="30">
        <f t="shared" si="82"/>
        <v>0</v>
      </c>
      <c r="H1785" t="str">
        <f>IFERROR(VLOOKUP(C1785,Sheet1!$B$2:$C$25,2,FALSE),"")</f>
        <v/>
      </c>
      <c r="I1785">
        <f t="shared" si="83"/>
        <v>1613</v>
      </c>
    </row>
    <row r="1786" spans="1:9" x14ac:dyDescent="0.2">
      <c r="A1786" t="str">
        <f t="shared" si="81"/>
        <v/>
      </c>
      <c r="B1786" s="20">
        <v>2015</v>
      </c>
      <c r="C1786" s="21" t="s">
        <v>201</v>
      </c>
      <c r="D1786" s="21" t="s">
        <v>201</v>
      </c>
      <c r="E1786" s="23">
        <v>20613</v>
      </c>
      <c r="F1786" s="20">
        <v>323357.2401</v>
      </c>
      <c r="G1786" s="30">
        <f t="shared" si="82"/>
        <v>343970.2401</v>
      </c>
      <c r="H1786" t="str">
        <f>IFERROR(VLOOKUP(C1786,Sheet1!$B$2:$C$25,2,FALSE),"")</f>
        <v/>
      </c>
      <c r="I1786">
        <f t="shared" si="83"/>
        <v>1613</v>
      </c>
    </row>
    <row r="1787" spans="1:9" x14ac:dyDescent="0.2">
      <c r="A1787" t="str">
        <f t="shared" si="81"/>
        <v/>
      </c>
      <c r="B1787" s="20">
        <v>2016</v>
      </c>
      <c r="C1787" s="21" t="s">
        <v>201</v>
      </c>
      <c r="D1787" s="21" t="s">
        <v>201</v>
      </c>
      <c r="E1787" s="23">
        <v>22904</v>
      </c>
      <c r="F1787" s="20">
        <v>357504.82319999998</v>
      </c>
      <c r="G1787" s="30">
        <f t="shared" si="82"/>
        <v>380408.82319999998</v>
      </c>
      <c r="H1787" t="str">
        <f>IFERROR(VLOOKUP(C1787,Sheet1!$B$2:$C$25,2,FALSE),"")</f>
        <v/>
      </c>
      <c r="I1787">
        <f t="shared" si="83"/>
        <v>1613</v>
      </c>
    </row>
    <row r="1788" spans="1:9" x14ac:dyDescent="0.2">
      <c r="A1788" t="str">
        <f t="shared" si="81"/>
        <v/>
      </c>
      <c r="B1788" s="20">
        <v>2017</v>
      </c>
      <c r="C1788" s="21" t="s">
        <v>201</v>
      </c>
      <c r="D1788" s="21" t="s">
        <v>201</v>
      </c>
      <c r="E1788" s="23">
        <v>26332</v>
      </c>
      <c r="F1788" s="20">
        <v>435278.47649999999</v>
      </c>
      <c r="G1788" s="30">
        <f t="shared" si="82"/>
        <v>461610.47649999999</v>
      </c>
      <c r="H1788" t="str">
        <f>IFERROR(VLOOKUP(C1788,Sheet1!$B$2:$C$25,2,FALSE),"")</f>
        <v/>
      </c>
      <c r="I1788">
        <f t="shared" si="83"/>
        <v>1613</v>
      </c>
    </row>
    <row r="1789" spans="1:9" x14ac:dyDescent="0.2">
      <c r="A1789" t="str">
        <f t="shared" si="81"/>
        <v/>
      </c>
      <c r="B1789" s="20">
        <v>2018</v>
      </c>
      <c r="C1789" s="21" t="s">
        <v>201</v>
      </c>
      <c r="D1789" s="21" t="s">
        <v>201</v>
      </c>
      <c r="E1789" s="23">
        <v>27645</v>
      </c>
      <c r="F1789" s="20">
        <v>415955.10060000001</v>
      </c>
      <c r="G1789" s="30">
        <f t="shared" si="82"/>
        <v>443600.10060000001</v>
      </c>
      <c r="H1789" t="str">
        <f>IFERROR(VLOOKUP(C1789,Sheet1!$B$2:$C$25,2,FALSE),"")</f>
        <v/>
      </c>
      <c r="I1789">
        <f t="shared" si="83"/>
        <v>1613</v>
      </c>
    </row>
    <row r="1790" spans="1:9" x14ac:dyDescent="0.2">
      <c r="A1790" t="str">
        <f t="shared" si="81"/>
        <v/>
      </c>
      <c r="B1790" s="20">
        <v>2019</v>
      </c>
      <c r="C1790" s="21" t="s">
        <v>201</v>
      </c>
      <c r="D1790" s="21" t="s">
        <v>201</v>
      </c>
      <c r="E1790" s="23">
        <v>4849</v>
      </c>
      <c r="F1790" s="20">
        <v>69767.987040000007</v>
      </c>
      <c r="G1790" s="30">
        <f t="shared" si="82"/>
        <v>74616.987040000007</v>
      </c>
      <c r="H1790" t="str">
        <f>IFERROR(VLOOKUP(C1790,Sheet1!$B$2:$C$25,2,FALSE),"")</f>
        <v/>
      </c>
      <c r="I1790">
        <f t="shared" si="83"/>
        <v>1613</v>
      </c>
    </row>
    <row r="1791" spans="1:9" x14ac:dyDescent="0.2">
      <c r="A1791" t="str">
        <f t="shared" si="81"/>
        <v/>
      </c>
      <c r="B1791" s="20">
        <v>2020</v>
      </c>
      <c r="C1791" s="21" t="s">
        <v>201</v>
      </c>
      <c r="D1791" s="21" t="s">
        <v>201</v>
      </c>
      <c r="E1791" s="23">
        <v>3736</v>
      </c>
      <c r="F1791" s="20">
        <v>52226.832470000001</v>
      </c>
      <c r="G1791" s="30">
        <f t="shared" si="82"/>
        <v>55962.832470000001</v>
      </c>
      <c r="H1791" t="str">
        <f>IFERROR(VLOOKUP(C1791,Sheet1!$B$2:$C$25,2,FALSE),"")</f>
        <v/>
      </c>
      <c r="I1791">
        <f t="shared" si="83"/>
        <v>1613</v>
      </c>
    </row>
    <row r="1792" spans="1:9" x14ac:dyDescent="0.2">
      <c r="A1792" t="str">
        <f t="shared" si="81"/>
        <v/>
      </c>
      <c r="B1792" s="20">
        <v>2021</v>
      </c>
      <c r="C1792" s="21" t="s">
        <v>201</v>
      </c>
      <c r="D1792" s="20" t="s">
        <v>201</v>
      </c>
      <c r="E1792" s="23">
        <v>3956</v>
      </c>
      <c r="F1792" s="20">
        <v>51641.565399999999</v>
      </c>
      <c r="G1792" s="30">
        <f t="shared" si="82"/>
        <v>55597.565399999999</v>
      </c>
      <c r="H1792" t="str">
        <f>IFERROR(VLOOKUP(C1792,Sheet1!$B$2:$C$25,2,FALSE),"")</f>
        <v/>
      </c>
      <c r="I1792">
        <f t="shared" si="83"/>
        <v>1613</v>
      </c>
    </row>
    <row r="1793" spans="1:9" x14ac:dyDescent="0.2">
      <c r="A1793" t="str">
        <f t="shared" si="81"/>
        <v/>
      </c>
      <c r="B1793" s="20">
        <v>2022</v>
      </c>
      <c r="C1793" s="21" t="s">
        <v>201</v>
      </c>
      <c r="D1793" s="21" t="s">
        <v>201</v>
      </c>
      <c r="E1793" s="23">
        <v>3916</v>
      </c>
      <c r="F1793" s="20">
        <v>53835.296620000001</v>
      </c>
      <c r="G1793" s="30">
        <f t="shared" si="82"/>
        <v>57751.296620000001</v>
      </c>
      <c r="H1793" t="str">
        <f>IFERROR(VLOOKUP(C1793,Sheet1!$B$2:$C$25,2,FALSE),"")</f>
        <v/>
      </c>
      <c r="I1793">
        <f t="shared" si="83"/>
        <v>1613</v>
      </c>
    </row>
    <row r="1794" spans="1:9" x14ac:dyDescent="0.2">
      <c r="A1794" t="str">
        <f t="shared" si="81"/>
        <v/>
      </c>
      <c r="B1794" s="20">
        <v>2023</v>
      </c>
      <c r="C1794" s="21" t="s">
        <v>201</v>
      </c>
      <c r="D1794" s="21" t="s">
        <v>201</v>
      </c>
      <c r="E1794" s="23">
        <v>3950</v>
      </c>
      <c r="F1794" s="20">
        <v>52865.860480000003</v>
      </c>
      <c r="G1794" s="30">
        <f t="shared" si="82"/>
        <v>56815.860480000003</v>
      </c>
      <c r="H1794" t="str">
        <f>IFERROR(VLOOKUP(C1794,Sheet1!$B$2:$C$25,2,FALSE),"")</f>
        <v/>
      </c>
      <c r="I1794">
        <f t="shared" si="83"/>
        <v>1613</v>
      </c>
    </row>
    <row r="1795" spans="1:9" x14ac:dyDescent="0.2">
      <c r="A1795">
        <f t="shared" ref="A1795:A1812" si="84">H1795</f>
        <v>2400090</v>
      </c>
      <c r="B1795" s="20">
        <v>2015</v>
      </c>
      <c r="C1795" s="21" t="s">
        <v>274</v>
      </c>
      <c r="E1795" s="7">
        <v>97170.796000000002</v>
      </c>
      <c r="G1795" s="30">
        <f t="shared" ref="G1795:G1812" si="85">SUM(E1795:F1795)</f>
        <v>97170.796000000002</v>
      </c>
      <c r="H1795">
        <f>IFERROR(VLOOKUP(C1795,Sheet1!$B$2:$C$25,2,FALSE),"")</f>
        <v>2400090</v>
      </c>
      <c r="I1795">
        <f t="shared" ref="I1795:I1812" si="86">COUNTIF($H$2:$H$1812,H1795)</f>
        <v>9</v>
      </c>
    </row>
    <row r="1796" spans="1:9" x14ac:dyDescent="0.2">
      <c r="A1796">
        <f t="shared" si="84"/>
        <v>2400090</v>
      </c>
      <c r="B1796" s="20">
        <v>2016</v>
      </c>
      <c r="C1796" s="21" t="s">
        <v>274</v>
      </c>
      <c r="E1796" s="7">
        <v>77101</v>
      </c>
      <c r="G1796" s="30">
        <f t="shared" si="85"/>
        <v>77101</v>
      </c>
      <c r="H1796">
        <f>IFERROR(VLOOKUP(C1796,Sheet1!$B$2:$C$25,2,FALSE),"")</f>
        <v>2400090</v>
      </c>
      <c r="I1796">
        <f t="shared" si="86"/>
        <v>9</v>
      </c>
    </row>
    <row r="1797" spans="1:9" x14ac:dyDescent="0.2">
      <c r="A1797">
        <f t="shared" si="84"/>
        <v>2400090</v>
      </c>
      <c r="B1797" s="20">
        <v>2017</v>
      </c>
      <c r="C1797" s="21" t="s">
        <v>274</v>
      </c>
      <c r="E1797" s="7">
        <v>84474</v>
      </c>
      <c r="G1797" s="30">
        <f t="shared" si="85"/>
        <v>84474</v>
      </c>
      <c r="H1797">
        <f>IFERROR(VLOOKUP(C1797,Sheet1!$B$2:$C$25,2,FALSE),"")</f>
        <v>2400090</v>
      </c>
      <c r="I1797">
        <f t="shared" si="86"/>
        <v>9</v>
      </c>
    </row>
    <row r="1798" spans="1:9" x14ac:dyDescent="0.2">
      <c r="A1798">
        <f t="shared" si="84"/>
        <v>2400090</v>
      </c>
      <c r="B1798" s="20">
        <v>2018</v>
      </c>
      <c r="C1798" s="21" t="s">
        <v>274</v>
      </c>
      <c r="E1798" s="7">
        <v>87542</v>
      </c>
      <c r="G1798" s="30">
        <f t="shared" si="85"/>
        <v>87542</v>
      </c>
      <c r="H1798">
        <f>IFERROR(VLOOKUP(C1798,Sheet1!$B$2:$C$25,2,FALSE),"")</f>
        <v>2400090</v>
      </c>
      <c r="I1798">
        <f t="shared" si="86"/>
        <v>9</v>
      </c>
    </row>
    <row r="1799" spans="1:9" x14ac:dyDescent="0.2">
      <c r="A1799">
        <f t="shared" si="84"/>
        <v>2400090</v>
      </c>
      <c r="B1799" s="20">
        <v>2019</v>
      </c>
      <c r="C1799" s="21" t="s">
        <v>274</v>
      </c>
      <c r="E1799" s="7">
        <v>89866</v>
      </c>
      <c r="G1799" s="30">
        <f t="shared" si="85"/>
        <v>89866</v>
      </c>
      <c r="H1799">
        <f>IFERROR(VLOOKUP(C1799,Sheet1!$B$2:$C$25,2,FALSE),"")</f>
        <v>2400090</v>
      </c>
      <c r="I1799">
        <f t="shared" si="86"/>
        <v>9</v>
      </c>
    </row>
    <row r="1800" spans="1:9" x14ac:dyDescent="0.2">
      <c r="A1800">
        <f t="shared" si="84"/>
        <v>2400090</v>
      </c>
      <c r="B1800" s="20">
        <v>2020</v>
      </c>
      <c r="C1800" s="21" t="s">
        <v>274</v>
      </c>
      <c r="E1800" s="7">
        <v>86953</v>
      </c>
      <c r="G1800" s="30">
        <f t="shared" si="85"/>
        <v>86953</v>
      </c>
      <c r="H1800">
        <f>IFERROR(VLOOKUP(C1800,Sheet1!$B$2:$C$25,2,FALSE),"")</f>
        <v>2400090</v>
      </c>
      <c r="I1800">
        <f t="shared" si="86"/>
        <v>9</v>
      </c>
    </row>
    <row r="1801" spans="1:9" x14ac:dyDescent="0.2">
      <c r="A1801">
        <f t="shared" si="84"/>
        <v>2400090</v>
      </c>
      <c r="B1801" s="20">
        <v>2021</v>
      </c>
      <c r="C1801" s="21" t="s">
        <v>274</v>
      </c>
      <c r="E1801" s="7">
        <v>92637</v>
      </c>
      <c r="G1801" s="30">
        <f t="shared" si="85"/>
        <v>92637</v>
      </c>
      <c r="H1801">
        <f>IFERROR(VLOOKUP(C1801,Sheet1!$B$2:$C$25,2,FALSE),"")</f>
        <v>2400090</v>
      </c>
      <c r="I1801">
        <f t="shared" si="86"/>
        <v>9</v>
      </c>
    </row>
    <row r="1802" spans="1:9" x14ac:dyDescent="0.2">
      <c r="A1802">
        <f t="shared" si="84"/>
        <v>2400090</v>
      </c>
      <c r="B1802" s="20">
        <v>2022</v>
      </c>
      <c r="C1802" s="21" t="s">
        <v>274</v>
      </c>
      <c r="E1802" s="7">
        <v>98640</v>
      </c>
      <c r="G1802" s="30">
        <f t="shared" si="85"/>
        <v>98640</v>
      </c>
      <c r="H1802">
        <f>IFERROR(VLOOKUP(C1802,Sheet1!$B$2:$C$25,2,FALSE),"")</f>
        <v>2400090</v>
      </c>
      <c r="I1802">
        <f t="shared" si="86"/>
        <v>9</v>
      </c>
    </row>
    <row r="1803" spans="1:9" x14ac:dyDescent="0.2">
      <c r="A1803">
        <f t="shared" si="84"/>
        <v>2400090</v>
      </c>
      <c r="B1803" s="20">
        <v>2023</v>
      </c>
      <c r="C1803" s="21" t="s">
        <v>274</v>
      </c>
      <c r="E1803" s="7">
        <v>94788</v>
      </c>
      <c r="G1803" s="30">
        <f t="shared" si="85"/>
        <v>94788</v>
      </c>
      <c r="H1803">
        <f>IFERROR(VLOOKUP(C1803,Sheet1!$B$2:$C$25,2,FALSE),"")</f>
        <v>2400090</v>
      </c>
      <c r="I1803">
        <f t="shared" si="86"/>
        <v>9</v>
      </c>
    </row>
    <row r="1804" spans="1:9" x14ac:dyDescent="0.2">
      <c r="A1804">
        <f t="shared" si="84"/>
        <v>2400120</v>
      </c>
      <c r="B1804" s="20">
        <v>2015</v>
      </c>
      <c r="C1804" s="21" t="s">
        <v>275</v>
      </c>
      <c r="E1804" s="7">
        <v>8536314.3353195637</v>
      </c>
      <c r="F1804" s="25">
        <v>30620359.571178231</v>
      </c>
      <c r="G1804" s="30">
        <f t="shared" si="85"/>
        <v>39156673.906497791</v>
      </c>
      <c r="H1804">
        <f>IFERROR(VLOOKUP(C1804,Sheet1!$B$2:$C$25,2,FALSE),"")</f>
        <v>2400120</v>
      </c>
      <c r="I1804">
        <f t="shared" si="86"/>
        <v>9</v>
      </c>
    </row>
    <row r="1805" spans="1:9" x14ac:dyDescent="0.2">
      <c r="A1805">
        <f t="shared" si="84"/>
        <v>2400120</v>
      </c>
      <c r="B1805" s="20">
        <v>2016</v>
      </c>
      <c r="C1805" s="21" t="s">
        <v>275</v>
      </c>
      <c r="E1805" s="7">
        <v>8667307.7898234203</v>
      </c>
      <c r="F1805" s="25">
        <v>31305518.307742674</v>
      </c>
      <c r="G1805" s="30">
        <f t="shared" si="85"/>
        <v>39972826.097566098</v>
      </c>
      <c r="H1805">
        <f>IFERROR(VLOOKUP(C1805,Sheet1!$B$2:$C$25,2,FALSE),"")</f>
        <v>2400120</v>
      </c>
      <c r="I1805">
        <f t="shared" si="86"/>
        <v>9</v>
      </c>
    </row>
    <row r="1806" spans="1:9" x14ac:dyDescent="0.2">
      <c r="A1806">
        <f t="shared" si="84"/>
        <v>2400120</v>
      </c>
      <c r="B1806" s="20">
        <v>2017</v>
      </c>
      <c r="C1806" s="21" t="s">
        <v>275</v>
      </c>
      <c r="E1806" s="7">
        <v>8800311.3958339822</v>
      </c>
      <c r="F1806" s="25">
        <v>32006008.101840891</v>
      </c>
      <c r="G1806" s="30">
        <f t="shared" si="85"/>
        <v>40806319.497674875</v>
      </c>
      <c r="H1806">
        <f>IFERROR(VLOOKUP(C1806,Sheet1!$B$2:$C$25,2,FALSE),"")</f>
        <v>2400120</v>
      </c>
      <c r="I1806">
        <f t="shared" si="86"/>
        <v>9</v>
      </c>
    </row>
    <row r="1807" spans="1:9" x14ac:dyDescent="0.2">
      <c r="A1807">
        <f t="shared" si="84"/>
        <v>2400120</v>
      </c>
      <c r="B1807" s="20">
        <v>2018</v>
      </c>
      <c r="C1807" s="21" t="s">
        <v>275</v>
      </c>
      <c r="E1807" s="7">
        <v>8935356</v>
      </c>
      <c r="F1807" s="25">
        <v>32722172</v>
      </c>
      <c r="G1807" s="30">
        <f t="shared" si="85"/>
        <v>41657528</v>
      </c>
      <c r="H1807">
        <f>IFERROR(VLOOKUP(C1807,Sheet1!$B$2:$C$25,2,FALSE),"")</f>
        <v>2400120</v>
      </c>
      <c r="I1807">
        <f t="shared" si="86"/>
        <v>9</v>
      </c>
    </row>
    <row r="1808" spans="1:9" x14ac:dyDescent="0.2">
      <c r="A1808">
        <f t="shared" si="84"/>
        <v>2400120</v>
      </c>
      <c r="B1808" s="20">
        <v>2019</v>
      </c>
      <c r="C1808" s="21" t="s">
        <v>275</v>
      </c>
      <c r="E1808" s="7">
        <v>9523031</v>
      </c>
      <c r="F1808" s="25">
        <v>32236483</v>
      </c>
      <c r="G1808" s="30">
        <f t="shared" si="85"/>
        <v>41759514</v>
      </c>
      <c r="H1808">
        <f>IFERROR(VLOOKUP(C1808,Sheet1!$B$2:$C$25,2,FALSE),"")</f>
        <v>2400120</v>
      </c>
      <c r="I1808">
        <f t="shared" si="86"/>
        <v>9</v>
      </c>
    </row>
    <row r="1809" spans="1:9" x14ac:dyDescent="0.2">
      <c r="A1809">
        <f t="shared" si="84"/>
        <v>2400120</v>
      </c>
      <c r="B1809" s="20">
        <v>2020</v>
      </c>
      <c r="C1809" s="21" t="s">
        <v>275</v>
      </c>
      <c r="E1809" s="7">
        <v>7769581</v>
      </c>
      <c r="F1809" s="25">
        <v>34578792</v>
      </c>
      <c r="G1809" s="30">
        <f t="shared" si="85"/>
        <v>42348373</v>
      </c>
      <c r="H1809">
        <f>IFERROR(VLOOKUP(C1809,Sheet1!$B$2:$C$25,2,FALSE),"")</f>
        <v>2400120</v>
      </c>
      <c r="I1809">
        <f t="shared" si="86"/>
        <v>9</v>
      </c>
    </row>
    <row r="1810" spans="1:9" x14ac:dyDescent="0.2">
      <c r="A1810">
        <f t="shared" si="84"/>
        <v>2400120</v>
      </c>
      <c r="B1810" s="20">
        <v>2021</v>
      </c>
      <c r="C1810" s="21" t="s">
        <v>275</v>
      </c>
      <c r="E1810" s="7">
        <v>8769735</v>
      </c>
      <c r="F1810" s="25">
        <v>35602267</v>
      </c>
      <c r="G1810" s="30">
        <f t="shared" si="85"/>
        <v>44372002</v>
      </c>
      <c r="H1810">
        <f>IFERROR(VLOOKUP(C1810,Sheet1!$B$2:$C$25,2,FALSE),"")</f>
        <v>2400120</v>
      </c>
      <c r="I1810">
        <f t="shared" si="86"/>
        <v>9</v>
      </c>
    </row>
    <row r="1811" spans="1:9" x14ac:dyDescent="0.2">
      <c r="A1811">
        <f t="shared" si="84"/>
        <v>2400120</v>
      </c>
      <c r="B1811" s="20">
        <v>2022</v>
      </c>
      <c r="C1811" s="21" t="s">
        <v>275</v>
      </c>
      <c r="E1811" s="7">
        <v>9141752</v>
      </c>
      <c r="F1811" s="25">
        <v>36670335</v>
      </c>
      <c r="G1811" s="30">
        <f t="shared" si="85"/>
        <v>45812087</v>
      </c>
      <c r="H1811">
        <f>IFERROR(VLOOKUP(C1811,Sheet1!$B$2:$C$25,2,FALSE),"")</f>
        <v>2400120</v>
      </c>
      <c r="I1811">
        <f t="shared" si="86"/>
        <v>9</v>
      </c>
    </row>
    <row r="1812" spans="1:9" x14ac:dyDescent="0.2">
      <c r="A1812">
        <f t="shared" si="84"/>
        <v>2400120</v>
      </c>
      <c r="B1812" s="20">
        <v>2023</v>
      </c>
      <c r="C1812" s="21" t="s">
        <v>275</v>
      </c>
      <c r="E1812" s="7">
        <v>9665775</v>
      </c>
      <c r="F1812" s="25">
        <v>36742994</v>
      </c>
      <c r="G1812" s="30">
        <f t="shared" si="85"/>
        <v>46408769</v>
      </c>
      <c r="H1812">
        <f>IFERROR(VLOOKUP(C1812,Sheet1!$B$2:$C$25,2,FALSE),"")</f>
        <v>2400120</v>
      </c>
      <c r="I1812">
        <f t="shared" si="86"/>
        <v>9</v>
      </c>
    </row>
    <row r="1814" spans="1:9" x14ac:dyDescent="0.2">
      <c r="E1814" s="29"/>
    </row>
    <row r="1816" spans="1:9" x14ac:dyDescent="0.2">
      <c r="E1816" s="29"/>
    </row>
  </sheetData>
  <autoFilter ref="A1:I1812" xr:uid="{B4F6AEB7-3CF4-234E-910D-71FD7E36A985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5F82-7CAA-D646-838E-2CEA93698D2D}">
  <dimension ref="A1:C25"/>
  <sheetViews>
    <sheetView workbookViewId="0">
      <pane ySplit="1" topLeftCell="A2" activePane="bottomLeft" state="frozen"/>
      <selection pane="bottomLeft" activeCell="E6" sqref="E6"/>
    </sheetView>
  </sheetViews>
  <sheetFormatPr baseColWidth="10" defaultRowHeight="16" x14ac:dyDescent="0.2"/>
  <cols>
    <col min="1" max="1" width="33.5" bestFit="1" customWidth="1"/>
    <col min="2" max="2" width="32.5" bestFit="1" customWidth="1"/>
  </cols>
  <sheetData>
    <row r="1" spans="1:3" x14ac:dyDescent="0.2">
      <c r="A1" t="s">
        <v>272</v>
      </c>
      <c r="B1" t="s">
        <v>273</v>
      </c>
    </row>
    <row r="2" spans="1:3" x14ac:dyDescent="0.2">
      <c r="A2" s="21" t="s">
        <v>11</v>
      </c>
      <c r="B2" s="27" t="s">
        <v>11</v>
      </c>
      <c r="C2">
        <v>2400030</v>
      </c>
    </row>
    <row r="3" spans="1:3" x14ac:dyDescent="0.2">
      <c r="A3" s="21" t="s">
        <v>21</v>
      </c>
      <c r="B3" s="27" t="s">
        <v>21</v>
      </c>
      <c r="C3">
        <v>2400060</v>
      </c>
    </row>
    <row r="4" spans="1:3" x14ac:dyDescent="0.2">
      <c r="A4" s="21" t="s">
        <v>34</v>
      </c>
      <c r="B4" s="26" t="s">
        <v>274</v>
      </c>
      <c r="C4">
        <v>2400090</v>
      </c>
    </row>
    <row r="5" spans="1:3" x14ac:dyDescent="0.2">
      <c r="A5" s="21" t="s">
        <v>39</v>
      </c>
      <c r="B5" s="26" t="s">
        <v>275</v>
      </c>
      <c r="C5">
        <v>2400120</v>
      </c>
    </row>
    <row r="6" spans="1:3" x14ac:dyDescent="0.2">
      <c r="A6" s="21" t="s">
        <v>44</v>
      </c>
      <c r="B6" s="27" t="s">
        <v>34</v>
      </c>
      <c r="C6">
        <v>2400150</v>
      </c>
    </row>
    <row r="7" spans="1:3" x14ac:dyDescent="0.2">
      <c r="A7" s="21" t="s">
        <v>50</v>
      </c>
      <c r="B7" s="27" t="s">
        <v>39</v>
      </c>
      <c r="C7">
        <v>2400180</v>
      </c>
    </row>
    <row r="8" spans="1:3" x14ac:dyDescent="0.2">
      <c r="A8" s="21" t="s">
        <v>69</v>
      </c>
      <c r="B8" s="27" t="s">
        <v>44</v>
      </c>
      <c r="C8">
        <v>2400210</v>
      </c>
    </row>
    <row r="9" spans="1:3" x14ac:dyDescent="0.2">
      <c r="A9" s="21" t="s">
        <v>78</v>
      </c>
      <c r="B9" s="27" t="s">
        <v>50</v>
      </c>
      <c r="C9">
        <v>2400240</v>
      </c>
    </row>
    <row r="10" spans="1:3" x14ac:dyDescent="0.2">
      <c r="A10" s="21" t="s">
        <v>85</v>
      </c>
      <c r="B10" s="27" t="s">
        <v>276</v>
      </c>
    </row>
    <row r="11" spans="1:3" x14ac:dyDescent="0.2">
      <c r="A11" s="21" t="s">
        <v>94</v>
      </c>
      <c r="B11" s="27" t="s">
        <v>69</v>
      </c>
      <c r="C11">
        <v>2400300</v>
      </c>
    </row>
    <row r="12" spans="1:3" x14ac:dyDescent="0.2">
      <c r="A12" s="21" t="s">
        <v>103</v>
      </c>
      <c r="B12" s="27" t="s">
        <v>78</v>
      </c>
      <c r="C12">
        <v>2400330</v>
      </c>
    </row>
    <row r="13" spans="1:3" x14ac:dyDescent="0.2">
      <c r="A13" s="21" t="s">
        <v>110</v>
      </c>
      <c r="B13" s="27" t="s">
        <v>85</v>
      </c>
      <c r="C13">
        <v>2400360</v>
      </c>
    </row>
    <row r="14" spans="1:3" x14ac:dyDescent="0.2">
      <c r="A14" s="21" t="s">
        <v>122</v>
      </c>
      <c r="B14" s="31" t="s">
        <v>94</v>
      </c>
      <c r="C14">
        <v>2400390</v>
      </c>
    </row>
    <row r="15" spans="1:3" x14ac:dyDescent="0.2">
      <c r="A15" s="21" t="s">
        <v>139</v>
      </c>
      <c r="B15" s="27" t="s">
        <v>103</v>
      </c>
      <c r="C15">
        <v>2400420</v>
      </c>
    </row>
    <row r="16" spans="1:3" x14ac:dyDescent="0.2">
      <c r="A16" s="21" t="s">
        <v>146</v>
      </c>
      <c r="B16" s="27" t="s">
        <v>110</v>
      </c>
      <c r="C16">
        <v>2400450</v>
      </c>
    </row>
    <row r="17" spans="1:3" x14ac:dyDescent="0.2">
      <c r="A17" s="21" t="s">
        <v>158</v>
      </c>
      <c r="B17" s="31" t="s">
        <v>122</v>
      </c>
      <c r="C17">
        <v>2400480</v>
      </c>
    </row>
    <row r="18" spans="1:3" x14ac:dyDescent="0.2">
      <c r="A18" s="21" t="s">
        <v>162</v>
      </c>
      <c r="B18" s="27" t="s">
        <v>139</v>
      </c>
      <c r="C18">
        <v>2400510</v>
      </c>
    </row>
    <row r="19" spans="1:3" x14ac:dyDescent="0.2">
      <c r="A19" s="21" t="s">
        <v>172</v>
      </c>
      <c r="B19" s="27" t="s">
        <v>146</v>
      </c>
      <c r="C19">
        <v>2400540</v>
      </c>
    </row>
    <row r="20" spans="1:3" x14ac:dyDescent="0.2">
      <c r="A20" s="21" t="s">
        <v>183</v>
      </c>
      <c r="B20" s="27" t="s">
        <v>158</v>
      </c>
      <c r="C20">
        <v>2400570</v>
      </c>
    </row>
    <row r="21" spans="1:3" x14ac:dyDescent="0.2">
      <c r="A21" s="21" t="s">
        <v>196</v>
      </c>
      <c r="B21" s="31" t="s">
        <v>162</v>
      </c>
      <c r="C21">
        <v>2400600</v>
      </c>
    </row>
    <row r="22" spans="1:3" x14ac:dyDescent="0.2">
      <c r="A22" s="21" t="s">
        <v>274</v>
      </c>
      <c r="B22" s="27" t="s">
        <v>172</v>
      </c>
      <c r="C22">
        <v>2400630</v>
      </c>
    </row>
    <row r="23" spans="1:3" x14ac:dyDescent="0.2">
      <c r="A23" s="21" t="s">
        <v>275</v>
      </c>
      <c r="B23" s="31" t="s">
        <v>183</v>
      </c>
      <c r="C23">
        <v>2400660</v>
      </c>
    </row>
    <row r="24" spans="1:3" x14ac:dyDescent="0.2">
      <c r="B24" s="28" t="s">
        <v>277</v>
      </c>
    </row>
    <row r="25" spans="1:3" x14ac:dyDescent="0.2">
      <c r="B25" s="31" t="s">
        <v>196</v>
      </c>
      <c r="C25">
        <v>2400720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E7F0-2071-AA40-8874-4A5A2A90006F}">
  <dimension ref="A1:F1794"/>
  <sheetViews>
    <sheetView zoomScale="275" workbookViewId="0">
      <selection activeCell="G11" sqref="A1:XFD1048576"/>
    </sheetView>
  </sheetViews>
  <sheetFormatPr baseColWidth="10" defaultRowHeight="16" x14ac:dyDescent="0.2"/>
  <cols>
    <col min="1" max="1" width="5.1640625" bestFit="1" customWidth="1"/>
    <col min="2" max="2" width="47" bestFit="1" customWidth="1"/>
    <col min="3" max="3" width="22.33203125" bestFit="1" customWidth="1"/>
    <col min="4" max="4" width="18" style="6" bestFit="1" customWidth="1"/>
    <col min="5" max="5" width="26.1640625" style="17" bestFit="1" customWidth="1"/>
    <col min="6" max="6" width="17.5" bestFit="1" customWidth="1"/>
  </cols>
  <sheetData>
    <row r="1" spans="1:6" x14ac:dyDescent="0.2">
      <c r="A1" s="9" t="s">
        <v>0</v>
      </c>
      <c r="B1" s="10" t="s">
        <v>1</v>
      </c>
      <c r="C1" s="11" t="s">
        <v>2</v>
      </c>
      <c r="D1" s="15" t="s">
        <v>3</v>
      </c>
      <c r="E1" s="16" t="s">
        <v>267</v>
      </c>
      <c r="F1" s="9" t="s">
        <v>268</v>
      </c>
    </row>
    <row r="2" spans="1:6" x14ac:dyDescent="0.2">
      <c r="A2">
        <v>2015</v>
      </c>
      <c r="B2" s="1" t="s">
        <v>5</v>
      </c>
      <c r="C2" s="4">
        <v>22089</v>
      </c>
      <c r="D2" s="6">
        <v>1.048E-5</v>
      </c>
      <c r="E2" s="17">
        <v>1.7488024139474453E-4</v>
      </c>
      <c r="F2">
        <f>E2* VLOOKUP(A2,Check!A$2:F$11,4,FALSE)</f>
        <v>346511.33154470538</v>
      </c>
    </row>
    <row r="3" spans="1:6" x14ac:dyDescent="0.2">
      <c r="A3">
        <v>2015</v>
      </c>
      <c r="B3" s="1" t="s">
        <v>7</v>
      </c>
      <c r="C3" s="4">
        <v>81960</v>
      </c>
      <c r="D3" s="6">
        <v>3.8884999999999998E-5</v>
      </c>
      <c r="E3" s="17">
        <v>6.4888336206769261E-4</v>
      </c>
      <c r="F3">
        <f>E3* VLOOKUP(A3,Check!A$2:F$11,4,FALSE)</f>
        <v>1285710.9300287045</v>
      </c>
    </row>
    <row r="4" spans="1:6" x14ac:dyDescent="0.2">
      <c r="A4">
        <v>2015</v>
      </c>
      <c r="B4" s="1" t="s">
        <v>8</v>
      </c>
      <c r="C4" s="4">
        <v>1356253</v>
      </c>
      <c r="D4" s="6">
        <v>6.4346599999999998E-4</v>
      </c>
      <c r="E4" s="17">
        <v>1.0737554983582167E-2</v>
      </c>
      <c r="F4">
        <f>E4* VLOOKUP(A4,Check!A$2:F$11,4,FALSE)</f>
        <v>21275613.78702075</v>
      </c>
    </row>
    <row r="5" spans="1:6" x14ac:dyDescent="0.2">
      <c r="A5">
        <v>2015</v>
      </c>
      <c r="B5" s="1" t="s">
        <v>9</v>
      </c>
      <c r="C5" s="4">
        <v>8755</v>
      </c>
      <c r="D5" s="6">
        <v>4.1540000000000004E-6</v>
      </c>
      <c r="E5" s="17">
        <v>6.9313980416088936E-5</v>
      </c>
      <c r="F5">
        <f>E5* VLOOKUP(A5,Check!A$2:F$11,4,FALSE)</f>
        <v>137340.15608103111</v>
      </c>
    </row>
    <row r="6" spans="1:6" x14ac:dyDescent="0.2">
      <c r="A6">
        <v>2015</v>
      </c>
      <c r="B6" s="1" t="s">
        <v>10</v>
      </c>
      <c r="C6" s="4">
        <v>27924</v>
      </c>
      <c r="D6" s="6">
        <v>1.3247999999999999E-5</v>
      </c>
      <c r="E6" s="17">
        <v>2.2107636654927098E-4</v>
      </c>
      <c r="F6">
        <f>E6* VLOOKUP(A6,Check!A$2:F$11,4,FALSE)</f>
        <v>438045.29050904763</v>
      </c>
    </row>
    <row r="7" spans="1:6" x14ac:dyDescent="0.2">
      <c r="A7">
        <v>2015</v>
      </c>
      <c r="B7" s="1" t="s">
        <v>11</v>
      </c>
      <c r="C7" s="4">
        <v>701600</v>
      </c>
      <c r="D7" s="6">
        <v>3.3286999999999998E-4</v>
      </c>
      <c r="E7" s="17">
        <v>5.5546189217507702E-3</v>
      </c>
      <c r="F7">
        <f>E7* VLOOKUP(A7,Check!A$2:F$11,4,FALSE)</f>
        <v>11006036.951050989</v>
      </c>
    </row>
    <row r="8" spans="1:6" x14ac:dyDescent="0.2">
      <c r="A8">
        <v>2015</v>
      </c>
      <c r="B8" s="1" t="s">
        <v>12</v>
      </c>
      <c r="C8" s="4">
        <v>56490</v>
      </c>
      <c r="D8" s="6">
        <v>2.6801E-5</v>
      </c>
      <c r="E8" s="17">
        <v>4.4723549442659785E-4</v>
      </c>
      <c r="F8">
        <f>E8* VLOOKUP(A8,Check!A$2:F$11,4,FALSE)</f>
        <v>886161.66956224409</v>
      </c>
    </row>
    <row r="9" spans="1:6" x14ac:dyDescent="0.2">
      <c r="A9">
        <v>2015</v>
      </c>
      <c r="B9" s="1" t="s">
        <v>13</v>
      </c>
      <c r="C9" s="4">
        <v>9379</v>
      </c>
      <c r="D9" s="6">
        <v>4.4499999999999997E-6</v>
      </c>
      <c r="E9" s="17">
        <v>7.4254234417189962E-5</v>
      </c>
      <c r="F9">
        <f>E9* VLOOKUP(A9,Check!A$2:F$11,4,FALSE)</f>
        <v>147128.87765665227</v>
      </c>
    </row>
    <row r="10" spans="1:6" x14ac:dyDescent="0.2">
      <c r="A10">
        <v>2015</v>
      </c>
      <c r="B10" s="1" t="s">
        <v>14</v>
      </c>
      <c r="C10" s="4">
        <v>30733</v>
      </c>
      <c r="D10" s="6">
        <v>1.4581E-5</v>
      </c>
      <c r="E10" s="17">
        <v>2.4331542662794532E-4</v>
      </c>
      <c r="F10">
        <f>E10* VLOOKUP(A10,Check!A$2:F$11,4,FALSE)</f>
        <v>482110.22465315001</v>
      </c>
    </row>
    <row r="11" spans="1:6" x14ac:dyDescent="0.2">
      <c r="A11">
        <v>2015</v>
      </c>
      <c r="B11" s="1" t="s">
        <v>15</v>
      </c>
      <c r="C11" s="4">
        <v>1655775</v>
      </c>
      <c r="D11" s="6">
        <v>7.8557300000000002E-4</v>
      </c>
      <c r="E11" s="17">
        <v>1.3108892738258099E-2</v>
      </c>
      <c r="F11">
        <f>E11* VLOOKUP(A11,Check!A$2:F$11,4,FALSE)</f>
        <v>25974231.517426528</v>
      </c>
    </row>
    <row r="12" spans="1:6" x14ac:dyDescent="0.2">
      <c r="A12">
        <v>2015</v>
      </c>
      <c r="B12" s="1" t="s">
        <v>242</v>
      </c>
      <c r="C12" s="4">
        <v>378329</v>
      </c>
      <c r="D12" s="6">
        <v>1.7949599999999999E-4</v>
      </c>
      <c r="E12" s="17">
        <v>2.9952585833053695E-3</v>
      </c>
      <c r="F12">
        <f>E12* VLOOKUP(A12,Check!A$2:F$11,4,FALSE)</f>
        <v>5934867.3797807433</v>
      </c>
    </row>
    <row r="13" spans="1:6" x14ac:dyDescent="0.2">
      <c r="A13">
        <v>2015</v>
      </c>
      <c r="B13" s="1" t="s">
        <v>243</v>
      </c>
      <c r="C13" s="4">
        <v>114853</v>
      </c>
      <c r="D13" s="6">
        <v>5.4490999999999997E-5</v>
      </c>
      <c r="E13" s="17">
        <v>9.0929966793021843E-4</v>
      </c>
      <c r="F13">
        <f>E13* VLOOKUP(A13,Check!A$2:F$11,4,FALSE)</f>
        <v>1801705.1909051586</v>
      </c>
    </row>
    <row r="14" spans="1:6" x14ac:dyDescent="0.2">
      <c r="A14">
        <v>2015</v>
      </c>
      <c r="B14" s="1" t="s">
        <v>18</v>
      </c>
      <c r="C14" s="4">
        <v>1854389</v>
      </c>
      <c r="D14" s="6">
        <v>8.7980399999999998E-4</v>
      </c>
      <c r="E14" s="17">
        <v>1.4681334418025214E-2</v>
      </c>
      <c r="F14">
        <f>E14* VLOOKUP(A14,Check!A$2:F$11,4,FALSE)</f>
        <v>29089900.022266954</v>
      </c>
    </row>
    <row r="15" spans="1:6" x14ac:dyDescent="0.2">
      <c r="A15">
        <v>2015</v>
      </c>
      <c r="B15" s="1" t="s">
        <v>19</v>
      </c>
      <c r="C15" s="4">
        <v>91912</v>
      </c>
      <c r="D15" s="6">
        <v>4.3606999999999998E-5</v>
      </c>
      <c r="E15" s="17">
        <v>7.276740797262783E-4</v>
      </c>
      <c r="F15">
        <f>E15* VLOOKUP(A15,Check!A$2:F$11,4,FALSE)</f>
        <v>1441828.4895168168</v>
      </c>
    </row>
    <row r="16" spans="1:6" x14ac:dyDescent="0.2">
      <c r="A16">
        <v>2015</v>
      </c>
      <c r="B16" s="1" t="s">
        <v>20</v>
      </c>
      <c r="C16" s="4">
        <v>19980</v>
      </c>
      <c r="D16" s="6">
        <v>9.4800000000000007E-6</v>
      </c>
      <c r="E16" s="17">
        <v>1.5818313291986945E-4</v>
      </c>
      <c r="F16">
        <f>E16* VLOOKUP(A16,Check!A$2:F$11,4,FALSE)</f>
        <v>313427.33506556269</v>
      </c>
    </row>
    <row r="17" spans="1:6" x14ac:dyDescent="0.2">
      <c r="A17">
        <v>2015</v>
      </c>
      <c r="B17" s="1" t="s">
        <v>21</v>
      </c>
      <c r="C17" s="4">
        <v>6294530</v>
      </c>
      <c r="D17" s="6">
        <v>2.9864029999999999E-3</v>
      </c>
      <c r="E17" s="17">
        <v>4.9834258040946232E-2</v>
      </c>
      <c r="F17">
        <f>E17* VLOOKUP(A17,Check!A$2:F$11,4,FALSE)</f>
        <v>98742630.800312117</v>
      </c>
    </row>
    <row r="18" spans="1:6" x14ac:dyDescent="0.2">
      <c r="A18">
        <v>2015</v>
      </c>
      <c r="B18" s="1" t="s">
        <v>22</v>
      </c>
      <c r="C18" s="4">
        <v>168864</v>
      </c>
      <c r="D18" s="6">
        <v>8.0116000000000003E-5</v>
      </c>
      <c r="E18" s="17">
        <v>1.3369087366056473E-3</v>
      </c>
      <c r="F18">
        <f>E18* VLOOKUP(A18,Check!A$2:F$11,4,FALSE)</f>
        <v>2648978.6540796384</v>
      </c>
    </row>
    <row r="19" spans="1:6" x14ac:dyDescent="0.2">
      <c r="A19">
        <v>2015</v>
      </c>
      <c r="B19" s="1" t="s">
        <v>24</v>
      </c>
      <c r="C19" s="4">
        <v>466083</v>
      </c>
      <c r="D19" s="6">
        <v>2.2112999999999999E-4</v>
      </c>
      <c r="E19" s="17">
        <v>3.6900134705050804E-3</v>
      </c>
      <c r="F19">
        <f>E19* VLOOKUP(A19,Check!A$2:F$11,4,FALSE)</f>
        <v>7311469.0995677002</v>
      </c>
    </row>
    <row r="20" spans="1:6" x14ac:dyDescent="0.2">
      <c r="A20">
        <v>2015</v>
      </c>
      <c r="B20" s="1" t="s">
        <v>23</v>
      </c>
      <c r="C20" s="4">
        <v>2391397</v>
      </c>
      <c r="D20" s="6">
        <v>1.1345839999999999E-3</v>
      </c>
      <c r="E20" s="17">
        <v>1.8932866342100951E-2</v>
      </c>
      <c r="F20">
        <f>E20* VLOOKUP(A20,Check!A$2:F$11,4,FALSE)</f>
        <v>37513973.413102172</v>
      </c>
    </row>
    <row r="21" spans="1:6" x14ac:dyDescent="0.2">
      <c r="A21">
        <v>2015</v>
      </c>
      <c r="B21" s="1" t="s">
        <v>25</v>
      </c>
      <c r="C21" s="4">
        <v>51892</v>
      </c>
      <c r="D21" s="6">
        <v>2.4620000000000001E-5</v>
      </c>
      <c r="E21" s="17">
        <v>4.1083278946335658E-4</v>
      </c>
      <c r="F21">
        <f>E21* VLOOKUP(A21,Check!A$2:F$11,4,FALSE)</f>
        <v>814032.59615726618</v>
      </c>
    </row>
    <row r="22" spans="1:6" x14ac:dyDescent="0.2">
      <c r="A22">
        <v>2015</v>
      </c>
      <c r="B22" s="1" t="s">
        <v>26</v>
      </c>
      <c r="C22" s="4">
        <v>45062</v>
      </c>
      <c r="D22" s="6">
        <v>2.1379999999999999E-5</v>
      </c>
      <c r="E22" s="17">
        <v>3.5675917595771552E-4</v>
      </c>
      <c r="F22">
        <f>E22* VLOOKUP(A22,Check!A$2:F$11,4,FALSE)</f>
        <v>706890.01865487406</v>
      </c>
    </row>
    <row r="23" spans="1:6" x14ac:dyDescent="0.2">
      <c r="A23">
        <v>2015</v>
      </c>
      <c r="B23" s="1" t="s">
        <v>27</v>
      </c>
      <c r="C23" s="4">
        <v>27949</v>
      </c>
      <c r="D23" s="6">
        <v>1.326E-5</v>
      </c>
      <c r="E23" s="17">
        <v>2.2127429339226381E-4</v>
      </c>
      <c r="F23">
        <f>E23* VLOOKUP(A23,Check!A$2:F$11,4,FALSE)</f>
        <v>438437.4668542248</v>
      </c>
    </row>
    <row r="24" spans="1:6" x14ac:dyDescent="0.2">
      <c r="A24">
        <v>2015</v>
      </c>
      <c r="B24" s="1" t="s">
        <v>28</v>
      </c>
      <c r="C24" s="4">
        <v>307322</v>
      </c>
      <c r="D24" s="6">
        <v>1.4580699999999999E-4</v>
      </c>
      <c r="E24" s="17">
        <v>2.4330909296896956E-3</v>
      </c>
      <c r="F24">
        <f>E24* VLOOKUP(A24,Check!A$2:F$11,4,FALSE)</f>
        <v>4820976.7501010438</v>
      </c>
    </row>
    <row r="25" spans="1:6" x14ac:dyDescent="0.2">
      <c r="A25">
        <v>2015</v>
      </c>
      <c r="B25" s="1" t="s">
        <v>29</v>
      </c>
      <c r="C25" s="4">
        <v>95418</v>
      </c>
      <c r="D25" s="6">
        <v>4.5269999999999999E-5</v>
      </c>
      <c r="E25" s="17">
        <v>7.5543134018759271E-4</v>
      </c>
      <c r="F25">
        <f>E25* VLOOKUP(A25,Check!A$2:F$11,4,FALSE)</f>
        <v>1496827.3001644574</v>
      </c>
    </row>
    <row r="26" spans="1:6" x14ac:dyDescent="0.2">
      <c r="A26">
        <v>2015</v>
      </c>
      <c r="B26" s="1" t="s">
        <v>30</v>
      </c>
      <c r="C26" s="4">
        <v>2183</v>
      </c>
      <c r="D26" s="6">
        <v>1.0359999999999999E-6</v>
      </c>
      <c r="E26" s="17">
        <v>1.7282971930133884E-5</v>
      </c>
      <c r="F26">
        <f>E26* VLOOKUP(A26,Check!A$2:F$11,4,FALSE)</f>
        <v>34244.838460867031</v>
      </c>
    </row>
    <row r="27" spans="1:6" x14ac:dyDescent="0.2">
      <c r="A27">
        <v>2015</v>
      </c>
      <c r="B27" s="1" t="s">
        <v>31</v>
      </c>
      <c r="C27" s="4">
        <v>196829</v>
      </c>
      <c r="D27" s="6">
        <v>9.3385000000000001E-5</v>
      </c>
      <c r="E27" s="17">
        <v>1.5583097031774266E-3</v>
      </c>
      <c r="F27">
        <f>E27* VLOOKUP(A27,Check!A$2:F$11,4,FALSE)</f>
        <v>3087667.1137947766</v>
      </c>
    </row>
    <row r="28" spans="1:6" x14ac:dyDescent="0.2">
      <c r="A28">
        <v>2015</v>
      </c>
      <c r="B28" s="1" t="s">
        <v>32</v>
      </c>
      <c r="C28" s="4">
        <v>1028734</v>
      </c>
      <c r="D28" s="6">
        <v>4.8807700000000001E-4</v>
      </c>
      <c r="E28" s="17">
        <v>8.1445629159754233E-3</v>
      </c>
      <c r="F28">
        <f>E28* VLOOKUP(A28,Check!A$2:F$11,4,FALSE)</f>
        <v>16137805.611178005</v>
      </c>
    </row>
    <row r="29" spans="1:6" x14ac:dyDescent="0.2">
      <c r="A29">
        <v>2015</v>
      </c>
      <c r="B29" s="1" t="s">
        <v>33</v>
      </c>
      <c r="C29" s="4">
        <v>138013</v>
      </c>
      <c r="D29" s="6">
        <v>6.5479000000000001E-5</v>
      </c>
      <c r="E29" s="17">
        <v>1.0926590952787757E-3</v>
      </c>
      <c r="F29">
        <f>E29* VLOOKUP(A29,Check!A$2:F$11,4,FALSE)</f>
        <v>2165017.3570772521</v>
      </c>
    </row>
    <row r="30" spans="1:6" x14ac:dyDescent="0.2">
      <c r="A30">
        <v>2015</v>
      </c>
      <c r="B30" s="1" t="s">
        <v>34</v>
      </c>
      <c r="C30" s="4">
        <v>1453338</v>
      </c>
      <c r="D30" s="6">
        <v>6.89527E-4</v>
      </c>
      <c r="E30" s="17">
        <v>1.1506184085660521E-2</v>
      </c>
      <c r="F30">
        <f>E30* VLOOKUP(A30,Check!A$2:F$11,4,FALSE)</f>
        <v>22798591.405881617</v>
      </c>
    </row>
    <row r="31" spans="1:6" x14ac:dyDescent="0.2">
      <c r="A31">
        <v>2015</v>
      </c>
      <c r="B31" s="1" t="s">
        <v>35</v>
      </c>
      <c r="C31" s="4">
        <v>325472</v>
      </c>
      <c r="D31" s="6">
        <v>1.54418E-4</v>
      </c>
      <c r="E31" s="17">
        <v>2.5767858177024898E-3</v>
      </c>
      <c r="F31">
        <f>E31* VLOOKUP(A31,Check!A$2:F$11,4,FALSE)</f>
        <v>5105696.7766996408</v>
      </c>
    </row>
    <row r="32" spans="1:6" x14ac:dyDescent="0.2">
      <c r="A32">
        <v>2015</v>
      </c>
      <c r="B32" s="1" t="s">
        <v>36</v>
      </c>
      <c r="C32" s="4">
        <v>475136</v>
      </c>
      <c r="D32" s="6">
        <v>2.2542499999999999E-4</v>
      </c>
      <c r="E32" s="17">
        <v>3.7616867388896437E-3</v>
      </c>
      <c r="F32">
        <f>E32* VLOOKUP(A32,Check!A$2:F$11,4,FALSE)</f>
        <v>7453483.997683242</v>
      </c>
    </row>
    <row r="33" spans="1:6" x14ac:dyDescent="0.2">
      <c r="A33">
        <v>2015</v>
      </c>
      <c r="B33" s="1" t="s">
        <v>37</v>
      </c>
      <c r="C33" s="4">
        <v>39372</v>
      </c>
      <c r="D33" s="6">
        <v>1.8680000000000001E-5</v>
      </c>
      <c r="E33" s="17">
        <v>3.1171102649254752E-4</v>
      </c>
      <c r="F33">
        <f>E33* VLOOKUP(A33,Check!A$2:F$11,4,FALSE)</f>
        <v>617630.68249255919</v>
      </c>
    </row>
    <row r="34" spans="1:6" x14ac:dyDescent="0.2">
      <c r="A34">
        <v>2015</v>
      </c>
      <c r="B34" s="1" t="s">
        <v>38</v>
      </c>
      <c r="C34" s="4">
        <v>16376</v>
      </c>
      <c r="D34" s="6">
        <v>7.7689999999999996E-6</v>
      </c>
      <c r="E34" s="17">
        <v>1.2964999923402313E-4</v>
      </c>
      <c r="F34">
        <f>E34* VLOOKUP(A34,Check!A$2:F$11,4,FALSE)</f>
        <v>256891.19314482756</v>
      </c>
    </row>
    <row r="35" spans="1:6" x14ac:dyDescent="0.2">
      <c r="A35">
        <v>2015</v>
      </c>
      <c r="B35" s="1" t="s">
        <v>39</v>
      </c>
      <c r="C35" s="4">
        <v>422934</v>
      </c>
      <c r="D35" s="6">
        <v>2.0065799999999999E-4</v>
      </c>
      <c r="E35" s="17">
        <v>3.3483996565731762E-3</v>
      </c>
      <c r="F35">
        <f>E35* VLOOKUP(A35,Check!A$2:F$11,4,FALSE)</f>
        <v>6634588.4148457795</v>
      </c>
    </row>
    <row r="36" spans="1:6" x14ac:dyDescent="0.2">
      <c r="A36">
        <v>2015</v>
      </c>
      <c r="B36" s="1" t="s">
        <v>40</v>
      </c>
      <c r="C36" s="4">
        <v>26620</v>
      </c>
      <c r="D36" s="6">
        <v>1.2629999999999999E-5</v>
      </c>
      <c r="E36" s="17">
        <v>2.1075250241876499E-4</v>
      </c>
      <c r="F36">
        <f>E36* VLOOKUP(A36,Check!A$2:F$11,4,FALSE)</f>
        <v>417589.37234460854</v>
      </c>
    </row>
    <row r="37" spans="1:6" x14ac:dyDescent="0.2">
      <c r="A37">
        <v>2015</v>
      </c>
      <c r="B37" s="1" t="s">
        <v>41</v>
      </c>
      <c r="C37" s="4">
        <v>380059</v>
      </c>
      <c r="D37" s="6">
        <v>1.8031699999999999E-4</v>
      </c>
      <c r="E37" s="17">
        <v>3.0089551208404733E-3</v>
      </c>
      <c r="F37">
        <f>E37* VLOOKUP(A37,Check!A$2:F$11,4,FALSE)</f>
        <v>5962005.9828670006</v>
      </c>
    </row>
    <row r="38" spans="1:6" x14ac:dyDescent="0.2">
      <c r="A38">
        <v>2015</v>
      </c>
      <c r="B38" s="1" t="s">
        <v>42</v>
      </c>
      <c r="C38" s="4">
        <v>20469</v>
      </c>
      <c r="D38" s="6">
        <v>9.7119999999999995E-6</v>
      </c>
      <c r="E38" s="17">
        <v>1.6205458196880918E-4</v>
      </c>
      <c r="F38">
        <f>E38* VLOOKUP(A38,Check!A$2:F$11,4,FALSE)</f>
        <v>321098.30437722732</v>
      </c>
    </row>
    <row r="39" spans="1:6" x14ac:dyDescent="0.2">
      <c r="A39">
        <v>2015</v>
      </c>
      <c r="B39" s="1" t="s">
        <v>43</v>
      </c>
      <c r="C39" s="4">
        <v>58948</v>
      </c>
      <c r="D39" s="6">
        <v>2.7968000000000001E-5</v>
      </c>
      <c r="E39" s="17">
        <v>4.6669566162965286E-4</v>
      </c>
      <c r="F39">
        <f>E39* VLOOKUP(A39,Check!A$2:F$11,4,FALSE)</f>
        <v>924720.44782005949</v>
      </c>
    </row>
    <row r="40" spans="1:6" x14ac:dyDescent="0.2">
      <c r="A40">
        <v>2015</v>
      </c>
      <c r="B40" s="1" t="s">
        <v>44</v>
      </c>
      <c r="C40" s="4">
        <v>1812860</v>
      </c>
      <c r="D40" s="6">
        <v>8.6010000000000004E-4</v>
      </c>
      <c r="E40" s="17">
        <v>1.4352546263519245E-2</v>
      </c>
      <c r="F40">
        <f>E40* VLOOKUP(A40,Check!A$2:F$11,4,FALSE)</f>
        <v>28438432.36471251</v>
      </c>
    </row>
    <row r="41" spans="1:6" x14ac:dyDescent="0.2">
      <c r="A41">
        <v>2015</v>
      </c>
      <c r="B41" s="1" t="s">
        <v>45</v>
      </c>
      <c r="C41" s="4">
        <v>25744</v>
      </c>
      <c r="D41" s="6">
        <v>1.2214E-5</v>
      </c>
      <c r="E41" s="17">
        <v>2.0381714584029624E-4</v>
      </c>
      <c r="F41">
        <f>E41* VLOOKUP(A41,Check!A$2:F$11,4,FALSE)</f>
        <v>403847.51320960186</v>
      </c>
    </row>
    <row r="42" spans="1:6" x14ac:dyDescent="0.2">
      <c r="A42">
        <v>2015</v>
      </c>
      <c r="B42" s="1" t="s">
        <v>46</v>
      </c>
      <c r="C42" s="4">
        <v>39671</v>
      </c>
      <c r="D42" s="6">
        <v>1.8822E-5</v>
      </c>
      <c r="E42" s="17">
        <v>3.1407823153474176E-4</v>
      </c>
      <c r="F42">
        <f>E42* VLOOKUP(A42,Check!A$2:F$11,4,FALSE)</f>
        <v>622321.11158087768</v>
      </c>
    </row>
    <row r="43" spans="1:6" x14ac:dyDescent="0.2">
      <c r="A43">
        <v>2015</v>
      </c>
      <c r="B43" s="1" t="s">
        <v>47</v>
      </c>
      <c r="C43" s="4">
        <v>1490549</v>
      </c>
      <c r="D43" s="6">
        <v>7.0718199999999999E-4</v>
      </c>
      <c r="E43" s="17">
        <v>1.1800786315844768E-2</v>
      </c>
      <c r="F43">
        <f>E43* VLOOKUP(A43,Check!A$2:F$11,4,FALSE)</f>
        <v>23382322.365097065</v>
      </c>
    </row>
    <row r="44" spans="1:6" x14ac:dyDescent="0.2">
      <c r="A44">
        <v>2015</v>
      </c>
      <c r="B44" s="1" t="s">
        <v>48</v>
      </c>
      <c r="C44" s="4">
        <v>37691</v>
      </c>
      <c r="D44" s="6">
        <v>1.7881999999999999E-5</v>
      </c>
      <c r="E44" s="17">
        <v>2.9840242556970965E-4</v>
      </c>
      <c r="F44">
        <f>E44* VLOOKUP(A44,Check!A$2:F$11,4,FALSE)</f>
        <v>591260.74504284898</v>
      </c>
    </row>
    <row r="45" spans="1:6" x14ac:dyDescent="0.2">
      <c r="A45">
        <v>2015</v>
      </c>
      <c r="B45" s="1" t="s">
        <v>244</v>
      </c>
      <c r="C45" s="4">
        <v>19343</v>
      </c>
      <c r="D45" s="6">
        <v>9.1770000000000004E-6</v>
      </c>
      <c r="E45" s="17">
        <v>1.5313995696041214E-4</v>
      </c>
      <c r="F45">
        <f>E45* VLOOKUP(A45,Check!A$2:F$11,4,FALSE)</f>
        <v>303434.68179044942</v>
      </c>
    </row>
    <row r="46" spans="1:6" x14ac:dyDescent="0.2">
      <c r="A46">
        <v>2015</v>
      </c>
      <c r="B46" s="1" t="s">
        <v>50</v>
      </c>
      <c r="C46" s="4">
        <v>1097148</v>
      </c>
      <c r="D46" s="6">
        <v>5.2053500000000003E-4</v>
      </c>
      <c r="E46" s="17">
        <v>8.6862015974358813E-3</v>
      </c>
      <c r="F46">
        <f>E46* VLOOKUP(A46,Check!A$2:F$11,4,FALSE)</f>
        <v>17211019.710335933</v>
      </c>
    </row>
    <row r="47" spans="1:6" x14ac:dyDescent="0.2">
      <c r="A47">
        <v>2015</v>
      </c>
      <c r="B47" s="1" t="s">
        <v>51</v>
      </c>
      <c r="C47" s="4">
        <v>79812</v>
      </c>
      <c r="D47" s="6">
        <v>3.7866E-5</v>
      </c>
      <c r="E47" s="17">
        <v>6.3187748771774876E-4</v>
      </c>
      <c r="F47">
        <f>E47* VLOOKUP(A47,Check!A$2:F$11,4,FALSE)</f>
        <v>1252015.1384510857</v>
      </c>
    </row>
    <row r="48" spans="1:6" x14ac:dyDescent="0.2">
      <c r="A48">
        <v>2015</v>
      </c>
      <c r="B48" s="1" t="s">
        <v>52</v>
      </c>
      <c r="C48" s="4">
        <v>28311</v>
      </c>
      <c r="D48" s="6">
        <v>1.3431999999999999E-5</v>
      </c>
      <c r="E48" s="17">
        <v>2.2414027407879997E-4</v>
      </c>
      <c r="F48">
        <f>E48* VLOOKUP(A48,Check!A$2:F$11,4,FALSE)</f>
        <v>444116.1803323896</v>
      </c>
    </row>
    <row r="49" spans="1:6" x14ac:dyDescent="0.2">
      <c r="A49">
        <v>2015</v>
      </c>
      <c r="B49" s="1" t="s">
        <v>245</v>
      </c>
      <c r="C49" t="s">
        <v>6</v>
      </c>
      <c r="D49" s="6">
        <v>0</v>
      </c>
      <c r="F49">
        <f>E49* VLOOKUP(A49,Check!A$2:F$11,4,FALSE)</f>
        <v>0</v>
      </c>
    </row>
    <row r="50" spans="1:6" x14ac:dyDescent="0.2">
      <c r="A50">
        <v>2015</v>
      </c>
      <c r="B50" s="1" t="s">
        <v>54</v>
      </c>
      <c r="C50" s="4">
        <v>120353</v>
      </c>
      <c r="D50" s="6">
        <v>5.7101000000000001E-5</v>
      </c>
      <c r="E50" s="17">
        <v>9.5284357338864091E-4</v>
      </c>
      <c r="F50">
        <f>E50* VLOOKUP(A50,Check!A$2:F$11,4,FALSE)</f>
        <v>1887983.9868441273</v>
      </c>
    </row>
    <row r="51" spans="1:6" x14ac:dyDescent="0.2">
      <c r="A51">
        <v>2015</v>
      </c>
      <c r="B51" s="1" t="s">
        <v>55</v>
      </c>
      <c r="C51" s="4">
        <v>97353</v>
      </c>
      <c r="D51" s="6">
        <v>4.6189000000000001E-5</v>
      </c>
      <c r="E51" s="17">
        <v>7.7075087783523772E-4</v>
      </c>
      <c r="F51">
        <f>E51* VLOOKUP(A51,Check!A$2:F$11,4,FALSE)</f>
        <v>1527181.7492811673</v>
      </c>
    </row>
    <row r="52" spans="1:6" x14ac:dyDescent="0.2">
      <c r="A52">
        <v>2015</v>
      </c>
      <c r="B52" s="1" t="s">
        <v>56</v>
      </c>
      <c r="C52" s="4">
        <v>241826</v>
      </c>
      <c r="D52" s="6">
        <v>1.14733E-4</v>
      </c>
      <c r="E52" s="17">
        <v>1.9145542693433607E-3</v>
      </c>
      <c r="F52">
        <f>E52* VLOOKUP(A52,Check!A$2:F$11,4,FALSE)</f>
        <v>3793537.47395219</v>
      </c>
    </row>
    <row r="53" spans="1:6" x14ac:dyDescent="0.2">
      <c r="A53">
        <v>2015</v>
      </c>
      <c r="B53" s="1" t="s">
        <v>57</v>
      </c>
      <c r="C53" s="4">
        <v>4470</v>
      </c>
      <c r="D53" s="6">
        <v>2.1210000000000001E-6</v>
      </c>
      <c r="E53" s="17">
        <v>3.5389319527117936E-5</v>
      </c>
      <c r="F53">
        <f>E53* VLOOKUP(A53,Check!A$2:F$11,4,FALSE)</f>
        <v>70121.130517670928</v>
      </c>
    </row>
    <row r="54" spans="1:6" x14ac:dyDescent="0.2">
      <c r="A54">
        <v>2015</v>
      </c>
      <c r="B54" s="1" t="s">
        <v>58</v>
      </c>
      <c r="C54" s="4">
        <v>216576</v>
      </c>
      <c r="D54" s="6">
        <v>1.02753E-4</v>
      </c>
      <c r="E54" s="17">
        <v>1.7146481579206029E-3</v>
      </c>
      <c r="F54">
        <f>E54* VLOOKUP(A54,Check!A$2:F$11,4,FALSE)</f>
        <v>3397439.3653232884</v>
      </c>
    </row>
    <row r="55" spans="1:6" x14ac:dyDescent="0.2">
      <c r="A55">
        <v>2015</v>
      </c>
      <c r="B55" s="1" t="s">
        <v>59</v>
      </c>
      <c r="C55" s="4">
        <v>519846</v>
      </c>
      <c r="D55" s="6">
        <v>2.4663799999999998E-4</v>
      </c>
      <c r="E55" s="17">
        <v>4.1156591048980206E-3</v>
      </c>
      <c r="F55">
        <f>E55* VLOOKUP(A55,Check!A$2:F$11,4,FALSE)</f>
        <v>8154852.1733980235</v>
      </c>
    </row>
    <row r="56" spans="1:6" x14ac:dyDescent="0.2">
      <c r="A56">
        <v>2015</v>
      </c>
      <c r="B56" s="1" t="s">
        <v>60</v>
      </c>
      <c r="C56" s="4">
        <v>91939</v>
      </c>
      <c r="D56" s="6">
        <v>4.3619999999999999E-5</v>
      </c>
      <c r="E56" s="17">
        <v>7.2788784071671053E-4</v>
      </c>
      <c r="F56">
        <f>E56* VLOOKUP(A56,Check!A$2:F$11,4,FALSE)</f>
        <v>1442252.039969608</v>
      </c>
    </row>
    <row r="57" spans="1:6" x14ac:dyDescent="0.2">
      <c r="A57">
        <v>2015</v>
      </c>
      <c r="B57" s="1" t="s">
        <v>61</v>
      </c>
      <c r="C57" s="4">
        <v>44400</v>
      </c>
      <c r="D57" s="6">
        <v>2.1064999999999999E-5</v>
      </c>
      <c r="E57" s="17">
        <v>3.5151807315526542E-4</v>
      </c>
      <c r="F57">
        <f>E57* VLOOKUP(A57,Check!A$2:F$11,4,FALSE)</f>
        <v>696505.18903458375</v>
      </c>
    </row>
    <row r="58" spans="1:6" x14ac:dyDescent="0.2">
      <c r="A58">
        <v>2015</v>
      </c>
      <c r="B58" s="1" t="s">
        <v>62</v>
      </c>
      <c r="C58" s="4">
        <v>696348</v>
      </c>
      <c r="D58" s="6">
        <v>3.3037799999999999E-4</v>
      </c>
      <c r="E58" s="17">
        <v>5.5130384505748366E-3</v>
      </c>
      <c r="F58">
        <f>E58* VLOOKUP(A58,Check!A$2:F$11,4,FALSE)</f>
        <v>10923648.544456176</v>
      </c>
    </row>
    <row r="59" spans="1:6" x14ac:dyDescent="0.2">
      <c r="A59">
        <v>2015</v>
      </c>
      <c r="B59" s="1" t="s">
        <v>63</v>
      </c>
      <c r="C59" s="4">
        <v>1110294</v>
      </c>
      <c r="D59" s="6">
        <v>5.26772E-4</v>
      </c>
      <c r="E59" s="17">
        <v>8.790279448555231E-3</v>
      </c>
      <c r="F59">
        <f>E59* VLOOKUP(A59,Check!A$2:F$11,4,FALSE)</f>
        <v>17417241.719683874</v>
      </c>
    </row>
    <row r="60" spans="1:6" x14ac:dyDescent="0.2">
      <c r="A60">
        <v>2015</v>
      </c>
      <c r="B60" s="1" t="s">
        <v>64</v>
      </c>
      <c r="C60" s="4">
        <v>233252</v>
      </c>
      <c r="D60" s="6">
        <v>1.10665E-4</v>
      </c>
      <c r="E60" s="17">
        <v>1.8466732792705399E-3</v>
      </c>
      <c r="F60">
        <f>E60* VLOOKUP(A60,Check!A$2:F$11,4,FALSE)</f>
        <v>3659036.6746102418</v>
      </c>
    </row>
    <row r="61" spans="1:6" x14ac:dyDescent="0.2">
      <c r="A61">
        <v>2015</v>
      </c>
      <c r="B61" s="1" t="s">
        <v>65</v>
      </c>
      <c r="C61" s="4">
        <v>181389</v>
      </c>
      <c r="D61" s="6">
        <v>8.6058999999999997E-5</v>
      </c>
      <c r="E61" s="17">
        <v>1.4360700849450549E-3</v>
      </c>
      <c r="F61">
        <f>E61* VLOOKUP(A61,Check!A$2:F$11,4,FALSE)</f>
        <v>2845459.0030133808</v>
      </c>
    </row>
    <row r="62" spans="1:6" x14ac:dyDescent="0.2">
      <c r="A62">
        <v>2015</v>
      </c>
      <c r="B62" s="1" t="s">
        <v>66</v>
      </c>
      <c r="C62" s="4">
        <v>744812</v>
      </c>
      <c r="D62" s="6">
        <v>3.5337200000000002E-4</v>
      </c>
      <c r="E62" s="17">
        <v>5.8967315113270169E-3</v>
      </c>
      <c r="F62">
        <f>E62* VLOOKUP(A62,Check!A$2:F$11,4,FALSE)</f>
        <v>11683905.920162756</v>
      </c>
    </row>
    <row r="63" spans="1:6" x14ac:dyDescent="0.2">
      <c r="A63">
        <v>2015</v>
      </c>
      <c r="B63" s="1" t="s">
        <v>67</v>
      </c>
      <c r="C63" s="4">
        <v>407940</v>
      </c>
      <c r="D63" s="6">
        <v>1.9354499999999999E-4</v>
      </c>
      <c r="E63" s="17">
        <v>3.2296910532197969E-3</v>
      </c>
      <c r="F63">
        <f>E63* VLOOKUP(A63,Check!A$2:F$11,4,FALSE)</f>
        <v>6399376.7300623441</v>
      </c>
    </row>
    <row r="64" spans="1:6" x14ac:dyDescent="0.2">
      <c r="A64">
        <v>2015</v>
      </c>
      <c r="B64" s="1" t="s">
        <v>68</v>
      </c>
      <c r="C64" s="4">
        <v>16126</v>
      </c>
      <c r="D64" s="6">
        <v>7.6510000000000001E-6</v>
      </c>
      <c r="E64" s="17">
        <v>1.2767073080409481E-4</v>
      </c>
      <c r="F64">
        <f>E64* VLOOKUP(A64,Check!A$2:F$11,4,FALSE)</f>
        <v>252969.42969305621</v>
      </c>
    </row>
    <row r="65" spans="1:6" x14ac:dyDescent="0.2">
      <c r="A65">
        <v>2015</v>
      </c>
      <c r="B65" s="1" t="s">
        <v>69</v>
      </c>
      <c r="C65" s="4">
        <v>358266</v>
      </c>
      <c r="D65" s="6">
        <v>1.69977E-4</v>
      </c>
      <c r="E65" s="17">
        <v>2.8364183332667639E-3</v>
      </c>
      <c r="F65">
        <f>E65* VLOOKUP(A65,Check!A$2:F$11,4,FALSE)</f>
        <v>5620138.0192491924</v>
      </c>
    </row>
    <row r="66" spans="1:6" x14ac:dyDescent="0.2">
      <c r="A66">
        <v>2015</v>
      </c>
      <c r="B66" s="1" t="s">
        <v>70</v>
      </c>
      <c r="C66" s="4">
        <v>159520</v>
      </c>
      <c r="D66" s="6">
        <v>7.5683E-5</v>
      </c>
      <c r="E66" s="17">
        <v>1.2629315997686472E-3</v>
      </c>
      <c r="F66">
        <f>E66* VLOOKUP(A66,Check!A$2:F$11,4,FALSE)</f>
        <v>2502398.8233062341</v>
      </c>
    </row>
    <row r="67" spans="1:6" x14ac:dyDescent="0.2">
      <c r="A67">
        <v>2015</v>
      </c>
      <c r="B67" s="1" t="s">
        <v>71</v>
      </c>
      <c r="C67" t="s">
        <v>6</v>
      </c>
      <c r="D67" s="6">
        <v>0</v>
      </c>
      <c r="F67">
        <f>E67* VLOOKUP(A67,Check!A$2:F$11,4,FALSE)</f>
        <v>0</v>
      </c>
    </row>
    <row r="68" spans="1:6" x14ac:dyDescent="0.2">
      <c r="A68">
        <v>2015</v>
      </c>
      <c r="B68" s="1" t="s">
        <v>72</v>
      </c>
      <c r="C68" s="4">
        <v>35511</v>
      </c>
      <c r="D68" s="6">
        <v>1.6847999999999999E-5</v>
      </c>
      <c r="E68" s="17">
        <v>2.811432048607349E-4</v>
      </c>
      <c r="F68">
        <f>E68* VLOOKUP(A68,Check!A$2:F$11,4,FALSE)</f>
        <v>557062.96774340316</v>
      </c>
    </row>
    <row r="69" spans="1:6" x14ac:dyDescent="0.2">
      <c r="A69">
        <v>2015</v>
      </c>
      <c r="B69" s="1" t="s">
        <v>73</v>
      </c>
      <c r="C69" s="4">
        <v>17412</v>
      </c>
      <c r="D69" s="6">
        <v>8.2609999999999993E-6</v>
      </c>
      <c r="E69" s="17">
        <v>1.3785208760764599E-4</v>
      </c>
      <c r="F69">
        <f>E69* VLOOKUP(A69,Check!A$2:F$11,4,FALSE)</f>
        <v>273142.98088896787</v>
      </c>
    </row>
    <row r="70" spans="1:6" x14ac:dyDescent="0.2">
      <c r="A70">
        <v>2015</v>
      </c>
      <c r="B70" s="1" t="s">
        <v>74</v>
      </c>
      <c r="C70" s="4">
        <v>6354</v>
      </c>
      <c r="D70" s="6">
        <v>3.0139999999999999E-6</v>
      </c>
      <c r="E70" s="17">
        <v>5.0305086415057578E-5</v>
      </c>
      <c r="F70">
        <f>E70* VLOOKUP(A70,Check!A$2:F$11,4,FALSE)</f>
        <v>99675.539890219487</v>
      </c>
    </row>
    <row r="71" spans="1:6" x14ac:dyDescent="0.2">
      <c r="A71">
        <v>2015</v>
      </c>
      <c r="B71" s="1" t="s">
        <v>75</v>
      </c>
      <c r="C71" s="4">
        <v>60516</v>
      </c>
      <c r="D71" s="6">
        <v>2.8711999999999999E-5</v>
      </c>
      <c r="E71" s="17">
        <v>4.791096332221631E-4</v>
      </c>
      <c r="F71">
        <f>E71* VLOOKUP(A71,Check!A$2:F$11,4,FALSE)</f>
        <v>949317.7481895691</v>
      </c>
    </row>
    <row r="72" spans="1:6" x14ac:dyDescent="0.2">
      <c r="A72">
        <v>2015</v>
      </c>
      <c r="B72" s="1" t="s">
        <v>76</v>
      </c>
      <c r="C72" s="4">
        <v>124854</v>
      </c>
      <c r="D72" s="6">
        <v>5.9236E-5</v>
      </c>
      <c r="E72" s="17">
        <v>9.8847832220106996E-4</v>
      </c>
      <c r="F72">
        <f>E72* VLOOKUP(A72,Check!A$2:F$11,4,FALSE)</f>
        <v>1958591.4160298179</v>
      </c>
    </row>
    <row r="73" spans="1:6" x14ac:dyDescent="0.2">
      <c r="A73">
        <v>2015</v>
      </c>
      <c r="B73" s="1" t="s">
        <v>77</v>
      </c>
      <c r="C73" s="4">
        <v>9378</v>
      </c>
      <c r="D73" s="6">
        <v>4.4490000000000001E-6</v>
      </c>
      <c r="E73" s="17">
        <v>7.4246317343470248E-5</v>
      </c>
      <c r="F73">
        <f>E73* VLOOKUP(A73,Check!A$2:F$11,4,FALSE)</f>
        <v>147113.19060284519</v>
      </c>
    </row>
    <row r="74" spans="1:6" x14ac:dyDescent="0.2">
      <c r="A74">
        <v>2015</v>
      </c>
      <c r="B74" s="1" t="s">
        <v>78</v>
      </c>
      <c r="C74" s="4">
        <v>3982050</v>
      </c>
      <c r="D74" s="6">
        <v>1.88926E-3</v>
      </c>
      <c r="E74" s="17">
        <v>3.1526183405583885E-2</v>
      </c>
      <c r="F74">
        <f>E74* VLOOKUP(A74,Check!A$2:F$11,4,FALSE)</f>
        <v>62466632.612503693</v>
      </c>
    </row>
    <row r="75" spans="1:6" x14ac:dyDescent="0.2">
      <c r="A75">
        <v>2015</v>
      </c>
      <c r="B75" s="1" t="s">
        <v>79</v>
      </c>
      <c r="C75" s="4">
        <v>169575</v>
      </c>
      <c r="D75" s="6">
        <v>8.0453999999999999E-5</v>
      </c>
      <c r="E75" s="17">
        <v>1.3425377760203634E-3</v>
      </c>
      <c r="F75">
        <f>E75* VLOOKUP(A75,Check!A$2:F$11,4,FALSE)</f>
        <v>2660132.1493364759</v>
      </c>
    </row>
    <row r="76" spans="1:6" x14ac:dyDescent="0.2">
      <c r="A76">
        <v>2015</v>
      </c>
      <c r="B76" s="1" t="s">
        <v>80</v>
      </c>
      <c r="C76" s="4">
        <v>79393</v>
      </c>
      <c r="D76" s="6">
        <v>3.7666999999999997E-5</v>
      </c>
      <c r="E76" s="17">
        <v>6.2856023382918888E-4</v>
      </c>
      <c r="F76">
        <f>E76* VLOOKUP(A76,Check!A$2:F$11,4,FALSE)</f>
        <v>1245442.2629059167</v>
      </c>
    </row>
    <row r="77" spans="1:6" x14ac:dyDescent="0.2">
      <c r="A77">
        <v>2015</v>
      </c>
      <c r="B77" s="1" t="s">
        <v>81</v>
      </c>
      <c r="C77" s="4">
        <v>123683</v>
      </c>
      <c r="D77" s="6">
        <v>5.8681000000000003E-5</v>
      </c>
      <c r="E77" s="17">
        <v>9.7920742887528593E-4</v>
      </c>
      <c r="F77">
        <f>E77* VLOOKUP(A77,Check!A$2:F$11,4,FALSE)</f>
        <v>1940221.8760217212</v>
      </c>
    </row>
    <row r="78" spans="1:6" x14ac:dyDescent="0.2">
      <c r="A78">
        <v>2015</v>
      </c>
      <c r="B78" s="1" t="s">
        <v>82</v>
      </c>
      <c r="C78" s="2">
        <v>3303</v>
      </c>
      <c r="D78" s="6">
        <v>1.567E-6</v>
      </c>
      <c r="E78" s="17">
        <v>2.6150094496212649E-5</v>
      </c>
      <c r="F78">
        <f>E78* VLOOKUP(A78,Check!A$2:F$11,4,FALSE)</f>
        <v>51814.338724802474</v>
      </c>
    </row>
    <row r="79" spans="1:6" x14ac:dyDescent="0.2">
      <c r="A79">
        <v>2015</v>
      </c>
      <c r="B79" s="1" t="s">
        <v>83</v>
      </c>
      <c r="C79" s="4">
        <v>358495</v>
      </c>
      <c r="D79" s="6">
        <v>1.7008600000000001E-4</v>
      </c>
      <c r="E79" s="17">
        <v>2.8382313431485782E-3</v>
      </c>
      <c r="F79">
        <f>E79* VLOOKUP(A79,Check!A$2:F$11,4,FALSE)</f>
        <v>5623730.3545710156</v>
      </c>
    </row>
    <row r="80" spans="1:6" x14ac:dyDescent="0.2">
      <c r="A80">
        <v>2015</v>
      </c>
      <c r="B80" s="1" t="s">
        <v>84</v>
      </c>
      <c r="C80" s="4">
        <v>17541</v>
      </c>
      <c r="D80" s="6">
        <v>8.3219999999999993E-6</v>
      </c>
      <c r="E80" s="17">
        <v>1.3887339011748898E-4</v>
      </c>
      <c r="F80">
        <f>E80* VLOOKUP(A80,Check!A$2:F$11,4,FALSE)</f>
        <v>275166.61083008186</v>
      </c>
    </row>
    <row r="81" spans="1:6" x14ac:dyDescent="0.2">
      <c r="A81">
        <v>2015</v>
      </c>
      <c r="B81" s="1" t="s">
        <v>85</v>
      </c>
      <c r="C81" s="4">
        <v>329429</v>
      </c>
      <c r="D81" s="6">
        <v>1.56296E-4</v>
      </c>
      <c r="E81" s="17">
        <v>2.6081136784113948E-3</v>
      </c>
      <c r="F81">
        <f>E81* VLOOKUP(A81,Check!A$2:F$11,4,FALSE)</f>
        <v>5167770.4486142769</v>
      </c>
    </row>
    <row r="82" spans="1:6" x14ac:dyDescent="0.2">
      <c r="A82">
        <v>2015</v>
      </c>
      <c r="B82" s="1" t="s">
        <v>86</v>
      </c>
      <c r="C82" s="4">
        <v>25810</v>
      </c>
      <c r="D82" s="6">
        <v>1.2245999999999999E-5</v>
      </c>
      <c r="E82" s="17">
        <v>2.0433967270579731E-4</v>
      </c>
      <c r="F82">
        <f>E82* VLOOKUP(A82,Check!A$2:F$11,4,FALSE)</f>
        <v>404882.85876086954</v>
      </c>
    </row>
    <row r="83" spans="1:6" x14ac:dyDescent="0.2">
      <c r="A83">
        <v>2015</v>
      </c>
      <c r="B83" s="1" t="s">
        <v>87</v>
      </c>
      <c r="C83" s="4">
        <v>9378</v>
      </c>
      <c r="D83" s="6">
        <v>4.4490000000000001E-6</v>
      </c>
      <c r="E83" s="17">
        <v>7.4246317343470248E-5</v>
      </c>
      <c r="F83">
        <f>E83* VLOOKUP(A83,Check!A$2:F$11,4,FALSE)</f>
        <v>147113.19060284519</v>
      </c>
    </row>
    <row r="84" spans="1:6" x14ac:dyDescent="0.2">
      <c r="A84">
        <v>2015</v>
      </c>
      <c r="B84" s="1" t="s">
        <v>88</v>
      </c>
      <c r="C84" s="4">
        <v>699067</v>
      </c>
      <c r="D84" s="6">
        <v>3.3166800000000002E-4</v>
      </c>
      <c r="E84" s="17">
        <v>5.5345649740187368E-3</v>
      </c>
      <c r="F84">
        <f>E84* VLOOKUP(A84,Check!A$2:F$11,4,FALSE)</f>
        <v>10966301.643757641</v>
      </c>
    </row>
    <row r="85" spans="1:6" x14ac:dyDescent="0.2">
      <c r="A85">
        <v>2015</v>
      </c>
      <c r="B85" s="1" t="s">
        <v>89</v>
      </c>
      <c r="C85" s="4">
        <v>867848</v>
      </c>
      <c r="D85" s="6">
        <v>4.11746E-4</v>
      </c>
      <c r="E85" s="17">
        <v>6.8708165935056483E-3</v>
      </c>
      <c r="F85">
        <f>E85* VLOOKUP(A85,Check!A$2:F$11,4,FALSE)</f>
        <v>13613978.272371294</v>
      </c>
    </row>
    <row r="86" spans="1:6" x14ac:dyDescent="0.2">
      <c r="A86">
        <v>2015</v>
      </c>
      <c r="B86" s="1" t="s">
        <v>90</v>
      </c>
      <c r="C86" s="4">
        <v>38928</v>
      </c>
      <c r="D86" s="6">
        <v>1.8468999999999999E-5</v>
      </c>
      <c r="E86" s="17">
        <v>3.0819584576099486E-4</v>
      </c>
      <c r="F86">
        <f>E86* VLOOKUP(A86,Check!A$2:F$11,4,FALSE)</f>
        <v>610665.63060221344</v>
      </c>
    </row>
    <row r="87" spans="1:6" x14ac:dyDescent="0.2">
      <c r="A87">
        <v>2015</v>
      </c>
      <c r="B87" s="1" t="s">
        <v>91</v>
      </c>
      <c r="C87" s="4">
        <v>155698</v>
      </c>
      <c r="D87" s="6">
        <v>7.3869999999999996E-5</v>
      </c>
      <c r="E87" s="17">
        <v>1.2326725440119034E-3</v>
      </c>
      <c r="F87">
        <f>E87* VLOOKUP(A87,Check!A$2:F$11,4,FALSE)</f>
        <v>2442442.9036555542</v>
      </c>
    </row>
    <row r="88" spans="1:6" x14ac:dyDescent="0.2">
      <c r="A88">
        <v>2015</v>
      </c>
      <c r="B88" s="1" t="s">
        <v>92</v>
      </c>
      <c r="C88" s="4">
        <v>1824341</v>
      </c>
      <c r="D88" s="6">
        <v>8.6554799999999995E-4</v>
      </c>
      <c r="E88" s="17">
        <v>1.4443442186895271E-2</v>
      </c>
      <c r="F88">
        <f>E88* VLOOKUP(A88,Check!A$2:F$11,4,FALSE)</f>
        <v>28618535.429471653</v>
      </c>
    </row>
    <row r="89" spans="1:6" x14ac:dyDescent="0.2">
      <c r="A89">
        <v>2015</v>
      </c>
      <c r="B89" s="1" t="s">
        <v>93</v>
      </c>
      <c r="C89" s="4">
        <v>89015</v>
      </c>
      <c r="D89" s="6">
        <v>4.2233E-5</v>
      </c>
      <c r="E89" s="17">
        <v>7.0473831716026919E-4</v>
      </c>
      <c r="F89">
        <f>E89* VLOOKUP(A89,Check!A$2:F$11,4,FALSE)</f>
        <v>1396383.0946376908</v>
      </c>
    </row>
    <row r="90" spans="1:6" x14ac:dyDescent="0.2">
      <c r="A90">
        <v>2015</v>
      </c>
      <c r="B90" s="1" t="s">
        <v>246</v>
      </c>
      <c r="C90" s="4">
        <v>5787</v>
      </c>
      <c r="D90" s="6">
        <v>2.745E-6</v>
      </c>
      <c r="E90" s="17">
        <v>4.5816105615980205E-5</v>
      </c>
      <c r="F90">
        <f>E90* VLOOKUP(A90,Check!A$2:F$11,4,FALSE)</f>
        <v>90780.980381602174</v>
      </c>
    </row>
    <row r="91" spans="1:6" x14ac:dyDescent="0.2">
      <c r="A91">
        <v>2015</v>
      </c>
      <c r="B91" s="1" t="s">
        <v>94</v>
      </c>
      <c r="C91" s="4">
        <v>2679603</v>
      </c>
      <c r="D91" s="6">
        <v>1.2713220000000001E-3</v>
      </c>
      <c r="E91" s="17">
        <v>2.1214614490564609E-2</v>
      </c>
      <c r="F91">
        <f>E91* VLOOKUP(A91,Check!A$2:F$11,4,FALSE)</f>
        <v>42035076.442626975</v>
      </c>
    </row>
    <row r="92" spans="1:6" x14ac:dyDescent="0.2">
      <c r="A92">
        <v>2015</v>
      </c>
      <c r="B92" s="1" t="s">
        <v>95</v>
      </c>
      <c r="C92" s="4">
        <v>116978</v>
      </c>
      <c r="D92" s="6">
        <v>5.5498999999999998E-5</v>
      </c>
      <c r="E92" s="17">
        <v>9.2612344958460896E-4</v>
      </c>
      <c r="F92">
        <f>E92* VLOOKUP(A92,Check!A$2:F$11,4,FALSE)</f>
        <v>1835040.1802452148</v>
      </c>
    </row>
    <row r="93" spans="1:6" x14ac:dyDescent="0.2">
      <c r="A93">
        <v>2015</v>
      </c>
      <c r="B93" s="1" t="s">
        <v>96</v>
      </c>
      <c r="C93" s="4">
        <v>7263578</v>
      </c>
      <c r="D93" s="6">
        <v>3.4461610000000001E-3</v>
      </c>
      <c r="E93" s="17">
        <v>5.750628249488686E-2</v>
      </c>
      <c r="F93">
        <f>E93* VLOOKUP(A93,Check!A$2:F$11,4,FALSE)</f>
        <v>113944138.91796045</v>
      </c>
    </row>
    <row r="94" spans="1:6" x14ac:dyDescent="0.2">
      <c r="A94">
        <v>2015</v>
      </c>
      <c r="B94" s="1" t="s">
        <v>97</v>
      </c>
      <c r="C94" s="4">
        <v>4441484</v>
      </c>
      <c r="D94" s="6">
        <v>2.1072360000000002E-3</v>
      </c>
      <c r="E94" s="17">
        <v>3.5163556252926595E-2</v>
      </c>
      <c r="F94">
        <f>E94* VLOOKUP(A94,Check!A$2:F$11,4,FALSE)</f>
        <v>69673798.491308078</v>
      </c>
    </row>
    <row r="95" spans="1:6" x14ac:dyDescent="0.2">
      <c r="A95">
        <v>2015</v>
      </c>
      <c r="B95" s="1" t="s">
        <v>98</v>
      </c>
      <c r="C95" s="4">
        <v>162715</v>
      </c>
      <c r="D95" s="6">
        <v>7.7199000000000004E-5</v>
      </c>
      <c r="E95" s="17">
        <v>1.288226650303131E-3</v>
      </c>
      <c r="F95">
        <f>E95* VLOOKUP(A95,Check!A$2:F$11,4,FALSE)</f>
        <v>2552518.9602198717</v>
      </c>
    </row>
    <row r="96" spans="1:6" x14ac:dyDescent="0.2">
      <c r="A96">
        <v>2015</v>
      </c>
      <c r="B96" s="1" t="s">
        <v>99</v>
      </c>
      <c r="C96" s="4">
        <v>5206</v>
      </c>
      <c r="D96" s="6">
        <v>2.4700000000000001E-6</v>
      </c>
      <c r="E96" s="17">
        <v>4.121628578482684E-5</v>
      </c>
      <c r="F96">
        <f>E96* VLOOKUP(A96,Check!A$2:F$11,4,FALSE)</f>
        <v>81666.802119685643</v>
      </c>
    </row>
    <row r="97" spans="1:6" x14ac:dyDescent="0.2">
      <c r="A97">
        <v>2015</v>
      </c>
      <c r="B97" s="1" t="s">
        <v>99</v>
      </c>
      <c r="C97" s="4">
        <v>10372</v>
      </c>
      <c r="D97" s="6">
        <v>4.921E-6</v>
      </c>
      <c r="E97" s="17">
        <v>8.211588862086516E-5</v>
      </c>
      <c r="F97">
        <f>E97* VLOOKUP(A97,Check!A$2:F$11,4,FALSE)</f>
        <v>162706.12208708789</v>
      </c>
    </row>
    <row r="98" spans="1:6" x14ac:dyDescent="0.2">
      <c r="A98">
        <v>2015</v>
      </c>
      <c r="B98" s="1" t="s">
        <v>100</v>
      </c>
      <c r="C98" s="4">
        <v>261657</v>
      </c>
      <c r="D98" s="6">
        <v>1.2414199999999999E-4</v>
      </c>
      <c r="E98" s="17">
        <v>2.0715577582789929E-3</v>
      </c>
      <c r="F98">
        <f>E98* VLOOKUP(A98,Check!A$2:F$11,4,FALSE)</f>
        <v>4104627.4380004974</v>
      </c>
    </row>
    <row r="99" spans="1:6" x14ac:dyDescent="0.2">
      <c r="A99">
        <v>2015</v>
      </c>
      <c r="B99" s="1" t="s">
        <v>101</v>
      </c>
      <c r="C99" s="4">
        <v>205036</v>
      </c>
      <c r="D99" s="6">
        <v>9.7277999999999999E-5</v>
      </c>
      <c r="E99" s="17">
        <v>1.6232851271951127E-3</v>
      </c>
      <c r="F99">
        <f>E99* VLOOKUP(A99,Check!A$2:F$11,4,FALSE)</f>
        <v>3216410.7643895252</v>
      </c>
    </row>
    <row r="100" spans="1:6" x14ac:dyDescent="0.2">
      <c r="A100">
        <v>2015</v>
      </c>
      <c r="B100" s="1" t="s">
        <v>102</v>
      </c>
      <c r="C100" s="4">
        <v>17160</v>
      </c>
      <c r="D100" s="6">
        <v>8.1410000000000005E-6</v>
      </c>
      <c r="E100" s="17">
        <v>1.3585698503027825E-4</v>
      </c>
      <c r="F100">
        <f>E100* VLOOKUP(A100,Check!A$2:F$11,4,FALSE)</f>
        <v>269189.84332958236</v>
      </c>
    </row>
    <row r="101" spans="1:6" x14ac:dyDescent="0.2">
      <c r="A101">
        <v>2015</v>
      </c>
      <c r="B101" s="1" t="s">
        <v>103</v>
      </c>
      <c r="C101" s="4">
        <v>4460545</v>
      </c>
      <c r="D101" s="6">
        <v>2.116279E-3</v>
      </c>
      <c r="E101" s="17">
        <v>3.5314463595098051E-2</v>
      </c>
      <c r="F101">
        <f>E101* VLOOKUP(A101,Check!A$2:F$11,4,FALSE)</f>
        <v>69972809.423924938</v>
      </c>
    </row>
    <row r="102" spans="1:6" x14ac:dyDescent="0.2">
      <c r="A102">
        <v>2015</v>
      </c>
      <c r="B102" s="1" t="s">
        <v>104</v>
      </c>
      <c r="C102" s="4">
        <v>56362</v>
      </c>
      <c r="D102" s="6">
        <v>2.6741E-5</v>
      </c>
      <c r="E102" s="17">
        <v>4.4622210899047455E-4</v>
      </c>
      <c r="F102">
        <f>E102* VLOOKUP(A102,Check!A$2:F$11,4,FALSE)</f>
        <v>884153.72667493718</v>
      </c>
    </row>
    <row r="103" spans="1:6" x14ac:dyDescent="0.2">
      <c r="A103">
        <v>2015</v>
      </c>
      <c r="B103" s="1" t="s">
        <v>105</v>
      </c>
      <c r="C103" s="4">
        <v>48374</v>
      </c>
      <c r="D103" s="6">
        <v>2.2951000000000001E-5</v>
      </c>
      <c r="E103" s="17">
        <v>3.8298052411740561E-4</v>
      </c>
      <c r="F103">
        <f>E103* VLOOKUP(A103,Check!A$2:F$11,4,FALSE)</f>
        <v>758845.54086394038</v>
      </c>
    </row>
    <row r="104" spans="1:6" x14ac:dyDescent="0.2">
      <c r="A104">
        <v>2015</v>
      </c>
      <c r="B104" s="1" t="s">
        <v>106</v>
      </c>
      <c r="C104" s="4">
        <v>294976</v>
      </c>
      <c r="D104" s="6">
        <v>1.3994999999999999E-4</v>
      </c>
      <c r="E104" s="17">
        <v>2.3353467375461165E-3</v>
      </c>
      <c r="F104">
        <f>E104* VLOOKUP(A104,Check!A$2:F$11,4,FALSE)</f>
        <v>4627304.3837987697</v>
      </c>
    </row>
    <row r="105" spans="1:6" x14ac:dyDescent="0.2">
      <c r="A105">
        <v>2015</v>
      </c>
      <c r="B105" s="1" t="s">
        <v>107</v>
      </c>
      <c r="C105" s="4">
        <v>621855</v>
      </c>
      <c r="D105" s="6">
        <v>2.9503599999999999E-4</v>
      </c>
      <c r="E105" s="17">
        <v>4.9232718779722425E-3</v>
      </c>
      <c r="F105">
        <f>E105* VLOOKUP(A105,Check!A$2:F$11,4,FALSE)</f>
        <v>9755072.8452049792</v>
      </c>
    </row>
    <row r="106" spans="1:6" x14ac:dyDescent="0.2">
      <c r="A106">
        <v>2015</v>
      </c>
      <c r="B106" s="1" t="s">
        <v>108</v>
      </c>
      <c r="C106" s="4">
        <v>688454</v>
      </c>
      <c r="D106" s="6">
        <v>3.26633E-4</v>
      </c>
      <c r="E106" s="17">
        <v>5.4505410706314214E-3</v>
      </c>
      <c r="F106">
        <f>E106* VLOOKUP(A106,Check!A$2:F$11,4,FALSE)</f>
        <v>10799814.941703048</v>
      </c>
    </row>
    <row r="107" spans="1:6" x14ac:dyDescent="0.2">
      <c r="A107">
        <v>2015</v>
      </c>
      <c r="B107" s="1" t="s">
        <v>109</v>
      </c>
      <c r="C107" s="4">
        <v>277991</v>
      </c>
      <c r="D107" s="6">
        <v>1.31891E-4</v>
      </c>
      <c r="E107" s="17">
        <v>2.2008752404167882E-3</v>
      </c>
      <c r="F107">
        <f>E107* VLOOKUP(A107,Check!A$2:F$11,4,FALSE)</f>
        <v>4360859.7748854272</v>
      </c>
    </row>
    <row r="108" spans="1:6" x14ac:dyDescent="0.2">
      <c r="A108">
        <v>2015</v>
      </c>
      <c r="B108" s="1" t="s">
        <v>110</v>
      </c>
      <c r="C108" s="4">
        <v>257271</v>
      </c>
      <c r="D108" s="6">
        <v>1.22061E-4</v>
      </c>
      <c r="E108" s="17">
        <v>2.0368334729443309E-3</v>
      </c>
      <c r="F108">
        <f>E108* VLOOKUP(A108,Check!A$2:F$11,4,FALSE)</f>
        <v>4035824.0200026217</v>
      </c>
    </row>
    <row r="109" spans="1:6" x14ac:dyDescent="0.2">
      <c r="A109">
        <v>2015</v>
      </c>
      <c r="B109" s="1" t="s">
        <v>111</v>
      </c>
      <c r="C109" s="4">
        <v>15160</v>
      </c>
      <c r="D109" s="6">
        <v>7.1919999999999999E-6</v>
      </c>
      <c r="E109" s="17">
        <v>1.2002283759085188E-4</v>
      </c>
      <c r="F109">
        <f>E109* VLOOKUP(A109,Check!A$2:F$11,4,FALSE)</f>
        <v>237815.73571541192</v>
      </c>
    </row>
    <row r="110" spans="1:6" x14ac:dyDescent="0.2">
      <c r="A110">
        <v>2015</v>
      </c>
      <c r="B110" s="1" t="s">
        <v>112</v>
      </c>
      <c r="C110" s="4">
        <v>54707</v>
      </c>
      <c r="D110" s="6">
        <v>2.5955000000000001E-5</v>
      </c>
      <c r="E110" s="17">
        <v>4.331193519843492E-4</v>
      </c>
      <c r="F110">
        <f>E110* VLOOKUP(A110,Check!A$2:F$11,4,FALSE)</f>
        <v>858191.65262421104</v>
      </c>
    </row>
    <row r="111" spans="1:6" x14ac:dyDescent="0.2">
      <c r="A111">
        <v>2015</v>
      </c>
      <c r="B111" s="1" t="s">
        <v>113</v>
      </c>
      <c r="C111" s="4">
        <v>256876</v>
      </c>
      <c r="D111" s="6">
        <v>1.21873E-4</v>
      </c>
      <c r="E111" s="17">
        <v>2.0337062288250441E-3</v>
      </c>
      <c r="F111">
        <f>E111* VLOOKUP(A111,Check!A$2:F$11,4,FALSE)</f>
        <v>4029627.6337488228</v>
      </c>
    </row>
    <row r="112" spans="1:6" x14ac:dyDescent="0.2">
      <c r="A112">
        <v>2015</v>
      </c>
      <c r="B112" s="1" t="s">
        <v>114</v>
      </c>
      <c r="C112" s="4">
        <v>75371</v>
      </c>
      <c r="D112" s="6">
        <v>3.5759000000000001E-5</v>
      </c>
      <c r="E112" s="17">
        <v>5.9671776332850248E-4</v>
      </c>
      <c r="F112">
        <f>E112* VLOOKUP(A112,Check!A$2:F$11,4,FALSE)</f>
        <v>1182348.9324938201</v>
      </c>
    </row>
    <row r="113" spans="1:6" x14ac:dyDescent="0.2">
      <c r="A113">
        <v>2015</v>
      </c>
      <c r="B113" s="1" t="s">
        <v>115</v>
      </c>
      <c r="C113" s="4">
        <v>96577</v>
      </c>
      <c r="D113" s="6">
        <v>4.5819999999999998E-5</v>
      </c>
      <c r="E113" s="17">
        <v>7.6460722862874023E-4</v>
      </c>
      <c r="F113">
        <f>E113* VLOOKUP(A113,Check!A$2:F$11,4,FALSE)</f>
        <v>1515008.5955268692</v>
      </c>
    </row>
    <row r="114" spans="1:6" x14ac:dyDescent="0.2">
      <c r="A114">
        <v>2015</v>
      </c>
      <c r="B114" s="1" t="s">
        <v>116</v>
      </c>
      <c r="C114" s="4">
        <v>300905</v>
      </c>
      <c r="D114" s="6">
        <v>1.4276299999999999E-4</v>
      </c>
      <c r="E114" s="17">
        <v>2.3822870676302958E-3</v>
      </c>
      <c r="F114">
        <f>E114* VLOOKUP(A114,Check!A$2:F$11,4,FALSE)</f>
        <v>4720312.9258209774</v>
      </c>
    </row>
    <row r="115" spans="1:6" x14ac:dyDescent="0.2">
      <c r="A115">
        <v>2015</v>
      </c>
      <c r="B115" s="1" t="s">
        <v>247</v>
      </c>
      <c r="C115" s="4">
        <v>420448</v>
      </c>
      <c r="D115" s="6">
        <v>1.9947899999999999E-4</v>
      </c>
      <c r="E115" s="17">
        <v>3.3287178113059692E-3</v>
      </c>
      <c r="F115">
        <f>E115* VLOOKUP(A115,Check!A$2:F$11,4,FALSE)</f>
        <v>6595590.3990813661</v>
      </c>
    </row>
    <row r="116" spans="1:6" x14ac:dyDescent="0.2">
      <c r="A116">
        <v>2015</v>
      </c>
      <c r="B116" s="1" t="s">
        <v>248</v>
      </c>
      <c r="C116" s="4">
        <v>58293</v>
      </c>
      <c r="D116" s="6">
        <v>2.7657E-5</v>
      </c>
      <c r="E116" s="17">
        <v>4.6150997834324071E-4</v>
      </c>
      <c r="F116">
        <f>E116* VLOOKUP(A116,Check!A$2:F$11,4,FALSE)</f>
        <v>914445.42757641873</v>
      </c>
    </row>
    <row r="117" spans="1:6" x14ac:dyDescent="0.2">
      <c r="A117">
        <v>2015</v>
      </c>
      <c r="B117" s="1" t="s">
        <v>119</v>
      </c>
      <c r="C117" s="4">
        <v>59461</v>
      </c>
      <c r="D117" s="6">
        <v>2.8211000000000001E-5</v>
      </c>
      <c r="E117" s="17">
        <v>4.7075712044786569E-4</v>
      </c>
      <c r="F117">
        <f>E117* VLOOKUP(A117,Check!A$2:F$11,4,FALSE)</f>
        <v>932767.90642309422</v>
      </c>
    </row>
    <row r="118" spans="1:6" x14ac:dyDescent="0.2">
      <c r="A118">
        <v>2015</v>
      </c>
      <c r="B118" s="1" t="s">
        <v>249</v>
      </c>
      <c r="C118" s="4">
        <v>1218636</v>
      </c>
      <c r="D118" s="6">
        <v>5.78175E-4</v>
      </c>
      <c r="E118" s="17">
        <v>9.6480310494963962E-3</v>
      </c>
      <c r="F118">
        <f>E118* VLOOKUP(A118,Check!A$2:F$11,4,FALSE)</f>
        <v>19116808.503251102</v>
      </c>
    </row>
    <row r="119" spans="1:6" x14ac:dyDescent="0.2">
      <c r="A119">
        <v>2015</v>
      </c>
      <c r="B119" s="1" t="s">
        <v>121</v>
      </c>
      <c r="C119" s="4">
        <v>1415565</v>
      </c>
      <c r="D119" s="6">
        <v>6.7160600000000005E-4</v>
      </c>
      <c r="E119" s="17">
        <v>1.1207132460045795E-2</v>
      </c>
      <c r="F119">
        <f>E119* VLOOKUP(A119,Check!A$2:F$11,4,FALSE)</f>
        <v>22206044.322426587</v>
      </c>
    </row>
    <row r="120" spans="1:6" x14ac:dyDescent="0.2">
      <c r="A120">
        <v>2015</v>
      </c>
      <c r="B120" s="1" t="s">
        <v>122</v>
      </c>
      <c r="C120" s="4">
        <v>561723</v>
      </c>
      <c r="D120" s="6">
        <v>2.6650600000000001E-4</v>
      </c>
      <c r="E120" s="17">
        <v>4.4472024010584494E-3</v>
      </c>
      <c r="F120">
        <f>E120* VLOOKUP(A120,Check!A$2:F$11,4,FALSE)</f>
        <v>8811778.9256773312</v>
      </c>
    </row>
    <row r="121" spans="1:6" x14ac:dyDescent="0.2">
      <c r="A121">
        <v>2015</v>
      </c>
      <c r="B121" s="1" t="s">
        <v>123</v>
      </c>
      <c r="C121" s="4">
        <v>1247849</v>
      </c>
      <c r="D121" s="6">
        <v>5.9203499999999998E-4</v>
      </c>
      <c r="E121" s="17">
        <v>9.8793125240703786E-3</v>
      </c>
      <c r="F121">
        <f>E121* VLOOKUP(A121,Check!A$2:F$11,4,FALSE)</f>
        <v>19575074.406117484</v>
      </c>
    </row>
    <row r="122" spans="1:6" x14ac:dyDescent="0.2">
      <c r="A122">
        <v>2015</v>
      </c>
      <c r="B122" s="1" t="s">
        <v>124</v>
      </c>
      <c r="C122" s="4">
        <v>3754</v>
      </c>
      <c r="D122" s="6">
        <v>1.781E-6</v>
      </c>
      <c r="E122" s="17">
        <v>2.9720694743803296E-5</v>
      </c>
      <c r="F122">
        <f>E122* VLOOKUP(A122,Check!A$2:F$11,4,FALSE)</f>
        <v>58889.199991797912</v>
      </c>
    </row>
    <row r="123" spans="1:6" x14ac:dyDescent="0.2">
      <c r="A123">
        <v>2015</v>
      </c>
      <c r="B123" s="1" t="s">
        <v>125</v>
      </c>
      <c r="C123" s="4">
        <v>33104</v>
      </c>
      <c r="D123" s="6">
        <v>1.5705999999999998E-5</v>
      </c>
      <c r="E123" s="17">
        <v>2.6208680841738525E-4</v>
      </c>
      <c r="F123">
        <f>E123* VLOOKUP(A123,Check!A$2:F$11,4,FALSE)</f>
        <v>519304.22922974901</v>
      </c>
    </row>
    <row r="124" spans="1:6" x14ac:dyDescent="0.2">
      <c r="A124">
        <v>2015</v>
      </c>
      <c r="B124" s="1" t="s">
        <v>126</v>
      </c>
      <c r="C124" s="4">
        <v>122411</v>
      </c>
      <c r="D124" s="6">
        <v>5.8077E-5</v>
      </c>
      <c r="E124" s="17">
        <v>9.6913691110381067E-4</v>
      </c>
      <c r="F124">
        <f>E124* VLOOKUP(A124,Check!A$2:F$11,4,FALSE)</f>
        <v>1920267.9435791087</v>
      </c>
    </row>
    <row r="125" spans="1:6" x14ac:dyDescent="0.2">
      <c r="A125">
        <v>2015</v>
      </c>
      <c r="B125" s="1" t="s">
        <v>127</v>
      </c>
      <c r="C125" s="4">
        <v>169093</v>
      </c>
      <c r="D125" s="6">
        <v>8.0224999999999998E-5</v>
      </c>
      <c r="E125" s="17">
        <v>1.3387217464874617E-3</v>
      </c>
      <c r="F125">
        <f>E125* VLOOKUP(A125,Check!A$2:F$11,4,FALSE)</f>
        <v>2652570.9894014611</v>
      </c>
    </row>
    <row r="126" spans="1:6" x14ac:dyDescent="0.2">
      <c r="A126">
        <v>2015</v>
      </c>
      <c r="B126" s="1" t="s">
        <v>128</v>
      </c>
      <c r="C126" s="4">
        <v>262145</v>
      </c>
      <c r="D126" s="6">
        <v>1.24373E-4</v>
      </c>
      <c r="E126" s="17">
        <v>2.0754212902542131E-3</v>
      </c>
      <c r="F126">
        <f>E126* VLOOKUP(A126,Check!A$2:F$11,4,FALSE)</f>
        <v>4112282.7202583551</v>
      </c>
    </row>
    <row r="127" spans="1:6" x14ac:dyDescent="0.2">
      <c r="A127">
        <v>2015</v>
      </c>
      <c r="B127" s="1" t="s">
        <v>129</v>
      </c>
      <c r="C127" s="4">
        <v>31452</v>
      </c>
      <c r="D127" s="6">
        <v>1.4922E-5</v>
      </c>
      <c r="E127" s="17">
        <v>2.4900780263241912E-4</v>
      </c>
      <c r="F127">
        <f>E127* VLOOKUP(A127,Check!A$2:F$11,4,FALSE)</f>
        <v>493389.21634044434</v>
      </c>
    </row>
    <row r="128" spans="1:6" x14ac:dyDescent="0.2">
      <c r="A128">
        <v>2015</v>
      </c>
      <c r="B128" s="1" t="s">
        <v>130</v>
      </c>
      <c r="C128" s="4">
        <v>83512</v>
      </c>
      <c r="D128" s="6">
        <v>3.9622000000000001E-5</v>
      </c>
      <c r="E128" s="17">
        <v>6.6117066048068749E-4</v>
      </c>
      <c r="F128">
        <f>E128* VLOOKUP(A128,Check!A$2:F$11,4,FALSE)</f>
        <v>1310057.2375373007</v>
      </c>
    </row>
    <row r="129" spans="1:6" x14ac:dyDescent="0.2">
      <c r="A129">
        <v>2015</v>
      </c>
      <c r="B129" s="1" t="s">
        <v>131</v>
      </c>
      <c r="C129" s="4">
        <v>79726</v>
      </c>
      <c r="D129" s="6">
        <v>3.7824999999999998E-5</v>
      </c>
      <c r="E129" s="17">
        <v>6.3119661937785336E-4</v>
      </c>
      <c r="F129">
        <f>E129* VLOOKUP(A129,Check!A$2:F$11,4,FALSE)</f>
        <v>1250666.0518236761</v>
      </c>
    </row>
    <row r="130" spans="1:6" x14ac:dyDescent="0.2">
      <c r="A130">
        <v>2015</v>
      </c>
      <c r="B130" s="1" t="s">
        <v>132</v>
      </c>
      <c r="C130" s="4">
        <v>22556</v>
      </c>
      <c r="D130" s="6">
        <v>1.0702E-5</v>
      </c>
      <c r="E130" s="17">
        <v>1.7857751482185059E-4</v>
      </c>
      <c r="F130">
        <f>E130* VLOOKUP(A130,Check!A$2:F$11,4,FALSE)</f>
        <v>353837.1856726142</v>
      </c>
    </row>
    <row r="131" spans="1:6" x14ac:dyDescent="0.2">
      <c r="A131">
        <v>2015</v>
      </c>
      <c r="B131" s="1" t="s">
        <v>133</v>
      </c>
      <c r="C131" s="4">
        <v>61710</v>
      </c>
      <c r="D131" s="6">
        <v>2.9278E-5</v>
      </c>
      <c r="E131" s="17">
        <v>4.8856261924350066E-4</v>
      </c>
      <c r="F131">
        <f>E131* VLOOKUP(A131,Check!A$2:F$11,4,FALSE)</f>
        <v>968048.09043522889</v>
      </c>
    </row>
    <row r="132" spans="1:6" x14ac:dyDescent="0.2">
      <c r="A132">
        <v>2015</v>
      </c>
      <c r="B132" s="1" t="s">
        <v>134</v>
      </c>
      <c r="C132" s="4">
        <v>204401</v>
      </c>
      <c r="D132" s="6">
        <v>9.6977000000000003E-5</v>
      </c>
      <c r="E132" s="17">
        <v>1.6182577853830948E-3</v>
      </c>
      <c r="F132">
        <f>E132* VLOOKUP(A132,Check!A$2:F$11,4,FALSE)</f>
        <v>3206449.4852220262</v>
      </c>
    </row>
    <row r="133" spans="1:6" x14ac:dyDescent="0.2">
      <c r="A133">
        <v>2015</v>
      </c>
      <c r="B133" s="1" t="s">
        <v>135</v>
      </c>
      <c r="C133" s="4">
        <v>17354</v>
      </c>
      <c r="D133" s="6">
        <v>8.2339999999999994E-6</v>
      </c>
      <c r="E133" s="17">
        <v>1.3739289733190262E-4</v>
      </c>
      <c r="F133">
        <f>E133* VLOOKUP(A133,Check!A$2:F$11,4,FALSE)</f>
        <v>272233.13176815689</v>
      </c>
    </row>
    <row r="134" spans="1:6" x14ac:dyDescent="0.2">
      <c r="A134">
        <v>2015</v>
      </c>
      <c r="B134" s="1" t="s">
        <v>250</v>
      </c>
      <c r="C134" s="4">
        <v>439261</v>
      </c>
      <c r="D134" s="6">
        <v>2.0840499999999999E-4</v>
      </c>
      <c r="E134" s="17">
        <v>3.4776617191949332E-3</v>
      </c>
      <c r="F134">
        <f>E134* VLOOKUP(A134,Check!A$2:F$11,4,FALSE)</f>
        <v>6890710.9423540598</v>
      </c>
    </row>
    <row r="135" spans="1:6" x14ac:dyDescent="0.2">
      <c r="A135">
        <v>2015</v>
      </c>
      <c r="B135" s="1" t="s">
        <v>251</v>
      </c>
      <c r="C135" s="4">
        <v>15211875</v>
      </c>
      <c r="D135" s="6">
        <v>7.2171839999999998E-3</v>
      </c>
      <c r="E135" s="17">
        <v>0.12043353579006201</v>
      </c>
      <c r="F135">
        <f>E135* VLOOKUP(A135,Check!A$2:F$11,4,FALSE)</f>
        <v>238629501.63165447</v>
      </c>
    </row>
    <row r="136" spans="1:6" x14ac:dyDescent="0.2">
      <c r="A136">
        <v>2015</v>
      </c>
      <c r="B136" s="1" t="s">
        <v>252</v>
      </c>
      <c r="C136" s="4">
        <v>224456</v>
      </c>
      <c r="D136" s="6">
        <v>1.06492E-4</v>
      </c>
      <c r="E136" s="17">
        <v>1.7770346988319427E-3</v>
      </c>
      <c r="F136">
        <f>E136* VLOOKUP(A136,Check!A$2:F$11,4,FALSE)</f>
        <v>3521053.34932312</v>
      </c>
    </row>
    <row r="137" spans="1:6" x14ac:dyDescent="0.2">
      <c r="A137">
        <v>2015</v>
      </c>
      <c r="B137" s="1" t="s">
        <v>253</v>
      </c>
      <c r="C137" s="4">
        <v>18599969</v>
      </c>
      <c r="D137" s="6">
        <v>8.8246450000000008E-3</v>
      </c>
      <c r="E137" s="17">
        <v>0.14725732575737993</v>
      </c>
      <c r="F137">
        <f>E137* VLOOKUP(A137,Check!A$2:F$11,4,FALSE)</f>
        <v>291778714.51311707</v>
      </c>
    </row>
    <row r="138" spans="1:6" x14ac:dyDescent="0.2">
      <c r="A138">
        <v>2015</v>
      </c>
      <c r="B138" s="1" t="s">
        <v>140</v>
      </c>
      <c r="C138" s="4">
        <v>18583</v>
      </c>
      <c r="D138" s="6">
        <v>8.8170000000000005E-6</v>
      </c>
      <c r="E138" s="17">
        <v>1.4712298093343012E-4</v>
      </c>
      <c r="F138">
        <f>E138* VLOOKUP(A138,Check!A$2:F$11,4,FALSE)</f>
        <v>291512.52089706465</v>
      </c>
    </row>
    <row r="139" spans="1:6" x14ac:dyDescent="0.2">
      <c r="A139">
        <v>2015</v>
      </c>
      <c r="B139" s="1" t="s">
        <v>254</v>
      </c>
      <c r="C139" s="4">
        <v>74744</v>
      </c>
      <c r="D139" s="6">
        <v>3.5462E-5</v>
      </c>
      <c r="E139" s="17">
        <v>5.9175375810624226E-4</v>
      </c>
      <c r="F139">
        <f>E139* VLOOKUP(A139,Check!A$2:F$11,4,FALSE)</f>
        <v>1172513.1497567776</v>
      </c>
    </row>
    <row r="140" spans="1:6" x14ac:dyDescent="0.2">
      <c r="A140">
        <v>2015</v>
      </c>
      <c r="B140" s="1" t="s">
        <v>142</v>
      </c>
      <c r="C140" s="4">
        <v>58497</v>
      </c>
      <c r="D140" s="6">
        <v>2.7753999999999999E-5</v>
      </c>
      <c r="E140" s="17">
        <v>4.6312506138206219E-4</v>
      </c>
      <c r="F140">
        <f>E140* VLOOKUP(A140,Check!A$2:F$11,4,FALSE)</f>
        <v>917645.58655306406</v>
      </c>
    </row>
    <row r="141" spans="1:6" x14ac:dyDescent="0.2">
      <c r="A141">
        <v>2015</v>
      </c>
      <c r="B141" s="1" t="s">
        <v>143</v>
      </c>
      <c r="C141" s="4">
        <v>45819</v>
      </c>
      <c r="D141" s="6">
        <v>2.1739E-5</v>
      </c>
      <c r="E141" s="17">
        <v>3.6275240076353844E-4</v>
      </c>
      <c r="F141">
        <f>E141* VLOOKUP(A141,Check!A$2:F$11,4,FALSE)</f>
        <v>718765.11838683765</v>
      </c>
    </row>
    <row r="142" spans="1:6" x14ac:dyDescent="0.2">
      <c r="A142">
        <v>2015</v>
      </c>
      <c r="B142" s="1" t="s">
        <v>144</v>
      </c>
      <c r="C142" s="4">
        <v>115785</v>
      </c>
      <c r="D142" s="6">
        <v>5.4932999999999997E-5</v>
      </c>
      <c r="E142" s="17">
        <v>9.1667838063699109E-4</v>
      </c>
      <c r="F142">
        <f>E142* VLOOKUP(A142,Check!A$2:F$11,4,FALSE)</f>
        <v>1816325.5250533619</v>
      </c>
    </row>
    <row r="143" spans="1:6" x14ac:dyDescent="0.2">
      <c r="A143">
        <v>2015</v>
      </c>
      <c r="B143" s="1" t="s">
        <v>255</v>
      </c>
      <c r="C143" s="4">
        <v>1761155</v>
      </c>
      <c r="D143" s="6">
        <v>8.3556899999999998E-4</v>
      </c>
      <c r="E143" s="17">
        <v>1.3943193966841474E-2</v>
      </c>
      <c r="F143">
        <f>E143* VLOOKUP(A143,Check!A$2:F$11,4,FALSE)</f>
        <v>27627333.24761717</v>
      </c>
    </row>
    <row r="144" spans="1:6" x14ac:dyDescent="0.2">
      <c r="A144">
        <v>2015</v>
      </c>
      <c r="B144" s="1" t="s">
        <v>256</v>
      </c>
      <c r="C144" s="4">
        <v>461154</v>
      </c>
      <c r="D144" s="6">
        <v>2.1879199999999999E-4</v>
      </c>
      <c r="E144" s="17">
        <v>3.6509902141406143E-3</v>
      </c>
      <c r="F144">
        <f>E144* VLOOKUP(A144,Check!A$2:F$11,4,FALSE)</f>
        <v>7234147.6113525778</v>
      </c>
    </row>
    <row r="145" spans="1:6" x14ac:dyDescent="0.2">
      <c r="A145">
        <v>2015</v>
      </c>
      <c r="B145" s="1" t="s">
        <v>147</v>
      </c>
      <c r="C145" s="4">
        <v>22813</v>
      </c>
      <c r="D145" s="6">
        <v>1.0824E-5</v>
      </c>
      <c r="E145" s="17">
        <v>1.8061220276781689E-4</v>
      </c>
      <c r="F145">
        <f>E145* VLOOKUP(A145,Check!A$2:F$11,4,FALSE)</f>
        <v>357868.7585010351</v>
      </c>
    </row>
    <row r="146" spans="1:6" x14ac:dyDescent="0.2">
      <c r="A146">
        <v>2015</v>
      </c>
      <c r="B146" s="1" t="s">
        <v>148</v>
      </c>
      <c r="C146" s="4">
        <v>723319</v>
      </c>
      <c r="D146" s="6">
        <v>3.4317400000000002E-4</v>
      </c>
      <c r="E146" s="17">
        <v>5.726569845869221E-3</v>
      </c>
      <c r="F146">
        <f>E146* VLOOKUP(A146,Check!A$2:F$11,4,FALSE)</f>
        <v>11346744.072687073</v>
      </c>
    </row>
    <row r="147" spans="1:6" x14ac:dyDescent="0.2">
      <c r="A147">
        <v>2015</v>
      </c>
      <c r="B147" s="1" t="s">
        <v>149</v>
      </c>
      <c r="C147" s="4">
        <v>13866</v>
      </c>
      <c r="D147" s="6">
        <v>6.579E-6</v>
      </c>
      <c r="E147" s="17">
        <v>1.0977814419754302E-4</v>
      </c>
      <c r="F147">
        <f>E147* VLOOKUP(A147,Check!A$2:F$11,4,FALSE)</f>
        <v>217516.68808904363</v>
      </c>
    </row>
    <row r="148" spans="1:6" x14ac:dyDescent="0.2">
      <c r="A148">
        <v>2015</v>
      </c>
      <c r="B148" s="1" t="s">
        <v>150</v>
      </c>
      <c r="C148" s="4">
        <v>37145</v>
      </c>
      <c r="D148" s="6">
        <v>1.7623000000000001E-5</v>
      </c>
      <c r="E148" s="17">
        <v>2.9407970331874627E-4</v>
      </c>
      <c r="F148">
        <f>E148* VLOOKUP(A148,Check!A$2:F$11,4,FALSE)</f>
        <v>582695.61366418051</v>
      </c>
    </row>
    <row r="149" spans="1:6" x14ac:dyDescent="0.2">
      <c r="A149">
        <v>2015</v>
      </c>
      <c r="B149" s="1" t="s">
        <v>151</v>
      </c>
      <c r="C149" s="4">
        <v>43320</v>
      </c>
      <c r="D149" s="6">
        <v>2.0553000000000001E-5</v>
      </c>
      <c r="E149" s="17">
        <v>3.4296763353797518E-4</v>
      </c>
      <c r="F149">
        <f>E149* VLOOKUP(A149,Check!A$2:F$11,4,FALSE)</f>
        <v>679563.17092293175</v>
      </c>
    </row>
    <row r="150" spans="1:6" x14ac:dyDescent="0.2">
      <c r="A150">
        <v>2015</v>
      </c>
      <c r="B150" s="1" t="s">
        <v>152</v>
      </c>
      <c r="C150" s="4">
        <v>924868</v>
      </c>
      <c r="D150" s="6">
        <v>4.3879800000000001E-4</v>
      </c>
      <c r="E150" s="17">
        <v>7.3222481370036939E-3</v>
      </c>
      <c r="F150">
        <f>E150* VLOOKUP(A150,Check!A$2:F$11,4,FALSE)</f>
        <v>14508454.080451293</v>
      </c>
    </row>
    <row r="151" spans="1:6" x14ac:dyDescent="0.2">
      <c r="A151">
        <v>2015</v>
      </c>
      <c r="B151" s="1" t="s">
        <v>153</v>
      </c>
      <c r="C151" s="4">
        <v>2066875</v>
      </c>
      <c r="D151" s="6">
        <v>9.8061700000000003E-4</v>
      </c>
      <c r="E151" s="17">
        <v>1.6363601744432188E-2</v>
      </c>
      <c r="F151">
        <f>E151* VLOOKUP(A151,Check!A$2:F$11,4,FALSE)</f>
        <v>32423179.337519258</v>
      </c>
    </row>
    <row r="152" spans="1:6" x14ac:dyDescent="0.2">
      <c r="A152">
        <v>2015</v>
      </c>
      <c r="B152" s="1" t="s">
        <v>154</v>
      </c>
      <c r="C152" s="4">
        <v>677119</v>
      </c>
      <c r="D152" s="6">
        <v>3.21255E-4</v>
      </c>
      <c r="E152" s="17">
        <v>5.3608010400184722E-3</v>
      </c>
      <c r="F152">
        <f>E152* VLOOKUP(A152,Check!A$2:F$11,4,FALSE)</f>
        <v>10622002.186799737</v>
      </c>
    </row>
    <row r="153" spans="1:6" x14ac:dyDescent="0.2">
      <c r="A153">
        <v>2015</v>
      </c>
      <c r="B153" s="1" t="s">
        <v>155</v>
      </c>
      <c r="C153" s="4">
        <v>118985</v>
      </c>
      <c r="D153" s="6">
        <v>5.6452000000000001E-5</v>
      </c>
      <c r="E153" s="17">
        <v>9.4201301654007336E-4</v>
      </c>
      <c r="F153">
        <f>E153* VLOOKUP(A153,Check!A$2:F$11,4,FALSE)</f>
        <v>1866524.0972360349</v>
      </c>
    </row>
    <row r="154" spans="1:6" x14ac:dyDescent="0.2">
      <c r="A154">
        <v>2015</v>
      </c>
      <c r="B154" s="1" t="s">
        <v>156</v>
      </c>
      <c r="C154" s="2">
        <v>747191</v>
      </c>
      <c r="D154" s="6">
        <v>3.545E-4</v>
      </c>
      <c r="E154" s="17">
        <v>5.9155662297062147E-3</v>
      </c>
      <c r="F154">
        <f>E154* VLOOKUP(A154,Check!A$2:F$11,4,FALSE)</f>
        <v>11721225.421169812</v>
      </c>
    </row>
    <row r="155" spans="1:6" x14ac:dyDescent="0.2">
      <c r="A155">
        <v>2015</v>
      </c>
      <c r="B155" s="1" t="s">
        <v>157</v>
      </c>
      <c r="C155" s="4">
        <v>8492</v>
      </c>
      <c r="D155" s="6">
        <v>4.0289999999999999E-6</v>
      </c>
      <c r="E155" s="17">
        <v>6.7231790027804373E-5</v>
      </c>
      <c r="F155">
        <f>E155* VLOOKUP(A155,Check!A$2:F$11,4,FALSE)</f>
        <v>133214.46092976769</v>
      </c>
    </row>
    <row r="156" spans="1:6" x14ac:dyDescent="0.2">
      <c r="A156">
        <v>2015</v>
      </c>
      <c r="B156" s="1" t="s">
        <v>158</v>
      </c>
      <c r="C156" s="4">
        <v>178293</v>
      </c>
      <c r="D156" s="6">
        <v>8.4590000000000002E-5</v>
      </c>
      <c r="E156" s="17">
        <v>1.411558824708823E-3</v>
      </c>
      <c r="F156">
        <f>E156* VLOOKUP(A156,Check!A$2:F$11,4,FALSE)</f>
        <v>2796891.884426645</v>
      </c>
    </row>
    <row r="157" spans="1:6" x14ac:dyDescent="0.2">
      <c r="A157">
        <v>2015</v>
      </c>
      <c r="B157" s="1" t="s">
        <v>159</v>
      </c>
      <c r="C157" s="4">
        <v>83927</v>
      </c>
      <c r="D157" s="6">
        <v>3.9818999999999999E-5</v>
      </c>
      <c r="E157" s="17">
        <v>6.6445624607436846E-4</v>
      </c>
      <c r="F157">
        <f>E157* VLOOKUP(A157,Check!A$2:F$11,4,FALSE)</f>
        <v>1316567.3648672411</v>
      </c>
    </row>
    <row r="158" spans="1:6" x14ac:dyDescent="0.2">
      <c r="A158">
        <v>2015</v>
      </c>
      <c r="B158" s="1" t="s">
        <v>257</v>
      </c>
      <c r="C158" s="4">
        <v>282039</v>
      </c>
      <c r="D158" s="6">
        <v>1.33812E-4</v>
      </c>
      <c r="E158" s="17">
        <v>2.2329235548341868E-3</v>
      </c>
      <c r="F158">
        <f>E158* VLOOKUP(A158,Check!A$2:F$11,4,FALSE)</f>
        <v>4424360.9686965076</v>
      </c>
    </row>
    <row r="159" spans="1:6" x14ac:dyDescent="0.2">
      <c r="A159">
        <v>2015</v>
      </c>
      <c r="B159" s="1" t="s">
        <v>258</v>
      </c>
      <c r="C159" s="4">
        <v>445652</v>
      </c>
      <c r="D159" s="6">
        <v>2.11437E-4</v>
      </c>
      <c r="E159" s="17">
        <v>3.5282597373376204E-3</v>
      </c>
      <c r="F159">
        <f>E159* VLOOKUP(A159,Check!A$2:F$11,4,FALSE)</f>
        <v>6990966.9032351421</v>
      </c>
    </row>
    <row r="160" spans="1:6" x14ac:dyDescent="0.2">
      <c r="A160">
        <v>2015</v>
      </c>
      <c r="B160" s="1" t="s">
        <v>162</v>
      </c>
      <c r="C160" s="4">
        <v>1269261</v>
      </c>
      <c r="D160" s="6">
        <v>6.02193E-4</v>
      </c>
      <c r="E160" s="17">
        <v>1.0048832906556877E-2</v>
      </c>
      <c r="F160">
        <f>E160* VLOOKUP(A160,Check!A$2:F$11,4,FALSE)</f>
        <v>19910965.602234792</v>
      </c>
    </row>
    <row r="161" spans="1:6" x14ac:dyDescent="0.2">
      <c r="A161">
        <v>2015</v>
      </c>
      <c r="B161" s="1" t="s">
        <v>163</v>
      </c>
      <c r="C161" s="4">
        <v>2187861</v>
      </c>
      <c r="D161" s="6">
        <v>1.0380179999999999E-3</v>
      </c>
      <c r="E161" s="17">
        <v>1.7321456825485408E-2</v>
      </c>
      <c r="F161">
        <f>E161* VLOOKUP(A161,Check!A$2:F$11,4,FALSE)</f>
        <v>34321093.22942327</v>
      </c>
    </row>
    <row r="162" spans="1:6" x14ac:dyDescent="0.2">
      <c r="A162">
        <v>2015</v>
      </c>
      <c r="B162" s="1" t="s">
        <v>164</v>
      </c>
      <c r="C162" s="4">
        <v>17786</v>
      </c>
      <c r="D162" s="6">
        <v>8.4379999999999995E-6</v>
      </c>
      <c r="E162" s="17">
        <v>1.4081307317881871E-4</v>
      </c>
      <c r="F162">
        <f>E162* VLOOKUP(A162,Check!A$2:F$11,4,FALSE)</f>
        <v>279009.93901281769</v>
      </c>
    </row>
    <row r="163" spans="1:6" x14ac:dyDescent="0.2">
      <c r="A163">
        <v>2015</v>
      </c>
      <c r="B163" s="1" t="s">
        <v>165</v>
      </c>
      <c r="C163" s="4">
        <v>50620</v>
      </c>
      <c r="D163" s="6">
        <v>2.4015999999999998E-5</v>
      </c>
      <c r="E163" s="17">
        <v>4.0076227169188143E-4</v>
      </c>
      <c r="F163">
        <f>E163* VLOOKUP(A163,Check!A$2:F$11,4,FALSE)</f>
        <v>794078.66371465381</v>
      </c>
    </row>
    <row r="164" spans="1:6" x14ac:dyDescent="0.2">
      <c r="A164">
        <v>2015</v>
      </c>
      <c r="B164" s="1" t="s">
        <v>166</v>
      </c>
      <c r="C164" s="4">
        <v>98837</v>
      </c>
      <c r="D164" s="6">
        <v>4.6893E-5</v>
      </c>
      <c r="E164" s="17">
        <v>7.8249981523529212E-4</v>
      </c>
      <c r="F164">
        <f>E164* VLOOKUP(A164,Check!A$2:F$11,4,FALSE)</f>
        <v>1550461.3371308818</v>
      </c>
    </row>
    <row r="165" spans="1:6" x14ac:dyDescent="0.2">
      <c r="A165">
        <v>2015</v>
      </c>
      <c r="B165" s="1" t="s">
        <v>167</v>
      </c>
      <c r="C165" s="4">
        <v>98254</v>
      </c>
      <c r="D165" s="6">
        <v>4.6616000000000002E-5</v>
      </c>
      <c r="E165" s="17">
        <v>7.7788416125669925E-4</v>
      </c>
      <c r="F165">
        <f>E165* VLOOKUP(A165,Check!A$2:F$11,4,FALSE)</f>
        <v>1541315.7847613511</v>
      </c>
    </row>
    <row r="166" spans="1:6" x14ac:dyDescent="0.2">
      <c r="A166">
        <v>2015</v>
      </c>
      <c r="B166" s="1" t="s">
        <v>168</v>
      </c>
      <c r="C166" s="4">
        <v>33898</v>
      </c>
      <c r="D166" s="6">
        <v>1.6082999999999998E-5</v>
      </c>
      <c r="E166" s="17">
        <v>2.6837296495083756E-4</v>
      </c>
      <c r="F166">
        <f>E166* VLOOKUP(A166,Check!A$2:F$11,4,FALSE)</f>
        <v>531759.74995257473</v>
      </c>
    </row>
    <row r="167" spans="1:6" x14ac:dyDescent="0.2">
      <c r="A167">
        <v>2015</v>
      </c>
      <c r="B167" s="1" t="s">
        <v>169</v>
      </c>
      <c r="C167" s="4">
        <v>596531</v>
      </c>
      <c r="D167" s="6">
        <v>2.83021E-4</v>
      </c>
      <c r="E167" s="17">
        <v>4.722779903094226E-3</v>
      </c>
      <c r="F167">
        <f>E167* VLOOKUP(A167,Check!A$2:F$11,4,FALSE)</f>
        <v>9357813.8945943527</v>
      </c>
    </row>
    <row r="168" spans="1:6" x14ac:dyDescent="0.2">
      <c r="A168">
        <v>2015</v>
      </c>
      <c r="B168" s="1" t="s">
        <v>170</v>
      </c>
      <c r="C168" s="4">
        <v>1066694</v>
      </c>
      <c r="D168" s="6">
        <v>5.0608700000000001E-4</v>
      </c>
      <c r="E168" s="17">
        <v>8.4450950343757363E-3</v>
      </c>
      <c r="F168">
        <f>E168* VLOOKUP(A168,Check!A$2:F$11,4,FALSE)</f>
        <v>16733286.173694961</v>
      </c>
    </row>
    <row r="169" spans="1:6" x14ac:dyDescent="0.2">
      <c r="A169">
        <v>2015</v>
      </c>
      <c r="B169" s="1" t="s">
        <v>171</v>
      </c>
      <c r="C169" s="4">
        <v>28736</v>
      </c>
      <c r="D169" s="6">
        <v>1.3634E-5</v>
      </c>
      <c r="E169" s="17">
        <v>2.2750503040967808E-4</v>
      </c>
      <c r="F169">
        <f>E169* VLOOKUP(A169,Check!A$2:F$11,4,FALSE)</f>
        <v>450783.17820040084</v>
      </c>
    </row>
    <row r="170" spans="1:6" x14ac:dyDescent="0.2">
      <c r="A170">
        <v>2015</v>
      </c>
      <c r="B170" s="1" t="s">
        <v>172</v>
      </c>
      <c r="C170" s="4">
        <v>512633</v>
      </c>
      <c r="D170" s="6">
        <v>2.4321600000000001E-4</v>
      </c>
      <c r="E170" s="17">
        <v>4.0585532521577291E-3</v>
      </c>
      <c r="F170">
        <f>E170* VLOOKUP(A170,Check!A$2:F$11,4,FALSE)</f>
        <v>8041701.4542875169</v>
      </c>
    </row>
    <row r="171" spans="1:6" x14ac:dyDescent="0.2">
      <c r="A171">
        <v>2015</v>
      </c>
      <c r="B171" s="1" t="s">
        <v>173</v>
      </c>
      <c r="C171" s="4">
        <v>75383</v>
      </c>
      <c r="D171" s="6">
        <v>3.5765000000000001E-5</v>
      </c>
      <c r="E171" s="17">
        <v>5.9681276821313899E-4</v>
      </c>
      <c r="F171">
        <f>E171* VLOOKUP(A171,Check!A$2:F$11,4,FALSE)</f>
        <v>1182537.177139505</v>
      </c>
    </row>
    <row r="172" spans="1:6" x14ac:dyDescent="0.2">
      <c r="A172">
        <v>2015</v>
      </c>
      <c r="B172" s="1" t="s">
        <v>174</v>
      </c>
      <c r="C172" s="4">
        <v>156950</v>
      </c>
      <c r="D172" s="6">
        <v>7.4463999999999997E-5</v>
      </c>
      <c r="E172" s="17">
        <v>1.2425847203089845E-3</v>
      </c>
      <c r="F172">
        <f>E172* VLOOKUP(A172,Check!A$2:F$11,4,FALSE)</f>
        <v>2462083.0950220251</v>
      </c>
    </row>
    <row r="173" spans="1:6" x14ac:dyDescent="0.2">
      <c r="A173">
        <v>2015</v>
      </c>
      <c r="B173" s="1" t="s">
        <v>175</v>
      </c>
      <c r="C173" s="4">
        <v>400457</v>
      </c>
      <c r="D173" s="6">
        <v>1.89994E-4</v>
      </c>
      <c r="E173" s="17">
        <v>3.1704475905751828E-3</v>
      </c>
      <c r="F173">
        <f>E173* VLOOKUP(A173,Check!A$2:F$11,4,FALSE)</f>
        <v>6281990.506423925</v>
      </c>
    </row>
    <row r="174" spans="1:6" x14ac:dyDescent="0.2">
      <c r="A174">
        <v>2015</v>
      </c>
      <c r="B174" s="1" t="s">
        <v>176</v>
      </c>
      <c r="C174" s="4">
        <v>338851</v>
      </c>
      <c r="D174" s="6">
        <v>1.6076600000000001E-4</v>
      </c>
      <c r="E174" s="17">
        <v>2.6827083469985326E-3</v>
      </c>
      <c r="F174">
        <f>E174* VLOOKUP(A174,Check!A$2:F$11,4,FALSE)</f>
        <v>5315573.869584634</v>
      </c>
    </row>
    <row r="175" spans="1:6" x14ac:dyDescent="0.2">
      <c r="A175">
        <v>2015</v>
      </c>
      <c r="B175" s="1" t="s">
        <v>177</v>
      </c>
      <c r="C175" s="4">
        <v>27717</v>
      </c>
      <c r="D175" s="6">
        <v>1.3149999999999999E-5</v>
      </c>
      <c r="E175" s="17">
        <v>2.1943753228929034E-4</v>
      </c>
      <c r="F175">
        <f>E175* VLOOKUP(A175,Check!A$2:F$11,4,FALSE)</f>
        <v>434798.070370981</v>
      </c>
    </row>
    <row r="176" spans="1:6" x14ac:dyDescent="0.2">
      <c r="A176">
        <v>2015</v>
      </c>
      <c r="B176" s="1" t="s">
        <v>178</v>
      </c>
      <c r="C176" s="4">
        <v>13034</v>
      </c>
      <c r="D176" s="6">
        <v>6.1840000000000004E-6</v>
      </c>
      <c r="E176" s="17">
        <v>1.0319113886274165E-4</v>
      </c>
      <c r="F176">
        <f>E176* VLOOKUP(A176,Check!A$2:F$11,4,FALSE)</f>
        <v>204465.05932154873</v>
      </c>
    </row>
    <row r="177" spans="1:6" x14ac:dyDescent="0.2">
      <c r="A177">
        <v>2015</v>
      </c>
      <c r="B177" s="1" t="s">
        <v>179</v>
      </c>
      <c r="C177" s="4">
        <v>799995</v>
      </c>
      <c r="D177" s="6">
        <v>3.7955299999999998E-4</v>
      </c>
      <c r="E177" s="17">
        <v>6.333619390401949E-3</v>
      </c>
      <c r="F177">
        <f>E177* VLOOKUP(A177,Check!A$2:F$11,4,FALSE)</f>
        <v>12549564.610399138</v>
      </c>
    </row>
    <row r="178" spans="1:6" x14ac:dyDescent="0.2">
      <c r="A178">
        <v>2015</v>
      </c>
      <c r="B178" s="1" t="s">
        <v>180</v>
      </c>
      <c r="C178" s="4">
        <v>109723</v>
      </c>
      <c r="D178" s="6">
        <v>5.2057E-5</v>
      </c>
      <c r="E178" s="17">
        <v>8.6868507974808976E-4</v>
      </c>
      <c r="F178">
        <f>E178* VLOOKUP(A178,Check!A$2:F$11,4,FALSE)</f>
        <v>1721230.6048748114</v>
      </c>
    </row>
    <row r="179" spans="1:6" x14ac:dyDescent="0.2">
      <c r="A179">
        <v>2015</v>
      </c>
      <c r="B179" s="1" t="s">
        <v>181</v>
      </c>
      <c r="C179" s="4">
        <v>29841</v>
      </c>
      <c r="D179" s="6">
        <v>1.4158000000000001E-5</v>
      </c>
      <c r="E179" s="17">
        <v>2.3625339686996115E-4</v>
      </c>
      <c r="F179">
        <f>E179* VLOOKUP(A179,Check!A$2:F$11,4,FALSE)</f>
        <v>468117.37265723001</v>
      </c>
    </row>
    <row r="180" spans="1:6" x14ac:dyDescent="0.2">
      <c r="A180">
        <v>2015</v>
      </c>
      <c r="B180" s="1" t="s">
        <v>182</v>
      </c>
      <c r="C180" s="4">
        <v>67976</v>
      </c>
      <c r="D180" s="6">
        <v>3.2251E-5</v>
      </c>
      <c r="E180" s="17">
        <v>5.3817100317122342E-4</v>
      </c>
      <c r="F180">
        <f>E180* VLOOKUP(A180,Check!A$2:F$11,4,FALSE)</f>
        <v>1066343.1695904247</v>
      </c>
    </row>
    <row r="181" spans="1:6" x14ac:dyDescent="0.2">
      <c r="A181">
        <v>2015</v>
      </c>
      <c r="B181" s="1" t="s">
        <v>183</v>
      </c>
      <c r="C181" s="4">
        <v>1864791</v>
      </c>
      <c r="D181" s="6">
        <v>8.8473899999999995E-4</v>
      </c>
      <c r="E181" s="17">
        <v>1.476368781885767E-2</v>
      </c>
      <c r="F181">
        <f>E181* VLOOKUP(A181,Check!A$2:F$11,4,FALSE)</f>
        <v>29253076.755968254</v>
      </c>
    </row>
    <row r="182" spans="1:6" x14ac:dyDescent="0.2">
      <c r="A182">
        <v>2015</v>
      </c>
      <c r="B182" s="1" t="s">
        <v>184</v>
      </c>
      <c r="C182" s="4">
        <v>73529</v>
      </c>
      <c r="D182" s="6">
        <v>3.4885000000000002E-5</v>
      </c>
      <c r="E182" s="17">
        <v>5.8213451353679078E-4</v>
      </c>
      <c r="F182">
        <f>E182* VLOOKUP(A182,Check!A$2:F$11,4,FALSE)</f>
        <v>1153453.3793811691</v>
      </c>
    </row>
    <row r="183" spans="1:6" x14ac:dyDescent="0.2">
      <c r="A183">
        <v>2015</v>
      </c>
      <c r="B183" s="1" t="s">
        <v>185</v>
      </c>
      <c r="C183" s="4">
        <v>9535</v>
      </c>
      <c r="D183" s="6">
        <v>4.5240000000000002E-6</v>
      </c>
      <c r="E183" s="17">
        <v>7.5489297917465215E-5</v>
      </c>
      <c r="F183">
        <f>E183* VLOOKUP(A183,Check!A$2:F$11,4,FALSE)</f>
        <v>149576.05805055756</v>
      </c>
    </row>
    <row r="184" spans="1:6" x14ac:dyDescent="0.2">
      <c r="A184">
        <v>2015</v>
      </c>
      <c r="B184" s="1" t="s">
        <v>186</v>
      </c>
      <c r="C184">
        <v>446</v>
      </c>
      <c r="D184" s="6">
        <v>2.1199999999999999E-7</v>
      </c>
      <c r="E184" s="17">
        <v>3.5310148789920807E-6</v>
      </c>
      <c r="F184">
        <f>E184* VLOOKUP(A184,Check!A$2:F$11,4,FALSE)</f>
        <v>6996.4259979600083</v>
      </c>
    </row>
    <row r="185" spans="1:6" x14ac:dyDescent="0.2">
      <c r="A185">
        <v>2015</v>
      </c>
      <c r="B185" s="1" t="s">
        <v>187</v>
      </c>
      <c r="C185" s="4">
        <v>59332</v>
      </c>
      <c r="D185" s="6">
        <v>2.815E-5</v>
      </c>
      <c r="E185" s="17">
        <v>4.6973581793802269E-4</v>
      </c>
      <c r="F185">
        <f>E185* VLOOKUP(A185,Check!A$2:F$11,4,FALSE)</f>
        <v>930744.27648198023</v>
      </c>
    </row>
    <row r="186" spans="1:6" x14ac:dyDescent="0.2">
      <c r="A186">
        <v>2015</v>
      </c>
      <c r="B186" s="1" t="s">
        <v>188</v>
      </c>
      <c r="C186" s="4">
        <v>17909</v>
      </c>
      <c r="D186" s="6">
        <v>8.4970000000000001E-6</v>
      </c>
      <c r="E186" s="17">
        <v>1.4178687324634343E-4</v>
      </c>
      <c r="F186">
        <f>E186* VLOOKUP(A186,Check!A$2:F$11,4,FALSE)</f>
        <v>280939.4466310892</v>
      </c>
    </row>
    <row r="187" spans="1:6" x14ac:dyDescent="0.2">
      <c r="A187">
        <v>2015</v>
      </c>
      <c r="B187" s="1" t="s">
        <v>189</v>
      </c>
      <c r="C187" s="4">
        <v>9379</v>
      </c>
      <c r="D187" s="6">
        <v>4.4499999999999997E-6</v>
      </c>
      <c r="E187" s="17">
        <v>7.4254234417189962E-5</v>
      </c>
      <c r="F187">
        <f>E187* VLOOKUP(A187,Check!A$2:F$11,4,FALSE)</f>
        <v>147128.87765665227</v>
      </c>
    </row>
    <row r="188" spans="1:6" x14ac:dyDescent="0.2">
      <c r="A188">
        <v>2015</v>
      </c>
      <c r="B188" s="1" t="s">
        <v>190</v>
      </c>
      <c r="C188" s="4">
        <v>8305</v>
      </c>
      <c r="D188" s="6">
        <v>3.9400000000000004E-6</v>
      </c>
      <c r="E188" s="17">
        <v>6.5751297242217996E-5</v>
      </c>
      <c r="F188">
        <f>E188* VLOOKUP(A188,Check!A$2:F$11,4,FALSE)</f>
        <v>130280.98186784273</v>
      </c>
    </row>
    <row r="189" spans="1:6" x14ac:dyDescent="0.2">
      <c r="A189">
        <v>2015</v>
      </c>
      <c r="B189" s="1" t="s">
        <v>191</v>
      </c>
      <c r="C189" s="4">
        <v>440932</v>
      </c>
      <c r="D189" s="6">
        <v>2.0919800000000001E-4</v>
      </c>
      <c r="E189" s="17">
        <v>3.4908911493805742E-3</v>
      </c>
      <c r="F189">
        <f>E189* VLOOKUP(A189,Check!A$2:F$11,4,FALSE)</f>
        <v>6916924.0092657004</v>
      </c>
    </row>
    <row r="190" spans="1:6" x14ac:dyDescent="0.2">
      <c r="A190">
        <v>2015</v>
      </c>
      <c r="B190" s="1" t="s">
        <v>192</v>
      </c>
      <c r="C190" s="4">
        <v>547440</v>
      </c>
      <c r="D190" s="6">
        <v>2.5973000000000001E-4</v>
      </c>
      <c r="E190" s="17">
        <v>4.334122837119786E-3</v>
      </c>
      <c r="F190">
        <f>E190* VLOOKUP(A190,Check!A$2:F$11,4,FALSE)</f>
        <v>8587720.7361507323</v>
      </c>
    </row>
    <row r="191" spans="1:6" x14ac:dyDescent="0.2">
      <c r="A191">
        <v>2015</v>
      </c>
      <c r="B191" s="1" t="s">
        <v>193</v>
      </c>
      <c r="C191" s="4">
        <v>45938</v>
      </c>
      <c r="D191" s="6">
        <v>2.1795000000000001E-5</v>
      </c>
      <c r="E191" s="17">
        <v>3.6369453253618428E-4</v>
      </c>
      <c r="F191">
        <f>E191* VLOOKUP(A191,Check!A$2:F$11,4,FALSE)</f>
        <v>720631.87778988073</v>
      </c>
    </row>
    <row r="192" spans="1:6" x14ac:dyDescent="0.2">
      <c r="A192">
        <v>2015</v>
      </c>
      <c r="B192" s="1" t="s">
        <v>194</v>
      </c>
      <c r="C192" s="4">
        <v>4612</v>
      </c>
      <c r="D192" s="6">
        <v>2.1880000000000001E-6</v>
      </c>
      <c r="E192" s="17">
        <v>3.6513543995317211E-5</v>
      </c>
      <c r="F192">
        <f>E192* VLOOKUP(A192,Check!A$2:F$11,4,FALSE)</f>
        <v>72348.69215827703</v>
      </c>
    </row>
    <row r="193" spans="1:6" x14ac:dyDescent="0.2">
      <c r="A193">
        <v>2015</v>
      </c>
      <c r="B193" s="1" t="s">
        <v>195</v>
      </c>
      <c r="C193" s="4">
        <v>703944</v>
      </c>
      <c r="D193" s="6">
        <v>3.3398199999999997E-4</v>
      </c>
      <c r="E193" s="17">
        <v>5.5731765425497785E-3</v>
      </c>
      <c r="F193">
        <f>E193* VLOOKUP(A193,Check!A$2:F$11,4,FALSE)</f>
        <v>11042807.405174797</v>
      </c>
    </row>
    <row r="194" spans="1:6" x14ac:dyDescent="0.2">
      <c r="A194">
        <v>2015</v>
      </c>
      <c r="B194" s="1" t="s">
        <v>196</v>
      </c>
      <c r="C194" s="4">
        <v>498769</v>
      </c>
      <c r="D194" s="6">
        <v>2.3663800000000001E-4</v>
      </c>
      <c r="E194" s="17">
        <v>3.9487909421076252E-3</v>
      </c>
      <c r="F194">
        <f>E194* VLOOKUP(A194,Check!A$2:F$11,4,FALSE)</f>
        <v>7824216.1403060872</v>
      </c>
    </row>
    <row r="195" spans="1:6" x14ac:dyDescent="0.2">
      <c r="A195">
        <v>2015</v>
      </c>
      <c r="B195" s="1" t="s">
        <v>197</v>
      </c>
      <c r="C195" s="4">
        <v>543160</v>
      </c>
      <c r="D195" s="6">
        <v>2.5769900000000001E-4</v>
      </c>
      <c r="E195" s="17">
        <v>4.3002377615994139E-3</v>
      </c>
      <c r="F195">
        <f>E195* VLOOKUP(A195,Check!A$2:F$11,4,FALSE)</f>
        <v>8520580.1458564084</v>
      </c>
    </row>
    <row r="196" spans="1:6" x14ac:dyDescent="0.2">
      <c r="A196">
        <v>2015</v>
      </c>
      <c r="B196" s="1" t="s">
        <v>198</v>
      </c>
      <c r="C196">
        <v>559</v>
      </c>
      <c r="D196" s="6">
        <v>2.65E-7</v>
      </c>
      <c r="E196" s="17">
        <v>4.4256442093196704E-6</v>
      </c>
      <c r="F196">
        <f>E196* VLOOKUP(A196,Check!A$2:F$11,4,FALSE)</f>
        <v>8769.0630781606378</v>
      </c>
    </row>
    <row r="197" spans="1:6" x14ac:dyDescent="0.2">
      <c r="A197">
        <v>2015</v>
      </c>
      <c r="B197" s="1" t="s">
        <v>199</v>
      </c>
      <c r="C197" s="4">
        <v>1408564</v>
      </c>
      <c r="D197" s="6">
        <v>6.6828500000000002E-4</v>
      </c>
      <c r="E197" s="17">
        <v>1.1151705026934083E-2</v>
      </c>
      <c r="F197">
        <f>E197* VLOOKUP(A197,Check!A$2:F$11,4,FALSE)</f>
        <v>22096219.258723184</v>
      </c>
    </row>
    <row r="198" spans="1:6" x14ac:dyDescent="0.2">
      <c r="A198">
        <v>2015</v>
      </c>
      <c r="B198" s="1" t="s">
        <v>200</v>
      </c>
      <c r="C198" s="4">
        <v>98619</v>
      </c>
      <c r="D198" s="6">
        <v>4.6789000000000002E-5</v>
      </c>
      <c r="E198" s="17">
        <v>7.8077389316439456E-4</v>
      </c>
      <c r="F198">
        <f>E198* VLOOKUP(A198,Check!A$2:F$11,4,FALSE)</f>
        <v>1547041.5594009371</v>
      </c>
    </row>
    <row r="199" spans="1:6" x14ac:dyDescent="0.2">
      <c r="A199">
        <v>2015</v>
      </c>
      <c r="B199" s="1" t="s">
        <v>201</v>
      </c>
      <c r="C199" s="4">
        <v>20613</v>
      </c>
      <c r="D199" s="6">
        <v>9.7790000000000007E-6</v>
      </c>
      <c r="E199" s="17">
        <v>1.631946405844479E-4</v>
      </c>
      <c r="F199">
        <f>E199* VLOOKUP(A199,Check!A$2:F$11,4,FALSE)</f>
        <v>323357.24012544763</v>
      </c>
    </row>
    <row r="200" spans="1:6" x14ac:dyDescent="0.2">
      <c r="A200">
        <v>2015</v>
      </c>
      <c r="B200" s="1" t="s">
        <v>202</v>
      </c>
      <c r="C200" s="4">
        <v>91647</v>
      </c>
      <c r="D200" s="6">
        <v>4.3480999999999999E-5</v>
      </c>
      <c r="E200" s="17">
        <v>7.255760551905543E-4</v>
      </c>
      <c r="F200">
        <f>E200* VLOOKUP(A200,Check!A$2:F$11,4,FALSE)</f>
        <v>1437671.420257939</v>
      </c>
    </row>
    <row r="201" spans="1:6" x14ac:dyDescent="0.2">
      <c r="A201">
        <v>2016</v>
      </c>
      <c r="B201" s="1" t="s">
        <v>5</v>
      </c>
      <c r="C201" s="7">
        <v>24601</v>
      </c>
      <c r="D201" s="6">
        <v>1.2628E-5</v>
      </c>
      <c r="E201" s="17">
        <v>2.0974158746835065E-4</v>
      </c>
      <c r="F201">
        <f>E201* VLOOKUP(A201,Check!A$2:F$11,4,FALSE)</f>
        <v>383993.02114984853</v>
      </c>
    </row>
    <row r="202" spans="1:6" x14ac:dyDescent="0.2">
      <c r="A202">
        <v>2016</v>
      </c>
      <c r="B202" s="1" t="s">
        <v>7</v>
      </c>
      <c r="C202" s="7">
        <v>75011</v>
      </c>
      <c r="D202" s="6">
        <v>3.8504999999999998E-5</v>
      </c>
      <c r="E202" s="17">
        <v>6.3952384933898827E-4</v>
      </c>
      <c r="F202">
        <f>E202* VLOOKUP(A202,Check!A$2:F$11,4,FALSE)</f>
        <v>1170834.5396313681</v>
      </c>
    </row>
    <row r="203" spans="1:6" x14ac:dyDescent="0.2">
      <c r="A203">
        <v>2016</v>
      </c>
      <c r="B203" s="1" t="s">
        <v>8</v>
      </c>
      <c r="C203" s="7">
        <v>1216982</v>
      </c>
      <c r="D203" s="6">
        <v>6.2470799999999997E-4</v>
      </c>
      <c r="E203" s="17">
        <v>1.0375665078671938E-2</v>
      </c>
      <c r="F203">
        <f>E203* VLOOKUP(A203,Check!A$2:F$11,4,FALSE)</f>
        <v>18995674.763830129</v>
      </c>
    </row>
    <row r="204" spans="1:6" x14ac:dyDescent="0.2">
      <c r="A204">
        <v>2016</v>
      </c>
      <c r="B204" s="1" t="s">
        <v>9</v>
      </c>
      <c r="C204" s="7">
        <v>7676</v>
      </c>
      <c r="D204" s="6">
        <v>3.9400000000000004E-6</v>
      </c>
      <c r="E204" s="17">
        <v>6.5443535848423227E-5</v>
      </c>
      <c r="F204">
        <f>E204* VLOOKUP(A204,Check!A$2:F$11,4,FALSE)</f>
        <v>119813.4397116474</v>
      </c>
    </row>
    <row r="205" spans="1:6" x14ac:dyDescent="0.2">
      <c r="A205">
        <v>2016</v>
      </c>
      <c r="B205" s="1" t="s">
        <v>10</v>
      </c>
      <c r="C205" s="7">
        <v>36935</v>
      </c>
      <c r="D205" s="6">
        <v>1.8960000000000001E-5</v>
      </c>
      <c r="E205" s="17">
        <v>3.1489799329878997E-4</v>
      </c>
      <c r="F205">
        <f>E205* VLOOKUP(A205,Check!A$2:F$11,4,FALSE)</f>
        <v>576512.42779438465</v>
      </c>
    </row>
    <row r="206" spans="1:6" x14ac:dyDescent="0.2">
      <c r="A206">
        <v>2016</v>
      </c>
      <c r="B206" s="1" t="s">
        <v>11</v>
      </c>
      <c r="C206" s="7">
        <v>572404</v>
      </c>
      <c r="D206" s="6">
        <v>2.9382900000000001E-4</v>
      </c>
      <c r="E206" s="17">
        <v>4.8801643686530545E-3</v>
      </c>
      <c r="F206">
        <f>E206* VLOOKUP(A206,Check!A$2:F$11,4,FALSE)</f>
        <v>8934561.2486589123</v>
      </c>
    </row>
    <row r="207" spans="1:6" x14ac:dyDescent="0.2">
      <c r="A207">
        <v>2016</v>
      </c>
      <c r="B207" s="1" t="s">
        <v>12</v>
      </c>
      <c r="C207" s="7">
        <v>45933</v>
      </c>
      <c r="D207" s="6">
        <v>2.3578999999999999E-5</v>
      </c>
      <c r="E207" s="17">
        <v>3.9161254978186869E-4</v>
      </c>
      <c r="F207">
        <f>E207* VLOOKUP(A207,Check!A$2:F$11,4,FALSE)</f>
        <v>716960.75120832468</v>
      </c>
    </row>
    <row r="208" spans="1:6" x14ac:dyDescent="0.2">
      <c r="A208">
        <v>2016</v>
      </c>
      <c r="B208" s="1" t="s">
        <v>13</v>
      </c>
      <c r="C208" s="7">
        <v>9847</v>
      </c>
      <c r="D208" s="6">
        <v>5.0549999999999999E-6</v>
      </c>
      <c r="E208" s="17">
        <v>8.3952904833171373E-5</v>
      </c>
      <c r="F208">
        <f>E208* VLOOKUP(A208,Check!A$2:F$11,4,FALSE)</f>
        <v>153700.2267900719</v>
      </c>
    </row>
    <row r="209" spans="1:6" x14ac:dyDescent="0.2">
      <c r="A209">
        <v>2016</v>
      </c>
      <c r="B209" s="1" t="s">
        <v>14</v>
      </c>
      <c r="C209" s="7">
        <v>30069</v>
      </c>
      <c r="D209" s="6">
        <v>1.5435E-5</v>
      </c>
      <c r="E209" s="17">
        <v>2.5636030216600285E-4</v>
      </c>
      <c r="F209">
        <f>E209* VLOOKUP(A209,Check!A$2:F$11,4,FALSE)</f>
        <v>469342.14678081364</v>
      </c>
    </row>
    <row r="210" spans="1:6" x14ac:dyDescent="0.2">
      <c r="A210">
        <v>2016</v>
      </c>
      <c r="B210" s="1" t="s">
        <v>15</v>
      </c>
      <c r="C210" s="7">
        <v>1462128</v>
      </c>
      <c r="D210" s="6">
        <v>7.5054699999999995E-4</v>
      </c>
      <c r="E210" s="17">
        <v>1.2465714718992098E-2</v>
      </c>
      <c r="F210">
        <f>E210* VLOOKUP(A210,Check!A$2:F$11,4,FALSE)</f>
        <v>22822118.939383999</v>
      </c>
    </row>
    <row r="211" spans="1:6" x14ac:dyDescent="0.2">
      <c r="A211">
        <v>2016</v>
      </c>
      <c r="B211" s="1" t="s">
        <v>16</v>
      </c>
      <c r="C211" s="7">
        <v>345140</v>
      </c>
      <c r="D211" s="6">
        <v>1.77169E-4</v>
      </c>
      <c r="E211" s="17">
        <v>2.9425719075983313E-3</v>
      </c>
      <c r="F211">
        <f>E211* VLOOKUP(A211,Check!A$2:F$11,4,FALSE)</f>
        <v>5387234.312412452</v>
      </c>
    </row>
    <row r="212" spans="1:6" x14ac:dyDescent="0.2">
      <c r="A212">
        <v>2016</v>
      </c>
      <c r="B212" s="1" t="s">
        <v>17</v>
      </c>
      <c r="C212" s="7">
        <v>89187</v>
      </c>
      <c r="D212" s="6">
        <v>4.5782000000000003E-5</v>
      </c>
      <c r="E212" s="17">
        <v>7.6038465759683713E-4</v>
      </c>
      <c r="F212">
        <f>E212* VLOOKUP(A212,Check!A$2:F$11,4,FALSE)</f>
        <v>1392105.4256856039</v>
      </c>
    </row>
    <row r="213" spans="1:6" x14ac:dyDescent="0.2">
      <c r="A213">
        <v>2016</v>
      </c>
      <c r="B213" s="1" t="s">
        <v>18</v>
      </c>
      <c r="C213" s="7">
        <v>1947108</v>
      </c>
      <c r="D213" s="6">
        <v>9.9949999999999995E-4</v>
      </c>
      <c r="E213" s="17">
        <v>1.6600525299472594E-2</v>
      </c>
      <c r="F213">
        <f>E213* VLOOKUP(A213,Check!A$2:F$11,4,FALSE)</f>
        <v>30392093.143572994</v>
      </c>
    </row>
    <row r="214" spans="1:6" x14ac:dyDescent="0.2">
      <c r="A214">
        <v>2016</v>
      </c>
      <c r="B214" s="1" t="s">
        <v>19</v>
      </c>
      <c r="C214" s="7">
        <v>57716</v>
      </c>
      <c r="D214" s="6">
        <v>2.9626999999999999E-5</v>
      </c>
      <c r="E214" s="17">
        <v>4.92071276058832E-4</v>
      </c>
      <c r="F214">
        <f>E214* VLOOKUP(A214,Check!A$2:F$11,4,FALSE)</f>
        <v>900879.68817058892</v>
      </c>
    </row>
    <row r="215" spans="1:6" x14ac:dyDescent="0.2">
      <c r="A215">
        <v>2016</v>
      </c>
      <c r="B215" s="1" t="s">
        <v>20</v>
      </c>
      <c r="C215" s="7">
        <v>21785</v>
      </c>
      <c r="D215" s="6">
        <v>1.1182999999999999E-5</v>
      </c>
      <c r="E215" s="17">
        <v>1.8573311991374413E-4</v>
      </c>
      <c r="F215">
        <f>E215* VLOOKUP(A215,Check!A$2:F$11,4,FALSE)</f>
        <v>340038.53362665954</v>
      </c>
    </row>
    <row r="216" spans="1:6" x14ac:dyDescent="0.2">
      <c r="A216">
        <v>2016</v>
      </c>
      <c r="B216" s="1" t="s">
        <v>21</v>
      </c>
      <c r="C216" s="7">
        <v>5577576</v>
      </c>
      <c r="D216" s="6">
        <v>2.8631099999999999E-3</v>
      </c>
      <c r="E216" s="17">
        <v>4.7552930550196063E-2</v>
      </c>
      <c r="F216">
        <f>E216* VLOOKUP(A216,Check!A$2:F$11,4,FALSE)</f>
        <v>87059479.652570531</v>
      </c>
    </row>
    <row r="217" spans="1:6" x14ac:dyDescent="0.2">
      <c r="A217">
        <v>2016</v>
      </c>
      <c r="B217" s="1" t="s">
        <v>22</v>
      </c>
      <c r="C217" s="7">
        <v>51917</v>
      </c>
      <c r="D217" s="6">
        <v>2.6650000000000001E-5</v>
      </c>
      <c r="E217" s="17">
        <v>4.4263054333540755E-4</v>
      </c>
      <c r="F217">
        <f>E217* VLOOKUP(A217,Check!A$2:F$11,4,FALSE)</f>
        <v>810364.03719510126</v>
      </c>
    </row>
    <row r="218" spans="1:6" x14ac:dyDescent="0.2">
      <c r="A218">
        <v>2016</v>
      </c>
      <c r="B218" s="1" t="s">
        <v>23</v>
      </c>
      <c r="C218" s="7">
        <v>486666</v>
      </c>
      <c r="D218" s="6">
        <v>2.4981800000000001E-4</v>
      </c>
      <c r="E218" s="17">
        <v>4.1491849683700805E-3</v>
      </c>
      <c r="F218">
        <f>E218* VLOOKUP(A218,Check!A$2:F$11,4,FALSE)</f>
        <v>7596290.7048864765</v>
      </c>
    </row>
    <row r="219" spans="1:6" x14ac:dyDescent="0.2">
      <c r="A219">
        <v>2016</v>
      </c>
      <c r="B219" s="1" t="s">
        <v>24</v>
      </c>
      <c r="C219" s="7">
        <v>2497181</v>
      </c>
      <c r="D219" s="6">
        <v>1.281866E-3</v>
      </c>
      <c r="E219" s="17">
        <v>2.1290301497329515E-2</v>
      </c>
      <c r="F219">
        <f>E219* VLOOKUP(A219,Check!A$2:F$11,4,FALSE)</f>
        <v>38978093.433112472</v>
      </c>
    </row>
    <row r="220" spans="1:6" x14ac:dyDescent="0.2">
      <c r="A220">
        <v>2016</v>
      </c>
      <c r="B220" s="1" t="s">
        <v>25</v>
      </c>
      <c r="C220" s="7">
        <v>50898</v>
      </c>
      <c r="D220" s="6">
        <v>2.6126999999999999E-5</v>
      </c>
      <c r="E220" s="17">
        <v>4.33942820168453E-4</v>
      </c>
      <c r="F220">
        <f>E220* VLOOKUP(A220,Check!A$2:F$11,4,FALSE)</f>
        <v>794458.63137616322</v>
      </c>
    </row>
    <row r="221" spans="1:6" x14ac:dyDescent="0.2">
      <c r="A221">
        <v>2016</v>
      </c>
      <c r="B221" s="1" t="s">
        <v>26</v>
      </c>
      <c r="C221" s="7">
        <v>47857</v>
      </c>
      <c r="D221" s="6">
        <v>2.4566000000000002E-5</v>
      </c>
      <c r="E221" s="17">
        <v>4.0801606241505867E-4</v>
      </c>
      <c r="F221">
        <f>E221* VLOOKUP(A221,Check!A$2:F$11,4,FALSE)</f>
        <v>746992.1553257308</v>
      </c>
    </row>
    <row r="222" spans="1:6" x14ac:dyDescent="0.2">
      <c r="A222">
        <v>2016</v>
      </c>
      <c r="B222" s="1" t="s">
        <v>27</v>
      </c>
      <c r="C222" s="7">
        <v>24425</v>
      </c>
      <c r="D222" s="6">
        <v>1.2537999999999999E-5</v>
      </c>
      <c r="E222" s="17">
        <v>2.0824105824618775E-4</v>
      </c>
      <c r="F222">
        <f>E222* VLOOKUP(A222,Check!A$2:F$11,4,FALSE)</f>
        <v>381245.86567964923</v>
      </c>
    </row>
    <row r="223" spans="1:6" x14ac:dyDescent="0.2">
      <c r="A223">
        <v>2016</v>
      </c>
      <c r="B223" s="1" t="s">
        <v>28</v>
      </c>
      <c r="C223" s="7">
        <v>301310</v>
      </c>
      <c r="D223" s="6">
        <v>1.5467000000000001E-4</v>
      </c>
      <c r="E223" s="17">
        <v>2.5688889768744659E-3</v>
      </c>
      <c r="F223">
        <f>E223* VLOOKUP(A223,Check!A$2:F$11,4,FALSE)</f>
        <v>4703098.9473054288</v>
      </c>
    </row>
    <row r="224" spans="1:6" x14ac:dyDescent="0.2">
      <c r="A224">
        <v>2016</v>
      </c>
      <c r="B224" s="1" t="s">
        <v>29</v>
      </c>
      <c r="C224" s="7">
        <v>87696</v>
      </c>
      <c r="D224" s="6">
        <v>4.5016999999999999E-5</v>
      </c>
      <c r="E224" s="17">
        <v>7.4767278787953658E-4</v>
      </c>
      <c r="F224">
        <f>E224* VLOOKUP(A224,Check!A$2:F$11,4,FALSE)</f>
        <v>1368832.6483784041</v>
      </c>
    </row>
    <row r="225" spans="1:6" x14ac:dyDescent="0.2">
      <c r="A225">
        <v>2016</v>
      </c>
      <c r="B225" s="1" t="s">
        <v>30</v>
      </c>
      <c r="C225" s="7">
        <v>2183</v>
      </c>
      <c r="D225" s="6">
        <v>1.1209999999999999E-6</v>
      </c>
      <c r="E225" s="17">
        <v>1.8611677795350169E-5</v>
      </c>
      <c r="F225">
        <f>E225* VLOOKUP(A225,Check!A$2:F$11,4,FALSE)</f>
        <v>34074.093133210823</v>
      </c>
    </row>
    <row r="226" spans="1:6" x14ac:dyDescent="0.2">
      <c r="A226">
        <v>2016</v>
      </c>
      <c r="B226" s="1" t="s">
        <v>31</v>
      </c>
      <c r="C226" s="7">
        <v>175319</v>
      </c>
      <c r="D226" s="6">
        <v>8.9995999999999997E-5</v>
      </c>
      <c r="E226" s="17">
        <v>1.4947231971612442E-3</v>
      </c>
      <c r="F226">
        <f>E226* VLOOKUP(A226,Check!A$2:F$11,4,FALSE)</f>
        <v>2736525.8515901915</v>
      </c>
    </row>
    <row r="227" spans="1:6" x14ac:dyDescent="0.2">
      <c r="A227">
        <v>2016</v>
      </c>
      <c r="B227" s="1" t="s">
        <v>32</v>
      </c>
      <c r="C227" s="7">
        <v>1202283</v>
      </c>
      <c r="D227" s="6">
        <v>6.1716199999999998E-4</v>
      </c>
      <c r="E227" s="17">
        <v>1.0250345311418683E-2</v>
      </c>
      <c r="F227">
        <f>E227* VLOOKUP(A227,Check!A$2:F$11,4,FALSE)</f>
        <v>18766240.455554787</v>
      </c>
    </row>
    <row r="228" spans="1:6" x14ac:dyDescent="0.2">
      <c r="A228">
        <v>2016</v>
      </c>
      <c r="B228" s="1" t="s">
        <v>33</v>
      </c>
      <c r="C228" s="7">
        <v>115190</v>
      </c>
      <c r="D228" s="6">
        <v>5.9129999999999998E-5</v>
      </c>
      <c r="E228" s="17">
        <v>9.8207932443719007E-4</v>
      </c>
      <c r="F228">
        <f>E228* VLOOKUP(A228,Check!A$2:F$11,4,FALSE)</f>
        <v>1797982.0375696539</v>
      </c>
    </row>
    <row r="229" spans="1:6" x14ac:dyDescent="0.2">
      <c r="A229">
        <v>2016</v>
      </c>
      <c r="B229" s="1" t="s">
        <v>34</v>
      </c>
      <c r="C229" s="7">
        <v>1303584</v>
      </c>
      <c r="D229" s="6">
        <v>6.6916299999999996E-4</v>
      </c>
      <c r="E229" s="17">
        <v>1.1114010713318257E-2</v>
      </c>
      <c r="F229">
        <f>E229* VLOOKUP(A229,Check!A$2:F$11,4,FALSE)</f>
        <v>20347431.34354718</v>
      </c>
    </row>
    <row r="230" spans="1:6" x14ac:dyDescent="0.2">
      <c r="A230">
        <v>2016</v>
      </c>
      <c r="B230" s="1" t="s">
        <v>35</v>
      </c>
      <c r="C230" s="7">
        <v>311347</v>
      </c>
      <c r="D230" s="6">
        <v>1.59822E-4</v>
      </c>
      <c r="E230" s="17">
        <v>2.6544617712088358E-3</v>
      </c>
      <c r="F230">
        <f>E230* VLOOKUP(A230,Check!A$2:F$11,4,FALSE)</f>
        <v>4859764.8532962846</v>
      </c>
    </row>
    <row r="231" spans="1:6" x14ac:dyDescent="0.2">
      <c r="A231">
        <v>2016</v>
      </c>
      <c r="B231" s="1" t="s">
        <v>36</v>
      </c>
      <c r="C231" s="7">
        <v>517293</v>
      </c>
      <c r="D231" s="6">
        <v>2.6553999999999998E-4</v>
      </c>
      <c r="E231" s="17">
        <v>4.4103026302290769E-3</v>
      </c>
      <c r="F231">
        <f>E231* VLOOKUP(A231,Check!A$2:F$11,4,FALSE)</f>
        <v>8074342.583214853</v>
      </c>
    </row>
    <row r="232" spans="1:6" x14ac:dyDescent="0.2">
      <c r="A232">
        <v>2016</v>
      </c>
      <c r="B232" s="1" t="s">
        <v>37</v>
      </c>
      <c r="C232" s="7">
        <v>27466</v>
      </c>
      <c r="D232" s="6">
        <v>1.4099E-5</v>
      </c>
      <c r="E232" s="17">
        <v>2.3416781599958211E-4</v>
      </c>
      <c r="F232">
        <f>E232* VLOOKUP(A232,Check!A$2:F$11,4,FALSE)</f>
        <v>428712.34173008171</v>
      </c>
    </row>
    <row r="233" spans="1:6" x14ac:dyDescent="0.2">
      <c r="A233">
        <v>2016</v>
      </c>
      <c r="B233" s="1" t="s">
        <v>38</v>
      </c>
      <c r="C233" s="7">
        <v>17887</v>
      </c>
      <c r="D233" s="6">
        <v>9.1819999999999995E-6</v>
      </c>
      <c r="E233" s="17">
        <v>1.5249980793652243E-4</v>
      </c>
      <c r="F233">
        <f>E233* VLOOKUP(A233,Check!A$2:F$11,4,FALSE)</f>
        <v>279195.28349690425</v>
      </c>
    </row>
    <row r="234" spans="1:6" x14ac:dyDescent="0.2">
      <c r="A234">
        <v>2016</v>
      </c>
      <c r="B234" s="1" t="s">
        <v>39</v>
      </c>
      <c r="C234" s="7">
        <v>387508</v>
      </c>
      <c r="D234" s="6">
        <v>1.98918E-4</v>
      </c>
      <c r="E234" s="17">
        <v>3.3037902148971843E-3</v>
      </c>
      <c r="F234">
        <f>E234* VLOOKUP(A234,Check!A$2:F$11,4,FALSE)</f>
        <v>6048549.5565113416</v>
      </c>
    </row>
    <row r="235" spans="1:6" x14ac:dyDescent="0.2">
      <c r="A235">
        <v>2016</v>
      </c>
      <c r="B235" s="1" t="s">
        <v>40</v>
      </c>
      <c r="C235" s="7">
        <v>26620</v>
      </c>
      <c r="D235" s="6">
        <v>1.3665E-5</v>
      </c>
      <c r="E235" s="17">
        <v>2.2695504485213994E-4</v>
      </c>
      <c r="F235">
        <f>E235* VLOOKUP(A235,Check!A$2:F$11,4,FALSE)</f>
        <v>415507.26486764639</v>
      </c>
    </row>
    <row r="236" spans="1:6" x14ac:dyDescent="0.2">
      <c r="A236">
        <v>2016</v>
      </c>
      <c r="B236" s="1" t="s">
        <v>41</v>
      </c>
      <c r="C236" s="7">
        <v>427497</v>
      </c>
      <c r="D236" s="6">
        <v>2.19445E-4</v>
      </c>
      <c r="E236" s="17">
        <v>3.6447258004941876E-3</v>
      </c>
      <c r="F236">
        <f>E236* VLOOKUP(A236,Check!A$2:F$11,4,FALSE)</f>
        <v>6672731.3752488438</v>
      </c>
    </row>
    <row r="237" spans="1:6" x14ac:dyDescent="0.2">
      <c r="A237">
        <v>2016</v>
      </c>
      <c r="B237" s="1" t="s">
        <v>42</v>
      </c>
      <c r="C237" s="7">
        <v>23047</v>
      </c>
      <c r="D237" s="6">
        <v>1.1831000000000001E-5</v>
      </c>
      <c r="E237" s="17">
        <v>1.9649259649538953E-4</v>
      </c>
      <c r="F237">
        <f>E237* VLOOKUP(A237,Check!A$2:F$11,4,FALSE)</f>
        <v>359736.88705502049</v>
      </c>
    </row>
    <row r="238" spans="1:6" x14ac:dyDescent="0.2">
      <c r="A238">
        <v>2016</v>
      </c>
      <c r="B238" s="1" t="s">
        <v>43</v>
      </c>
      <c r="C238" s="7">
        <v>56065</v>
      </c>
      <c r="D238" s="6">
        <v>2.8779999999999999E-5</v>
      </c>
      <c r="E238" s="17">
        <v>4.7799528886683794E-4</v>
      </c>
      <c r="F238">
        <f>E238* VLOOKUP(A238,Check!A$2:F$11,4,FALSE)</f>
        <v>875109.49679957156</v>
      </c>
    </row>
    <row r="239" spans="1:6" x14ac:dyDescent="0.2">
      <c r="A239">
        <v>2016</v>
      </c>
      <c r="B239" s="1" t="s">
        <v>44</v>
      </c>
      <c r="C239" s="7">
        <v>1578985</v>
      </c>
      <c r="D239" s="6">
        <v>8.10533E-4</v>
      </c>
      <c r="E239" s="17">
        <v>1.3462006442368751E-2</v>
      </c>
      <c r="F239">
        <f>E239* VLOOKUP(A239,Check!A$2:F$11,4,FALSE)</f>
        <v>24646120.909731049</v>
      </c>
    </row>
    <row r="240" spans="1:6" x14ac:dyDescent="0.2">
      <c r="A240">
        <v>2016</v>
      </c>
      <c r="B240" s="1" t="s">
        <v>45</v>
      </c>
      <c r="C240" s="7">
        <v>19607</v>
      </c>
      <c r="D240" s="6">
        <v>1.0064999999999999E-5</v>
      </c>
      <c r="E240" s="17">
        <v>1.6716407078947812E-4</v>
      </c>
      <c r="F240">
        <f>E240* VLOOKUP(A240,Check!A$2:F$11,4,FALSE)</f>
        <v>306042.48468294297</v>
      </c>
    </row>
    <row r="241" spans="1:6" x14ac:dyDescent="0.2">
      <c r="A241">
        <v>2016</v>
      </c>
      <c r="B241" s="1" t="s">
        <v>46</v>
      </c>
      <c r="C241" s="7">
        <v>33942</v>
      </c>
      <c r="D241" s="6">
        <v>1.7422999999999999E-5</v>
      </c>
      <c r="E241" s="17">
        <v>2.8938047078780365E-4</v>
      </c>
      <c r="F241">
        <f>E241* VLOOKUP(A241,Check!A$2:F$11,4,FALSE)</f>
        <v>529795.17596309737</v>
      </c>
    </row>
    <row r="242" spans="1:6" x14ac:dyDescent="0.2">
      <c r="A242">
        <v>2016</v>
      </c>
      <c r="B242" s="1" t="s">
        <v>47</v>
      </c>
      <c r="C242" s="7">
        <v>1398061</v>
      </c>
      <c r="D242" s="6">
        <v>7.1765999999999996E-4</v>
      </c>
      <c r="E242" s="17">
        <v>1.1919496504922149E-2</v>
      </c>
      <c r="F242">
        <f>E242* VLOOKUP(A242,Check!A$2:F$11,4,FALSE)</f>
        <v>21822107.521717753</v>
      </c>
    </row>
    <row r="243" spans="1:6" x14ac:dyDescent="0.2">
      <c r="A243">
        <v>2016</v>
      </c>
      <c r="B243" s="1" t="s">
        <v>48</v>
      </c>
      <c r="C243" s="7">
        <v>36121</v>
      </c>
      <c r="D243" s="6">
        <v>1.8542E-5</v>
      </c>
      <c r="E243" s="17">
        <v>3.079580456462865E-4</v>
      </c>
      <c r="F243">
        <f>E243* VLOOKUP(A243,Check!A$2:F$11,4,FALSE)</f>
        <v>563806.83374471276</v>
      </c>
    </row>
    <row r="244" spans="1:6" x14ac:dyDescent="0.2">
      <c r="A244">
        <v>2016</v>
      </c>
      <c r="B244" s="1" t="s">
        <v>49</v>
      </c>
      <c r="C244" s="7">
        <v>21241</v>
      </c>
      <c r="D244" s="6">
        <v>1.0903E-5</v>
      </c>
      <c r="E244" s="17">
        <v>1.8109512049978605E-4</v>
      </c>
      <c r="F244">
        <f>E244* VLOOKUP(A244,Check!A$2:F$11,4,FALSE)</f>
        <v>331547.32580967981</v>
      </c>
    </row>
    <row r="245" spans="1:6" x14ac:dyDescent="0.2">
      <c r="A245">
        <v>2016</v>
      </c>
      <c r="B245" s="1" t="s">
        <v>50</v>
      </c>
      <c r="C245" s="7">
        <v>953101</v>
      </c>
      <c r="D245" s="6">
        <v>4.8925100000000001E-4</v>
      </c>
      <c r="E245" s="17">
        <v>8.1258858077993771E-3</v>
      </c>
      <c r="F245">
        <f>E245* VLOOKUP(A245,Check!A$2:F$11,4,FALSE)</f>
        <v>14876799.010241119</v>
      </c>
    </row>
    <row r="246" spans="1:6" x14ac:dyDescent="0.2">
      <c r="A246">
        <v>2016</v>
      </c>
      <c r="B246" s="1" t="s">
        <v>51</v>
      </c>
      <c r="C246" s="7">
        <v>70145</v>
      </c>
      <c r="D246" s="6">
        <v>3.6007000000000003E-5</v>
      </c>
      <c r="E246" s="17">
        <v>5.9803762663987058E-4</v>
      </c>
      <c r="F246">
        <f>E246* VLOOKUP(A246,Check!A$2:F$11,4,FALSE)</f>
        <v>1094881.9344155167</v>
      </c>
    </row>
    <row r="247" spans="1:6" x14ac:dyDescent="0.2">
      <c r="A247">
        <v>2016</v>
      </c>
      <c r="B247" s="1" t="s">
        <v>52</v>
      </c>
      <c r="C247" s="7">
        <v>25315</v>
      </c>
      <c r="D247" s="6">
        <v>1.2995E-5</v>
      </c>
      <c r="E247" s="17">
        <v>2.1582896169917065E-4</v>
      </c>
      <c r="F247">
        <f>E247* VLOOKUP(A247,Check!A$2:F$11,4,FALSE)</f>
        <v>395137.73140963441</v>
      </c>
    </row>
    <row r="248" spans="1:6" x14ac:dyDescent="0.2">
      <c r="A248">
        <v>2016</v>
      </c>
      <c r="B248" s="1" t="s">
        <v>53</v>
      </c>
      <c r="C248" s="7">
        <v>881013</v>
      </c>
      <c r="D248" s="6">
        <v>4.5224600000000001E-4</v>
      </c>
      <c r="E248" s="17">
        <v>7.5112826795761967E-3</v>
      </c>
      <c r="F248">
        <f>E248* VLOOKUP(A248,Check!A$2:F$11,4,FALSE)</f>
        <v>13751589.103788119</v>
      </c>
    </row>
    <row r="249" spans="1:6" x14ac:dyDescent="0.2">
      <c r="A249">
        <v>2016</v>
      </c>
      <c r="B249" s="1" t="s">
        <v>54</v>
      </c>
      <c r="C249" s="7">
        <v>110206</v>
      </c>
      <c r="D249" s="6">
        <v>5.6570999999999998E-5</v>
      </c>
      <c r="E249" s="17">
        <v>9.3958706510048585E-4</v>
      </c>
      <c r="F249">
        <f>E249* VLOOKUP(A249,Check!A$2:F$11,4,FALSE)</f>
        <v>1720187.5894817368</v>
      </c>
    </row>
    <row r="250" spans="1:6" x14ac:dyDescent="0.2">
      <c r="A250">
        <v>2016</v>
      </c>
      <c r="B250" s="1" t="s">
        <v>55</v>
      </c>
      <c r="C250" s="7">
        <v>124001</v>
      </c>
      <c r="D250" s="6">
        <v>6.3652999999999995E-5</v>
      </c>
      <c r="E250" s="17">
        <v>1.0571995686217207E-3</v>
      </c>
      <c r="F250">
        <f>E250* VLOOKUP(A250,Check!A$2:F$11,4,FALSE)</f>
        <v>1935511.5082965069</v>
      </c>
    </row>
    <row r="251" spans="1:6" x14ac:dyDescent="0.2">
      <c r="A251">
        <v>2016</v>
      </c>
      <c r="B251" s="1" t="s">
        <v>56</v>
      </c>
      <c r="C251" s="7">
        <v>199688</v>
      </c>
      <c r="D251" s="6">
        <v>1.02505E-4</v>
      </c>
      <c r="E251" s="17">
        <v>1.7024868142912894E-3</v>
      </c>
      <c r="F251">
        <f>E251* VLOOKUP(A251,Check!A$2:F$11,4,FALSE)</f>
        <v>3116897.6223475048</v>
      </c>
    </row>
    <row r="252" spans="1:6" x14ac:dyDescent="0.2">
      <c r="A252">
        <v>2016</v>
      </c>
      <c r="B252" s="1" t="s">
        <v>57</v>
      </c>
      <c r="C252" s="7">
        <v>4470</v>
      </c>
      <c r="D252" s="6">
        <v>2.295E-6</v>
      </c>
      <c r="E252" s="17">
        <v>3.8110031949251146E-5</v>
      </c>
      <c r="F252">
        <f>E252* VLOOKUP(A252,Check!A$2:F$11,4,FALSE)</f>
        <v>69771.505407903052</v>
      </c>
    </row>
    <row r="253" spans="1:6" x14ac:dyDescent="0.2">
      <c r="A253">
        <v>2016</v>
      </c>
      <c r="B253" s="1" t="s">
        <v>58</v>
      </c>
      <c r="C253" s="7">
        <v>195250</v>
      </c>
      <c r="D253" s="6">
        <v>1.00227E-4</v>
      </c>
      <c r="E253" s="17">
        <v>1.6646496058369768E-3</v>
      </c>
      <c r="F253">
        <f>E253* VLOOKUP(A253,Check!A$2:F$11,4,FALSE)</f>
        <v>3047625.5997523647</v>
      </c>
    </row>
    <row r="254" spans="1:6" x14ac:dyDescent="0.2">
      <c r="A254">
        <v>2016</v>
      </c>
      <c r="B254" s="1" t="s">
        <v>59</v>
      </c>
      <c r="C254" s="7">
        <v>251775</v>
      </c>
      <c r="D254" s="6">
        <v>1.29243E-4</v>
      </c>
      <c r="E254" s="17">
        <v>2.1465667324435589E-3</v>
      </c>
      <c r="F254">
        <f>E254* VLOOKUP(A254,Check!A$2:F$11,4,FALSE)</f>
        <v>3929915.1619854122</v>
      </c>
    </row>
    <row r="255" spans="1:6" x14ac:dyDescent="0.2">
      <c r="A255">
        <v>2016</v>
      </c>
      <c r="B255" s="1" t="s">
        <v>60</v>
      </c>
      <c r="C255" s="7">
        <v>77155</v>
      </c>
      <c r="D255" s="6">
        <v>3.9604999999999998E-5</v>
      </c>
      <c r="E255" s="17">
        <v>6.5780302349988194E-4</v>
      </c>
      <c r="F255">
        <f>E255* VLOOKUP(A255,Check!A$2:F$11,4,FALSE)</f>
        <v>1204299.8880865236</v>
      </c>
    </row>
    <row r="256" spans="1:6" x14ac:dyDescent="0.2">
      <c r="A256">
        <v>2016</v>
      </c>
      <c r="B256" s="1" t="s">
        <v>61</v>
      </c>
      <c r="C256" s="7">
        <v>34110</v>
      </c>
      <c r="D256" s="6">
        <v>1.751E-5</v>
      </c>
      <c r="E256" s="17">
        <v>2.9081279413623192E-4</v>
      </c>
      <c r="F256">
        <f>E256* VLOOKUP(A256,Check!A$2:F$11,4,FALSE)</f>
        <v>532417.46073010587</v>
      </c>
    </row>
    <row r="257" spans="1:6" x14ac:dyDescent="0.2">
      <c r="A257">
        <v>2016</v>
      </c>
      <c r="B257" s="1" t="s">
        <v>62</v>
      </c>
      <c r="C257" s="7">
        <v>741405</v>
      </c>
      <c r="D257" s="6">
        <v>3.8058200000000002E-4</v>
      </c>
      <c r="E257" s="17">
        <v>6.3210219770323374E-3</v>
      </c>
      <c r="F257">
        <f>E257* VLOOKUP(A257,Check!A$2:F$11,4,FALSE)</f>
        <v>11572470.46240411</v>
      </c>
    </row>
    <row r="258" spans="1:6" x14ac:dyDescent="0.2">
      <c r="A258">
        <v>2016</v>
      </c>
      <c r="B258" s="1" t="s">
        <v>63</v>
      </c>
      <c r="C258" s="7">
        <v>1075328</v>
      </c>
      <c r="D258" s="6">
        <v>5.5199299999999997E-4</v>
      </c>
      <c r="E258" s="17">
        <v>9.1679607239204333E-3</v>
      </c>
      <c r="F258">
        <f>E258* VLOOKUP(A258,Check!A$2:F$11,4,FALSE)</f>
        <v>16784620.440105051</v>
      </c>
    </row>
    <row r="259" spans="1:6" x14ac:dyDescent="0.2">
      <c r="A259">
        <v>2016</v>
      </c>
      <c r="B259" s="1" t="s">
        <v>64</v>
      </c>
      <c r="C259" s="7">
        <v>221337</v>
      </c>
      <c r="D259" s="6">
        <v>1.13618E-4</v>
      </c>
      <c r="E259" s="17">
        <v>1.887060434351544E-3</v>
      </c>
      <c r="F259">
        <f>E259* VLOOKUP(A259,Check!A$2:F$11,4,FALSE)</f>
        <v>3454813.3540199194</v>
      </c>
    </row>
    <row r="260" spans="1:6" x14ac:dyDescent="0.2">
      <c r="A260">
        <v>2016</v>
      </c>
      <c r="B260" s="1" t="s">
        <v>65</v>
      </c>
      <c r="C260" s="7">
        <v>162944</v>
      </c>
      <c r="D260" s="6">
        <v>8.3642999999999999E-5</v>
      </c>
      <c r="E260" s="17">
        <v>1.3892172362279147E-3</v>
      </c>
      <c r="F260">
        <f>E260* VLOOKUP(A260,Check!A$2:F$11,4,FALSE)</f>
        <v>2543366.4825918023</v>
      </c>
    </row>
    <row r="261" spans="1:6" x14ac:dyDescent="0.2">
      <c r="A261">
        <v>2016</v>
      </c>
      <c r="B261" s="1" t="s">
        <v>66</v>
      </c>
      <c r="C261" s="7">
        <v>644215</v>
      </c>
      <c r="D261" s="6">
        <v>3.30692E-4</v>
      </c>
      <c r="E261" s="17">
        <v>5.4924058684981715E-3</v>
      </c>
      <c r="F261">
        <f>E261* VLOOKUP(A261,Check!A$2:F$11,4,FALSE)</f>
        <v>10055447.50701393</v>
      </c>
    </row>
    <row r="262" spans="1:6" x14ac:dyDescent="0.2">
      <c r="A262">
        <v>2016</v>
      </c>
      <c r="B262" s="1" t="s">
        <v>67</v>
      </c>
      <c r="C262" s="7">
        <v>398428</v>
      </c>
      <c r="D262" s="6">
        <v>2.0452299999999999E-4</v>
      </c>
      <c r="E262" s="17">
        <v>3.3968912325450192E-3</v>
      </c>
      <c r="F262">
        <f>E262* VLOOKUP(A262,Check!A$2:F$11,4,FALSE)</f>
        <v>6218998.0663668895</v>
      </c>
    </row>
    <row r="263" spans="1:6" x14ac:dyDescent="0.2">
      <c r="A263">
        <v>2016</v>
      </c>
      <c r="B263" s="1" t="s">
        <v>68</v>
      </c>
      <c r="C263" s="7">
        <v>17887</v>
      </c>
      <c r="D263" s="6">
        <v>9.1819999999999995E-6</v>
      </c>
      <c r="E263" s="17">
        <v>1.5249980793652243E-4</v>
      </c>
      <c r="F263">
        <f>E263* VLOOKUP(A263,Check!A$2:F$11,4,FALSE)</f>
        <v>279195.28349690425</v>
      </c>
    </row>
    <row r="264" spans="1:6" x14ac:dyDescent="0.2">
      <c r="A264">
        <v>2016</v>
      </c>
      <c r="B264" s="1" t="s">
        <v>69</v>
      </c>
      <c r="C264" s="7">
        <v>326656</v>
      </c>
      <c r="D264" s="6">
        <v>1.6768100000000001E-4</v>
      </c>
      <c r="E264" s="17">
        <v>2.7849822363343584E-3</v>
      </c>
      <c r="F264">
        <f>E264* VLOOKUP(A264,Check!A$2:F$11,4,FALSE)</f>
        <v>5098720.5526899286</v>
      </c>
    </row>
    <row r="265" spans="1:6" x14ac:dyDescent="0.2">
      <c r="A265">
        <v>2016</v>
      </c>
      <c r="B265" s="1" t="s">
        <v>70</v>
      </c>
      <c r="C265" s="7">
        <v>134336</v>
      </c>
      <c r="D265" s="6">
        <v>6.8957999999999999E-5</v>
      </c>
      <c r="E265" s="17">
        <v>1.1453130317527075E-3</v>
      </c>
      <c r="F265">
        <f>E265* VLOOKUP(A265,Check!A$2:F$11,4,FALSE)</f>
        <v>2096828.8479812227</v>
      </c>
    </row>
    <row r="266" spans="1:6" x14ac:dyDescent="0.2">
      <c r="A266">
        <v>2016</v>
      </c>
      <c r="B266" s="1" t="s">
        <v>71</v>
      </c>
      <c r="C266" s="7">
        <v>3080</v>
      </c>
      <c r="D266" s="6">
        <v>1.581E-6</v>
      </c>
      <c r="E266" s="17">
        <v>2.6259261387850902E-5</v>
      </c>
      <c r="F266">
        <f>E266* VLOOKUP(A266,Check!A$2:F$11,4,FALSE)</f>
        <v>48075.220728488013</v>
      </c>
    </row>
    <row r="267" spans="1:6" x14ac:dyDescent="0.2">
      <c r="A267">
        <v>2016</v>
      </c>
      <c r="B267" s="1" t="s">
        <v>72</v>
      </c>
      <c r="C267" s="7">
        <v>31851</v>
      </c>
      <c r="D267" s="6">
        <v>1.6350000000000001E-5</v>
      </c>
      <c r="E267" s="17">
        <v>2.7155316054040232E-4</v>
      </c>
      <c r="F267">
        <f>E267* VLOOKUP(A267,Check!A$2:F$11,4,FALSE)</f>
        <v>497157.09591658175</v>
      </c>
    </row>
    <row r="268" spans="1:6" x14ac:dyDescent="0.2">
      <c r="A268">
        <v>2016</v>
      </c>
      <c r="B268" s="1" t="s">
        <v>73</v>
      </c>
      <c r="C268" s="7">
        <v>12927</v>
      </c>
      <c r="D268" s="6">
        <v>6.6359999999999997E-6</v>
      </c>
      <c r="E268" s="17">
        <v>1.1021216622102228E-4</v>
      </c>
      <c r="F268">
        <f>E268* VLOOKUP(A268,Check!A$2:F$11,4,FALSE)</f>
        <v>201775.4475185599</v>
      </c>
    </row>
    <row r="269" spans="1:6" x14ac:dyDescent="0.2">
      <c r="A269">
        <v>2016</v>
      </c>
      <c r="B269" s="1" t="s">
        <v>74</v>
      </c>
      <c r="C269" s="7">
        <v>5291</v>
      </c>
      <c r="D269" s="6">
        <v>2.7159999999999999E-6</v>
      </c>
      <c r="E269" s="17">
        <v>4.5109659741272441E-5</v>
      </c>
      <c r="F269">
        <f>E269* VLOOKUP(A269,Check!A$2:F$11,4,FALSE)</f>
        <v>82586.361322866898</v>
      </c>
    </row>
    <row r="270" spans="1:6" x14ac:dyDescent="0.2">
      <c r="A270">
        <v>2016</v>
      </c>
      <c r="B270" s="1" t="s">
        <v>75</v>
      </c>
      <c r="C270" s="7">
        <v>54470</v>
      </c>
      <c r="D270" s="6">
        <v>2.7960999999999999E-5</v>
      </c>
      <c r="E270" s="17">
        <v>4.6439674279098655E-4</v>
      </c>
      <c r="F270">
        <f>E270* VLOOKUP(A270,Check!A$2:F$11,4,FALSE)</f>
        <v>850213.40035089024</v>
      </c>
    </row>
    <row r="271" spans="1:6" x14ac:dyDescent="0.2">
      <c r="A271">
        <v>2016</v>
      </c>
      <c r="B271" s="1" t="s">
        <v>76</v>
      </c>
      <c r="C271" s="7">
        <v>105928</v>
      </c>
      <c r="D271" s="6">
        <v>5.4376000000000003E-5</v>
      </c>
      <c r="E271" s="17">
        <v>9.0311397412086696E-4</v>
      </c>
      <c r="F271">
        <f>E271* VLOOKUP(A271,Check!A$2:F$11,4,FALSE)</f>
        <v>1653412.9809504149</v>
      </c>
    </row>
    <row r="272" spans="1:6" x14ac:dyDescent="0.2">
      <c r="A272">
        <v>2016</v>
      </c>
      <c r="B272" s="1" t="s">
        <v>77</v>
      </c>
      <c r="C272" s="7">
        <v>9848</v>
      </c>
      <c r="D272" s="6">
        <v>5.0549999999999999E-6</v>
      </c>
      <c r="E272" s="17">
        <v>8.3961430567388212E-5</v>
      </c>
      <c r="F272">
        <f>E272* VLOOKUP(A272,Check!A$2:F$11,4,FALSE)</f>
        <v>153715.83562797075</v>
      </c>
    </row>
    <row r="273" spans="1:6" x14ac:dyDescent="0.2">
      <c r="A273">
        <v>2016</v>
      </c>
      <c r="B273" s="1" t="s">
        <v>78</v>
      </c>
      <c r="C273" s="7">
        <v>3495459</v>
      </c>
      <c r="D273" s="6">
        <v>1.794307E-3</v>
      </c>
      <c r="E273" s="17">
        <v>2.9801354399842835E-2</v>
      </c>
      <c r="F273">
        <f>E273* VLOOKUP(A273,Check!A$2:F$11,4,FALSE)</f>
        <v>54560052.913110383</v>
      </c>
    </row>
    <row r="274" spans="1:6" x14ac:dyDescent="0.2">
      <c r="A274">
        <v>2016</v>
      </c>
      <c r="B274" s="1" t="s">
        <v>79</v>
      </c>
      <c r="C274" s="7">
        <v>135991</v>
      </c>
      <c r="D274" s="6">
        <v>6.9808000000000007E-5</v>
      </c>
      <c r="E274" s="17">
        <v>1.1594231218815688E-3</v>
      </c>
      <c r="F274">
        <f>E274* VLOOKUP(A274,Check!A$2:F$11,4,FALSE)</f>
        <v>2122661.4747038353</v>
      </c>
    </row>
    <row r="275" spans="1:6" x14ac:dyDescent="0.2">
      <c r="A275">
        <v>2016</v>
      </c>
      <c r="B275" s="1" t="s">
        <v>80</v>
      </c>
      <c r="C275" s="7">
        <v>62069</v>
      </c>
      <c r="D275" s="6">
        <v>3.1860999999999999E-5</v>
      </c>
      <c r="E275" s="17">
        <v>5.2918379710471353E-4</v>
      </c>
      <c r="F275">
        <f>E275* VLOOKUP(A275,Check!A$2:F$11,4,FALSE)</f>
        <v>968824.95954432548</v>
      </c>
    </row>
    <row r="276" spans="1:6" x14ac:dyDescent="0.2">
      <c r="A276">
        <v>2016</v>
      </c>
      <c r="B276" s="1" t="s">
        <v>81</v>
      </c>
      <c r="C276" s="7">
        <v>129152</v>
      </c>
      <c r="D276" s="6">
        <v>6.6297000000000006E-5</v>
      </c>
      <c r="E276" s="17">
        <v>1.1011156255726362E-3</v>
      </c>
      <c r="F276">
        <f>E276* VLOOKUP(A276,Check!A$2:F$11,4,FALSE)</f>
        <v>2015912.6323135335</v>
      </c>
    </row>
    <row r="277" spans="1:6" x14ac:dyDescent="0.2">
      <c r="A277">
        <v>2016</v>
      </c>
      <c r="B277" s="1" t="s">
        <v>82</v>
      </c>
      <c r="C277" s="7">
        <v>2704</v>
      </c>
      <c r="D277" s="6">
        <v>1.3880000000000001E-6</v>
      </c>
      <c r="E277" s="17">
        <v>2.3053585322321052E-5</v>
      </c>
      <c r="F277">
        <f>E277* VLOOKUP(A277,Check!A$2:F$11,4,FALSE)</f>
        <v>42206.297678516748</v>
      </c>
    </row>
    <row r="278" spans="1:6" x14ac:dyDescent="0.2">
      <c r="A278">
        <v>2016</v>
      </c>
      <c r="B278" s="1" t="s">
        <v>83</v>
      </c>
      <c r="C278" s="7">
        <v>329793</v>
      </c>
      <c r="D278" s="6">
        <v>1.6929099999999999E-4</v>
      </c>
      <c r="E278" s="17">
        <v>2.8117274645725692E-3</v>
      </c>
      <c r="F278">
        <f>E278* VLOOKUP(A278,Check!A$2:F$11,4,FALSE)</f>
        <v>5147685.4771786518</v>
      </c>
    </row>
    <row r="279" spans="1:6" x14ac:dyDescent="0.2">
      <c r="A279">
        <v>2016</v>
      </c>
      <c r="B279" s="1" t="s">
        <v>84</v>
      </c>
      <c r="C279" s="7">
        <v>19115</v>
      </c>
      <c r="D279" s="6">
        <v>9.8120000000000002E-6</v>
      </c>
      <c r="E279" s="17">
        <v>1.6296940955479546E-4</v>
      </c>
      <c r="F279">
        <f>E279* VLOOKUP(A279,Check!A$2:F$11,4,FALSE)</f>
        <v>298362.93643670401</v>
      </c>
    </row>
    <row r="280" spans="1:6" x14ac:dyDescent="0.2">
      <c r="A280">
        <v>2016</v>
      </c>
      <c r="B280" s="1" t="s">
        <v>85</v>
      </c>
      <c r="C280" s="7">
        <v>316062</v>
      </c>
      <c r="D280" s="6">
        <v>1.6224300000000001E-4</v>
      </c>
      <c r="E280" s="17">
        <v>2.6946606080412118E-3</v>
      </c>
      <c r="F280">
        <f>E280* VLOOKUP(A280,Check!A$2:F$11,4,FALSE)</f>
        <v>4933360.5239894083</v>
      </c>
    </row>
    <row r="281" spans="1:6" x14ac:dyDescent="0.2">
      <c r="A281">
        <v>2016</v>
      </c>
      <c r="B281" s="1" t="s">
        <v>86</v>
      </c>
      <c r="C281" s="7">
        <v>22009</v>
      </c>
      <c r="D281" s="6">
        <v>1.1297999999999999E-5</v>
      </c>
      <c r="E281" s="17">
        <v>1.8764288437831509E-4</v>
      </c>
      <c r="F281">
        <f>E281* VLOOKUP(A281,Check!A$2:F$11,4,FALSE)</f>
        <v>343534.91331600409</v>
      </c>
    </row>
    <row r="282" spans="1:6" x14ac:dyDescent="0.2">
      <c r="A282">
        <v>2016</v>
      </c>
      <c r="B282" s="1" t="s">
        <v>87</v>
      </c>
      <c r="C282" s="7">
        <v>9848</v>
      </c>
      <c r="D282" s="6">
        <v>5.0549999999999999E-6</v>
      </c>
      <c r="E282" s="17">
        <v>8.3961430567388212E-5</v>
      </c>
      <c r="F282">
        <f>E282* VLOOKUP(A282,Check!A$2:F$11,4,FALSE)</f>
        <v>153715.83562797075</v>
      </c>
    </row>
    <row r="283" spans="1:6" x14ac:dyDescent="0.2">
      <c r="A283">
        <v>2016</v>
      </c>
      <c r="B283" s="1" t="s">
        <v>88</v>
      </c>
      <c r="C283" s="7">
        <v>599428</v>
      </c>
      <c r="D283" s="6">
        <v>3.0770199999999998E-4</v>
      </c>
      <c r="E283" s="17">
        <v>5.1105638101287959E-3</v>
      </c>
      <c r="F283">
        <f>E283* VLOOKUP(A283,Check!A$2:F$11,4,FALSE)</f>
        <v>9356374.4840376992</v>
      </c>
    </row>
    <row r="284" spans="1:6" x14ac:dyDescent="0.2">
      <c r="A284">
        <v>2016</v>
      </c>
      <c r="B284" s="1" t="s">
        <v>89</v>
      </c>
      <c r="C284" s="7">
        <v>974784</v>
      </c>
      <c r="D284" s="6">
        <v>5.0038100000000005E-4</v>
      </c>
      <c r="E284" s="17">
        <v>8.3107493028230037E-3</v>
      </c>
      <c r="F284">
        <f>E284* VLOOKUP(A284,Check!A$2:F$11,4,FALSE)</f>
        <v>15215245.442402095</v>
      </c>
    </row>
    <row r="285" spans="1:6" x14ac:dyDescent="0.2">
      <c r="A285">
        <v>2016</v>
      </c>
      <c r="B285" s="1" t="s">
        <v>90</v>
      </c>
      <c r="C285" s="7">
        <v>35566</v>
      </c>
      <c r="D285" s="6">
        <v>1.8257000000000002E-5</v>
      </c>
      <c r="E285" s="17">
        <v>3.0322626315594324E-4</v>
      </c>
      <c r="F285">
        <f>E285* VLOOKUP(A285,Check!A$2:F$11,4,FALSE)</f>
        <v>555143.92871084565</v>
      </c>
    </row>
    <row r="286" spans="1:6" x14ac:dyDescent="0.2">
      <c r="A286">
        <v>2016</v>
      </c>
      <c r="B286" s="1" t="s">
        <v>91</v>
      </c>
      <c r="C286" s="7">
        <v>152439</v>
      </c>
      <c r="D286" s="6">
        <v>7.8250999999999993E-5</v>
      </c>
      <c r="E286" s="17">
        <v>1.2996543982800662E-3</v>
      </c>
      <c r="F286">
        <f>E286* VLOOKUP(A286,Check!A$2:F$11,4,FALSE)</f>
        <v>2379395.6404642807</v>
      </c>
    </row>
    <row r="287" spans="1:6" x14ac:dyDescent="0.2">
      <c r="A287">
        <v>2016</v>
      </c>
      <c r="B287" s="1" t="s">
        <v>92</v>
      </c>
      <c r="C287" s="7">
        <v>1668108</v>
      </c>
      <c r="D287" s="6">
        <v>8.5628199999999998E-4</v>
      </c>
      <c r="E287" s="17">
        <v>1.4221845452975711E-2</v>
      </c>
      <c r="F287">
        <f>E287* VLOOKUP(A287,Check!A$2:F$11,4,FALSE)</f>
        <v>26037227.369791128</v>
      </c>
    </row>
    <row r="288" spans="1:6" x14ac:dyDescent="0.2">
      <c r="A288">
        <v>2016</v>
      </c>
      <c r="B288" s="1" t="s">
        <v>93</v>
      </c>
      <c r="C288" s="7">
        <v>85631</v>
      </c>
      <c r="D288" s="6">
        <v>4.3955999999999997E-5</v>
      </c>
      <c r="E288" s="17">
        <v>7.300671467217729E-4</v>
      </c>
      <c r="F288">
        <f>E288* VLOOKUP(A288,Check!A$2:F$11,4,FALSE)</f>
        <v>1336600.3981172587</v>
      </c>
    </row>
    <row r="289" spans="1:6" x14ac:dyDescent="0.2">
      <c r="A289">
        <v>2016</v>
      </c>
      <c r="B289" s="1" t="s">
        <v>94</v>
      </c>
      <c r="C289" s="7">
        <v>2283877</v>
      </c>
      <c r="D289" s="6">
        <v>1.1723720000000001E-3</v>
      </c>
      <c r="E289" s="17">
        <v>1.9471728285941802E-2</v>
      </c>
      <c r="F289">
        <f>E289* VLOOKUP(A289,Check!A$2:F$11,4,FALSE)</f>
        <v>35648665.87393409</v>
      </c>
    </row>
    <row r="290" spans="1:6" x14ac:dyDescent="0.2">
      <c r="A290">
        <v>2016</v>
      </c>
      <c r="B290" s="1" t="s">
        <v>95</v>
      </c>
      <c r="C290" s="7">
        <v>109885</v>
      </c>
      <c r="D290" s="6">
        <v>5.6406999999999997E-5</v>
      </c>
      <c r="E290" s="17">
        <v>9.3685030441688192E-4</v>
      </c>
      <c r="F290">
        <f>E290* VLOOKUP(A290,Check!A$2:F$11,4,FALSE)</f>
        <v>1715177.152516203</v>
      </c>
    </row>
    <row r="291" spans="1:6" x14ac:dyDescent="0.2">
      <c r="A291">
        <v>2016</v>
      </c>
      <c r="B291" s="1" t="s">
        <v>96</v>
      </c>
      <c r="C291" s="7">
        <v>6051009</v>
      </c>
      <c r="D291" s="6">
        <v>3.1061349999999999E-3</v>
      </c>
      <c r="E291" s="17">
        <v>5.1589294477674776E-2</v>
      </c>
      <c r="F291">
        <f>E291* VLOOKUP(A291,Check!A$2:F$11,4,FALSE)</f>
        <v>94449218.605541408</v>
      </c>
    </row>
    <row r="292" spans="1:6" x14ac:dyDescent="0.2">
      <c r="A292">
        <v>2016</v>
      </c>
      <c r="B292" s="1" t="s">
        <v>97</v>
      </c>
      <c r="C292" s="7">
        <v>4740567</v>
      </c>
      <c r="D292" s="6">
        <v>2.433452E-3</v>
      </c>
      <c r="E292" s="17">
        <v>4.0416814279097463E-2</v>
      </c>
      <c r="F292">
        <f>E292* VLOOKUP(A292,Check!A$2:F$11,4,FALSE)</f>
        <v>73994741.85168384</v>
      </c>
    </row>
    <row r="293" spans="1:6" x14ac:dyDescent="0.2">
      <c r="A293">
        <v>2016</v>
      </c>
      <c r="B293" s="1" t="s">
        <v>98</v>
      </c>
      <c r="C293" s="7">
        <v>129274</v>
      </c>
      <c r="D293" s="6">
        <v>6.6359000000000006E-5</v>
      </c>
      <c r="E293" s="17">
        <v>1.1021557651470901E-3</v>
      </c>
      <c r="F293">
        <f>E293* VLOOKUP(A293,Check!A$2:F$11,4,FALSE)</f>
        <v>2017816.9105371945</v>
      </c>
    </row>
    <row r="294" spans="1:6" x14ac:dyDescent="0.2">
      <c r="A294">
        <v>2016</v>
      </c>
      <c r="B294" s="1" t="s">
        <v>99</v>
      </c>
      <c r="C294" s="7">
        <v>4564</v>
      </c>
      <c r="D294" s="6">
        <v>2.3429999999999998E-6</v>
      </c>
      <c r="E294" s="17">
        <v>3.8911450965633611E-5</v>
      </c>
      <c r="F294">
        <f>E294* VLOOKUP(A294,Check!A$2:F$11,4,FALSE)</f>
        <v>71238.736170395874</v>
      </c>
    </row>
    <row r="295" spans="1:6" x14ac:dyDescent="0.2">
      <c r="A295">
        <v>2016</v>
      </c>
      <c r="B295" s="1" t="s">
        <v>99</v>
      </c>
      <c r="C295" s="7">
        <v>10372</v>
      </c>
      <c r="D295" s="6">
        <v>5.3240000000000002E-6</v>
      </c>
      <c r="E295" s="17">
        <v>8.84289152970096E-5</v>
      </c>
      <c r="F295">
        <f>E295* VLOOKUP(A295,Check!A$2:F$11,4,FALSE)</f>
        <v>161894.86668697326</v>
      </c>
    </row>
    <row r="296" spans="1:6" x14ac:dyDescent="0.2">
      <c r="A296">
        <v>2016</v>
      </c>
      <c r="B296" s="1" t="s">
        <v>100</v>
      </c>
      <c r="C296" s="7">
        <v>227640</v>
      </c>
      <c r="D296" s="6">
        <v>1.16853E-4</v>
      </c>
      <c r="E296" s="17">
        <v>1.940798137120253E-3</v>
      </c>
      <c r="F296">
        <f>E296* VLOOKUP(A296,Check!A$2:F$11,4,FALSE)</f>
        <v>3553195.8592964318</v>
      </c>
    </row>
    <row r="297" spans="1:6" x14ac:dyDescent="0.2">
      <c r="A297">
        <v>2016</v>
      </c>
      <c r="B297" s="1" t="s">
        <v>101</v>
      </c>
      <c r="C297" s="7">
        <v>213331</v>
      </c>
      <c r="D297" s="6">
        <v>1.09508E-4</v>
      </c>
      <c r="E297" s="17">
        <v>1.8188034062115652E-3</v>
      </c>
      <c r="F297">
        <f>E297* VLOOKUP(A297,Check!A$2:F$11,4,FALSE)</f>
        <v>3329848.997801648</v>
      </c>
    </row>
    <row r="298" spans="1:6" x14ac:dyDescent="0.2">
      <c r="A298">
        <v>2016</v>
      </c>
      <c r="B298" s="1" t="s">
        <v>102</v>
      </c>
      <c r="C298" s="7">
        <v>19574</v>
      </c>
      <c r="D298" s="6">
        <v>1.0047999999999999E-5</v>
      </c>
      <c r="E298" s="17">
        <v>1.6688272156032259E-4</v>
      </c>
      <c r="F298">
        <f>E298* VLOOKUP(A298,Check!A$2:F$11,4,FALSE)</f>
        <v>305527.39303228061</v>
      </c>
    </row>
    <row r="299" spans="1:6" x14ac:dyDescent="0.2">
      <c r="A299">
        <v>2016</v>
      </c>
      <c r="B299" s="1" t="s">
        <v>103</v>
      </c>
      <c r="C299" s="7">
        <v>4220168</v>
      </c>
      <c r="D299" s="6">
        <v>2.166318E-3</v>
      </c>
      <c r="E299" s="17">
        <v>3.5980030718390899E-2</v>
      </c>
      <c r="F299">
        <f>E299* VLOOKUP(A299,Check!A$2:F$11,4,FALSE)</f>
        <v>65871918.217955127</v>
      </c>
    </row>
    <row r="300" spans="1:6" x14ac:dyDescent="0.2">
      <c r="A300">
        <v>2016</v>
      </c>
      <c r="B300" s="1" t="s">
        <v>104</v>
      </c>
      <c r="C300" s="7">
        <v>43068</v>
      </c>
      <c r="D300" s="6">
        <v>2.2107999999999999E-5</v>
      </c>
      <c r="E300" s="17">
        <v>3.6718632125063723E-4</v>
      </c>
      <c r="F300">
        <f>E300* VLOOKUP(A300,Check!A$2:F$11,4,FALSE)</f>
        <v>672241.43062809145</v>
      </c>
    </row>
    <row r="301" spans="1:6" x14ac:dyDescent="0.2">
      <c r="A301">
        <v>2016</v>
      </c>
      <c r="B301" s="1" t="s">
        <v>105</v>
      </c>
      <c r="C301" s="7">
        <v>54599</v>
      </c>
      <c r="D301" s="6">
        <v>2.8027000000000001E-5</v>
      </c>
      <c r="E301" s="17">
        <v>4.6549656250495822E-4</v>
      </c>
      <c r="F301">
        <f>E301* VLOOKUP(A301,Check!A$2:F$11,4,FALSE)</f>
        <v>852226.94043984311</v>
      </c>
    </row>
    <row r="302" spans="1:6" x14ac:dyDescent="0.2">
      <c r="A302">
        <v>2016</v>
      </c>
      <c r="B302" s="1" t="s">
        <v>106</v>
      </c>
      <c r="C302" s="7">
        <v>289901</v>
      </c>
      <c r="D302" s="6">
        <v>1.48813E-4</v>
      </c>
      <c r="E302" s="17">
        <v>2.4716188751945987E-3</v>
      </c>
      <c r="F302">
        <f>E302* VLOOKUP(A302,Check!A$2:F$11,4,FALSE)</f>
        <v>4525017.715717338</v>
      </c>
    </row>
    <row r="303" spans="1:6" x14ac:dyDescent="0.2">
      <c r="A303">
        <v>2016</v>
      </c>
      <c r="B303" s="1" t="s">
        <v>107</v>
      </c>
      <c r="C303" s="7">
        <v>616531</v>
      </c>
      <c r="D303" s="6">
        <v>3.1648100000000002E-4</v>
      </c>
      <c r="E303" s="17">
        <v>5.2563794424393198E-3</v>
      </c>
      <c r="F303">
        <f>E303* VLOOKUP(A303,Check!A$2:F$11,4,FALSE)</f>
        <v>9623332.4386218973</v>
      </c>
    </row>
    <row r="304" spans="1:6" x14ac:dyDescent="0.2">
      <c r="A304">
        <v>2016</v>
      </c>
      <c r="B304" s="1" t="s">
        <v>108</v>
      </c>
      <c r="C304" s="7">
        <v>628636</v>
      </c>
      <c r="D304" s="6">
        <v>3.2269500000000001E-4</v>
      </c>
      <c r="E304" s="17">
        <v>5.3595834551341034E-3</v>
      </c>
      <c r="F304">
        <f>E304* VLOOKUP(A304,Check!A$2:F$11,4,FALSE)</f>
        <v>9812277.4213875923</v>
      </c>
    </row>
    <row r="305" spans="1:6" x14ac:dyDescent="0.2">
      <c r="A305">
        <v>2016</v>
      </c>
      <c r="B305" s="1" t="s">
        <v>109</v>
      </c>
      <c r="C305" s="7">
        <v>306357</v>
      </c>
      <c r="D305" s="6">
        <v>1.5726100000000001E-4</v>
      </c>
      <c r="E305" s="17">
        <v>2.6119183574668308E-3</v>
      </c>
      <c r="F305">
        <f>E305* VLOOKUP(A305,Check!A$2:F$11,4,FALSE)</f>
        <v>4781876.7521809749</v>
      </c>
    </row>
    <row r="306" spans="1:6" x14ac:dyDescent="0.2">
      <c r="A306">
        <v>2016</v>
      </c>
      <c r="B306" s="1" t="s">
        <v>110</v>
      </c>
      <c r="C306" s="7">
        <v>242658</v>
      </c>
      <c r="D306" s="6">
        <v>1.2456300000000001E-4</v>
      </c>
      <c r="E306" s="17">
        <v>2.0688376135886768E-3</v>
      </c>
      <c r="F306">
        <f>E306* VLOOKUP(A306,Check!A$2:F$11,4,FALSE)</f>
        <v>3787609.3868615078</v>
      </c>
    </row>
    <row r="307" spans="1:6" x14ac:dyDescent="0.2">
      <c r="A307">
        <v>2016</v>
      </c>
      <c r="B307" s="1" t="s">
        <v>111</v>
      </c>
      <c r="C307" s="7">
        <v>15879</v>
      </c>
      <c r="D307" s="6">
        <v>8.1510000000000004E-6</v>
      </c>
      <c r="E307" s="17">
        <v>1.3538013362911834E-4</v>
      </c>
      <c r="F307">
        <f>E307* VLOOKUP(A307,Check!A$2:F$11,4,FALSE)</f>
        <v>247852.73699599388</v>
      </c>
    </row>
    <row r="308" spans="1:6" x14ac:dyDescent="0.2">
      <c r="A308">
        <v>2016</v>
      </c>
      <c r="B308" s="1" t="s">
        <v>112</v>
      </c>
      <c r="C308" s="7">
        <v>49809</v>
      </c>
      <c r="D308" s="6">
        <v>2.5568E-5</v>
      </c>
      <c r="E308" s="17">
        <v>4.2465829560631998E-4</v>
      </c>
      <c r="F308">
        <f>E308* VLOOKUP(A308,Check!A$2:F$11,4,FALSE)</f>
        <v>777460.60690430494</v>
      </c>
    </row>
    <row r="309" spans="1:6" x14ac:dyDescent="0.2">
      <c r="A309">
        <v>2016</v>
      </c>
      <c r="B309" s="1" t="s">
        <v>113</v>
      </c>
      <c r="C309" s="7">
        <v>239542</v>
      </c>
      <c r="D309" s="6">
        <v>1.2296299999999999E-4</v>
      </c>
      <c r="E309" s="17">
        <v>2.0422714257690199E-3</v>
      </c>
      <c r="F309">
        <f>E309* VLOOKUP(A309,Check!A$2:F$11,4,FALSE)</f>
        <v>3738972.2479686611</v>
      </c>
    </row>
    <row r="310" spans="1:6" x14ac:dyDescent="0.2">
      <c r="A310">
        <v>2016</v>
      </c>
      <c r="B310" s="1" t="s">
        <v>114</v>
      </c>
      <c r="C310" s="7">
        <v>79140</v>
      </c>
      <c r="D310" s="6">
        <v>4.0624999999999998E-5</v>
      </c>
      <c r="E310" s="17">
        <v>6.747266059202988E-4</v>
      </c>
      <c r="F310">
        <f>E310* VLOOKUP(A310,Check!A$2:F$11,4,FALSE)</f>
        <v>1235283.4313157601</v>
      </c>
    </row>
    <row r="311" spans="1:6" x14ac:dyDescent="0.2">
      <c r="A311">
        <v>2016</v>
      </c>
      <c r="B311" s="1" t="s">
        <v>115</v>
      </c>
      <c r="C311" s="7">
        <v>86925</v>
      </c>
      <c r="D311" s="6">
        <v>4.4620999999999999E-5</v>
      </c>
      <c r="E311" s="17">
        <v>7.4109944679835705E-4</v>
      </c>
      <c r="F311">
        <f>E311* VLOOKUP(A311,Check!A$2:F$11,4,FALSE)</f>
        <v>1356798.2343583833</v>
      </c>
    </row>
    <row r="312" spans="1:6" x14ac:dyDescent="0.2">
      <c r="A312">
        <v>2016</v>
      </c>
      <c r="B312" s="1" t="s">
        <v>116</v>
      </c>
      <c r="C312" s="7">
        <v>322957</v>
      </c>
      <c r="D312" s="6">
        <v>1.6578200000000001E-4</v>
      </c>
      <c r="E312" s="17">
        <v>2.7534455454662869E-3</v>
      </c>
      <c r="F312">
        <f>E312* VLOOKUP(A312,Check!A$2:F$11,4,FALSE)</f>
        <v>5040983.4613020457</v>
      </c>
    </row>
    <row r="313" spans="1:6" x14ac:dyDescent="0.2">
      <c r="A313">
        <v>2016</v>
      </c>
      <c r="B313" s="1" t="s">
        <v>117</v>
      </c>
      <c r="C313" s="7">
        <v>441470</v>
      </c>
      <c r="D313" s="6">
        <v>2.2661799999999999E-4</v>
      </c>
      <c r="E313" s="17">
        <v>3.7638558847060189E-3</v>
      </c>
      <c r="F313">
        <f>E313* VLOOKUP(A313,Check!A$2:F$11,4,FALSE)</f>
        <v>6890833.6672096113</v>
      </c>
    </row>
    <row r="314" spans="1:6" x14ac:dyDescent="0.2">
      <c r="A314">
        <v>2016</v>
      </c>
      <c r="B314" s="1" t="s">
        <v>118</v>
      </c>
      <c r="C314" s="7">
        <v>49191</v>
      </c>
      <c r="D314" s="6">
        <v>2.5250999999999999E-5</v>
      </c>
      <c r="E314" s="17">
        <v>4.1938939186031616E-4</v>
      </c>
      <c r="F314">
        <f>E314* VLOOKUP(A314,Check!A$2:F$11,4,FALSE)</f>
        <v>767814.34508280968</v>
      </c>
    </row>
    <row r="315" spans="1:6" x14ac:dyDescent="0.2">
      <c r="A315">
        <v>2016</v>
      </c>
      <c r="B315" s="1" t="s">
        <v>119</v>
      </c>
      <c r="C315" s="7">
        <v>52596</v>
      </c>
      <c r="D315" s="6">
        <v>2.6999E-5</v>
      </c>
      <c r="E315" s="17">
        <v>4.4841951686863831E-4</v>
      </c>
      <c r="F315">
        <f>E315* VLOOKUP(A315,Check!A$2:F$11,4,FALSE)</f>
        <v>820962.43812842702</v>
      </c>
    </row>
    <row r="316" spans="1:6" x14ac:dyDescent="0.2">
      <c r="A316">
        <v>2016</v>
      </c>
      <c r="B316" s="1" t="s">
        <v>120</v>
      </c>
      <c r="C316" s="7">
        <v>1165241</v>
      </c>
      <c r="D316" s="6">
        <v>5.9814799999999995E-4</v>
      </c>
      <c r="E316" s="17">
        <v>9.934535064558693E-3</v>
      </c>
      <c r="F316">
        <f>E316* VLOOKUP(A316,Check!A$2:F$11,4,FALSE)</f>
        <v>18188057.882105228</v>
      </c>
    </row>
    <row r="317" spans="1:6" x14ac:dyDescent="0.2">
      <c r="A317">
        <v>2016</v>
      </c>
      <c r="B317" s="1" t="s">
        <v>121</v>
      </c>
      <c r="C317" s="7">
        <v>1375069</v>
      </c>
      <c r="D317" s="6">
        <v>7.0585799999999996E-4</v>
      </c>
      <c r="E317" s="17">
        <v>1.1723472823808685E-2</v>
      </c>
      <c r="F317">
        <f>E317* VLOOKUP(A317,Check!A$2:F$11,4,FALSE)</f>
        <v>21463229.120747168</v>
      </c>
    </row>
    <row r="318" spans="1:6" x14ac:dyDescent="0.2">
      <c r="A318">
        <v>2016</v>
      </c>
      <c r="B318" s="1" t="s">
        <v>122</v>
      </c>
      <c r="C318" s="7">
        <v>589809</v>
      </c>
      <c r="D318" s="6">
        <v>3.0276400000000002E-4</v>
      </c>
      <c r="E318" s="17">
        <v>5.0285547726970628E-3</v>
      </c>
      <c r="F318">
        <f>E318* VLOOKUP(A318,Check!A$2:F$11,4,FALSE)</f>
        <v>9206233.0722885672</v>
      </c>
    </row>
    <row r="319" spans="1:6" x14ac:dyDescent="0.2">
      <c r="A319">
        <v>2016</v>
      </c>
      <c r="B319" s="1" t="s">
        <v>123</v>
      </c>
      <c r="C319" s="7">
        <v>1310241</v>
      </c>
      <c r="D319" s="6">
        <v>6.7257999999999999E-4</v>
      </c>
      <c r="E319" s="17">
        <v>1.1170766525999725E-2</v>
      </c>
      <c r="F319">
        <f>E319* VLOOKUP(A319,Check!A$2:F$11,4,FALSE)</f>
        <v>20451339.37743989</v>
      </c>
    </row>
    <row r="320" spans="1:6" x14ac:dyDescent="0.2">
      <c r="A320">
        <v>2016</v>
      </c>
      <c r="B320" s="1" t="s">
        <v>124</v>
      </c>
      <c r="C320" s="7">
        <v>3754</v>
      </c>
      <c r="D320" s="6">
        <v>1.9269999999999999E-6</v>
      </c>
      <c r="E320" s="17">
        <v>3.2005606249997492E-5</v>
      </c>
      <c r="F320">
        <f>E320* VLOOKUP(A320,Check!A$2:F$11,4,FALSE)</f>
        <v>58595.57747231947</v>
      </c>
    </row>
    <row r="321" spans="1:6" x14ac:dyDescent="0.2">
      <c r="A321">
        <v>2016</v>
      </c>
      <c r="B321" s="1" t="s">
        <v>125</v>
      </c>
      <c r="C321" s="7">
        <v>26845</v>
      </c>
      <c r="D321" s="6">
        <v>1.378E-5</v>
      </c>
      <c r="E321" s="17">
        <v>2.2887333505092775E-4</v>
      </c>
      <c r="F321">
        <f>E321* VLOOKUP(A321,Check!A$2:F$11,4,FALSE)</f>
        <v>419019.25339488982</v>
      </c>
    </row>
    <row r="322" spans="1:6" x14ac:dyDescent="0.2">
      <c r="A322">
        <v>2016</v>
      </c>
      <c r="B322" s="1" t="s">
        <v>126</v>
      </c>
      <c r="C322" s="7">
        <v>110039</v>
      </c>
      <c r="D322" s="6">
        <v>5.6486000000000001E-5</v>
      </c>
      <c r="E322" s="17">
        <v>9.3816326748627445E-4</v>
      </c>
      <c r="F322">
        <f>E322* VLOOKUP(A322,Check!A$2:F$11,4,FALSE)</f>
        <v>1717580.9135526272</v>
      </c>
    </row>
    <row r="323" spans="1:6" x14ac:dyDescent="0.2">
      <c r="A323">
        <v>2016</v>
      </c>
      <c r="B323" s="1" t="s">
        <v>127</v>
      </c>
      <c r="C323" s="7">
        <v>163814</v>
      </c>
      <c r="D323" s="6">
        <v>8.4090000000000003E-5</v>
      </c>
      <c r="E323" s="17">
        <v>1.3966346249965609E-3</v>
      </c>
      <c r="F323">
        <f>E323* VLOOKUP(A323,Check!A$2:F$11,4,FALSE)</f>
        <v>2556946.1715638102</v>
      </c>
    </row>
    <row r="324" spans="1:6" x14ac:dyDescent="0.2">
      <c r="A324">
        <v>2016</v>
      </c>
      <c r="B324" s="1" t="s">
        <v>128</v>
      </c>
      <c r="C324" s="7">
        <v>227559</v>
      </c>
      <c r="D324" s="6">
        <v>1.1681200000000001E-4</v>
      </c>
      <c r="E324" s="17">
        <v>1.9401075526486893E-3</v>
      </c>
      <c r="F324">
        <f>E324* VLOOKUP(A324,Check!A$2:F$11,4,FALSE)</f>
        <v>3551931.543426624</v>
      </c>
    </row>
    <row r="325" spans="1:6" x14ac:dyDescent="0.2">
      <c r="A325">
        <v>2016</v>
      </c>
      <c r="B325" s="1" t="s">
        <v>129</v>
      </c>
      <c r="C325" s="7">
        <v>25305</v>
      </c>
      <c r="D325" s="6">
        <v>1.2989999999999999E-5</v>
      </c>
      <c r="E325" s="17">
        <v>2.1574370435700229E-4</v>
      </c>
      <c r="F325">
        <f>E325* VLOOKUP(A325,Check!A$2:F$11,4,FALSE)</f>
        <v>394981.64303064579</v>
      </c>
    </row>
    <row r="326" spans="1:6" x14ac:dyDescent="0.2">
      <c r="A326">
        <v>2016</v>
      </c>
      <c r="B326" s="1" t="s">
        <v>130</v>
      </c>
      <c r="C326" s="7">
        <v>76105</v>
      </c>
      <c r="D326" s="6">
        <v>3.9066999999999997E-5</v>
      </c>
      <c r="E326" s="17">
        <v>6.4885100257220545E-4</v>
      </c>
      <c r="F326">
        <f>E326* VLOOKUP(A326,Check!A$2:F$11,4,FALSE)</f>
        <v>1187910.6082927207</v>
      </c>
    </row>
    <row r="327" spans="1:6" x14ac:dyDescent="0.2">
      <c r="A327">
        <v>2016</v>
      </c>
      <c r="B327" s="1" t="s">
        <v>131</v>
      </c>
      <c r="C327" s="7">
        <v>69139</v>
      </c>
      <c r="D327" s="6">
        <v>3.5491000000000003E-5</v>
      </c>
      <c r="E327" s="17">
        <v>5.8946073801773491E-4</v>
      </c>
      <c r="F327">
        <f>E327* VLOOKUP(A327,Check!A$2:F$11,4,FALSE)</f>
        <v>1079179.4434892638</v>
      </c>
    </row>
    <row r="328" spans="1:6" x14ac:dyDescent="0.2">
      <c r="A328">
        <v>2016</v>
      </c>
      <c r="B328" s="1" t="s">
        <v>132</v>
      </c>
      <c r="C328" s="7">
        <v>13939</v>
      </c>
      <c r="D328" s="6">
        <v>7.1550000000000001E-6</v>
      </c>
      <c r="E328" s="17">
        <v>1.1884020924845901E-4</v>
      </c>
      <c r="F328">
        <f>E328* VLOOKUP(A328,Check!A$2:F$11,4,FALSE)</f>
        <v>217571.59147220597</v>
      </c>
    </row>
    <row r="329" spans="1:6" x14ac:dyDescent="0.2">
      <c r="A329">
        <v>2016</v>
      </c>
      <c r="B329" s="1" t="s">
        <v>133</v>
      </c>
      <c r="C329" s="7">
        <v>58281</v>
      </c>
      <c r="D329" s="6">
        <v>2.9916999999999998E-5</v>
      </c>
      <c r="E329" s="17">
        <v>4.9688831589134359E-4</v>
      </c>
      <c r="F329">
        <f>E329* VLOOKUP(A329,Check!A$2:F$11,4,FALSE)</f>
        <v>909698.68158344459</v>
      </c>
    </row>
    <row r="330" spans="1:6" x14ac:dyDescent="0.2">
      <c r="A330">
        <v>2016</v>
      </c>
      <c r="B330" s="1" t="s">
        <v>134</v>
      </c>
      <c r="C330" s="7">
        <v>177406</v>
      </c>
      <c r="D330" s="6">
        <v>9.1067000000000001E-5</v>
      </c>
      <c r="E330" s="17">
        <v>1.5125164044717783E-3</v>
      </c>
      <c r="F330">
        <f>E330* VLOOKUP(A330,Check!A$2:F$11,4,FALSE)</f>
        <v>2769101.4962851116</v>
      </c>
    </row>
    <row r="331" spans="1:6" x14ac:dyDescent="0.2">
      <c r="A331">
        <v>2016</v>
      </c>
      <c r="B331" s="1" t="s">
        <v>135</v>
      </c>
      <c r="C331" s="7">
        <v>15255</v>
      </c>
      <c r="D331" s="6">
        <v>7.8310000000000001E-6</v>
      </c>
      <c r="E331" s="17">
        <v>1.3006007547781346E-4</v>
      </c>
      <c r="F331">
        <f>E331* VLOOKUP(A331,Check!A$2:F$11,4,FALSE)</f>
        <v>238112.82214710535</v>
      </c>
    </row>
    <row r="332" spans="1:6" x14ac:dyDescent="0.2">
      <c r="A332">
        <v>2016</v>
      </c>
      <c r="B332" s="1" t="s">
        <v>136</v>
      </c>
      <c r="C332" s="7">
        <v>375761</v>
      </c>
      <c r="D332" s="6">
        <v>1.92888E-4</v>
      </c>
      <c r="E332" s="17">
        <v>3.203638415052027E-3</v>
      </c>
      <c r="F332">
        <f>E332* VLOOKUP(A332,Check!A$2:F$11,4,FALSE)</f>
        <v>5865192.5377134364</v>
      </c>
    </row>
    <row r="333" spans="1:6" x14ac:dyDescent="0.2">
      <c r="A333">
        <v>2016</v>
      </c>
      <c r="B333" s="1" t="s">
        <v>137</v>
      </c>
      <c r="C333" s="7">
        <v>13220699</v>
      </c>
      <c r="D333" s="6">
        <v>6.7865169999999997E-3</v>
      </c>
      <c r="E333" s="17">
        <v>0.11271616583477241</v>
      </c>
      <c r="F333">
        <f>E333* VLOOKUP(A333,Check!A$2:F$11,4,FALSE)</f>
        <v>206359747.60061711</v>
      </c>
    </row>
    <row r="334" spans="1:6" x14ac:dyDescent="0.2">
      <c r="A334">
        <v>2016</v>
      </c>
      <c r="B334" s="1" t="s">
        <v>138</v>
      </c>
      <c r="C334" s="7">
        <v>205149</v>
      </c>
      <c r="D334" s="6">
        <v>1.05308E-4</v>
      </c>
      <c r="E334" s="17">
        <v>1.7490458488494235E-3</v>
      </c>
      <c r="F334">
        <f>E334* VLOOKUP(A334,Check!A$2:F$11,4,FALSE)</f>
        <v>3202137.4861131776</v>
      </c>
    </row>
    <row r="335" spans="1:6" x14ac:dyDescent="0.2">
      <c r="A335">
        <v>2016</v>
      </c>
      <c r="B335" s="1" t="s">
        <v>139</v>
      </c>
      <c r="C335" s="7">
        <v>17033693</v>
      </c>
      <c r="D335" s="6">
        <v>8.7438229999999995E-3</v>
      </c>
      <c r="E335" s="17">
        <v>0.14522473924915785</v>
      </c>
      <c r="F335">
        <f>E335* VLOOKUP(A335,Check!A$2:F$11,4,FALSE)</f>
        <v>265876152.85594192</v>
      </c>
    </row>
    <row r="336" spans="1:6" x14ac:dyDescent="0.2">
      <c r="A336">
        <v>2016</v>
      </c>
      <c r="B336" s="1" t="s">
        <v>140</v>
      </c>
      <c r="C336" s="7">
        <v>20009</v>
      </c>
      <c r="D336" s="6">
        <v>1.0271E-5</v>
      </c>
      <c r="E336" s="17">
        <v>1.7059141594464569E-4</v>
      </c>
      <c r="F336">
        <f>E336* VLOOKUP(A336,Check!A$2:F$11,4,FALSE)</f>
        <v>312317.23751828464</v>
      </c>
    </row>
    <row r="337" spans="1:6" x14ac:dyDescent="0.2">
      <c r="A337">
        <v>2016</v>
      </c>
      <c r="B337" s="1" t="s">
        <v>141</v>
      </c>
      <c r="C337" s="7">
        <v>58294</v>
      </c>
      <c r="D337" s="6">
        <v>2.9924E-5</v>
      </c>
      <c r="E337" s="17">
        <v>4.9699915043616247E-4</v>
      </c>
      <c r="F337">
        <f>E337* VLOOKUP(A337,Check!A$2:F$11,4,FALSE)</f>
        <v>909901.59647612984</v>
      </c>
    </row>
    <row r="338" spans="1:6" x14ac:dyDescent="0.2">
      <c r="A338">
        <v>2016</v>
      </c>
      <c r="B338" s="1" t="s">
        <v>142</v>
      </c>
      <c r="C338" s="7">
        <v>67025</v>
      </c>
      <c r="D338" s="6">
        <v>3.4405E-5</v>
      </c>
      <c r="E338" s="17">
        <v>5.7143733588334636E-4</v>
      </c>
      <c r="F338">
        <f>E338* VLOOKUP(A338,Check!A$2:F$11,4,FALSE)</f>
        <v>1046182.3601710744</v>
      </c>
    </row>
    <row r="339" spans="1:6" x14ac:dyDescent="0.2">
      <c r="A339">
        <v>2016</v>
      </c>
      <c r="B339" s="1" t="s">
        <v>143</v>
      </c>
      <c r="C339" s="7">
        <v>27860</v>
      </c>
      <c r="D339" s="6">
        <v>1.4301000000000001E-5</v>
      </c>
      <c r="E339" s="17">
        <v>2.3752695528101497E-4</v>
      </c>
      <c r="F339">
        <f>E339* VLOOKUP(A339,Check!A$2:F$11,4,FALSE)</f>
        <v>434862.22386223241</v>
      </c>
    </row>
    <row r="340" spans="1:6" x14ac:dyDescent="0.2">
      <c r="A340">
        <v>2016</v>
      </c>
      <c r="B340" s="1" t="s">
        <v>144</v>
      </c>
      <c r="C340" s="7">
        <v>105917</v>
      </c>
      <c r="D340" s="6">
        <v>5.4370000000000003E-5</v>
      </c>
      <c r="E340" s="17">
        <v>9.0302019104448181E-4</v>
      </c>
      <c r="F340">
        <f>E340* VLOOKUP(A340,Check!A$2:F$11,4,FALSE)</f>
        <v>1653241.2837335274</v>
      </c>
    </row>
    <row r="341" spans="1:6" x14ac:dyDescent="0.2">
      <c r="A341">
        <v>2016</v>
      </c>
      <c r="B341" s="1" t="s">
        <v>145</v>
      </c>
      <c r="C341" s="7">
        <v>1716142</v>
      </c>
      <c r="D341" s="6">
        <v>8.8093899999999996E-4</v>
      </c>
      <c r="E341" s="17">
        <v>1.4631370570347151E-2</v>
      </c>
      <c r="F341">
        <f>E341* VLOOKUP(A341,Check!A$2:F$11,4,FALSE)</f>
        <v>26786982.28942496</v>
      </c>
    </row>
    <row r="342" spans="1:6" x14ac:dyDescent="0.2">
      <c r="A342">
        <v>2016</v>
      </c>
      <c r="B342" s="1" t="s">
        <v>146</v>
      </c>
      <c r="C342" s="7">
        <v>424398</v>
      </c>
      <c r="D342" s="6">
        <v>2.1785399999999999E-4</v>
      </c>
      <c r="E342" s="17">
        <v>3.6183045501562167E-3</v>
      </c>
      <c r="F342">
        <f>E342* VLOOKUP(A342,Check!A$2:F$11,4,FALSE)</f>
        <v>6624359.5866002776</v>
      </c>
    </row>
    <row r="343" spans="1:6" x14ac:dyDescent="0.2">
      <c r="A343">
        <v>2016</v>
      </c>
      <c r="B343" s="1" t="s">
        <v>147</v>
      </c>
      <c r="C343" s="7">
        <v>26608</v>
      </c>
      <c r="D343" s="6">
        <v>1.3658999999999999E-5</v>
      </c>
      <c r="E343" s="17">
        <v>2.2685273604153793E-4</v>
      </c>
      <c r="F343">
        <f>E343* VLOOKUP(A343,Check!A$2:F$11,4,FALSE)</f>
        <v>415319.95881286007</v>
      </c>
    </row>
    <row r="344" spans="1:6" x14ac:dyDescent="0.2">
      <c r="A344">
        <v>2016</v>
      </c>
      <c r="B344" s="1" t="s">
        <v>148</v>
      </c>
      <c r="C344" s="7">
        <v>734259</v>
      </c>
      <c r="D344" s="6">
        <v>3.76914E-4</v>
      </c>
      <c r="E344" s="17">
        <v>6.2600970803188358E-3</v>
      </c>
      <c r="F344">
        <f>E344* VLOOKUP(A344,Check!A$2:F$11,4,FALSE)</f>
        <v>11460929.706778856</v>
      </c>
    </row>
    <row r="345" spans="1:6" x14ac:dyDescent="0.2">
      <c r="A345">
        <v>2016</v>
      </c>
      <c r="B345" s="1" t="s">
        <v>149</v>
      </c>
      <c r="C345" s="7">
        <v>12881</v>
      </c>
      <c r="D345" s="6">
        <v>6.6120000000000004E-6</v>
      </c>
      <c r="E345" s="17">
        <v>1.0981998244704788E-4</v>
      </c>
      <c r="F345">
        <f>E345* VLOOKUP(A345,Check!A$2:F$11,4,FALSE)</f>
        <v>201057.44097521238</v>
      </c>
    </row>
    <row r="346" spans="1:6" x14ac:dyDescent="0.2">
      <c r="A346">
        <v>2016</v>
      </c>
      <c r="B346" s="1" t="s">
        <v>150</v>
      </c>
      <c r="C346" s="7">
        <v>32171</v>
      </c>
      <c r="D346" s="6">
        <v>1.6514000000000001E-5</v>
      </c>
      <c r="E346" s="17">
        <v>2.7428139548978938E-4</v>
      </c>
      <c r="F346">
        <f>E346* VLOOKUP(A346,Check!A$2:F$11,4,FALSE)</f>
        <v>502151.92404421675</v>
      </c>
    </row>
    <row r="347" spans="1:6" x14ac:dyDescent="0.2">
      <c r="A347">
        <v>2016</v>
      </c>
      <c r="B347" s="1" t="s">
        <v>151</v>
      </c>
      <c r="C347" s="7">
        <v>38111</v>
      </c>
      <c r="D347" s="6">
        <v>1.9564000000000001E-5</v>
      </c>
      <c r="E347" s="17">
        <v>3.2492425673778759E-4</v>
      </c>
      <c r="F347">
        <f>E347* VLOOKUP(A347,Check!A$2:F$11,4,FALSE)</f>
        <v>594868.42116344371</v>
      </c>
    </row>
    <row r="348" spans="1:6" x14ac:dyDescent="0.2">
      <c r="A348">
        <v>2016</v>
      </c>
      <c r="B348" s="1" t="s">
        <v>152</v>
      </c>
      <c r="C348" s="7">
        <v>853547</v>
      </c>
      <c r="D348" s="6">
        <v>4.38147E-4</v>
      </c>
      <c r="E348" s="17">
        <v>7.2771148635766151E-3</v>
      </c>
      <c r="F348">
        <f>E348* VLOOKUP(A348,Check!A$2:F$11,4,FALSE)</f>
        <v>13322876.762058038</v>
      </c>
    </row>
    <row r="349" spans="1:6" x14ac:dyDescent="0.2">
      <c r="A349">
        <v>2016</v>
      </c>
      <c r="B349" s="1" t="s">
        <v>153</v>
      </c>
      <c r="C349" s="7">
        <v>2232222</v>
      </c>
      <c r="D349" s="6">
        <v>1.145856E-3</v>
      </c>
      <c r="E349" s="17">
        <v>1.9031331484971208E-2</v>
      </c>
      <c r="F349">
        <f>E349* VLOOKUP(A349,Check!A$2:F$11,4,FALSE)</f>
        <v>34842391.352268495</v>
      </c>
    </row>
    <row r="350" spans="1:6" x14ac:dyDescent="0.2">
      <c r="A350">
        <v>2016</v>
      </c>
      <c r="B350" s="1" t="s">
        <v>154</v>
      </c>
      <c r="C350" s="7">
        <v>642913</v>
      </c>
      <c r="D350" s="6">
        <v>3.3002299999999998E-4</v>
      </c>
      <c r="E350" s="17">
        <v>5.4813053625478525E-3</v>
      </c>
      <c r="F350">
        <f>E350* VLOOKUP(A350,Check!A$2:F$11,4,FALSE)</f>
        <v>10035124.800069613</v>
      </c>
    </row>
    <row r="351" spans="1:6" x14ac:dyDescent="0.2">
      <c r="A351">
        <v>2016</v>
      </c>
      <c r="B351" s="1" t="s">
        <v>155</v>
      </c>
      <c r="C351" s="7">
        <v>110784</v>
      </c>
      <c r="D351" s="6">
        <v>5.6867999999999998E-5</v>
      </c>
      <c r="E351" s="17">
        <v>9.4451493947781632E-4</v>
      </c>
      <c r="F351">
        <f>E351* VLOOKUP(A351,Check!A$2:F$11,4,FALSE)</f>
        <v>1729209.4977872777</v>
      </c>
    </row>
    <row r="352" spans="1:6" x14ac:dyDescent="0.2">
      <c r="A352">
        <v>2016</v>
      </c>
      <c r="B352" s="1" t="s">
        <v>156</v>
      </c>
      <c r="C352" s="7">
        <v>625725</v>
      </c>
      <c r="D352" s="6">
        <v>3.212E-4</v>
      </c>
      <c r="E352" s="17">
        <v>5.3347650428288975E-3</v>
      </c>
      <c r="F352">
        <f>E352* VLOOKUP(A352,Check!A$2:F$11,4,FALSE)</f>
        <v>9766840.0942640118</v>
      </c>
    </row>
    <row r="353" spans="1:6" x14ac:dyDescent="0.2">
      <c r="A353">
        <v>2016</v>
      </c>
      <c r="B353" s="1" t="s">
        <v>157</v>
      </c>
      <c r="C353" s="7">
        <v>9083</v>
      </c>
      <c r="D353" s="6">
        <v>4.6619999999999996E-6</v>
      </c>
      <c r="E353" s="17">
        <v>7.7439243891509651E-5</v>
      </c>
      <c r="F353">
        <f>E353* VLOOKUP(A353,Check!A$2:F$11,4,FALSE)</f>
        <v>141775.07463534304</v>
      </c>
    </row>
    <row r="354" spans="1:6" x14ac:dyDescent="0.2">
      <c r="A354">
        <v>2016</v>
      </c>
      <c r="B354" s="1" t="s">
        <v>158</v>
      </c>
      <c r="C354" s="7">
        <v>167908</v>
      </c>
      <c r="D354" s="6">
        <v>8.6191000000000002E-5</v>
      </c>
      <c r="E354" s="17">
        <v>1.4315389808802822E-3</v>
      </c>
      <c r="F354">
        <f>E354* VLOOKUP(A354,Check!A$2:F$11,4,FALSE)</f>
        <v>2620848.7539217416</v>
      </c>
    </row>
    <row r="355" spans="1:6" x14ac:dyDescent="0.2">
      <c r="A355">
        <v>2016</v>
      </c>
      <c r="B355" s="1" t="s">
        <v>159</v>
      </c>
      <c r="C355" s="7">
        <v>64824</v>
      </c>
      <c r="D355" s="6">
        <v>3.3275999999999998E-5</v>
      </c>
      <c r="E355" s="17">
        <v>5.5267219487209311E-4</v>
      </c>
      <c r="F355">
        <f>E355* VLOOKUP(A355,Check!A$2:F$11,4,FALSE)</f>
        <v>1011827.3079556839</v>
      </c>
    </row>
    <row r="356" spans="1:6" x14ac:dyDescent="0.2">
      <c r="A356">
        <v>2016</v>
      </c>
      <c r="B356" s="1" t="s">
        <v>160</v>
      </c>
      <c r="C356" s="7">
        <v>245741</v>
      </c>
      <c r="D356" s="6">
        <v>1.2614500000000001E-4</v>
      </c>
      <c r="E356" s="17">
        <v>2.0951224521791783E-3</v>
      </c>
      <c r="F356">
        <f>E356* VLOOKUP(A356,Check!A$2:F$11,4,FALSE)</f>
        <v>3835731.4341036924</v>
      </c>
    </row>
    <row r="357" spans="1:6" x14ac:dyDescent="0.2">
      <c r="A357">
        <v>2016</v>
      </c>
      <c r="B357" s="1" t="s">
        <v>161</v>
      </c>
      <c r="C357" s="7">
        <v>419241</v>
      </c>
      <c r="D357" s="6">
        <v>2.15207E-4</v>
      </c>
      <c r="E357" s="17">
        <v>3.5743373388000001E-3</v>
      </c>
      <c r="F357">
        <f>E357* VLOOKUP(A357,Check!A$2:F$11,4,FALSE)</f>
        <v>6543864.8095558584</v>
      </c>
    </row>
    <row r="358" spans="1:6" x14ac:dyDescent="0.2">
      <c r="A358">
        <v>2016</v>
      </c>
      <c r="B358" s="1" t="s">
        <v>162</v>
      </c>
      <c r="C358" s="7">
        <v>1092326</v>
      </c>
      <c r="D358" s="6">
        <v>5.60719E-4</v>
      </c>
      <c r="E358" s="17">
        <v>9.3128811541381903E-3</v>
      </c>
      <c r="F358">
        <f>E358* VLOOKUP(A358,Check!A$2:F$11,4,FALSE)</f>
        <v>17049939.466709871</v>
      </c>
    </row>
    <row r="359" spans="1:6" x14ac:dyDescent="0.2">
      <c r="A359">
        <v>2016</v>
      </c>
      <c r="B359" s="1" t="s">
        <v>163</v>
      </c>
      <c r="C359" s="7">
        <v>1953519</v>
      </c>
      <c r="D359" s="6">
        <v>1.0027899999999999E-3</v>
      </c>
      <c r="E359" s="17">
        <v>1.6655183781536721E-2</v>
      </c>
      <c r="F359">
        <f>E359* VLOOKUP(A359,Check!A$2:F$11,4,FALSE)</f>
        <v>30492161.403342586</v>
      </c>
    </row>
    <row r="360" spans="1:6" x14ac:dyDescent="0.2">
      <c r="A360">
        <v>2016</v>
      </c>
      <c r="B360" s="1" t="s">
        <v>164</v>
      </c>
      <c r="C360" s="7">
        <v>20123</v>
      </c>
      <c r="D360" s="6">
        <v>1.0329999999999999E-5</v>
      </c>
      <c r="E360" s="17">
        <v>1.7156334964536484E-4</v>
      </c>
      <c r="F360">
        <f>E360* VLOOKUP(A360,Check!A$2:F$11,4,FALSE)</f>
        <v>314096.64503875462</v>
      </c>
    </row>
    <row r="361" spans="1:6" x14ac:dyDescent="0.2">
      <c r="A361">
        <v>2016</v>
      </c>
      <c r="B361" s="1" t="s">
        <v>165</v>
      </c>
      <c r="C361" s="7">
        <v>44394</v>
      </c>
      <c r="D361" s="6">
        <v>2.2789000000000002E-5</v>
      </c>
      <c r="E361" s="17">
        <v>3.7849144482216007E-4</v>
      </c>
      <c r="F361">
        <f>E361* VLOOKUP(A361,Check!A$2:F$11,4,FALSE)</f>
        <v>692938.74968197953</v>
      </c>
    </row>
    <row r="362" spans="1:6" x14ac:dyDescent="0.2">
      <c r="A362">
        <v>2016</v>
      </c>
      <c r="B362" s="1" t="s">
        <v>166</v>
      </c>
      <c r="C362" s="7">
        <v>103779</v>
      </c>
      <c r="D362" s="6">
        <v>5.3272000000000001E-5</v>
      </c>
      <c r="E362" s="17">
        <v>8.8479217128888924E-4</v>
      </c>
      <c r="F362">
        <f>E362* VLOOKUP(A362,Check!A$2:F$11,4,FALSE)</f>
        <v>1619869.5883057653</v>
      </c>
    </row>
    <row r="363" spans="1:6" x14ac:dyDescent="0.2">
      <c r="A363">
        <v>2016</v>
      </c>
      <c r="B363" s="1" t="s">
        <v>167</v>
      </c>
      <c r="C363" s="7">
        <v>86845</v>
      </c>
      <c r="D363" s="6">
        <v>4.4579000000000001E-5</v>
      </c>
      <c r="E363" s="17">
        <v>7.4041738806101024E-4</v>
      </c>
      <c r="F363">
        <f>E363* VLOOKUP(A363,Check!A$2:F$11,4,FALSE)</f>
        <v>1355549.5273264744</v>
      </c>
    </row>
    <row r="364" spans="1:6" x14ac:dyDescent="0.2">
      <c r="A364">
        <v>2016</v>
      </c>
      <c r="B364" s="1" t="s">
        <v>168</v>
      </c>
      <c r="C364" s="7">
        <v>38676</v>
      </c>
      <c r="D364" s="6">
        <v>1.9853000000000001E-5</v>
      </c>
      <c r="E364" s="17">
        <v>3.2974129657029917E-4</v>
      </c>
      <c r="F364">
        <f>E364* VLOOKUP(A364,Check!A$2:F$11,4,FALSE)</f>
        <v>603687.41457629937</v>
      </c>
    </row>
    <row r="365" spans="1:6" x14ac:dyDescent="0.2">
      <c r="A365">
        <v>2016</v>
      </c>
      <c r="B365" s="1" t="s">
        <v>169</v>
      </c>
      <c r="C365" s="7">
        <v>566946</v>
      </c>
      <c r="D365" s="6">
        <v>2.9102700000000002E-4</v>
      </c>
      <c r="E365" s="17">
        <v>4.8336309112975706E-3</v>
      </c>
      <c r="F365">
        <f>E365* VLOOKUP(A365,Check!A$2:F$11,4,FALSE)</f>
        <v>8849368.2114069369</v>
      </c>
    </row>
    <row r="366" spans="1:6" x14ac:dyDescent="0.2">
      <c r="A366">
        <v>2016</v>
      </c>
      <c r="B366" s="1" t="s">
        <v>170</v>
      </c>
      <c r="C366" s="7">
        <v>1003807</v>
      </c>
      <c r="D366" s="6">
        <v>5.15279E-4</v>
      </c>
      <c r="E366" s="17">
        <v>8.5581916869981976E-3</v>
      </c>
      <c r="F366">
        <f>E366* VLOOKUP(A366,Check!A$2:F$11,4,FALSE)</f>
        <v>15668260.744740702</v>
      </c>
    </row>
    <row r="367" spans="1:6" x14ac:dyDescent="0.2">
      <c r="A367">
        <v>2016</v>
      </c>
      <c r="B367" s="1" t="s">
        <v>171</v>
      </c>
      <c r="C367" s="7">
        <v>17887</v>
      </c>
      <c r="D367" s="6">
        <v>9.1819999999999995E-6</v>
      </c>
      <c r="E367" s="17">
        <v>1.5249980793652243E-4</v>
      </c>
      <c r="F367">
        <f>E367* VLOOKUP(A367,Check!A$2:F$11,4,FALSE)</f>
        <v>279195.28349690425</v>
      </c>
    </row>
    <row r="368" spans="1:6" x14ac:dyDescent="0.2">
      <c r="A368">
        <v>2016</v>
      </c>
      <c r="B368" s="1" t="s">
        <v>172</v>
      </c>
      <c r="C368" s="7">
        <v>429946</v>
      </c>
      <c r="D368" s="6">
        <v>2.20702E-4</v>
      </c>
      <c r="E368" s="17">
        <v>3.6656053235912156E-3</v>
      </c>
      <c r="F368">
        <f>E368* VLOOKUP(A368,Check!A$2:F$11,4,FALSE)</f>
        <v>6710957.4192631515</v>
      </c>
    </row>
    <row r="369" spans="1:6" x14ac:dyDescent="0.2">
      <c r="A369">
        <v>2016</v>
      </c>
      <c r="B369" s="1" t="s">
        <v>173</v>
      </c>
      <c r="C369" s="7">
        <v>63824</v>
      </c>
      <c r="D369" s="6">
        <v>3.2762999999999998E-5</v>
      </c>
      <c r="E369" s="17">
        <v>5.4414646065525842E-4</v>
      </c>
      <c r="F369">
        <f>E369* VLOOKUP(A369,Check!A$2:F$11,4,FALSE)</f>
        <v>996218.47005682427</v>
      </c>
    </row>
    <row r="370" spans="1:6" x14ac:dyDescent="0.2">
      <c r="A370">
        <v>2016</v>
      </c>
      <c r="B370" s="1" t="s">
        <v>174</v>
      </c>
      <c r="C370" s="7">
        <v>166921</v>
      </c>
      <c r="D370" s="6">
        <v>8.5685000000000004E-5</v>
      </c>
      <c r="E370" s="17">
        <v>1.4231240812082665E-3</v>
      </c>
      <c r="F370">
        <f>E370* VLOOKUP(A370,Check!A$2:F$11,4,FALSE)</f>
        <v>2605442.8309155675</v>
      </c>
    </row>
    <row r="371" spans="1:6" x14ac:dyDescent="0.2">
      <c r="A371">
        <v>2016</v>
      </c>
      <c r="B371" s="1" t="s">
        <v>175</v>
      </c>
      <c r="C371" s="7">
        <v>384349</v>
      </c>
      <c r="D371" s="6">
        <v>1.9729599999999999E-4</v>
      </c>
      <c r="E371" s="17">
        <v>3.2768574205062034E-3</v>
      </c>
      <c r="F371">
        <f>E371* VLOOKUP(A371,Check!A$2:F$11,4,FALSE)</f>
        <v>5999241.2375888433</v>
      </c>
    </row>
    <row r="372" spans="1:6" x14ac:dyDescent="0.2">
      <c r="A372">
        <v>2016</v>
      </c>
      <c r="B372" s="1" t="s">
        <v>176</v>
      </c>
      <c r="C372" s="7">
        <v>285290</v>
      </c>
      <c r="D372" s="6">
        <v>1.4644699999999999E-4</v>
      </c>
      <c r="E372" s="17">
        <v>2.4323067147207738E-3</v>
      </c>
      <c r="F372">
        <f>E372* VLOOKUP(A372,Check!A$2:F$11,4,FALSE)</f>
        <v>4453045.3641656963</v>
      </c>
    </row>
    <row r="373" spans="1:6" x14ac:dyDescent="0.2">
      <c r="A373">
        <v>2016</v>
      </c>
      <c r="B373" s="1" t="s">
        <v>177</v>
      </c>
      <c r="C373" s="7">
        <v>25513</v>
      </c>
      <c r="D373" s="6">
        <v>1.3096E-5</v>
      </c>
      <c r="E373" s="17">
        <v>2.175170570741039E-4</v>
      </c>
      <c r="F373">
        <f>E373* VLOOKUP(A373,Check!A$2:F$11,4,FALSE)</f>
        <v>398228.28131360863</v>
      </c>
    </row>
    <row r="374" spans="1:6" x14ac:dyDescent="0.2">
      <c r="A374">
        <v>2016</v>
      </c>
      <c r="B374" s="1" t="s">
        <v>178</v>
      </c>
      <c r="C374" s="7">
        <v>10696</v>
      </c>
      <c r="D374" s="6">
        <v>5.4909999999999996E-6</v>
      </c>
      <c r="E374" s="17">
        <v>9.1191253183264042E-5</v>
      </c>
      <c r="F374">
        <f>E374* VLOOKUP(A374,Check!A$2:F$11,4,FALSE)</f>
        <v>166952.13016620383</v>
      </c>
    </row>
    <row r="375" spans="1:6" x14ac:dyDescent="0.2">
      <c r="A375">
        <v>2016</v>
      </c>
      <c r="B375" s="1" t="s">
        <v>179</v>
      </c>
      <c r="C375" s="7">
        <v>693629</v>
      </c>
      <c r="D375" s="6">
        <v>3.5605700000000001E-4</v>
      </c>
      <c r="E375" s="17">
        <v>5.9136964990888418E-3</v>
      </c>
      <c r="F375">
        <f>E375* VLOOKUP(A375,Check!A$2:F$11,4,FALSE)</f>
        <v>10826742.622948185</v>
      </c>
    </row>
    <row r="376" spans="1:6" x14ac:dyDescent="0.2">
      <c r="A376">
        <v>2016</v>
      </c>
      <c r="B376" s="1" t="s">
        <v>180</v>
      </c>
      <c r="C376" s="7">
        <v>101809</v>
      </c>
      <c r="D376" s="6">
        <v>5.2261E-5</v>
      </c>
      <c r="E376" s="17">
        <v>8.6799647488172487E-4</v>
      </c>
      <c r="F376">
        <f>E376* VLOOKUP(A376,Check!A$2:F$11,4,FALSE)</f>
        <v>1589120.1776450118</v>
      </c>
    </row>
    <row r="377" spans="1:6" x14ac:dyDescent="0.2">
      <c r="A377">
        <v>2016</v>
      </c>
      <c r="B377" s="1" t="s">
        <v>181</v>
      </c>
      <c r="C377" s="7">
        <v>24313</v>
      </c>
      <c r="D377" s="6">
        <v>1.2481E-5</v>
      </c>
      <c r="E377" s="17">
        <v>2.0728617601390226E-4</v>
      </c>
      <c r="F377">
        <f>E377* VLOOKUP(A377,Check!A$2:F$11,4,FALSE)</f>
        <v>379497.67583497695</v>
      </c>
    </row>
    <row r="378" spans="1:6" x14ac:dyDescent="0.2">
      <c r="A378">
        <v>2016</v>
      </c>
      <c r="B378" s="1" t="s">
        <v>182</v>
      </c>
      <c r="C378" s="7">
        <v>59755</v>
      </c>
      <c r="D378" s="6">
        <v>3.0673999999999998E-5</v>
      </c>
      <c r="E378" s="17">
        <v>5.0945524812695802E-4</v>
      </c>
      <c r="F378">
        <f>E378* VLOOKUP(A378,Check!A$2:F$11,4,FALSE)</f>
        <v>932706.10864636395</v>
      </c>
    </row>
    <row r="379" spans="1:6" x14ac:dyDescent="0.2">
      <c r="A379">
        <v>2016</v>
      </c>
      <c r="B379" s="1" t="s">
        <v>183</v>
      </c>
      <c r="C379" s="7">
        <v>1651954</v>
      </c>
      <c r="D379" s="6">
        <v>8.4798899999999995E-4</v>
      </c>
      <c r="E379" s="17">
        <v>1.4084120742436965E-2</v>
      </c>
      <c r="F379">
        <f>E379* VLOOKUP(A379,Check!A$2:F$11,4,FALSE)</f>
        <v>25785082.20237295</v>
      </c>
    </row>
    <row r="380" spans="1:6" x14ac:dyDescent="0.2">
      <c r="A380">
        <v>2016</v>
      </c>
      <c r="B380" s="1" t="s">
        <v>184</v>
      </c>
      <c r="C380" s="7">
        <v>77205</v>
      </c>
      <c r="D380" s="6">
        <v>3.9631000000000001E-5</v>
      </c>
      <c r="E380" s="17">
        <v>6.5822931021072362E-4</v>
      </c>
      <c r="F380">
        <f>E380* VLOOKUP(A380,Check!A$2:F$11,4,FALSE)</f>
        <v>1205080.3299814665</v>
      </c>
    </row>
    <row r="381" spans="1:6" x14ac:dyDescent="0.2">
      <c r="A381">
        <v>2016</v>
      </c>
      <c r="B381" s="1" t="s">
        <v>185</v>
      </c>
      <c r="C381" s="7">
        <v>9573</v>
      </c>
      <c r="D381" s="6">
        <v>4.9139999999999999E-6</v>
      </c>
      <c r="E381" s="17">
        <v>8.1616853657758671E-5</v>
      </c>
      <c r="F381">
        <f>E381* VLOOKUP(A381,Check!A$2:F$11,4,FALSE)</f>
        <v>149423.40520578434</v>
      </c>
    </row>
    <row r="382" spans="1:6" x14ac:dyDescent="0.2">
      <c r="A382">
        <v>2016</v>
      </c>
      <c r="B382" s="1" t="s">
        <v>186</v>
      </c>
      <c r="C382" s="7">
        <v>468</v>
      </c>
      <c r="D382" s="6">
        <v>2.3999999999999998E-7</v>
      </c>
      <c r="E382" s="17">
        <v>3.9900436134786435E-6</v>
      </c>
      <c r="F382">
        <f>E382* VLOOKUP(A382,Check!A$2:F$11,4,FALSE)</f>
        <v>7304.9361366663597</v>
      </c>
    </row>
    <row r="383" spans="1:6" x14ac:dyDescent="0.2">
      <c r="A383">
        <v>2016</v>
      </c>
      <c r="B383" s="1" t="s">
        <v>187</v>
      </c>
      <c r="C383" s="7">
        <v>62299</v>
      </c>
      <c r="D383" s="6">
        <v>3.1980000000000002E-5</v>
      </c>
      <c r="E383" s="17">
        <v>5.311447159745855E-4</v>
      </c>
      <c r="F383">
        <f>E383* VLOOKUP(A383,Check!A$2:F$11,4,FALSE)</f>
        <v>972414.99226106319</v>
      </c>
    </row>
    <row r="384" spans="1:6" x14ac:dyDescent="0.2">
      <c r="A384">
        <v>2016</v>
      </c>
      <c r="B384" s="1" t="s">
        <v>188</v>
      </c>
      <c r="C384" s="7">
        <v>18804</v>
      </c>
      <c r="D384" s="6">
        <v>9.6530000000000006E-6</v>
      </c>
      <c r="E384" s="17">
        <v>1.6031790621335985E-4</v>
      </c>
      <c r="F384">
        <f>E384* VLOOKUP(A384,Check!A$2:F$11,4,FALSE)</f>
        <v>293508.58785015863</v>
      </c>
    </row>
    <row r="385" spans="1:6" x14ac:dyDescent="0.2">
      <c r="A385">
        <v>2016</v>
      </c>
      <c r="B385" s="1" t="s">
        <v>189</v>
      </c>
      <c r="C385" s="7">
        <v>9847</v>
      </c>
      <c r="D385" s="6">
        <v>5.0549999999999999E-6</v>
      </c>
      <c r="E385" s="17">
        <v>8.3952904833171373E-5</v>
      </c>
      <c r="F385">
        <f>E385* VLOOKUP(A385,Check!A$2:F$11,4,FALSE)</f>
        <v>153700.2267900719</v>
      </c>
    </row>
    <row r="386" spans="1:6" x14ac:dyDescent="0.2">
      <c r="A386">
        <v>2016</v>
      </c>
      <c r="B386" s="1" t="s">
        <v>190</v>
      </c>
      <c r="C386" s="7">
        <v>6573</v>
      </c>
      <c r="D386" s="6">
        <v>3.3739999999999998E-6</v>
      </c>
      <c r="E386" s="17">
        <v>5.6039651007254536E-5</v>
      </c>
      <c r="F386">
        <f>E386* VLOOKUP(A386,Check!A$2:F$11,4,FALSE)</f>
        <v>102596.89150920509</v>
      </c>
    </row>
    <row r="387" spans="1:6" x14ac:dyDescent="0.2">
      <c r="A387">
        <v>2016</v>
      </c>
      <c r="B387" s="1" t="s">
        <v>191</v>
      </c>
      <c r="C387" s="7">
        <v>387173</v>
      </c>
      <c r="D387" s="6">
        <v>1.9874500000000001E-4</v>
      </c>
      <c r="E387" s="17">
        <v>3.3009340939345448E-3</v>
      </c>
      <c r="F387">
        <f>E387* VLOOKUP(A387,Check!A$2:F$11,4,FALSE)</f>
        <v>6043320.5958152236</v>
      </c>
    </row>
    <row r="388" spans="1:6" x14ac:dyDescent="0.2">
      <c r="A388">
        <v>2016</v>
      </c>
      <c r="B388" s="1" t="s">
        <v>192</v>
      </c>
      <c r="C388" s="7">
        <v>563099</v>
      </c>
      <c r="D388" s="6">
        <v>2.89053E-4</v>
      </c>
      <c r="E388" s="17">
        <v>4.8008324117654079E-3</v>
      </c>
      <c r="F388">
        <f>E388* VLOOKUP(A388,Check!A$2:F$11,4,FALSE)</f>
        <v>8789321.012010023</v>
      </c>
    </row>
    <row r="389" spans="1:6" x14ac:dyDescent="0.2">
      <c r="A389">
        <v>2016</v>
      </c>
      <c r="B389" s="1" t="s">
        <v>193</v>
      </c>
      <c r="C389" s="7">
        <v>48235</v>
      </c>
      <c r="D389" s="6">
        <v>2.476E-5</v>
      </c>
      <c r="E389" s="17">
        <v>4.1123878994902218E-4</v>
      </c>
      <c r="F389">
        <f>E389* VLOOKUP(A389,Check!A$2:F$11,4,FALSE)</f>
        <v>752892.29605149978</v>
      </c>
    </row>
    <row r="390" spans="1:6" x14ac:dyDescent="0.2">
      <c r="A390">
        <v>2016</v>
      </c>
      <c r="B390" s="1" t="s">
        <v>194</v>
      </c>
      <c r="C390" s="7">
        <v>4612</v>
      </c>
      <c r="D390" s="6">
        <v>2.367E-6</v>
      </c>
      <c r="E390" s="17">
        <v>3.9320686208041673E-5</v>
      </c>
      <c r="F390">
        <f>E390* VLOOKUP(A390,Check!A$2:F$11,4,FALSE)</f>
        <v>71987.960389541127</v>
      </c>
    </row>
    <row r="391" spans="1:6" x14ac:dyDescent="0.2">
      <c r="A391">
        <v>2016</v>
      </c>
      <c r="B391" s="1" t="s">
        <v>195</v>
      </c>
      <c r="C391" s="7">
        <v>782764</v>
      </c>
      <c r="D391" s="6">
        <v>4.0181199999999998E-4</v>
      </c>
      <c r="E391" s="17">
        <v>6.6736378185064038E-3</v>
      </c>
      <c r="F391">
        <f>E391* VLOOKUP(A391,Check!A$2:F$11,4,FALSE)</f>
        <v>12218036.389063049</v>
      </c>
    </row>
    <row r="392" spans="1:6" x14ac:dyDescent="0.2">
      <c r="A392">
        <v>2016</v>
      </c>
      <c r="B392" s="1" t="s">
        <v>196</v>
      </c>
      <c r="C392" s="7">
        <v>463577</v>
      </c>
      <c r="D392" s="6">
        <v>2.3796599999999999E-4</v>
      </c>
      <c r="E392" s="17">
        <v>3.9523342910375838E-3</v>
      </c>
      <c r="F392">
        <f>E392* VLOOKUP(A392,Check!A$2:F$11,4,FALSE)</f>
        <v>7235898.2466397034</v>
      </c>
    </row>
    <row r="393" spans="1:6" x14ac:dyDescent="0.2">
      <c r="A393">
        <v>2016</v>
      </c>
      <c r="B393" s="1" t="s">
        <v>197</v>
      </c>
      <c r="C393" s="7">
        <v>510036</v>
      </c>
      <c r="D393" s="6">
        <v>2.6181499999999999E-4</v>
      </c>
      <c r="E393" s="17">
        <v>4.3484313770175073E-3</v>
      </c>
      <c r="F393">
        <f>E393* VLOOKUP(A393,Check!A$2:F$11,4,FALSE)</f>
        <v>7961069.2465828285</v>
      </c>
    </row>
    <row r="394" spans="1:6" x14ac:dyDescent="0.2">
      <c r="A394">
        <v>2016</v>
      </c>
      <c r="B394" s="1" t="s">
        <v>198</v>
      </c>
      <c r="C394" s="7">
        <v>590</v>
      </c>
      <c r="D394" s="6">
        <v>3.03E-7</v>
      </c>
      <c r="E394" s="17">
        <v>5.0301831879324781E-6</v>
      </c>
      <c r="F394">
        <f>E394* VLOOKUP(A394,Check!A$2:F$11,4,FALSE)</f>
        <v>9209.2143603272489</v>
      </c>
    </row>
    <row r="395" spans="1:6" x14ac:dyDescent="0.2">
      <c r="A395">
        <v>2016</v>
      </c>
      <c r="B395" s="1" t="s">
        <v>199</v>
      </c>
      <c r="C395" s="7">
        <v>1281871</v>
      </c>
      <c r="D395" s="6">
        <v>6.58017E-4</v>
      </c>
      <c r="E395" s="17">
        <v>1.0928891446268124E-2</v>
      </c>
      <c r="F395">
        <f>E395* VLOOKUP(A395,Check!A$2:F$11,4,FALSE)</f>
        <v>20008516.646249238</v>
      </c>
    </row>
    <row r="396" spans="1:6" x14ac:dyDescent="0.2">
      <c r="A396">
        <v>2016</v>
      </c>
      <c r="B396" s="1" t="s">
        <v>200</v>
      </c>
      <c r="C396" s="7">
        <v>63185</v>
      </c>
      <c r="D396" s="6">
        <v>3.2434000000000002E-5</v>
      </c>
      <c r="E396" s="17">
        <v>5.3869851649070101E-4</v>
      </c>
      <c r="F396">
        <f>E396* VLOOKUP(A396,Check!A$2:F$11,4,FALSE)</f>
        <v>986244.42263945285</v>
      </c>
    </row>
    <row r="397" spans="1:6" x14ac:dyDescent="0.2">
      <c r="A397">
        <v>2016</v>
      </c>
      <c r="B397" s="1" t="s">
        <v>201</v>
      </c>
      <c r="C397" s="7">
        <v>22904</v>
      </c>
      <c r="D397" s="6">
        <v>1.1756999999999999E-5</v>
      </c>
      <c r="E397" s="17">
        <v>1.9527341650238216E-4</v>
      </c>
      <c r="F397">
        <f>E397* VLOOKUP(A397,Check!A$2:F$11,4,FALSE)</f>
        <v>357504.82323548355</v>
      </c>
    </row>
    <row r="398" spans="1:6" x14ac:dyDescent="0.2">
      <c r="A398">
        <v>2016</v>
      </c>
      <c r="B398" s="1" t="s">
        <v>202</v>
      </c>
      <c r="C398" s="7">
        <v>84937</v>
      </c>
      <c r="D398" s="6">
        <v>4.3600000000000003E-5</v>
      </c>
      <c r="E398" s="17">
        <v>7.2415028717528964E-4</v>
      </c>
      <c r="F398">
        <f>E398* VLOOKUP(A398,Check!A$2:F$11,4,FALSE)</f>
        <v>1325767.8646154501</v>
      </c>
    </row>
    <row r="399" spans="1:6" x14ac:dyDescent="0.2">
      <c r="A399">
        <v>2017</v>
      </c>
      <c r="B399" s="1" t="s">
        <v>5</v>
      </c>
      <c r="C399" s="7" t="s">
        <v>6</v>
      </c>
      <c r="D399" s="6">
        <v>0</v>
      </c>
      <c r="F399">
        <f>E399* VLOOKUP(A399,Check!A$2:F$11,4,FALSE)</f>
        <v>0</v>
      </c>
    </row>
    <row r="400" spans="1:6" x14ac:dyDescent="0.2">
      <c r="A400">
        <v>2017</v>
      </c>
      <c r="B400" s="1" t="s">
        <v>7</v>
      </c>
      <c r="C400" s="7">
        <v>77433</v>
      </c>
      <c r="D400" s="6">
        <v>3.8043999999999997E-5</v>
      </c>
      <c r="E400" s="17">
        <v>6.669307069046901E-4</v>
      </c>
      <c r="F400">
        <f>E400* VLOOKUP(A400,Check!A$2:F$11,4,FALSE)</f>
        <v>1279998.4152567524</v>
      </c>
    </row>
    <row r="401" spans="1:6" x14ac:dyDescent="0.2">
      <c r="A401">
        <v>2017</v>
      </c>
      <c r="B401" s="1" t="s">
        <v>8</v>
      </c>
      <c r="C401" s="7">
        <v>1200638</v>
      </c>
      <c r="D401" s="6">
        <v>5.89895E-4</v>
      </c>
      <c r="E401" s="17">
        <v>1.0341099403053392E-2</v>
      </c>
      <c r="F401">
        <f>E401* VLOOKUP(A401,Check!A$2:F$11,4,FALSE)</f>
        <v>19847025.65181559</v>
      </c>
    </row>
    <row r="402" spans="1:6" x14ac:dyDescent="0.2">
      <c r="A402">
        <v>2017</v>
      </c>
      <c r="B402" s="1" t="s">
        <v>9</v>
      </c>
      <c r="C402" s="7">
        <v>7571</v>
      </c>
      <c r="D402" s="6">
        <v>3.72E-6</v>
      </c>
      <c r="E402" s="17">
        <v>6.5209050172089538E-5</v>
      </c>
      <c r="F402">
        <f>E402* VLOOKUP(A402,Check!A$2:F$11,4,FALSE)</f>
        <v>125151.65371235614</v>
      </c>
    </row>
    <row r="403" spans="1:6" x14ac:dyDescent="0.2">
      <c r="A403">
        <v>2017</v>
      </c>
      <c r="B403" s="1" t="s">
        <v>10</v>
      </c>
      <c r="C403" s="7">
        <v>41809</v>
      </c>
      <c r="D403" s="6">
        <v>2.0542000000000001E-5</v>
      </c>
      <c r="E403" s="17">
        <v>3.6010106705123386E-4</v>
      </c>
      <c r="F403">
        <f>E403* VLOOKUP(A403,Check!A$2:F$11,4,FALSE)</f>
        <v>691119.46771363064</v>
      </c>
    </row>
    <row r="404" spans="1:6" x14ac:dyDescent="0.2">
      <c r="A404">
        <v>2017</v>
      </c>
      <c r="B404" s="1" t="s">
        <v>11</v>
      </c>
      <c r="C404" s="7">
        <v>532468</v>
      </c>
      <c r="D404" s="6">
        <v>2.6161100000000003E-4</v>
      </c>
      <c r="E404" s="17">
        <v>4.586148795011514E-3</v>
      </c>
      <c r="F404">
        <f>E404* VLOOKUP(A404,Check!A$2:F$11,4,FALSE)</f>
        <v>8801908.6975182742</v>
      </c>
    </row>
    <row r="405" spans="1:6" x14ac:dyDescent="0.2">
      <c r="A405">
        <v>2017</v>
      </c>
      <c r="B405" s="1" t="s">
        <v>12</v>
      </c>
      <c r="C405" s="7">
        <v>43786</v>
      </c>
      <c r="D405" s="6">
        <v>2.1512999999999999E-5</v>
      </c>
      <c r="E405" s="17">
        <v>3.7712897514662692E-4</v>
      </c>
      <c r="F405">
        <f>E405* VLOOKUP(A405,Check!A$2:F$11,4,FALSE)</f>
        <v>723800.06728955568</v>
      </c>
    </row>
    <row r="406" spans="1:6" x14ac:dyDescent="0.2">
      <c r="A406">
        <v>2017</v>
      </c>
      <c r="B406" s="1" t="s">
        <v>13</v>
      </c>
      <c r="C406" s="7">
        <v>10339</v>
      </c>
      <c r="D406" s="6">
        <v>5.0799999999999996E-6</v>
      </c>
      <c r="E406" s="17">
        <v>8.9049844106357641E-5</v>
      </c>
      <c r="F406">
        <f>E406* VLOOKUP(A406,Check!A$2:F$11,4,FALSE)</f>
        <v>170907.7991985273</v>
      </c>
    </row>
    <row r="407" spans="1:6" x14ac:dyDescent="0.2">
      <c r="A407">
        <v>2017</v>
      </c>
      <c r="B407" s="1" t="s">
        <v>14</v>
      </c>
      <c r="C407" s="7">
        <v>30234</v>
      </c>
      <c r="D407" s="6">
        <v>1.4854E-5</v>
      </c>
      <c r="E407" s="17">
        <v>2.6040555050890963E-4</v>
      </c>
      <c r="F407">
        <f>E407* VLOOKUP(A407,Check!A$2:F$11,4,FALSE)</f>
        <v>499780.09488038241</v>
      </c>
    </row>
    <row r="408" spans="1:6" x14ac:dyDescent="0.2">
      <c r="A408">
        <v>2017</v>
      </c>
      <c r="B408" s="1" t="s">
        <v>15</v>
      </c>
      <c r="C408" s="7">
        <v>1445385</v>
      </c>
      <c r="D408" s="6">
        <v>7.1014400000000001E-4</v>
      </c>
      <c r="E408" s="17">
        <v>1.2449106192442957E-2</v>
      </c>
      <c r="F408">
        <f>E408* VLOOKUP(A408,Check!A$2:F$11,4,FALSE)</f>
        <v>23892791.30907857</v>
      </c>
    </row>
    <row r="409" spans="1:6" x14ac:dyDescent="0.2">
      <c r="A409">
        <v>2017</v>
      </c>
      <c r="B409" s="1" t="s">
        <v>16</v>
      </c>
      <c r="C409" s="7">
        <v>312775</v>
      </c>
      <c r="D409" s="6">
        <v>1.5367199999999999E-4</v>
      </c>
      <c r="E409" s="17">
        <v>2.6939321975399952E-3</v>
      </c>
      <c r="F409">
        <f>E409* VLOOKUP(A409,Check!A$2:F$11,4,FALSE)</f>
        <v>5170295.6663429122</v>
      </c>
    </row>
    <row r="410" spans="1:6" x14ac:dyDescent="0.2">
      <c r="A410">
        <v>2017</v>
      </c>
      <c r="B410" s="1" t="s">
        <v>17</v>
      </c>
      <c r="C410" s="7">
        <v>79412</v>
      </c>
      <c r="D410" s="6">
        <v>3.9017000000000003E-5</v>
      </c>
      <c r="E410" s="17">
        <v>6.8397584100726109E-4</v>
      </c>
      <c r="F410">
        <f>E410* VLOOKUP(A410,Check!A$2:F$11,4,FALSE)</f>
        <v>1312712.075631439</v>
      </c>
    </row>
    <row r="411" spans="1:6" x14ac:dyDescent="0.2">
      <c r="A411">
        <v>2017</v>
      </c>
      <c r="B411" s="1" t="s">
        <v>18</v>
      </c>
      <c r="C411" s="7">
        <v>2044463</v>
      </c>
      <c r="D411" s="6">
        <v>1.0044819999999999E-3</v>
      </c>
      <c r="E411" s="17">
        <v>1.7608967156515741E-2</v>
      </c>
      <c r="F411">
        <f>E411* VLOOKUP(A411,Check!A$2:F$11,4,FALSE)</f>
        <v>33795789.909354739</v>
      </c>
    </row>
    <row r="412" spans="1:6" x14ac:dyDescent="0.2">
      <c r="A412">
        <v>2017</v>
      </c>
      <c r="B412" s="1" t="s">
        <v>19</v>
      </c>
      <c r="C412" s="7">
        <v>67347</v>
      </c>
      <c r="D412" s="6">
        <v>3.3089000000000001E-5</v>
      </c>
      <c r="E412" s="17">
        <v>5.8005995270634183E-4</v>
      </c>
      <c r="F412">
        <f>E412* VLOOKUP(A412,Check!A$2:F$11,4,FALSE)</f>
        <v>1113272.8071015782</v>
      </c>
    </row>
    <row r="413" spans="1:6" x14ac:dyDescent="0.2">
      <c r="A413">
        <v>2017</v>
      </c>
      <c r="B413" s="1" t="s">
        <v>20</v>
      </c>
      <c r="C413" s="7">
        <v>24312</v>
      </c>
      <c r="D413" s="6">
        <v>1.1945E-5</v>
      </c>
      <c r="E413" s="17">
        <v>2.0939934325503115E-4</v>
      </c>
      <c r="F413">
        <f>E413* VLOOKUP(A413,Check!A$2:F$11,4,FALSE)</f>
        <v>401887.06974703504</v>
      </c>
    </row>
    <row r="414" spans="1:6" x14ac:dyDescent="0.2">
      <c r="A414">
        <v>2017</v>
      </c>
      <c r="B414" s="1" t="s">
        <v>21</v>
      </c>
      <c r="C414" s="7">
        <v>5481563</v>
      </c>
      <c r="D414" s="6">
        <v>2.6931910000000002E-3</v>
      </c>
      <c r="E414" s="17">
        <v>4.7212721792163466E-2</v>
      </c>
      <c r="F414">
        <f>E414* VLOOKUP(A414,Check!A$2:F$11,4,FALSE)</f>
        <v>90612425.621247396</v>
      </c>
    </row>
    <row r="415" spans="1:6" x14ac:dyDescent="0.2">
      <c r="A415">
        <v>2017</v>
      </c>
      <c r="B415" s="1" t="s">
        <v>22</v>
      </c>
      <c r="C415" s="7" t="s">
        <v>6</v>
      </c>
      <c r="D415" s="6">
        <v>0</v>
      </c>
      <c r="F415">
        <f>E415* VLOOKUP(A415,Check!A$2:F$11,4,FALSE)</f>
        <v>0</v>
      </c>
    </row>
    <row r="416" spans="1:6" x14ac:dyDescent="0.2">
      <c r="A416">
        <v>2017</v>
      </c>
      <c r="B416" s="1" t="s">
        <v>23</v>
      </c>
      <c r="C416" s="7">
        <v>658992</v>
      </c>
      <c r="D416" s="6">
        <v>3.23775E-4</v>
      </c>
      <c r="E416" s="17">
        <v>5.6759004611023145E-3</v>
      </c>
      <c r="F416">
        <f>E416* VLOOKUP(A416,Check!A$2:F$11,4,FALSE)</f>
        <v>10893400.948779948</v>
      </c>
    </row>
    <row r="417" spans="1:6" x14ac:dyDescent="0.2">
      <c r="A417">
        <v>2017</v>
      </c>
      <c r="B417" s="1" t="s">
        <v>24</v>
      </c>
      <c r="C417" s="7">
        <v>2684397</v>
      </c>
      <c r="D417" s="6">
        <v>1.318893E-3</v>
      </c>
      <c r="E417" s="17">
        <v>2.3120720995219474E-2</v>
      </c>
      <c r="F417">
        <f>E417* VLOOKUP(A417,Check!A$2:F$11,4,FALSE)</f>
        <v>44374154.506734602</v>
      </c>
    </row>
    <row r="418" spans="1:6" x14ac:dyDescent="0.2">
      <c r="A418">
        <v>2017</v>
      </c>
      <c r="B418" s="1" t="s">
        <v>25</v>
      </c>
      <c r="C418" s="7">
        <v>59973</v>
      </c>
      <c r="D418" s="6">
        <v>2.9465999999999999E-5</v>
      </c>
      <c r="E418" s="17">
        <v>5.1654766424127929E-4</v>
      </c>
      <c r="F418">
        <f>E418* VLOOKUP(A418,Check!A$2:F$11,4,FALSE)</f>
        <v>991377.642067248</v>
      </c>
    </row>
    <row r="419" spans="1:6" x14ac:dyDescent="0.2">
      <c r="A419">
        <v>2017</v>
      </c>
      <c r="B419" s="1" t="s">
        <v>26</v>
      </c>
      <c r="C419" s="7">
        <v>53777</v>
      </c>
      <c r="D419" s="6">
        <v>2.6421999999999999E-5</v>
      </c>
      <c r="E419" s="17">
        <v>4.6318149400402308E-4</v>
      </c>
      <c r="F419">
        <f>E419* VLOOKUP(A419,Check!A$2:F$11,4,FALSE)</f>
        <v>888955.28750354983</v>
      </c>
    </row>
    <row r="420" spans="1:6" x14ac:dyDescent="0.2">
      <c r="A420">
        <v>2017</v>
      </c>
      <c r="B420" s="1" t="s">
        <v>27</v>
      </c>
      <c r="C420" s="7">
        <v>23665</v>
      </c>
      <c r="D420" s="6">
        <v>1.1627000000000001E-5</v>
      </c>
      <c r="E420" s="17">
        <v>2.0382672993296774E-4</v>
      </c>
      <c r="F420">
        <f>E420* VLOOKUP(A420,Check!A$2:F$11,4,FALSE)</f>
        <v>391191.90134763013</v>
      </c>
    </row>
    <row r="421" spans="1:6" x14ac:dyDescent="0.2">
      <c r="A421">
        <v>2017</v>
      </c>
      <c r="B421" s="1" t="s">
        <v>28</v>
      </c>
      <c r="C421" s="7">
        <v>298871</v>
      </c>
      <c r="D421" s="6">
        <v>1.4684100000000001E-4</v>
      </c>
      <c r="E421" s="17">
        <v>2.5741769956389607E-3</v>
      </c>
      <c r="F421">
        <f>E421* VLOOKUP(A421,Check!A$2:F$11,4,FALSE)</f>
        <v>4940456.993351683</v>
      </c>
    </row>
    <row r="422" spans="1:6" x14ac:dyDescent="0.2">
      <c r="A422">
        <v>2017</v>
      </c>
      <c r="B422" s="1" t="s">
        <v>29</v>
      </c>
      <c r="C422" s="7">
        <v>81584</v>
      </c>
      <c r="D422" s="6">
        <v>4.0083999999999998E-5</v>
      </c>
      <c r="E422" s="17">
        <v>7.0268328480250326E-4</v>
      </c>
      <c r="F422">
        <f>E422* VLOOKUP(A422,Check!A$2:F$11,4,FALSE)</f>
        <v>1348616.1030866283</v>
      </c>
    </row>
    <row r="423" spans="1:6" x14ac:dyDescent="0.2">
      <c r="A423">
        <v>2017</v>
      </c>
      <c r="B423" s="1" t="s">
        <v>30</v>
      </c>
      <c r="C423" s="7">
        <v>2183</v>
      </c>
      <c r="D423" s="6">
        <v>1.0729999999999999E-6</v>
      </c>
      <c r="E423" s="17">
        <v>1.8802186834720838E-5</v>
      </c>
      <c r="F423">
        <f>E423* VLOOKUP(A423,Check!A$2:F$11,4,FALSE)</f>
        <v>36085.861848378481</v>
      </c>
    </row>
    <row r="424" spans="1:6" x14ac:dyDescent="0.2">
      <c r="A424">
        <v>2017</v>
      </c>
      <c r="B424" s="1" t="s">
        <v>31</v>
      </c>
      <c r="C424" s="7">
        <v>175127</v>
      </c>
      <c r="D424" s="6">
        <v>8.6043000000000003E-5</v>
      </c>
      <c r="E424" s="17">
        <v>1.5083694795254951E-3</v>
      </c>
      <c r="F424">
        <f>E424* VLOOKUP(A424,Check!A$2:F$11,4,FALSE)</f>
        <v>2894919.2523687482</v>
      </c>
    </row>
    <row r="425" spans="1:6" x14ac:dyDescent="0.2">
      <c r="A425">
        <v>2017</v>
      </c>
      <c r="B425" s="1" t="s">
        <v>32</v>
      </c>
      <c r="C425" s="7">
        <v>1262660</v>
      </c>
      <c r="D425" s="6">
        <v>6.2036800000000005E-4</v>
      </c>
      <c r="E425" s="17">
        <v>1.087529511164847E-2</v>
      </c>
      <c r="F425">
        <f>E425* VLOOKUP(A425,Check!A$2:F$11,4,FALSE)</f>
        <v>20872274.082214184</v>
      </c>
    </row>
    <row r="426" spans="1:6" x14ac:dyDescent="0.2">
      <c r="A426">
        <v>2017</v>
      </c>
      <c r="B426" s="1" t="s">
        <v>33</v>
      </c>
      <c r="C426" s="7">
        <v>108053</v>
      </c>
      <c r="D426" s="6">
        <v>5.3087999999999997E-5</v>
      </c>
      <c r="E426" s="17">
        <v>9.3066087679894208E-4</v>
      </c>
      <c r="F426">
        <f>E426* VLOOKUP(A426,Check!A$2:F$11,4,FALSE)</f>
        <v>1786159.2442981401</v>
      </c>
    </row>
    <row r="427" spans="1:6" x14ac:dyDescent="0.2">
      <c r="A427">
        <v>2017</v>
      </c>
      <c r="B427" s="1" t="s">
        <v>34</v>
      </c>
      <c r="C427" s="7">
        <v>1175347</v>
      </c>
      <c r="D427" s="6">
        <v>5.7746900000000005E-4</v>
      </c>
      <c r="E427" s="17">
        <v>1.012326792928476E-2</v>
      </c>
      <c r="F427">
        <f>E427* VLOOKUP(A427,Check!A$2:F$11,4,FALSE)</f>
        <v>19428955.321074713</v>
      </c>
    </row>
    <row r="428" spans="1:6" x14ac:dyDescent="0.2">
      <c r="A428">
        <v>2017</v>
      </c>
      <c r="B428" s="1" t="s">
        <v>35</v>
      </c>
      <c r="C428" s="7">
        <v>322464</v>
      </c>
      <c r="D428" s="6">
        <v>1.5843300000000001E-4</v>
      </c>
      <c r="E428" s="17">
        <v>2.7773835893135225E-3</v>
      </c>
      <c r="F428">
        <f>E428* VLOOKUP(A428,Check!A$2:F$11,4,FALSE)</f>
        <v>5330458.7059438918</v>
      </c>
    </row>
    <row r="429" spans="1:6" x14ac:dyDescent="0.2">
      <c r="A429">
        <v>2017</v>
      </c>
      <c r="B429" s="1" t="s">
        <v>36</v>
      </c>
      <c r="C429" s="7">
        <v>582459</v>
      </c>
      <c r="D429" s="6">
        <v>2.8617300000000003E-4</v>
      </c>
      <c r="E429" s="17">
        <v>5.0167214574276973E-3</v>
      </c>
      <c r="F429">
        <f>E429* VLOOKUP(A429,Check!A$2:F$11,4,FALSE)</f>
        <v>9628279.8929659538</v>
      </c>
    </row>
    <row r="430" spans="1:6" x14ac:dyDescent="0.2">
      <c r="A430">
        <v>2017</v>
      </c>
      <c r="B430" s="1" t="s">
        <v>37</v>
      </c>
      <c r="C430" s="7">
        <v>26307</v>
      </c>
      <c r="D430" s="6">
        <v>1.2925000000000001E-5</v>
      </c>
      <c r="E430" s="17">
        <v>2.2658228541502567E-4</v>
      </c>
      <c r="F430">
        <f>E430* VLOOKUP(A430,Check!A$2:F$11,4,FALSE)</f>
        <v>434865.2165118152</v>
      </c>
    </row>
    <row r="431" spans="1:6" x14ac:dyDescent="0.2">
      <c r="A431">
        <v>2017</v>
      </c>
      <c r="B431" s="1" t="s">
        <v>38</v>
      </c>
      <c r="C431" s="7">
        <v>20668</v>
      </c>
      <c r="D431" s="6">
        <v>1.0155E-5</v>
      </c>
      <c r="E431" s="17">
        <v>1.7801355817682559E-4</v>
      </c>
      <c r="F431">
        <f>E431* VLOOKUP(A431,Check!A$2:F$11,4,FALSE)</f>
        <v>341650.2944032462</v>
      </c>
    </row>
    <row r="432" spans="1:6" x14ac:dyDescent="0.2">
      <c r="A432">
        <v>2017</v>
      </c>
      <c r="B432" s="1" t="s">
        <v>39</v>
      </c>
      <c r="C432" s="7">
        <v>391479</v>
      </c>
      <c r="D432" s="6">
        <v>1.9234100000000001E-4</v>
      </c>
      <c r="E432" s="17">
        <v>3.371810032006266E-3</v>
      </c>
      <c r="F432">
        <f>E432* VLOOKUP(A432,Check!A$2:F$11,4,FALSE)</f>
        <v>6471304.2192127155</v>
      </c>
    </row>
    <row r="433" spans="1:6" x14ac:dyDescent="0.2">
      <c r="A433">
        <v>2017</v>
      </c>
      <c r="B433" s="1" t="s">
        <v>40</v>
      </c>
      <c r="C433" s="7">
        <v>26620</v>
      </c>
      <c r="D433" s="6">
        <v>1.3079E-5</v>
      </c>
      <c r="E433" s="17">
        <v>2.2927815553837319E-4</v>
      </c>
      <c r="F433">
        <f>E433* VLOOKUP(A433,Check!A$2:F$11,4,FALSE)</f>
        <v>440039.23151801882</v>
      </c>
    </row>
    <row r="434" spans="1:6" x14ac:dyDescent="0.2">
      <c r="A434">
        <v>2017</v>
      </c>
      <c r="B434" s="1" t="s">
        <v>41</v>
      </c>
      <c r="C434" s="7">
        <v>438387</v>
      </c>
      <c r="D434" s="6">
        <v>2.1538699999999999E-4</v>
      </c>
      <c r="E434" s="17">
        <v>3.7758288043576562E-3</v>
      </c>
      <c r="F434">
        <f>E434* VLOOKUP(A434,Check!A$2:F$11,4,FALSE)</f>
        <v>7246712.1933692601</v>
      </c>
    </row>
    <row r="435" spans="1:6" x14ac:dyDescent="0.2">
      <c r="A435">
        <v>2017</v>
      </c>
      <c r="B435" s="1" t="s">
        <v>42</v>
      </c>
      <c r="C435" s="7">
        <v>26427</v>
      </c>
      <c r="D435" s="6">
        <v>1.2984E-5</v>
      </c>
      <c r="E435" s="17">
        <v>2.2761584584570204E-4</v>
      </c>
      <c r="F435">
        <f>E435* VLOOKUP(A435,Check!A$2:F$11,4,FALSE)</f>
        <v>436848.86443751625</v>
      </c>
    </row>
    <row r="436" spans="1:6" x14ac:dyDescent="0.2">
      <c r="A436">
        <v>2017</v>
      </c>
      <c r="B436" s="1" t="s">
        <v>43</v>
      </c>
      <c r="C436" s="7">
        <v>55927</v>
      </c>
      <c r="D436" s="6">
        <v>2.7478E-5</v>
      </c>
      <c r="E436" s="17">
        <v>4.8169945172030795E-4</v>
      </c>
      <c r="F436">
        <f>E436* VLOOKUP(A436,Check!A$2:F$11,4,FALSE)</f>
        <v>924495.64617236052</v>
      </c>
    </row>
    <row r="437" spans="1:6" x14ac:dyDescent="0.2">
      <c r="A437">
        <v>2017</v>
      </c>
      <c r="B437" s="1" t="s">
        <v>44</v>
      </c>
      <c r="C437" s="7">
        <v>1483376</v>
      </c>
      <c r="D437" s="6">
        <v>7.2880899999999997E-4</v>
      </c>
      <c r="E437" s="17">
        <v>1.2776322811791505E-2</v>
      </c>
      <c r="F437">
        <f>E437* VLOOKUP(A437,Check!A$2:F$11,4,FALSE)</f>
        <v>24520797.711956147</v>
      </c>
    </row>
    <row r="438" spans="1:6" x14ac:dyDescent="0.2">
      <c r="A438">
        <v>2017</v>
      </c>
      <c r="B438" s="1" t="s">
        <v>45</v>
      </c>
      <c r="C438" s="7">
        <v>21748</v>
      </c>
      <c r="D438" s="6">
        <v>1.0685E-5</v>
      </c>
      <c r="E438" s="17">
        <v>1.8731560205291286E-4</v>
      </c>
      <c r="F438">
        <f>E438* VLOOKUP(A438,Check!A$2:F$11,4,FALSE)</f>
        <v>359503.12573455571</v>
      </c>
    </row>
    <row r="439" spans="1:6" x14ac:dyDescent="0.2">
      <c r="A439">
        <v>2017</v>
      </c>
      <c r="B439" s="1" t="s">
        <v>46</v>
      </c>
      <c r="C439" s="7">
        <v>32593</v>
      </c>
      <c r="D439" s="6">
        <v>1.6013000000000001E-5</v>
      </c>
      <c r="E439" s="17">
        <v>2.8072362597528916E-4</v>
      </c>
      <c r="F439">
        <f>E439* VLOOKUP(A439,Check!A$2:F$11,4,FALSE)</f>
        <v>538775.30701978912</v>
      </c>
    </row>
    <row r="440" spans="1:6" x14ac:dyDescent="0.2">
      <c r="A440">
        <v>2017</v>
      </c>
      <c r="B440" s="1" t="s">
        <v>47</v>
      </c>
      <c r="C440" s="7">
        <v>1332139</v>
      </c>
      <c r="D440" s="6">
        <v>6.5450399999999998E-4</v>
      </c>
      <c r="E440" s="17">
        <v>1.1473717988006496E-2</v>
      </c>
      <c r="F440">
        <f>E440* VLOOKUP(A440,Check!A$2:F$11,4,FALSE)</f>
        <v>22020789.700795718</v>
      </c>
    </row>
    <row r="441" spans="1:6" x14ac:dyDescent="0.2">
      <c r="A441">
        <v>2017</v>
      </c>
      <c r="B441" s="1" t="s">
        <v>48</v>
      </c>
      <c r="C441" s="7">
        <v>39159</v>
      </c>
      <c r="D441" s="6">
        <v>1.9239999999999999E-5</v>
      </c>
      <c r="E441" s="17">
        <v>3.3727660754046413E-4</v>
      </c>
      <c r="F441">
        <f>E441* VLOOKUP(A441,Check!A$2:F$11,4,FALSE)</f>
        <v>647313.90935439884</v>
      </c>
    </row>
    <row r="442" spans="1:6" x14ac:dyDescent="0.2">
      <c r="A442">
        <v>2017</v>
      </c>
      <c r="B442" s="1" t="s">
        <v>49</v>
      </c>
      <c r="C442" s="7">
        <v>24544</v>
      </c>
      <c r="D442" s="6">
        <v>1.2058999999999999E-5</v>
      </c>
      <c r="E442" s="17">
        <v>2.1139756008767212E-4</v>
      </c>
      <c r="F442">
        <f>E442* VLOOKUP(A442,Check!A$2:F$11,4,FALSE)</f>
        <v>405722.12240339047</v>
      </c>
    </row>
    <row r="443" spans="1:6" x14ac:dyDescent="0.2">
      <c r="A443">
        <v>2017</v>
      </c>
      <c r="B443" s="1" t="s">
        <v>50</v>
      </c>
      <c r="C443" s="7">
        <v>951632</v>
      </c>
      <c r="D443" s="6">
        <v>4.6755400000000002E-4</v>
      </c>
      <c r="E443" s="17">
        <v>8.1964098313784053E-3</v>
      </c>
      <c r="F443">
        <f>E443* VLOOKUP(A443,Check!A$2:F$11,4,FALSE)</f>
        <v>15730857.023589604</v>
      </c>
    </row>
    <row r="444" spans="1:6" x14ac:dyDescent="0.2">
      <c r="A444">
        <v>2017</v>
      </c>
      <c r="B444" s="1" t="s">
        <v>51</v>
      </c>
      <c r="C444" s="7">
        <v>68834</v>
      </c>
      <c r="D444" s="6">
        <v>3.3819999999999998E-5</v>
      </c>
      <c r="E444" s="17">
        <v>5.9286748904313971E-4</v>
      </c>
      <c r="F444">
        <f>E444* VLOOKUP(A444,Check!A$2:F$11,4,FALSE)</f>
        <v>1137853.5109808904</v>
      </c>
    </row>
    <row r="445" spans="1:6" x14ac:dyDescent="0.2">
      <c r="A445">
        <v>2017</v>
      </c>
      <c r="B445" s="1" t="s">
        <v>52</v>
      </c>
      <c r="C445" s="7">
        <v>24733</v>
      </c>
      <c r="D445" s="6">
        <v>1.2152E-5</v>
      </c>
      <c r="E445" s="17">
        <v>2.1302541776598737E-4</v>
      </c>
      <c r="F445">
        <f>E445* VLOOKUP(A445,Check!A$2:F$11,4,FALSE)</f>
        <v>408846.36788636958</v>
      </c>
    </row>
    <row r="446" spans="1:6" x14ac:dyDescent="0.2">
      <c r="A446">
        <v>2017</v>
      </c>
      <c r="B446" s="1" t="s">
        <v>53</v>
      </c>
      <c r="C446" s="7">
        <v>765881</v>
      </c>
      <c r="D446" s="6">
        <v>3.7629100000000001E-4</v>
      </c>
      <c r="E446" s="17">
        <v>6.5965358017236967E-3</v>
      </c>
      <c r="F446">
        <f>E446* VLOOKUP(A446,Check!A$2:F$11,4,FALSE)</f>
        <v>12660318.808198789</v>
      </c>
    </row>
    <row r="447" spans="1:6" x14ac:dyDescent="0.2">
      <c r="A447">
        <v>2017</v>
      </c>
      <c r="B447" s="1" t="s">
        <v>54</v>
      </c>
      <c r="C447" s="7">
        <v>109661</v>
      </c>
      <c r="D447" s="6">
        <v>5.3878000000000002E-5</v>
      </c>
      <c r="E447" s="17">
        <v>9.4451058657000532E-4</v>
      </c>
      <c r="F447">
        <f>E447* VLOOKUP(A447,Check!A$2:F$11,4,FALSE)</f>
        <v>1812740.1265025341</v>
      </c>
    </row>
    <row r="448" spans="1:6" x14ac:dyDescent="0.2">
      <c r="A448">
        <v>2017</v>
      </c>
      <c r="B448" s="1" t="s">
        <v>55</v>
      </c>
      <c r="C448" s="7">
        <v>125372</v>
      </c>
      <c r="D448" s="6">
        <v>6.1597E-5</v>
      </c>
      <c r="E448" s="17">
        <v>1.0798294859563082E-3</v>
      </c>
      <c r="F448">
        <f>E448* VLOOKUP(A448,Check!A$2:F$11,4,FALSE)</f>
        <v>2072449.2311749458</v>
      </c>
    </row>
    <row r="449" spans="1:6" x14ac:dyDescent="0.2">
      <c r="A449">
        <v>2017</v>
      </c>
      <c r="B449" s="1" t="s">
        <v>56</v>
      </c>
      <c r="C449" s="7">
        <v>200413</v>
      </c>
      <c r="D449" s="6">
        <v>9.8466000000000002E-5</v>
      </c>
      <c r="E449" s="17">
        <v>1.7261578882761827E-3</v>
      </c>
      <c r="F449">
        <f>E449* VLOOKUP(A449,Check!A$2:F$11,4,FALSE)</f>
        <v>3312906.9311127234</v>
      </c>
    </row>
    <row r="450" spans="1:6" x14ac:dyDescent="0.2">
      <c r="A450">
        <v>2017</v>
      </c>
      <c r="B450" s="1" t="s">
        <v>57</v>
      </c>
      <c r="C450" s="7">
        <v>4470</v>
      </c>
      <c r="D450" s="6">
        <v>2.1959999999999998E-6</v>
      </c>
      <c r="E450" s="17">
        <v>3.8500126042694518E-5</v>
      </c>
      <c r="F450">
        <f>E450* VLOOKUP(A450,Check!A$2:F$11,4,FALSE)</f>
        <v>73890.885232364541</v>
      </c>
    </row>
    <row r="451" spans="1:6" x14ac:dyDescent="0.2">
      <c r="A451">
        <v>2017</v>
      </c>
      <c r="B451" s="1" t="s">
        <v>58</v>
      </c>
      <c r="C451" s="7">
        <v>195606</v>
      </c>
      <c r="D451" s="6">
        <v>9.6105000000000002E-5</v>
      </c>
      <c r="E451" s="17">
        <v>1.6847551800240055E-3</v>
      </c>
      <c r="F451">
        <f>E451* VLOOKUP(A451,Check!A$2:F$11,4,FALSE)</f>
        <v>3233445.3012890154</v>
      </c>
    </row>
    <row r="452" spans="1:6" x14ac:dyDescent="0.2">
      <c r="A452">
        <v>2017</v>
      </c>
      <c r="B452" s="1" t="s">
        <v>59</v>
      </c>
      <c r="C452" s="7">
        <v>252345</v>
      </c>
      <c r="D452" s="6">
        <v>1.2398199999999999E-4</v>
      </c>
      <c r="E452" s="17">
        <v>2.1734483906585569E-3</v>
      </c>
      <c r="F452">
        <f>E452* VLOOKUP(A452,Check!A$2:F$11,4,FALSE)</f>
        <v>4171363.6317586196</v>
      </c>
    </row>
    <row r="453" spans="1:6" x14ac:dyDescent="0.2">
      <c r="A453">
        <v>2017</v>
      </c>
      <c r="B453" s="1" t="s">
        <v>60</v>
      </c>
      <c r="C453" s="7">
        <v>70489</v>
      </c>
      <c r="D453" s="6">
        <v>3.4632000000000003E-5</v>
      </c>
      <c r="E453" s="17">
        <v>6.0712200998288461E-4</v>
      </c>
      <c r="F453">
        <f>E453* VLOOKUP(A453,Check!A$2:F$11,4,FALSE)</f>
        <v>1165211.3219561845</v>
      </c>
    </row>
    <row r="454" spans="1:6" x14ac:dyDescent="0.2">
      <c r="A454">
        <v>2017</v>
      </c>
      <c r="B454" s="1" t="s">
        <v>61</v>
      </c>
      <c r="C454" s="7">
        <v>33090</v>
      </c>
      <c r="D454" s="6">
        <v>1.6257999999999999E-5</v>
      </c>
      <c r="E454" s="17">
        <v>2.850042887590071E-4</v>
      </c>
      <c r="F454">
        <f>E454* VLOOKUP(A454,Check!A$2:F$11,4,FALSE)</f>
        <v>546990.91551206773</v>
      </c>
    </row>
    <row r="455" spans="1:6" x14ac:dyDescent="0.2">
      <c r="A455">
        <v>2017</v>
      </c>
      <c r="B455" s="1" t="s">
        <v>62</v>
      </c>
      <c r="C455" s="7">
        <v>733042</v>
      </c>
      <c r="D455" s="6">
        <v>3.60157E-4</v>
      </c>
      <c r="E455" s="17">
        <v>6.313693376865521E-3</v>
      </c>
      <c r="F455">
        <f>E455* VLOOKUP(A455,Check!A$2:F$11,4,FALSE)</f>
        <v>12117477.022931313</v>
      </c>
    </row>
    <row r="456" spans="1:6" x14ac:dyDescent="0.2">
      <c r="A456">
        <v>2017</v>
      </c>
      <c r="B456" s="1" t="s">
        <v>63</v>
      </c>
      <c r="C456" s="7">
        <v>1051784</v>
      </c>
      <c r="D456" s="6">
        <v>5.1676000000000001E-4</v>
      </c>
      <c r="E456" s="17">
        <v>9.0590193668208981E-3</v>
      </c>
      <c r="F456">
        <f>E456* VLOOKUP(A456,Check!A$2:F$11,4,FALSE)</f>
        <v>17386409.58237971</v>
      </c>
    </row>
    <row r="457" spans="1:6" x14ac:dyDescent="0.2">
      <c r="A457">
        <v>2017</v>
      </c>
      <c r="B457" s="1" t="s">
        <v>64</v>
      </c>
      <c r="C457" s="7">
        <v>221704</v>
      </c>
      <c r="D457" s="6">
        <v>1.08927E-4</v>
      </c>
      <c r="E457" s="17">
        <v>1.9095373476889364E-3</v>
      </c>
      <c r="F457">
        <f>E457* VLOOKUP(A457,Check!A$2:F$11,4,FALSE)</f>
        <v>3664855.6643302343</v>
      </c>
    </row>
    <row r="458" spans="1:6" x14ac:dyDescent="0.2">
      <c r="A458">
        <v>2017</v>
      </c>
      <c r="B458" s="1" t="s">
        <v>65</v>
      </c>
      <c r="C458" s="7">
        <v>151643</v>
      </c>
      <c r="D458" s="6">
        <v>7.4505000000000006E-5</v>
      </c>
      <c r="E458" s="17">
        <v>1.306101703242131E-3</v>
      </c>
      <c r="F458">
        <f>E458* VLOOKUP(A458,Check!A$2:F$11,4,FALSE)</f>
        <v>2506719.3533090507</v>
      </c>
    </row>
    <row r="459" spans="1:6" x14ac:dyDescent="0.2">
      <c r="A459">
        <v>2017</v>
      </c>
      <c r="B459" s="1" t="s">
        <v>66</v>
      </c>
      <c r="C459" s="7">
        <v>658849</v>
      </c>
      <c r="D459" s="6">
        <v>3.2370400000000002E-4</v>
      </c>
      <c r="E459" s="17">
        <v>5.6746688015890919E-3</v>
      </c>
      <c r="F459">
        <f>E459* VLOOKUP(A459,Check!A$2:F$11,4,FALSE)</f>
        <v>10891037.101668488</v>
      </c>
    </row>
    <row r="460" spans="1:6" x14ac:dyDescent="0.2">
      <c r="A460">
        <v>2017</v>
      </c>
      <c r="B460" s="1" t="s">
        <v>67</v>
      </c>
      <c r="C460" s="7">
        <v>426474</v>
      </c>
      <c r="D460" s="6">
        <v>2.0953399999999999E-4</v>
      </c>
      <c r="E460" s="17">
        <v>3.6732220926022604E-3</v>
      </c>
      <c r="F460">
        <f>E460* VLOOKUP(A460,Check!A$2:F$11,4,FALSE)</f>
        <v>7049785.5455452874</v>
      </c>
    </row>
    <row r="461" spans="1:6" x14ac:dyDescent="0.2">
      <c r="A461">
        <v>2017</v>
      </c>
      <c r="B461" s="1" t="s">
        <v>68</v>
      </c>
      <c r="C461" s="7">
        <v>20668</v>
      </c>
      <c r="D461" s="6">
        <v>1.0155E-5</v>
      </c>
      <c r="E461" s="17">
        <v>1.7801355817682559E-4</v>
      </c>
      <c r="F461">
        <f>E461* VLOOKUP(A461,Check!A$2:F$11,4,FALSE)</f>
        <v>341650.2944032462</v>
      </c>
    </row>
    <row r="462" spans="1:6" x14ac:dyDescent="0.2">
      <c r="A462">
        <v>2017</v>
      </c>
      <c r="B462" s="1" t="s">
        <v>69</v>
      </c>
      <c r="C462" s="7">
        <v>343396</v>
      </c>
      <c r="D462" s="6">
        <v>1.6871599999999999E-4</v>
      </c>
      <c r="E462" s="17">
        <v>2.9576709804378363E-3</v>
      </c>
      <c r="F462">
        <f>E462* VLOOKUP(A462,Check!A$2:F$11,4,FALSE)</f>
        <v>5676473.0257836813</v>
      </c>
    </row>
    <row r="463" spans="1:6" x14ac:dyDescent="0.2">
      <c r="A463">
        <v>2017</v>
      </c>
      <c r="B463" s="1" t="s">
        <v>70</v>
      </c>
      <c r="C463" s="7">
        <v>124782</v>
      </c>
      <c r="D463" s="6">
        <v>6.1308000000000003E-5</v>
      </c>
      <c r="E463" s="17">
        <v>1.074747813838816E-3</v>
      </c>
      <c r="F463">
        <f>E463* VLOOKUP(A463,Check!A$2:F$11,4,FALSE)</f>
        <v>2062696.2955402487</v>
      </c>
    </row>
    <row r="464" spans="1:6" x14ac:dyDescent="0.2">
      <c r="A464">
        <v>2017</v>
      </c>
      <c r="B464" s="1" t="s">
        <v>71</v>
      </c>
      <c r="C464" s="7">
        <v>8475</v>
      </c>
      <c r="D464" s="6">
        <v>4.1640000000000003E-6</v>
      </c>
      <c r="E464" s="17">
        <v>7.2995205416518134E-5</v>
      </c>
      <c r="F464">
        <f>E464* VLOOKUP(A464,Check!A$2:F$11,4,FALSE)</f>
        <v>140095.13475263747</v>
      </c>
    </row>
    <row r="465" spans="1:6" x14ac:dyDescent="0.2">
      <c r="A465">
        <v>2017</v>
      </c>
      <c r="B465" s="1" t="s">
        <v>72</v>
      </c>
      <c r="C465" s="7">
        <v>29824</v>
      </c>
      <c r="D465" s="6">
        <v>1.4653E-5</v>
      </c>
      <c r="E465" s="17">
        <v>2.5687421903743205E-4</v>
      </c>
      <c r="F465">
        <f>E465* VLOOKUP(A465,Check!A$2:F$11,4,FALSE)</f>
        <v>493002.6311342371</v>
      </c>
    </row>
    <row r="466" spans="1:6" x14ac:dyDescent="0.2">
      <c r="A466">
        <v>2017</v>
      </c>
      <c r="B466" s="1" t="s">
        <v>73</v>
      </c>
      <c r="C466" s="7">
        <v>12128</v>
      </c>
      <c r="D466" s="6">
        <v>5.959E-6</v>
      </c>
      <c r="E466" s="17">
        <v>1.0445850752702442E-4</v>
      </c>
      <c r="F466">
        <f>E466* VLOOKUP(A466,Check!A$2:F$11,4,FALSE)</f>
        <v>200480.68369085394</v>
      </c>
    </row>
    <row r="467" spans="1:6" x14ac:dyDescent="0.2">
      <c r="A467">
        <v>2017</v>
      </c>
      <c r="B467" s="1" t="s">
        <v>74</v>
      </c>
      <c r="C467" s="7">
        <v>5156</v>
      </c>
      <c r="D467" s="6">
        <v>2.5330000000000001E-6</v>
      </c>
      <c r="E467" s="17">
        <v>4.4408646504727729E-5</v>
      </c>
      <c r="F467">
        <f>E467* VLOOKUP(A467,Check!A$2:F$11,4,FALSE)</f>
        <v>85230.739207622275</v>
      </c>
    </row>
    <row r="468" spans="1:6" x14ac:dyDescent="0.2">
      <c r="A468">
        <v>2017</v>
      </c>
      <c r="B468" s="1" t="s">
        <v>75</v>
      </c>
      <c r="C468" s="7">
        <v>47822</v>
      </c>
      <c r="D468" s="6">
        <v>2.3496E-5</v>
      </c>
      <c r="E468" s="17">
        <v>4.118910576317086E-4</v>
      </c>
      <c r="F468">
        <f>E468* VLOOKUP(A468,Check!A$2:F$11,4,FALSE)</f>
        <v>790516.75919063471</v>
      </c>
    </row>
    <row r="469" spans="1:6" x14ac:dyDescent="0.2">
      <c r="A469">
        <v>2017</v>
      </c>
      <c r="B469" s="1" t="s">
        <v>76</v>
      </c>
      <c r="C469" s="7">
        <v>107453</v>
      </c>
      <c r="D469" s="6">
        <v>5.2794000000000003E-5</v>
      </c>
      <c r="E469" s="17">
        <v>9.2549307464556024E-4</v>
      </c>
      <c r="F469">
        <f>E469* VLOOKUP(A469,Check!A$2:F$11,4,FALSE)</f>
        <v>1776241.0046696346</v>
      </c>
    </row>
    <row r="470" spans="1:6" x14ac:dyDescent="0.2">
      <c r="A470">
        <v>2017</v>
      </c>
      <c r="B470" s="1" t="s">
        <v>77</v>
      </c>
      <c r="C470" s="7">
        <v>10340</v>
      </c>
      <c r="D470" s="6">
        <v>5.0799999999999996E-6</v>
      </c>
      <c r="E470" s="17">
        <v>8.9058457109946615E-5</v>
      </c>
      <c r="F470">
        <f>E470* VLOOKUP(A470,Check!A$2:F$11,4,FALSE)</f>
        <v>170924.32959790813</v>
      </c>
    </row>
    <row r="471" spans="1:6" x14ac:dyDescent="0.2">
      <c r="A471">
        <v>2017</v>
      </c>
      <c r="B471" s="1" t="s">
        <v>78</v>
      </c>
      <c r="C471" s="7">
        <v>3465570</v>
      </c>
      <c r="D471" s="6">
        <v>1.702697E-3</v>
      </c>
      <c r="E471" s="17">
        <v>2.9848966847825693E-2</v>
      </c>
      <c r="F471">
        <f>E471* VLOOKUP(A471,Check!A$2:F$11,4,FALSE)</f>
        <v>57287256.18226523</v>
      </c>
    </row>
    <row r="472" spans="1:6" x14ac:dyDescent="0.2">
      <c r="A472">
        <v>2017</v>
      </c>
      <c r="B472" s="1" t="s">
        <v>79</v>
      </c>
      <c r="C472" s="7">
        <v>128933</v>
      </c>
      <c r="D472" s="6">
        <v>6.3347000000000002E-5</v>
      </c>
      <c r="E472" s="17">
        <v>1.1105003917366292E-3</v>
      </c>
      <c r="F472">
        <f>E472* VLOOKUP(A472,Check!A$2:F$11,4,FALSE)</f>
        <v>2131313.9833701244</v>
      </c>
    </row>
    <row r="473" spans="1:6" x14ac:dyDescent="0.2">
      <c r="A473">
        <v>2017</v>
      </c>
      <c r="B473" s="1" t="s">
        <v>80</v>
      </c>
      <c r="C473" s="7">
        <v>78699</v>
      </c>
      <c r="D473" s="6">
        <v>3.8665999999999999E-5</v>
      </c>
      <c r="E473" s="17">
        <v>6.7783476944832579E-4</v>
      </c>
      <c r="F473">
        <f>E473* VLOOKUP(A473,Check!A$2:F$11,4,FALSE)</f>
        <v>1300925.9008728988</v>
      </c>
    </row>
    <row r="474" spans="1:6" x14ac:dyDescent="0.2">
      <c r="A474">
        <v>2017</v>
      </c>
      <c r="B474" s="1" t="s">
        <v>81</v>
      </c>
      <c r="C474" s="7">
        <v>99509</v>
      </c>
      <c r="D474" s="6">
        <v>4.8890000000000001E-5</v>
      </c>
      <c r="E474" s="17">
        <v>8.5707137413478505E-4</v>
      </c>
      <c r="F474">
        <f>E474* VLOOKUP(A474,Check!A$2:F$11,4,FALSE)</f>
        <v>1644923.5119882245</v>
      </c>
    </row>
    <row r="475" spans="1:6" x14ac:dyDescent="0.2">
      <c r="A475">
        <v>2017</v>
      </c>
      <c r="B475" s="1" t="s">
        <v>82</v>
      </c>
      <c r="C475" s="7">
        <v>2559</v>
      </c>
      <c r="D475" s="6">
        <v>1.257E-6</v>
      </c>
      <c r="E475" s="17">
        <v>2.2040676184173442E-5</v>
      </c>
      <c r="F475">
        <f>E475* VLOOKUP(A475,Check!A$2:F$11,4,FALSE)</f>
        <v>42301.292015575134</v>
      </c>
    </row>
    <row r="476" spans="1:6" x14ac:dyDescent="0.2">
      <c r="A476">
        <v>2017</v>
      </c>
      <c r="B476" s="1" t="s">
        <v>83</v>
      </c>
      <c r="C476" s="7">
        <v>343635</v>
      </c>
      <c r="D476" s="6">
        <v>1.68834E-4</v>
      </c>
      <c r="E476" s="17">
        <v>2.9597294882956001E-3</v>
      </c>
      <c r="F476">
        <f>E476* VLOOKUP(A476,Check!A$2:F$11,4,FALSE)</f>
        <v>5680423.7912357021</v>
      </c>
    </row>
    <row r="477" spans="1:6" x14ac:dyDescent="0.2">
      <c r="A477">
        <v>2017</v>
      </c>
      <c r="B477" s="1" t="s">
        <v>84</v>
      </c>
      <c r="C477" s="7">
        <v>21582</v>
      </c>
      <c r="D477" s="6">
        <v>1.0604E-5</v>
      </c>
      <c r="E477" s="17">
        <v>1.8588584345714389E-4</v>
      </c>
      <c r="F477">
        <f>E477* VLOOKUP(A477,Check!A$2:F$11,4,FALSE)</f>
        <v>356759.07943733589</v>
      </c>
    </row>
    <row r="478" spans="1:6" x14ac:dyDescent="0.2">
      <c r="A478">
        <v>2017</v>
      </c>
      <c r="B478" s="1" t="s">
        <v>85</v>
      </c>
      <c r="C478" s="7">
        <v>312321</v>
      </c>
      <c r="D478" s="6">
        <v>1.53449E-4</v>
      </c>
      <c r="E478" s="17">
        <v>2.690021893910603E-3</v>
      </c>
      <c r="F478">
        <f>E478* VLOOKUP(A478,Check!A$2:F$11,4,FALSE)</f>
        <v>5162790.8650240097</v>
      </c>
    </row>
    <row r="479" spans="1:6" x14ac:dyDescent="0.2">
      <c r="A479">
        <v>2017</v>
      </c>
      <c r="B479" s="1" t="s">
        <v>86</v>
      </c>
      <c r="C479" s="7">
        <v>16919</v>
      </c>
      <c r="D479" s="6">
        <v>8.3129999999999999E-6</v>
      </c>
      <c r="E479" s="17">
        <v>1.4572340772177821E-4</v>
      </c>
      <c r="F479">
        <f>E479* VLOOKUP(A479,Check!A$2:F$11,4,FALSE)</f>
        <v>279677.82712446881</v>
      </c>
    </row>
    <row r="480" spans="1:6" x14ac:dyDescent="0.2">
      <c r="A480">
        <v>2017</v>
      </c>
      <c r="B480" s="1" t="s">
        <v>87</v>
      </c>
      <c r="C480" s="7">
        <v>10340</v>
      </c>
      <c r="D480" s="6">
        <v>5.0799999999999996E-6</v>
      </c>
      <c r="E480" s="17">
        <v>8.9058457109946615E-5</v>
      </c>
      <c r="F480">
        <f>E480* VLOOKUP(A480,Check!A$2:F$11,4,FALSE)</f>
        <v>170924.32959790813</v>
      </c>
    </row>
    <row r="481" spans="1:6" x14ac:dyDescent="0.2">
      <c r="A481">
        <v>2017</v>
      </c>
      <c r="B481" s="1" t="s">
        <v>88</v>
      </c>
      <c r="C481" s="7">
        <v>587085</v>
      </c>
      <c r="D481" s="6">
        <v>2.8844500000000002E-4</v>
      </c>
      <c r="E481" s="17">
        <v>5.0565652120302717E-3</v>
      </c>
      <c r="F481">
        <f>E481* VLOOKUP(A481,Check!A$2:F$11,4,FALSE)</f>
        <v>9704749.520501731</v>
      </c>
    </row>
    <row r="482" spans="1:6" x14ac:dyDescent="0.2">
      <c r="A482">
        <v>2017</v>
      </c>
      <c r="B482" s="1" t="s">
        <v>89</v>
      </c>
      <c r="C482" s="7">
        <v>977174</v>
      </c>
      <c r="D482" s="6">
        <v>4.8010400000000002E-4</v>
      </c>
      <c r="E482" s="17">
        <v>8.4164031690478688E-3</v>
      </c>
      <c r="F482">
        <f>E482* VLOOKUP(A482,Check!A$2:F$11,4,FALSE)</f>
        <v>16153076.484575074</v>
      </c>
    </row>
    <row r="483" spans="1:6" x14ac:dyDescent="0.2">
      <c r="A483">
        <v>2017</v>
      </c>
      <c r="B483" s="1" t="s">
        <v>90</v>
      </c>
      <c r="C483" s="7">
        <v>34868</v>
      </c>
      <c r="D483" s="6">
        <v>1.7130999999999999E-5</v>
      </c>
      <c r="E483" s="17">
        <v>3.0031820914019523E-4</v>
      </c>
      <c r="F483">
        <f>E483* VLOOKUP(A483,Check!A$2:F$11,4,FALSE)</f>
        <v>576381.96561120509</v>
      </c>
    </row>
    <row r="484" spans="1:6" x14ac:dyDescent="0.2">
      <c r="A484">
        <v>2017</v>
      </c>
      <c r="B484" s="1" t="s">
        <v>91</v>
      </c>
      <c r="C484" s="7">
        <v>157699</v>
      </c>
      <c r="D484" s="6">
        <v>7.7480999999999999E-5</v>
      </c>
      <c r="E484" s="17">
        <v>1.3582620529769313E-3</v>
      </c>
      <c r="F484">
        <f>E484* VLOOKUP(A484,Check!A$2:F$11,4,FALSE)</f>
        <v>2606827.4519594307</v>
      </c>
    </row>
    <row r="485" spans="1:6" x14ac:dyDescent="0.2">
      <c r="A485">
        <v>2017</v>
      </c>
      <c r="B485" s="1" t="s">
        <v>92</v>
      </c>
      <c r="C485" s="7">
        <v>1669720</v>
      </c>
      <c r="D485" s="6">
        <v>8.2036399999999997E-4</v>
      </c>
      <c r="E485" s="17">
        <v>1.4381304352574474E-2</v>
      </c>
      <c r="F485">
        <f>E485* VLOOKUP(A485,Check!A$2:F$11,4,FALSE)</f>
        <v>27601138.454179805</v>
      </c>
    </row>
    <row r="486" spans="1:6" x14ac:dyDescent="0.2">
      <c r="A486">
        <v>2017</v>
      </c>
      <c r="B486" s="1" t="s">
        <v>93</v>
      </c>
      <c r="C486" s="7">
        <v>108162</v>
      </c>
      <c r="D486" s="6">
        <v>5.3142E-5</v>
      </c>
      <c r="E486" s="17">
        <v>9.315996941901398E-4</v>
      </c>
      <c r="F486">
        <f>E486* VLOOKUP(A486,Check!A$2:F$11,4,FALSE)</f>
        <v>1787961.0578306518</v>
      </c>
    </row>
    <row r="487" spans="1:6" x14ac:dyDescent="0.2">
      <c r="A487">
        <v>2017</v>
      </c>
      <c r="B487" s="1" t="s">
        <v>94</v>
      </c>
      <c r="C487" s="7">
        <v>2216064</v>
      </c>
      <c r="D487" s="6">
        <v>1.0887920000000001E-3</v>
      </c>
      <c r="E487" s="17">
        <v>1.9086967185386529E-2</v>
      </c>
      <c r="F487">
        <f>E487* VLOOKUP(A487,Check!A$2:F$11,4,FALSE)</f>
        <v>36632422.973506637</v>
      </c>
    </row>
    <row r="488" spans="1:6" x14ac:dyDescent="0.2">
      <c r="A488">
        <v>2017</v>
      </c>
      <c r="B488" s="1" t="s">
        <v>95</v>
      </c>
      <c r="C488" s="7">
        <v>104518</v>
      </c>
      <c r="D488" s="6">
        <v>5.1351999999999999E-5</v>
      </c>
      <c r="E488" s="17">
        <v>9.0021390911193425E-4</v>
      </c>
      <c r="F488">
        <f>E488* VLOOKUP(A488,Check!A$2:F$11,4,FALSE)</f>
        <v>1727724.282486863</v>
      </c>
    </row>
    <row r="489" spans="1:6" x14ac:dyDescent="0.2">
      <c r="A489">
        <v>2017</v>
      </c>
      <c r="B489" s="1" t="s">
        <v>96</v>
      </c>
      <c r="C489" s="7">
        <v>5813442</v>
      </c>
      <c r="D489" s="6">
        <v>2.8562489999999999E-3</v>
      </c>
      <c r="E489" s="17">
        <v>5.0071196810267143E-2</v>
      </c>
      <c r="F489">
        <f>E489* VLOOKUP(A489,Check!A$2:F$11,4,FALSE)</f>
        <v>96098518.03736192</v>
      </c>
    </row>
    <row r="490" spans="1:6" x14ac:dyDescent="0.2">
      <c r="A490">
        <v>2017</v>
      </c>
      <c r="B490" s="1" t="s">
        <v>97</v>
      </c>
      <c r="C490" s="7">
        <v>5467062</v>
      </c>
      <c r="D490" s="6">
        <v>2.6860669999999999E-3</v>
      </c>
      <c r="E490" s="17">
        <v>4.7087824627119822E-2</v>
      </c>
      <c r="F490">
        <f>E490* VLOOKUP(A490,Check!A$2:F$11,4,FALSE)</f>
        <v>90372718.299825802</v>
      </c>
    </row>
    <row r="491" spans="1:6" x14ac:dyDescent="0.2">
      <c r="A491">
        <v>2017</v>
      </c>
      <c r="B491" s="1" t="s">
        <v>98</v>
      </c>
      <c r="C491" s="7">
        <v>127364</v>
      </c>
      <c r="D491" s="6">
        <v>6.2576000000000005E-5</v>
      </c>
      <c r="E491" s="17">
        <v>1.0969865891055357E-3</v>
      </c>
      <c r="F491">
        <f>E491* VLOOKUP(A491,Check!A$2:F$11,4,FALSE)</f>
        <v>2105377.7867415831</v>
      </c>
    </row>
    <row r="492" spans="1:6" x14ac:dyDescent="0.2">
      <c r="A492">
        <v>2017</v>
      </c>
      <c r="B492" s="1" t="s">
        <v>99</v>
      </c>
      <c r="C492" s="7" t="s">
        <v>6</v>
      </c>
      <c r="D492" s="6">
        <v>0</v>
      </c>
      <c r="F492">
        <f>E492* VLOOKUP(A492,Check!A$2:F$11,4,FALSE)</f>
        <v>0</v>
      </c>
    </row>
    <row r="493" spans="1:6" x14ac:dyDescent="0.2">
      <c r="A493">
        <v>2017</v>
      </c>
      <c r="B493" s="1" t="s">
        <v>99</v>
      </c>
      <c r="C493" s="7">
        <v>10372</v>
      </c>
      <c r="D493" s="6">
        <v>5.096E-6</v>
      </c>
      <c r="E493" s="17">
        <v>8.9334073224793642E-5</v>
      </c>
      <c r="F493">
        <f>E493* VLOOKUP(A493,Check!A$2:F$11,4,FALSE)</f>
        <v>171453.30237809508</v>
      </c>
    </row>
    <row r="494" spans="1:6" x14ac:dyDescent="0.2">
      <c r="A494">
        <v>2017</v>
      </c>
      <c r="B494" s="1" t="s">
        <v>100</v>
      </c>
      <c r="C494" s="7">
        <v>216075</v>
      </c>
      <c r="D494" s="6">
        <v>1.06161E-4</v>
      </c>
      <c r="E494" s="17">
        <v>1.8610547504866262E-3</v>
      </c>
      <c r="F494">
        <f>E494* VLOOKUP(A494,Check!A$2:F$11,4,FALSE)</f>
        <v>3571806.0462154741</v>
      </c>
    </row>
    <row r="495" spans="1:6" x14ac:dyDescent="0.2">
      <c r="A495">
        <v>2017</v>
      </c>
      <c r="B495" s="1" t="s">
        <v>101</v>
      </c>
      <c r="C495" s="7">
        <v>250284</v>
      </c>
      <c r="D495" s="6">
        <v>1.2296900000000001E-4</v>
      </c>
      <c r="E495" s="17">
        <v>2.1556969902616903E-3</v>
      </c>
      <c r="F495">
        <f>E495* VLOOKUP(A495,Check!A$2:F$11,4,FALSE)</f>
        <v>4137294.4786347039</v>
      </c>
    </row>
    <row r="496" spans="1:6" x14ac:dyDescent="0.2">
      <c r="A496">
        <v>2017</v>
      </c>
      <c r="B496" s="1" t="s">
        <v>102</v>
      </c>
      <c r="C496" s="7">
        <v>22393</v>
      </c>
      <c r="D496" s="6">
        <v>1.1002000000000001E-5</v>
      </c>
      <c r="E496" s="17">
        <v>1.9287098936779831E-4</v>
      </c>
      <c r="F496">
        <f>E496* VLOOKUP(A496,Check!A$2:F$11,4,FALSE)</f>
        <v>370165.23333519895</v>
      </c>
    </row>
    <row r="497" spans="1:6" x14ac:dyDescent="0.2">
      <c r="A497">
        <v>2017</v>
      </c>
      <c r="B497" s="1" t="s">
        <v>103</v>
      </c>
      <c r="C497" s="7">
        <v>4156709</v>
      </c>
      <c r="D497" s="6">
        <v>2.042267E-3</v>
      </c>
      <c r="E497" s="17">
        <v>3.5801749535302616E-2</v>
      </c>
      <c r="F497">
        <f>E497* VLOOKUP(A497,Check!A$2:F$11,4,FALSE)</f>
        <v>68712059.879941106</v>
      </c>
    </row>
    <row r="498" spans="1:6" x14ac:dyDescent="0.2">
      <c r="A498">
        <v>2017</v>
      </c>
      <c r="B498" s="1" t="s">
        <v>104</v>
      </c>
      <c r="C498" s="7">
        <v>46122</v>
      </c>
      <c r="D498" s="6">
        <v>2.2660999999999999E-5</v>
      </c>
      <c r="E498" s="17">
        <v>3.9724895153046011E-4</v>
      </c>
      <c r="F498">
        <f>E498* VLOOKUP(A498,Check!A$2:F$11,4,FALSE)</f>
        <v>762415.08024320297</v>
      </c>
    </row>
    <row r="499" spans="1:6" x14ac:dyDescent="0.2">
      <c r="A499">
        <v>2017</v>
      </c>
      <c r="B499" s="1" t="s">
        <v>105</v>
      </c>
      <c r="C499" s="7">
        <v>69825</v>
      </c>
      <c r="D499" s="6">
        <v>3.4306E-5</v>
      </c>
      <c r="E499" s="17">
        <v>6.0140297559980874E-4</v>
      </c>
      <c r="F499">
        <f>E499* VLOOKUP(A499,Check!A$2:F$11,4,FALSE)</f>
        <v>1154235.1367673052</v>
      </c>
    </row>
    <row r="500" spans="1:6" x14ac:dyDescent="0.2">
      <c r="A500">
        <v>2017</v>
      </c>
      <c r="B500" s="1" t="s">
        <v>106</v>
      </c>
      <c r="C500" s="7">
        <v>305190</v>
      </c>
      <c r="D500" s="6">
        <v>1.4994499999999999E-4</v>
      </c>
      <c r="E500" s="17">
        <v>2.6286025653176602E-3</v>
      </c>
      <c r="F500">
        <f>E500* VLOOKUP(A500,Check!A$2:F$11,4,FALSE)</f>
        <v>5044912.5870392248</v>
      </c>
    </row>
    <row r="501" spans="1:6" x14ac:dyDescent="0.2">
      <c r="A501">
        <v>2017</v>
      </c>
      <c r="B501" s="1" t="s">
        <v>107</v>
      </c>
      <c r="C501" s="7">
        <v>573560</v>
      </c>
      <c r="D501" s="6">
        <v>2.8180099999999998E-4</v>
      </c>
      <c r="E501" s="17">
        <v>4.9400743384894561E-3</v>
      </c>
      <c r="F501">
        <f>E501* VLOOKUP(A501,Check!A$2:F$11,4,FALSE)</f>
        <v>9481175.8688758407</v>
      </c>
    </row>
    <row r="502" spans="1:6" x14ac:dyDescent="0.2">
      <c r="A502">
        <v>2017</v>
      </c>
      <c r="B502" s="1" t="s">
        <v>108</v>
      </c>
      <c r="C502" s="7">
        <v>672832</v>
      </c>
      <c r="D502" s="6">
        <v>3.30575E-4</v>
      </c>
      <c r="E502" s="17">
        <v>5.7951044307736552E-3</v>
      </c>
      <c r="F502">
        <f>E502* VLOOKUP(A502,Check!A$2:F$11,4,FALSE)</f>
        <v>11122181.676210804</v>
      </c>
    </row>
    <row r="503" spans="1:6" x14ac:dyDescent="0.2">
      <c r="A503">
        <v>2017</v>
      </c>
      <c r="B503" s="1" t="s">
        <v>109</v>
      </c>
      <c r="C503" s="7">
        <v>289819</v>
      </c>
      <c r="D503" s="6">
        <v>1.4239400000000001E-4</v>
      </c>
      <c r="E503" s="17">
        <v>2.4962120871516069E-3</v>
      </c>
      <c r="F503">
        <f>E503* VLOOKUP(A503,Check!A$2:F$11,4,FALSE)</f>
        <v>4790823.8181562992</v>
      </c>
    </row>
    <row r="504" spans="1:6" x14ac:dyDescent="0.2">
      <c r="A504">
        <v>2017</v>
      </c>
      <c r="B504" s="1" t="s">
        <v>110</v>
      </c>
      <c r="C504" s="7">
        <v>247202</v>
      </c>
      <c r="D504" s="6">
        <v>1.21455E-4</v>
      </c>
      <c r="E504" s="17">
        <v>2.1291517132004858E-3</v>
      </c>
      <c r="F504">
        <f>E504* VLOOKUP(A504,Check!A$2:F$11,4,FALSE)</f>
        <v>4086347.7877429486</v>
      </c>
    </row>
    <row r="505" spans="1:6" x14ac:dyDescent="0.2">
      <c r="A505">
        <v>2017</v>
      </c>
      <c r="B505" s="1" t="s">
        <v>111</v>
      </c>
      <c r="C505" s="7">
        <v>15825</v>
      </c>
      <c r="D505" s="6">
        <v>7.7749999999999993E-6</v>
      </c>
      <c r="E505" s="17">
        <v>1.3630078179544536E-4</v>
      </c>
      <c r="F505">
        <f>E505* VLOOKUP(A505,Check!A$2:F$11,4,FALSE)</f>
        <v>261593.57020182748</v>
      </c>
    </row>
    <row r="506" spans="1:6" x14ac:dyDescent="0.2">
      <c r="A506">
        <v>2017</v>
      </c>
      <c r="B506" s="1" t="s">
        <v>112</v>
      </c>
      <c r="C506" s="7">
        <v>46149</v>
      </c>
      <c r="D506" s="6">
        <v>2.2674E-5</v>
      </c>
      <c r="E506" s="17">
        <v>3.974815026273623E-4</v>
      </c>
      <c r="F506">
        <f>E506* VLOOKUP(A506,Check!A$2:F$11,4,FALSE)</f>
        <v>762861.40102648572</v>
      </c>
    </row>
    <row r="507" spans="1:6" x14ac:dyDescent="0.2">
      <c r="A507">
        <v>2017</v>
      </c>
      <c r="B507" s="1" t="s">
        <v>113</v>
      </c>
      <c r="C507" s="7">
        <v>243932</v>
      </c>
      <c r="D507" s="6">
        <v>1.19848E-4</v>
      </c>
      <c r="E507" s="17">
        <v>2.1009871914645546E-3</v>
      </c>
      <c r="F507">
        <f>E507* VLOOKUP(A507,Check!A$2:F$11,4,FALSE)</f>
        <v>4032293.3817675943</v>
      </c>
    </row>
    <row r="508" spans="1:6" x14ac:dyDescent="0.2">
      <c r="A508">
        <v>2017</v>
      </c>
      <c r="B508" s="1" t="s">
        <v>114</v>
      </c>
      <c r="C508" s="7">
        <v>83097</v>
      </c>
      <c r="D508" s="6">
        <v>4.0827000000000001E-5</v>
      </c>
      <c r="E508" s="17">
        <v>7.1571475923261449E-4</v>
      </c>
      <c r="F508">
        <f>E508* VLOOKUP(A508,Check!A$2:F$11,4,FALSE)</f>
        <v>1373626.5973498425</v>
      </c>
    </row>
    <row r="509" spans="1:6" x14ac:dyDescent="0.2">
      <c r="A509">
        <v>2017</v>
      </c>
      <c r="B509" s="1" t="s">
        <v>115</v>
      </c>
      <c r="C509" s="7">
        <v>88112</v>
      </c>
      <c r="D509" s="6">
        <v>4.3291000000000003E-5</v>
      </c>
      <c r="E509" s="17">
        <v>7.5890897223129751E-4</v>
      </c>
      <c r="F509">
        <f>E509* VLOOKUP(A509,Check!A$2:F$11,4,FALSE)</f>
        <v>1456526.5502447661</v>
      </c>
    </row>
    <row r="510" spans="1:6" x14ac:dyDescent="0.2">
      <c r="A510">
        <v>2017</v>
      </c>
      <c r="B510" s="1" t="s">
        <v>116</v>
      </c>
      <c r="C510" s="7">
        <v>321637</v>
      </c>
      <c r="D510" s="6">
        <v>1.5802599999999999E-4</v>
      </c>
      <c r="E510" s="17">
        <v>2.7702606353454447E-3</v>
      </c>
      <c r="F510">
        <f>E510* VLOOKUP(A510,Check!A$2:F$11,4,FALSE)</f>
        <v>5316788.0656559356</v>
      </c>
    </row>
    <row r="511" spans="1:6" x14ac:dyDescent="0.2">
      <c r="A511">
        <v>2017</v>
      </c>
      <c r="B511" s="1" t="s">
        <v>117</v>
      </c>
      <c r="C511" s="7">
        <v>463544</v>
      </c>
      <c r="D511" s="6">
        <v>2.27748E-4</v>
      </c>
      <c r="E511" s="17">
        <v>3.9925061356453663E-3</v>
      </c>
      <c r="F511">
        <f>E511* VLOOKUP(A511,Check!A$2:F$11,4,FALSE)</f>
        <v>7662567.4505931064</v>
      </c>
    </row>
    <row r="512" spans="1:6" x14ac:dyDescent="0.2">
      <c r="A512">
        <v>2017</v>
      </c>
      <c r="B512" s="1" t="s">
        <v>118</v>
      </c>
      <c r="C512" s="7">
        <v>47939</v>
      </c>
      <c r="D512" s="6">
        <v>2.3553E-5</v>
      </c>
      <c r="E512" s="17">
        <v>4.1289877905161806E-4</v>
      </c>
      <c r="F512">
        <f>E512* VLOOKUP(A512,Check!A$2:F$11,4,FALSE)</f>
        <v>792450.8159181932</v>
      </c>
    </row>
    <row r="513" spans="1:6" x14ac:dyDescent="0.2">
      <c r="A513">
        <v>2017</v>
      </c>
      <c r="B513" s="1" t="s">
        <v>119</v>
      </c>
      <c r="C513" s="7">
        <v>60224</v>
      </c>
      <c r="D513" s="6">
        <v>2.9589000000000001E-5</v>
      </c>
      <c r="E513" s="17">
        <v>5.1870952814211068E-4</v>
      </c>
      <c r="F513">
        <f>E513* VLOOKUP(A513,Check!A$2:F$11,4,FALSE)</f>
        <v>995526.77231183928</v>
      </c>
    </row>
    <row r="514" spans="1:6" x14ac:dyDescent="0.2">
      <c r="A514">
        <v>2017</v>
      </c>
      <c r="B514" s="1" t="s">
        <v>120</v>
      </c>
      <c r="C514" s="7">
        <v>1206977</v>
      </c>
      <c r="D514" s="6">
        <v>5.9301000000000004E-4</v>
      </c>
      <c r="E514" s="17">
        <v>1.0395697232803871E-2</v>
      </c>
      <c r="F514">
        <f>E514* VLOOKUP(A514,Check!A$2:F$11,4,FALSE)</f>
        <v>19951811.853490748</v>
      </c>
    </row>
    <row r="515" spans="1:6" x14ac:dyDescent="0.2">
      <c r="A515">
        <v>2017</v>
      </c>
      <c r="B515" s="1" t="s">
        <v>121</v>
      </c>
      <c r="C515" s="7">
        <v>1365929</v>
      </c>
      <c r="D515" s="6">
        <v>6.7110599999999998E-4</v>
      </c>
      <c r="E515" s="17">
        <v>1.1764751379277781E-2</v>
      </c>
      <c r="F515">
        <f>E515* VLOOKUP(A515,Check!A$2:F$11,4,FALSE)</f>
        <v>22579351.895874377</v>
      </c>
    </row>
    <row r="516" spans="1:6" x14ac:dyDescent="0.2">
      <c r="A516">
        <v>2017</v>
      </c>
      <c r="B516" s="1" t="s">
        <v>122</v>
      </c>
      <c r="C516" s="7">
        <v>619299</v>
      </c>
      <c r="D516" s="6">
        <v>3.0427299999999998E-4</v>
      </c>
      <c r="E516" s="17">
        <v>5.3340245096453413E-3</v>
      </c>
      <c r="F516">
        <f>E516* VLOOKUP(A516,Check!A$2:F$11,4,FALSE)</f>
        <v>10237259.806156181</v>
      </c>
    </row>
    <row r="517" spans="1:6" x14ac:dyDescent="0.2">
      <c r="A517">
        <v>2017</v>
      </c>
      <c r="B517" s="1" t="s">
        <v>123</v>
      </c>
      <c r="C517" s="7">
        <v>1375753</v>
      </c>
      <c r="D517" s="6">
        <v>6.7593199999999997E-4</v>
      </c>
      <c r="E517" s="17">
        <v>1.1849365526535821E-2</v>
      </c>
      <c r="F517">
        <f>E517* VLOOKUP(A517,Check!A$2:F$11,4,FALSE)</f>
        <v>22741746.539391771</v>
      </c>
    </row>
    <row r="518" spans="1:6" x14ac:dyDescent="0.2">
      <c r="A518">
        <v>2017</v>
      </c>
      <c r="B518" s="1" t="s">
        <v>124</v>
      </c>
      <c r="C518" s="7">
        <v>3754</v>
      </c>
      <c r="D518" s="6">
        <v>1.844E-6</v>
      </c>
      <c r="E518" s="17">
        <v>3.2333215472992222E-5</v>
      </c>
      <c r="F518">
        <f>E518* VLOOKUP(A518,Check!A$2:F$11,4,FALSE)</f>
        <v>62055.119275681536</v>
      </c>
    </row>
    <row r="519" spans="1:6" x14ac:dyDescent="0.2">
      <c r="A519">
        <v>2017</v>
      </c>
      <c r="B519" s="1" t="s">
        <v>125</v>
      </c>
      <c r="C519" s="7">
        <v>24154</v>
      </c>
      <c r="D519" s="6">
        <v>1.1867E-5</v>
      </c>
      <c r="E519" s="17">
        <v>2.0803848868797392E-4</v>
      </c>
      <c r="F519">
        <f>E519* VLOOKUP(A519,Check!A$2:F$11,4,FALSE)</f>
        <v>399275.26664486196</v>
      </c>
    </row>
    <row r="520" spans="1:6" x14ac:dyDescent="0.2">
      <c r="A520">
        <v>2017</v>
      </c>
      <c r="B520" s="1" t="s">
        <v>126</v>
      </c>
      <c r="C520" s="7">
        <v>106811</v>
      </c>
      <c r="D520" s="6">
        <v>5.2478000000000001E-5</v>
      </c>
      <c r="E520" s="17">
        <v>9.1996352634144166E-4</v>
      </c>
      <c r="F520">
        <f>E520* VLOOKUP(A520,Check!A$2:F$11,4,FALSE)</f>
        <v>1765628.4882671339</v>
      </c>
    </row>
    <row r="521" spans="1:6" x14ac:dyDescent="0.2">
      <c r="A521">
        <v>2017</v>
      </c>
      <c r="B521" s="1" t="s">
        <v>127</v>
      </c>
      <c r="C521" s="7">
        <v>153431</v>
      </c>
      <c r="D521" s="6">
        <v>7.5383000000000007E-5</v>
      </c>
      <c r="E521" s="17">
        <v>1.3215017536592087E-3</v>
      </c>
      <c r="F521">
        <f>E521* VLOOKUP(A521,Check!A$2:F$11,4,FALSE)</f>
        <v>2536275.7074019965</v>
      </c>
    </row>
    <row r="522" spans="1:6" x14ac:dyDescent="0.2">
      <c r="A522">
        <v>2017</v>
      </c>
      <c r="B522" s="1" t="s">
        <v>128</v>
      </c>
      <c r="C522" s="7">
        <v>221194</v>
      </c>
      <c r="D522" s="6">
        <v>1.08677E-4</v>
      </c>
      <c r="E522" s="17">
        <v>1.905144715858562E-3</v>
      </c>
      <c r="F522">
        <f>E522* VLOOKUP(A522,Check!A$2:F$11,4,FALSE)</f>
        <v>3656425.1606460051</v>
      </c>
    </row>
    <row r="523" spans="1:6" x14ac:dyDescent="0.2">
      <c r="A523">
        <v>2017</v>
      </c>
      <c r="B523" s="1" t="s">
        <v>129</v>
      </c>
      <c r="C523" s="7">
        <v>29720</v>
      </c>
      <c r="D523" s="6">
        <v>1.4602E-5</v>
      </c>
      <c r="E523" s="17">
        <v>2.5597846666417922E-4</v>
      </c>
      <c r="F523">
        <f>E523* VLOOKUP(A523,Check!A$2:F$11,4,FALSE)</f>
        <v>491283.46959862951</v>
      </c>
    </row>
    <row r="524" spans="1:6" x14ac:dyDescent="0.2">
      <c r="A524">
        <v>2017</v>
      </c>
      <c r="B524" s="1" t="s">
        <v>130</v>
      </c>
      <c r="C524" s="7">
        <v>71544</v>
      </c>
      <c r="D524" s="6">
        <v>3.5151000000000003E-5</v>
      </c>
      <c r="E524" s="17">
        <v>6.1620872876924756E-4</v>
      </c>
      <c r="F524">
        <f>E524* VLOOKUP(A524,Check!A$2:F$11,4,FALSE)</f>
        <v>1182650.8933029727</v>
      </c>
    </row>
    <row r="525" spans="1:6" x14ac:dyDescent="0.2">
      <c r="A525">
        <v>2017</v>
      </c>
      <c r="B525" s="1" t="s">
        <v>131</v>
      </c>
      <c r="C525" s="7">
        <v>72170</v>
      </c>
      <c r="D525" s="6">
        <v>3.5457999999999998E-5</v>
      </c>
      <c r="E525" s="17">
        <v>6.2160046901594266E-4</v>
      </c>
      <c r="F525">
        <f>E525* VLOOKUP(A525,Check!A$2:F$11,4,FALSE)</f>
        <v>1192998.92331538</v>
      </c>
    </row>
    <row r="526" spans="1:6" x14ac:dyDescent="0.2">
      <c r="A526">
        <v>2017</v>
      </c>
      <c r="B526" s="1" t="s">
        <v>132</v>
      </c>
      <c r="C526" s="7" t="s">
        <v>6</v>
      </c>
      <c r="D526" s="6">
        <v>0</v>
      </c>
      <c r="F526">
        <f>E526* VLOOKUP(A526,Check!A$2:F$11,4,FALSE)</f>
        <v>0</v>
      </c>
    </row>
    <row r="527" spans="1:6" x14ac:dyDescent="0.2">
      <c r="A527">
        <v>2017</v>
      </c>
      <c r="B527" s="1" t="s">
        <v>133</v>
      </c>
      <c r="C527" s="7">
        <v>64311</v>
      </c>
      <c r="D527" s="6">
        <v>3.1597000000000003E-5</v>
      </c>
      <c r="E527" s="17">
        <v>5.5391087381022981E-4</v>
      </c>
      <c r="F527">
        <f>E527* VLOOKUP(A527,Check!A$2:F$11,4,FALSE)</f>
        <v>1063086.5145813413</v>
      </c>
    </row>
    <row r="528" spans="1:6" x14ac:dyDescent="0.2">
      <c r="A528">
        <v>2017</v>
      </c>
      <c r="B528" s="1" t="s">
        <v>134</v>
      </c>
      <c r="C528" s="7">
        <v>160472</v>
      </c>
      <c r="D528" s="6">
        <v>7.8843000000000004E-5</v>
      </c>
      <c r="E528" s="17">
        <v>1.3821459119291444E-3</v>
      </c>
      <c r="F528">
        <f>E528* VLOOKUP(A528,Check!A$2:F$11,4,FALSE)</f>
        <v>2652666.2494425061</v>
      </c>
    </row>
    <row r="529" spans="1:6" x14ac:dyDescent="0.2">
      <c r="A529">
        <v>2017</v>
      </c>
      <c r="B529" s="1" t="s">
        <v>135</v>
      </c>
      <c r="C529" s="7">
        <v>17126</v>
      </c>
      <c r="D529" s="6">
        <v>8.4139999999999994E-6</v>
      </c>
      <c r="E529" s="17">
        <v>1.4750629946469492E-4</v>
      </c>
      <c r="F529">
        <f>E529* VLOOKUP(A529,Check!A$2:F$11,4,FALSE)</f>
        <v>283099.61979630316</v>
      </c>
    </row>
    <row r="530" spans="1:6" x14ac:dyDescent="0.2">
      <c r="A530">
        <v>2017</v>
      </c>
      <c r="B530" s="1" t="s">
        <v>136</v>
      </c>
      <c r="C530" s="7">
        <v>353280</v>
      </c>
      <c r="D530" s="6">
        <v>1.73573E-4</v>
      </c>
      <c r="E530" s="17">
        <v>3.0428019079112127E-3</v>
      </c>
      <c r="F530">
        <f>E530* VLOOKUP(A530,Check!A$2:F$11,4,FALSE)</f>
        <v>5839859.4932639254</v>
      </c>
    </row>
    <row r="531" spans="1:6" x14ac:dyDescent="0.2">
      <c r="A531">
        <v>2017</v>
      </c>
      <c r="B531" s="1" t="s">
        <v>137</v>
      </c>
      <c r="C531" s="7">
        <v>12442017</v>
      </c>
      <c r="D531" s="6">
        <v>6.1129890000000001E-3</v>
      </c>
      <c r="E531" s="17">
        <v>0.10716313707502191</v>
      </c>
      <c r="F531">
        <f>E531* VLOOKUP(A531,Check!A$2:F$11,4,FALSE)</f>
        <v>205671510.11322784</v>
      </c>
    </row>
    <row r="532" spans="1:6" x14ac:dyDescent="0.2">
      <c r="A532">
        <v>2017</v>
      </c>
      <c r="B532" s="1" t="s">
        <v>138</v>
      </c>
      <c r="C532" s="7">
        <v>193572</v>
      </c>
      <c r="D532" s="6">
        <v>9.5105000000000005E-5</v>
      </c>
      <c r="E532" s="17">
        <v>1.6672363307240411E-3</v>
      </c>
      <c r="F532">
        <f>E532* VLOOKUP(A532,Check!A$2:F$11,4,FALSE)</f>
        <v>3199822.4689483824</v>
      </c>
    </row>
    <row r="533" spans="1:6" x14ac:dyDescent="0.2">
      <c r="A533">
        <v>2017</v>
      </c>
      <c r="B533" s="1" t="s">
        <v>139</v>
      </c>
      <c r="C533" s="7">
        <v>16609195</v>
      </c>
      <c r="D533" s="6">
        <v>8.1603990000000005E-3</v>
      </c>
      <c r="E533" s="17">
        <v>0.14305505614489747</v>
      </c>
      <c r="F533">
        <f>E533* VLOOKUP(A533,Check!A$2:F$11,4,FALSE)</f>
        <v>274556626.74428701</v>
      </c>
    </row>
    <row r="534" spans="1:6" x14ac:dyDescent="0.2">
      <c r="A534">
        <v>2017</v>
      </c>
      <c r="B534" s="1" t="s">
        <v>140</v>
      </c>
      <c r="C534" s="7">
        <v>22311</v>
      </c>
      <c r="D534" s="6">
        <v>1.0961999999999999E-5</v>
      </c>
      <c r="E534" s="17">
        <v>1.9216472307350278E-4</v>
      </c>
      <c r="F534">
        <f>E534* VLOOKUP(A534,Check!A$2:F$11,4,FALSE)</f>
        <v>368809.74058596982</v>
      </c>
    </row>
    <row r="535" spans="1:6" x14ac:dyDescent="0.2">
      <c r="A535">
        <v>2017</v>
      </c>
      <c r="B535" s="1" t="s">
        <v>141</v>
      </c>
      <c r="C535" s="7">
        <v>47777</v>
      </c>
      <c r="D535" s="6">
        <v>2.3473999999999999E-5</v>
      </c>
      <c r="E535" s="17">
        <v>4.1150347247020496E-4</v>
      </c>
      <c r="F535">
        <f>E535* VLOOKUP(A535,Check!A$2:F$11,4,FALSE)</f>
        <v>789772.89121849684</v>
      </c>
    </row>
    <row r="536" spans="1:6" x14ac:dyDescent="0.2">
      <c r="A536">
        <v>2017</v>
      </c>
      <c r="B536" s="1" t="s">
        <v>142</v>
      </c>
      <c r="C536" s="7">
        <v>96118</v>
      </c>
      <c r="D536" s="6">
        <v>4.7224000000000001E-5</v>
      </c>
      <c r="E536" s="17">
        <v>8.2786467896458886E-4</v>
      </c>
      <c r="F536">
        <f>E536* VLOOKUP(A536,Check!A$2:F$11,4,FALSE)</f>
        <v>1588868.9276877886</v>
      </c>
    </row>
    <row r="537" spans="1:6" x14ac:dyDescent="0.2">
      <c r="A537">
        <v>2017</v>
      </c>
      <c r="B537" s="1" t="s">
        <v>143</v>
      </c>
      <c r="C537" s="7">
        <v>29325</v>
      </c>
      <c r="D537" s="6">
        <v>1.4408E-5</v>
      </c>
      <c r="E537" s="17">
        <v>2.5257633024653619E-4</v>
      </c>
      <c r="F537">
        <f>E537* VLOOKUP(A537,Check!A$2:F$11,4,FALSE)</f>
        <v>484753.96184319688</v>
      </c>
    </row>
    <row r="538" spans="1:6" x14ac:dyDescent="0.2">
      <c r="A538">
        <v>2017</v>
      </c>
      <c r="B538" s="1" t="s">
        <v>144</v>
      </c>
      <c r="C538" s="7">
        <v>128470</v>
      </c>
      <c r="D538" s="6">
        <v>6.3120000000000006E-5</v>
      </c>
      <c r="E538" s="17">
        <v>1.1065125710749363E-3</v>
      </c>
      <c r="F538">
        <f>E538* VLOOKUP(A538,Check!A$2:F$11,4,FALSE)</f>
        <v>2123660.4084567949</v>
      </c>
    </row>
    <row r="539" spans="1:6" x14ac:dyDescent="0.2">
      <c r="A539">
        <v>2017</v>
      </c>
      <c r="B539" s="1" t="s">
        <v>145</v>
      </c>
      <c r="C539" s="7">
        <v>1769615</v>
      </c>
      <c r="D539" s="6">
        <v>8.6944400000000003E-4</v>
      </c>
      <c r="E539" s="17">
        <v>1.5241700346094601E-2</v>
      </c>
      <c r="F539">
        <f>E539* VLOOKUP(A539,Check!A$2:F$11,4,FALSE)</f>
        <v>29252442.700329032</v>
      </c>
    </row>
    <row r="540" spans="1:6" x14ac:dyDescent="0.2">
      <c r="A540">
        <v>2017</v>
      </c>
      <c r="B540" s="1" t="s">
        <v>146</v>
      </c>
      <c r="C540" s="7">
        <v>414088</v>
      </c>
      <c r="D540" s="6">
        <v>2.03449E-4</v>
      </c>
      <c r="E540" s="17">
        <v>3.5665414301492815E-3</v>
      </c>
      <c r="F540">
        <f>E540* VLOOKUP(A540,Check!A$2:F$11,4,FALSE)</f>
        <v>6845040.0188141763</v>
      </c>
    </row>
    <row r="541" spans="1:6" x14ac:dyDescent="0.2">
      <c r="A541">
        <v>2017</v>
      </c>
      <c r="B541" s="1" t="s">
        <v>147</v>
      </c>
      <c r="C541" s="7">
        <v>29695</v>
      </c>
      <c r="D541" s="6">
        <v>1.4589999999999999E-5</v>
      </c>
      <c r="E541" s="17">
        <v>2.5576314157445501E-4</v>
      </c>
      <c r="F541">
        <f>E541* VLOOKUP(A541,Check!A$2:F$11,4,FALSE)</f>
        <v>490870.20961410855</v>
      </c>
    </row>
    <row r="542" spans="1:6" x14ac:dyDescent="0.2">
      <c r="A542">
        <v>2017</v>
      </c>
      <c r="B542" s="1" t="s">
        <v>148</v>
      </c>
      <c r="C542" s="7">
        <v>710241</v>
      </c>
      <c r="D542" s="6">
        <v>3.4895400000000001E-4</v>
      </c>
      <c r="E542" s="17">
        <v>6.1173082820334228E-3</v>
      </c>
      <c r="F542">
        <f>E542* VLOOKUP(A542,Check!A$2:F$11,4,FALSE)</f>
        <v>11740567.386648729</v>
      </c>
    </row>
    <row r="543" spans="1:6" x14ac:dyDescent="0.2">
      <c r="A543">
        <v>2017</v>
      </c>
      <c r="B543" s="1" t="s">
        <v>149</v>
      </c>
      <c r="C543" s="7">
        <v>12868</v>
      </c>
      <c r="D543" s="6">
        <v>6.3219999999999998E-6</v>
      </c>
      <c r="E543" s="17">
        <v>1.1083213018286199E-4</v>
      </c>
      <c r="F543">
        <f>E543* VLOOKUP(A543,Check!A$2:F$11,4,FALSE)</f>
        <v>212713.17923267715</v>
      </c>
    </row>
    <row r="544" spans="1:6" x14ac:dyDescent="0.2">
      <c r="A544">
        <v>2017</v>
      </c>
      <c r="B544" s="1" t="s">
        <v>150</v>
      </c>
      <c r="C544" s="7">
        <v>27305</v>
      </c>
      <c r="D544" s="6">
        <v>1.3416E-5</v>
      </c>
      <c r="E544" s="17">
        <v>2.3517806299681743E-4</v>
      </c>
      <c r="F544">
        <f>E544* VLOOKUP(A544,Check!A$2:F$11,4,FALSE)</f>
        <v>451362.5550938957</v>
      </c>
    </row>
    <row r="545" spans="1:6" x14ac:dyDescent="0.2">
      <c r="A545">
        <v>2017</v>
      </c>
      <c r="B545" s="1" t="s">
        <v>151</v>
      </c>
      <c r="C545" s="7">
        <v>38799</v>
      </c>
      <c r="D545" s="6">
        <v>1.9062000000000001E-5</v>
      </c>
      <c r="E545" s="17">
        <v>3.3417592624843508E-4</v>
      </c>
      <c r="F545">
        <f>E545* VLOOKUP(A545,Check!A$2:F$11,4,FALSE)</f>
        <v>641362.96557729575</v>
      </c>
    </row>
    <row r="546" spans="1:6" x14ac:dyDescent="0.2">
      <c r="A546">
        <v>2017</v>
      </c>
      <c r="B546" s="1" t="s">
        <v>152</v>
      </c>
      <c r="C546" s="7">
        <v>829995</v>
      </c>
      <c r="D546" s="6">
        <v>4.0779199999999997E-4</v>
      </c>
      <c r="E546" s="17">
        <v>7.1487499138268989E-3</v>
      </c>
      <c r="F546">
        <f>E546* VLOOKUP(A546,Check!A$2:F$11,4,FALSE)</f>
        <v>13720148.834102103</v>
      </c>
    </row>
    <row r="547" spans="1:6" x14ac:dyDescent="0.2">
      <c r="A547">
        <v>2017</v>
      </c>
      <c r="B547" s="1" t="s">
        <v>153</v>
      </c>
      <c r="C547" s="7">
        <v>2220500</v>
      </c>
      <c r="D547" s="6">
        <v>1.0909719999999999E-3</v>
      </c>
      <c r="E547" s="17">
        <v>1.9125174469307199E-2</v>
      </c>
      <c r="F547">
        <f>E547* VLOOKUP(A547,Check!A$2:F$11,4,FALSE)</f>
        <v>36705751.825160056</v>
      </c>
    </row>
    <row r="548" spans="1:6" x14ac:dyDescent="0.2">
      <c r="A548">
        <v>2017</v>
      </c>
      <c r="B548" s="1" t="s">
        <v>154</v>
      </c>
      <c r="C548" s="7">
        <v>630949</v>
      </c>
      <c r="D548" s="6">
        <v>3.0999599999999999E-4</v>
      </c>
      <c r="E548" s="17">
        <v>5.4343660014568376E-3</v>
      </c>
      <c r="F548">
        <f>E548* VLOOKUP(A548,Check!A$2:F$11,4,FALSE)</f>
        <v>10429838.958942991</v>
      </c>
    </row>
    <row r="549" spans="1:6" x14ac:dyDescent="0.2">
      <c r="A549">
        <v>2017</v>
      </c>
      <c r="B549" s="1" t="s">
        <v>155</v>
      </c>
      <c r="C549" s="7">
        <v>109453</v>
      </c>
      <c r="D549" s="6">
        <v>5.3776000000000001E-5</v>
      </c>
      <c r="E549" s="17">
        <v>9.4271908182349965E-4</v>
      </c>
      <c r="F549">
        <f>E549* VLOOKUP(A549,Check!A$2:F$11,4,FALSE)</f>
        <v>1809301.8034313191</v>
      </c>
    </row>
    <row r="550" spans="1:6" x14ac:dyDescent="0.2">
      <c r="A550">
        <v>2017</v>
      </c>
      <c r="B550" s="1" t="s">
        <v>156</v>
      </c>
      <c r="C550" s="7">
        <v>622810</v>
      </c>
      <c r="D550" s="6">
        <v>3.0599799999999998E-4</v>
      </c>
      <c r="E550" s="17">
        <v>5.3642647652462133E-3</v>
      </c>
      <c r="F550">
        <f>E550* VLOOKUP(A550,Check!A$2:F$11,4,FALSE)</f>
        <v>10295298.038382316</v>
      </c>
    </row>
    <row r="551" spans="1:6" x14ac:dyDescent="0.2">
      <c r="A551">
        <v>2017</v>
      </c>
      <c r="B551" s="1" t="s">
        <v>157</v>
      </c>
      <c r="C551" s="7">
        <v>8894</v>
      </c>
      <c r="D551" s="6">
        <v>4.3699999999999997E-6</v>
      </c>
      <c r="E551" s="17">
        <v>7.6604053920296437E-5</v>
      </c>
      <c r="F551">
        <f>E551* VLOOKUP(A551,Check!A$2:F$11,4,FALSE)</f>
        <v>147021.37209321035</v>
      </c>
    </row>
    <row r="552" spans="1:6" x14ac:dyDescent="0.2">
      <c r="A552">
        <v>2017</v>
      </c>
      <c r="B552" s="1" t="s">
        <v>158</v>
      </c>
      <c r="C552" s="7">
        <v>167735</v>
      </c>
      <c r="D552" s="6">
        <v>8.2410999999999994E-5</v>
      </c>
      <c r="E552" s="17">
        <v>1.4447021569958312E-3</v>
      </c>
      <c r="F552">
        <f>E552* VLOOKUP(A552,Check!A$2:F$11,4,FALSE)</f>
        <v>2772726.540145563</v>
      </c>
    </row>
    <row r="553" spans="1:6" x14ac:dyDescent="0.2">
      <c r="A553">
        <v>2017</v>
      </c>
      <c r="B553" s="1" t="s">
        <v>159</v>
      </c>
      <c r="C553" s="7">
        <v>67597</v>
      </c>
      <c r="D553" s="6">
        <v>3.3210999999999998E-5</v>
      </c>
      <c r="E553" s="17">
        <v>5.8221320360358423E-4</v>
      </c>
      <c r="F553">
        <f>E553* VLOOKUP(A553,Check!A$2:F$11,4,FALSE)</f>
        <v>1117405.4069467888</v>
      </c>
    </row>
    <row r="554" spans="1:6" x14ac:dyDescent="0.2">
      <c r="A554">
        <v>2017</v>
      </c>
      <c r="B554" s="1" t="s">
        <v>160</v>
      </c>
      <c r="C554" s="7">
        <v>240818</v>
      </c>
      <c r="D554" s="6">
        <v>1.18318E-4</v>
      </c>
      <c r="E554" s="17">
        <v>2.074166298288503E-3</v>
      </c>
      <c r="F554">
        <f>E554* VLOOKUP(A554,Check!A$2:F$11,4,FALSE)</f>
        <v>3980817.7180956514</v>
      </c>
    </row>
    <row r="555" spans="1:6" x14ac:dyDescent="0.2">
      <c r="A555">
        <v>2017</v>
      </c>
      <c r="B555" s="1" t="s">
        <v>161</v>
      </c>
      <c r="C555" s="7">
        <v>429057</v>
      </c>
      <c r="D555" s="6">
        <v>2.1080400000000001E-4</v>
      </c>
      <c r="E555" s="17">
        <v>3.695469480872569E-3</v>
      </c>
      <c r="F555">
        <f>E555* VLOOKUP(A555,Check!A$2:F$11,4,FALSE)</f>
        <v>7092483.5671460032</v>
      </c>
    </row>
    <row r="556" spans="1:6" x14ac:dyDescent="0.2">
      <c r="A556">
        <v>2017</v>
      </c>
      <c r="B556" s="1" t="s">
        <v>162</v>
      </c>
      <c r="C556" s="7">
        <v>1098303</v>
      </c>
      <c r="D556" s="6">
        <v>5.3961600000000003E-4</v>
      </c>
      <c r="E556" s="17">
        <v>9.4596876807761798E-3</v>
      </c>
      <c r="F556">
        <f>E556* VLOOKUP(A556,Check!A$2:F$11,4,FALSE)</f>
        <v>18155387.23117711</v>
      </c>
    </row>
    <row r="557" spans="1:6" x14ac:dyDescent="0.2">
      <c r="A557">
        <v>2017</v>
      </c>
      <c r="B557" s="1" t="s">
        <v>163</v>
      </c>
      <c r="C557" s="7">
        <v>1989232</v>
      </c>
      <c r="D557" s="6">
        <v>9.7734600000000003E-4</v>
      </c>
      <c r="E557" s="17">
        <v>1.7133262355293357E-2</v>
      </c>
      <c r="F557">
        <f>E557* VLOOKUP(A557,Check!A$2:F$11,4,FALSE)</f>
        <v>32882799.421151448</v>
      </c>
    </row>
    <row r="558" spans="1:6" x14ac:dyDescent="0.2">
      <c r="A558">
        <v>2017</v>
      </c>
      <c r="B558" s="1" t="s">
        <v>164</v>
      </c>
      <c r="C558" s="7">
        <v>23252</v>
      </c>
      <c r="D558" s="6">
        <v>1.1423999999999999E-5</v>
      </c>
      <c r="E558" s="17">
        <v>2.0026955945072326E-4</v>
      </c>
      <c r="F558">
        <f>E558* VLOOKUP(A558,Check!A$2:F$11,4,FALSE)</f>
        <v>384364.84640334232</v>
      </c>
    </row>
    <row r="559" spans="1:6" x14ac:dyDescent="0.2">
      <c r="A559">
        <v>2017</v>
      </c>
      <c r="B559" s="1" t="s">
        <v>165</v>
      </c>
      <c r="C559" s="7">
        <v>41021</v>
      </c>
      <c r="D559" s="6">
        <v>2.0154000000000001E-5</v>
      </c>
      <c r="E559" s="17">
        <v>3.5331402022312572E-4</v>
      </c>
      <c r="F559">
        <f>E559* VLOOKUP(A559,Check!A$2:F$11,4,FALSE)</f>
        <v>678093.51300152706</v>
      </c>
    </row>
    <row r="560" spans="1:6" x14ac:dyDescent="0.2">
      <c r="A560">
        <v>2017</v>
      </c>
      <c r="B560" s="1" t="s">
        <v>166</v>
      </c>
      <c r="C560" s="7">
        <v>108968</v>
      </c>
      <c r="D560" s="6">
        <v>5.3538000000000001E-5</v>
      </c>
      <c r="E560" s="17">
        <v>9.3854177508284934E-4</v>
      </c>
      <c r="F560">
        <f>E560* VLOOKUP(A560,Check!A$2:F$11,4,FALSE)</f>
        <v>1801284.5597316106</v>
      </c>
    </row>
    <row r="561" spans="1:6" x14ac:dyDescent="0.2">
      <c r="A561">
        <v>2017</v>
      </c>
      <c r="B561" s="1" t="s">
        <v>167</v>
      </c>
      <c r="C561" s="7">
        <v>82855</v>
      </c>
      <c r="D561" s="6">
        <v>4.0707999999999997E-5</v>
      </c>
      <c r="E561" s="17">
        <v>7.1363041236408378E-4</v>
      </c>
      <c r="F561">
        <f>E561* VLOOKUP(A561,Check!A$2:F$11,4,FALSE)</f>
        <v>1369626.2406996787</v>
      </c>
    </row>
    <row r="562" spans="1:6" x14ac:dyDescent="0.2">
      <c r="A562">
        <v>2017</v>
      </c>
      <c r="B562" s="1" t="s">
        <v>168</v>
      </c>
      <c r="C562" s="7">
        <v>38025</v>
      </c>
      <c r="D562" s="6">
        <v>1.8683000000000001E-5</v>
      </c>
      <c r="E562" s="17">
        <v>3.275094614705725E-4</v>
      </c>
      <c r="F562">
        <f>E562* VLOOKUP(A562,Check!A$2:F$11,4,FALSE)</f>
        <v>628568.43645652384</v>
      </c>
    </row>
    <row r="563" spans="1:6" x14ac:dyDescent="0.2">
      <c r="A563">
        <v>2017</v>
      </c>
      <c r="B563" s="1" t="s">
        <v>169</v>
      </c>
      <c r="C563" s="7">
        <v>560772</v>
      </c>
      <c r="D563" s="6">
        <v>2.7551700000000003E-4</v>
      </c>
      <c r="E563" s="17">
        <v>4.8299312485937116E-3</v>
      </c>
      <c r="F563">
        <f>E563* VLOOKUP(A563,Check!A$2:F$11,4,FALSE)</f>
        <v>9269785.1215936299</v>
      </c>
    </row>
    <row r="564" spans="1:6" x14ac:dyDescent="0.2">
      <c r="A564">
        <v>2017</v>
      </c>
      <c r="B564" s="1" t="s">
        <v>170</v>
      </c>
      <c r="C564" s="7">
        <v>982515</v>
      </c>
      <c r="D564" s="6">
        <v>4.8272700000000002E-4</v>
      </c>
      <c r="E564" s="17">
        <v>8.4624052212165565E-3</v>
      </c>
      <c r="F564">
        <f>E564* VLOOKUP(A564,Check!A$2:F$11,4,FALSE)</f>
        <v>16241365.347668154</v>
      </c>
    </row>
    <row r="565" spans="1:6" x14ac:dyDescent="0.2">
      <c r="A565">
        <v>2017</v>
      </c>
      <c r="B565" s="1" t="s">
        <v>171</v>
      </c>
      <c r="C565" s="7">
        <v>20668</v>
      </c>
      <c r="D565" s="6">
        <v>1.0155E-5</v>
      </c>
      <c r="E565" s="17">
        <v>1.7801355817682559E-4</v>
      </c>
      <c r="F565">
        <f>E565* VLOOKUP(A565,Check!A$2:F$11,4,FALSE)</f>
        <v>341650.2944032462</v>
      </c>
    </row>
    <row r="566" spans="1:6" x14ac:dyDescent="0.2">
      <c r="A566">
        <v>2017</v>
      </c>
      <c r="B566" s="1" t="s">
        <v>172</v>
      </c>
      <c r="C566" s="7">
        <v>377541</v>
      </c>
      <c r="D566" s="6">
        <v>1.8549300000000001E-4</v>
      </c>
      <c r="E566" s="17">
        <v>3.2517619879832062E-3</v>
      </c>
      <c r="F566">
        <f>E566* VLOOKUP(A566,Check!A$2:F$11,4,FALSE)</f>
        <v>6240903.5126425372</v>
      </c>
    </row>
    <row r="567" spans="1:6" x14ac:dyDescent="0.2">
      <c r="A567">
        <v>2017</v>
      </c>
      <c r="B567" s="1" t="s">
        <v>173</v>
      </c>
      <c r="C567" s="7">
        <v>64487</v>
      </c>
      <c r="D567" s="6">
        <v>3.1683999999999997E-5</v>
      </c>
      <c r="E567" s="17">
        <v>5.5542676244188852E-4</v>
      </c>
      <c r="F567">
        <f>E567* VLOOKUP(A567,Check!A$2:F$11,4,FALSE)</f>
        <v>1065995.8648723697</v>
      </c>
    </row>
    <row r="568" spans="1:6" x14ac:dyDescent="0.2">
      <c r="A568">
        <v>2017</v>
      </c>
      <c r="B568" s="1" t="s">
        <v>174</v>
      </c>
      <c r="C568" s="7">
        <v>169718</v>
      </c>
      <c r="D568" s="6">
        <v>8.3385000000000002E-5</v>
      </c>
      <c r="E568" s="17">
        <v>1.4617817431127581E-3</v>
      </c>
      <c r="F568">
        <f>E568* VLOOKUP(A568,Check!A$2:F$11,4,FALSE)</f>
        <v>2805506.3221177729</v>
      </c>
    </row>
    <row r="569" spans="1:6" x14ac:dyDescent="0.2">
      <c r="A569">
        <v>2017</v>
      </c>
      <c r="B569" s="1" t="s">
        <v>175</v>
      </c>
      <c r="C569" s="7">
        <v>382765</v>
      </c>
      <c r="D569" s="6">
        <v>1.88059E-4</v>
      </c>
      <c r="E569" s="17">
        <v>3.296756318731984E-3</v>
      </c>
      <c r="F569">
        <f>E569* VLOOKUP(A569,Check!A$2:F$11,4,FALSE)</f>
        <v>6327258.319008057</v>
      </c>
    </row>
    <row r="570" spans="1:6" x14ac:dyDescent="0.2">
      <c r="A570">
        <v>2017</v>
      </c>
      <c r="B570" s="1" t="s">
        <v>176</v>
      </c>
      <c r="C570" s="7">
        <v>293753</v>
      </c>
      <c r="D570" s="6">
        <v>1.4432599999999999E-4</v>
      </c>
      <c r="E570" s="17">
        <v>2.5300956432706139E-3</v>
      </c>
      <c r="F570">
        <f>E570* VLOOKUP(A570,Check!A$2:F$11,4,FALSE)</f>
        <v>4855854.4093205323</v>
      </c>
    </row>
    <row r="571" spans="1:6" x14ac:dyDescent="0.2">
      <c r="A571">
        <v>2017</v>
      </c>
      <c r="B571" s="1" t="s">
        <v>177</v>
      </c>
      <c r="C571" s="7">
        <v>24498</v>
      </c>
      <c r="D571" s="6">
        <v>1.2036E-5</v>
      </c>
      <c r="E571" s="17">
        <v>2.1100136192257949E-4</v>
      </c>
      <c r="F571">
        <f>E571* VLOOKUP(A571,Check!A$2:F$11,4,FALSE)</f>
        <v>404961.72403187165</v>
      </c>
    </row>
    <row r="572" spans="1:6" x14ac:dyDescent="0.2">
      <c r="A572">
        <v>2017</v>
      </c>
      <c r="B572" s="1" t="s">
        <v>178</v>
      </c>
      <c r="C572" s="7">
        <v>9936</v>
      </c>
      <c r="D572" s="6">
        <v>4.882E-6</v>
      </c>
      <c r="E572" s="17">
        <v>8.5578803660002858E-5</v>
      </c>
      <c r="F572">
        <f>E572* VLOOKUP(A572,Check!A$2:F$11,4,FALSE)</f>
        <v>164246.04824804788</v>
      </c>
    </row>
    <row r="573" spans="1:6" x14ac:dyDescent="0.2">
      <c r="A573">
        <v>2017</v>
      </c>
      <c r="B573" s="1" t="s">
        <v>179</v>
      </c>
      <c r="C573" s="7">
        <v>611489</v>
      </c>
      <c r="D573" s="6">
        <v>3.0043600000000001E-4</v>
      </c>
      <c r="E573" s="17">
        <v>5.2667569516154878E-3</v>
      </c>
      <c r="F573">
        <f>E573* VLOOKUP(A573,Check!A$2:F$11,4,FALSE)</f>
        <v>10108157.386991803</v>
      </c>
    </row>
    <row r="574" spans="1:6" x14ac:dyDescent="0.2">
      <c r="A574">
        <v>2017</v>
      </c>
      <c r="B574" s="1" t="s">
        <v>180</v>
      </c>
      <c r="C574" s="7">
        <v>96882</v>
      </c>
      <c r="D574" s="6">
        <v>4.7599999999999998E-5</v>
      </c>
      <c r="E574" s="17">
        <v>8.3444501370656167E-4</v>
      </c>
      <c r="F574">
        <f>E574* VLOOKUP(A574,Check!A$2:F$11,4,FALSE)</f>
        <v>1601498.152814752</v>
      </c>
    </row>
    <row r="575" spans="1:6" x14ac:dyDescent="0.2">
      <c r="A575">
        <v>2017</v>
      </c>
      <c r="B575" s="1" t="s">
        <v>181</v>
      </c>
      <c r="C575" s="7">
        <v>30129</v>
      </c>
      <c r="D575" s="6">
        <v>1.4803E-5</v>
      </c>
      <c r="E575" s="17">
        <v>2.5950118513206786E-4</v>
      </c>
      <c r="F575">
        <f>E575* VLOOKUP(A575,Check!A$2:F$11,4,FALSE)</f>
        <v>498044.40294539405</v>
      </c>
    </row>
    <row r="576" spans="1:6" x14ac:dyDescent="0.2">
      <c r="A576">
        <v>2017</v>
      </c>
      <c r="B576" s="1" t="s">
        <v>182</v>
      </c>
      <c r="C576" s="7">
        <v>61670</v>
      </c>
      <c r="D576" s="6">
        <v>3.0298999999999999E-5</v>
      </c>
      <c r="E576" s="17">
        <v>5.3116393133176092E-4</v>
      </c>
      <c r="F576">
        <f>E576* VLOOKUP(A576,Check!A$2:F$11,4,FALSE)</f>
        <v>1019429.7298165372</v>
      </c>
    </row>
    <row r="577" spans="1:6" x14ac:dyDescent="0.2">
      <c r="A577">
        <v>2017</v>
      </c>
      <c r="B577" s="1" t="s">
        <v>183</v>
      </c>
      <c r="C577" s="7">
        <v>1501485</v>
      </c>
      <c r="D577" s="6">
        <v>7.3770699999999999E-4</v>
      </c>
      <c r="E577" s="17">
        <v>1.2932295693784157E-2</v>
      </c>
      <c r="F577">
        <f>E577* VLOOKUP(A577,Check!A$2:F$11,4,FALSE)</f>
        <v>24820146.71434382</v>
      </c>
    </row>
    <row r="578" spans="1:6" x14ac:dyDescent="0.2">
      <c r="A578">
        <v>2017</v>
      </c>
      <c r="B578" s="1" t="s">
        <v>184</v>
      </c>
      <c r="C578" s="7">
        <v>81065</v>
      </c>
      <c r="D578" s="6">
        <v>3.9829000000000001E-5</v>
      </c>
      <c r="E578" s="17">
        <v>6.9821313593982802E-4</v>
      </c>
      <c r="F578">
        <f>E578* VLOOKUP(A578,Check!A$2:F$11,4,FALSE)</f>
        <v>1340036.8258079712</v>
      </c>
    </row>
    <row r="579" spans="1:6" x14ac:dyDescent="0.2">
      <c r="A579">
        <v>2017</v>
      </c>
      <c r="B579" s="1" t="s">
        <v>185</v>
      </c>
      <c r="C579" s="7">
        <v>9329</v>
      </c>
      <c r="D579" s="6">
        <v>4.5839999999999996E-6</v>
      </c>
      <c r="E579" s="17">
        <v>8.0350710481498248E-5</v>
      </c>
      <c r="F579">
        <f>E579* VLOOKUP(A579,Check!A$2:F$11,4,FALSE)</f>
        <v>154212.09582387668</v>
      </c>
    </row>
    <row r="580" spans="1:6" x14ac:dyDescent="0.2">
      <c r="A580">
        <v>2017</v>
      </c>
      <c r="B580" s="1" t="s">
        <v>186</v>
      </c>
      <c r="C580" s="7">
        <v>491</v>
      </c>
      <c r="D580" s="6">
        <v>2.41E-7</v>
      </c>
      <c r="E580" s="17">
        <v>4.2289847621841188E-6</v>
      </c>
      <c r="F580">
        <f>E580* VLOOKUP(A580,Check!A$2:F$11,4,FALSE)</f>
        <v>8116.42609599351</v>
      </c>
    </row>
    <row r="581" spans="1:6" x14ac:dyDescent="0.2">
      <c r="A581">
        <v>2017</v>
      </c>
      <c r="B581" s="1" t="s">
        <v>187</v>
      </c>
      <c r="C581" s="7">
        <v>65414</v>
      </c>
      <c r="D581" s="6">
        <v>3.2138999999999998E-5</v>
      </c>
      <c r="E581" s="17">
        <v>5.6341101676886341E-4</v>
      </c>
      <c r="F581">
        <f>E581* VLOOKUP(A581,Check!A$2:F$11,4,FALSE)</f>
        <v>1081319.5450984102</v>
      </c>
    </row>
    <row r="582" spans="1:6" x14ac:dyDescent="0.2">
      <c r="A582">
        <v>2017</v>
      </c>
      <c r="B582" s="1" t="s">
        <v>188</v>
      </c>
      <c r="C582" s="7">
        <v>19744</v>
      </c>
      <c r="D582" s="6">
        <v>9.7010000000000008E-6</v>
      </c>
      <c r="E582" s="17">
        <v>1.7005514286061758E-4</v>
      </c>
      <c r="F582">
        <f>E582* VLOOKUP(A582,Check!A$2:F$11,4,FALSE)</f>
        <v>326376.20537534798</v>
      </c>
    </row>
    <row r="583" spans="1:6" x14ac:dyDescent="0.2">
      <c r="A583">
        <v>2017</v>
      </c>
      <c r="B583" s="1" t="s">
        <v>189</v>
      </c>
      <c r="C583" s="7">
        <v>10339</v>
      </c>
      <c r="D583" s="6">
        <v>5.0799999999999996E-6</v>
      </c>
      <c r="E583" s="17">
        <v>8.9049844106357641E-5</v>
      </c>
      <c r="F583">
        <f>E583* VLOOKUP(A583,Check!A$2:F$11,4,FALSE)</f>
        <v>170907.7991985273</v>
      </c>
    </row>
    <row r="584" spans="1:6" x14ac:dyDescent="0.2">
      <c r="A584">
        <v>2017</v>
      </c>
      <c r="B584" s="1" t="s">
        <v>190</v>
      </c>
      <c r="C584" s="7">
        <v>8012</v>
      </c>
      <c r="D584" s="6">
        <v>3.9360000000000001E-6</v>
      </c>
      <c r="E584" s="17">
        <v>6.9007384754825167E-5</v>
      </c>
      <c r="F584">
        <f>E584* VLOOKUP(A584,Check!A$2:F$11,4,FALSE)</f>
        <v>132441.55983930753</v>
      </c>
    </row>
    <row r="585" spans="1:6" x14ac:dyDescent="0.2">
      <c r="A585">
        <v>2017</v>
      </c>
      <c r="B585" s="1" t="s">
        <v>191</v>
      </c>
      <c r="C585" s="7">
        <v>383806</v>
      </c>
      <c r="D585" s="6">
        <v>1.8857100000000001E-4</v>
      </c>
      <c r="E585" s="17">
        <v>3.3057224554681013E-3</v>
      </c>
      <c r="F585">
        <f>E585* VLOOKUP(A585,Check!A$2:F$11,4,FALSE)</f>
        <v>6344466.4647635128</v>
      </c>
    </row>
    <row r="586" spans="1:6" x14ac:dyDescent="0.2">
      <c r="A586">
        <v>2017</v>
      </c>
      <c r="B586" s="1" t="s">
        <v>192</v>
      </c>
      <c r="C586" s="7">
        <v>598069</v>
      </c>
      <c r="D586" s="6">
        <v>2.93842E-4</v>
      </c>
      <c r="E586" s="17">
        <v>5.1511704434515143E-3</v>
      </c>
      <c r="F586">
        <f>E586* VLOOKUP(A586,Check!A$2:F$11,4,FALSE)</f>
        <v>9886319.4273009002</v>
      </c>
    </row>
    <row r="587" spans="1:6" x14ac:dyDescent="0.2">
      <c r="A587">
        <v>2017</v>
      </c>
      <c r="B587" s="1" t="s">
        <v>193</v>
      </c>
      <c r="C587" s="7">
        <v>50647</v>
      </c>
      <c r="D587" s="6">
        <v>2.4884000000000001E-5</v>
      </c>
      <c r="E587" s="17">
        <v>4.3622279277054799E-4</v>
      </c>
      <c r="F587">
        <f>E587* VLOOKUP(A587,Check!A$2:F$11,4,FALSE)</f>
        <v>837215.13744151383</v>
      </c>
    </row>
    <row r="588" spans="1:6" x14ac:dyDescent="0.2">
      <c r="A588">
        <v>2017</v>
      </c>
      <c r="B588" s="1" t="s">
        <v>194</v>
      </c>
      <c r="C588" s="7">
        <v>4612</v>
      </c>
      <c r="D588" s="6">
        <v>2.266E-6</v>
      </c>
      <c r="E588" s="17">
        <v>3.9723172552328219E-5</v>
      </c>
      <c r="F588">
        <f>E588* VLOOKUP(A588,Check!A$2:F$11,4,FALSE)</f>
        <v>76238.201944444139</v>
      </c>
    </row>
    <row r="589" spans="1:6" x14ac:dyDescent="0.2">
      <c r="A589">
        <v>2017</v>
      </c>
      <c r="B589" s="1" t="s">
        <v>195</v>
      </c>
      <c r="C589" s="7">
        <v>721863</v>
      </c>
      <c r="D589" s="6">
        <v>3.5466399999999998E-4</v>
      </c>
      <c r="E589" s="17">
        <v>6.2174086097444283E-3</v>
      </c>
      <c r="F589">
        <f>E589* VLOOKUP(A589,Check!A$2:F$11,4,FALSE)</f>
        <v>11932683.688252877</v>
      </c>
    </row>
    <row r="590" spans="1:6" x14ac:dyDescent="0.2">
      <c r="A590">
        <v>2017</v>
      </c>
      <c r="B590" s="1" t="s">
        <v>196</v>
      </c>
      <c r="C590" s="7">
        <v>439282</v>
      </c>
      <c r="D590" s="6">
        <v>2.1582700000000001E-4</v>
      </c>
      <c r="E590" s="17">
        <v>3.7835374425697842E-3</v>
      </c>
      <c r="F590">
        <f>E590* VLOOKUP(A590,Check!A$2:F$11,4,FALSE)</f>
        <v>7261506.9008151144</v>
      </c>
    </row>
    <row r="591" spans="1:6" x14ac:dyDescent="0.2">
      <c r="A591">
        <v>2017</v>
      </c>
      <c r="B591" s="1" t="s">
        <v>197</v>
      </c>
      <c r="C591" s="7">
        <v>477730</v>
      </c>
      <c r="D591" s="6">
        <v>2.34718E-4</v>
      </c>
      <c r="E591" s="17">
        <v>4.1146902045584906E-3</v>
      </c>
      <c r="F591">
        <f>E591* VLOOKUP(A591,Check!A$2:F$11,4,FALSE)</f>
        <v>7897067.6962097343</v>
      </c>
    </row>
    <row r="592" spans="1:6" x14ac:dyDescent="0.2">
      <c r="A592">
        <v>2017</v>
      </c>
      <c r="B592" s="1" t="s">
        <v>198</v>
      </c>
      <c r="C592" s="7">
        <v>2742</v>
      </c>
      <c r="D592" s="6">
        <v>1.347E-6</v>
      </c>
      <c r="E592" s="17">
        <v>2.3616855840954894E-5</v>
      </c>
      <c r="F592">
        <f>E592* VLOOKUP(A592,Check!A$2:F$11,4,FALSE)</f>
        <v>45326.355102269255</v>
      </c>
    </row>
    <row r="593" spans="1:6" x14ac:dyDescent="0.2">
      <c r="A593">
        <v>2017</v>
      </c>
      <c r="B593" s="1" t="s">
        <v>199</v>
      </c>
      <c r="C593" s="7">
        <v>1226557</v>
      </c>
      <c r="D593" s="6">
        <v>6.0263000000000005E-4</v>
      </c>
      <c r="E593" s="17">
        <v>1.0564339843075898E-2</v>
      </c>
      <c r="F593">
        <f>E593* VLOOKUP(A593,Check!A$2:F$11,4,FALSE)</f>
        <v>20275477.07336764</v>
      </c>
    </row>
    <row r="594" spans="1:6" x14ac:dyDescent="0.2">
      <c r="A594">
        <v>2017</v>
      </c>
      <c r="B594" s="1" t="s">
        <v>200</v>
      </c>
      <c r="C594" s="7">
        <v>44394</v>
      </c>
      <c r="D594" s="6">
        <v>2.1812000000000001E-5</v>
      </c>
      <c r="E594" s="17">
        <v>3.8236568132872051E-4</v>
      </c>
      <c r="F594">
        <f>E594* VLOOKUP(A594,Check!A$2:F$11,4,FALSE)</f>
        <v>733850.55011310778</v>
      </c>
    </row>
    <row r="595" spans="1:6" x14ac:dyDescent="0.2">
      <c r="A595">
        <v>2017</v>
      </c>
      <c r="B595" s="1" t="s">
        <v>201</v>
      </c>
      <c r="C595" s="7">
        <v>26332</v>
      </c>
      <c r="D595" s="6">
        <v>1.2938E-5</v>
      </c>
      <c r="E595" s="17">
        <v>2.2679761050474991E-4</v>
      </c>
      <c r="F595">
        <f>E595* VLOOKUP(A595,Check!A$2:F$11,4,FALSE)</f>
        <v>435278.47649633622</v>
      </c>
    </row>
    <row r="596" spans="1:6" x14ac:dyDescent="0.2">
      <c r="A596">
        <v>2017</v>
      </c>
      <c r="B596" s="1" t="s">
        <v>202</v>
      </c>
      <c r="C596" s="7">
        <v>79401</v>
      </c>
      <c r="D596" s="6">
        <v>3.9011000000000003E-5</v>
      </c>
      <c r="E596" s="17">
        <v>6.8388109796778244E-4</v>
      </c>
      <c r="F596">
        <f>E596* VLOOKUP(A596,Check!A$2:F$11,4,FALSE)</f>
        <v>1312530.2412382497</v>
      </c>
    </row>
    <row r="597" spans="1:6" x14ac:dyDescent="0.2">
      <c r="A597">
        <v>2018</v>
      </c>
      <c r="B597" s="1" t="s">
        <v>5</v>
      </c>
      <c r="C597" s="7">
        <v>28753</v>
      </c>
      <c r="D597" s="6">
        <v>1.4419E-5</v>
      </c>
      <c r="E597" s="17">
        <v>2.3137503585435933E-4</v>
      </c>
      <c r="F597">
        <f>E597* VLOOKUP(A597,Check!A$2:F$11,4,FALSE)</f>
        <v>432626.40645906748</v>
      </c>
    </row>
    <row r="598" spans="1:6" x14ac:dyDescent="0.2">
      <c r="A598">
        <v>2018</v>
      </c>
      <c r="B598" s="1" t="s">
        <v>7</v>
      </c>
      <c r="C598" s="7">
        <v>75345</v>
      </c>
      <c r="D598" s="6">
        <v>3.7784999999999998E-5</v>
      </c>
      <c r="E598" s="17">
        <v>6.0630028436847304E-4</v>
      </c>
      <c r="F598">
        <f>E598* VLOOKUP(A598,Check!A$2:F$11,4,FALSE)</f>
        <v>1133663.8470649477</v>
      </c>
    </row>
    <row r="599" spans="1:6" x14ac:dyDescent="0.2">
      <c r="A599">
        <v>2018</v>
      </c>
      <c r="B599" s="1" t="s">
        <v>8</v>
      </c>
      <c r="C599" s="7">
        <v>1187705</v>
      </c>
      <c r="D599" s="6">
        <v>5.95617E-4</v>
      </c>
      <c r="E599" s="17">
        <v>9.5574474649393754E-3</v>
      </c>
      <c r="F599">
        <f>E599* VLOOKUP(A599,Check!A$2:F$11,4,FALSE)</f>
        <v>17870571.630211346</v>
      </c>
    </row>
    <row r="600" spans="1:6" x14ac:dyDescent="0.2">
      <c r="A600">
        <v>2018</v>
      </c>
      <c r="B600" s="1" t="s">
        <v>203</v>
      </c>
      <c r="C600" s="7">
        <v>364035</v>
      </c>
      <c r="D600" s="6">
        <v>1.8255800000000001E-4</v>
      </c>
      <c r="E600" s="17">
        <v>2.9293851485842071E-3</v>
      </c>
      <c r="F600">
        <f>E600* VLOOKUP(A600,Check!A$2:F$11,4,FALSE)</f>
        <v>5477381.6254069712</v>
      </c>
    </row>
    <row r="601" spans="1:6" x14ac:dyDescent="0.2">
      <c r="A601">
        <v>2018</v>
      </c>
      <c r="B601" s="1" t="s">
        <v>9</v>
      </c>
      <c r="C601" s="7">
        <v>6201</v>
      </c>
      <c r="D601" s="6">
        <v>3.1089999999999998E-6</v>
      </c>
      <c r="E601" s="17">
        <v>4.989937040770988E-5</v>
      </c>
      <c r="F601">
        <f>E601* VLOOKUP(A601,Check!A$2:F$11,4,FALSE)</f>
        <v>93302.137044923234</v>
      </c>
    </row>
    <row r="602" spans="1:6" x14ac:dyDescent="0.2">
      <c r="A602">
        <v>2018</v>
      </c>
      <c r="B602" s="1" t="s">
        <v>10</v>
      </c>
      <c r="C602" s="7">
        <v>29068</v>
      </c>
      <c r="D602" s="6">
        <v>1.4577E-5</v>
      </c>
      <c r="E602" s="17">
        <v>2.3390983696360441E-4</v>
      </c>
      <c r="F602">
        <f>E602* VLOOKUP(A602,Check!A$2:F$11,4,FALSE)</f>
        <v>437365.99252085609</v>
      </c>
    </row>
    <row r="603" spans="1:6" x14ac:dyDescent="0.2">
      <c r="A603">
        <v>2018</v>
      </c>
      <c r="B603" s="1" t="s">
        <v>11</v>
      </c>
      <c r="C603" s="7">
        <v>555671</v>
      </c>
      <c r="D603" s="6">
        <v>2.7866099999999998E-4</v>
      </c>
      <c r="E603" s="17">
        <v>4.4714776735724172E-3</v>
      </c>
      <c r="F603">
        <f>E603* VLOOKUP(A603,Check!A$2:F$11,4,FALSE)</f>
        <v>8360795.3223495465</v>
      </c>
    </row>
    <row r="604" spans="1:6" x14ac:dyDescent="0.2">
      <c r="A604">
        <v>2018</v>
      </c>
      <c r="B604" s="1" t="s">
        <v>12</v>
      </c>
      <c r="C604" s="7">
        <v>44982</v>
      </c>
      <c r="D604" s="6">
        <v>2.2558E-5</v>
      </c>
      <c r="E604" s="17">
        <v>3.6196959840019448E-4</v>
      </c>
      <c r="F604">
        <f>E604* VLOOKUP(A604,Check!A$2:F$11,4,FALSE)</f>
        <v>676812.88962340541</v>
      </c>
    </row>
    <row r="605" spans="1:6" x14ac:dyDescent="0.2">
      <c r="A605">
        <v>2018</v>
      </c>
      <c r="B605" s="1" t="s">
        <v>13</v>
      </c>
      <c r="C605" s="7">
        <v>10857</v>
      </c>
      <c r="D605" s="6">
        <v>5.4450000000000004E-6</v>
      </c>
      <c r="E605" s="17">
        <v>8.7366144898646375E-5</v>
      </c>
      <c r="F605">
        <f>E605* VLOOKUP(A605,Check!A$2:F$11,4,FALSE)</f>
        <v>163357.73292964546</v>
      </c>
    </row>
    <row r="606" spans="1:6" x14ac:dyDescent="0.2">
      <c r="A606">
        <v>2018</v>
      </c>
      <c r="B606" s="1" t="s">
        <v>14</v>
      </c>
      <c r="C606" s="7">
        <v>30900</v>
      </c>
      <c r="D606" s="6">
        <v>1.5495999999999999E-5</v>
      </c>
      <c r="E606" s="17">
        <v>2.4865191833546774E-4</v>
      </c>
      <c r="F606">
        <f>E606* VLOOKUP(A606,Check!A$2:F$11,4,FALSE)</f>
        <v>464930.82320402004</v>
      </c>
    </row>
    <row r="607" spans="1:6" x14ac:dyDescent="0.2">
      <c r="A607">
        <v>2018</v>
      </c>
      <c r="B607" s="1" t="s">
        <v>15</v>
      </c>
      <c r="C607" s="7">
        <v>1481009</v>
      </c>
      <c r="D607" s="6">
        <v>7.4270399999999996E-4</v>
      </c>
      <c r="E607" s="17">
        <v>1.1917661130164812E-2</v>
      </c>
      <c r="F607">
        <f>E607* VLOOKUP(A607,Check!A$2:F$11,4,FALSE)</f>
        <v>22283713.05962985</v>
      </c>
    </row>
    <row r="608" spans="1:6" x14ac:dyDescent="0.2">
      <c r="A608">
        <v>2018</v>
      </c>
      <c r="B608" s="1" t="s">
        <v>16</v>
      </c>
      <c r="C608" s="7">
        <v>304070</v>
      </c>
      <c r="D608" s="6">
        <v>1.5248599999999999E-4</v>
      </c>
      <c r="E608" s="17">
        <v>2.4468475342480801E-3</v>
      </c>
      <c r="F608">
        <f>E608* VLOOKUP(A608,Check!A$2:F$11,4,FALSE)</f>
        <v>4575129.9485969692</v>
      </c>
    </row>
    <row r="609" spans="1:6" x14ac:dyDescent="0.2">
      <c r="A609">
        <v>2018</v>
      </c>
      <c r="B609" s="1" t="s">
        <v>204</v>
      </c>
      <c r="C609" s="7">
        <v>47734</v>
      </c>
      <c r="D609" s="6">
        <v>2.3938E-5</v>
      </c>
      <c r="E609" s="17">
        <v>3.8411490840858307E-4</v>
      </c>
      <c r="F609">
        <f>E609* VLOOKUP(A609,Check!A$2:F$11,4,FALSE)</f>
        <v>718220.32086798351</v>
      </c>
    </row>
    <row r="610" spans="1:6" x14ac:dyDescent="0.2">
      <c r="A610">
        <v>2018</v>
      </c>
      <c r="B610" s="1" t="s">
        <v>18</v>
      </c>
      <c r="C610" s="7">
        <v>2146686</v>
      </c>
      <c r="D610" s="6">
        <v>1.0765320000000001E-3</v>
      </c>
      <c r="E610" s="17">
        <v>1.7274355726986792E-2</v>
      </c>
      <c r="F610">
        <f>E610* VLOOKUP(A610,Check!A$2:F$11,4,FALSE)</f>
        <v>32299692.205195624</v>
      </c>
    </row>
    <row r="611" spans="1:6" x14ac:dyDescent="0.2">
      <c r="A611">
        <v>2018</v>
      </c>
      <c r="B611" s="1" t="s">
        <v>19</v>
      </c>
      <c r="C611" s="7">
        <v>67188</v>
      </c>
      <c r="D611" s="6">
        <v>3.3694E-5</v>
      </c>
      <c r="E611" s="17">
        <v>5.4066100612049854E-4</v>
      </c>
      <c r="F611">
        <f>E611* VLOOKUP(A611,Check!A$2:F$11,4,FALSE)</f>
        <v>1010931.1375220612</v>
      </c>
    </row>
    <row r="612" spans="1:6" x14ac:dyDescent="0.2">
      <c r="A612">
        <v>2018</v>
      </c>
      <c r="B612" s="1" t="s">
        <v>20</v>
      </c>
      <c r="C612" s="7">
        <v>24685</v>
      </c>
      <c r="D612" s="6">
        <v>1.2379E-5</v>
      </c>
      <c r="E612" s="17">
        <v>1.9863989010068028E-4</v>
      </c>
      <c r="F612">
        <f>E612* VLOOKUP(A612,Check!A$2:F$11,4,FALSE)</f>
        <v>371418.03788968391</v>
      </c>
    </row>
    <row r="613" spans="1:6" x14ac:dyDescent="0.2">
      <c r="A613">
        <v>2018</v>
      </c>
      <c r="B613" s="1" t="s">
        <v>21</v>
      </c>
      <c r="C613" s="7">
        <v>5937118</v>
      </c>
      <c r="D613" s="6">
        <v>2.9773780000000001E-3</v>
      </c>
      <c r="E613" s="17">
        <v>4.777591521307558E-2</v>
      </c>
      <c r="F613">
        <f>E613* VLOOKUP(A613,Check!A$2:F$11,4,FALSE)</f>
        <v>89331687.999980733</v>
      </c>
    </row>
    <row r="614" spans="1:6" x14ac:dyDescent="0.2">
      <c r="A614">
        <v>2018</v>
      </c>
      <c r="B614" s="1" t="s">
        <v>205</v>
      </c>
      <c r="C614" s="7">
        <v>659056</v>
      </c>
      <c r="D614" s="6">
        <v>3.3050700000000001E-4</v>
      </c>
      <c r="E614" s="17">
        <v>5.303415491601942E-3</v>
      </c>
      <c r="F614">
        <f>E614* VLOOKUP(A614,Check!A$2:F$11,4,FALSE)</f>
        <v>9916357.5604384653</v>
      </c>
    </row>
    <row r="615" spans="1:6" x14ac:dyDescent="0.2">
      <c r="A615">
        <v>2018</v>
      </c>
      <c r="B615" s="1" t="s">
        <v>206</v>
      </c>
      <c r="C615" s="7">
        <v>2711295</v>
      </c>
      <c r="D615" s="6">
        <v>1.3596750000000001E-3</v>
      </c>
      <c r="E615" s="17">
        <v>2.1817757376160582E-2</v>
      </c>
      <c r="F615">
        <f>E615* VLOOKUP(A615,Check!A$2:F$11,4,FALSE)</f>
        <v>40794971.401260301</v>
      </c>
    </row>
    <row r="616" spans="1:6" x14ac:dyDescent="0.2">
      <c r="A616">
        <v>2018</v>
      </c>
      <c r="B616" s="1" t="s">
        <v>25</v>
      </c>
      <c r="C616" s="7">
        <v>64690</v>
      </c>
      <c r="D616" s="6">
        <v>3.2441000000000003E-5</v>
      </c>
      <c r="E616" s="17">
        <v>5.2055963097480287E-4</v>
      </c>
      <c r="F616">
        <f>E616* VLOOKUP(A616,Check!A$2:F$11,4,FALSE)</f>
        <v>973345.46773683024</v>
      </c>
    </row>
    <row r="617" spans="1:6" x14ac:dyDescent="0.2">
      <c r="A617">
        <v>2018</v>
      </c>
      <c r="B617" s="1" t="s">
        <v>26</v>
      </c>
      <c r="C617" s="7">
        <v>54980</v>
      </c>
      <c r="D617" s="6">
        <v>2.7572E-5</v>
      </c>
      <c r="E617" s="17">
        <v>4.4242338090886782E-4</v>
      </c>
      <c r="F617">
        <f>E617* VLOOKUP(A617,Check!A$2:F$11,4,FALSE)</f>
        <v>827245.84659407823</v>
      </c>
    </row>
    <row r="618" spans="1:6" x14ac:dyDescent="0.2">
      <c r="A618">
        <v>2018</v>
      </c>
      <c r="B618" s="1" t="s">
        <v>27</v>
      </c>
      <c r="C618" s="7">
        <v>18508</v>
      </c>
      <c r="D618" s="6">
        <v>9.2809999999999997E-6</v>
      </c>
      <c r="E618" s="17">
        <v>1.4893364739653194E-4</v>
      </c>
      <c r="F618">
        <f>E618* VLOOKUP(A618,Check!A$2:F$11,4,FALSE)</f>
        <v>278477.01216375409</v>
      </c>
    </row>
    <row r="619" spans="1:6" x14ac:dyDescent="0.2">
      <c r="A619">
        <v>2018</v>
      </c>
      <c r="B619" s="1" t="s">
        <v>28</v>
      </c>
      <c r="C619" s="7">
        <v>320331</v>
      </c>
      <c r="D619" s="6">
        <v>1.60641E-4</v>
      </c>
      <c r="E619" s="17">
        <v>2.5776996003986636E-3</v>
      </c>
      <c r="F619">
        <f>E619* VLOOKUP(A619,Check!A$2:F$11,4,FALSE)</f>
        <v>4819797.9135199646</v>
      </c>
    </row>
    <row r="620" spans="1:6" x14ac:dyDescent="0.2">
      <c r="A620">
        <v>2018</v>
      </c>
      <c r="B620" s="1" t="s">
        <v>29</v>
      </c>
      <c r="C620" s="7">
        <v>99318</v>
      </c>
      <c r="D620" s="6">
        <v>4.9806999999999999E-5</v>
      </c>
      <c r="E620" s="17">
        <v>7.9921071926349464E-4</v>
      </c>
      <c r="F620">
        <f>E620* VLOOKUP(A620,Check!A$2:F$11,4,FALSE)</f>
        <v>1494368.9158244939</v>
      </c>
    </row>
    <row r="621" spans="1:6" x14ac:dyDescent="0.2">
      <c r="A621">
        <v>2018</v>
      </c>
      <c r="B621" s="1" t="s">
        <v>30</v>
      </c>
      <c r="C621" s="7">
        <v>2183</v>
      </c>
      <c r="D621" s="6">
        <v>1.0950000000000001E-6</v>
      </c>
      <c r="E621" s="17">
        <v>1.7566574036450682E-5</v>
      </c>
      <c r="F621">
        <f>E621* VLOOKUP(A621,Check!A$2:F$11,4,FALSE)</f>
        <v>32846.083723442578</v>
      </c>
    </row>
    <row r="622" spans="1:6" x14ac:dyDescent="0.2">
      <c r="A622">
        <v>2018</v>
      </c>
      <c r="B622" s="1" t="s">
        <v>31</v>
      </c>
      <c r="C622" s="7">
        <v>178900</v>
      </c>
      <c r="D622" s="6">
        <v>8.9716000000000006E-5</v>
      </c>
      <c r="E622" s="17">
        <v>1.4396060902982259E-3</v>
      </c>
      <c r="F622">
        <f>E622* VLOOKUP(A622,Check!A$2:F$11,4,FALSE)</f>
        <v>2691783.956996737</v>
      </c>
    </row>
    <row r="623" spans="1:6" x14ac:dyDescent="0.2">
      <c r="A623">
        <v>2018</v>
      </c>
      <c r="B623" s="1" t="s">
        <v>32</v>
      </c>
      <c r="C623" s="7">
        <v>1333252</v>
      </c>
      <c r="D623" s="6">
        <v>6.6860699999999999E-4</v>
      </c>
      <c r="E623" s="17">
        <v>1.0728662376200616E-2</v>
      </c>
      <c r="F623">
        <f>E623* VLOOKUP(A623,Check!A$2:F$11,4,FALSE)</f>
        <v>20060516.177941944</v>
      </c>
    </row>
    <row r="624" spans="1:6" x14ac:dyDescent="0.2">
      <c r="A624">
        <v>2018</v>
      </c>
      <c r="B624" s="1" t="s">
        <v>33</v>
      </c>
      <c r="C624" s="7">
        <v>121337</v>
      </c>
      <c r="D624" s="6">
        <v>6.0849E-5</v>
      </c>
      <c r="E624" s="17">
        <v>9.7639734029354849E-4</v>
      </c>
      <c r="F624">
        <f>E624* VLOOKUP(A624,Check!A$2:F$11,4,FALSE)</f>
        <v>1825673.5046959927</v>
      </c>
    </row>
    <row r="625" spans="1:6" x14ac:dyDescent="0.2">
      <c r="A625">
        <v>2018</v>
      </c>
      <c r="B625" s="1" t="s">
        <v>34</v>
      </c>
      <c r="C625" s="7">
        <v>1274850</v>
      </c>
      <c r="D625" s="6">
        <v>6.3931899999999996E-4</v>
      </c>
      <c r="E625" s="17">
        <v>1.0258702203558933E-2</v>
      </c>
      <c r="F625">
        <f>E625* VLOOKUP(A625,Check!A$2:F$11,4,FALSE)</f>
        <v>19181781.875781387</v>
      </c>
    </row>
    <row r="626" spans="1:6" x14ac:dyDescent="0.2">
      <c r="A626">
        <v>2018</v>
      </c>
      <c r="B626" s="1" t="s">
        <v>35</v>
      </c>
      <c r="C626" s="7">
        <v>316558</v>
      </c>
      <c r="D626" s="6">
        <v>1.5874899999999999E-4</v>
      </c>
      <c r="E626" s="17">
        <v>2.5473383160012617E-3</v>
      </c>
      <c r="F626">
        <f>E626* VLOOKUP(A626,Check!A$2:F$11,4,FALSE)</f>
        <v>4763028.2049132083</v>
      </c>
    </row>
    <row r="627" spans="1:6" x14ac:dyDescent="0.2">
      <c r="A627">
        <v>2018</v>
      </c>
      <c r="B627" s="1" t="s">
        <v>36</v>
      </c>
      <c r="C627" s="7">
        <v>553734</v>
      </c>
      <c r="D627" s="6">
        <v>2.7768900000000002E-4</v>
      </c>
      <c r="E627" s="17">
        <v>4.4558906584974724E-3</v>
      </c>
      <c r="F627">
        <f>E627* VLOOKUP(A627,Check!A$2:F$11,4,FALSE)</f>
        <v>8331650.6296457872</v>
      </c>
    </row>
    <row r="628" spans="1:6" x14ac:dyDescent="0.2">
      <c r="A628">
        <v>2018</v>
      </c>
      <c r="B628" s="1" t="s">
        <v>37</v>
      </c>
      <c r="C628" s="7">
        <v>20972</v>
      </c>
      <c r="D628" s="6">
        <v>1.0516999999999999E-5</v>
      </c>
      <c r="E628" s="17">
        <v>1.6876142496218216E-4</v>
      </c>
      <c r="F628">
        <f>E628* VLOOKUP(A628,Check!A$2:F$11,4,FALSE)</f>
        <v>315551.10758041119</v>
      </c>
    </row>
    <row r="629" spans="1:6" x14ac:dyDescent="0.2">
      <c r="A629">
        <v>2018</v>
      </c>
      <c r="B629" s="1" t="s">
        <v>38</v>
      </c>
      <c r="C629" s="7">
        <v>20985</v>
      </c>
      <c r="D629" s="6">
        <v>1.0524E-5</v>
      </c>
      <c r="E629" s="17">
        <v>1.6886603580161134E-4</v>
      </c>
      <c r="F629">
        <f>E629* VLOOKUP(A629,Check!A$2:F$11,4,FALSE)</f>
        <v>315746.709544866</v>
      </c>
    </row>
    <row r="630" spans="1:6" x14ac:dyDescent="0.2">
      <c r="A630">
        <v>2018</v>
      </c>
      <c r="B630" s="1" t="s">
        <v>39</v>
      </c>
      <c r="C630" s="7">
        <v>462805</v>
      </c>
      <c r="D630" s="6">
        <v>2.3209000000000001E-4</v>
      </c>
      <c r="E630" s="17">
        <v>3.7241861186163802E-3</v>
      </c>
      <c r="F630">
        <f>E630* VLOOKUP(A630,Check!A$2:F$11,4,FALSE)</f>
        <v>6963505.1661144495</v>
      </c>
    </row>
    <row r="631" spans="1:6" x14ac:dyDescent="0.2">
      <c r="A631">
        <v>2018</v>
      </c>
      <c r="B631" s="1" t="s">
        <v>40</v>
      </c>
      <c r="C631" s="7">
        <v>26620</v>
      </c>
      <c r="D631" s="6">
        <v>1.3349999999999999E-5</v>
      </c>
      <c r="E631" s="17">
        <v>2.1421081120032851E-4</v>
      </c>
      <c r="F631">
        <f>E631* VLOOKUP(A631,Check!A$2:F$11,4,FALSE)</f>
        <v>400532.63798352791</v>
      </c>
    </row>
    <row r="632" spans="1:6" x14ac:dyDescent="0.2">
      <c r="A632">
        <v>2018</v>
      </c>
      <c r="B632" s="1" t="s">
        <v>207</v>
      </c>
      <c r="C632" s="7">
        <v>437317</v>
      </c>
      <c r="D632" s="6">
        <v>2.1930800000000001E-4</v>
      </c>
      <c r="E632" s="17">
        <v>3.5190844974340371E-3</v>
      </c>
      <c r="F632">
        <f>E632* VLOOKUP(A632,Check!A$2:F$11,4,FALSE)</f>
        <v>6580004.9453434441</v>
      </c>
    </row>
    <row r="633" spans="1:6" x14ac:dyDescent="0.2">
      <c r="A633">
        <v>2018</v>
      </c>
      <c r="B633" s="1" t="s">
        <v>42</v>
      </c>
      <c r="C633" s="7">
        <v>29616</v>
      </c>
      <c r="D633" s="6">
        <v>1.4851999999999999E-5</v>
      </c>
      <c r="E633" s="17">
        <v>2.3831958619492595E-4</v>
      </c>
      <c r="F633">
        <f>E633* VLOOKUP(A633,Check!A$2:F$11,4,FALSE)</f>
        <v>445611.36763787235</v>
      </c>
    </row>
    <row r="634" spans="1:6" x14ac:dyDescent="0.2">
      <c r="A634">
        <v>2018</v>
      </c>
      <c r="B634" s="1" t="s">
        <v>43</v>
      </c>
      <c r="C634" s="7">
        <v>68290</v>
      </c>
      <c r="D634" s="6">
        <v>3.4245999999999997E-5</v>
      </c>
      <c r="E634" s="17">
        <v>5.4952878650903203E-4</v>
      </c>
      <c r="F634">
        <f>E634* VLOOKUP(A634,Check!A$2:F$11,4,FALSE)</f>
        <v>1027512.1655858421</v>
      </c>
    </row>
    <row r="635" spans="1:6" x14ac:dyDescent="0.2">
      <c r="A635">
        <v>2018</v>
      </c>
      <c r="B635" s="1" t="s">
        <v>44</v>
      </c>
      <c r="C635" s="7">
        <v>1648440</v>
      </c>
      <c r="D635" s="6">
        <v>8.2666900000000004E-4</v>
      </c>
      <c r="E635" s="17">
        <v>1.3264976319123574E-2</v>
      </c>
      <c r="F635">
        <f>E635* VLOOKUP(A635,Check!A$2:F$11,4,FALSE)</f>
        <v>24802930.945062611</v>
      </c>
    </row>
    <row r="636" spans="1:6" x14ac:dyDescent="0.2">
      <c r="A636">
        <v>2018</v>
      </c>
      <c r="B636" s="1" t="s">
        <v>45</v>
      </c>
      <c r="C636" s="7">
        <v>23459</v>
      </c>
      <c r="D636" s="6">
        <v>1.1765E-5</v>
      </c>
      <c r="E636" s="17">
        <v>1.8877428324374555E-4</v>
      </c>
      <c r="F636">
        <f>E636* VLOOKUP(A636,Check!A$2:F$11,4,FALSE)</f>
        <v>352971.26801110373</v>
      </c>
    </row>
    <row r="637" spans="1:6" x14ac:dyDescent="0.2">
      <c r="A637">
        <v>2018</v>
      </c>
      <c r="B637" s="1" t="s">
        <v>208</v>
      </c>
      <c r="C637" s="7">
        <v>39568</v>
      </c>
      <c r="D637" s="6">
        <v>1.9843E-5</v>
      </c>
      <c r="E637" s="17">
        <v>3.1840320727177302E-4</v>
      </c>
      <c r="F637">
        <f>E637* VLOOKUP(A637,Check!A$2:F$11,4,FALSE)</f>
        <v>595352.19458047452</v>
      </c>
    </row>
    <row r="638" spans="1:6" x14ac:dyDescent="0.2">
      <c r="A638">
        <v>2018</v>
      </c>
      <c r="B638" s="1" t="s">
        <v>47</v>
      </c>
      <c r="C638" s="7">
        <v>1477699</v>
      </c>
      <c r="D638" s="6">
        <v>7.4104399999999995E-4</v>
      </c>
      <c r="E638" s="17">
        <v>1.1891025601048618E-2</v>
      </c>
      <c r="F638">
        <f>E638* VLOOKUP(A638,Check!A$2:F$11,4,FALSE)</f>
        <v>22233909.790218677</v>
      </c>
    </row>
    <row r="639" spans="1:6" x14ac:dyDescent="0.2">
      <c r="A639">
        <v>2018</v>
      </c>
      <c r="B639" s="1" t="s">
        <v>48</v>
      </c>
      <c r="C639" s="7">
        <v>46644</v>
      </c>
      <c r="D639" s="6">
        <v>2.3391E-5</v>
      </c>
      <c r="E639" s="17">
        <v>3.7534369187183032E-4</v>
      </c>
      <c r="F639">
        <f>E639* VLOOKUP(A639,Check!A$2:F$11,4,FALSE)</f>
        <v>701819.84846369934</v>
      </c>
    </row>
    <row r="640" spans="1:6" x14ac:dyDescent="0.2">
      <c r="A640">
        <v>2018</v>
      </c>
      <c r="B640" s="1" t="s">
        <v>49</v>
      </c>
      <c r="C640" s="7">
        <v>24920</v>
      </c>
      <c r="D640" s="6">
        <v>1.2497000000000001E-5</v>
      </c>
      <c r="E640" s="17">
        <v>2.0053093219805359E-4</v>
      </c>
      <c r="F640">
        <f>E640* VLOOKUP(A640,Check!A$2:F$11,4,FALSE)</f>
        <v>374953.91955482779</v>
      </c>
    </row>
    <row r="641" spans="1:6" x14ac:dyDescent="0.2">
      <c r="A641">
        <v>2018</v>
      </c>
      <c r="B641" s="1" t="s">
        <v>50</v>
      </c>
      <c r="C641" s="7">
        <v>1033503</v>
      </c>
      <c r="D641" s="6">
        <v>5.1828699999999998E-4</v>
      </c>
      <c r="E641" s="17">
        <v>8.3165858755812599E-3</v>
      </c>
      <c r="F641">
        <f>E641* VLOOKUP(A641,Check!A$2:F$11,4,FALSE)</f>
        <v>15550401.313068748</v>
      </c>
    </row>
    <row r="642" spans="1:6" x14ac:dyDescent="0.2">
      <c r="A642">
        <v>2018</v>
      </c>
      <c r="B642" s="1" t="s">
        <v>51</v>
      </c>
      <c r="C642" s="7">
        <v>58058</v>
      </c>
      <c r="D642" s="6">
        <v>2.9115000000000002E-5</v>
      </c>
      <c r="E642" s="17">
        <v>4.6719200889063384E-4</v>
      </c>
      <c r="F642">
        <f>E642* VLOOKUP(A642,Check!A$2:F$11,4,FALSE)</f>
        <v>873558.37325498357</v>
      </c>
    </row>
    <row r="643" spans="1:6" x14ac:dyDescent="0.2">
      <c r="A643">
        <v>2018</v>
      </c>
      <c r="B643" s="1" t="s">
        <v>52</v>
      </c>
      <c r="C643" s="7">
        <v>19485</v>
      </c>
      <c r="D643" s="6">
        <v>9.7710000000000001E-6</v>
      </c>
      <c r="E643" s="17">
        <v>1.5679555432901581E-4</v>
      </c>
      <c r="F643">
        <f>E643* VLOOKUP(A643,Check!A$2:F$11,4,FALSE)</f>
        <v>293177.25210777763</v>
      </c>
    </row>
    <row r="644" spans="1:6" x14ac:dyDescent="0.2">
      <c r="A644">
        <v>2018</v>
      </c>
      <c r="B644" s="1" t="s">
        <v>53</v>
      </c>
      <c r="C644" s="7">
        <v>713135</v>
      </c>
      <c r="D644" s="6">
        <v>3.5762700000000001E-4</v>
      </c>
      <c r="E644" s="17">
        <v>5.7385885366396045E-3</v>
      </c>
      <c r="F644">
        <f>E644* VLOOKUP(A644,Check!A$2:F$11,4,FALSE)</f>
        <v>10730046.686265333</v>
      </c>
    </row>
    <row r="645" spans="1:6" x14ac:dyDescent="0.2">
      <c r="A645">
        <v>2018</v>
      </c>
      <c r="B645" s="1" t="s">
        <v>54</v>
      </c>
      <c r="C645" s="7">
        <v>116722</v>
      </c>
      <c r="D645" s="6">
        <v>5.8533999999999999E-5</v>
      </c>
      <c r="E645" s="17">
        <v>9.3926049229619624E-4</v>
      </c>
      <c r="F645">
        <f>E645* VLOOKUP(A645,Check!A$2:F$11,4,FALSE)</f>
        <v>1756234.8073145507</v>
      </c>
    </row>
    <row r="646" spans="1:6" x14ac:dyDescent="0.2">
      <c r="A646">
        <v>2018</v>
      </c>
      <c r="B646" s="1" t="s">
        <v>55</v>
      </c>
      <c r="C646" s="7">
        <v>92911</v>
      </c>
      <c r="D646" s="6">
        <v>4.6594000000000001E-5</v>
      </c>
      <c r="E646" s="17">
        <v>7.4765366940021498E-4</v>
      </c>
      <c r="F646">
        <f>E646* VLOOKUP(A646,Check!A$2:F$11,4,FALSE)</f>
        <v>1397967.2399582104</v>
      </c>
    </row>
    <row r="647" spans="1:6" x14ac:dyDescent="0.2">
      <c r="A647">
        <v>2018</v>
      </c>
      <c r="B647" s="1" t="s">
        <v>56</v>
      </c>
      <c r="C647" s="7">
        <v>229843</v>
      </c>
      <c r="D647" s="6">
        <v>1.15263E-4</v>
      </c>
      <c r="E647" s="17">
        <v>1.8495437820705148E-3</v>
      </c>
      <c r="F647">
        <f>E647* VLOOKUP(A647,Check!A$2:F$11,4,FALSE)</f>
        <v>3458287.8704751316</v>
      </c>
    </row>
    <row r="648" spans="1:6" x14ac:dyDescent="0.2">
      <c r="A648">
        <v>2018</v>
      </c>
      <c r="B648" s="1" t="s">
        <v>57</v>
      </c>
      <c r="C648" s="7">
        <v>4470</v>
      </c>
      <c r="D648" s="6">
        <v>2.2419999999999999E-6</v>
      </c>
      <c r="E648" s="17">
        <v>3.5970034788334651E-5</v>
      </c>
      <c r="F648">
        <f>E648* VLOOKUP(A648,Check!A$2:F$11,4,FALSE)</f>
        <v>67256.983162523276</v>
      </c>
    </row>
    <row r="649" spans="1:6" x14ac:dyDescent="0.2">
      <c r="A649">
        <v>2018</v>
      </c>
      <c r="B649" s="1" t="s">
        <v>58</v>
      </c>
      <c r="C649" s="7">
        <v>232009</v>
      </c>
      <c r="D649" s="6">
        <v>1.1634899999999999E-4</v>
      </c>
      <c r="E649" s="17">
        <v>1.8669735573169429E-3</v>
      </c>
      <c r="F649">
        <f>E649* VLOOKUP(A649,Check!A$2:F$11,4,FALSE)</f>
        <v>3490878.1670142873</v>
      </c>
    </row>
    <row r="650" spans="1:6" x14ac:dyDescent="0.2">
      <c r="A650">
        <v>2018</v>
      </c>
      <c r="B650" s="1" t="s">
        <v>59</v>
      </c>
      <c r="C650" s="7">
        <v>284604</v>
      </c>
      <c r="D650" s="6">
        <v>1.4272500000000001E-4</v>
      </c>
      <c r="E650" s="17">
        <v>2.2902048726843836E-3</v>
      </c>
      <c r="F650">
        <f>E650* VLOOKUP(A650,Check!A$2:F$11,4,FALSE)</f>
        <v>4282238.5762833944</v>
      </c>
    </row>
    <row r="651" spans="1:6" x14ac:dyDescent="0.2">
      <c r="A651">
        <v>2018</v>
      </c>
      <c r="B651" s="1" t="s">
        <v>60</v>
      </c>
      <c r="C651" s="7">
        <v>74486</v>
      </c>
      <c r="D651" s="6">
        <v>3.7353E-5</v>
      </c>
      <c r="E651" s="17">
        <v>5.993879219785E-4</v>
      </c>
      <c r="F651">
        <f>E651* VLOOKUP(A651,Check!A$2:F$11,4,FALSE)</f>
        <v>1120739.0711059752</v>
      </c>
    </row>
    <row r="652" spans="1:6" x14ac:dyDescent="0.2">
      <c r="A652">
        <v>2018</v>
      </c>
      <c r="B652" s="1" t="s">
        <v>61</v>
      </c>
      <c r="C652" s="7">
        <v>31913</v>
      </c>
      <c r="D652" s="6">
        <v>1.6004000000000001E-5</v>
      </c>
      <c r="E652" s="17">
        <v>2.5680351682329391E-4</v>
      </c>
      <c r="F652">
        <f>E652* VLOOKUP(A652,Check!A$2:F$11,4,FALSE)</f>
        <v>480172.73012653366</v>
      </c>
    </row>
    <row r="653" spans="1:6" x14ac:dyDescent="0.2">
      <c r="A653">
        <v>2018</v>
      </c>
      <c r="B653" s="1" t="s">
        <v>209</v>
      </c>
      <c r="C653" s="7">
        <v>700320</v>
      </c>
      <c r="D653" s="6">
        <v>3.5120000000000003E-4</v>
      </c>
      <c r="E653" s="17">
        <v>5.6354663899253971E-3</v>
      </c>
      <c r="F653">
        <f>E653* VLOOKUP(A653,Check!A$2:F$11,4,FALSE)</f>
        <v>10537228.28822781</v>
      </c>
    </row>
    <row r="654" spans="1:6" x14ac:dyDescent="0.2">
      <c r="A654">
        <v>2018</v>
      </c>
      <c r="B654" s="1" t="s">
        <v>63</v>
      </c>
      <c r="C654" s="7">
        <v>1089771</v>
      </c>
      <c r="D654" s="6">
        <v>5.4650399999999996E-4</v>
      </c>
      <c r="E654" s="17">
        <v>8.7693737765812615E-3</v>
      </c>
      <c r="F654">
        <f>E654* VLOOKUP(A654,Check!A$2:F$11,4,FALSE)</f>
        <v>16397026.800448803</v>
      </c>
    </row>
    <row r="655" spans="1:6" x14ac:dyDescent="0.2">
      <c r="A655">
        <v>2018</v>
      </c>
      <c r="B655" s="1" t="s">
        <v>64</v>
      </c>
      <c r="C655" s="7">
        <v>243137</v>
      </c>
      <c r="D655" s="6">
        <v>1.2193000000000001E-4</v>
      </c>
      <c r="E655" s="17">
        <v>1.9565204358683048E-3</v>
      </c>
      <c r="F655">
        <f>E655* VLOOKUP(A655,Check!A$2:F$11,4,FALSE)</f>
        <v>3658313.4485875666</v>
      </c>
    </row>
    <row r="656" spans="1:6" x14ac:dyDescent="0.2">
      <c r="A656">
        <v>2018</v>
      </c>
      <c r="B656" s="1" t="s">
        <v>65</v>
      </c>
      <c r="C656" s="7">
        <v>171357</v>
      </c>
      <c r="D656" s="6">
        <v>8.5933000000000005E-5</v>
      </c>
      <c r="E656" s="17">
        <v>1.3789076624663671E-3</v>
      </c>
      <c r="F656">
        <f>E656* VLOOKUP(A656,Check!A$2:F$11,4,FALSE)</f>
        <v>2578289.6786980988</v>
      </c>
    </row>
    <row r="657" spans="1:6" x14ac:dyDescent="0.2">
      <c r="A657">
        <v>2018</v>
      </c>
      <c r="B657" s="1" t="s">
        <v>66</v>
      </c>
      <c r="C657" s="7">
        <v>688604</v>
      </c>
      <c r="D657" s="6">
        <v>3.45325E-4</v>
      </c>
      <c r="E657" s="17">
        <v>5.5411878826367774E-3</v>
      </c>
      <c r="F657">
        <f>E657* VLOOKUP(A657,Check!A$2:F$11,4,FALSE)</f>
        <v>10360945.779339191</v>
      </c>
    </row>
    <row r="658" spans="1:6" x14ac:dyDescent="0.2">
      <c r="A658">
        <v>2018</v>
      </c>
      <c r="B658" s="1" t="s">
        <v>67</v>
      </c>
      <c r="C658" s="7">
        <v>533998</v>
      </c>
      <c r="D658" s="6">
        <v>2.6779199999999999E-4</v>
      </c>
      <c r="E658" s="17">
        <v>4.2970753102687083E-3</v>
      </c>
      <c r="F658">
        <f>E658* VLOOKUP(A658,Check!A$2:F$11,4,FALSE)</f>
        <v>8034696.7549935356</v>
      </c>
    </row>
    <row r="659" spans="1:6" x14ac:dyDescent="0.2">
      <c r="A659">
        <v>2018</v>
      </c>
      <c r="B659" s="1" t="s">
        <v>68</v>
      </c>
      <c r="C659" s="7">
        <v>20985</v>
      </c>
      <c r="D659" s="6">
        <v>1.0524E-5</v>
      </c>
      <c r="E659" s="17">
        <v>1.6886603580161134E-4</v>
      </c>
      <c r="F659">
        <f>E659* VLOOKUP(A659,Check!A$2:F$11,4,FALSE)</f>
        <v>315746.709544866</v>
      </c>
    </row>
    <row r="660" spans="1:6" x14ac:dyDescent="0.2">
      <c r="A660">
        <v>2018</v>
      </c>
      <c r="B660" s="1" t="s">
        <v>69</v>
      </c>
      <c r="C660" s="7">
        <v>364598</v>
      </c>
      <c r="D660" s="6">
        <v>1.8284099999999999E-4</v>
      </c>
      <c r="E660" s="17">
        <v>2.9339156026302543E-3</v>
      </c>
      <c r="F660">
        <f>E660* VLOOKUP(A660,Check!A$2:F$11,4,FALSE)</f>
        <v>5485852.6950983582</v>
      </c>
    </row>
    <row r="661" spans="1:6" x14ac:dyDescent="0.2">
      <c r="A661">
        <v>2018</v>
      </c>
      <c r="B661" s="1" t="s">
        <v>70</v>
      </c>
      <c r="C661" s="7">
        <v>142776</v>
      </c>
      <c r="D661" s="6">
        <v>7.1600000000000006E-5</v>
      </c>
      <c r="E661" s="17">
        <v>1.1489167084875321E-3</v>
      </c>
      <c r="F661">
        <f>E661* VLOOKUP(A661,Check!A$2:F$11,4,FALSE)</f>
        <v>2148251.2366918176</v>
      </c>
    </row>
    <row r="662" spans="1:6" x14ac:dyDescent="0.2">
      <c r="A662">
        <v>2018</v>
      </c>
      <c r="B662" s="1" t="s">
        <v>71</v>
      </c>
      <c r="C662" s="7">
        <v>9069</v>
      </c>
      <c r="D662" s="6">
        <v>4.5480000000000003E-6</v>
      </c>
      <c r="E662" s="17">
        <v>7.2978130983312512E-5</v>
      </c>
      <c r="F662">
        <f>E662* VLOOKUP(A662,Check!A$2:F$11,4,FALSE)</f>
        <v>136454.93966463616</v>
      </c>
    </row>
    <row r="663" spans="1:6" x14ac:dyDescent="0.2">
      <c r="A663">
        <v>2018</v>
      </c>
      <c r="B663" s="1" t="s">
        <v>72</v>
      </c>
      <c r="C663" s="7">
        <v>29219</v>
      </c>
      <c r="D663" s="6">
        <v>1.4653E-5</v>
      </c>
      <c r="E663" s="17">
        <v>2.3512493209851235E-4</v>
      </c>
      <c r="F663">
        <f>E663* VLOOKUP(A663,Check!A$2:F$11,4,FALSE)</f>
        <v>439637.98456952296</v>
      </c>
    </row>
    <row r="664" spans="1:6" x14ac:dyDescent="0.2">
      <c r="A664">
        <v>2018</v>
      </c>
      <c r="B664" s="1" t="s">
        <v>73</v>
      </c>
      <c r="C664" s="7">
        <v>16838</v>
      </c>
      <c r="D664" s="6">
        <v>8.4440000000000008E-6</v>
      </c>
      <c r="E664" s="17">
        <v>1.3549517802370891E-4</v>
      </c>
      <c r="F664">
        <f>E664* VLOOKUP(A664,Check!A$2:F$11,4,FALSE)</f>
        <v>253349.68288379573</v>
      </c>
    </row>
    <row r="665" spans="1:6" x14ac:dyDescent="0.2">
      <c r="A665">
        <v>2018</v>
      </c>
      <c r="B665" s="1" t="s">
        <v>74</v>
      </c>
      <c r="C665" s="7">
        <v>5757</v>
      </c>
      <c r="D665" s="6">
        <v>2.8870000000000001E-6</v>
      </c>
      <c r="E665" s="17">
        <v>4.6326507891821607E-5</v>
      </c>
      <c r="F665">
        <f>E665* VLOOKUP(A665,Check!A$2:F$11,4,FALSE)</f>
        <v>86621.577643545083</v>
      </c>
    </row>
    <row r="666" spans="1:6" x14ac:dyDescent="0.2">
      <c r="A666">
        <v>2018</v>
      </c>
      <c r="B666" s="1" t="s">
        <v>75</v>
      </c>
      <c r="C666" s="7">
        <v>56004</v>
      </c>
      <c r="D666" s="6">
        <v>2.8085E-5</v>
      </c>
      <c r="E666" s="17">
        <v>4.5066349626082634E-4</v>
      </c>
      <c r="F666">
        <f>E666* VLOOKUP(A666,Check!A$2:F$11,4,FALSE)</f>
        <v>842653.2628711306</v>
      </c>
    </row>
    <row r="667" spans="1:6" x14ac:dyDescent="0.2">
      <c r="A667">
        <v>2018</v>
      </c>
      <c r="B667" s="1" t="s">
        <v>76</v>
      </c>
      <c r="C667" s="7">
        <v>108304</v>
      </c>
      <c r="D667" s="6">
        <v>5.4313E-5</v>
      </c>
      <c r="E667" s="17">
        <v>8.715209502719902E-4</v>
      </c>
      <c r="F667">
        <f>E667* VLOOKUP(A667,Check!A$2:F$11,4,FALSE)</f>
        <v>1629575.012177611</v>
      </c>
    </row>
    <row r="668" spans="1:6" x14ac:dyDescent="0.2">
      <c r="A668">
        <v>2018</v>
      </c>
      <c r="B668" s="1" t="s">
        <v>77</v>
      </c>
      <c r="C668" s="7">
        <v>10856</v>
      </c>
      <c r="D668" s="6">
        <v>5.4439999999999999E-6</v>
      </c>
      <c r="E668" s="17">
        <v>8.735809791099798E-5</v>
      </c>
      <c r="F668">
        <f>E668* VLOOKUP(A668,Check!A$2:F$11,4,FALSE)</f>
        <v>163342.6866246874</v>
      </c>
    </row>
    <row r="669" spans="1:6" x14ac:dyDescent="0.2">
      <c r="A669">
        <v>2018</v>
      </c>
      <c r="B669" s="1" t="s">
        <v>78</v>
      </c>
      <c r="C669" s="7">
        <v>3725167</v>
      </c>
      <c r="D669" s="6">
        <v>1.8681170000000001E-3</v>
      </c>
      <c r="E669" s="17">
        <v>2.9976372837216159E-2</v>
      </c>
      <c r="F669">
        <f>E669* VLOOKUP(A669,Check!A$2:F$11,4,FALSE)</f>
        <v>56049998.701697394</v>
      </c>
    </row>
    <row r="670" spans="1:6" x14ac:dyDescent="0.2">
      <c r="A670">
        <v>2018</v>
      </c>
      <c r="B670" s="1" t="s">
        <v>79</v>
      </c>
      <c r="C670" s="7">
        <v>143793</v>
      </c>
      <c r="D670" s="6">
        <v>7.2109999999999999E-5</v>
      </c>
      <c r="E670" s="17">
        <v>1.1571004949259519E-3</v>
      </c>
      <c r="F670">
        <f>E670* VLOOKUP(A670,Check!A$2:F$11,4,FALSE)</f>
        <v>2163553.3288341635</v>
      </c>
    </row>
    <row r="671" spans="1:6" x14ac:dyDescent="0.2">
      <c r="A671">
        <v>2018</v>
      </c>
      <c r="B671" s="1" t="s">
        <v>80</v>
      </c>
      <c r="C671" s="7">
        <v>92125</v>
      </c>
      <c r="D671" s="6">
        <v>4.6199000000000003E-5</v>
      </c>
      <c r="E671" s="17">
        <v>7.4132873710857489E-4</v>
      </c>
      <c r="F671">
        <f>E671* VLOOKUP(A671,Check!A$2:F$11,4,FALSE)</f>
        <v>1386140.844261176</v>
      </c>
    </row>
    <row r="672" spans="1:6" x14ac:dyDescent="0.2">
      <c r="A672">
        <v>2018</v>
      </c>
      <c r="B672" s="1" t="s">
        <v>81</v>
      </c>
      <c r="C672" s="7">
        <v>141544</v>
      </c>
      <c r="D672" s="6">
        <v>7.0982000000000006E-5</v>
      </c>
      <c r="E672" s="17">
        <v>1.139002819704707E-3</v>
      </c>
      <c r="F672">
        <f>E672* VLOOKUP(A672,Check!A$2:F$11,4,FALSE)</f>
        <v>2129714.1889834888</v>
      </c>
    </row>
    <row r="673" spans="1:6" x14ac:dyDescent="0.2">
      <c r="A673">
        <v>2018</v>
      </c>
      <c r="B673" s="1" t="s">
        <v>82</v>
      </c>
      <c r="C673" s="7">
        <v>2774</v>
      </c>
      <c r="D673" s="6">
        <v>1.3909999999999999E-6</v>
      </c>
      <c r="E673" s="17">
        <v>2.2322343736653318E-5</v>
      </c>
      <c r="F673">
        <f>E673* VLOOKUP(A673,Check!A$2:F$11,4,FALSE)</f>
        <v>41738.449953655392</v>
      </c>
    </row>
    <row r="674" spans="1:6" x14ac:dyDescent="0.2">
      <c r="A674">
        <v>2018</v>
      </c>
      <c r="B674" s="1" t="s">
        <v>210</v>
      </c>
      <c r="C674" s="7">
        <v>385300</v>
      </c>
      <c r="D674" s="6">
        <v>1.93222E-4</v>
      </c>
      <c r="E674" s="17">
        <v>3.1005043409273693E-3</v>
      </c>
      <c r="F674">
        <f>E674* VLOOKUP(A674,Check!A$2:F$11,4,FALSE)</f>
        <v>5797341.3003400937</v>
      </c>
    </row>
    <row r="675" spans="1:6" x14ac:dyDescent="0.2">
      <c r="A675">
        <v>2018</v>
      </c>
      <c r="B675" s="1" t="s">
        <v>84</v>
      </c>
      <c r="C675" s="7">
        <v>22377</v>
      </c>
      <c r="D675" s="6">
        <v>1.1222E-5</v>
      </c>
      <c r="E675" s="17">
        <v>1.8006744260817999E-4</v>
      </c>
      <c r="F675">
        <f>E675* VLOOKUP(A675,Check!A$2:F$11,4,FALSE)</f>
        <v>336691.16604648402</v>
      </c>
    </row>
    <row r="676" spans="1:6" x14ac:dyDescent="0.2">
      <c r="A676">
        <v>2018</v>
      </c>
      <c r="B676" s="1" t="s">
        <v>85</v>
      </c>
      <c r="C676" s="7">
        <v>328540</v>
      </c>
      <c r="D676" s="6">
        <v>1.6475800000000001E-4</v>
      </c>
      <c r="E676" s="17">
        <v>2.6437573220043551E-3</v>
      </c>
      <c r="F676">
        <f>E676* VLOOKUP(A676,Check!A$2:F$11,4,FALSE)</f>
        <v>4943313.0309206713</v>
      </c>
    </row>
    <row r="677" spans="1:6" x14ac:dyDescent="0.2">
      <c r="A677">
        <v>2018</v>
      </c>
      <c r="B677" s="1" t="s">
        <v>86</v>
      </c>
      <c r="C677" s="7">
        <v>18136</v>
      </c>
      <c r="D677" s="6">
        <v>9.0950000000000002E-6</v>
      </c>
      <c r="E677" s="17">
        <v>1.4594016799132823E-4</v>
      </c>
      <c r="F677">
        <f>E677* VLOOKUP(A677,Check!A$2:F$11,4,FALSE)</f>
        <v>272879.7867193562</v>
      </c>
    </row>
    <row r="678" spans="1:6" x14ac:dyDescent="0.2">
      <c r="A678">
        <v>2018</v>
      </c>
      <c r="B678" s="1" t="s">
        <v>87</v>
      </c>
      <c r="C678" s="7">
        <v>10856</v>
      </c>
      <c r="D678" s="6">
        <v>5.4439999999999999E-6</v>
      </c>
      <c r="E678" s="17">
        <v>8.735809791099798E-5</v>
      </c>
      <c r="F678">
        <f>E678* VLOOKUP(A678,Check!A$2:F$11,4,FALSE)</f>
        <v>163342.6866246874</v>
      </c>
    </row>
    <row r="679" spans="1:6" x14ac:dyDescent="0.2">
      <c r="A679">
        <v>2018</v>
      </c>
      <c r="B679" s="1" t="s">
        <v>88</v>
      </c>
      <c r="C679" s="7">
        <v>664573</v>
      </c>
      <c r="D679" s="6">
        <v>3.3327299999999998E-4</v>
      </c>
      <c r="E679" s="17">
        <v>5.3478107224581486E-3</v>
      </c>
      <c r="F679">
        <f>E679* VLOOKUP(A679,Check!A$2:F$11,4,FALSE)</f>
        <v>9999368.0248920768</v>
      </c>
    </row>
    <row r="680" spans="1:6" x14ac:dyDescent="0.2">
      <c r="A680">
        <v>2018</v>
      </c>
      <c r="B680" s="1" t="s">
        <v>89</v>
      </c>
      <c r="C680" s="7">
        <v>984906</v>
      </c>
      <c r="D680" s="6">
        <v>4.9391599999999995E-4</v>
      </c>
      <c r="E680" s="17">
        <v>7.9255264168321092E-3</v>
      </c>
      <c r="F680">
        <f>E680* VLOOKUP(A680,Check!A$2:F$11,4,FALSE)</f>
        <v>14819196.031021958</v>
      </c>
    </row>
    <row r="681" spans="1:6" x14ac:dyDescent="0.2">
      <c r="A681">
        <v>2018</v>
      </c>
      <c r="B681" s="1" t="s">
        <v>90</v>
      </c>
      <c r="C681" s="7">
        <v>34564</v>
      </c>
      <c r="D681" s="6">
        <v>1.7333000000000002E-5</v>
      </c>
      <c r="E681" s="17">
        <v>2.7813608107919436E-4</v>
      </c>
      <c r="F681">
        <f>E681* VLOOKUP(A681,Check!A$2:F$11,4,FALSE)</f>
        <v>520060.48457034776</v>
      </c>
    </row>
    <row r="682" spans="1:6" x14ac:dyDescent="0.2">
      <c r="A682">
        <v>2018</v>
      </c>
      <c r="B682" s="1" t="s">
        <v>91</v>
      </c>
      <c r="C682" s="7">
        <v>176364</v>
      </c>
      <c r="D682" s="6">
        <v>8.8443999999999995E-5</v>
      </c>
      <c r="E682" s="17">
        <v>1.419198929621891E-3</v>
      </c>
      <c r="F682">
        <f>E682* VLOOKUP(A682,Check!A$2:F$11,4,FALSE)</f>
        <v>2653626.5276230997</v>
      </c>
    </row>
    <row r="683" spans="1:6" x14ac:dyDescent="0.2">
      <c r="A683">
        <v>2018</v>
      </c>
      <c r="B683" s="1" t="s">
        <v>92</v>
      </c>
      <c r="C683" s="7">
        <v>1745574</v>
      </c>
      <c r="D683" s="6">
        <v>8.7538000000000004E-4</v>
      </c>
      <c r="E683" s="17">
        <v>1.4046612417362969E-2</v>
      </c>
      <c r="F683">
        <f>E683* VLOOKUP(A683,Check!A$2:F$11,4,FALSE)</f>
        <v>26264438.730858706</v>
      </c>
    </row>
    <row r="684" spans="1:6" x14ac:dyDescent="0.2">
      <c r="A684">
        <v>2018</v>
      </c>
      <c r="B684" s="1" t="s">
        <v>93</v>
      </c>
      <c r="C684" s="7">
        <v>96578</v>
      </c>
      <c r="D684" s="6">
        <v>4.8432E-5</v>
      </c>
      <c r="E684" s="17">
        <v>7.771619731068868E-4</v>
      </c>
      <c r="F684">
        <f>E684* VLOOKUP(A684,Check!A$2:F$11,4,FALSE)</f>
        <v>1453142.0402394123</v>
      </c>
    </row>
    <row r="685" spans="1:6" x14ac:dyDescent="0.2">
      <c r="A685">
        <v>2018</v>
      </c>
      <c r="B685" s="1" t="s">
        <v>94</v>
      </c>
      <c r="C685" s="7">
        <v>2353181</v>
      </c>
      <c r="D685" s="6">
        <v>1.1800859999999999E-3</v>
      </c>
      <c r="E685" s="17">
        <v>1.8936018441442534E-2</v>
      </c>
      <c r="F685">
        <f>E685* VLOOKUP(A685,Check!A$2:F$11,4,FALSE)</f>
        <v>35406678.947509997</v>
      </c>
    </row>
    <row r="686" spans="1:6" x14ac:dyDescent="0.2">
      <c r="A686">
        <v>2018</v>
      </c>
      <c r="B686" s="1" t="s">
        <v>95</v>
      </c>
      <c r="C686" s="7">
        <v>120048</v>
      </c>
      <c r="D686" s="6">
        <v>6.0202999999999999E-5</v>
      </c>
      <c r="E686" s="17">
        <v>9.6602477321476468E-4</v>
      </c>
      <c r="F686">
        <f>E686* VLOOKUP(A686,Check!A$2:F$11,4,FALSE)</f>
        <v>1806278.8176050547</v>
      </c>
    </row>
    <row r="687" spans="1:6" x14ac:dyDescent="0.2">
      <c r="A687">
        <v>2018</v>
      </c>
      <c r="B687" s="1" t="s">
        <v>96</v>
      </c>
      <c r="C687" s="7">
        <v>6401947</v>
      </c>
      <c r="D687" s="6">
        <v>3.2104830000000001E-3</v>
      </c>
      <c r="E687" s="17">
        <v>5.151638843469232E-2</v>
      </c>
      <c r="F687">
        <f>E687* VLOOKUP(A687,Check!A$2:F$11,4,FALSE)</f>
        <v>96325646.887330294</v>
      </c>
    </row>
    <row r="688" spans="1:6" x14ac:dyDescent="0.2">
      <c r="A688">
        <v>2018</v>
      </c>
      <c r="B688" s="1" t="s">
        <v>97</v>
      </c>
      <c r="C688" s="7">
        <v>5855584</v>
      </c>
      <c r="D688" s="6">
        <v>2.9364899999999999E-3</v>
      </c>
      <c r="E688" s="17">
        <v>4.7119812122151182E-2</v>
      </c>
      <c r="F688">
        <f>E688* VLOOKUP(A688,Check!A$2:F$11,4,FALSE)</f>
        <v>88104902.571530372</v>
      </c>
    </row>
    <row r="689" spans="1:6" x14ac:dyDescent="0.2">
      <c r="A689">
        <v>2018</v>
      </c>
      <c r="B689" s="1" t="s">
        <v>98</v>
      </c>
      <c r="C689" s="7">
        <v>150664</v>
      </c>
      <c r="D689" s="6">
        <v>7.5556000000000006E-5</v>
      </c>
      <c r="E689" s="17">
        <v>1.2123913470580877E-3</v>
      </c>
      <c r="F689">
        <f>E689* VLOOKUP(A689,Check!A$2:F$11,4,FALSE)</f>
        <v>2266936.4902009862</v>
      </c>
    </row>
    <row r="690" spans="1:6" x14ac:dyDescent="0.2">
      <c r="A690">
        <v>2018</v>
      </c>
      <c r="B690" s="1" t="s">
        <v>99</v>
      </c>
      <c r="C690" s="7">
        <v>10372</v>
      </c>
      <c r="D690" s="6">
        <v>5.2009999999999998E-6</v>
      </c>
      <c r="E690" s="17">
        <v>8.3463355889173827E-5</v>
      </c>
      <c r="F690">
        <f>E690* VLOOKUP(A690,Check!A$2:F$11,4,FALSE)</f>
        <v>156060.27502498691</v>
      </c>
    </row>
    <row r="691" spans="1:6" x14ac:dyDescent="0.2">
      <c r="A691">
        <v>2018</v>
      </c>
      <c r="B691" s="1" t="s">
        <v>100</v>
      </c>
      <c r="C691" s="7">
        <v>241992</v>
      </c>
      <c r="D691" s="6">
        <v>1.2135500000000001E-4</v>
      </c>
      <c r="E691" s="17">
        <v>1.9473066350108902E-3</v>
      </c>
      <c r="F691">
        <f>E691* VLOOKUP(A691,Check!A$2:F$11,4,FALSE)</f>
        <v>3641085.4294105894</v>
      </c>
    </row>
    <row r="692" spans="1:6" x14ac:dyDescent="0.2">
      <c r="A692">
        <v>2018</v>
      </c>
      <c r="B692" s="1" t="s">
        <v>211</v>
      </c>
      <c r="C692" s="7">
        <v>360271</v>
      </c>
      <c r="D692" s="6">
        <v>1.8066999999999999E-4</v>
      </c>
      <c r="E692" s="17">
        <v>2.8990962870756405E-3</v>
      </c>
      <c r="F692">
        <f>E692* VLOOKUP(A692,Check!A$2:F$11,4,FALSE)</f>
        <v>5420747.3335448373</v>
      </c>
    </row>
    <row r="693" spans="1:6" x14ac:dyDescent="0.2">
      <c r="A693">
        <v>2018</v>
      </c>
      <c r="B693" s="1" t="s">
        <v>102</v>
      </c>
      <c r="C693" s="7">
        <v>23293</v>
      </c>
      <c r="D693" s="6">
        <v>1.1681E-5</v>
      </c>
      <c r="E693" s="17">
        <v>1.8743848329411166E-4</v>
      </c>
      <c r="F693">
        <f>E693* VLOOKUP(A693,Check!A$2:F$11,4,FALSE)</f>
        <v>350473.58138806594</v>
      </c>
    </row>
    <row r="694" spans="1:6" x14ac:dyDescent="0.2">
      <c r="A694">
        <v>2018</v>
      </c>
      <c r="B694" s="1" t="s">
        <v>103</v>
      </c>
      <c r="C694" s="7">
        <v>4583972</v>
      </c>
      <c r="D694" s="6">
        <v>2.2987950000000002E-3</v>
      </c>
      <c r="E694" s="17">
        <v>3.6887166064597757E-2</v>
      </c>
      <c r="F694">
        <f>E694* VLOOKUP(A694,Check!A$2:F$11,4,FALSE)</f>
        <v>68971840.631203175</v>
      </c>
    </row>
    <row r="695" spans="1:6" x14ac:dyDescent="0.2">
      <c r="A695">
        <v>2018</v>
      </c>
      <c r="B695" s="1" t="s">
        <v>104</v>
      </c>
      <c r="C695" s="7">
        <v>52410</v>
      </c>
      <c r="D695" s="6">
        <v>2.6282999999999999E-5</v>
      </c>
      <c r="E695" s="17">
        <v>4.2174262265248747E-4</v>
      </c>
      <c r="F695">
        <f>E695* VLOOKUP(A695,Check!A$2:F$11,4,FALSE)</f>
        <v>788576.84285186685</v>
      </c>
    </row>
    <row r="696" spans="1:6" x14ac:dyDescent="0.2">
      <c r="A696">
        <v>2018</v>
      </c>
      <c r="B696" s="1" t="s">
        <v>105</v>
      </c>
      <c r="C696" s="7">
        <v>27042</v>
      </c>
      <c r="D696" s="6">
        <v>1.3560999999999999E-5</v>
      </c>
      <c r="E696" s="17">
        <v>2.1760663998795205E-4</v>
      </c>
      <c r="F696">
        <f>E696* VLOOKUP(A696,Check!A$2:F$11,4,FALSE)</f>
        <v>406882.17867582873</v>
      </c>
    </row>
    <row r="697" spans="1:6" x14ac:dyDescent="0.2">
      <c r="A697">
        <v>2018</v>
      </c>
      <c r="B697" s="1" t="s">
        <v>106</v>
      </c>
      <c r="C697" s="7">
        <v>333482</v>
      </c>
      <c r="D697" s="6">
        <v>1.67236E-4</v>
      </c>
      <c r="E697" s="17">
        <v>2.6835255349627329E-3</v>
      </c>
      <c r="F697">
        <f>E697* VLOOKUP(A697,Check!A$2:F$11,4,FALSE)</f>
        <v>5017671.8700233977</v>
      </c>
    </row>
    <row r="698" spans="1:6" x14ac:dyDescent="0.2">
      <c r="A698">
        <v>2018</v>
      </c>
      <c r="B698" s="1" t="s">
        <v>107</v>
      </c>
      <c r="C698" s="7">
        <v>671610</v>
      </c>
      <c r="D698" s="6">
        <v>3.3680199999999998E-4</v>
      </c>
      <c r="E698" s="17">
        <v>5.4044373745399188E-3</v>
      </c>
      <c r="F698">
        <f>E698* VLOOKUP(A698,Check!A$2:F$11,4,FALSE)</f>
        <v>10105248.872881938</v>
      </c>
    </row>
    <row r="699" spans="1:6" x14ac:dyDescent="0.2">
      <c r="A699">
        <v>2018</v>
      </c>
      <c r="B699" s="1" t="s">
        <v>108</v>
      </c>
      <c r="C699" s="7">
        <v>750624</v>
      </c>
      <c r="D699" s="6">
        <v>3.7642699999999998E-4</v>
      </c>
      <c r="E699" s="17">
        <v>6.0402620565903602E-3</v>
      </c>
      <c r="F699">
        <f>E699* VLOOKUP(A699,Check!A$2:F$11,4,FALSE)</f>
        <v>11294117.612838004</v>
      </c>
    </row>
    <row r="700" spans="1:6" x14ac:dyDescent="0.2">
      <c r="A700">
        <v>2018</v>
      </c>
      <c r="B700" s="1" t="s">
        <v>109</v>
      </c>
      <c r="C700" s="7">
        <v>336355</v>
      </c>
      <c r="D700" s="6">
        <v>1.68677E-4</v>
      </c>
      <c r="E700" s="17">
        <v>2.7066445304765774E-3</v>
      </c>
      <c r="F700">
        <f>E700* VLOOKUP(A700,Check!A$2:F$11,4,FALSE)</f>
        <v>5060899.9041679008</v>
      </c>
    </row>
    <row r="701" spans="1:6" x14ac:dyDescent="0.2">
      <c r="A701">
        <v>2018</v>
      </c>
      <c r="B701" s="1" t="s">
        <v>110</v>
      </c>
      <c r="C701" s="7">
        <v>242074</v>
      </c>
      <c r="D701" s="6">
        <v>1.21397E-4</v>
      </c>
      <c r="E701" s="17">
        <v>1.9479664879980588E-3</v>
      </c>
      <c r="F701">
        <f>E701* VLOOKUP(A701,Check!A$2:F$11,4,FALSE)</f>
        <v>3642319.2264171499</v>
      </c>
    </row>
    <row r="702" spans="1:6" x14ac:dyDescent="0.2">
      <c r="A702">
        <v>2018</v>
      </c>
      <c r="B702" s="1" t="s">
        <v>111</v>
      </c>
      <c r="C702" s="7">
        <v>16993</v>
      </c>
      <c r="D702" s="6">
        <v>8.5220000000000007E-6</v>
      </c>
      <c r="E702" s="17">
        <v>1.3674246110921047E-4</v>
      </c>
      <c r="F702">
        <f>E702* VLOOKUP(A702,Check!A$2:F$11,4,FALSE)</f>
        <v>255681.86015229489</v>
      </c>
    </row>
    <row r="703" spans="1:6" x14ac:dyDescent="0.2">
      <c r="A703">
        <v>2018</v>
      </c>
      <c r="B703" s="1" t="s">
        <v>112</v>
      </c>
      <c r="C703" s="7">
        <v>50913</v>
      </c>
      <c r="D703" s="6">
        <v>2.5531999999999999E-5</v>
      </c>
      <c r="E703" s="17">
        <v>4.0969628214283717E-4</v>
      </c>
      <c r="F703">
        <f>E703* VLOOKUP(A703,Check!A$2:F$11,4,FALSE)</f>
        <v>766052.52432965278</v>
      </c>
    </row>
    <row r="704" spans="1:6" x14ac:dyDescent="0.2">
      <c r="A704">
        <v>2018</v>
      </c>
      <c r="B704" s="1" t="s">
        <v>113</v>
      </c>
      <c r="C704" s="7">
        <v>269145</v>
      </c>
      <c r="D704" s="6">
        <v>1.3497199999999999E-4</v>
      </c>
      <c r="E704" s="17">
        <v>2.1658064906278141E-3</v>
      </c>
      <c r="F704">
        <f>E704* VLOOKUP(A704,Check!A$2:F$11,4,FALSE)</f>
        <v>4049637.7479367619</v>
      </c>
    </row>
    <row r="705" spans="1:6" x14ac:dyDescent="0.2">
      <c r="A705">
        <v>2018</v>
      </c>
      <c r="B705" s="1" t="s">
        <v>114</v>
      </c>
      <c r="C705" s="7">
        <v>87252</v>
      </c>
      <c r="D705" s="6">
        <v>4.3755999999999999E-5</v>
      </c>
      <c r="E705" s="17">
        <v>7.0211576629793625E-4</v>
      </c>
      <c r="F705">
        <f>E705* VLOOKUP(A705,Check!A$2:F$11,4,FALSE)</f>
        <v>1312820.2002005551</v>
      </c>
    </row>
    <row r="706" spans="1:6" x14ac:dyDescent="0.2">
      <c r="A706">
        <v>2018</v>
      </c>
      <c r="B706" s="1" t="s">
        <v>115</v>
      </c>
      <c r="C706" s="7">
        <v>96262</v>
      </c>
      <c r="D706" s="6">
        <v>4.8273999999999999E-5</v>
      </c>
      <c r="E706" s="17">
        <v>7.746191250099934E-4</v>
      </c>
      <c r="F706">
        <f>E706* VLOOKUP(A706,Check!A$2:F$11,4,FALSE)</f>
        <v>1448387.4078726659</v>
      </c>
    </row>
    <row r="707" spans="1:6" x14ac:dyDescent="0.2">
      <c r="A707">
        <v>2018</v>
      </c>
      <c r="B707" s="1" t="s">
        <v>116</v>
      </c>
      <c r="C707" s="7">
        <v>299763</v>
      </c>
      <c r="D707" s="6">
        <v>1.5032700000000001E-4</v>
      </c>
      <c r="E707" s="17">
        <v>2.4121891584464343E-3</v>
      </c>
      <c r="F707">
        <f>E707* VLOOKUP(A707,Check!A$2:F$11,4,FALSE)</f>
        <v>4510325.51314261</v>
      </c>
    </row>
    <row r="708" spans="1:6" x14ac:dyDescent="0.2">
      <c r="A708">
        <v>2018</v>
      </c>
      <c r="B708" s="1" t="s">
        <v>212</v>
      </c>
      <c r="C708" s="7">
        <v>486721</v>
      </c>
      <c r="D708" s="6">
        <v>2.44083E-4</v>
      </c>
      <c r="E708" s="17">
        <v>3.9166378752154432E-3</v>
      </c>
      <c r="F708">
        <f>E708* VLOOKUP(A708,Check!A$2:F$11,4,FALSE)</f>
        <v>7323352.595491386</v>
      </c>
    </row>
    <row r="709" spans="1:6" x14ac:dyDescent="0.2">
      <c r="A709">
        <v>2018</v>
      </c>
      <c r="B709" s="1" t="s">
        <v>213</v>
      </c>
      <c r="C709" s="7">
        <v>48030</v>
      </c>
      <c r="D709" s="6">
        <v>2.4085999999999999E-5</v>
      </c>
      <c r="E709" s="17">
        <v>3.8649681675250857E-4</v>
      </c>
      <c r="F709">
        <f>E709* VLOOKUP(A709,Check!A$2:F$11,4,FALSE)</f>
        <v>722674.0271355689</v>
      </c>
    </row>
    <row r="710" spans="1:6" x14ac:dyDescent="0.2">
      <c r="A710">
        <v>2018</v>
      </c>
      <c r="B710" s="1" t="s">
        <v>119</v>
      </c>
      <c r="C710" s="7">
        <v>61177</v>
      </c>
      <c r="D710" s="6">
        <v>3.0679000000000002E-5</v>
      </c>
      <c r="E710" s="17">
        <v>4.9229056336598412E-4</v>
      </c>
      <c r="F710">
        <f>E710* VLOOKUP(A710,Check!A$2:F$11,4,FALSE)</f>
        <v>920487.79841916927</v>
      </c>
    </row>
    <row r="711" spans="1:6" x14ac:dyDescent="0.2">
      <c r="A711">
        <v>2018</v>
      </c>
      <c r="B711" s="1" t="s">
        <v>214</v>
      </c>
      <c r="C711" s="7">
        <v>1113557</v>
      </c>
      <c r="D711" s="6">
        <v>5.58433E-4</v>
      </c>
      <c r="E711" s="17">
        <v>8.9607794247860331E-3</v>
      </c>
      <c r="F711">
        <f>E711* VLOOKUP(A711,Check!A$2:F$11,4,FALSE)</f>
        <v>16754918.210181193</v>
      </c>
    </row>
    <row r="712" spans="1:6" x14ac:dyDescent="0.2">
      <c r="A712">
        <v>2018</v>
      </c>
      <c r="B712" s="1" t="s">
        <v>121</v>
      </c>
      <c r="C712" s="7">
        <v>1512925</v>
      </c>
      <c r="D712" s="6">
        <v>7.5871000000000001E-4</v>
      </c>
      <c r="E712" s="17">
        <v>1.2174488787951052E-2</v>
      </c>
      <c r="F712">
        <f>E712* VLOOKUP(A712,Check!A$2:F$11,4,FALSE)</f>
        <v>22763930.928671259</v>
      </c>
    </row>
    <row r="713" spans="1:6" x14ac:dyDescent="0.2">
      <c r="A713">
        <v>2018</v>
      </c>
      <c r="B713" s="1" t="s">
        <v>122</v>
      </c>
      <c r="C713" s="7">
        <v>650264</v>
      </c>
      <c r="D713" s="6">
        <v>3.2609799999999998E-4</v>
      </c>
      <c r="E713" s="17">
        <v>5.2326663761972361E-3</v>
      </c>
      <c r="F713">
        <f>E713* VLOOKUP(A713,Check!A$2:F$11,4,FALSE)</f>
        <v>9784070.4472472128</v>
      </c>
    </row>
    <row r="714" spans="1:6" x14ac:dyDescent="0.2">
      <c r="A714">
        <v>2018</v>
      </c>
      <c r="B714" s="1" t="s">
        <v>123</v>
      </c>
      <c r="C714" s="7">
        <v>1444541</v>
      </c>
      <c r="D714" s="6">
        <v>7.2441599999999997E-4</v>
      </c>
      <c r="E714" s="17">
        <v>1.162420358460307E-2</v>
      </c>
      <c r="F714">
        <f>E714* VLOOKUP(A714,Check!A$2:F$11,4,FALSE)</f>
        <v>21735004.41041936</v>
      </c>
    </row>
    <row r="715" spans="1:6" x14ac:dyDescent="0.2">
      <c r="A715">
        <v>2018</v>
      </c>
      <c r="B715" s="1" t="s">
        <v>124</v>
      </c>
      <c r="C715" s="7">
        <v>3754</v>
      </c>
      <c r="D715" s="6">
        <v>1.883E-6</v>
      </c>
      <c r="E715" s="17">
        <v>3.0208391632082391E-5</v>
      </c>
      <c r="F715">
        <f>E715* VLOOKUP(A715,Check!A$2:F$11,4,FALSE)</f>
        <v>56483.828812553111</v>
      </c>
    </row>
    <row r="716" spans="1:6" x14ac:dyDescent="0.2">
      <c r="A716">
        <v>2018</v>
      </c>
      <c r="B716" s="1" t="s">
        <v>125</v>
      </c>
      <c r="C716" s="7">
        <v>28921</v>
      </c>
      <c r="D716" s="6">
        <v>1.4504E-5</v>
      </c>
      <c r="E716" s="17">
        <v>2.3272692977929004E-4</v>
      </c>
      <c r="F716">
        <f>E716* VLOOKUP(A716,Check!A$2:F$11,4,FALSE)</f>
        <v>435154.18569202145</v>
      </c>
    </row>
    <row r="717" spans="1:6" x14ac:dyDescent="0.2">
      <c r="A717">
        <v>2018</v>
      </c>
      <c r="B717" s="1" t="s">
        <v>126</v>
      </c>
      <c r="C717" s="7">
        <v>130764</v>
      </c>
      <c r="D717" s="6">
        <v>6.5575999999999997E-5</v>
      </c>
      <c r="E717" s="17">
        <v>1.0522562928549871E-3</v>
      </c>
      <c r="F717">
        <f>E717* VLOOKUP(A717,Check!A$2:F$11,4,FALSE)</f>
        <v>1967515.0215356138</v>
      </c>
    </row>
    <row r="718" spans="1:6" x14ac:dyDescent="0.2">
      <c r="A718">
        <v>2018</v>
      </c>
      <c r="B718" s="1" t="s">
        <v>127</v>
      </c>
      <c r="C718" s="7">
        <v>157926</v>
      </c>
      <c r="D718" s="6">
        <v>7.9196999999999994E-5</v>
      </c>
      <c r="E718" s="17">
        <v>1.2708285713607468E-3</v>
      </c>
      <c r="F718">
        <f>E718* VLOOKUP(A718,Check!A$2:F$11,4,FALSE)</f>
        <v>2376202.7568064095</v>
      </c>
    </row>
    <row r="719" spans="1:6" x14ac:dyDescent="0.2">
      <c r="A719">
        <v>2018</v>
      </c>
      <c r="B719" s="1" t="s">
        <v>128</v>
      </c>
      <c r="C719" s="7">
        <v>252311</v>
      </c>
      <c r="D719" s="6">
        <v>1.2653E-4</v>
      </c>
      <c r="E719" s="17">
        <v>2.0303435005546988E-3</v>
      </c>
      <c r="F719">
        <f>E719* VLOOKUP(A719,Check!A$2:F$11,4,FALSE)</f>
        <v>3796348.2502727988</v>
      </c>
    </row>
    <row r="720" spans="1:6" x14ac:dyDescent="0.2">
      <c r="A720">
        <v>2018</v>
      </c>
      <c r="B720" s="1" t="s">
        <v>129</v>
      </c>
      <c r="C720" s="7">
        <v>37230</v>
      </c>
      <c r="D720" s="6">
        <v>1.8669999999999999E-5</v>
      </c>
      <c r="E720" s="17">
        <v>2.9958935014982082E-4</v>
      </c>
      <c r="F720">
        <f>E720* VLOOKUP(A720,Check!A$2:F$11,4,FALSE)</f>
        <v>560173.93358853285</v>
      </c>
    </row>
    <row r="721" spans="1:6" x14ac:dyDescent="0.2">
      <c r="A721">
        <v>2018</v>
      </c>
      <c r="B721" s="1" t="s">
        <v>215</v>
      </c>
      <c r="C721" s="7">
        <v>82378</v>
      </c>
      <c r="D721" s="6">
        <v>4.1312E-5</v>
      </c>
      <c r="E721" s="17">
        <v>6.6289474849964922E-4</v>
      </c>
      <c r="F721">
        <f>E721* VLOOKUP(A721,Check!A$2:F$11,4,FALSE)</f>
        <v>1239484.5098349759</v>
      </c>
    </row>
    <row r="722" spans="1:6" x14ac:dyDescent="0.2">
      <c r="A722">
        <v>2018</v>
      </c>
      <c r="B722" s="1" t="s">
        <v>131</v>
      </c>
      <c r="C722" s="7">
        <v>73122</v>
      </c>
      <c r="D722" s="6">
        <v>3.6668999999999997E-5</v>
      </c>
      <c r="E722" s="17">
        <v>5.8841183082608648E-4</v>
      </c>
      <c r="F722">
        <f>E722* VLOOKUP(A722,Check!A$2:F$11,4,FALSE)</f>
        <v>1100215.9111431828</v>
      </c>
    </row>
    <row r="723" spans="1:6" x14ac:dyDescent="0.2">
      <c r="A723">
        <v>2018</v>
      </c>
      <c r="B723" s="1" t="s">
        <v>133</v>
      </c>
      <c r="C723" s="7">
        <v>66711</v>
      </c>
      <c r="D723" s="6">
        <v>3.3454999999999997E-5</v>
      </c>
      <c r="E723" s="17">
        <v>5.3682259301221318E-4</v>
      </c>
      <c r="F723">
        <f>E723* VLOOKUP(A723,Check!A$2:F$11,4,FALSE)</f>
        <v>1003754.0500570672</v>
      </c>
    </row>
    <row r="724" spans="1:6" x14ac:dyDescent="0.2">
      <c r="A724">
        <v>2018</v>
      </c>
      <c r="B724" s="1" t="s">
        <v>134</v>
      </c>
      <c r="C724" s="7">
        <v>116297</v>
      </c>
      <c r="D724" s="6">
        <v>5.8320999999999999E-5</v>
      </c>
      <c r="E724" s="17">
        <v>9.3584052254562749E-4</v>
      </c>
      <c r="F724">
        <f>E724* VLOOKUP(A724,Check!A$2:F$11,4,FALSE)</f>
        <v>1749840.1277073757</v>
      </c>
    </row>
    <row r="725" spans="1:6" x14ac:dyDescent="0.2">
      <c r="A725">
        <v>2018</v>
      </c>
      <c r="B725" s="1" t="s">
        <v>216</v>
      </c>
      <c r="C725" s="7">
        <v>95740</v>
      </c>
      <c r="D725" s="6">
        <v>4.8012E-5</v>
      </c>
      <c r="E725" s="17">
        <v>7.704185974575301E-4</v>
      </c>
      <c r="F725">
        <f>E725* VLOOKUP(A725,Check!A$2:F$11,4,FALSE)</f>
        <v>1440533.2366845589</v>
      </c>
    </row>
    <row r="726" spans="1:6" x14ac:dyDescent="0.2">
      <c r="A726">
        <v>2018</v>
      </c>
      <c r="B726" s="1" t="s">
        <v>135</v>
      </c>
      <c r="C726" s="7">
        <v>18974</v>
      </c>
      <c r="D726" s="6">
        <v>9.5149999999999995E-6</v>
      </c>
      <c r="E726" s="17">
        <v>1.5268354364068493E-4</v>
      </c>
      <c r="F726">
        <f>E726* VLOOKUP(A726,Check!A$2:F$11,4,FALSE)</f>
        <v>285488.59027420956</v>
      </c>
    </row>
    <row r="727" spans="1:6" x14ac:dyDescent="0.2">
      <c r="A727">
        <v>2018</v>
      </c>
      <c r="B727" s="1" t="s">
        <v>136</v>
      </c>
      <c r="C727" s="7">
        <v>347705</v>
      </c>
      <c r="D727" s="6">
        <v>1.7436900000000001E-4</v>
      </c>
      <c r="E727" s="17">
        <v>2.7979778402858835E-3</v>
      </c>
      <c r="F727">
        <f>E727* VLOOKUP(A727,Check!A$2:F$11,4,FALSE)</f>
        <v>5231675.4654418696</v>
      </c>
    </row>
    <row r="728" spans="1:6" x14ac:dyDescent="0.2">
      <c r="A728">
        <v>2018</v>
      </c>
      <c r="B728" s="1" t="s">
        <v>137</v>
      </c>
      <c r="C728" s="7">
        <v>13629583</v>
      </c>
      <c r="D728" s="6">
        <v>6.8350370000000004E-3</v>
      </c>
      <c r="E728" s="17">
        <v>0.10967708605380191</v>
      </c>
      <c r="F728">
        <f>E728* VLOOKUP(A728,Check!A$2:F$11,4,FALSE)</f>
        <v>205074862.26917529</v>
      </c>
    </row>
    <row r="729" spans="1:6" x14ac:dyDescent="0.2">
      <c r="A729">
        <v>2018</v>
      </c>
      <c r="B729" s="1" t="s">
        <v>138</v>
      </c>
      <c r="C729" s="7">
        <v>241870</v>
      </c>
      <c r="D729" s="6">
        <v>1.2129399999999999E-4</v>
      </c>
      <c r="E729" s="17">
        <v>1.9463249025177857E-3</v>
      </c>
      <c r="F729">
        <f>E729* VLOOKUP(A729,Check!A$2:F$11,4,FALSE)</f>
        <v>3639249.7802057057</v>
      </c>
    </row>
    <row r="730" spans="1:6" x14ac:dyDescent="0.2">
      <c r="A730">
        <v>2018</v>
      </c>
      <c r="B730" s="1" t="s">
        <v>139</v>
      </c>
      <c r="C730" s="7">
        <v>17344515</v>
      </c>
      <c r="D730" s="6">
        <v>8.6980210000000002E-3</v>
      </c>
      <c r="E730" s="17">
        <v>0.13957109797243675</v>
      </c>
      <c r="F730">
        <f>E730* VLOOKUP(A730,Check!A$2:F$11,4,FALSE)</f>
        <v>260970862.03962699</v>
      </c>
    </row>
    <row r="731" spans="1:6" x14ac:dyDescent="0.2">
      <c r="A731">
        <v>2018</v>
      </c>
      <c r="B731" s="1" t="s">
        <v>140</v>
      </c>
      <c r="C731" s="7">
        <v>23337</v>
      </c>
      <c r="D731" s="6">
        <v>1.1703E-5</v>
      </c>
      <c r="E731" s="17">
        <v>1.877925507506411E-4</v>
      </c>
      <c r="F731">
        <f>E731* VLOOKUP(A731,Check!A$2:F$11,4,FALSE)</f>
        <v>351135.61880622053</v>
      </c>
    </row>
    <row r="732" spans="1:6" x14ac:dyDescent="0.2">
      <c r="A732">
        <v>2018</v>
      </c>
      <c r="B732" s="1" t="s">
        <v>141</v>
      </c>
      <c r="C732" s="7">
        <v>46533</v>
      </c>
      <c r="D732" s="6">
        <v>2.3336000000000002E-5</v>
      </c>
      <c r="E732" s="17">
        <v>3.7445047624285827E-4</v>
      </c>
      <c r="F732">
        <f>E732* VLOOKUP(A732,Check!A$2:F$11,4,FALSE)</f>
        <v>700149.70861335483</v>
      </c>
    </row>
    <row r="733" spans="1:6" x14ac:dyDescent="0.2">
      <c r="A733">
        <v>2018</v>
      </c>
      <c r="B733" s="1" t="s">
        <v>142</v>
      </c>
      <c r="C733" s="7">
        <v>74153</v>
      </c>
      <c r="D733" s="6">
        <v>3.7185999999999999E-5</v>
      </c>
      <c r="E733" s="17">
        <v>5.9670827509158378E-4</v>
      </c>
      <c r="F733">
        <f>E733* VLOOKUP(A733,Check!A$2:F$11,4,FALSE)</f>
        <v>1115728.6515549417</v>
      </c>
    </row>
    <row r="734" spans="1:6" x14ac:dyDescent="0.2">
      <c r="A734">
        <v>2018</v>
      </c>
      <c r="B734" s="1" t="s">
        <v>143</v>
      </c>
      <c r="C734" s="7">
        <v>32764</v>
      </c>
      <c r="D734" s="6">
        <v>1.643E-5</v>
      </c>
      <c r="E734" s="17">
        <v>2.6365150331207979E-4</v>
      </c>
      <c r="F734">
        <f>E734* VLOOKUP(A734,Check!A$2:F$11,4,FALSE)</f>
        <v>492977.13564584183</v>
      </c>
    </row>
    <row r="735" spans="1:6" x14ac:dyDescent="0.2">
      <c r="A735">
        <v>2018</v>
      </c>
      <c r="B735" s="1" t="s">
        <v>144</v>
      </c>
      <c r="C735" s="7">
        <v>126459</v>
      </c>
      <c r="D735" s="6">
        <v>6.3417000000000006E-5</v>
      </c>
      <c r="E735" s="17">
        <v>1.0176140110286379E-3</v>
      </c>
      <c r="F735">
        <f>E735* VLOOKUP(A735,Check!A$2:F$11,4,FALSE)</f>
        <v>1902740.6786911702</v>
      </c>
    </row>
    <row r="736" spans="1:6" x14ac:dyDescent="0.2">
      <c r="A736">
        <v>2018</v>
      </c>
      <c r="B736" s="1" t="s">
        <v>145</v>
      </c>
      <c r="C736" s="7">
        <v>1950935</v>
      </c>
      <c r="D736" s="6">
        <v>9.7836499999999992E-4</v>
      </c>
      <c r="E736" s="17">
        <v>1.5699149847825427E-2</v>
      </c>
      <c r="F736">
        <f>E736* VLOOKUP(A736,Check!A$2:F$11,4,FALSE)</f>
        <v>29354362.963350635</v>
      </c>
    </row>
    <row r="737" spans="1:6" x14ac:dyDescent="0.2">
      <c r="A737">
        <v>2018</v>
      </c>
      <c r="B737" s="1" t="s">
        <v>146</v>
      </c>
      <c r="C737" s="7">
        <v>459900</v>
      </c>
      <c r="D737" s="6">
        <v>2.30633E-4</v>
      </c>
      <c r="E737" s="17">
        <v>3.7008096194977866E-3</v>
      </c>
      <c r="F737">
        <f>E737* VLOOKUP(A737,Check!A$2:F$11,4,FALSE)</f>
        <v>6919795.6502112877</v>
      </c>
    </row>
    <row r="738" spans="1:6" x14ac:dyDescent="0.2">
      <c r="A738">
        <v>2018</v>
      </c>
      <c r="B738" s="1" t="s">
        <v>147</v>
      </c>
      <c r="C738" s="7">
        <v>30150</v>
      </c>
      <c r="D738" s="6">
        <v>1.5119999999999999E-5</v>
      </c>
      <c r="E738" s="17">
        <v>2.4261667759916997E-4</v>
      </c>
      <c r="F738">
        <f>E738* VLOOKUP(A738,Check!A$2:F$11,4,FALSE)</f>
        <v>453646.0944854758</v>
      </c>
    </row>
    <row r="739" spans="1:6" x14ac:dyDescent="0.2">
      <c r="A739">
        <v>2018</v>
      </c>
      <c r="B739" s="1" t="s">
        <v>148</v>
      </c>
      <c r="C739" s="7">
        <v>778614</v>
      </c>
      <c r="D739" s="6">
        <v>3.9046300000000002E-4</v>
      </c>
      <c r="E739" s="17">
        <v>6.2654972408689924E-3</v>
      </c>
      <c r="F739">
        <f>E739* VLOOKUP(A739,Check!A$2:F$11,4,FALSE)</f>
        <v>11715263.68861407</v>
      </c>
    </row>
    <row r="740" spans="1:6" x14ac:dyDescent="0.2">
      <c r="A740">
        <v>2018</v>
      </c>
      <c r="B740" s="1" t="s">
        <v>149</v>
      </c>
      <c r="C740" s="7">
        <v>13644</v>
      </c>
      <c r="D740" s="6">
        <v>6.8419999999999999E-6</v>
      </c>
      <c r="E740" s="17">
        <v>1.0979309947472885E-4</v>
      </c>
      <c r="F740">
        <f>E740* VLOOKUP(A740,Check!A$2:F$11,4,FALSE)</f>
        <v>205291.78484775563</v>
      </c>
    </row>
    <row r="741" spans="1:6" x14ac:dyDescent="0.2">
      <c r="A741">
        <v>2018</v>
      </c>
      <c r="B741" s="1" t="s">
        <v>150</v>
      </c>
      <c r="C741" s="7">
        <v>30907</v>
      </c>
      <c r="D741" s="6">
        <v>1.5500000000000001E-5</v>
      </c>
      <c r="E741" s="17">
        <v>2.4870824724900652E-4</v>
      </c>
      <c r="F741">
        <f>E741* VLOOKUP(A741,Check!A$2:F$11,4,FALSE)</f>
        <v>465036.14733872644</v>
      </c>
    </row>
    <row r="742" spans="1:6" x14ac:dyDescent="0.2">
      <c r="A742">
        <v>2018</v>
      </c>
      <c r="B742" s="1" t="s">
        <v>151</v>
      </c>
      <c r="C742" s="7">
        <v>41351</v>
      </c>
      <c r="D742" s="6">
        <v>2.0737000000000002E-5</v>
      </c>
      <c r="E742" s="17">
        <v>3.3275098624886495E-4</v>
      </c>
      <c r="F742">
        <f>E742* VLOOKUP(A742,Check!A$2:F$11,4,FALSE)</f>
        <v>622179.75632069365</v>
      </c>
    </row>
    <row r="743" spans="1:6" x14ac:dyDescent="0.2">
      <c r="A743">
        <v>2018</v>
      </c>
      <c r="B743" s="1" t="s">
        <v>152</v>
      </c>
      <c r="C743" s="7">
        <v>871477</v>
      </c>
      <c r="D743" s="6">
        <v>4.3703299999999997E-4</v>
      </c>
      <c r="E743" s="17">
        <v>7.0127646548620842E-3</v>
      </c>
      <c r="F743">
        <f>E743* VLOOKUP(A743,Check!A$2:F$11,4,FALSE)</f>
        <v>13112508.705934295</v>
      </c>
    </row>
    <row r="744" spans="1:6" x14ac:dyDescent="0.2">
      <c r="A744">
        <v>2018</v>
      </c>
      <c r="B744" s="1" t="s">
        <v>217</v>
      </c>
      <c r="C744" s="7">
        <v>2316726</v>
      </c>
      <c r="D744" s="6">
        <v>1.161804E-3</v>
      </c>
      <c r="E744" s="17">
        <v>1.8642665506720221E-2</v>
      </c>
      <c r="F744">
        <f>E744* VLOOKUP(A744,Check!A$2:F$11,4,FALSE)</f>
        <v>34858165.900263965</v>
      </c>
    </row>
    <row r="745" spans="1:6" x14ac:dyDescent="0.2">
      <c r="A745">
        <v>2018</v>
      </c>
      <c r="B745" s="1" t="s">
        <v>154</v>
      </c>
      <c r="C745" s="7">
        <v>577478</v>
      </c>
      <c r="D745" s="6">
        <v>2.89597E-4</v>
      </c>
      <c r="E745" s="17">
        <v>4.6469583332210112E-3</v>
      </c>
      <c r="F745">
        <f>E745* VLOOKUP(A745,Check!A$2:F$11,4,FALSE)</f>
        <v>8688910.0945699383</v>
      </c>
    </row>
    <row r="746" spans="1:6" x14ac:dyDescent="0.2">
      <c r="A746">
        <v>2018</v>
      </c>
      <c r="B746" s="1" t="s">
        <v>155</v>
      </c>
      <c r="C746" s="7">
        <v>113035</v>
      </c>
      <c r="D746" s="6">
        <v>5.6684999999999997E-5</v>
      </c>
      <c r="E746" s="17">
        <v>9.0959124883655646E-4</v>
      </c>
      <c r="F746">
        <f>E746* VLOOKUP(A746,Check!A$2:F$11,4,FALSE)</f>
        <v>1700759.0809341876</v>
      </c>
    </row>
    <row r="747" spans="1:6" x14ac:dyDescent="0.2">
      <c r="A747">
        <v>2018</v>
      </c>
      <c r="B747" s="1" t="s">
        <v>156</v>
      </c>
      <c r="C747" s="7">
        <v>692380</v>
      </c>
      <c r="D747" s="6">
        <v>3.4721799999999999E-4</v>
      </c>
      <c r="E747" s="17">
        <v>5.5715733079971241E-3</v>
      </c>
      <c r="F747">
        <f>E747* VLOOKUP(A747,Check!A$2:F$11,4,FALSE)</f>
        <v>10417760.62686082</v>
      </c>
    </row>
    <row r="748" spans="1:6" x14ac:dyDescent="0.2">
      <c r="A748">
        <v>2018</v>
      </c>
      <c r="B748" s="1" t="s">
        <v>157</v>
      </c>
      <c r="C748" s="7">
        <v>9752</v>
      </c>
      <c r="D748" s="6">
        <v>4.8899999999999998E-6</v>
      </c>
      <c r="E748" s="17">
        <v>7.8474223547167683E-5</v>
      </c>
      <c r="F748">
        <f>E748* VLOOKUP(A748,Check!A$2:F$11,4,FALSE)</f>
        <v>146731.56595099039</v>
      </c>
    </row>
    <row r="749" spans="1:6" x14ac:dyDescent="0.2">
      <c r="A749">
        <v>2018</v>
      </c>
      <c r="B749" s="1" t="s">
        <v>158</v>
      </c>
      <c r="C749" s="7">
        <v>203500</v>
      </c>
      <c r="D749" s="6">
        <v>1.02052E-4</v>
      </c>
      <c r="E749" s="17">
        <v>1.6375619864487923E-3</v>
      </c>
      <c r="F749">
        <f>E749* VLOOKUP(A749,Check!A$2:F$11,4,FALSE)</f>
        <v>3061923.0589649859</v>
      </c>
    </row>
    <row r="750" spans="1:6" x14ac:dyDescent="0.2">
      <c r="A750">
        <v>2018</v>
      </c>
      <c r="B750" s="1" t="s">
        <v>159</v>
      </c>
      <c r="C750" s="7">
        <v>70221</v>
      </c>
      <c r="D750" s="6">
        <v>3.5215000000000001E-5</v>
      </c>
      <c r="E750" s="17">
        <v>5.6506751965808668E-4</v>
      </c>
      <c r="F750">
        <f>E750* VLOOKUP(A750,Check!A$2:F$11,4,FALSE)</f>
        <v>1056566.5804598539</v>
      </c>
    </row>
    <row r="751" spans="1:6" x14ac:dyDescent="0.2">
      <c r="A751">
        <v>2018</v>
      </c>
      <c r="B751" s="1" t="s">
        <v>218</v>
      </c>
      <c r="C751" s="7">
        <v>247223</v>
      </c>
      <c r="D751" s="6">
        <v>1.23979E-4</v>
      </c>
      <c r="E751" s="17">
        <v>1.9894004273996548E-3</v>
      </c>
      <c r="F751">
        <f>E751* VLOOKUP(A751,Check!A$2:F$11,4,FALSE)</f>
        <v>3719792.6506461948</v>
      </c>
    </row>
    <row r="752" spans="1:6" x14ac:dyDescent="0.2">
      <c r="A752">
        <v>2018</v>
      </c>
      <c r="B752" s="1" t="s">
        <v>219</v>
      </c>
      <c r="C752" s="7">
        <v>430870</v>
      </c>
      <c r="D752" s="6">
        <v>2.1607500000000001E-4</v>
      </c>
      <c r="E752" s="17">
        <v>3.4672055680648214E-3</v>
      </c>
      <c r="F752">
        <f>E752* VLOOKUP(A752,Check!A$2:F$11,4,FALSE)</f>
        <v>6483001.4172788383</v>
      </c>
    </row>
    <row r="753" spans="1:6" x14ac:dyDescent="0.2">
      <c r="A753">
        <v>2018</v>
      </c>
      <c r="B753" s="1" t="s">
        <v>220</v>
      </c>
      <c r="C753" s="7">
        <v>1227914</v>
      </c>
      <c r="D753" s="6">
        <v>6.1578100000000003E-4</v>
      </c>
      <c r="E753" s="17">
        <v>9.8810087912937702E-3</v>
      </c>
      <c r="F753">
        <f>E753* VLOOKUP(A753,Check!A$2:F$11,4,FALSE)</f>
        <v>18475568.506269936</v>
      </c>
    </row>
    <row r="754" spans="1:6" x14ac:dyDescent="0.2">
      <c r="A754">
        <v>2018</v>
      </c>
      <c r="B754" s="1" t="s">
        <v>221</v>
      </c>
      <c r="C754" s="7">
        <v>2050820</v>
      </c>
      <c r="D754" s="6">
        <v>1.0284560000000001E-3</v>
      </c>
      <c r="E754" s="17">
        <v>1.6502923209085564E-2</v>
      </c>
      <c r="F754">
        <f>E754* VLOOKUP(A754,Check!A$2:F$11,4,FALSE)</f>
        <v>30857263.134086352</v>
      </c>
    </row>
    <row r="755" spans="1:6" x14ac:dyDescent="0.2">
      <c r="A755">
        <v>2018</v>
      </c>
      <c r="B755" s="1" t="s">
        <v>222</v>
      </c>
      <c r="C755" s="7">
        <v>23608</v>
      </c>
      <c r="D755" s="6">
        <v>1.1839E-5</v>
      </c>
      <c r="E755" s="17">
        <v>1.8997328440335671E-4</v>
      </c>
      <c r="F755">
        <f>E755* VLOOKUP(A755,Check!A$2:F$11,4,FALSE)</f>
        <v>355213.16744985449</v>
      </c>
    </row>
    <row r="756" spans="1:6" x14ac:dyDescent="0.2">
      <c r="A756">
        <v>2018</v>
      </c>
      <c r="B756" s="1" t="s">
        <v>223</v>
      </c>
      <c r="C756" s="7">
        <v>45940</v>
      </c>
      <c r="D756" s="6">
        <v>2.3037999999999999E-5</v>
      </c>
      <c r="E756" s="17">
        <v>3.6967861256735884E-4</v>
      </c>
      <c r="F756">
        <f>E756* VLOOKUP(A756,Check!A$2:F$11,4,FALSE)</f>
        <v>691227.24977322586</v>
      </c>
    </row>
    <row r="757" spans="1:6" x14ac:dyDescent="0.2">
      <c r="A757">
        <v>2018</v>
      </c>
      <c r="B757" s="1" t="s">
        <v>224</v>
      </c>
      <c r="C757" s="7">
        <v>114416</v>
      </c>
      <c r="D757" s="6">
        <v>5.7377999999999999E-5</v>
      </c>
      <c r="E757" s="17">
        <v>9.2070413877899269E-4</v>
      </c>
      <c r="F757">
        <f>E757* VLOOKUP(A757,Check!A$2:F$11,4,FALSE)</f>
        <v>1721538.0280812669</v>
      </c>
    </row>
    <row r="758" spans="1:6" x14ac:dyDescent="0.2">
      <c r="A758">
        <v>2018</v>
      </c>
      <c r="B758" s="1" t="s">
        <v>225</v>
      </c>
      <c r="C758" s="7">
        <v>81595</v>
      </c>
      <c r="D758" s="6">
        <v>4.0918999999999999E-5</v>
      </c>
      <c r="E758" s="17">
        <v>6.5659395717095439E-4</v>
      </c>
      <c r="F758">
        <f>E758* VLOOKUP(A758,Check!A$2:F$11,4,FALSE)</f>
        <v>1227703.253052816</v>
      </c>
    </row>
    <row r="759" spans="1:6" x14ac:dyDescent="0.2">
      <c r="A759">
        <v>2018</v>
      </c>
      <c r="B759" s="1" t="s">
        <v>168</v>
      </c>
      <c r="C759" s="7">
        <v>42980</v>
      </c>
      <c r="D759" s="6">
        <v>2.1554000000000001E-5</v>
      </c>
      <c r="E759" s="17">
        <v>3.4585952912810365E-4</v>
      </c>
      <c r="F759">
        <f>E759* VLOOKUP(A759,Check!A$2:F$11,4,FALSE)</f>
        <v>646690.18709737144</v>
      </c>
    </row>
    <row r="760" spans="1:6" x14ac:dyDescent="0.2">
      <c r="A760">
        <v>2018</v>
      </c>
      <c r="B760" s="1" t="s">
        <v>169</v>
      </c>
      <c r="C760" s="7">
        <v>605034</v>
      </c>
      <c r="D760" s="6">
        <v>3.0341599999999998E-4</v>
      </c>
      <c r="E760" s="17">
        <v>4.8687011248602389E-3</v>
      </c>
      <c r="F760">
        <f>E760* VLOOKUP(A760,Check!A$2:F$11,4,FALSE)</f>
        <v>9103526.0739942081</v>
      </c>
    </row>
    <row r="761" spans="1:6" x14ac:dyDescent="0.2">
      <c r="A761">
        <v>2018</v>
      </c>
      <c r="B761" s="1" t="s">
        <v>170</v>
      </c>
      <c r="C761" s="7">
        <v>1084960</v>
      </c>
      <c r="D761" s="6">
        <v>5.4409200000000003E-4</v>
      </c>
      <c r="E761" s="17">
        <v>8.7306597190048244E-3</v>
      </c>
      <c r="F761">
        <f>E761* VLOOKUP(A761,Check!A$2:F$11,4,FALSE)</f>
        <v>16324639.027295584</v>
      </c>
    </row>
    <row r="762" spans="1:6" x14ac:dyDescent="0.2">
      <c r="A762">
        <v>2018</v>
      </c>
      <c r="B762" s="1" t="s">
        <v>171</v>
      </c>
      <c r="C762" s="7">
        <v>20985</v>
      </c>
      <c r="D762" s="6">
        <v>1.0524E-5</v>
      </c>
      <c r="E762" s="17">
        <v>1.6886603580161134E-4</v>
      </c>
      <c r="F762">
        <f>E762* VLOOKUP(A762,Check!A$2:F$11,4,FALSE)</f>
        <v>315746.709544866</v>
      </c>
    </row>
    <row r="763" spans="1:6" x14ac:dyDescent="0.2">
      <c r="A763">
        <v>2018</v>
      </c>
      <c r="B763" s="1" t="s">
        <v>172</v>
      </c>
      <c r="C763" s="7">
        <v>396514</v>
      </c>
      <c r="D763" s="6">
        <v>1.98846E-4</v>
      </c>
      <c r="E763" s="17">
        <v>3.1907432604164937E-3</v>
      </c>
      <c r="F763">
        <f>E763* VLOOKUP(A763,Check!A$2:F$11,4,FALSE)</f>
        <v>5966070.5641397666</v>
      </c>
    </row>
    <row r="764" spans="1:6" x14ac:dyDescent="0.2">
      <c r="A764">
        <v>2018</v>
      </c>
      <c r="B764" s="1" t="s">
        <v>173</v>
      </c>
      <c r="C764" s="7">
        <v>69008</v>
      </c>
      <c r="D764" s="6">
        <v>3.4607000000000003E-5</v>
      </c>
      <c r="E764" s="17">
        <v>5.5530652364058119E-4</v>
      </c>
      <c r="F764">
        <f>E764* VLOOKUP(A764,Check!A$2:F$11,4,FALSE)</f>
        <v>1038315.4125457286</v>
      </c>
    </row>
    <row r="765" spans="1:6" x14ac:dyDescent="0.2">
      <c r="A765">
        <v>2018</v>
      </c>
      <c r="B765" s="1" t="s">
        <v>174</v>
      </c>
      <c r="C765" s="7">
        <v>169921</v>
      </c>
      <c r="D765" s="6">
        <v>8.5212999999999999E-5</v>
      </c>
      <c r="E765" s="17">
        <v>1.367352188203269E-3</v>
      </c>
      <c r="F765">
        <f>E765* VLOOKUP(A765,Check!A$2:F$11,4,FALSE)</f>
        <v>2556683.1847783262</v>
      </c>
    </row>
    <row r="766" spans="1:6" x14ac:dyDescent="0.2">
      <c r="A766">
        <v>2018</v>
      </c>
      <c r="B766" s="1" t="s">
        <v>175</v>
      </c>
      <c r="C766" s="7">
        <v>400502</v>
      </c>
      <c r="D766" s="6">
        <v>2.0084599999999999E-4</v>
      </c>
      <c r="E766" s="17">
        <v>3.2228346471583008E-3</v>
      </c>
      <c r="F766">
        <f>E766* VLOOKUP(A766,Check!A$2:F$11,4,FALSE)</f>
        <v>6026075.2283125054</v>
      </c>
    </row>
    <row r="767" spans="1:6" x14ac:dyDescent="0.2">
      <c r="A767">
        <v>2018</v>
      </c>
      <c r="B767" s="1" t="s">
        <v>176</v>
      </c>
      <c r="C767" s="7">
        <v>305745</v>
      </c>
      <c r="D767" s="6">
        <v>1.53327E-4</v>
      </c>
      <c r="E767" s="17">
        <v>2.4603262385591452E-3</v>
      </c>
      <c r="F767">
        <f>E767* VLOOKUP(A767,Check!A$2:F$11,4,FALSE)</f>
        <v>4600332.5094017182</v>
      </c>
    </row>
    <row r="768" spans="1:6" x14ac:dyDescent="0.2">
      <c r="A768">
        <v>2018</v>
      </c>
      <c r="B768" s="1" t="s">
        <v>177</v>
      </c>
      <c r="C768" s="7">
        <v>27306</v>
      </c>
      <c r="D768" s="6">
        <v>1.3694E-5</v>
      </c>
      <c r="E768" s="17">
        <v>2.1973104472712888E-4</v>
      </c>
      <c r="F768">
        <f>E768* VLOOKUP(A768,Check!A$2:F$11,4,FALSE)</f>
        <v>410854.40318475635</v>
      </c>
    </row>
    <row r="769" spans="1:6" x14ac:dyDescent="0.2">
      <c r="A769">
        <v>2018</v>
      </c>
      <c r="B769" s="1" t="s">
        <v>178</v>
      </c>
      <c r="C769" s="7">
        <v>1502</v>
      </c>
      <c r="D769" s="6">
        <v>7.5300000000000003E-7</v>
      </c>
      <c r="E769" s="17">
        <v>1.2086575447892315E-5</v>
      </c>
      <c r="F769">
        <f>E769* VLOOKUP(A769,Check!A$2:F$11,4,FALSE)</f>
        <v>22599.550047004468</v>
      </c>
    </row>
    <row r="770" spans="1:6" x14ac:dyDescent="0.2">
      <c r="A770">
        <v>2018</v>
      </c>
      <c r="B770" s="1" t="s">
        <v>179</v>
      </c>
      <c r="C770" s="7">
        <v>532497</v>
      </c>
      <c r="D770" s="6">
        <v>2.67039E-4</v>
      </c>
      <c r="E770" s="17">
        <v>4.2849967818084644E-3</v>
      </c>
      <c r="F770">
        <f>E770* VLOOKUP(A770,Check!A$2:F$11,4,FALSE)</f>
        <v>8012112.2512514889</v>
      </c>
    </row>
    <row r="771" spans="1:6" x14ac:dyDescent="0.2">
      <c r="A771">
        <v>2018</v>
      </c>
      <c r="B771" s="1" t="s">
        <v>180</v>
      </c>
      <c r="C771" s="7">
        <v>110916</v>
      </c>
      <c r="D771" s="6">
        <v>5.5622999999999999E-5</v>
      </c>
      <c r="E771" s="17">
        <v>8.9253968200960323E-4</v>
      </c>
      <c r="F771">
        <f>E771* VLOOKUP(A771,Check!A$2:F$11,4,FALSE)</f>
        <v>1668875.9607280609</v>
      </c>
    </row>
    <row r="772" spans="1:6" x14ac:dyDescent="0.2">
      <c r="A772">
        <v>2018</v>
      </c>
      <c r="B772" s="1" t="s">
        <v>181</v>
      </c>
      <c r="C772" s="7">
        <v>32659</v>
      </c>
      <c r="D772" s="6">
        <v>1.6378000000000001E-5</v>
      </c>
      <c r="E772" s="17">
        <v>2.6280656960899808E-4</v>
      </c>
      <c r="F772">
        <f>E772* VLOOKUP(A772,Check!A$2:F$11,4,FALSE)</f>
        <v>491397.27362524561</v>
      </c>
    </row>
    <row r="773" spans="1:6" x14ac:dyDescent="0.2">
      <c r="A773">
        <v>2018</v>
      </c>
      <c r="B773" s="1" t="s">
        <v>182</v>
      </c>
      <c r="C773" s="7">
        <v>67011</v>
      </c>
      <c r="D773" s="6">
        <v>3.3605000000000001E-5</v>
      </c>
      <c r="E773" s="17">
        <v>5.3923668930673226E-4</v>
      </c>
      <c r="F773">
        <f>E773* VLOOKUP(A773,Check!A$2:F$11,4,FALSE)</f>
        <v>1008267.9415444848</v>
      </c>
    </row>
    <row r="774" spans="1:6" x14ac:dyDescent="0.2">
      <c r="A774">
        <v>2018</v>
      </c>
      <c r="B774" s="1" t="s">
        <v>183</v>
      </c>
      <c r="C774" s="7">
        <v>1745013</v>
      </c>
      <c r="D774" s="6">
        <v>8.7509899999999995E-4</v>
      </c>
      <c r="E774" s="17">
        <v>1.4042098057292219E-2</v>
      </c>
      <c r="F774">
        <f>E774* VLOOKUP(A774,Check!A$2:F$11,4,FALSE)</f>
        <v>26255997.753777236</v>
      </c>
    </row>
    <row r="775" spans="1:6" x14ac:dyDescent="0.2">
      <c r="A775">
        <v>2018</v>
      </c>
      <c r="B775" s="1" t="s">
        <v>184</v>
      </c>
      <c r="C775" s="7">
        <v>85118</v>
      </c>
      <c r="D775" s="6">
        <v>4.2685000000000002E-5</v>
      </c>
      <c r="E775" s="17">
        <v>6.8494349465625707E-4</v>
      </c>
      <c r="F775">
        <f>E775* VLOOKUP(A775,Check!A$2:F$11,4,FALSE)</f>
        <v>1280711.3854200575</v>
      </c>
    </row>
    <row r="776" spans="1:6" x14ac:dyDescent="0.2">
      <c r="A776">
        <v>2018</v>
      </c>
      <c r="B776" s="1" t="s">
        <v>185</v>
      </c>
      <c r="C776" s="7">
        <v>9970</v>
      </c>
      <c r="D776" s="6">
        <v>5.0000000000000004E-6</v>
      </c>
      <c r="E776" s="17">
        <v>8.0228466854518225E-5</v>
      </c>
      <c r="F776">
        <f>E776* VLOOKUP(A776,Check!A$2:F$11,4,FALSE)</f>
        <v>150011.66043184721</v>
      </c>
    </row>
    <row r="777" spans="1:6" x14ac:dyDescent="0.2">
      <c r="A777">
        <v>2018</v>
      </c>
      <c r="B777" s="1" t="s">
        <v>186</v>
      </c>
      <c r="C777" s="7">
        <v>516</v>
      </c>
      <c r="D777" s="6">
        <v>2.5899999999999998E-7</v>
      </c>
      <c r="E777" s="17">
        <v>4.1522456265728593E-6</v>
      </c>
      <c r="F777">
        <f>E777* VLOOKUP(A777,Check!A$2:F$11,4,FALSE)</f>
        <v>7763.8933583583921</v>
      </c>
    </row>
    <row r="778" spans="1:6" x14ac:dyDescent="0.2">
      <c r="A778">
        <v>2018</v>
      </c>
      <c r="B778" s="1" t="s">
        <v>187</v>
      </c>
      <c r="C778" s="7">
        <v>68685</v>
      </c>
      <c r="D778" s="6">
        <v>3.4445E-5</v>
      </c>
      <c r="E778" s="17">
        <v>5.5270734663014889E-4</v>
      </c>
      <c r="F778">
        <f>E778* VLOOKUP(A778,Check!A$2:F$11,4,FALSE)</f>
        <v>1033455.4560442754</v>
      </c>
    </row>
    <row r="779" spans="1:6" x14ac:dyDescent="0.2">
      <c r="A779">
        <v>2018</v>
      </c>
      <c r="B779" s="1" t="s">
        <v>188</v>
      </c>
      <c r="C779" s="7">
        <v>20731</v>
      </c>
      <c r="D779" s="6">
        <v>1.0396E-5</v>
      </c>
      <c r="E779" s="17">
        <v>1.668221009389185E-4</v>
      </c>
      <c r="F779">
        <f>E779* VLOOKUP(A779,Check!A$2:F$11,4,FALSE)</f>
        <v>311924.94808551908</v>
      </c>
    </row>
    <row r="780" spans="1:6" x14ac:dyDescent="0.2">
      <c r="A780">
        <v>2018</v>
      </c>
      <c r="B780" s="1" t="s">
        <v>189</v>
      </c>
      <c r="C780" s="7">
        <v>10857</v>
      </c>
      <c r="D780" s="6">
        <v>5.4450000000000004E-6</v>
      </c>
      <c r="E780" s="17">
        <v>8.7366144898646375E-5</v>
      </c>
      <c r="F780">
        <f>E780* VLOOKUP(A780,Check!A$2:F$11,4,FALSE)</f>
        <v>163357.73292964546</v>
      </c>
    </row>
    <row r="781" spans="1:6" x14ac:dyDescent="0.2">
      <c r="A781">
        <v>2018</v>
      </c>
      <c r="B781" s="1" t="s">
        <v>226</v>
      </c>
      <c r="C781" s="7">
        <v>7796</v>
      </c>
      <c r="D781" s="6">
        <v>3.9090000000000002E-6</v>
      </c>
      <c r="E781" s="17">
        <v>6.2734315706903124E-5</v>
      </c>
      <c r="F781">
        <f>E781* VLOOKUP(A781,Check!A$2:F$11,4,FALSE)</f>
        <v>117300.99345302719</v>
      </c>
    </row>
    <row r="782" spans="1:6" x14ac:dyDescent="0.2">
      <c r="A782">
        <v>2018</v>
      </c>
      <c r="B782" s="1" t="s">
        <v>191</v>
      </c>
      <c r="C782" s="7">
        <v>431864</v>
      </c>
      <c r="D782" s="6">
        <v>2.1657299999999999E-4</v>
      </c>
      <c r="E782" s="17">
        <v>3.4752042737873278E-3</v>
      </c>
      <c r="F782">
        <f>E782* VLOOKUP(A782,Check!A$2:F$11,4,FALSE)</f>
        <v>6497957.4444071483</v>
      </c>
    </row>
    <row r="783" spans="1:6" x14ac:dyDescent="0.2">
      <c r="A783">
        <v>2018</v>
      </c>
      <c r="B783" s="1" t="s">
        <v>192</v>
      </c>
      <c r="C783" s="7">
        <v>636487</v>
      </c>
      <c r="D783" s="6">
        <v>3.19189E-4</v>
      </c>
      <c r="E783" s="17">
        <v>5.1218030273652701E-3</v>
      </c>
      <c r="F783">
        <f>E783* VLOOKUP(A783,Check!A$2:F$11,4,FALSE)</f>
        <v>9576777.5038400348</v>
      </c>
    </row>
    <row r="784" spans="1:6" x14ac:dyDescent="0.2">
      <c r="A784">
        <v>2018</v>
      </c>
      <c r="B784" s="1" t="s">
        <v>227</v>
      </c>
      <c r="C784" s="7">
        <v>53179</v>
      </c>
      <c r="D784" s="6">
        <v>2.6667999999999999E-5</v>
      </c>
      <c r="E784" s="17">
        <v>4.279307561541048E-4</v>
      </c>
      <c r="F784">
        <f>E784* VLOOKUP(A784,Check!A$2:F$11,4,FALSE)</f>
        <v>800147.45136461419</v>
      </c>
    </row>
    <row r="785" spans="1:6" x14ac:dyDescent="0.2">
      <c r="A785">
        <v>2018</v>
      </c>
      <c r="B785" s="1" t="s">
        <v>194</v>
      </c>
      <c r="C785" s="7">
        <v>4612</v>
      </c>
      <c r="D785" s="6">
        <v>2.3130000000000001E-6</v>
      </c>
      <c r="E785" s="17">
        <v>3.7112707034407028E-5</v>
      </c>
      <c r="F785">
        <f>E785* VLOOKUP(A785,Check!A$2:F$11,4,FALSE)</f>
        <v>69393.558466567643</v>
      </c>
    </row>
    <row r="786" spans="1:6" x14ac:dyDescent="0.2">
      <c r="A786">
        <v>2018</v>
      </c>
      <c r="B786" s="1" t="s">
        <v>195</v>
      </c>
      <c r="C786" s="7">
        <v>867180</v>
      </c>
      <c r="D786" s="6">
        <v>4.3487799999999998E-4</v>
      </c>
      <c r="E786" s="17">
        <v>6.9781867489369228E-3</v>
      </c>
      <c r="F786">
        <f>E786* VLOOKUP(A786,Check!A$2:F$11,4,FALSE)</f>
        <v>13047854.733529517</v>
      </c>
    </row>
    <row r="787" spans="1:6" x14ac:dyDescent="0.2">
      <c r="A787">
        <v>2018</v>
      </c>
      <c r="B787" s="1" t="s">
        <v>196</v>
      </c>
      <c r="C787" s="7">
        <v>482365</v>
      </c>
      <c r="D787" s="6">
        <v>2.4189900000000001E-4</v>
      </c>
      <c r="E787" s="17">
        <v>3.8815851970190256E-3</v>
      </c>
      <c r="F787">
        <f>E787* VLOOKUP(A787,Check!A$2:F$11,4,FALSE)</f>
        <v>7257810.8910940811</v>
      </c>
    </row>
    <row r="788" spans="1:6" x14ac:dyDescent="0.2">
      <c r="A788">
        <v>2018</v>
      </c>
      <c r="B788" s="1" t="s">
        <v>197</v>
      </c>
      <c r="C788" s="7">
        <v>501423</v>
      </c>
      <c r="D788" s="6">
        <v>2.51456E-4</v>
      </c>
      <c r="E788" s="17">
        <v>4.0349446876221757E-3</v>
      </c>
      <c r="F788">
        <f>E788* VLOOKUP(A788,Check!A$2:F$11,4,FALSE)</f>
        <v>7544563.3709847666</v>
      </c>
    </row>
    <row r="789" spans="1:6" x14ac:dyDescent="0.2">
      <c r="A789">
        <v>2018</v>
      </c>
      <c r="B789" s="1" t="s">
        <v>198</v>
      </c>
      <c r="C789" s="7">
        <v>2784</v>
      </c>
      <c r="D789" s="6">
        <v>1.3960000000000001E-6</v>
      </c>
      <c r="E789" s="17">
        <v>2.2402813613137288E-5</v>
      </c>
      <c r="F789">
        <f>E789* VLOOKUP(A789,Check!A$2:F$11,4,FALSE)</f>
        <v>41888.913003235975</v>
      </c>
    </row>
    <row r="790" spans="1:6" x14ac:dyDescent="0.2">
      <c r="A790">
        <v>2018</v>
      </c>
      <c r="B790" s="1" t="s">
        <v>199</v>
      </c>
      <c r="C790" s="7">
        <v>1320592</v>
      </c>
      <c r="D790" s="6">
        <v>6.6225699999999997E-4</v>
      </c>
      <c r="E790" s="17">
        <v>1.0626787512571909E-2</v>
      </c>
      <c r="F790">
        <f>E790* VLOOKUP(A790,Check!A$2:F$11,4,FALSE)</f>
        <v>19870029.957172915</v>
      </c>
    </row>
    <row r="791" spans="1:6" x14ac:dyDescent="0.2">
      <c r="A791">
        <v>2018</v>
      </c>
      <c r="B791" s="1" t="s">
        <v>200</v>
      </c>
      <c r="C791" s="7">
        <v>42665</v>
      </c>
      <c r="D791" s="6">
        <v>2.1396E-5</v>
      </c>
      <c r="E791" s="17">
        <v>3.4332472801885857E-4</v>
      </c>
      <c r="F791">
        <f>E791* VLOOKUP(A791,Check!A$2:F$11,4,FALSE)</f>
        <v>641950.60103558283</v>
      </c>
    </row>
    <row r="792" spans="1:6" x14ac:dyDescent="0.2">
      <c r="A792">
        <v>2018</v>
      </c>
      <c r="B792" s="1" t="s">
        <v>201</v>
      </c>
      <c r="C792" s="7">
        <v>27645</v>
      </c>
      <c r="D792" s="6">
        <v>1.3864E-5</v>
      </c>
      <c r="E792" s="17">
        <v>2.2245897353993544E-4</v>
      </c>
      <c r="F792">
        <f>E792* VLOOKUP(A792,Check!A$2:F$11,4,FALSE)</f>
        <v>415955.10056553828</v>
      </c>
    </row>
    <row r="793" spans="1:6" x14ac:dyDescent="0.2">
      <c r="A793">
        <v>2018</v>
      </c>
      <c r="B793" s="1" t="s">
        <v>202</v>
      </c>
      <c r="C793" s="7">
        <v>82879</v>
      </c>
      <c r="D793" s="6">
        <v>4.1563000000000002E-5</v>
      </c>
      <c r="E793" s="17">
        <v>6.6692628931149607E-4</v>
      </c>
      <c r="F793">
        <f>E793* VLOOKUP(A793,Check!A$2:F$11,4,FALSE)</f>
        <v>1247022.7086189634</v>
      </c>
    </row>
    <row r="794" spans="1:6" x14ac:dyDescent="0.2">
      <c r="A794">
        <v>2019</v>
      </c>
      <c r="B794" s="1" t="s">
        <v>5</v>
      </c>
      <c r="C794" s="7">
        <v>29314</v>
      </c>
      <c r="D794" s="6">
        <v>1.4275E-5</v>
      </c>
      <c r="E794" s="17">
        <v>2.1966765424440111E-4</v>
      </c>
      <c r="F794">
        <f>E794* VLOOKUP(A794,Check!A$2:F$11,4,FALSE)</f>
        <v>421773.30832322343</v>
      </c>
    </row>
    <row r="795" spans="1:6" x14ac:dyDescent="0.2">
      <c r="A795">
        <v>2019</v>
      </c>
      <c r="B795" s="1" t="s">
        <v>7</v>
      </c>
      <c r="C795" s="7">
        <v>74423</v>
      </c>
      <c r="D795" s="6">
        <v>3.6242000000000003E-5</v>
      </c>
      <c r="E795" s="17">
        <v>5.5769686265371712E-4</v>
      </c>
      <c r="F795">
        <f>E795* VLOOKUP(A795,Check!A$2:F$11,4,FALSE)</f>
        <v>1070806.9497625455</v>
      </c>
    </row>
    <row r="796" spans="1:6" x14ac:dyDescent="0.2">
      <c r="A796">
        <v>2019</v>
      </c>
      <c r="B796" s="1" t="s">
        <v>8</v>
      </c>
      <c r="C796" s="7">
        <v>1335768</v>
      </c>
      <c r="D796" s="6">
        <v>6.50484E-4</v>
      </c>
      <c r="E796" s="17">
        <v>1.0009723107550494E-2</v>
      </c>
      <c r="F796">
        <f>E796* VLOOKUP(A796,Check!A$2:F$11,4,FALSE)</f>
        <v>19219188.391631834</v>
      </c>
    </row>
    <row r="797" spans="1:6" x14ac:dyDescent="0.2">
      <c r="A797">
        <v>2019</v>
      </c>
      <c r="B797" s="1" t="s">
        <v>203</v>
      </c>
      <c r="C797" s="7">
        <v>330533</v>
      </c>
      <c r="D797" s="6">
        <v>1.6096099999999999E-4</v>
      </c>
      <c r="E797" s="17">
        <v>2.4768850638044837E-3</v>
      </c>
      <c r="F797">
        <f>E797* VLOOKUP(A797,Check!A$2:F$11,4,FALSE)</f>
        <v>4755748.0016374439</v>
      </c>
    </row>
    <row r="798" spans="1:6" x14ac:dyDescent="0.2">
      <c r="A798">
        <v>2019</v>
      </c>
      <c r="B798" s="1" t="s">
        <v>9</v>
      </c>
      <c r="C798" s="7">
        <v>6822</v>
      </c>
      <c r="D798" s="6">
        <v>3.3220000000000001E-6</v>
      </c>
      <c r="E798" s="17">
        <v>5.1121400602282338E-5</v>
      </c>
      <c r="F798">
        <f>E798* VLOOKUP(A798,Check!A$2:F$11,4,FALSE)</f>
        <v>98155.745015386172</v>
      </c>
    </row>
    <row r="799" spans="1:6" x14ac:dyDescent="0.2">
      <c r="A799">
        <v>2019</v>
      </c>
      <c r="B799" s="1" t="s">
        <v>10</v>
      </c>
      <c r="C799" s="7">
        <v>29099</v>
      </c>
      <c r="D799" s="6">
        <v>1.417E-5</v>
      </c>
      <c r="E799" s="17">
        <v>2.1805652830926615E-4</v>
      </c>
      <c r="F799">
        <f>E799* VLOOKUP(A799,Check!A$2:F$11,4,FALSE)</f>
        <v>418679.86282654974</v>
      </c>
    </row>
    <row r="800" spans="1:6" x14ac:dyDescent="0.2">
      <c r="A800">
        <v>2019</v>
      </c>
      <c r="B800" s="1" t="s">
        <v>11</v>
      </c>
      <c r="C800" s="7">
        <v>570493</v>
      </c>
      <c r="D800" s="6">
        <v>2.77815E-4</v>
      </c>
      <c r="E800" s="17">
        <v>4.2750514795951121E-3</v>
      </c>
      <c r="F800">
        <f>E800* VLOOKUP(A800,Check!A$2:F$11,4,FALSE)</f>
        <v>8208320.9382970827</v>
      </c>
    </row>
    <row r="801" spans="1:6" x14ac:dyDescent="0.2">
      <c r="A801">
        <v>2019</v>
      </c>
      <c r="B801" s="1" t="s">
        <v>12</v>
      </c>
      <c r="C801" s="7">
        <v>45620</v>
      </c>
      <c r="D801" s="6">
        <v>2.2215999999999999E-5</v>
      </c>
      <c r="E801" s="17">
        <v>3.4185844260863681E-4</v>
      </c>
      <c r="F801">
        <f>E801* VLOOKUP(A801,Check!A$2:F$11,4,FALSE)</f>
        <v>656385.97003839305</v>
      </c>
    </row>
    <row r="802" spans="1:6" x14ac:dyDescent="0.2">
      <c r="A802">
        <v>2019</v>
      </c>
      <c r="B802" s="1" t="s">
        <v>13</v>
      </c>
      <c r="C802" s="7">
        <v>11399</v>
      </c>
      <c r="D802" s="6">
        <v>5.5509999999999999E-6</v>
      </c>
      <c r="E802" s="17">
        <v>8.5419648998155432E-5</v>
      </c>
      <c r="F802">
        <f>E802* VLOOKUP(A802,Check!A$2:F$11,4,FALSE)</f>
        <v>164010.16379806318</v>
      </c>
    </row>
    <row r="803" spans="1:6" x14ac:dyDescent="0.2">
      <c r="A803">
        <v>2019</v>
      </c>
      <c r="B803" s="1" t="s">
        <v>14</v>
      </c>
      <c r="C803" s="7">
        <v>33310</v>
      </c>
      <c r="D803" s="6">
        <v>1.6220999999999999E-5</v>
      </c>
      <c r="E803" s="17">
        <v>2.496121158109095E-4</v>
      </c>
      <c r="F803">
        <f>E803* VLOOKUP(A803,Check!A$2:F$11,4,FALSE)</f>
        <v>479268.23020558682</v>
      </c>
    </row>
    <row r="804" spans="1:6" x14ac:dyDescent="0.2">
      <c r="A804">
        <v>2019</v>
      </c>
      <c r="B804" s="1" t="s">
        <v>15</v>
      </c>
      <c r="C804" s="7">
        <v>1557162</v>
      </c>
      <c r="D804" s="6">
        <v>7.5829700000000001E-4</v>
      </c>
      <c r="E804" s="17">
        <v>1.166876317863547E-2</v>
      </c>
      <c r="F804">
        <f>E804* VLOOKUP(A804,Check!A$2:F$11,4,FALSE)</f>
        <v>22404631.518564757</v>
      </c>
    </row>
    <row r="805" spans="1:6" x14ac:dyDescent="0.2">
      <c r="A805">
        <v>2019</v>
      </c>
      <c r="B805" s="1" t="s">
        <v>16</v>
      </c>
      <c r="C805" s="7">
        <v>315548</v>
      </c>
      <c r="D805" s="6">
        <v>1.53664E-4</v>
      </c>
      <c r="E805" s="17">
        <v>2.3645933329300771E-3</v>
      </c>
      <c r="F805">
        <f>E805* VLOOKUP(A805,Check!A$2:F$11,4,FALSE)</f>
        <v>4540142.0445785802</v>
      </c>
    </row>
    <row r="806" spans="1:6" x14ac:dyDescent="0.2">
      <c r="A806">
        <v>2019</v>
      </c>
      <c r="B806" s="1" t="s">
        <v>17</v>
      </c>
      <c r="C806" s="7">
        <v>44194</v>
      </c>
      <c r="D806" s="6">
        <v>2.1520999999999999E-5</v>
      </c>
      <c r="E806" s="17">
        <v>3.3117255617374168E-4</v>
      </c>
      <c r="F806">
        <f>E806* VLOOKUP(A806,Check!A$2:F$11,4,FALSE)</f>
        <v>635868.51293022232</v>
      </c>
    </row>
    <row r="807" spans="1:6" x14ac:dyDescent="0.2">
      <c r="A807">
        <v>2019</v>
      </c>
      <c r="B807" s="1" t="s">
        <v>18</v>
      </c>
      <c r="C807" s="7">
        <v>2254020</v>
      </c>
      <c r="D807" s="6">
        <v>1.0976479999999999E-3</v>
      </c>
      <c r="E807" s="17">
        <v>1.6890744559594904E-2</v>
      </c>
      <c r="F807">
        <f>E807* VLOOKUP(A807,Check!A$2:F$11,4,FALSE)</f>
        <v>32431107.062383577</v>
      </c>
    </row>
    <row r="808" spans="1:6" x14ac:dyDescent="0.2">
      <c r="A808">
        <v>2019</v>
      </c>
      <c r="B808" s="1" t="s">
        <v>19</v>
      </c>
      <c r="C808" s="7">
        <v>68275</v>
      </c>
      <c r="D808" s="6">
        <v>3.3247999999999997E-5</v>
      </c>
      <c r="E808" s="17">
        <v>5.1162615451785787E-4</v>
      </c>
      <c r="F808">
        <f>E808* VLOOKUP(A808,Check!A$2:F$11,4,FALSE)</f>
        <v>982348.79667626659</v>
      </c>
    </row>
    <row r="809" spans="1:6" x14ac:dyDescent="0.2">
      <c r="A809">
        <v>2019</v>
      </c>
      <c r="B809" s="1" t="s">
        <v>20</v>
      </c>
      <c r="C809" s="7">
        <v>24711</v>
      </c>
      <c r="D809" s="6">
        <v>1.2034E-5</v>
      </c>
      <c r="E809" s="17">
        <v>1.8517457201451171E-4</v>
      </c>
      <c r="F809">
        <f>E809* VLOOKUP(A809,Check!A$2:F$11,4,FALSE)</f>
        <v>355544.79845722776</v>
      </c>
    </row>
    <row r="810" spans="1:6" x14ac:dyDescent="0.2">
      <c r="A810">
        <v>2019</v>
      </c>
      <c r="B810" s="1" t="s">
        <v>21</v>
      </c>
      <c r="C810" s="7">
        <v>6396136</v>
      </c>
      <c r="D810" s="6">
        <v>3.1147499999999999E-3</v>
      </c>
      <c r="E810" s="17">
        <v>4.7930142298839011E-2</v>
      </c>
      <c r="F810">
        <f>E810* VLOOKUP(A810,Check!A$2:F$11,4,FALSE)</f>
        <v>92028363.280523613</v>
      </c>
    </row>
    <row r="811" spans="1:6" x14ac:dyDescent="0.2">
      <c r="A811">
        <v>2019</v>
      </c>
      <c r="B811" s="1" t="s">
        <v>205</v>
      </c>
      <c r="C811" s="7">
        <v>690900</v>
      </c>
      <c r="D811" s="6">
        <v>3.3645000000000002E-4</v>
      </c>
      <c r="E811" s="17">
        <v>5.177334458533695E-3</v>
      </c>
      <c r="F811">
        <f>E811* VLOOKUP(A811,Check!A$2:F$11,4,FALSE)</f>
        <v>9940751.1332644839</v>
      </c>
    </row>
    <row r="812" spans="1:6" x14ac:dyDescent="0.2">
      <c r="A812">
        <v>2019</v>
      </c>
      <c r="B812" s="1" t="s">
        <v>206</v>
      </c>
      <c r="C812" s="7">
        <v>2591780</v>
      </c>
      <c r="D812" s="6">
        <v>1.2621290000000001E-3</v>
      </c>
      <c r="E812" s="17">
        <v>1.9421785935646925E-2</v>
      </c>
      <c r="F812">
        <f>E812* VLOOKUP(A812,Check!A$2:F$11,4,FALSE)</f>
        <v>37290837.997065023</v>
      </c>
    </row>
    <row r="813" spans="1:6" x14ac:dyDescent="0.2">
      <c r="A813">
        <v>2019</v>
      </c>
      <c r="B813" s="1" t="s">
        <v>25</v>
      </c>
      <c r="C813" s="7">
        <v>63208</v>
      </c>
      <c r="D813" s="6">
        <v>3.0781000000000002E-5</v>
      </c>
      <c r="E813" s="17">
        <v>4.7365603771167724E-4</v>
      </c>
      <c r="F813">
        <f>E813* VLOOKUP(A813,Check!A$2:F$11,4,FALSE)</f>
        <v>909444.19978489145</v>
      </c>
    </row>
    <row r="814" spans="1:6" x14ac:dyDescent="0.2">
      <c r="A814">
        <v>2019</v>
      </c>
      <c r="B814" s="1" t="s">
        <v>26</v>
      </c>
      <c r="C814" s="7">
        <v>55039</v>
      </c>
      <c r="D814" s="6">
        <v>2.6803000000000001E-5</v>
      </c>
      <c r="E814" s="17">
        <v>4.1244074578554934E-4</v>
      </c>
      <c r="F814">
        <f>E814* VLOOKUP(A814,Check!A$2:F$11,4,FALSE)</f>
        <v>791907.65902987984</v>
      </c>
    </row>
    <row r="815" spans="1:6" x14ac:dyDescent="0.2">
      <c r="A815">
        <v>2019</v>
      </c>
      <c r="B815" s="1" t="s">
        <v>27</v>
      </c>
      <c r="C815" s="7">
        <v>20030</v>
      </c>
      <c r="D815" s="6">
        <v>9.7540000000000001E-6</v>
      </c>
      <c r="E815" s="17">
        <v>1.5009698828257333E-4</v>
      </c>
      <c r="F815">
        <f>E815* VLOOKUP(A815,Check!A$2:F$11,4,FALSE)</f>
        <v>288194.01534127607</v>
      </c>
    </row>
    <row r="816" spans="1:6" x14ac:dyDescent="0.2">
      <c r="A816">
        <v>2019</v>
      </c>
      <c r="B816" s="1" t="s">
        <v>28</v>
      </c>
      <c r="C816" s="7">
        <v>339058</v>
      </c>
      <c r="D816" s="6">
        <v>1.65112E-4</v>
      </c>
      <c r="E816" s="17">
        <v>2.540768080534835E-3</v>
      </c>
      <c r="F816">
        <f>E816* VLOOKUP(A816,Check!A$2:F$11,4,FALSE)</f>
        <v>4878406.7126102028</v>
      </c>
    </row>
    <row r="817" spans="1:6" x14ac:dyDescent="0.2">
      <c r="A817">
        <v>2019</v>
      </c>
      <c r="B817" s="1" t="s">
        <v>29</v>
      </c>
      <c r="C817" s="7">
        <v>103740</v>
      </c>
      <c r="D817" s="6">
        <v>5.0519000000000002E-5</v>
      </c>
      <c r="E817" s="17">
        <v>7.7738699772512011E-4</v>
      </c>
      <c r="F817">
        <f>E817* VLOOKUP(A817,Check!A$2:F$11,4,FALSE)</f>
        <v>1492623.4224415363</v>
      </c>
    </row>
    <row r="818" spans="1:6" x14ac:dyDescent="0.2">
      <c r="A818">
        <v>2019</v>
      </c>
      <c r="B818" s="1" t="s">
        <v>229</v>
      </c>
      <c r="C818" s="7">
        <v>2183</v>
      </c>
      <c r="D818" s="6">
        <v>1.063E-6</v>
      </c>
      <c r="E818" s="17">
        <v>1.6358548448370322E-5</v>
      </c>
      <c r="F818">
        <f>E818* VLOOKUP(A818,Check!A$2:F$11,4,FALSE)</f>
        <v>31409.262880180006</v>
      </c>
    </row>
    <row r="819" spans="1:6" x14ac:dyDescent="0.2">
      <c r="A819">
        <v>2019</v>
      </c>
      <c r="B819" s="1" t="s">
        <v>31</v>
      </c>
      <c r="C819" s="7">
        <v>200013</v>
      </c>
      <c r="D819" s="6">
        <v>9.7400999999999998E-5</v>
      </c>
      <c r="E819" s="17">
        <v>1.4988192170425532E-3</v>
      </c>
      <c r="F819">
        <f>E819* VLOOKUP(A819,Check!A$2:F$11,4,FALSE)</f>
        <v>2877810.763377666</v>
      </c>
    </row>
    <row r="820" spans="1:6" x14ac:dyDescent="0.2">
      <c r="A820">
        <v>2019</v>
      </c>
      <c r="B820" s="1" t="s">
        <v>32</v>
      </c>
      <c r="C820" s="7">
        <v>1429684</v>
      </c>
      <c r="D820" s="6">
        <v>6.9621899999999998E-4</v>
      </c>
      <c r="E820" s="17">
        <v>1.0713492890453449E-2</v>
      </c>
      <c r="F820">
        <f>E820* VLOOKUP(A820,Check!A$2:F$11,4,FALSE)</f>
        <v>20570462.937053267</v>
      </c>
    </row>
    <row r="821" spans="1:6" x14ac:dyDescent="0.2">
      <c r="A821">
        <v>2019</v>
      </c>
      <c r="B821" s="1" t="s">
        <v>33</v>
      </c>
      <c r="C821" s="7">
        <v>146026</v>
      </c>
      <c r="D821" s="6">
        <v>7.1111000000000004E-5</v>
      </c>
      <c r="E821" s="17">
        <v>1.0942617479256641E-3</v>
      </c>
      <c r="F821">
        <f>E821* VLOOKUP(A821,Check!A$2:F$11,4,FALSE)</f>
        <v>2101039.4051036034</v>
      </c>
    </row>
    <row r="822" spans="1:6" x14ac:dyDescent="0.2">
      <c r="A822">
        <v>2019</v>
      </c>
      <c r="B822" s="1" t="s">
        <v>34</v>
      </c>
      <c r="C822" s="7">
        <v>1377248</v>
      </c>
      <c r="D822" s="6">
        <v>6.7068399999999995E-4</v>
      </c>
      <c r="E822" s="17">
        <v>1.0320558008896533E-2</v>
      </c>
      <c r="F822">
        <f>E822* VLOOKUP(A822,Check!A$2:F$11,4,FALSE)</f>
        <v>19816007.550711021</v>
      </c>
    </row>
    <row r="823" spans="1:6" x14ac:dyDescent="0.2">
      <c r="A823">
        <v>2019</v>
      </c>
      <c r="B823" s="1" t="s">
        <v>35</v>
      </c>
      <c r="C823" s="7">
        <v>340971</v>
      </c>
      <c r="D823" s="6">
        <v>1.6604400000000001E-4</v>
      </c>
      <c r="E823" s="17">
        <v>2.5551033545530358E-3</v>
      </c>
      <c r="F823">
        <f>E823* VLOOKUP(A823,Check!A$2:F$11,4,FALSE)</f>
        <v>4905931.1834713044</v>
      </c>
    </row>
    <row r="824" spans="1:6" x14ac:dyDescent="0.2">
      <c r="A824">
        <v>2019</v>
      </c>
      <c r="B824" s="1" t="s">
        <v>36</v>
      </c>
      <c r="C824" s="7">
        <v>575347</v>
      </c>
      <c r="D824" s="6">
        <v>2.8017899999999997E-4</v>
      </c>
      <c r="E824" s="17">
        <v>4.3114254576841595E-3</v>
      </c>
      <c r="F824">
        <f>E824* VLOOKUP(A824,Check!A$2:F$11,4,FALSE)</f>
        <v>8278160.8659289638</v>
      </c>
    </row>
    <row r="825" spans="1:6" x14ac:dyDescent="0.2">
      <c r="A825">
        <v>2019</v>
      </c>
      <c r="B825" s="1" t="s">
        <v>37</v>
      </c>
      <c r="C825" s="7">
        <v>22050</v>
      </c>
      <c r="D825" s="6">
        <v>1.0738E-5</v>
      </c>
      <c r="E825" s="17">
        <v>1.6523407846384132E-4</v>
      </c>
      <c r="F825">
        <f>E825* VLOOKUP(A825,Check!A$2:F$11,4,FALSE)</f>
        <v>317258.01489141968</v>
      </c>
    </row>
    <row r="826" spans="1:6" x14ac:dyDescent="0.2">
      <c r="A826">
        <v>2019</v>
      </c>
      <c r="B826" s="1" t="s">
        <v>38</v>
      </c>
      <c r="C826" s="7">
        <v>21008</v>
      </c>
      <c r="D826" s="6">
        <v>1.023E-5</v>
      </c>
      <c r="E826" s="17">
        <v>1.5742573788518724E-4</v>
      </c>
      <c r="F826">
        <f>E826* VLOOKUP(A826,Check!A$2:F$11,4,FALSE)</f>
        <v>302265.5953214941</v>
      </c>
    </row>
    <row r="827" spans="1:6" x14ac:dyDescent="0.2">
      <c r="A827">
        <v>2019</v>
      </c>
      <c r="B827" s="1" t="s">
        <v>39</v>
      </c>
      <c r="C827" s="7">
        <v>504483</v>
      </c>
      <c r="D827" s="6">
        <v>2.4567000000000002E-4</v>
      </c>
      <c r="E827" s="17">
        <v>3.7803983494636762E-3</v>
      </c>
      <c r="F827">
        <f>E827* VLOOKUP(A827,Check!A$2:F$11,4,FALSE)</f>
        <v>7258561.2302253097</v>
      </c>
    </row>
    <row r="828" spans="1:6" x14ac:dyDescent="0.2">
      <c r="A828">
        <v>2019</v>
      </c>
      <c r="B828" s="1" t="s">
        <v>40</v>
      </c>
      <c r="C828" s="7">
        <v>26620</v>
      </c>
      <c r="D828" s="6">
        <v>1.2962999999999999E-5</v>
      </c>
      <c r="E828" s="17">
        <v>1.9947987159671003E-4</v>
      </c>
      <c r="F828">
        <f>E828* VLOOKUP(A828,Check!A$2:F$11,4,FALSE)</f>
        <v>383011.71684397245</v>
      </c>
    </row>
    <row r="829" spans="1:6" x14ac:dyDescent="0.2">
      <c r="A829">
        <v>2019</v>
      </c>
      <c r="B829" s="1" t="s">
        <v>207</v>
      </c>
      <c r="C829" s="7">
        <v>519376</v>
      </c>
      <c r="D829" s="6">
        <v>2.5292199999999999E-4</v>
      </c>
      <c r="E829" s="17">
        <v>3.892000668310025E-3</v>
      </c>
      <c r="F829">
        <f>E829* VLOOKUP(A829,Check!A$2:F$11,4,FALSE)</f>
        <v>7472843.4803739684</v>
      </c>
    </row>
    <row r="830" spans="1:6" x14ac:dyDescent="0.2">
      <c r="A830">
        <v>2019</v>
      </c>
      <c r="B830" s="1" t="s">
        <v>42</v>
      </c>
      <c r="C830" s="7">
        <v>29648</v>
      </c>
      <c r="D830" s="6">
        <v>1.4438E-5</v>
      </c>
      <c r="E830" s="17">
        <v>2.2217051965061079E-4</v>
      </c>
      <c r="F830">
        <f>E830* VLOOKUP(A830,Check!A$2:F$11,4,FALSE)</f>
        <v>426578.93993200961</v>
      </c>
    </row>
    <row r="831" spans="1:6" x14ac:dyDescent="0.2">
      <c r="A831">
        <v>2019</v>
      </c>
      <c r="B831" s="1" t="s">
        <v>43</v>
      </c>
      <c r="C831" s="7">
        <v>74815</v>
      </c>
      <c r="D831" s="6">
        <v>3.6433000000000002E-5</v>
      </c>
      <c r="E831" s="17">
        <v>5.6063435738196317E-4</v>
      </c>
      <c r="F831">
        <f>E831* VLOOKUP(A831,Check!A$2:F$11,4,FALSE)</f>
        <v>1076447.0922495041</v>
      </c>
    </row>
    <row r="832" spans="1:6" x14ac:dyDescent="0.2">
      <c r="A832">
        <v>2019</v>
      </c>
      <c r="B832" s="1" t="s">
        <v>44</v>
      </c>
      <c r="C832" s="7">
        <v>1768908</v>
      </c>
      <c r="D832" s="6">
        <v>8.6141199999999999E-4</v>
      </c>
      <c r="E832" s="17">
        <v>1.3255504910082387E-2</v>
      </c>
      <c r="F832">
        <f>E832* VLOOKUP(A832,Check!A$2:F$11,4,FALSE)</f>
        <v>25451258.077349272</v>
      </c>
    </row>
    <row r="833" spans="1:6" x14ac:dyDescent="0.2">
      <c r="A833">
        <v>2019</v>
      </c>
      <c r="B833" s="1" t="s">
        <v>45</v>
      </c>
      <c r="C833" s="7">
        <v>25566</v>
      </c>
      <c r="D833" s="6">
        <v>1.2449999999999999E-5</v>
      </c>
      <c r="E833" s="17">
        <v>1.915816077100484E-4</v>
      </c>
      <c r="F833">
        <f>E833* VLOOKUP(A833,Check!A$2:F$11,4,FALSE)</f>
        <v>367846.6398509767</v>
      </c>
    </row>
    <row r="834" spans="1:6" x14ac:dyDescent="0.2">
      <c r="A834">
        <v>2019</v>
      </c>
      <c r="B834" s="1" t="s">
        <v>46</v>
      </c>
      <c r="C834" s="7">
        <v>42198</v>
      </c>
      <c r="D834" s="6">
        <v>2.0548999999999999E-5</v>
      </c>
      <c r="E834" s="17">
        <v>3.1621531260848874E-4</v>
      </c>
      <c r="F834">
        <f>E834* VLOOKUP(A834,Check!A$2:F$11,4,FALSE)</f>
        <v>607149.82822621905</v>
      </c>
    </row>
    <row r="835" spans="1:6" x14ac:dyDescent="0.2">
      <c r="A835">
        <v>2019</v>
      </c>
      <c r="B835" s="1" t="s">
        <v>47</v>
      </c>
      <c r="C835" s="7">
        <v>1630954</v>
      </c>
      <c r="D835" s="6">
        <v>7.9423199999999997E-4</v>
      </c>
      <c r="E835" s="17">
        <v>1.2221731574009791E-2</v>
      </c>
      <c r="F835">
        <f>E835* VLOOKUP(A835,Check!A$2:F$11,4,FALSE)</f>
        <v>23466359.565497532</v>
      </c>
    </row>
    <row r="836" spans="1:6" x14ac:dyDescent="0.2">
      <c r="A836">
        <v>2019</v>
      </c>
      <c r="B836" s="1" t="s">
        <v>48</v>
      </c>
      <c r="C836" s="7">
        <v>46755</v>
      </c>
      <c r="D836" s="6">
        <v>2.2768E-5</v>
      </c>
      <c r="E836" s="17">
        <v>3.5036368882434925E-4</v>
      </c>
      <c r="F836">
        <f>E836* VLOOKUP(A836,Check!A$2:F$11,4,FALSE)</f>
        <v>672716.48463711236</v>
      </c>
    </row>
    <row r="837" spans="1:6" x14ac:dyDescent="0.2">
      <c r="A837">
        <v>2019</v>
      </c>
      <c r="B837" s="1" t="s">
        <v>49</v>
      </c>
      <c r="C837" s="7">
        <v>24947</v>
      </c>
      <c r="D837" s="6">
        <v>1.2149E-5</v>
      </c>
      <c r="E837" s="17">
        <v>1.8694306373865985E-4</v>
      </c>
      <c r="F837">
        <f>E837* VLOOKUP(A837,Check!A$2:F$11,4,FALSE)</f>
        <v>358940.39444427425</v>
      </c>
    </row>
    <row r="838" spans="1:6" x14ac:dyDescent="0.2">
      <c r="A838">
        <v>2019</v>
      </c>
      <c r="B838" s="1" t="s">
        <v>50</v>
      </c>
      <c r="C838" s="7">
        <v>1109837</v>
      </c>
      <c r="D838" s="6">
        <v>5.40461E-4</v>
      </c>
      <c r="E838" s="17">
        <v>8.3166845324296728E-3</v>
      </c>
      <c r="F838">
        <f>E838* VLOOKUP(A838,Check!A$2:F$11,4,FALSE)</f>
        <v>15968466.3706598</v>
      </c>
    </row>
    <row r="839" spans="1:6" x14ac:dyDescent="0.2">
      <c r="A839">
        <v>2019</v>
      </c>
      <c r="B839" s="1" t="s">
        <v>51</v>
      </c>
      <c r="C839" s="7">
        <v>75178</v>
      </c>
      <c r="D839" s="6">
        <v>3.6609999999999997E-5</v>
      </c>
      <c r="E839" s="17">
        <v>5.6335453744919112E-4</v>
      </c>
      <c r="F839">
        <f>E839* VLOOKUP(A839,Check!A$2:F$11,4,FALSE)</f>
        <v>1081669.9792973765</v>
      </c>
    </row>
    <row r="840" spans="1:6" x14ac:dyDescent="0.2">
      <c r="A840">
        <v>2019</v>
      </c>
      <c r="B840" s="1" t="s">
        <v>52</v>
      </c>
      <c r="C840" s="7">
        <v>21368</v>
      </c>
      <c r="D840" s="6">
        <v>1.0406E-5</v>
      </c>
      <c r="E840" s="17">
        <v>1.6012343712541323E-4</v>
      </c>
      <c r="F840">
        <f>E840* VLOOKUP(A840,Check!A$2:F$11,4,FALSE)</f>
        <v>307445.31801359897</v>
      </c>
    </row>
    <row r="841" spans="1:6" x14ac:dyDescent="0.2">
      <c r="A841">
        <v>2019</v>
      </c>
      <c r="B841" s="1" t="s">
        <v>53</v>
      </c>
      <c r="C841" s="7">
        <v>662554</v>
      </c>
      <c r="D841" s="6">
        <v>3.22646E-4</v>
      </c>
      <c r="E841" s="17">
        <v>4.9649206178019011E-3</v>
      </c>
      <c r="F841">
        <f>E841* VLOOKUP(A841,Check!A$2:F$11,4,FALSE)</f>
        <v>9532905.5237355866</v>
      </c>
    </row>
    <row r="842" spans="1:6" x14ac:dyDescent="0.2">
      <c r="A842">
        <v>2019</v>
      </c>
      <c r="B842" s="1" t="s">
        <v>54</v>
      </c>
      <c r="C842" s="7">
        <v>124167</v>
      </c>
      <c r="D842" s="6">
        <v>6.0466E-5</v>
      </c>
      <c r="E842" s="17">
        <v>9.304589487809427E-4</v>
      </c>
      <c r="F842">
        <f>E842* VLOOKUP(A842,Check!A$2:F$11,4,FALSE)</f>
        <v>1786529.5208627169</v>
      </c>
    </row>
    <row r="843" spans="1:6" x14ac:dyDescent="0.2">
      <c r="A843">
        <v>2019</v>
      </c>
      <c r="B843" s="1" t="s">
        <v>55</v>
      </c>
      <c r="C843" s="7">
        <v>129176</v>
      </c>
      <c r="D843" s="6">
        <v>6.2904999999999995E-5</v>
      </c>
      <c r="E843" s="17">
        <v>9.6799443626508701E-4</v>
      </c>
      <c r="F843">
        <f>E843* VLOOKUP(A843,Check!A$2:F$11,4,FALSE)</f>
        <v>1858599.60687592</v>
      </c>
    </row>
    <row r="844" spans="1:6" x14ac:dyDescent="0.2">
      <c r="A844">
        <v>2019</v>
      </c>
      <c r="B844" s="1" t="s">
        <v>56</v>
      </c>
      <c r="C844" s="7">
        <v>167971</v>
      </c>
      <c r="D844" s="6">
        <v>8.1797000000000003E-5</v>
      </c>
      <c r="E844" s="17">
        <v>1.2587089974444396E-3</v>
      </c>
      <c r="F844">
        <f>E844* VLOOKUP(A844,Check!A$2:F$11,4,FALSE)</f>
        <v>2416786.6675431593</v>
      </c>
    </row>
    <row r="845" spans="1:6" x14ac:dyDescent="0.2">
      <c r="A845">
        <v>2019</v>
      </c>
      <c r="B845" s="1" t="s">
        <v>57</v>
      </c>
      <c r="C845" s="7">
        <v>4470</v>
      </c>
      <c r="D845" s="6">
        <v>2.1770000000000001E-6</v>
      </c>
      <c r="E845" s="17">
        <v>3.3496432232805929E-5</v>
      </c>
      <c r="F845">
        <f>E845* VLOOKUP(A845,Check!A$2:F$11,4,FALSE)</f>
        <v>64314.890093634742</v>
      </c>
    </row>
    <row r="846" spans="1:6" x14ac:dyDescent="0.2">
      <c r="A846">
        <v>2019</v>
      </c>
      <c r="B846" s="1" t="s">
        <v>58</v>
      </c>
      <c r="C846" s="7">
        <v>247253</v>
      </c>
      <c r="D846" s="6">
        <v>1.20406E-4</v>
      </c>
      <c r="E846" s="17">
        <v>1.8528173062322068E-3</v>
      </c>
      <c r="F846">
        <f>E846* VLOOKUP(A846,Check!A$2:F$11,4,FALSE)</f>
        <v>3557505.4855305306</v>
      </c>
    </row>
    <row r="847" spans="1:6" x14ac:dyDescent="0.2">
      <c r="A847">
        <v>2019</v>
      </c>
      <c r="B847" s="1" t="s">
        <v>59</v>
      </c>
      <c r="C847" s="7">
        <v>326745</v>
      </c>
      <c r="D847" s="6">
        <v>1.59116E-4</v>
      </c>
      <c r="E847" s="17">
        <v>2.4484992729101058E-3</v>
      </c>
      <c r="F847">
        <f>E847* VLOOKUP(A847,Check!A$2:F$11,4,FALSE)</f>
        <v>4701245.8084216295</v>
      </c>
    </row>
    <row r="848" spans="1:6" x14ac:dyDescent="0.2">
      <c r="A848">
        <v>2019</v>
      </c>
      <c r="B848" s="1" t="s">
        <v>60</v>
      </c>
      <c r="C848" s="7">
        <v>79424</v>
      </c>
      <c r="D848" s="6">
        <v>3.8677000000000003E-5</v>
      </c>
      <c r="E848" s="17">
        <v>5.9517240126585641E-4</v>
      </c>
      <c r="F848">
        <f>E848* VLOOKUP(A848,Check!A$2:F$11,4,FALSE)</f>
        <v>1142761.9308270349</v>
      </c>
    </row>
    <row r="849" spans="1:6" x14ac:dyDescent="0.2">
      <c r="A849">
        <v>2019</v>
      </c>
      <c r="B849" s="1" t="s">
        <v>61</v>
      </c>
      <c r="C849" s="7">
        <v>36039</v>
      </c>
      <c r="D849" s="6">
        <v>1.755E-5</v>
      </c>
      <c r="E849" s="17">
        <v>2.7006217477362255E-4</v>
      </c>
      <c r="F849">
        <f>E849* VLOOKUP(A849,Check!A$2:F$11,4,FALSE)</f>
        <v>518533.40583545913</v>
      </c>
    </row>
    <row r="850" spans="1:6" x14ac:dyDescent="0.2">
      <c r="A850">
        <v>2019</v>
      </c>
      <c r="B850" s="1" t="s">
        <v>209</v>
      </c>
      <c r="C850" s="7">
        <v>693778</v>
      </c>
      <c r="D850" s="6">
        <v>3.3785199999999998E-4</v>
      </c>
      <c r="E850" s="17">
        <v>5.1989010652375017E-3</v>
      </c>
      <c r="F850">
        <f>E850* VLOOKUP(A850,Check!A$2:F$11,4,FALSE)</f>
        <v>9982160.1385641452</v>
      </c>
    </row>
    <row r="851" spans="1:6" x14ac:dyDescent="0.2">
      <c r="A851">
        <v>2019</v>
      </c>
      <c r="B851" s="1" t="s">
        <v>63</v>
      </c>
      <c r="C851" s="7">
        <v>1160395</v>
      </c>
      <c r="D851" s="6">
        <v>5.6508199999999995E-4</v>
      </c>
      <c r="E851" s="17">
        <v>8.695546416283409E-3</v>
      </c>
      <c r="F851">
        <f>E851* VLOOKUP(A851,Check!A$2:F$11,4,FALSE)</f>
        <v>16695900.870291565</v>
      </c>
    </row>
    <row r="852" spans="1:6" x14ac:dyDescent="0.2">
      <c r="A852">
        <v>2019</v>
      </c>
      <c r="B852" s="1" t="s">
        <v>64</v>
      </c>
      <c r="C852" s="7">
        <v>262444</v>
      </c>
      <c r="D852" s="6">
        <v>1.2780300000000001E-4</v>
      </c>
      <c r="E852" s="17">
        <v>1.9666527205607427E-3</v>
      </c>
      <c r="F852">
        <f>E852* VLOOKUP(A852,Check!A$2:F$11,4,FALSE)</f>
        <v>3776075.3950187648</v>
      </c>
    </row>
    <row r="853" spans="1:6" x14ac:dyDescent="0.2">
      <c r="A853">
        <v>2019</v>
      </c>
      <c r="B853" s="1" t="s">
        <v>65</v>
      </c>
      <c r="C853" s="7">
        <v>190073</v>
      </c>
      <c r="D853" s="6">
        <v>9.2560999999999997E-5</v>
      </c>
      <c r="E853" s="17">
        <v>1.4243327435763135E-3</v>
      </c>
      <c r="F853">
        <f>E853* VLOOKUP(A853,Check!A$2:F$11,4,FALSE)</f>
        <v>2734792.8646012163</v>
      </c>
    </row>
    <row r="854" spans="1:6" x14ac:dyDescent="0.2">
      <c r="A854">
        <v>2019</v>
      </c>
      <c r="B854" s="1" t="s">
        <v>66</v>
      </c>
      <c r="C854" s="7">
        <v>790578</v>
      </c>
      <c r="D854" s="6">
        <v>3.84991E-4</v>
      </c>
      <c r="E854" s="17">
        <v>5.924282416498265E-3</v>
      </c>
      <c r="F854">
        <f>E854* VLOOKUP(A854,Check!A$2:F$11,4,FALSE)</f>
        <v>11374930.017996771</v>
      </c>
    </row>
    <row r="855" spans="1:6" x14ac:dyDescent="0.2">
      <c r="A855">
        <v>2019</v>
      </c>
      <c r="B855" s="1" t="s">
        <v>67</v>
      </c>
      <c r="C855" s="7">
        <v>591425</v>
      </c>
      <c r="D855" s="6">
        <v>2.8800800000000002E-4</v>
      </c>
      <c r="E855" s="17">
        <v>4.4319077031962518E-3</v>
      </c>
      <c r="F855">
        <f>E855* VLOOKUP(A855,Check!A$2:F$11,4,FALSE)</f>
        <v>8509493.0366057996</v>
      </c>
    </row>
    <row r="856" spans="1:6" x14ac:dyDescent="0.2">
      <c r="A856">
        <v>2019</v>
      </c>
      <c r="B856" s="1" t="s">
        <v>68</v>
      </c>
      <c r="C856" s="7">
        <v>21008</v>
      </c>
      <c r="D856" s="6">
        <v>1.023E-5</v>
      </c>
      <c r="E856" s="17">
        <v>1.5742573788518724E-4</v>
      </c>
      <c r="F856">
        <f>E856* VLOOKUP(A856,Check!A$2:F$11,4,FALSE)</f>
        <v>302265.5953214941</v>
      </c>
    </row>
    <row r="857" spans="1:6" x14ac:dyDescent="0.2">
      <c r="A857">
        <v>2019</v>
      </c>
      <c r="B857" s="1" t="s">
        <v>69</v>
      </c>
      <c r="C857" s="7">
        <v>398388</v>
      </c>
      <c r="D857" s="6">
        <v>1.9400400000000001E-4</v>
      </c>
      <c r="E857" s="17">
        <v>2.985363902542078E-3</v>
      </c>
      <c r="F857">
        <f>E857* VLOOKUP(A857,Check!A$2:F$11,4,FALSE)</f>
        <v>5732053.7885062546</v>
      </c>
    </row>
    <row r="858" spans="1:6" x14ac:dyDescent="0.2">
      <c r="A858">
        <v>2019</v>
      </c>
      <c r="B858" s="1" t="s">
        <v>70</v>
      </c>
      <c r="C858" s="7">
        <v>155163</v>
      </c>
      <c r="D858" s="6">
        <v>7.5560000000000002E-5</v>
      </c>
      <c r="E858" s="17">
        <v>1.1627308533643996E-3</v>
      </c>
      <c r="F858">
        <f>E858* VLOOKUP(A858,Check!A$2:F$11,4,FALSE)</f>
        <v>2232503.6446529413</v>
      </c>
    </row>
    <row r="859" spans="1:6" x14ac:dyDescent="0.2">
      <c r="A859">
        <v>2019</v>
      </c>
      <c r="B859" s="1" t="s">
        <v>71</v>
      </c>
      <c r="C859" s="7">
        <v>6929</v>
      </c>
      <c r="D859" s="6">
        <v>3.3739999999999998E-6</v>
      </c>
      <c r="E859" s="17">
        <v>5.1923216765349503E-5</v>
      </c>
      <c r="F859">
        <f>E859* VLOOKUP(A859,Check!A$2:F$11,4,FALSE)</f>
        <v>99695.273704428444</v>
      </c>
    </row>
    <row r="860" spans="1:6" x14ac:dyDescent="0.2">
      <c r="A860">
        <v>2019</v>
      </c>
      <c r="B860" s="1" t="s">
        <v>72</v>
      </c>
      <c r="C860" s="7">
        <v>39722</v>
      </c>
      <c r="D860" s="6">
        <v>1.9344E-5</v>
      </c>
      <c r="E860" s="17">
        <v>2.9766113672293447E-4</v>
      </c>
      <c r="F860">
        <f>E860* VLOOKUP(A860,Check!A$2:F$11,4,FALSE)</f>
        <v>571524.84659940924</v>
      </c>
    </row>
    <row r="861" spans="1:6" x14ac:dyDescent="0.2">
      <c r="A861">
        <v>2019</v>
      </c>
      <c r="B861" s="1" t="s">
        <v>73</v>
      </c>
      <c r="C861" s="7">
        <v>17663</v>
      </c>
      <c r="D861" s="6">
        <v>8.6009999999999995E-6</v>
      </c>
      <c r="E861" s="17">
        <v>1.3235961577808751E-4</v>
      </c>
      <c r="F861">
        <f>E861* VLOOKUP(A861,Check!A$2:F$11,4,FALSE)</f>
        <v>254137.33864068691</v>
      </c>
    </row>
    <row r="862" spans="1:6" x14ac:dyDescent="0.2">
      <c r="A862">
        <v>2019</v>
      </c>
      <c r="B862" s="1" t="s">
        <v>74</v>
      </c>
      <c r="C862" s="7">
        <v>6261</v>
      </c>
      <c r="D862" s="6">
        <v>3.0489999999999999E-6</v>
      </c>
      <c r="E862" s="17">
        <v>4.6917485952930184E-5</v>
      </c>
      <c r="F862">
        <f>E862* VLOOKUP(A862,Check!A$2:F$11,4,FALSE)</f>
        <v>90084.010486856176</v>
      </c>
    </row>
    <row r="863" spans="1:6" x14ac:dyDescent="0.2">
      <c r="A863">
        <v>2019</v>
      </c>
      <c r="B863" s="1" t="s">
        <v>75</v>
      </c>
      <c r="C863" s="7">
        <v>59312</v>
      </c>
      <c r="D863" s="6">
        <v>2.8883000000000001E-5</v>
      </c>
      <c r="E863" s="17">
        <v>4.4446093704523159E-4</v>
      </c>
      <c r="F863">
        <f>E863* VLOOKUP(A863,Check!A$2:F$11,4,FALSE)</f>
        <v>853388.089761446</v>
      </c>
    </row>
    <row r="864" spans="1:6" x14ac:dyDescent="0.2">
      <c r="A864">
        <v>2019</v>
      </c>
      <c r="B864" s="1" t="s">
        <v>76</v>
      </c>
      <c r="C864" s="7">
        <v>112534</v>
      </c>
      <c r="D864" s="6">
        <v>5.4800999999999999E-5</v>
      </c>
      <c r="E864" s="17">
        <v>8.4328579527664037E-4</v>
      </c>
      <c r="F864">
        <f>E864* VLOOKUP(A864,Check!A$2:F$11,4,FALSE)</f>
        <v>1619152.5373147856</v>
      </c>
    </row>
    <row r="865" spans="1:6" x14ac:dyDescent="0.2">
      <c r="A865">
        <v>2019</v>
      </c>
      <c r="B865" s="1" t="s">
        <v>77</v>
      </c>
      <c r="C865" s="7">
        <v>11400</v>
      </c>
      <c r="D865" s="6">
        <v>5.5520000000000004E-6</v>
      </c>
      <c r="E865" s="17">
        <v>8.5427142607156058E-5</v>
      </c>
      <c r="F865">
        <f>E865* VLOOKUP(A865,Check!A$2:F$11,4,FALSE)</f>
        <v>164024.55191665236</v>
      </c>
    </row>
    <row r="866" spans="1:6" x14ac:dyDescent="0.2">
      <c r="A866">
        <v>2019</v>
      </c>
      <c r="B866" s="1" t="s">
        <v>78</v>
      </c>
      <c r="C866" s="7">
        <v>4102821</v>
      </c>
      <c r="D866" s="6">
        <v>1.9979659999999999E-3</v>
      </c>
      <c r="E866" s="17">
        <v>3.074493637356444E-2</v>
      </c>
      <c r="F866">
        <f>E866* VLOOKUP(A866,Check!A$2:F$11,4,FALSE)</f>
        <v>59031875.098178208</v>
      </c>
    </row>
    <row r="867" spans="1:6" x14ac:dyDescent="0.2">
      <c r="A867">
        <v>2019</v>
      </c>
      <c r="B867" s="1" t="s">
        <v>79</v>
      </c>
      <c r="C867" s="7">
        <v>152255</v>
      </c>
      <c r="D867" s="6">
        <v>7.4144E-5</v>
      </c>
      <c r="E867" s="17">
        <v>1.1409394383905742E-3</v>
      </c>
      <c r="F867">
        <f>E867* VLOOKUP(A867,Check!A$2:F$11,4,FALSE)</f>
        <v>2190662.9957956057</v>
      </c>
    </row>
    <row r="868" spans="1:6" x14ac:dyDescent="0.2">
      <c r="A868">
        <v>2019</v>
      </c>
      <c r="B868" s="1" t="s">
        <v>80</v>
      </c>
      <c r="C868" s="7">
        <v>99789</v>
      </c>
      <c r="D868" s="6">
        <v>4.8594999999999998E-5</v>
      </c>
      <c r="E868" s="17">
        <v>7.4777974856364007E-4</v>
      </c>
      <c r="F868">
        <f>E868* VLOOKUP(A868,Check!A$2:F$11,4,FALSE)</f>
        <v>1435775.9658956863</v>
      </c>
    </row>
    <row r="869" spans="1:6" x14ac:dyDescent="0.2">
      <c r="A869">
        <v>2019</v>
      </c>
      <c r="B869" s="1" t="s">
        <v>81</v>
      </c>
      <c r="C869" s="7">
        <v>145927</v>
      </c>
      <c r="D869" s="6">
        <v>7.1062999999999994E-5</v>
      </c>
      <c r="E869" s="17">
        <v>1.093519880634602E-3</v>
      </c>
      <c r="F869">
        <f>E869* VLOOKUP(A869,Check!A$2:F$11,4,FALSE)</f>
        <v>2099614.9813632746</v>
      </c>
    </row>
    <row r="870" spans="1:6" x14ac:dyDescent="0.2">
      <c r="A870">
        <v>2019</v>
      </c>
      <c r="B870" s="1" t="s">
        <v>82</v>
      </c>
      <c r="C870" s="7">
        <v>3047</v>
      </c>
      <c r="D870" s="6">
        <v>1.4839999999999999E-6</v>
      </c>
      <c r="E870" s="17">
        <v>2.2833026624912676E-5</v>
      </c>
      <c r="F870">
        <f>E870* VLOOKUP(A870,Check!A$2:F$11,4,FALSE)</f>
        <v>43840.597341231558</v>
      </c>
    </row>
    <row r="871" spans="1:6" x14ac:dyDescent="0.2">
      <c r="A871">
        <v>2019</v>
      </c>
      <c r="B871" s="1" t="s">
        <v>83</v>
      </c>
      <c r="C871" s="7">
        <v>383230</v>
      </c>
      <c r="D871" s="6">
        <v>1.8662299999999999E-4</v>
      </c>
      <c r="E871" s="17">
        <v>2.8717757773105627E-3</v>
      </c>
      <c r="F871">
        <f>E871* VLOOKUP(A871,Check!A$2:F$11,4,FALSE)</f>
        <v>5513958.686931463</v>
      </c>
    </row>
    <row r="872" spans="1:6" x14ac:dyDescent="0.2">
      <c r="A872">
        <v>2019</v>
      </c>
      <c r="B872" s="1" t="s">
        <v>84</v>
      </c>
      <c r="C872" s="7">
        <v>22401</v>
      </c>
      <c r="D872" s="6">
        <v>1.0909E-5</v>
      </c>
      <c r="E872" s="17">
        <v>1.6786433522306165E-4</v>
      </c>
      <c r="F872">
        <f>E872* VLOOKUP(A872,Check!A$2:F$11,4,FALSE)</f>
        <v>322308.24451622186</v>
      </c>
    </row>
    <row r="873" spans="1:6" x14ac:dyDescent="0.2">
      <c r="A873">
        <v>2019</v>
      </c>
      <c r="B873" s="1" t="s">
        <v>85</v>
      </c>
      <c r="C873" s="7">
        <v>347147</v>
      </c>
      <c r="D873" s="6">
        <v>1.69051E-4</v>
      </c>
      <c r="E873" s="17">
        <v>2.6013838837409126E-3</v>
      </c>
      <c r="F873">
        <f>E873* VLOOKUP(A873,Check!A$2:F$11,4,FALSE)</f>
        <v>4994792.2038780805</v>
      </c>
    </row>
    <row r="874" spans="1:6" x14ac:dyDescent="0.2">
      <c r="A874">
        <v>2019</v>
      </c>
      <c r="B874" s="1" t="s">
        <v>86</v>
      </c>
      <c r="C874" s="7">
        <v>19704</v>
      </c>
      <c r="D874" s="6">
        <v>9.5950000000000005E-6</v>
      </c>
      <c r="E874" s="17">
        <v>1.4765407174836869E-4</v>
      </c>
      <c r="F874">
        <f>E874* VLOOKUP(A874,Check!A$2:F$11,4,FALSE)</f>
        <v>283503.48868120334</v>
      </c>
    </row>
    <row r="875" spans="1:6" x14ac:dyDescent="0.2">
      <c r="A875">
        <v>2019</v>
      </c>
      <c r="B875" s="1" t="s">
        <v>87</v>
      </c>
      <c r="C875" s="7">
        <v>11400</v>
      </c>
      <c r="D875" s="6">
        <v>5.5520000000000004E-6</v>
      </c>
      <c r="E875" s="17">
        <v>8.5427142607156058E-5</v>
      </c>
      <c r="F875">
        <f>E875* VLOOKUP(A875,Check!A$2:F$11,4,FALSE)</f>
        <v>164024.55191665236</v>
      </c>
    </row>
    <row r="876" spans="1:6" x14ac:dyDescent="0.2">
      <c r="A876">
        <v>2019</v>
      </c>
      <c r="B876" s="1" t="s">
        <v>88</v>
      </c>
      <c r="C876" s="7">
        <v>694883</v>
      </c>
      <c r="D876" s="6">
        <v>3.3838999999999999E-4</v>
      </c>
      <c r="E876" s="17">
        <v>5.2071815031831956E-3</v>
      </c>
      <c r="F876">
        <f>E876* VLOOKUP(A876,Check!A$2:F$11,4,FALSE)</f>
        <v>9998059.0096051898</v>
      </c>
    </row>
    <row r="877" spans="1:6" x14ac:dyDescent="0.2">
      <c r="A877">
        <v>2019</v>
      </c>
      <c r="B877" s="1" t="s">
        <v>89</v>
      </c>
      <c r="C877" s="7">
        <v>1061954</v>
      </c>
      <c r="D877" s="6">
        <v>5.1714399999999998E-4</v>
      </c>
      <c r="E877" s="17">
        <v>7.9578680526526148E-3</v>
      </c>
      <c r="F877">
        <f>E877* VLOOKUP(A877,Check!A$2:F$11,4,FALSE)</f>
        <v>15279520.088254092</v>
      </c>
    </row>
    <row r="878" spans="1:6" x14ac:dyDescent="0.2">
      <c r="A878">
        <v>2019</v>
      </c>
      <c r="B878" s="1" t="s">
        <v>90</v>
      </c>
      <c r="C878" s="7">
        <v>44267</v>
      </c>
      <c r="D878" s="6">
        <v>2.1557E-5</v>
      </c>
      <c r="E878" s="17">
        <v>3.3171958963078746E-4</v>
      </c>
      <c r="F878">
        <f>E878* VLOOKUP(A878,Check!A$2:F$11,4,FALSE)</f>
        <v>636918.84558723238</v>
      </c>
    </row>
    <row r="879" spans="1:6" x14ac:dyDescent="0.2">
      <c r="A879">
        <v>2019</v>
      </c>
      <c r="B879" s="1" t="s">
        <v>91</v>
      </c>
      <c r="C879" s="7">
        <v>195525</v>
      </c>
      <c r="D879" s="6">
        <v>9.5216000000000005E-5</v>
      </c>
      <c r="E879" s="17">
        <v>1.4651878998477358E-3</v>
      </c>
      <c r="F879">
        <f>E879* VLOOKUP(A879,Check!A$2:F$11,4,FALSE)</f>
        <v>2813236.8871494257</v>
      </c>
    </row>
    <row r="880" spans="1:6" x14ac:dyDescent="0.2">
      <c r="A880">
        <v>2019</v>
      </c>
      <c r="B880" s="1" t="s">
        <v>92</v>
      </c>
      <c r="C880" s="7">
        <v>1858224</v>
      </c>
      <c r="D880" s="6">
        <v>9.0490600000000003E-4</v>
      </c>
      <c r="E880" s="17">
        <v>1.3924804091582452E-2</v>
      </c>
      <c r="F880">
        <f>E880* VLOOKUP(A880,Check!A$2:F$11,4,FALSE)</f>
        <v>26736347.277260475</v>
      </c>
    </row>
    <row r="881" spans="1:6" x14ac:dyDescent="0.2">
      <c r="A881">
        <v>2019</v>
      </c>
      <c r="B881" s="1" t="s">
        <v>93</v>
      </c>
      <c r="C881" s="7">
        <v>72215</v>
      </c>
      <c r="D881" s="6">
        <v>3.5166999999999997E-5</v>
      </c>
      <c r="E881" s="17">
        <v>5.4115097398033118E-4</v>
      </c>
      <c r="F881">
        <f>E881* VLOOKUP(A881,Check!A$2:F$11,4,FALSE)</f>
        <v>1039037.9839176361</v>
      </c>
    </row>
    <row r="882" spans="1:6" x14ac:dyDescent="0.2">
      <c r="A882">
        <v>2019</v>
      </c>
      <c r="B882" s="1" t="s">
        <v>94</v>
      </c>
      <c r="C882" s="7">
        <v>2588988</v>
      </c>
      <c r="D882" s="6">
        <v>1.2607689999999999E-3</v>
      </c>
      <c r="E882" s="17">
        <v>1.9400863779317171E-2</v>
      </c>
      <c r="F882">
        <f>E882* VLOOKUP(A882,Check!A$2:F$11,4,FALSE)</f>
        <v>37250666.369964033</v>
      </c>
    </row>
    <row r="883" spans="1:6" x14ac:dyDescent="0.2">
      <c r="A883">
        <v>2019</v>
      </c>
      <c r="B883" s="1" t="s">
        <v>95</v>
      </c>
      <c r="C883" s="7">
        <v>128409</v>
      </c>
      <c r="D883" s="6">
        <v>6.2532000000000004E-5</v>
      </c>
      <c r="E883" s="17">
        <v>9.6224683816160549E-4</v>
      </c>
      <c r="F883">
        <f>E883* VLOOKUP(A883,Check!A$2:F$11,4,FALSE)</f>
        <v>1847563.9199180186</v>
      </c>
    </row>
    <row r="884" spans="1:6" x14ac:dyDescent="0.2">
      <c r="A884">
        <v>2019</v>
      </c>
      <c r="B884" s="1" t="s">
        <v>96</v>
      </c>
      <c r="C884" s="7">
        <v>6911952</v>
      </c>
      <c r="D884" s="6">
        <v>3.3659390000000001E-3</v>
      </c>
      <c r="E884" s="17">
        <v>5.1795465719106801E-2</v>
      </c>
      <c r="F884">
        <f>E884* VLOOKUP(A884,Check!A$2:F$11,4,FALSE)</f>
        <v>99449985.058720097</v>
      </c>
    </row>
    <row r="885" spans="1:6" x14ac:dyDescent="0.2">
      <c r="A885">
        <v>2019</v>
      </c>
      <c r="B885" s="1" t="s">
        <v>97</v>
      </c>
      <c r="C885" s="7">
        <v>6254551</v>
      </c>
      <c r="D885" s="6">
        <v>3.0458019999999998E-3</v>
      </c>
      <c r="E885" s="17">
        <v>4.6869159668485136E-2</v>
      </c>
      <c r="F885">
        <f>E885* VLOOKUP(A885,Check!A$2:F$11,4,FALSE)</f>
        <v>89991221.510074556</v>
      </c>
    </row>
    <row r="886" spans="1:6" x14ac:dyDescent="0.2">
      <c r="A886">
        <v>2019</v>
      </c>
      <c r="B886" s="1" t="s">
        <v>98</v>
      </c>
      <c r="C886" s="7">
        <v>164253</v>
      </c>
      <c r="D886" s="6">
        <v>7.9987000000000005E-5</v>
      </c>
      <c r="E886" s="17">
        <v>1.2308477591801057E-3</v>
      </c>
      <c r="F886">
        <f>E886* VLOOKUP(A886,Check!A$2:F$11,4,FALSE)</f>
        <v>2363291.6426285878</v>
      </c>
    </row>
    <row r="887" spans="1:6" x14ac:dyDescent="0.2">
      <c r="A887">
        <v>2019</v>
      </c>
      <c r="B887" s="1" t="s">
        <v>99</v>
      </c>
      <c r="C887" s="7">
        <v>19839</v>
      </c>
      <c r="D887" s="6">
        <v>9.6609999999999995E-6</v>
      </c>
      <c r="E887" s="17">
        <v>1.4866570896345343E-4</v>
      </c>
      <c r="F887">
        <f>E887* VLOOKUP(A887,Check!A$2:F$11,4,FALSE)</f>
        <v>285445.88469074265</v>
      </c>
    </row>
    <row r="888" spans="1:6" x14ac:dyDescent="0.2">
      <c r="A888">
        <v>2019</v>
      </c>
      <c r="B888" s="1" t="s">
        <v>100</v>
      </c>
      <c r="C888" s="7">
        <v>274358</v>
      </c>
      <c r="D888" s="6">
        <v>1.3360499999999999E-4</v>
      </c>
      <c r="E888" s="17">
        <v>2.0559315781942212E-3</v>
      </c>
      <c r="F888">
        <f>E888* VLOOKUP(A888,Check!A$2:F$11,4,FALSE)</f>
        <v>3947495.4398902552</v>
      </c>
    </row>
    <row r="889" spans="1:6" x14ac:dyDescent="0.2">
      <c r="A889">
        <v>2019</v>
      </c>
      <c r="B889" s="1" t="s">
        <v>101</v>
      </c>
      <c r="C889" s="7">
        <v>390964</v>
      </c>
      <c r="D889" s="6">
        <v>1.9038900000000001E-4</v>
      </c>
      <c r="E889" s="17">
        <v>2.9297313493214178E-3</v>
      </c>
      <c r="F889">
        <f>E889* VLOOKUP(A889,Check!A$2:F$11,4,FALSE)</f>
        <v>5625236.3961001821</v>
      </c>
    </row>
    <row r="890" spans="1:6" x14ac:dyDescent="0.2">
      <c r="A890">
        <v>2019</v>
      </c>
      <c r="B890" s="1" t="s">
        <v>102</v>
      </c>
      <c r="C890" s="7">
        <v>28091</v>
      </c>
      <c r="D890" s="6">
        <v>1.3679999999999999E-5</v>
      </c>
      <c r="E890" s="17">
        <v>2.1050297043663342E-4</v>
      </c>
      <c r="F890">
        <f>E890* VLOOKUP(A890,Check!A$2:F$11,4,FALSE)</f>
        <v>404176.6392886563</v>
      </c>
    </row>
    <row r="891" spans="1:6" x14ac:dyDescent="0.2">
      <c r="A891">
        <v>2019</v>
      </c>
      <c r="B891" s="1" t="s">
        <v>103</v>
      </c>
      <c r="C891" s="7">
        <v>5044399</v>
      </c>
      <c r="D891" s="6">
        <v>2.45649E-3</v>
      </c>
      <c r="E891" s="17">
        <v>3.7800753749157492E-2</v>
      </c>
      <c r="F891">
        <f>E891* VLOOKUP(A891,Check!A$2:F$11,4,FALSE)</f>
        <v>72579411.023141161</v>
      </c>
    </row>
    <row r="892" spans="1:6" x14ac:dyDescent="0.2">
      <c r="A892">
        <v>2019</v>
      </c>
      <c r="B892" s="1" t="s">
        <v>104</v>
      </c>
      <c r="C892" s="7">
        <v>55104</v>
      </c>
      <c r="D892" s="6">
        <v>2.6834000000000001E-5</v>
      </c>
      <c r="E892" s="17">
        <v>4.1292783037059016E-4</v>
      </c>
      <c r="F892">
        <f>E892* VLOOKUP(A892,Check!A$2:F$11,4,FALSE)</f>
        <v>792842.88673817657</v>
      </c>
    </row>
    <row r="893" spans="1:6" x14ac:dyDescent="0.2">
      <c r="A893">
        <v>2019</v>
      </c>
      <c r="B893" s="1" t="s">
        <v>105</v>
      </c>
      <c r="C893" s="7">
        <v>48351</v>
      </c>
      <c r="D893" s="6">
        <v>2.3546000000000001E-5</v>
      </c>
      <c r="E893" s="17">
        <v>3.6232348878935112E-4</v>
      </c>
      <c r="F893">
        <f>E893* VLOOKUP(A893,Check!A$2:F$11,4,FALSE)</f>
        <v>695679.92190544377</v>
      </c>
    </row>
    <row r="894" spans="1:6" x14ac:dyDescent="0.2">
      <c r="A894">
        <v>2019</v>
      </c>
      <c r="B894" s="1" t="s">
        <v>106</v>
      </c>
      <c r="C894" s="7">
        <v>377455</v>
      </c>
      <c r="D894" s="6">
        <v>1.8381100000000001E-4</v>
      </c>
      <c r="E894" s="17">
        <v>2.828500185331938E-3</v>
      </c>
      <c r="F894">
        <f>E894* VLOOKUP(A894,Check!A$2:F$11,4,FALSE)</f>
        <v>5430867.3020789493</v>
      </c>
    </row>
    <row r="895" spans="1:6" x14ac:dyDescent="0.2">
      <c r="A895">
        <v>2019</v>
      </c>
      <c r="B895" s="1" t="s">
        <v>107</v>
      </c>
      <c r="C895" s="7">
        <v>726420</v>
      </c>
      <c r="D895" s="6">
        <v>3.5374700000000001E-4</v>
      </c>
      <c r="E895" s="17">
        <v>5.4435074502359919E-3</v>
      </c>
      <c r="F895">
        <f>E895* VLOOKUP(A895,Check!A$2:F$11,4,FALSE)</f>
        <v>10451817.105552159</v>
      </c>
    </row>
    <row r="896" spans="1:6" x14ac:dyDescent="0.2">
      <c r="A896">
        <v>2019</v>
      </c>
      <c r="B896" s="1" t="s">
        <v>108</v>
      </c>
      <c r="C896" s="7">
        <v>821287</v>
      </c>
      <c r="D896" s="6">
        <v>3.9994500000000002E-4</v>
      </c>
      <c r="E896" s="17">
        <v>6.1544036552985421E-3</v>
      </c>
      <c r="F896">
        <f>E896* VLOOKUP(A896,Check!A$2:F$11,4,FALSE)</f>
        <v>11816774.751751902</v>
      </c>
    </row>
    <row r="897" spans="1:6" x14ac:dyDescent="0.2">
      <c r="A897">
        <v>2019</v>
      </c>
      <c r="B897" s="1" t="s">
        <v>109</v>
      </c>
      <c r="C897" s="7">
        <v>355146</v>
      </c>
      <c r="D897" s="6">
        <v>1.7294700000000001E-4</v>
      </c>
      <c r="E897" s="17">
        <v>2.6613252621369341E-3</v>
      </c>
      <c r="F897">
        <f>E897* VLOOKUP(A897,Check!A$2:F$11,4,FALSE)</f>
        <v>5109882.7644729316</v>
      </c>
    </row>
    <row r="898" spans="1:6" x14ac:dyDescent="0.2">
      <c r="A898">
        <v>2019</v>
      </c>
      <c r="B898" s="1" t="s">
        <v>110</v>
      </c>
      <c r="C898" s="7">
        <v>268975</v>
      </c>
      <c r="D898" s="6">
        <v>1.30984E-4</v>
      </c>
      <c r="E898" s="17">
        <v>2.015593480943842E-3</v>
      </c>
      <c r="F898">
        <f>E898* VLOOKUP(A898,Check!A$2:F$11,4,FALSE)</f>
        <v>3870044.1975246989</v>
      </c>
    </row>
    <row r="899" spans="1:6" x14ac:dyDescent="0.2">
      <c r="A899">
        <v>2019</v>
      </c>
      <c r="B899" s="1" t="s">
        <v>111</v>
      </c>
      <c r="C899" s="7">
        <v>18281</v>
      </c>
      <c r="D899" s="6">
        <v>8.9020000000000005E-6</v>
      </c>
      <c r="E899" s="17">
        <v>1.3699066614047544E-4</v>
      </c>
      <c r="F899">
        <f>E899* VLOOKUP(A899,Check!A$2:F$11,4,FALSE)</f>
        <v>263029.19592880015</v>
      </c>
    </row>
    <row r="900" spans="1:6" x14ac:dyDescent="0.2">
      <c r="A900">
        <v>2019</v>
      </c>
      <c r="B900" s="1" t="s">
        <v>112</v>
      </c>
      <c r="C900" s="7">
        <v>43189</v>
      </c>
      <c r="D900" s="6">
        <v>2.1032000000000001E-5</v>
      </c>
      <c r="E900" s="17">
        <v>3.2364147912811078E-4</v>
      </c>
      <c r="F900">
        <f>E900* VLOOKUP(A900,Check!A$2:F$11,4,FALSE)</f>
        <v>621408.45374809636</v>
      </c>
    </row>
    <row r="901" spans="1:6" x14ac:dyDescent="0.2">
      <c r="A901">
        <v>2019</v>
      </c>
      <c r="B901" s="1" t="s">
        <v>113</v>
      </c>
      <c r="C901" s="7">
        <v>302182</v>
      </c>
      <c r="D901" s="6">
        <v>1.47155E-4</v>
      </c>
      <c r="E901" s="17">
        <v>2.2644337550276872E-3</v>
      </c>
      <c r="F901">
        <f>E901* VLOOKUP(A901,Check!A$2:F$11,4,FALSE)</f>
        <v>4347830.451515601</v>
      </c>
    </row>
    <row r="902" spans="1:6" x14ac:dyDescent="0.2">
      <c r="A902">
        <v>2019</v>
      </c>
      <c r="B902" s="1" t="s">
        <v>114</v>
      </c>
      <c r="C902" s="7">
        <v>91615</v>
      </c>
      <c r="D902" s="6">
        <v>4.4613999999999997E-5</v>
      </c>
      <c r="E902" s="17">
        <v>6.8652698859250898E-4</v>
      </c>
      <c r="F902">
        <f>E902* VLOOKUP(A902,Check!A$2:F$11,4,FALSE)</f>
        <v>1318167.4845477287</v>
      </c>
    </row>
    <row r="903" spans="1:6" x14ac:dyDescent="0.2">
      <c r="A903">
        <v>2019</v>
      </c>
      <c r="B903" s="1" t="s">
        <v>115</v>
      </c>
      <c r="C903" s="7">
        <v>112092</v>
      </c>
      <c r="D903" s="6">
        <v>5.4586000000000002E-5</v>
      </c>
      <c r="E903" s="17">
        <v>8.3997362009836289E-4</v>
      </c>
      <c r="F903">
        <f>E903* VLOOKUP(A903,Check!A$2:F$11,4,FALSE)</f>
        <v>1612792.9888983681</v>
      </c>
    </row>
    <row r="904" spans="1:6" x14ac:dyDescent="0.2">
      <c r="A904">
        <v>2019</v>
      </c>
      <c r="B904" s="1" t="s">
        <v>116</v>
      </c>
      <c r="C904" s="7">
        <v>253625</v>
      </c>
      <c r="D904" s="6">
        <v>1.23509E-4</v>
      </c>
      <c r="E904" s="17">
        <v>1.9005665827842068E-3</v>
      </c>
      <c r="F904">
        <f>E904* VLOOKUP(A904,Check!A$2:F$11,4,FALSE)</f>
        <v>3649186.5771807856</v>
      </c>
    </row>
    <row r="905" spans="1:6" x14ac:dyDescent="0.2">
      <c r="A905">
        <v>2019</v>
      </c>
      <c r="B905" s="1" t="s">
        <v>117</v>
      </c>
      <c r="C905" s="7">
        <v>511057</v>
      </c>
      <c r="D905" s="6">
        <v>2.4887100000000001E-4</v>
      </c>
      <c r="E905" s="17">
        <v>3.829661335033803E-3</v>
      </c>
      <c r="F905">
        <f>E905* VLOOKUP(A905,Check!A$2:F$11,4,FALSE)</f>
        <v>7353148.7218305795</v>
      </c>
    </row>
    <row r="906" spans="1:6" x14ac:dyDescent="0.2">
      <c r="A906">
        <v>2019</v>
      </c>
      <c r="B906" s="1" t="s">
        <v>118</v>
      </c>
      <c r="C906" s="7">
        <v>44865</v>
      </c>
      <c r="D906" s="6">
        <v>2.1848000000000002E-5</v>
      </c>
      <c r="E906" s="17">
        <v>3.3620076781316286E-4</v>
      </c>
      <c r="F906">
        <f>E906* VLOOKUP(A906,Check!A$2:F$11,4,FALSE)</f>
        <v>645522.9405035621</v>
      </c>
    </row>
    <row r="907" spans="1:6" x14ac:dyDescent="0.2">
      <c r="A907">
        <v>2019</v>
      </c>
      <c r="B907" s="1" t="s">
        <v>119</v>
      </c>
      <c r="C907" s="7">
        <v>70141</v>
      </c>
      <c r="D907" s="6">
        <v>3.4156999999999998E-5</v>
      </c>
      <c r="E907" s="17">
        <v>5.2560922891302928E-4</v>
      </c>
      <c r="F907">
        <f>E907* VLOOKUP(A907,Check!A$2:F$11,4,FALSE)</f>
        <v>1009197.0259636767</v>
      </c>
    </row>
    <row r="908" spans="1:6" x14ac:dyDescent="0.2">
      <c r="A908">
        <v>2019</v>
      </c>
      <c r="B908" s="1" t="s">
        <v>120</v>
      </c>
      <c r="C908" s="7">
        <v>1035692</v>
      </c>
      <c r="D908" s="6">
        <v>5.0435499999999995E-4</v>
      </c>
      <c r="E908" s="17">
        <v>7.7610708930781298E-3</v>
      </c>
      <c r="F908">
        <f>E908* VLOOKUP(A908,Check!A$2:F$11,4,FALSE)</f>
        <v>14901659.317865046</v>
      </c>
    </row>
    <row r="909" spans="1:6" x14ac:dyDescent="0.2">
      <c r="A909">
        <v>2019</v>
      </c>
      <c r="B909" s="1" t="s">
        <v>121</v>
      </c>
      <c r="C909" s="7">
        <v>1596391</v>
      </c>
      <c r="D909" s="6">
        <v>7.7740000000000003E-4</v>
      </c>
      <c r="E909" s="17">
        <v>1.1962729966121095E-2</v>
      </c>
      <c r="F909">
        <f>E909* VLOOKUP(A909,Check!A$2:F$11,4,FALSE)</f>
        <v>22969063.022699703</v>
      </c>
    </row>
    <row r="910" spans="1:6" x14ac:dyDescent="0.2">
      <c r="A910">
        <v>2019</v>
      </c>
      <c r="B910" s="1" t="s">
        <v>122</v>
      </c>
      <c r="C910" s="7">
        <v>682777</v>
      </c>
      <c r="D910" s="6">
        <v>3.3249400000000002E-4</v>
      </c>
      <c r="E910" s="17">
        <v>5.1164638726215956E-3</v>
      </c>
      <c r="F910">
        <f>E910* VLOOKUP(A910,Check!A$2:F$11,4,FALSE)</f>
        <v>9823876.4459645748</v>
      </c>
    </row>
    <row r="911" spans="1:6" x14ac:dyDescent="0.2">
      <c r="A911">
        <v>2019</v>
      </c>
      <c r="B911" s="1" t="s">
        <v>123</v>
      </c>
      <c r="C911" s="7">
        <v>1516768</v>
      </c>
      <c r="D911" s="6">
        <v>7.3862600000000004E-4</v>
      </c>
      <c r="E911" s="17">
        <v>1.1366066336664113E-2</v>
      </c>
      <c r="F911">
        <f>E911* VLOOKUP(A911,Check!A$2:F$11,4,FALSE)</f>
        <v>21823437.85627342</v>
      </c>
    </row>
    <row r="912" spans="1:6" x14ac:dyDescent="0.2">
      <c r="A912">
        <v>2019</v>
      </c>
      <c r="B912" s="1" t="s">
        <v>124</v>
      </c>
      <c r="C912" s="7">
        <v>3754</v>
      </c>
      <c r="D912" s="6">
        <v>1.8279999999999999E-6</v>
      </c>
      <c r="E912" s="17">
        <v>2.8131008188356479E-5</v>
      </c>
      <c r="F912">
        <f>E912* VLOOKUP(A912,Check!A$2:F$11,4,FALSE)</f>
        <v>54012.997183781845</v>
      </c>
    </row>
    <row r="913" spans="1:6" x14ac:dyDescent="0.2">
      <c r="A913">
        <v>2019</v>
      </c>
      <c r="B913" s="1" t="s">
        <v>125</v>
      </c>
      <c r="C913" s="7">
        <v>31365</v>
      </c>
      <c r="D913" s="6">
        <v>1.5274E-5</v>
      </c>
      <c r="E913" s="17">
        <v>2.3503704630468858E-4</v>
      </c>
      <c r="F913">
        <f>E913* VLOOKUP(A913,Check!A$2:F$11,4,FALSE)</f>
        <v>451283.3395496317</v>
      </c>
    </row>
    <row r="914" spans="1:6" x14ac:dyDescent="0.2">
      <c r="A914">
        <v>2019</v>
      </c>
      <c r="B914" s="1" t="s">
        <v>126</v>
      </c>
      <c r="C914" s="7">
        <v>164356</v>
      </c>
      <c r="D914" s="6">
        <v>8.0037000000000006E-5</v>
      </c>
      <c r="E914" s="17">
        <v>1.2316196009071704E-3</v>
      </c>
      <c r="F914">
        <f>E914* VLOOKUP(A914,Check!A$2:F$11,4,FALSE)</f>
        <v>2364773.6188432733</v>
      </c>
    </row>
    <row r="915" spans="1:6" x14ac:dyDescent="0.2">
      <c r="A915">
        <v>2019</v>
      </c>
      <c r="B915" s="1" t="s">
        <v>127</v>
      </c>
      <c r="C915" s="7">
        <v>188469</v>
      </c>
      <c r="D915" s="6">
        <v>9.1779000000000003E-5</v>
      </c>
      <c r="E915" s="17">
        <v>1.4123129947393065E-3</v>
      </c>
      <c r="F915">
        <f>E915* VLOOKUP(A915,Check!A$2:F$11,4,FALSE)</f>
        <v>2711714.3223841712</v>
      </c>
    </row>
    <row r="916" spans="1:6" x14ac:dyDescent="0.2">
      <c r="A916">
        <v>2019</v>
      </c>
      <c r="B916" s="1" t="s">
        <v>128</v>
      </c>
      <c r="C916" s="7">
        <v>322973</v>
      </c>
      <c r="D916" s="6">
        <v>1.57279E-4</v>
      </c>
      <c r="E916" s="17">
        <v>2.4202333797597379E-3</v>
      </c>
      <c r="F916">
        <f>E916* VLOOKUP(A916,Check!A$2:F$11,4,FALSE)</f>
        <v>4646973.825103242</v>
      </c>
    </row>
    <row r="917" spans="1:6" x14ac:dyDescent="0.2">
      <c r="A917">
        <v>2019</v>
      </c>
      <c r="B917" s="1" t="s">
        <v>129</v>
      </c>
      <c r="C917" s="7">
        <v>44120</v>
      </c>
      <c r="D917" s="6">
        <v>2.1484999999999998E-5</v>
      </c>
      <c r="E917" s="17">
        <v>3.3061802910769523E-4</v>
      </c>
      <c r="F917">
        <f>E917* VLOOKUP(A917,Check!A$2:F$11,4,FALSE)</f>
        <v>634803.79215462308</v>
      </c>
    </row>
    <row r="918" spans="1:6" x14ac:dyDescent="0.2">
      <c r="A918">
        <v>2019</v>
      </c>
      <c r="B918" s="1" t="s">
        <v>130</v>
      </c>
      <c r="C918" s="7">
        <v>83200</v>
      </c>
      <c r="D918" s="6">
        <v>4.0516000000000003E-5</v>
      </c>
      <c r="E918" s="17">
        <v>6.2346826885222668E-4</v>
      </c>
      <c r="F918">
        <f>E918* VLOOKUP(A918,Check!A$2:F$11,4,FALSE)</f>
        <v>1197091.4666197787</v>
      </c>
    </row>
    <row r="919" spans="1:6" x14ac:dyDescent="0.2">
      <c r="A919">
        <v>2019</v>
      </c>
      <c r="B919" s="1" t="s">
        <v>131</v>
      </c>
      <c r="C919" s="7">
        <v>82362</v>
      </c>
      <c r="D919" s="6">
        <v>4.0108000000000003E-5</v>
      </c>
      <c r="E919" s="17">
        <v>6.1718862450970064E-4</v>
      </c>
      <c r="F919">
        <f>E919* VLOOKUP(A919,Check!A$2:F$11,4,FALSE)</f>
        <v>1185034.2232420458</v>
      </c>
    </row>
    <row r="920" spans="1:6" x14ac:dyDescent="0.2">
      <c r="A920">
        <v>2019</v>
      </c>
      <c r="B920" s="1" t="s">
        <v>133</v>
      </c>
      <c r="C920" s="7">
        <v>68234</v>
      </c>
      <c r="D920" s="6">
        <v>3.3228000000000001E-5</v>
      </c>
      <c r="E920" s="17">
        <v>5.1131891654883214E-4</v>
      </c>
      <c r="F920">
        <f>E920* VLOOKUP(A920,Check!A$2:F$11,4,FALSE)</f>
        <v>981758.8838141103</v>
      </c>
    </row>
    <row r="921" spans="1:6" x14ac:dyDescent="0.2">
      <c r="A921">
        <v>2019</v>
      </c>
      <c r="B921" s="1" t="s">
        <v>134</v>
      </c>
      <c r="C921" s="7">
        <v>125605</v>
      </c>
      <c r="D921" s="6">
        <v>6.1166000000000004E-5</v>
      </c>
      <c r="E921" s="17">
        <v>9.412347585238454E-4</v>
      </c>
      <c r="F921">
        <f>E921* VLOOKUP(A921,Check!A$2:F$11,4,FALSE)</f>
        <v>1807219.6353939581</v>
      </c>
    </row>
    <row r="922" spans="1:6" x14ac:dyDescent="0.2">
      <c r="A922">
        <v>2019</v>
      </c>
      <c r="B922" s="1" t="s">
        <v>216</v>
      </c>
      <c r="C922" s="7">
        <v>126914</v>
      </c>
      <c r="D922" s="6">
        <v>6.1804000000000007E-5</v>
      </c>
      <c r="E922" s="17">
        <v>9.5104389270566703E-4</v>
      </c>
      <c r="F922">
        <f>E922* VLOOKUP(A922,Check!A$2:F$11,4,FALSE)</f>
        <v>1826053.6826271946</v>
      </c>
    </row>
    <row r="923" spans="1:6" x14ac:dyDescent="0.2">
      <c r="A923">
        <v>2019</v>
      </c>
      <c r="B923" s="1" t="s">
        <v>135</v>
      </c>
      <c r="C923" s="7">
        <v>20745</v>
      </c>
      <c r="D923" s="6">
        <v>1.0101999999999999E-5</v>
      </c>
      <c r="E923" s="17">
        <v>1.5545491871802214E-4</v>
      </c>
      <c r="F923">
        <f>E923* VLOOKUP(A923,Check!A$2:F$11,4,FALSE)</f>
        <v>298481.52013253974</v>
      </c>
    </row>
    <row r="924" spans="1:6" x14ac:dyDescent="0.2">
      <c r="A924">
        <v>2019</v>
      </c>
      <c r="B924" s="1" t="s">
        <v>136</v>
      </c>
      <c r="C924" s="7">
        <v>366554</v>
      </c>
      <c r="D924" s="6">
        <v>1.7850200000000001E-4</v>
      </c>
      <c r="E924" s="17">
        <v>2.7468123536160951E-3</v>
      </c>
      <c r="F924">
        <f>E924* VLOOKUP(A924,Check!A$2:F$11,4,FALSE)</f>
        <v>5274022.4213382974</v>
      </c>
    </row>
    <row r="925" spans="1:6" x14ac:dyDescent="0.2">
      <c r="A925">
        <v>2019</v>
      </c>
      <c r="B925" s="1" t="s">
        <v>137</v>
      </c>
      <c r="C925" s="7">
        <v>15237753</v>
      </c>
      <c r="D925" s="6">
        <v>7.4203849999999998E-3</v>
      </c>
      <c r="E925" s="17">
        <v>0.11418576303014211</v>
      </c>
      <c r="F925">
        <f>E925* VLOOKUP(A925,Check!A$2:F$11,4,FALSE)</f>
        <v>219242597.19663379</v>
      </c>
    </row>
    <row r="926" spans="1:6" x14ac:dyDescent="0.2">
      <c r="A926">
        <v>2019</v>
      </c>
      <c r="B926" s="1" t="s">
        <v>138</v>
      </c>
      <c r="C926" s="7">
        <v>274034</v>
      </c>
      <c r="D926" s="6">
        <v>1.33447E-4</v>
      </c>
      <c r="E926" s="17">
        <v>2.0535036488780181E-3</v>
      </c>
      <c r="F926">
        <f>E926* VLOOKUP(A926,Check!A$2:F$11,4,FALSE)</f>
        <v>3942833.6894673612</v>
      </c>
    </row>
    <row r="927" spans="1:6" x14ac:dyDescent="0.2">
      <c r="A927">
        <v>2019</v>
      </c>
      <c r="B927" s="1" t="s">
        <v>139</v>
      </c>
      <c r="C927" s="7">
        <v>18606967</v>
      </c>
      <c r="D927" s="6">
        <v>9.0611040000000004E-3</v>
      </c>
      <c r="E927" s="17">
        <v>0.13943333538558306</v>
      </c>
      <c r="F927">
        <f>E927* VLOOKUP(A927,Check!A$2:F$11,4,FALSE)</f>
        <v>267719247.78095943</v>
      </c>
    </row>
    <row r="928" spans="1:6" x14ac:dyDescent="0.2">
      <c r="A928">
        <v>2019</v>
      </c>
      <c r="B928" s="1" t="s">
        <v>140</v>
      </c>
      <c r="C928" s="7">
        <v>23615</v>
      </c>
      <c r="D928" s="6">
        <v>1.15E-5</v>
      </c>
      <c r="E928" s="17">
        <v>1.7696157654982373E-4</v>
      </c>
      <c r="F928">
        <f>E928* VLOOKUP(A928,Check!A$2:F$11,4,FALSE)</f>
        <v>339775.42048348649</v>
      </c>
    </row>
    <row r="929" spans="1:6" x14ac:dyDescent="0.2">
      <c r="A929">
        <v>2019</v>
      </c>
      <c r="B929" s="1" t="s">
        <v>141</v>
      </c>
      <c r="C929" s="7">
        <v>51799</v>
      </c>
      <c r="D929" s="6">
        <v>2.5225E-5</v>
      </c>
      <c r="E929" s="17">
        <v>3.8816145262351553E-4</v>
      </c>
      <c r="F929">
        <f>E929* VLOOKUP(A929,Check!A$2:F$11,4,FALSE)</f>
        <v>745290.15480093646</v>
      </c>
    </row>
    <row r="930" spans="1:6" x14ac:dyDescent="0.2">
      <c r="A930">
        <v>2019</v>
      </c>
      <c r="B930" s="1" t="s">
        <v>142</v>
      </c>
      <c r="C930" s="7">
        <v>76353</v>
      </c>
      <c r="D930" s="6">
        <v>3.7181999999999997E-5</v>
      </c>
      <c r="E930" s="17">
        <v>5.7215952802492861E-4</v>
      </c>
      <c r="F930">
        <f>E930* VLOOKUP(A930,Check!A$2:F$11,4,FALSE)</f>
        <v>1098576.018639663</v>
      </c>
    </row>
    <row r="931" spans="1:6" x14ac:dyDescent="0.2">
      <c r="A931">
        <v>2019</v>
      </c>
      <c r="B931" s="1" t="s">
        <v>143</v>
      </c>
      <c r="C931" s="7">
        <v>37877</v>
      </c>
      <c r="D931" s="6">
        <v>1.8445E-5</v>
      </c>
      <c r="E931" s="17">
        <v>2.8383542811677632E-4</v>
      </c>
      <c r="F931">
        <f>E931* VLOOKUP(A931,Check!A$2:F$11,4,FALSE)</f>
        <v>544978.76780237211</v>
      </c>
    </row>
    <row r="932" spans="1:6" x14ac:dyDescent="0.2">
      <c r="A932">
        <v>2019</v>
      </c>
      <c r="B932" s="1" t="s">
        <v>144</v>
      </c>
      <c r="C932" s="7">
        <v>135438</v>
      </c>
      <c r="D932" s="6">
        <v>6.5955000000000001E-5</v>
      </c>
      <c r="E932" s="17">
        <v>1.0149194158270178E-3</v>
      </c>
      <c r="F932">
        <f>E932* VLOOKUP(A932,Check!A$2:F$11,4,FALSE)</f>
        <v>1948698.0054813651</v>
      </c>
    </row>
    <row r="933" spans="1:6" x14ac:dyDescent="0.2">
      <c r="A933">
        <v>2019</v>
      </c>
      <c r="B933" s="1" t="s">
        <v>145</v>
      </c>
      <c r="C933" s="7">
        <v>2041765</v>
      </c>
      <c r="D933" s="6">
        <v>9.9428600000000004E-4</v>
      </c>
      <c r="E933" s="17">
        <v>1.5300188581166666E-2</v>
      </c>
      <c r="F933">
        <f>E933* VLOOKUP(A933,Check!A$2:F$11,4,FALSE)</f>
        <v>29377156.951237168</v>
      </c>
    </row>
    <row r="934" spans="1:6" x14ac:dyDescent="0.2">
      <c r="A934">
        <v>2019</v>
      </c>
      <c r="B934" s="1" t="s">
        <v>146</v>
      </c>
      <c r="C934" s="7">
        <v>518683</v>
      </c>
      <c r="D934" s="6">
        <v>2.5258499999999999E-4</v>
      </c>
      <c r="E934" s="17">
        <v>3.8868075972725903E-3</v>
      </c>
      <c r="F934">
        <f>E934* VLOOKUP(A934,Check!A$2:F$11,4,FALSE)</f>
        <v>7462872.5141916666</v>
      </c>
    </row>
    <row r="935" spans="1:6" x14ac:dyDescent="0.2">
      <c r="A935">
        <v>2019</v>
      </c>
      <c r="B935" s="1" t="s">
        <v>147</v>
      </c>
      <c r="C935" s="7">
        <v>30182</v>
      </c>
      <c r="D935" s="6">
        <v>1.4698000000000001E-5</v>
      </c>
      <c r="E935" s="17">
        <v>2.26172106856946E-4</v>
      </c>
      <c r="F935">
        <f>E935* VLOOKUP(A935,Check!A$2:F$11,4,FALSE)</f>
        <v>434262.19525863172</v>
      </c>
    </row>
    <row r="936" spans="1:6" x14ac:dyDescent="0.2">
      <c r="A936">
        <v>2019</v>
      </c>
      <c r="B936" s="1" t="s">
        <v>148</v>
      </c>
      <c r="C936" s="7">
        <v>863431</v>
      </c>
      <c r="D936" s="6">
        <v>4.2046800000000001E-4</v>
      </c>
      <c r="E936" s="17">
        <v>6.4702143130209973E-3</v>
      </c>
      <c r="F936">
        <f>E936* VLOOKUP(A936,Check!A$2:F$11,4,FALSE)</f>
        <v>12423147.621574305</v>
      </c>
    </row>
    <row r="937" spans="1:6" x14ac:dyDescent="0.2">
      <c r="A937">
        <v>2019</v>
      </c>
      <c r="B937" s="1" t="s">
        <v>149</v>
      </c>
      <c r="C937" s="7">
        <v>11401</v>
      </c>
      <c r="D937" s="6">
        <v>5.5520000000000004E-6</v>
      </c>
      <c r="E937" s="17">
        <v>8.5434636216156684E-5</v>
      </c>
      <c r="F937">
        <f>E937* VLOOKUP(A937,Check!A$2:F$11,4,FALSE)</f>
        <v>164038.94003524154</v>
      </c>
    </row>
    <row r="938" spans="1:6" x14ac:dyDescent="0.2">
      <c r="A938">
        <v>2019</v>
      </c>
      <c r="B938" s="1" t="s">
        <v>150</v>
      </c>
      <c r="C938" s="7">
        <v>32496</v>
      </c>
      <c r="D938" s="6">
        <v>1.5824999999999998E-5</v>
      </c>
      <c r="E938" s="17">
        <v>2.4351231808439854E-4</v>
      </c>
      <c r="F938">
        <f>E938* VLOOKUP(A938,Check!A$2:F$11,4,FALSE)</f>
        <v>467556.30167399434</v>
      </c>
    </row>
    <row r="939" spans="1:6" x14ac:dyDescent="0.2">
      <c r="A939">
        <v>2019</v>
      </c>
      <c r="B939" s="1" t="s">
        <v>151</v>
      </c>
      <c r="C939" s="7">
        <v>39197</v>
      </c>
      <c r="D939" s="6">
        <v>1.9088000000000001E-5</v>
      </c>
      <c r="E939" s="17">
        <v>2.937269919976049E-4</v>
      </c>
      <c r="F939">
        <f>E939* VLOOKUP(A939,Check!A$2:F$11,4,FALSE)</f>
        <v>563971.0843400897</v>
      </c>
    </row>
    <row r="940" spans="1:6" x14ac:dyDescent="0.2">
      <c r="A940">
        <v>2019</v>
      </c>
      <c r="B940" s="1" t="s">
        <v>152</v>
      </c>
      <c r="C940" s="7">
        <v>974969</v>
      </c>
      <c r="D940" s="6">
        <v>4.7478400000000001E-4</v>
      </c>
      <c r="E940" s="17">
        <v>7.3060364737330121E-3</v>
      </c>
      <c r="F940">
        <f>E940* VLOOKUP(A940,Check!A$2:F$11,4,FALSE)</f>
        <v>14027969.592774266</v>
      </c>
    </row>
    <row r="941" spans="1:6" x14ac:dyDescent="0.2">
      <c r="A941">
        <v>2019</v>
      </c>
      <c r="B941" s="1" t="s">
        <v>230</v>
      </c>
      <c r="C941" s="7">
        <v>2443797</v>
      </c>
      <c r="D941" s="6">
        <v>1.1900649999999999E-3</v>
      </c>
      <c r="E941" s="17">
        <v>1.8312859194907032E-2</v>
      </c>
      <c r="F941">
        <f>E941* VLOOKUP(A941,Check!A$2:F$11,4,FALSE)</f>
        <v>35161641.043882392</v>
      </c>
    </row>
    <row r="942" spans="1:6" x14ac:dyDescent="0.2">
      <c r="A942">
        <v>2019</v>
      </c>
      <c r="B942" s="1" t="s">
        <v>154</v>
      </c>
      <c r="C942" s="7">
        <v>666063</v>
      </c>
      <c r="D942" s="6">
        <v>3.2435500000000002E-4</v>
      </c>
      <c r="E942" s="17">
        <v>4.9912156917851043E-3</v>
      </c>
      <c r="F942">
        <f>E942* VLOOKUP(A942,Check!A$2:F$11,4,FALSE)</f>
        <v>9583393.4318650197</v>
      </c>
    </row>
    <row r="943" spans="1:6" x14ac:dyDescent="0.2">
      <c r="A943">
        <v>2019</v>
      </c>
      <c r="B943" s="1" t="s">
        <v>155</v>
      </c>
      <c r="C943" s="7">
        <v>107922</v>
      </c>
      <c r="D943" s="6">
        <v>5.2555000000000001E-5</v>
      </c>
      <c r="E943" s="17">
        <v>8.0872527056574531E-4</v>
      </c>
      <c r="F943">
        <f>E943* VLOOKUP(A943,Check!A$2:F$11,4,FALSE)</f>
        <v>1552794.5343814874</v>
      </c>
    </row>
    <row r="944" spans="1:6" x14ac:dyDescent="0.2">
      <c r="A944">
        <v>2019</v>
      </c>
      <c r="B944" s="1" t="s">
        <v>156</v>
      </c>
      <c r="C944" s="7">
        <v>771875</v>
      </c>
      <c r="D944" s="6">
        <v>3.7588299999999998E-4</v>
      </c>
      <c r="E944" s="17">
        <v>5.7841294473595251E-3</v>
      </c>
      <c r="F944">
        <f>E944* VLOOKUP(A944,Check!A$2:F$11,4,FALSE)</f>
        <v>11105829.036023337</v>
      </c>
    </row>
    <row r="945" spans="1:6" x14ac:dyDescent="0.2">
      <c r="A945">
        <v>2019</v>
      </c>
      <c r="B945" s="1" t="s">
        <v>157</v>
      </c>
      <c r="C945" s="7">
        <v>10551</v>
      </c>
      <c r="D945" s="6">
        <v>5.1379999999999998E-6</v>
      </c>
      <c r="E945" s="17">
        <v>7.9065068565623126E-5</v>
      </c>
      <c r="F945">
        <f>E945* VLOOKUP(A945,Check!A$2:F$11,4,FALSE)</f>
        <v>151809.03923443853</v>
      </c>
    </row>
    <row r="946" spans="1:6" x14ac:dyDescent="0.2">
      <c r="A946">
        <v>2019</v>
      </c>
      <c r="B946" s="1" t="s">
        <v>158</v>
      </c>
      <c r="C946" s="7">
        <v>233820</v>
      </c>
      <c r="D946" s="6">
        <v>1.1386400000000001E-4</v>
      </c>
      <c r="E946" s="17">
        <v>1.7521556565267746E-3</v>
      </c>
      <c r="F946">
        <f>E946* VLOOKUP(A946,Check!A$2:F$11,4,FALSE)</f>
        <v>3364229.888522075</v>
      </c>
    </row>
    <row r="947" spans="1:6" x14ac:dyDescent="0.2">
      <c r="A947">
        <v>2019</v>
      </c>
      <c r="B947" s="1" t="s">
        <v>159</v>
      </c>
      <c r="C947" s="7">
        <v>86060</v>
      </c>
      <c r="D947" s="6">
        <v>4.1909000000000001E-5</v>
      </c>
      <c r="E947" s="17">
        <v>6.4489999059402195E-4</v>
      </c>
      <c r="F947">
        <f>E947* VLOOKUP(A947,Check!A$2:F$11,4,FALSE)</f>
        <v>1238241.4857848336</v>
      </c>
    </row>
    <row r="948" spans="1:6" x14ac:dyDescent="0.2">
      <c r="A948">
        <v>2019</v>
      </c>
      <c r="B948" s="1" t="s">
        <v>160</v>
      </c>
      <c r="C948" s="7">
        <v>278481</v>
      </c>
      <c r="D948" s="6">
        <v>1.35613E-4</v>
      </c>
      <c r="E948" s="17">
        <v>2.0868277281038093E-3</v>
      </c>
      <c r="F948">
        <f>E948* VLOOKUP(A948,Check!A$2:F$11,4,FALSE)</f>
        <v>4006817.6528334445</v>
      </c>
    </row>
    <row r="949" spans="1:6" x14ac:dyDescent="0.2">
      <c r="A949">
        <v>2019</v>
      </c>
      <c r="B949" s="1" t="s">
        <v>161</v>
      </c>
      <c r="C949" s="7">
        <v>487479</v>
      </c>
      <c r="D949" s="6">
        <v>2.3738899999999999E-4</v>
      </c>
      <c r="E949" s="17">
        <v>3.6529770220170028E-3</v>
      </c>
      <c r="F949">
        <f>E949* VLOOKUP(A949,Check!A$2:F$11,4,FALSE)</f>
        <v>7013905.661734893</v>
      </c>
    </row>
    <row r="950" spans="1:6" x14ac:dyDescent="0.2">
      <c r="A950">
        <v>2019</v>
      </c>
      <c r="B950" s="1" t="s">
        <v>162</v>
      </c>
      <c r="C950" s="7">
        <v>1319557</v>
      </c>
      <c r="D950" s="6">
        <v>6.4258999999999996E-4</v>
      </c>
      <c r="E950" s="17">
        <v>9.8882442120413177E-3</v>
      </c>
      <c r="F950">
        <f>E950* VLOOKUP(A950,Check!A$2:F$11,4,FALSE)</f>
        <v>18985942.601182632</v>
      </c>
    </row>
    <row r="951" spans="1:6" x14ac:dyDescent="0.2">
      <c r="A951">
        <v>2019</v>
      </c>
      <c r="B951" s="1" t="s">
        <v>163</v>
      </c>
      <c r="C951" s="7">
        <v>2156799</v>
      </c>
      <c r="D951" s="6">
        <v>1.050304E-3</v>
      </c>
      <c r="E951" s="17">
        <v>1.6162208398944874E-2</v>
      </c>
      <c r="F951">
        <f>E951* VLOOKUP(A951,Check!A$2:F$11,4,FALSE)</f>
        <v>31032279.7850249</v>
      </c>
    </row>
    <row r="952" spans="1:6" x14ac:dyDescent="0.2">
      <c r="A952">
        <v>2019</v>
      </c>
      <c r="B952" s="1" t="s">
        <v>164</v>
      </c>
      <c r="C952" s="7">
        <v>23634</v>
      </c>
      <c r="D952" s="6">
        <v>1.1508999999999999E-5</v>
      </c>
      <c r="E952" s="17">
        <v>1.7710395512083565E-4</v>
      </c>
      <c r="F952">
        <f>E952* VLOOKUP(A952,Check!A$2:F$11,4,FALSE)</f>
        <v>340048.79473668087</v>
      </c>
    </row>
    <row r="953" spans="1:6" x14ac:dyDescent="0.2">
      <c r="A953">
        <v>2019</v>
      </c>
      <c r="B953" s="1" t="s">
        <v>165</v>
      </c>
      <c r="C953" s="7">
        <v>54440</v>
      </c>
      <c r="D953" s="6">
        <v>2.6511000000000001E-5</v>
      </c>
      <c r="E953" s="17">
        <v>4.0795207399417331E-4</v>
      </c>
      <c r="F953">
        <f>E953* VLOOKUP(A953,Check!A$2:F$11,4,FALSE)</f>
        <v>783289.17599496094</v>
      </c>
    </row>
    <row r="954" spans="1:6" x14ac:dyDescent="0.2">
      <c r="A954">
        <v>2019</v>
      </c>
      <c r="B954" s="1" t="s">
        <v>166</v>
      </c>
      <c r="C954" s="7">
        <v>120137</v>
      </c>
      <c r="D954" s="6">
        <v>5.8504000000000001E-5</v>
      </c>
      <c r="E954" s="17">
        <v>9.0025970450841291E-4</v>
      </c>
      <c r="F954">
        <f>E954* VLOOKUP(A954,Check!A$2:F$11,4,FALSE)</f>
        <v>1728545.4029483213</v>
      </c>
    </row>
    <row r="955" spans="1:6" x14ac:dyDescent="0.2">
      <c r="A955">
        <v>2019</v>
      </c>
      <c r="B955" s="1" t="s">
        <v>167</v>
      </c>
      <c r="C955" s="7">
        <v>99861</v>
      </c>
      <c r="D955" s="6">
        <v>4.863E-5</v>
      </c>
      <c r="E955" s="17">
        <v>7.4831928841168516E-4</v>
      </c>
      <c r="F955">
        <f>E955* VLOOKUP(A955,Check!A$2:F$11,4,FALSE)</f>
        <v>1436811.9104341071</v>
      </c>
    </row>
    <row r="956" spans="1:6" x14ac:dyDescent="0.2">
      <c r="A956">
        <v>2019</v>
      </c>
      <c r="B956" s="1" t="s">
        <v>168</v>
      </c>
      <c r="C956" s="7">
        <v>48956</v>
      </c>
      <c r="D956" s="6">
        <v>2.3839999999999999E-5</v>
      </c>
      <c r="E956" s="17">
        <v>3.6685712223473091E-4</v>
      </c>
      <c r="F956">
        <f>E956* VLOOKUP(A956,Check!A$2:F$11,4,FALSE)</f>
        <v>704384.73365189764</v>
      </c>
    </row>
    <row r="957" spans="1:6" x14ac:dyDescent="0.2">
      <c r="A957">
        <v>2019</v>
      </c>
      <c r="B957" s="1" t="s">
        <v>169</v>
      </c>
      <c r="C957" s="7">
        <v>634587</v>
      </c>
      <c r="D957" s="6">
        <v>3.0902700000000002E-4</v>
      </c>
      <c r="E957" s="17">
        <v>4.755346854881346E-3</v>
      </c>
      <c r="F957">
        <f>E957* VLOOKUP(A957,Check!A$2:F$11,4,FALSE)</f>
        <v>9130513.0111519899</v>
      </c>
    </row>
    <row r="958" spans="1:6" x14ac:dyDescent="0.2">
      <c r="A958">
        <v>2019</v>
      </c>
      <c r="B958" s="1" t="s">
        <v>170</v>
      </c>
      <c r="C958" s="7">
        <v>1169154</v>
      </c>
      <c r="D958" s="6">
        <v>5.69347E-4</v>
      </c>
      <c r="E958" s="17">
        <v>8.7611829375199065E-3</v>
      </c>
      <c r="F958">
        <f>E958* VLOOKUP(A958,Check!A$2:F$11,4,FALSE)</f>
        <v>16821926.40101419</v>
      </c>
    </row>
    <row r="959" spans="1:6" x14ac:dyDescent="0.2">
      <c r="A959">
        <v>2019</v>
      </c>
      <c r="B959" s="1" t="s">
        <v>171</v>
      </c>
      <c r="C959" s="7">
        <v>21008</v>
      </c>
      <c r="D959" s="6">
        <v>1.023E-5</v>
      </c>
      <c r="E959" s="17">
        <v>1.5742573788518724E-4</v>
      </c>
      <c r="F959">
        <f>E959* VLOOKUP(A959,Check!A$2:F$11,4,FALSE)</f>
        <v>302265.5953214941</v>
      </c>
    </row>
    <row r="960" spans="1:6" x14ac:dyDescent="0.2">
      <c r="A960">
        <v>2019</v>
      </c>
      <c r="B960" s="1" t="s">
        <v>172</v>
      </c>
      <c r="C960" s="7">
        <v>424706</v>
      </c>
      <c r="D960" s="6">
        <v>2.0682099999999999E-4</v>
      </c>
      <c r="E960" s="17">
        <v>3.1825807042205985E-3</v>
      </c>
      <c r="F960">
        <f>E960* VLOOKUP(A960,Check!A$2:F$11,4,FALSE)</f>
        <v>6110720.2935362943</v>
      </c>
    </row>
    <row r="961" spans="1:6" x14ac:dyDescent="0.2">
      <c r="A961">
        <v>2019</v>
      </c>
      <c r="B961" s="1" t="s">
        <v>173</v>
      </c>
      <c r="C961" s="7">
        <v>70952</v>
      </c>
      <c r="D961" s="6">
        <v>3.4551999999999997E-5</v>
      </c>
      <c r="E961" s="17">
        <v>5.3168654581253836E-4</v>
      </c>
      <c r="F961">
        <f>E961* VLOOKUP(A961,Check!A$2:F$11,4,FALSE)</f>
        <v>1020865.7901395017</v>
      </c>
    </row>
    <row r="962" spans="1:6" x14ac:dyDescent="0.2">
      <c r="A962">
        <v>2019</v>
      </c>
      <c r="B962" s="1" t="s">
        <v>174</v>
      </c>
      <c r="C962" s="7">
        <v>182613</v>
      </c>
      <c r="D962" s="6">
        <v>8.8928E-5</v>
      </c>
      <c r="E962" s="17">
        <v>1.3684304204316306E-3</v>
      </c>
      <c r="F962">
        <f>E962* VLOOKUP(A962,Check!A$2:F$11,4,FALSE)</f>
        <v>2627457.4999259328</v>
      </c>
    </row>
    <row r="963" spans="1:6" x14ac:dyDescent="0.2">
      <c r="A963">
        <v>2019</v>
      </c>
      <c r="B963" s="1" t="s">
        <v>175</v>
      </c>
      <c r="C963" s="7">
        <v>401711</v>
      </c>
      <c r="D963" s="6">
        <v>1.9562299999999999E-4</v>
      </c>
      <c r="E963" s="17">
        <v>3.0102651652511637E-3</v>
      </c>
      <c r="F963">
        <f>E963* VLOOKUP(A963,Check!A$2:F$11,4,FALSE)</f>
        <v>5779865.506578099</v>
      </c>
    </row>
    <row r="964" spans="1:6" x14ac:dyDescent="0.2">
      <c r="A964">
        <v>2019</v>
      </c>
      <c r="B964" s="1" t="s">
        <v>176</v>
      </c>
      <c r="C964" s="7">
        <v>339139</v>
      </c>
      <c r="D964" s="6">
        <v>1.6515200000000001E-4</v>
      </c>
      <c r="E964" s="17">
        <v>2.5413750628638858E-3</v>
      </c>
      <c r="F964">
        <f>E964* VLOOKUP(A964,Check!A$2:F$11,4,FALSE)</f>
        <v>4879572.1502159266</v>
      </c>
    </row>
    <row r="965" spans="1:6" x14ac:dyDescent="0.2">
      <c r="A965">
        <v>2019</v>
      </c>
      <c r="B965" s="1" t="s">
        <v>177</v>
      </c>
      <c r="C965" s="7">
        <v>34760</v>
      </c>
      <c r="D965" s="6">
        <v>1.6926999999999999E-5</v>
      </c>
      <c r="E965" s="17">
        <v>2.6047784886181971E-4</v>
      </c>
      <c r="F965">
        <f>E965* VLOOKUP(A965,Check!A$2:F$11,4,FALSE)</f>
        <v>500131.00215989794</v>
      </c>
    </row>
    <row r="966" spans="1:6" x14ac:dyDescent="0.2">
      <c r="A966">
        <v>2019</v>
      </c>
      <c r="B966" s="1" t="s">
        <v>231</v>
      </c>
      <c r="C966" s="7">
        <v>1882</v>
      </c>
      <c r="D966" s="6">
        <v>9.16E-7</v>
      </c>
      <c r="E966" s="17">
        <v>1.4102972139181378E-5</v>
      </c>
      <c r="F966">
        <f>E966* VLOOKUP(A966,Check!A$2:F$11,4,FALSE)</f>
        <v>27078.439184836821</v>
      </c>
    </row>
    <row r="967" spans="1:6" x14ac:dyDescent="0.2">
      <c r="A967">
        <v>2019</v>
      </c>
      <c r="B967" s="1" t="s">
        <v>179</v>
      </c>
      <c r="C967" s="7">
        <v>457777</v>
      </c>
      <c r="D967" s="6">
        <v>2.2292500000000001E-4</v>
      </c>
      <c r="E967" s="17">
        <v>3.430401847480358E-3</v>
      </c>
      <c r="F967">
        <f>E967* VLOOKUP(A967,Check!A$2:F$11,4,FALSE)</f>
        <v>6586549.7633990673</v>
      </c>
    </row>
    <row r="968" spans="1:6" x14ac:dyDescent="0.2">
      <c r="A968">
        <v>2019</v>
      </c>
      <c r="B968" s="1" t="s">
        <v>180</v>
      </c>
      <c r="C968" s="7">
        <v>120210</v>
      </c>
      <c r="D968" s="6">
        <v>5.8539000000000003E-5</v>
      </c>
      <c r="E968" s="17">
        <v>9.008067379654588E-4</v>
      </c>
      <c r="F968">
        <f>E968* VLOOKUP(A968,Check!A$2:F$11,4,FALSE)</f>
        <v>1729595.7356053316</v>
      </c>
    </row>
    <row r="969" spans="1:6" x14ac:dyDescent="0.2">
      <c r="A969">
        <v>2019</v>
      </c>
      <c r="B969" s="1" t="s">
        <v>181</v>
      </c>
      <c r="C969" s="7">
        <v>43206</v>
      </c>
      <c r="D969" s="6">
        <v>2.1039999999999998E-5</v>
      </c>
      <c r="E969" s="17">
        <v>3.2376887048112148E-4</v>
      </c>
      <c r="F969">
        <f>E969* VLOOKUP(A969,Check!A$2:F$11,4,FALSE)</f>
        <v>621653.05176411243</v>
      </c>
    </row>
    <row r="970" spans="1:6" x14ac:dyDescent="0.2">
      <c r="A970">
        <v>2019</v>
      </c>
      <c r="B970" s="1" t="s">
        <v>182</v>
      </c>
      <c r="C970" s="7">
        <v>74759</v>
      </c>
      <c r="D970" s="6">
        <v>3.6405999999999997E-5</v>
      </c>
      <c r="E970" s="17">
        <v>5.602147152779281E-4</v>
      </c>
      <c r="F970">
        <f>E970* VLOOKUP(A970,Check!A$2:F$11,4,FALSE)</f>
        <v>1075641.3576085102</v>
      </c>
    </row>
    <row r="971" spans="1:6" x14ac:dyDescent="0.2">
      <c r="A971">
        <v>2019</v>
      </c>
      <c r="B971" s="1" t="s">
        <v>183</v>
      </c>
      <c r="C971" s="7">
        <v>1844557</v>
      </c>
      <c r="D971" s="6">
        <v>8.9825099999999998E-4</v>
      </c>
      <c r="E971" s="17">
        <v>1.3822388937370873E-2</v>
      </c>
      <c r="F971">
        <f>E971* VLOOKUP(A971,Check!A$2:F$11,4,FALSE)</f>
        <v>26539704.86050215</v>
      </c>
    </row>
    <row r="972" spans="1:6" x14ac:dyDescent="0.2">
      <c r="A972">
        <v>2019</v>
      </c>
      <c r="B972" s="1" t="s">
        <v>184</v>
      </c>
      <c r="C972" s="7">
        <v>89374</v>
      </c>
      <c r="D972" s="6">
        <v>4.3523000000000003E-5</v>
      </c>
      <c r="E972" s="17">
        <v>6.6973381082210222E-4</v>
      </c>
      <c r="F972">
        <f>E972* VLOOKUP(A972,Check!A$2:F$11,4,FALSE)</f>
        <v>1285923.7107893762</v>
      </c>
    </row>
    <row r="973" spans="1:6" x14ac:dyDescent="0.2">
      <c r="A973">
        <v>2019</v>
      </c>
      <c r="B973" s="1" t="s">
        <v>185</v>
      </c>
      <c r="C973" s="7">
        <v>11794</v>
      </c>
      <c r="D973" s="6">
        <v>5.7429999999999999E-6</v>
      </c>
      <c r="E973" s="17">
        <v>8.8379624553403381E-5</v>
      </c>
      <c r="F973">
        <f>E973* VLOOKUP(A973,Check!A$2:F$11,4,FALSE)</f>
        <v>169693.47064078928</v>
      </c>
    </row>
    <row r="974" spans="1:6" x14ac:dyDescent="0.2">
      <c r="A974">
        <v>2019</v>
      </c>
      <c r="B974" s="1" t="s">
        <v>186</v>
      </c>
      <c r="C974" s="7">
        <v>542</v>
      </c>
      <c r="D974" s="6">
        <v>2.6399999999999998E-7</v>
      </c>
      <c r="E974" s="17">
        <v>4.0615360783402267E-6</v>
      </c>
      <c r="F974">
        <f>E974* VLOOKUP(A974,Check!A$2:F$11,4,FALSE)</f>
        <v>7798.3602753355772</v>
      </c>
    </row>
    <row r="975" spans="1:6" x14ac:dyDescent="0.2">
      <c r="A975">
        <v>2019</v>
      </c>
      <c r="B975" s="1" t="s">
        <v>187</v>
      </c>
      <c r="C975" s="7">
        <v>72119</v>
      </c>
      <c r="D975" s="6">
        <v>3.5120000000000003E-5</v>
      </c>
      <c r="E975" s="17">
        <v>5.4043158751627084E-4</v>
      </c>
      <c r="F975">
        <f>E975* VLOOKUP(A975,Check!A$2:F$11,4,FALSE)</f>
        <v>1037656.7245330747</v>
      </c>
    </row>
    <row r="976" spans="1:6" x14ac:dyDescent="0.2">
      <c r="A976">
        <v>2019</v>
      </c>
      <c r="B976" s="1" t="s">
        <v>188</v>
      </c>
      <c r="C976" s="7">
        <v>21768</v>
      </c>
      <c r="D976" s="6">
        <v>1.06E-5</v>
      </c>
      <c r="E976" s="17">
        <v>1.631208807256643E-4</v>
      </c>
      <c r="F976">
        <f>E976* VLOOKUP(A976,Check!A$2:F$11,4,FALSE)</f>
        <v>313200.56544927089</v>
      </c>
    </row>
    <row r="977" spans="1:6" x14ac:dyDescent="0.2">
      <c r="A977">
        <v>2019</v>
      </c>
      <c r="B977" s="1" t="s">
        <v>189</v>
      </c>
      <c r="C977" s="7">
        <v>11399</v>
      </c>
      <c r="D977" s="6">
        <v>5.5509999999999999E-6</v>
      </c>
      <c r="E977" s="17">
        <v>8.5419648998155432E-5</v>
      </c>
      <c r="F977">
        <f>E977* VLOOKUP(A977,Check!A$2:F$11,4,FALSE)</f>
        <v>164010.16379806318</v>
      </c>
    </row>
    <row r="978" spans="1:6" x14ac:dyDescent="0.2">
      <c r="A978">
        <v>2019</v>
      </c>
      <c r="B978" s="1" t="s">
        <v>190</v>
      </c>
      <c r="C978" s="7">
        <v>7502</v>
      </c>
      <c r="D978" s="6">
        <v>3.653E-6</v>
      </c>
      <c r="E978" s="17">
        <v>5.6217054722709193E-5</v>
      </c>
      <c r="F978">
        <f>E978* VLOOKUP(A978,Check!A$2:F$11,4,FALSE)</f>
        <v>107939.66565602861</v>
      </c>
    </row>
    <row r="979" spans="1:6" x14ac:dyDescent="0.2">
      <c r="A979">
        <v>2019</v>
      </c>
      <c r="B979" s="1" t="s">
        <v>191</v>
      </c>
      <c r="C979" s="7">
        <v>485324</v>
      </c>
      <c r="D979" s="6">
        <v>2.3634E-4</v>
      </c>
      <c r="E979" s="17">
        <v>3.6368282946206499E-3</v>
      </c>
      <c r="F979">
        <f>E979* VLOOKUP(A979,Check!A$2:F$11,4,FALSE)</f>
        <v>6982899.2661752095</v>
      </c>
    </row>
    <row r="980" spans="1:6" x14ac:dyDescent="0.2">
      <c r="A980">
        <v>2019</v>
      </c>
      <c r="B980" s="1" t="s">
        <v>192</v>
      </c>
      <c r="C980" s="7">
        <v>626065</v>
      </c>
      <c r="D980" s="6">
        <v>3.04877E-4</v>
      </c>
      <c r="E980" s="17">
        <v>4.6914863189779967E-3</v>
      </c>
      <c r="F980">
        <f>E980* VLOOKUP(A980,Check!A$2:F$11,4,FALSE)</f>
        <v>9007897.4645349979</v>
      </c>
    </row>
    <row r="981" spans="1:6" x14ac:dyDescent="0.2">
      <c r="A981">
        <v>2019</v>
      </c>
      <c r="B981" s="1" t="s">
        <v>193</v>
      </c>
      <c r="C981" s="7">
        <v>55838</v>
      </c>
      <c r="D981" s="6">
        <v>2.7192E-5</v>
      </c>
      <c r="E981" s="17">
        <v>4.184281393770509E-4</v>
      </c>
      <c r="F981">
        <f>E981* VLOOKUP(A981,Check!A$2:F$11,4,FALSE)</f>
        <v>803403.76578263461</v>
      </c>
    </row>
    <row r="982" spans="1:6" x14ac:dyDescent="0.2">
      <c r="A982">
        <v>2019</v>
      </c>
      <c r="B982" s="1" t="s">
        <v>194</v>
      </c>
      <c r="C982" s="7">
        <v>4612</v>
      </c>
      <c r="D982" s="6">
        <v>2.2460000000000002E-6</v>
      </c>
      <c r="E982" s="17">
        <v>3.4560524710895069E-5</v>
      </c>
      <c r="F982">
        <f>E982* VLOOKUP(A982,Check!A$2:F$11,4,FALSE)</f>
        <v>66358.00293329831</v>
      </c>
    </row>
    <row r="983" spans="1:6" x14ac:dyDescent="0.2">
      <c r="A983">
        <v>2019</v>
      </c>
      <c r="B983" s="1" t="s">
        <v>195</v>
      </c>
      <c r="C983" s="7">
        <v>856341</v>
      </c>
      <c r="D983" s="6">
        <v>4.1701599999999998E-4</v>
      </c>
      <c r="E983" s="17">
        <v>6.4170846252065462E-3</v>
      </c>
      <c r="F983">
        <f>E983* VLOOKUP(A983,Check!A$2:F$11,4,FALSE)</f>
        <v>12321135.860777017</v>
      </c>
    </row>
    <row r="984" spans="1:6" x14ac:dyDescent="0.2">
      <c r="A984">
        <v>2019</v>
      </c>
      <c r="B984" s="1" t="s">
        <v>196</v>
      </c>
      <c r="C984" s="7">
        <v>530857</v>
      </c>
      <c r="D984" s="6">
        <v>2.5851299999999998E-4</v>
      </c>
      <c r="E984" s="17">
        <v>3.9780347932462318E-3</v>
      </c>
      <c r="F984">
        <f>E984* VLOOKUP(A984,Check!A$2:F$11,4,FALSE)</f>
        <v>7638033.4698963435</v>
      </c>
    </row>
    <row r="985" spans="1:6" x14ac:dyDescent="0.2">
      <c r="A985">
        <v>2019</v>
      </c>
      <c r="B985" s="1" t="s">
        <v>197</v>
      </c>
      <c r="C985" s="7">
        <v>541517</v>
      </c>
      <c r="D985" s="6">
        <v>2.6370499999999998E-4</v>
      </c>
      <c r="E985" s="17">
        <v>4.0579166651929233E-3</v>
      </c>
      <c r="F985">
        <f>E985* VLOOKUP(A985,Check!A$2:F$11,4,FALSE)</f>
        <v>7791410.8140570028</v>
      </c>
    </row>
    <row r="986" spans="1:6" x14ac:dyDescent="0.2">
      <c r="A986">
        <v>2019</v>
      </c>
      <c r="B986" s="1" t="s">
        <v>198</v>
      </c>
      <c r="C986" s="7">
        <v>2787</v>
      </c>
      <c r="D986" s="6">
        <v>1.3570000000000001E-6</v>
      </c>
      <c r="E986" s="17">
        <v>2.0884688284749469E-5</v>
      </c>
      <c r="F986">
        <f>E986* VLOOKUP(A986,Check!A$2:F$11,4,FALSE)</f>
        <v>40099.686508044746</v>
      </c>
    </row>
    <row r="987" spans="1:6" x14ac:dyDescent="0.2">
      <c r="A987">
        <v>2019</v>
      </c>
      <c r="B987" s="1" t="s">
        <v>199</v>
      </c>
      <c r="C987" s="7">
        <v>1448264</v>
      </c>
      <c r="D987" s="6">
        <v>7.0526599999999997E-4</v>
      </c>
      <c r="E987" s="17">
        <v>1.0852724145685111E-2</v>
      </c>
      <c r="F987">
        <f>E987* VLOOKUP(A987,Check!A$2:F$11,4,FALSE)</f>
        <v>20837794.180440228</v>
      </c>
    </row>
    <row r="988" spans="1:6" x14ac:dyDescent="0.2">
      <c r="A988">
        <v>2019</v>
      </c>
      <c r="B988" s="1" t="s">
        <v>200</v>
      </c>
      <c r="C988" s="7">
        <v>9419</v>
      </c>
      <c r="D988" s="6">
        <v>4.5870000000000003E-6</v>
      </c>
      <c r="E988" s="17">
        <v>7.058230317691254E-5</v>
      </c>
      <c r="F988">
        <f>E988* VLOOKUP(A988,Check!A$2:F$11,4,FALSE)</f>
        <v>135521.68899148674</v>
      </c>
    </row>
    <row r="989" spans="1:6" x14ac:dyDescent="0.2">
      <c r="A989">
        <v>2019</v>
      </c>
      <c r="B989" s="1" t="s">
        <v>201</v>
      </c>
      <c r="C989" s="7">
        <v>4849</v>
      </c>
      <c r="D989" s="6">
        <v>2.3609999999999999E-6</v>
      </c>
      <c r="E989" s="17">
        <v>3.6336510044043837E-5</v>
      </c>
      <c r="F989">
        <f>E989* VLOOKUP(A989,Check!A$2:F$11,4,FALSE)</f>
        <v>69767.987038933978</v>
      </c>
    </row>
    <row r="990" spans="1:6" x14ac:dyDescent="0.2">
      <c r="A990">
        <v>2019</v>
      </c>
      <c r="B990" s="1" t="s">
        <v>202</v>
      </c>
      <c r="C990" s="7">
        <v>98970</v>
      </c>
      <c r="D990" s="6">
        <v>4.8195999999999997E-5</v>
      </c>
      <c r="E990" s="17">
        <v>7.4164248279212587E-4</v>
      </c>
      <c r="F990">
        <f>E990* VLOOKUP(A990,Check!A$2:F$11,4,FALSE)</f>
        <v>1423992.0967711478</v>
      </c>
    </row>
    <row r="991" spans="1:6" x14ac:dyDescent="0.2">
      <c r="A991">
        <v>2020</v>
      </c>
      <c r="B991" s="1" t="s">
        <v>5</v>
      </c>
      <c r="C991" s="7">
        <v>33987</v>
      </c>
      <c r="D991" s="6">
        <v>1.5852E-5</v>
      </c>
      <c r="E991" s="17">
        <v>2.3744777740056493E-4</v>
      </c>
      <c r="F991">
        <f>E991* VLOOKUP(A991,Check!A$2:F$11,4,FALSE)</f>
        <v>475115.99443168304</v>
      </c>
    </row>
    <row r="992" spans="1:6" x14ac:dyDescent="0.2">
      <c r="A992">
        <v>2020</v>
      </c>
      <c r="B992" s="1" t="s">
        <v>7</v>
      </c>
      <c r="C992" s="7">
        <v>82099</v>
      </c>
      <c r="D992" s="6">
        <v>3.8291000000000003E-5</v>
      </c>
      <c r="E992" s="17">
        <v>5.7357887065080703E-4</v>
      </c>
      <c r="F992">
        <f>E992* VLOOKUP(A992,Check!A$2:F$11,4,FALSE)</f>
        <v>1147690.235291339</v>
      </c>
    </row>
    <row r="993" spans="1:6" x14ac:dyDescent="0.2">
      <c r="A993">
        <v>2020</v>
      </c>
      <c r="B993" s="1" t="s">
        <v>8</v>
      </c>
      <c r="C993" s="7">
        <v>1476726</v>
      </c>
      <c r="D993" s="6">
        <v>6.8875100000000003E-4</v>
      </c>
      <c r="E993" s="17">
        <v>1.0317042002225163E-2</v>
      </c>
      <c r="F993">
        <f>E993* VLOOKUP(A993,Check!A$2:F$11,4,FALSE)</f>
        <v>20643662.047050975</v>
      </c>
    </row>
    <row r="994" spans="1:6" x14ac:dyDescent="0.2">
      <c r="A994">
        <v>2020</v>
      </c>
      <c r="B994" s="1" t="s">
        <v>203</v>
      </c>
      <c r="C994" s="7">
        <v>340843</v>
      </c>
      <c r="D994" s="6">
        <v>1.5897099999999999E-4</v>
      </c>
      <c r="E994" s="17">
        <v>2.381275569851436E-3</v>
      </c>
      <c r="F994">
        <f>E994* VLOOKUP(A994,Check!A$2:F$11,4,FALSE)</f>
        <v>4764761.8468849305</v>
      </c>
    </row>
    <row r="995" spans="1:6" x14ac:dyDescent="0.2">
      <c r="A995">
        <v>2020</v>
      </c>
      <c r="B995" s="1" t="s">
        <v>9</v>
      </c>
      <c r="C995" s="7">
        <v>2953</v>
      </c>
      <c r="D995" s="6">
        <v>1.3769999999999999E-6</v>
      </c>
      <c r="E995" s="17">
        <v>2.0630926138343137E-5</v>
      </c>
      <c r="F995">
        <f>E995* VLOOKUP(A995,Check!A$2:F$11,4,FALSE)</f>
        <v>41281.005430216253</v>
      </c>
    </row>
    <row r="996" spans="1:6" x14ac:dyDescent="0.2">
      <c r="A996">
        <v>2020</v>
      </c>
      <c r="B996" s="1" t="s">
        <v>10</v>
      </c>
      <c r="C996" s="7">
        <v>38945</v>
      </c>
      <c r="D996" s="6">
        <v>1.8164000000000001E-5</v>
      </c>
      <c r="E996" s="17">
        <v>2.7208649456748169E-4</v>
      </c>
      <c r="F996">
        <f>E996* VLOOKUP(A996,Check!A$2:F$11,4,FALSE)</f>
        <v>544425.58634601149</v>
      </c>
    </row>
    <row r="997" spans="1:6" x14ac:dyDescent="0.2">
      <c r="A997">
        <v>2020</v>
      </c>
      <c r="B997" s="1" t="s">
        <v>11</v>
      </c>
      <c r="C997" s="7">
        <v>582676</v>
      </c>
      <c r="D997" s="6">
        <v>2.7176300000000001E-4</v>
      </c>
      <c r="E997" s="17">
        <v>4.0708247607806388E-3</v>
      </c>
      <c r="F997">
        <f>E997* VLOOKUP(A997,Check!A$2:F$11,4,FALSE)</f>
        <v>8145428.757215268</v>
      </c>
    </row>
    <row r="998" spans="1:6" x14ac:dyDescent="0.2">
      <c r="A998">
        <v>2020</v>
      </c>
      <c r="B998" s="1" t="s">
        <v>12</v>
      </c>
      <c r="C998" s="7">
        <v>59185</v>
      </c>
      <c r="D998" s="6">
        <v>2.7603999999999999E-5</v>
      </c>
      <c r="E998" s="17">
        <v>4.1349182644694841E-4</v>
      </c>
      <c r="F998">
        <f>E998* VLOOKUP(A998,Check!A$2:F$11,4,FALSE)</f>
        <v>827367.52671430714</v>
      </c>
    </row>
    <row r="999" spans="1:6" x14ac:dyDescent="0.2">
      <c r="A999">
        <v>2020</v>
      </c>
      <c r="B999" s="1" t="s">
        <v>13</v>
      </c>
      <c r="C999" s="7">
        <v>11970</v>
      </c>
      <c r="D999" s="6">
        <v>5.5829999999999997E-6</v>
      </c>
      <c r="E999" s="17">
        <v>8.3627560405000797E-5</v>
      </c>
      <c r="F999">
        <f>E999* VLOOKUP(A999,Check!A$2:F$11,4,FALSE)</f>
        <v>167332.75821188235</v>
      </c>
    </row>
    <row r="1000" spans="1:6" x14ac:dyDescent="0.2">
      <c r="A1000">
        <v>2020</v>
      </c>
      <c r="B1000" s="1" t="s">
        <v>14</v>
      </c>
      <c r="C1000" s="7">
        <v>27517</v>
      </c>
      <c r="D1000" s="6">
        <v>1.2833999999999999E-5</v>
      </c>
      <c r="E1000" s="17">
        <v>1.9224557891933225E-4</v>
      </c>
      <c r="F1000">
        <f>E1000* VLOOKUP(A1000,Check!A$2:F$11,4,FALSE)</f>
        <v>384669.63305901142</v>
      </c>
    </row>
    <row r="1001" spans="1:6" x14ac:dyDescent="0.2">
      <c r="A1001">
        <v>2020</v>
      </c>
      <c r="B1001" s="1" t="s">
        <v>15</v>
      </c>
      <c r="C1001" s="7">
        <v>1663063</v>
      </c>
      <c r="D1001" s="6">
        <v>7.7565999999999996E-4</v>
      </c>
      <c r="E1001" s="17">
        <v>1.1618872304914105E-2</v>
      </c>
      <c r="F1001">
        <f>E1001* VLOOKUP(A1001,Check!A$2:F$11,4,FALSE)</f>
        <v>23248531.233928796</v>
      </c>
    </row>
    <row r="1002" spans="1:6" x14ac:dyDescent="0.2">
      <c r="A1002">
        <v>2020</v>
      </c>
      <c r="B1002" s="1" t="s">
        <v>16</v>
      </c>
      <c r="C1002" s="7">
        <v>341931</v>
      </c>
      <c r="D1002" s="6">
        <v>1.5947800000000001E-4</v>
      </c>
      <c r="E1002" s="17">
        <v>2.3888768050829012E-3</v>
      </c>
      <c r="F1002">
        <f>E1002* VLOOKUP(A1002,Check!A$2:F$11,4,FALSE)</f>
        <v>4779971.3741142144</v>
      </c>
    </row>
    <row r="1003" spans="1:6" x14ac:dyDescent="0.2">
      <c r="A1003">
        <v>2020</v>
      </c>
      <c r="B1003" s="1" t="s">
        <v>17</v>
      </c>
      <c r="C1003" s="7">
        <v>41853</v>
      </c>
      <c r="D1003" s="6">
        <v>1.9521000000000002E-5</v>
      </c>
      <c r="E1003" s="17">
        <v>2.9240303138099405E-4</v>
      </c>
      <c r="F1003">
        <f>E1003* VLOOKUP(A1003,Check!A$2:F$11,4,FALSE)</f>
        <v>585077.52125663427</v>
      </c>
    </row>
    <row r="1004" spans="1:6" x14ac:dyDescent="0.2">
      <c r="A1004">
        <v>2020</v>
      </c>
      <c r="B1004" s="1" t="s">
        <v>18</v>
      </c>
      <c r="C1004" s="7">
        <v>2366721</v>
      </c>
      <c r="D1004" s="6">
        <v>1.1038490000000001E-3</v>
      </c>
      <c r="E1004" s="17">
        <v>1.653492927228771E-2</v>
      </c>
      <c r="F1004">
        <f>E1004* VLOOKUP(A1004,Check!A$2:F$11,4,FALSE)</f>
        <v>33085209.093398862</v>
      </c>
    </row>
    <row r="1005" spans="1:6" x14ac:dyDescent="0.2">
      <c r="A1005">
        <v>2020</v>
      </c>
      <c r="B1005" s="1" t="s">
        <v>19</v>
      </c>
      <c r="C1005" s="7">
        <v>70863</v>
      </c>
      <c r="D1005" s="6">
        <v>3.3050999999999999E-5</v>
      </c>
      <c r="E1005" s="17">
        <v>4.9507934945526913E-4</v>
      </c>
      <c r="F1005">
        <f>E1005* VLOOKUP(A1005,Check!A$2:F$11,4,FALSE)</f>
        <v>990618.31622127141</v>
      </c>
    </row>
    <row r="1006" spans="1:6" x14ac:dyDescent="0.2">
      <c r="A1006">
        <v>2020</v>
      </c>
      <c r="B1006" s="1" t="s">
        <v>20</v>
      </c>
      <c r="C1006" s="7">
        <v>26015</v>
      </c>
      <c r="D1006" s="6">
        <v>1.2133000000000001E-5</v>
      </c>
      <c r="E1006" s="17">
        <v>1.8175196189942322E-4</v>
      </c>
      <c r="F1006">
        <f>E1006* VLOOKUP(A1006,Check!A$2:F$11,4,FALSE)</f>
        <v>363672.65704946697</v>
      </c>
    </row>
    <row r="1007" spans="1:6" x14ac:dyDescent="0.2">
      <c r="A1007">
        <v>2020</v>
      </c>
      <c r="B1007" s="1" t="s">
        <v>21</v>
      </c>
      <c r="C1007" s="7">
        <v>7277321</v>
      </c>
      <c r="D1007" s="6">
        <v>3.3941729999999999E-3</v>
      </c>
      <c r="E1007" s="17">
        <v>5.0842489683716026E-2</v>
      </c>
      <c r="F1007">
        <f>E1007* VLOOKUP(A1007,Check!A$2:F$11,4,FALSE)</f>
        <v>101732180.06042221</v>
      </c>
    </row>
    <row r="1008" spans="1:6" x14ac:dyDescent="0.2">
      <c r="A1008">
        <v>2020</v>
      </c>
      <c r="B1008" s="1" t="s">
        <v>205</v>
      </c>
      <c r="C1008" s="7">
        <v>694585</v>
      </c>
      <c r="D1008" s="6">
        <v>3.2395699999999999E-4</v>
      </c>
      <c r="E1008" s="17">
        <v>4.852669093058269E-3</v>
      </c>
      <c r="F1008">
        <f>E1008* VLOOKUP(A1008,Check!A$2:F$11,4,FALSE)</f>
        <v>9709843.2633751296</v>
      </c>
    </row>
    <row r="1009" spans="1:6" x14ac:dyDescent="0.2">
      <c r="A1009">
        <v>2020</v>
      </c>
      <c r="B1009" s="1" t="s">
        <v>206</v>
      </c>
      <c r="C1009" s="7">
        <v>2640694</v>
      </c>
      <c r="D1009" s="6">
        <v>1.231631E-3</v>
      </c>
      <c r="E1009" s="17">
        <v>1.8449022305440533E-2</v>
      </c>
      <c r="F1009">
        <f>E1009* VLOOKUP(A1009,Check!A$2:F$11,4,FALSE)</f>
        <v>36915172.148167789</v>
      </c>
    </row>
    <row r="1010" spans="1:6" x14ac:dyDescent="0.2">
      <c r="A1010">
        <v>2020</v>
      </c>
      <c r="B1010" s="1" t="s">
        <v>25</v>
      </c>
      <c r="C1010" s="7">
        <v>65022</v>
      </c>
      <c r="D1010" s="6">
        <v>3.0326999999999999E-5</v>
      </c>
      <c r="E1010" s="17">
        <v>4.5427161509222738E-4</v>
      </c>
      <c r="F1010">
        <f>E1010* VLOOKUP(A1010,Check!A$2:F$11,4,FALSE)</f>
        <v>908964.9627780295</v>
      </c>
    </row>
    <row r="1011" spans="1:6" x14ac:dyDescent="0.2">
      <c r="A1011">
        <v>2020</v>
      </c>
      <c r="B1011" s="1" t="s">
        <v>26</v>
      </c>
      <c r="C1011" s="7">
        <v>58753</v>
      </c>
      <c r="D1011" s="6">
        <v>2.7402999999999998E-5</v>
      </c>
      <c r="E1011" s="17">
        <v>4.104736889285724E-4</v>
      </c>
      <c r="F1011">
        <f>E1011* VLOOKUP(A1011,Check!A$2:F$11,4,FALSE)</f>
        <v>821328.44972620916</v>
      </c>
    </row>
    <row r="1012" spans="1:6" x14ac:dyDescent="0.2">
      <c r="A1012">
        <v>2020</v>
      </c>
      <c r="B1012" s="1" t="s">
        <v>27</v>
      </c>
      <c r="C1012" s="7">
        <v>12249</v>
      </c>
      <c r="D1012" s="6">
        <v>5.7130000000000002E-6</v>
      </c>
      <c r="E1012" s="17">
        <v>8.5576774218951951E-5</v>
      </c>
      <c r="F1012">
        <f>E1012* VLOOKUP(A1012,Check!A$2:F$11,4,FALSE)</f>
        <v>171232.99543336232</v>
      </c>
    </row>
    <row r="1013" spans="1:6" x14ac:dyDescent="0.2">
      <c r="A1013">
        <v>2020</v>
      </c>
      <c r="B1013" s="1" t="s">
        <v>28</v>
      </c>
      <c r="C1013" s="7">
        <v>369184</v>
      </c>
      <c r="D1013" s="6">
        <v>1.72189E-4</v>
      </c>
      <c r="E1013" s="17">
        <v>2.5792779666298925E-3</v>
      </c>
      <c r="F1013">
        <f>E1013* VLOOKUP(A1013,Check!A$2:F$11,4,FALSE)</f>
        <v>5160950.4601249434</v>
      </c>
    </row>
    <row r="1014" spans="1:6" x14ac:dyDescent="0.2">
      <c r="A1014">
        <v>2020</v>
      </c>
      <c r="B1014" s="1" t="s">
        <v>29</v>
      </c>
      <c r="C1014" s="7">
        <v>97414</v>
      </c>
      <c r="D1014" s="6">
        <v>4.5433999999999999E-5</v>
      </c>
      <c r="E1014" s="17">
        <v>6.8057603753489957E-4</v>
      </c>
      <c r="F1014">
        <f>E1014* VLOOKUP(A1014,Check!A$2:F$11,4,FALSE)</f>
        <v>1361783.9021263414</v>
      </c>
    </row>
    <row r="1015" spans="1:6" x14ac:dyDescent="0.2">
      <c r="A1015">
        <v>2020</v>
      </c>
      <c r="B1015" s="1" t="s">
        <v>229</v>
      </c>
      <c r="C1015" s="7">
        <v>2183</v>
      </c>
      <c r="D1015" s="6">
        <v>1.018E-6</v>
      </c>
      <c r="E1015" s="17">
        <v>1.5251375469015602E-5</v>
      </c>
      <c r="F1015">
        <f>E1015* VLOOKUP(A1015,Check!A$2:F$11,4,FALSE)</f>
        <v>30516.909872726748</v>
      </c>
    </row>
    <row r="1016" spans="1:6" x14ac:dyDescent="0.2">
      <c r="A1016">
        <v>2020</v>
      </c>
      <c r="B1016" s="1" t="s">
        <v>31</v>
      </c>
      <c r="C1016" s="7">
        <v>240723</v>
      </c>
      <c r="D1016" s="6">
        <v>1.12274E-4</v>
      </c>
      <c r="E1016" s="17">
        <v>1.6817942542500424E-3</v>
      </c>
      <c r="F1016">
        <f>E1016* VLOOKUP(A1016,Check!A$2:F$11,4,FALSE)</f>
        <v>3365149.8375136973</v>
      </c>
    </row>
    <row r="1017" spans="1:6" x14ac:dyDescent="0.2">
      <c r="A1017">
        <v>2020</v>
      </c>
      <c r="B1017" s="1" t="s">
        <v>32</v>
      </c>
      <c r="C1017" s="7">
        <v>1472957</v>
      </c>
      <c r="D1017" s="6">
        <v>6.86993E-4</v>
      </c>
      <c r="E1017" s="17">
        <v>1.0290710149663221E-2</v>
      </c>
      <c r="F1017">
        <f>E1017* VLOOKUP(A1017,Check!A$2:F$11,4,FALSE)</f>
        <v>20590973.896198794</v>
      </c>
    </row>
    <row r="1018" spans="1:6" x14ac:dyDescent="0.2">
      <c r="A1018">
        <v>2020</v>
      </c>
      <c r="B1018" s="1" t="s">
        <v>33</v>
      </c>
      <c r="C1018" s="7">
        <v>186108</v>
      </c>
      <c r="D1018" s="6">
        <v>8.6800999999999998E-5</v>
      </c>
      <c r="E1018" s="17">
        <v>1.3002304103470249E-3</v>
      </c>
      <c r="F1018">
        <f>E1018* VLOOKUP(A1018,Check!A$2:F$11,4,FALSE)</f>
        <v>2601667.9169003339</v>
      </c>
    </row>
    <row r="1019" spans="1:6" x14ac:dyDescent="0.2">
      <c r="A1019">
        <v>2020</v>
      </c>
      <c r="B1019" s="1" t="s">
        <v>34</v>
      </c>
      <c r="C1019" s="7">
        <v>1503572</v>
      </c>
      <c r="D1019" s="6">
        <v>7.0127199999999996E-4</v>
      </c>
      <c r="E1019" s="17">
        <v>1.0504599686989797E-2</v>
      </c>
      <c r="F1019">
        <f>E1019* VLOOKUP(A1019,Check!A$2:F$11,4,FALSE)</f>
        <v>21018951.539695602</v>
      </c>
    </row>
    <row r="1020" spans="1:6" x14ac:dyDescent="0.2">
      <c r="A1020">
        <v>2020</v>
      </c>
      <c r="B1020" s="1" t="s">
        <v>35</v>
      </c>
      <c r="C1020" s="7">
        <v>343476</v>
      </c>
      <c r="D1020" s="6">
        <v>1.6019799999999999E-4</v>
      </c>
      <c r="E1020" s="17">
        <v>2.3996708385687596E-3</v>
      </c>
      <c r="F1020">
        <f>E1020* VLOOKUP(A1020,Check!A$2:F$11,4,FALSE)</f>
        <v>4801569.4619535925</v>
      </c>
    </row>
    <row r="1021" spans="1:6" x14ac:dyDescent="0.2">
      <c r="A1021">
        <v>2020</v>
      </c>
      <c r="B1021" s="1" t="s">
        <v>36</v>
      </c>
      <c r="C1021" s="7">
        <v>568094</v>
      </c>
      <c r="D1021" s="6">
        <v>2.6496100000000003E-4</v>
      </c>
      <c r="E1021" s="17">
        <v>3.9689486466765681E-3</v>
      </c>
      <c r="F1021">
        <f>E1021* VLOOKUP(A1021,Check!A$2:F$11,4,FALSE)</f>
        <v>7941581.9501772001</v>
      </c>
    </row>
    <row r="1022" spans="1:6" x14ac:dyDescent="0.2">
      <c r="A1022">
        <v>2020</v>
      </c>
      <c r="B1022" s="1" t="s">
        <v>37</v>
      </c>
      <c r="C1022" s="7" t="s">
        <v>6</v>
      </c>
      <c r="D1022" s="6">
        <v>0</v>
      </c>
      <c r="F1022">
        <f>E1022* VLOOKUP(A1022,Check!A$2:F$11,4,FALSE)</f>
        <v>0</v>
      </c>
    </row>
    <row r="1023" spans="1:6" x14ac:dyDescent="0.2">
      <c r="A1023">
        <v>2020</v>
      </c>
      <c r="B1023" s="1" t="s">
        <v>38</v>
      </c>
      <c r="C1023" s="7">
        <v>22898</v>
      </c>
      <c r="D1023" s="6">
        <v>1.0679999999999999E-5</v>
      </c>
      <c r="E1023" s="17">
        <v>1.5997526133280771E-4</v>
      </c>
      <c r="F1023">
        <f>E1023* VLOOKUP(A1023,Check!A$2:F$11,4,FALSE)</f>
        <v>320099.03905895422</v>
      </c>
    </row>
    <row r="1024" spans="1:6" x14ac:dyDescent="0.2">
      <c r="A1024">
        <v>2020</v>
      </c>
      <c r="B1024" s="1" t="s">
        <v>39</v>
      </c>
      <c r="C1024" s="7">
        <v>548891</v>
      </c>
      <c r="D1024" s="6">
        <v>2.5600500000000001E-4</v>
      </c>
      <c r="E1024" s="17">
        <v>3.8347882421270922E-3</v>
      </c>
      <c r="F1024">
        <f>E1024* VLOOKUP(A1024,Check!A$2:F$11,4,FALSE)</f>
        <v>7673136.5904493164</v>
      </c>
    </row>
    <row r="1025" spans="1:6" x14ac:dyDescent="0.2">
      <c r="A1025">
        <v>2020</v>
      </c>
      <c r="B1025" s="1" t="s">
        <v>40</v>
      </c>
      <c r="C1025" s="7">
        <v>26620</v>
      </c>
      <c r="D1025" s="6">
        <v>1.2415999999999999E-5</v>
      </c>
      <c r="E1025" s="17">
        <v>1.8597875171103771E-4</v>
      </c>
      <c r="F1025">
        <f>E1025* VLOOKUP(A1025,Check!A$2:F$11,4,FALSE)</f>
        <v>372130.16070178017</v>
      </c>
    </row>
    <row r="1026" spans="1:6" x14ac:dyDescent="0.2">
      <c r="A1026">
        <v>2020</v>
      </c>
      <c r="B1026" s="1" t="s">
        <v>207</v>
      </c>
      <c r="C1026" s="7">
        <v>532072</v>
      </c>
      <c r="D1026" s="6">
        <v>2.48161E-4</v>
      </c>
      <c r="E1026" s="17">
        <v>3.7172834853642094E-3</v>
      </c>
      <c r="F1026">
        <f>E1026* VLOOKUP(A1026,Check!A$2:F$11,4,FALSE)</f>
        <v>7438017.9889150094</v>
      </c>
    </row>
    <row r="1027" spans="1:6" x14ac:dyDescent="0.2">
      <c r="A1027">
        <v>2020</v>
      </c>
      <c r="B1027" s="1" t="s">
        <v>42</v>
      </c>
      <c r="C1027" s="7">
        <v>31922</v>
      </c>
      <c r="D1027" s="6">
        <v>1.4888999999999999E-5</v>
      </c>
      <c r="E1027" s="17">
        <v>2.2302080060555016E-4</v>
      </c>
      <c r="F1027">
        <f>E1027* VLOOKUP(A1027,Check!A$2:F$11,4,FALSE)</f>
        <v>446248.64725477929</v>
      </c>
    </row>
    <row r="1028" spans="1:6" x14ac:dyDescent="0.2">
      <c r="A1028">
        <v>2020</v>
      </c>
      <c r="B1028" s="1" t="s">
        <v>43</v>
      </c>
      <c r="C1028" s="7">
        <v>82858</v>
      </c>
      <c r="D1028" s="6">
        <v>3.8645E-5</v>
      </c>
      <c r="E1028" s="17">
        <v>5.7888157059628707E-4</v>
      </c>
      <c r="F1028">
        <f>E1028* VLOOKUP(A1028,Check!A$2:F$11,4,FALSE)</f>
        <v>1158300.5580551501</v>
      </c>
    </row>
    <row r="1029" spans="1:6" x14ac:dyDescent="0.2">
      <c r="A1029">
        <v>2020</v>
      </c>
      <c r="B1029" s="1" t="s">
        <v>44</v>
      </c>
      <c r="C1029" s="7">
        <v>1900389</v>
      </c>
      <c r="D1029" s="6">
        <v>8.8635000000000005E-4</v>
      </c>
      <c r="E1029" s="17">
        <v>1.3276933658354141E-2</v>
      </c>
      <c r="F1029">
        <f>E1029* VLOOKUP(A1029,Check!A$2:F$11,4,FALSE)</f>
        <v>26566193.236885622</v>
      </c>
    </row>
    <row r="1030" spans="1:6" x14ac:dyDescent="0.2">
      <c r="A1030">
        <v>2020</v>
      </c>
      <c r="B1030" s="1" t="s">
        <v>45</v>
      </c>
      <c r="C1030" s="7">
        <v>27566</v>
      </c>
      <c r="D1030" s="6">
        <v>1.2857000000000001E-5</v>
      </c>
      <c r="E1030" s="17">
        <v>1.9258791396192581E-4</v>
      </c>
      <c r="F1030">
        <f>E1030* VLOOKUP(A1030,Check!A$2:F$11,4,FALSE)</f>
        <v>385354.62095812435</v>
      </c>
    </row>
    <row r="1031" spans="1:6" x14ac:dyDescent="0.2">
      <c r="A1031">
        <v>2020</v>
      </c>
      <c r="B1031" s="1" t="s">
        <v>46</v>
      </c>
      <c r="C1031" s="7">
        <v>39623</v>
      </c>
      <c r="D1031" s="6">
        <v>1.8479999999999999E-5</v>
      </c>
      <c r="E1031" s="17">
        <v>2.768232937282662E-4</v>
      </c>
      <c r="F1031">
        <f>E1031* VLOOKUP(A1031,Check!A$2:F$11,4,FALSE)</f>
        <v>553903.58217455423</v>
      </c>
    </row>
    <row r="1032" spans="1:6" x14ac:dyDescent="0.2">
      <c r="A1032">
        <v>2020</v>
      </c>
      <c r="B1032" s="1" t="s">
        <v>47</v>
      </c>
      <c r="C1032" s="7">
        <v>1795296</v>
      </c>
      <c r="D1032" s="6">
        <v>8.3733400000000002E-4</v>
      </c>
      <c r="E1032" s="17">
        <v>1.254270882914422E-2</v>
      </c>
      <c r="F1032">
        <f>E1032* VLOOKUP(A1032,Check!A$2:F$11,4,FALSE)</f>
        <v>25097061.945426863</v>
      </c>
    </row>
    <row r="1033" spans="1:6" x14ac:dyDescent="0.2">
      <c r="A1033">
        <v>2020</v>
      </c>
      <c r="B1033" s="1" t="s">
        <v>48</v>
      </c>
      <c r="C1033" s="7">
        <v>48237</v>
      </c>
      <c r="D1033" s="6">
        <v>2.2498E-5</v>
      </c>
      <c r="E1033" s="17">
        <v>3.3700439693032776E-4</v>
      </c>
      <c r="F1033">
        <f>E1033* VLOOKUP(A1033,Check!A$2:F$11,4,FALSE)</f>
        <v>674321.65896963817</v>
      </c>
    </row>
    <row r="1034" spans="1:6" x14ac:dyDescent="0.2">
      <c r="A1034">
        <v>2020</v>
      </c>
      <c r="B1034" s="1" t="s">
        <v>49</v>
      </c>
      <c r="C1034" s="7">
        <v>27192</v>
      </c>
      <c r="D1034" s="6">
        <v>1.2682E-5</v>
      </c>
      <c r="E1034" s="17">
        <v>1.8997498935110959E-4</v>
      </c>
      <c r="F1034">
        <f>E1034* VLOOKUP(A1034,Check!A$2:F$11,4,FALSE)</f>
        <v>380126.34597305808</v>
      </c>
    </row>
    <row r="1035" spans="1:6" x14ac:dyDescent="0.2">
      <c r="A1035">
        <v>2020</v>
      </c>
      <c r="B1035" s="1" t="s">
        <v>50</v>
      </c>
      <c r="C1035" s="7">
        <v>1167926</v>
      </c>
      <c r="D1035" s="6">
        <v>5.4472600000000004E-4</v>
      </c>
      <c r="E1035" s="17">
        <v>8.1596325909416012E-3</v>
      </c>
      <c r="F1035">
        <f>E1035* VLOOKUP(A1035,Check!A$2:F$11,4,FALSE)</f>
        <v>16326840.348151287</v>
      </c>
    </row>
    <row r="1036" spans="1:6" x14ac:dyDescent="0.2">
      <c r="A1036">
        <v>2020</v>
      </c>
      <c r="B1036" s="1" t="s">
        <v>51</v>
      </c>
      <c r="C1036" s="7">
        <v>92189</v>
      </c>
      <c r="D1036" s="6">
        <v>4.2997000000000002E-5</v>
      </c>
      <c r="E1036" s="17">
        <v>6.4407194370731983E-4</v>
      </c>
      <c r="F1036">
        <f>E1036* VLOOKUP(A1036,Check!A$2:F$11,4,FALSE)</f>
        <v>1288741.8251290913</v>
      </c>
    </row>
    <row r="1037" spans="1:6" x14ac:dyDescent="0.2">
      <c r="A1037">
        <v>2020</v>
      </c>
      <c r="B1037" s="1" t="s">
        <v>52</v>
      </c>
      <c r="C1037" s="7">
        <v>22668</v>
      </c>
      <c r="D1037" s="6">
        <v>1.0572E-5</v>
      </c>
      <c r="E1037" s="17">
        <v>1.5836838256145014E-4</v>
      </c>
      <c r="F1037">
        <f>E1037* VLOOKUP(A1037,Check!A$2:F$11,4,FALSE)</f>
        <v>316883.78973658726</v>
      </c>
    </row>
    <row r="1038" spans="1:6" x14ac:dyDescent="0.2">
      <c r="A1038">
        <v>2020</v>
      </c>
      <c r="B1038" s="1" t="s">
        <v>53</v>
      </c>
      <c r="C1038" s="7" t="s">
        <v>6</v>
      </c>
      <c r="D1038" s="6">
        <v>0</v>
      </c>
      <c r="F1038">
        <f>E1038* VLOOKUP(A1038,Check!A$2:F$11,4,FALSE)</f>
        <v>0</v>
      </c>
    </row>
    <row r="1039" spans="1:6" x14ac:dyDescent="0.2">
      <c r="A1039">
        <v>2020</v>
      </c>
      <c r="B1039" s="1" t="s">
        <v>54</v>
      </c>
      <c r="C1039" s="7">
        <v>140650</v>
      </c>
      <c r="D1039" s="6">
        <v>6.5599999999999995E-5</v>
      </c>
      <c r="E1039" s="17">
        <v>9.82641300832361E-4</v>
      </c>
      <c r="F1039">
        <f>E1039* VLOOKUP(A1039,Check!A$2:F$11,4,FALSE)</f>
        <v>1966194.857351817</v>
      </c>
    </row>
    <row r="1040" spans="1:6" x14ac:dyDescent="0.2">
      <c r="A1040">
        <v>2020</v>
      </c>
      <c r="B1040" s="1" t="s">
        <v>55</v>
      </c>
      <c r="C1040" s="7">
        <v>104890</v>
      </c>
      <c r="D1040" s="6">
        <v>4.8921000000000001E-5</v>
      </c>
      <c r="E1040" s="17">
        <v>7.3280658403346148E-4</v>
      </c>
      <c r="F1040">
        <f>E1040* VLOOKUP(A1040,Check!A$2:F$11,4,FALSE)</f>
        <v>1466293.4844481486</v>
      </c>
    </row>
    <row r="1041" spans="1:6" x14ac:dyDescent="0.2">
      <c r="A1041">
        <v>2020</v>
      </c>
      <c r="B1041" s="1" t="s">
        <v>56</v>
      </c>
      <c r="C1041" s="7">
        <v>173996</v>
      </c>
      <c r="D1041" s="6">
        <v>8.1153E-5</v>
      </c>
      <c r="E1041" s="17">
        <v>1.2156107769614468E-3</v>
      </c>
      <c r="F1041">
        <f>E1041* VLOOKUP(A1041,Check!A$2:F$11,4,FALSE)</f>
        <v>2432350.0917155119</v>
      </c>
    </row>
    <row r="1042" spans="1:6" x14ac:dyDescent="0.2">
      <c r="A1042">
        <v>2020</v>
      </c>
      <c r="B1042" s="1" t="s">
        <v>232</v>
      </c>
      <c r="C1042" s="7">
        <v>145125</v>
      </c>
      <c r="D1042" s="6">
        <v>6.7687000000000004E-5</v>
      </c>
      <c r="E1042" s="17">
        <v>1.0139055725794271E-3</v>
      </c>
      <c r="F1042">
        <f>E1042* VLOOKUP(A1042,Check!A$2:F$11,4,FALSE)</f>
        <v>2028752.4256891753</v>
      </c>
    </row>
    <row r="1043" spans="1:6" x14ac:dyDescent="0.2">
      <c r="A1043">
        <v>2020</v>
      </c>
      <c r="B1043" s="1" t="s">
        <v>57</v>
      </c>
      <c r="C1043" s="7">
        <v>4470</v>
      </c>
      <c r="D1043" s="6">
        <v>2.0849999999999999E-6</v>
      </c>
      <c r="E1043" s="17">
        <v>3.1229339599862454E-5</v>
      </c>
      <c r="F1043">
        <f>E1043* VLOOKUP(A1043,Check!A$2:F$11,4,FALSE)</f>
        <v>62487.671612958569</v>
      </c>
    </row>
    <row r="1044" spans="1:6" x14ac:dyDescent="0.2">
      <c r="A1044">
        <v>2020</v>
      </c>
      <c r="B1044" s="1" t="s">
        <v>58</v>
      </c>
      <c r="C1044" s="7">
        <v>246373</v>
      </c>
      <c r="D1044" s="6">
        <v>1.1490899999999999E-4</v>
      </c>
      <c r="E1044" s="17">
        <v>1.7212675805899132E-3</v>
      </c>
      <c r="F1044">
        <f>E1044* VLOOKUP(A1044,Check!A$2:F$11,4,FALSE)</f>
        <v>3444133.1360848863</v>
      </c>
    </row>
    <row r="1045" spans="1:6" x14ac:dyDescent="0.2">
      <c r="A1045">
        <v>2020</v>
      </c>
      <c r="B1045" s="1" t="s">
        <v>59</v>
      </c>
      <c r="C1045" s="7">
        <v>370183</v>
      </c>
      <c r="D1045" s="6">
        <v>1.7265499999999999E-4</v>
      </c>
      <c r="E1045" s="17">
        <v>2.5862574096411372E-3</v>
      </c>
      <c r="F1045">
        <f>E1045* VLOOKUP(A1045,Check!A$2:F$11,4,FALSE)</f>
        <v>5174915.8256599205</v>
      </c>
    </row>
    <row r="1046" spans="1:6" x14ac:dyDescent="0.2">
      <c r="A1046">
        <v>2020</v>
      </c>
      <c r="B1046" s="1" t="s">
        <v>60</v>
      </c>
      <c r="C1046" s="7">
        <v>75405</v>
      </c>
      <c r="D1046" s="6">
        <v>3.5169000000000002E-5</v>
      </c>
      <c r="E1046" s="17">
        <v>5.2681171197486098E-4</v>
      </c>
      <c r="F1046">
        <f>E1046* VLOOKUP(A1046,Check!A$2:F$11,4,FALSE)</f>
        <v>1054112.5006655797</v>
      </c>
    </row>
    <row r="1047" spans="1:6" x14ac:dyDescent="0.2">
      <c r="A1047">
        <v>2020</v>
      </c>
      <c r="B1047" s="1" t="s">
        <v>61</v>
      </c>
      <c r="C1047" s="7">
        <v>40496</v>
      </c>
      <c r="D1047" s="6">
        <v>1.8887000000000001E-5</v>
      </c>
      <c r="E1047" s="17">
        <v>2.8292244662998431E-4</v>
      </c>
      <c r="F1047">
        <f>E1047* VLOOKUP(A1047,Check!A$2:F$11,4,FALSE)</f>
        <v>566107.55025466892</v>
      </c>
    </row>
    <row r="1048" spans="1:6" x14ac:dyDescent="0.2">
      <c r="A1048">
        <v>2020</v>
      </c>
      <c r="B1048" s="1" t="s">
        <v>209</v>
      </c>
      <c r="C1048" s="7">
        <v>709744</v>
      </c>
      <c r="D1048" s="6">
        <v>3.3102799999999998E-4</v>
      </c>
      <c r="E1048" s="17">
        <v>4.9585763769496149E-3</v>
      </c>
      <c r="F1048">
        <f>E1048* VLOOKUP(A1048,Check!A$2:F$11,4,FALSE)</f>
        <v>9921756.1524088755</v>
      </c>
    </row>
    <row r="1049" spans="1:6" x14ac:dyDescent="0.2">
      <c r="A1049">
        <v>2020</v>
      </c>
      <c r="B1049" s="1" t="s">
        <v>63</v>
      </c>
      <c r="C1049" s="7">
        <v>1186772</v>
      </c>
      <c r="D1049" s="6">
        <v>5.5351599999999999E-4</v>
      </c>
      <c r="E1049" s="17">
        <v>8.2912988401807521E-3</v>
      </c>
      <c r="F1049">
        <f>E1049* VLOOKUP(A1049,Check!A$2:F$11,4,FALSE)</f>
        <v>16590295.081757061</v>
      </c>
    </row>
    <row r="1050" spans="1:6" x14ac:dyDescent="0.2">
      <c r="A1050">
        <v>2020</v>
      </c>
      <c r="B1050" s="1" t="s">
        <v>64</v>
      </c>
      <c r="C1050" s="7">
        <v>292726</v>
      </c>
      <c r="D1050" s="6">
        <v>1.3652900000000001E-4</v>
      </c>
      <c r="E1050" s="17">
        <v>2.0451095444539904E-3</v>
      </c>
      <c r="F1050">
        <f>E1050* VLOOKUP(A1050,Check!A$2:F$11,4,FALSE)</f>
        <v>4092117.7093008752</v>
      </c>
    </row>
    <row r="1051" spans="1:6" x14ac:dyDescent="0.2">
      <c r="A1051">
        <v>2020</v>
      </c>
      <c r="B1051" s="1" t="s">
        <v>65</v>
      </c>
      <c r="C1051" s="7">
        <v>194689</v>
      </c>
      <c r="D1051" s="6">
        <v>9.0803999999999993E-5</v>
      </c>
      <c r="E1051" s="17">
        <v>1.3601809613775439E-3</v>
      </c>
      <c r="F1051">
        <f>E1051* VLOOKUP(A1051,Check!A$2:F$11,4,FALSE)</f>
        <v>2721624.6753143826</v>
      </c>
    </row>
    <row r="1052" spans="1:6" x14ac:dyDescent="0.2">
      <c r="A1052">
        <v>2020</v>
      </c>
      <c r="B1052" s="1" t="s">
        <v>66</v>
      </c>
      <c r="C1052" s="7">
        <v>791207</v>
      </c>
      <c r="D1052" s="6">
        <v>3.6902199999999999E-4</v>
      </c>
      <c r="E1052" s="17">
        <v>5.5277118784761462E-3</v>
      </c>
      <c r="F1052">
        <f>E1052* VLOOKUP(A1052,Check!A$2:F$11,4,FALSE)</f>
        <v>11060555.524356626</v>
      </c>
    </row>
    <row r="1053" spans="1:6" x14ac:dyDescent="0.2">
      <c r="A1053">
        <v>2020</v>
      </c>
      <c r="B1053" s="1" t="s">
        <v>67</v>
      </c>
      <c r="C1053" s="7">
        <v>569778</v>
      </c>
      <c r="D1053" s="6">
        <v>2.6574699999999999E-4</v>
      </c>
      <c r="E1053" s="17">
        <v>3.980713793854682E-3</v>
      </c>
      <c r="F1053">
        <f>E1053* VLOOKUP(A1053,Check!A$2:F$11,4,FALSE)</f>
        <v>7965123.1669548787</v>
      </c>
    </row>
    <row r="1054" spans="1:6" x14ac:dyDescent="0.2">
      <c r="A1054">
        <v>2020</v>
      </c>
      <c r="B1054" s="1" t="s">
        <v>68</v>
      </c>
      <c r="C1054" s="7">
        <v>28777</v>
      </c>
      <c r="D1054" s="6">
        <v>1.3422E-5</v>
      </c>
      <c r="E1054" s="17">
        <v>2.0104848001459549E-4</v>
      </c>
      <c r="F1054">
        <f>E1054* VLOOKUP(A1054,Check!A$2:F$11,4,FALSE)</f>
        <v>402283.60760763061</v>
      </c>
    </row>
    <row r="1055" spans="1:6" x14ac:dyDescent="0.2">
      <c r="A1055">
        <v>2020</v>
      </c>
      <c r="B1055" s="1" t="s">
        <v>69</v>
      </c>
      <c r="C1055" s="7">
        <v>433918</v>
      </c>
      <c r="D1055" s="6">
        <v>2.0238100000000001E-4</v>
      </c>
      <c r="E1055" s="17">
        <v>3.0315374900432026E-3</v>
      </c>
      <c r="F1055">
        <f>E1055* VLOOKUP(A1055,Check!A$2:F$11,4,FALSE)</f>
        <v>6065889.3715775739</v>
      </c>
    </row>
    <row r="1056" spans="1:6" x14ac:dyDescent="0.2">
      <c r="A1056">
        <v>2020</v>
      </c>
      <c r="B1056" s="1" t="s">
        <v>70</v>
      </c>
      <c r="C1056" s="7">
        <v>160497</v>
      </c>
      <c r="D1056" s="6">
        <v>7.4856000000000003E-5</v>
      </c>
      <c r="E1056" s="17">
        <v>1.1213009659416385E-3</v>
      </c>
      <c r="F1056">
        <f>E1056* VLOOKUP(A1056,Check!A$2:F$11,4,FALSE)</f>
        <v>2243642.9151823292</v>
      </c>
    </row>
    <row r="1057" spans="1:6" x14ac:dyDescent="0.2">
      <c r="A1057">
        <v>2020</v>
      </c>
      <c r="B1057" s="1" t="s">
        <v>71</v>
      </c>
      <c r="C1057" s="7">
        <v>10541</v>
      </c>
      <c r="D1057" s="6">
        <v>4.916E-6</v>
      </c>
      <c r="E1057" s="17">
        <v>7.3643952734261776E-5</v>
      </c>
      <c r="F1057">
        <f>E1057* VLOOKUP(A1057,Check!A$2:F$11,4,FALSE)</f>
        <v>147356.27437856741</v>
      </c>
    </row>
    <row r="1058" spans="1:6" x14ac:dyDescent="0.2">
      <c r="A1058">
        <v>2020</v>
      </c>
      <c r="B1058" s="1" t="s">
        <v>72</v>
      </c>
      <c r="C1058" s="7">
        <v>40289</v>
      </c>
      <c r="D1058" s="6">
        <v>1.8791E-5</v>
      </c>
      <c r="E1058" s="17">
        <v>2.814762557357625E-4</v>
      </c>
      <c r="F1058">
        <f>E1058* VLOOKUP(A1058,Check!A$2:F$11,4,FALSE)</f>
        <v>563213.82586453867</v>
      </c>
    </row>
    <row r="1059" spans="1:6" x14ac:dyDescent="0.2">
      <c r="A1059">
        <v>2020</v>
      </c>
      <c r="B1059" s="1" t="s">
        <v>73</v>
      </c>
      <c r="C1059" s="7">
        <v>18860</v>
      </c>
      <c r="D1059" s="6">
        <v>8.7960000000000001E-6</v>
      </c>
      <c r="E1059" s="17">
        <v>1.3176405925132122E-4</v>
      </c>
      <c r="F1059">
        <f>E1059* VLOOKUP(A1059,Check!A$2:F$11,4,FALSE)</f>
        <v>263650.44443409366</v>
      </c>
    </row>
    <row r="1060" spans="1:6" x14ac:dyDescent="0.2">
      <c r="A1060">
        <v>2020</v>
      </c>
      <c r="B1060" s="1" t="s">
        <v>74</v>
      </c>
      <c r="C1060" s="7">
        <v>7030</v>
      </c>
      <c r="D1060" s="6">
        <v>3.2789999999999999E-6</v>
      </c>
      <c r="E1060" s="17">
        <v>4.9114598968016344E-5</v>
      </c>
      <c r="F1060">
        <f>E1060* VLOOKUP(A1060,Check!A$2:F$11,4,FALSE)</f>
        <v>98274.794505391226</v>
      </c>
    </row>
    <row r="1061" spans="1:6" x14ac:dyDescent="0.2">
      <c r="A1061">
        <v>2020</v>
      </c>
      <c r="B1061" s="1" t="s">
        <v>75</v>
      </c>
      <c r="C1061" s="7">
        <v>65277</v>
      </c>
      <c r="D1061" s="6">
        <v>3.0446E-5</v>
      </c>
      <c r="E1061" s="17">
        <v>4.560531545996021E-4</v>
      </c>
      <c r="F1061">
        <f>E1061* VLOOKUP(A1061,Check!A$2:F$11,4,FALSE)</f>
        <v>912529.69572239299</v>
      </c>
    </row>
    <row r="1062" spans="1:6" x14ac:dyDescent="0.2">
      <c r="A1062">
        <v>2020</v>
      </c>
      <c r="B1062" s="1" t="s">
        <v>76</v>
      </c>
      <c r="C1062" s="7">
        <v>102095</v>
      </c>
      <c r="D1062" s="6">
        <v>4.7617999999999997E-5</v>
      </c>
      <c r="E1062" s="17">
        <v>7.1327951374674657E-4</v>
      </c>
      <c r="F1062">
        <f>E1062* VLOOKUP(A1062,Check!A$2:F$11,4,FALSE)</f>
        <v>1427221.2155089497</v>
      </c>
    </row>
    <row r="1063" spans="1:6" x14ac:dyDescent="0.2">
      <c r="A1063">
        <v>2020</v>
      </c>
      <c r="B1063" s="1" t="s">
        <v>77</v>
      </c>
      <c r="C1063" s="7">
        <v>11969</v>
      </c>
      <c r="D1063" s="6">
        <v>5.5820000000000001E-6</v>
      </c>
      <c r="E1063" s="17">
        <v>8.3620573975560117E-5</v>
      </c>
      <c r="F1063">
        <f>E1063* VLOOKUP(A1063,Check!A$2:F$11,4,FALSE)</f>
        <v>167318.77886700249</v>
      </c>
    </row>
    <row r="1064" spans="1:6" x14ac:dyDescent="0.2">
      <c r="A1064">
        <v>2020</v>
      </c>
      <c r="B1064" s="1" t="s">
        <v>78</v>
      </c>
      <c r="C1064" s="7">
        <v>4429239</v>
      </c>
      <c r="D1064" s="6">
        <v>2.0658159999999998E-3</v>
      </c>
      <c r="E1064" s="17">
        <v>3.0944565749430688E-2</v>
      </c>
      <c r="F1064">
        <f>E1064* VLOOKUP(A1064,Check!A$2:F$11,4,FALSE)</f>
        <v>61917859.53631074</v>
      </c>
    </row>
    <row r="1065" spans="1:6" x14ac:dyDescent="0.2">
      <c r="A1065">
        <v>2020</v>
      </c>
      <c r="B1065" s="1" t="s">
        <v>79</v>
      </c>
      <c r="C1065" s="7">
        <v>168757</v>
      </c>
      <c r="D1065" s="6">
        <v>7.8708999999999995E-5</v>
      </c>
      <c r="E1065" s="17">
        <v>1.1790088731216976E-3</v>
      </c>
      <c r="F1065">
        <f>E1065* VLOOKUP(A1065,Check!A$2:F$11,4,FALSE)</f>
        <v>2359112.3038899442</v>
      </c>
    </row>
    <row r="1066" spans="1:6" x14ac:dyDescent="0.2">
      <c r="A1066">
        <v>2020</v>
      </c>
      <c r="B1066" s="1" t="s">
        <v>80</v>
      </c>
      <c r="C1066" s="7">
        <v>108500</v>
      </c>
      <c r="D1066" s="6">
        <v>5.0605000000000001E-5</v>
      </c>
      <c r="E1066" s="17">
        <v>7.5802759431433471E-4</v>
      </c>
      <c r="F1066">
        <f>E1066* VLOOKUP(A1066,Check!A$2:F$11,4,FALSE)</f>
        <v>1516758.9194644305</v>
      </c>
    </row>
    <row r="1067" spans="1:6" x14ac:dyDescent="0.2">
      <c r="A1067">
        <v>2020</v>
      </c>
      <c r="B1067" s="1" t="s">
        <v>81</v>
      </c>
      <c r="C1067" s="7">
        <v>146512</v>
      </c>
      <c r="D1067" s="6">
        <v>6.8334E-5</v>
      </c>
      <c r="E1067" s="17">
        <v>1.0235957502136572E-3</v>
      </c>
      <c r="F1067">
        <f>E1067* VLOOKUP(A1067,Check!A$2:F$11,4,FALSE)</f>
        <v>2048141.777037536</v>
      </c>
    </row>
    <row r="1068" spans="1:6" x14ac:dyDescent="0.2">
      <c r="A1068">
        <v>2020</v>
      </c>
      <c r="B1068" s="1" t="s">
        <v>82</v>
      </c>
      <c r="C1068" s="7">
        <v>3324</v>
      </c>
      <c r="D1068" s="6">
        <v>1.55E-6</v>
      </c>
      <c r="E1068" s="17">
        <v>2.3222891460837314E-5</v>
      </c>
      <c r="F1068">
        <f>E1068* VLOOKUP(A1068,Check!A$2:F$11,4,FALSE)</f>
        <v>46467.342380643015</v>
      </c>
    </row>
    <row r="1069" spans="1:6" x14ac:dyDescent="0.2">
      <c r="A1069">
        <v>2020</v>
      </c>
      <c r="B1069" s="1" t="s">
        <v>83</v>
      </c>
      <c r="C1069" s="7">
        <v>420881</v>
      </c>
      <c r="D1069" s="6">
        <v>1.9630099999999999E-4</v>
      </c>
      <c r="E1069" s="17">
        <v>2.9404554094249911E-3</v>
      </c>
      <c r="F1069">
        <f>E1069* VLOOKUP(A1069,Check!A$2:F$11,4,FALSE)</f>
        <v>5883640.6523788851</v>
      </c>
    </row>
    <row r="1070" spans="1:6" x14ac:dyDescent="0.2">
      <c r="A1070">
        <v>2020</v>
      </c>
      <c r="B1070" s="1" t="s">
        <v>84</v>
      </c>
      <c r="C1070" s="7">
        <v>24365</v>
      </c>
      <c r="D1070" s="6">
        <v>1.1364E-5</v>
      </c>
      <c r="E1070" s="17">
        <v>1.7022435332229277E-4</v>
      </c>
      <c r="F1070">
        <f>E1070* VLOOKUP(A1070,Check!A$2:F$11,4,FALSE)</f>
        <v>340606.73799770372</v>
      </c>
    </row>
    <row r="1071" spans="1:6" x14ac:dyDescent="0.2">
      <c r="A1071">
        <v>2020</v>
      </c>
      <c r="B1071" s="1" t="s">
        <v>85</v>
      </c>
      <c r="C1071" s="7">
        <v>352126</v>
      </c>
      <c r="D1071" s="6">
        <v>1.6423300000000001E-4</v>
      </c>
      <c r="E1071" s="17">
        <v>2.460103453230686E-3</v>
      </c>
      <c r="F1071">
        <f>E1071* VLOOKUP(A1071,Check!A$2:F$11,4,FALSE)</f>
        <v>4922490.7951643514</v>
      </c>
    </row>
    <row r="1072" spans="1:6" x14ac:dyDescent="0.2">
      <c r="A1072">
        <v>2020</v>
      </c>
      <c r="B1072" s="1" t="s">
        <v>86</v>
      </c>
      <c r="C1072" s="7">
        <v>15983</v>
      </c>
      <c r="D1072" s="6">
        <v>7.4549999999999998E-6</v>
      </c>
      <c r="E1072" s="17">
        <v>1.1166410175047016E-4</v>
      </c>
      <c r="F1072">
        <f>E1072* VLOOKUP(A1072,Check!A$2:F$11,4,FALSE)</f>
        <v>223431.86921474649</v>
      </c>
    </row>
    <row r="1073" spans="1:6" x14ac:dyDescent="0.2">
      <c r="A1073">
        <v>2020</v>
      </c>
      <c r="B1073" s="1" t="s">
        <v>87</v>
      </c>
      <c r="C1073" s="7">
        <v>11969</v>
      </c>
      <c r="D1073" s="6">
        <v>5.5820000000000001E-6</v>
      </c>
      <c r="E1073" s="17">
        <v>8.3620573975560117E-5</v>
      </c>
      <c r="F1073">
        <f>E1073* VLOOKUP(A1073,Check!A$2:F$11,4,FALSE)</f>
        <v>167318.77886700249</v>
      </c>
    </row>
    <row r="1074" spans="1:6" x14ac:dyDescent="0.2">
      <c r="A1074">
        <v>2020</v>
      </c>
      <c r="B1074" s="1" t="s">
        <v>88</v>
      </c>
      <c r="C1074" s="7">
        <v>768515</v>
      </c>
      <c r="D1074" s="6">
        <v>3.58439E-4</v>
      </c>
      <c r="E1074" s="17">
        <v>5.3691758216081195E-3</v>
      </c>
      <c r="F1074">
        <f>E1074* VLOOKUP(A1074,Check!A$2:F$11,4,FALSE)</f>
        <v>10743336.230342921</v>
      </c>
    </row>
    <row r="1075" spans="1:6" x14ac:dyDescent="0.2">
      <c r="A1075">
        <v>2020</v>
      </c>
      <c r="B1075" s="1" t="s">
        <v>89</v>
      </c>
      <c r="C1075" s="7">
        <v>1068664</v>
      </c>
      <c r="D1075" s="6">
        <v>4.9842899999999999E-4</v>
      </c>
      <c r="E1075" s="17">
        <v>7.4661456318003156E-3</v>
      </c>
      <c r="F1075">
        <f>E1075* VLOOKUP(A1075,Check!A$2:F$11,4,FALSE)</f>
        <v>14939222.616686972</v>
      </c>
    </row>
    <row r="1076" spans="1:6" x14ac:dyDescent="0.2">
      <c r="A1076">
        <v>2020</v>
      </c>
      <c r="B1076" s="1" t="s">
        <v>90</v>
      </c>
      <c r="C1076" s="7">
        <v>58399</v>
      </c>
      <c r="D1076" s="6">
        <v>2.7237E-5</v>
      </c>
      <c r="E1076" s="17">
        <v>4.0800049290656989E-4</v>
      </c>
      <c r="F1076">
        <f>E1076* VLOOKUP(A1076,Check!A$2:F$11,4,FALSE)</f>
        <v>816379.76163873996</v>
      </c>
    </row>
    <row r="1077" spans="1:6" x14ac:dyDescent="0.2">
      <c r="A1077">
        <v>2020</v>
      </c>
      <c r="B1077" s="1" t="s">
        <v>91</v>
      </c>
      <c r="C1077" s="7">
        <v>202395</v>
      </c>
      <c r="D1077" s="6">
        <v>9.4398E-5</v>
      </c>
      <c r="E1077" s="17">
        <v>1.4140183866474634E-3</v>
      </c>
      <c r="F1077">
        <f>E1077* VLOOKUP(A1077,Check!A$2:F$11,4,FALSE)</f>
        <v>2829349.5069585568</v>
      </c>
    </row>
    <row r="1078" spans="1:6" x14ac:dyDescent="0.2">
      <c r="A1078">
        <v>2020</v>
      </c>
      <c r="B1078" s="1" t="s">
        <v>92</v>
      </c>
      <c r="C1078" s="7">
        <v>1960442</v>
      </c>
      <c r="D1078" s="6">
        <v>9.1435799999999999E-4</v>
      </c>
      <c r="E1078" s="17">
        <v>1.3696489705555604E-2</v>
      </c>
      <c r="F1078">
        <f>E1078* VLOOKUP(A1078,Check!A$2:F$11,4,FALSE)</f>
        <v>27405694.834955644</v>
      </c>
    </row>
    <row r="1079" spans="1:6" x14ac:dyDescent="0.2">
      <c r="A1079">
        <v>2020</v>
      </c>
      <c r="B1079" s="1" t="s">
        <v>93</v>
      </c>
      <c r="C1079" s="7">
        <v>90596</v>
      </c>
      <c r="D1079" s="6">
        <v>4.2253999999999999E-5</v>
      </c>
      <c r="E1079" s="17">
        <v>6.3294256160830852E-4</v>
      </c>
      <c r="F1079">
        <f>E1079* VLOOKUP(A1079,Check!A$2:F$11,4,FALSE)</f>
        <v>1266472.72873548</v>
      </c>
    </row>
    <row r="1080" spans="1:6" x14ac:dyDescent="0.2">
      <c r="A1080">
        <v>2020</v>
      </c>
      <c r="B1080" s="1" t="s">
        <v>94</v>
      </c>
      <c r="C1080" s="7">
        <v>2726056</v>
      </c>
      <c r="D1080" s="6">
        <v>1.271444E-3</v>
      </c>
      <c r="E1080" s="17">
        <v>1.9045397895356295E-2</v>
      </c>
      <c r="F1080">
        <f>E1080* VLOOKUP(A1080,Check!A$2:F$11,4,FALSE)</f>
        <v>38108476.985802099</v>
      </c>
    </row>
    <row r="1081" spans="1:6" x14ac:dyDescent="0.2">
      <c r="A1081">
        <v>2020</v>
      </c>
      <c r="B1081" s="1" t="s">
        <v>95</v>
      </c>
      <c r="C1081" s="7">
        <v>128893</v>
      </c>
      <c r="D1081" s="6">
        <v>6.0115999999999998E-5</v>
      </c>
      <c r="E1081" s="17">
        <v>9.0050184989822629E-4</v>
      </c>
      <c r="F1081">
        <f>E1081* VLOOKUP(A1081,Check!A$2:F$11,4,FALSE)</f>
        <v>1801839.6995993445</v>
      </c>
    </row>
    <row r="1082" spans="1:6" x14ac:dyDescent="0.2">
      <c r="A1082">
        <v>2020</v>
      </c>
      <c r="B1082" s="1" t="s">
        <v>96</v>
      </c>
      <c r="C1082" s="7">
        <v>7226102</v>
      </c>
      <c r="D1082" s="6">
        <v>3.3702839999999999E-3</v>
      </c>
      <c r="E1082" s="17">
        <v>5.0484651754193574E-2</v>
      </c>
      <c r="F1082">
        <f>E1082* VLOOKUP(A1082,Check!A$2:F$11,4,FALSE)</f>
        <v>101016171.99502084</v>
      </c>
    </row>
    <row r="1083" spans="1:6" x14ac:dyDescent="0.2">
      <c r="A1083">
        <v>2020</v>
      </c>
      <c r="B1083" s="1" t="s">
        <v>97</v>
      </c>
      <c r="C1083" s="7">
        <v>7106753</v>
      </c>
      <c r="D1083" s="6">
        <v>3.3146199999999999E-3</v>
      </c>
      <c r="E1083" s="17">
        <v>4.9650828386877247E-2</v>
      </c>
      <c r="F1083">
        <f>E1083* VLOOKUP(A1083,Check!A$2:F$11,4,FALSE)</f>
        <v>99347751.162954852</v>
      </c>
    </row>
    <row r="1084" spans="1:6" x14ac:dyDescent="0.2">
      <c r="A1084">
        <v>2020</v>
      </c>
      <c r="B1084" s="1" t="s">
        <v>98</v>
      </c>
      <c r="C1084" s="7">
        <v>161573</v>
      </c>
      <c r="D1084" s="6">
        <v>7.5358000000000006E-5</v>
      </c>
      <c r="E1084" s="17">
        <v>1.1288183640198158E-3</v>
      </c>
      <c r="F1084">
        <f>E1084* VLOOKUP(A1084,Check!A$2:F$11,4,FALSE)</f>
        <v>2258684.6902730549</v>
      </c>
    </row>
    <row r="1085" spans="1:6" x14ac:dyDescent="0.2">
      <c r="A1085">
        <v>2020</v>
      </c>
      <c r="B1085" s="1" t="s">
        <v>99</v>
      </c>
      <c r="C1085" s="7">
        <v>37286</v>
      </c>
      <c r="D1085" s="6">
        <v>1.7390000000000001E-5</v>
      </c>
      <c r="E1085" s="17">
        <v>2.6049600812538511E-4</v>
      </c>
      <c r="F1085">
        <f>E1085* VLOOKUP(A1085,Check!A$2:F$11,4,FALSE)</f>
        <v>521233.85319032957</v>
      </c>
    </row>
    <row r="1086" spans="1:6" x14ac:dyDescent="0.2">
      <c r="A1086">
        <v>2020</v>
      </c>
      <c r="B1086" s="1" t="s">
        <v>100</v>
      </c>
      <c r="C1086" s="7">
        <v>268025</v>
      </c>
      <c r="D1086" s="6">
        <v>1.2500799999999999E-4</v>
      </c>
      <c r="E1086" s="17">
        <v>1.8725377508396273E-3</v>
      </c>
      <c r="F1086">
        <f>E1086* VLOOKUP(A1086,Check!A$2:F$11,4,FALSE)</f>
        <v>3746813.9114235393</v>
      </c>
    </row>
    <row r="1087" spans="1:6" x14ac:dyDescent="0.2">
      <c r="A1087">
        <v>2020</v>
      </c>
      <c r="B1087" s="1" t="s">
        <v>101</v>
      </c>
      <c r="C1087" s="7">
        <v>402751</v>
      </c>
      <c r="D1087" s="6">
        <v>1.8784499999999999E-4</v>
      </c>
      <c r="E1087" s="17">
        <v>2.81379144366537E-3</v>
      </c>
      <c r="F1087">
        <f>E1087* VLOOKUP(A1087,Check!A$2:F$11,4,FALSE)</f>
        <v>5630195.1297070868</v>
      </c>
    </row>
    <row r="1088" spans="1:6" x14ac:dyDescent="0.2">
      <c r="A1088">
        <v>2020</v>
      </c>
      <c r="B1088" s="1" t="s">
        <v>102</v>
      </c>
      <c r="C1088" s="7">
        <v>53366</v>
      </c>
      <c r="D1088" s="6">
        <v>2.4890000000000001E-5</v>
      </c>
      <c r="E1088" s="17">
        <v>3.7283779353160175E-4</v>
      </c>
      <c r="F1088">
        <f>E1088* VLOOKUP(A1088,Check!A$2:F$11,4,FALSE)</f>
        <v>746021.71885842225</v>
      </c>
    </row>
    <row r="1089" spans="1:6" x14ac:dyDescent="0.2">
      <c r="A1089">
        <v>2020</v>
      </c>
      <c r="B1089" s="1" t="s">
        <v>103</v>
      </c>
      <c r="C1089" s="7">
        <v>5301428</v>
      </c>
      <c r="D1089" s="6">
        <v>2.4726079999999998E-3</v>
      </c>
      <c r="E1089" s="17">
        <v>3.7038052656872399E-2</v>
      </c>
      <c r="F1089">
        <f>E1089* VLOOKUP(A1089,Check!A$2:F$11,4,FALSE)</f>
        <v>74110490.367727906</v>
      </c>
    </row>
    <row r="1090" spans="1:6" x14ac:dyDescent="0.2">
      <c r="A1090">
        <v>2020</v>
      </c>
      <c r="B1090" s="1" t="s">
        <v>104</v>
      </c>
      <c r="C1090" s="7">
        <v>58730</v>
      </c>
      <c r="D1090" s="6">
        <v>2.7392000000000001E-5</v>
      </c>
      <c r="E1090" s="17">
        <v>4.1031300105143665E-4</v>
      </c>
      <c r="F1090">
        <f>E1090* VLOOKUP(A1090,Check!A$2:F$11,4,FALSE)</f>
        <v>821006.9247939724</v>
      </c>
    </row>
    <row r="1091" spans="1:6" x14ac:dyDescent="0.2">
      <c r="A1091">
        <v>2020</v>
      </c>
      <c r="B1091" s="1" t="s">
        <v>105</v>
      </c>
      <c r="C1091" s="7">
        <v>37569</v>
      </c>
      <c r="D1091" s="6">
        <v>1.7521999999999999E-5</v>
      </c>
      <c r="E1091" s="17">
        <v>2.6247316765709903E-4</v>
      </c>
      <c r="F1091">
        <f>E1091* VLOOKUP(A1091,Check!A$2:F$11,4,FALSE)</f>
        <v>525190.00779132906</v>
      </c>
    </row>
    <row r="1092" spans="1:6" x14ac:dyDescent="0.2">
      <c r="A1092">
        <v>2020</v>
      </c>
      <c r="B1092" s="1" t="s">
        <v>106</v>
      </c>
      <c r="C1092" s="7">
        <v>409475</v>
      </c>
      <c r="D1092" s="6">
        <v>1.9098100000000001E-4</v>
      </c>
      <c r="E1092" s="17">
        <v>2.8607681952245367E-3</v>
      </c>
      <c r="F1092">
        <f>E1092* VLOOKUP(A1092,Check!A$2:F$11,4,FALSE)</f>
        <v>5724192.2446792424</v>
      </c>
    </row>
    <row r="1093" spans="1:6" x14ac:dyDescent="0.2">
      <c r="A1093">
        <v>2020</v>
      </c>
      <c r="B1093" s="1" t="s">
        <v>107</v>
      </c>
      <c r="C1093" s="7">
        <v>716974</v>
      </c>
      <c r="D1093" s="6">
        <v>3.344E-4</v>
      </c>
      <c r="E1093" s="17">
        <v>5.0090882618057681E-3</v>
      </c>
      <c r="F1093">
        <f>E1093* VLOOKUP(A1093,Check!A$2:F$11,4,FALSE)</f>
        <v>10022826.815890238</v>
      </c>
    </row>
    <row r="1094" spans="1:6" x14ac:dyDescent="0.2">
      <c r="A1094">
        <v>2020</v>
      </c>
      <c r="B1094" s="1" t="s">
        <v>108</v>
      </c>
      <c r="C1094" s="7">
        <v>886882</v>
      </c>
      <c r="D1094" s="6">
        <v>4.1364499999999997E-4</v>
      </c>
      <c r="E1094" s="17">
        <v>6.1961385152136941E-3</v>
      </c>
      <c r="F1094">
        <f>E1094* VLOOKUP(A1094,Check!A$2:F$11,4,FALSE)</f>
        <v>12398029.345736895</v>
      </c>
    </row>
    <row r="1095" spans="1:6" x14ac:dyDescent="0.2">
      <c r="A1095">
        <v>2020</v>
      </c>
      <c r="B1095" s="1" t="s">
        <v>109</v>
      </c>
      <c r="C1095" s="7">
        <v>394228</v>
      </c>
      <c r="D1095" s="6">
        <v>1.8387000000000001E-4</v>
      </c>
      <c r="E1095" s="17">
        <v>2.7542461055424104E-3</v>
      </c>
      <c r="F1095">
        <f>E1095* VLOOKUP(A1095,Check!A$2:F$11,4,FALSE)</f>
        <v>5511049.1732960697</v>
      </c>
    </row>
    <row r="1096" spans="1:6" x14ac:dyDescent="0.2">
      <c r="A1096">
        <v>2020</v>
      </c>
      <c r="B1096" s="1" t="s">
        <v>110</v>
      </c>
      <c r="C1096" s="7">
        <v>285987</v>
      </c>
      <c r="D1096" s="6">
        <v>1.3338600000000001E-4</v>
      </c>
      <c r="E1096" s="17">
        <v>1.9980279964532132E-3</v>
      </c>
      <c r="F1096">
        <f>E1096* VLOOKUP(A1096,Check!A$2:F$11,4,FALSE)</f>
        <v>3997910.9041555217</v>
      </c>
    </row>
    <row r="1097" spans="1:6" x14ac:dyDescent="0.2">
      <c r="A1097">
        <v>2020</v>
      </c>
      <c r="B1097" s="1" t="s">
        <v>111</v>
      </c>
      <c r="C1097" s="7">
        <v>13068</v>
      </c>
      <c r="D1097" s="6">
        <v>6.0950000000000001E-6</v>
      </c>
      <c r="E1097" s="17">
        <v>9.1298659930873056E-5</v>
      </c>
      <c r="F1097">
        <f>E1097* VLOOKUP(A1097,Check!A$2:F$11,4,FALSE)</f>
        <v>182682.07888996479</v>
      </c>
    </row>
    <row r="1098" spans="1:6" x14ac:dyDescent="0.2">
      <c r="A1098">
        <v>2020</v>
      </c>
      <c r="B1098" s="1" t="s">
        <v>112</v>
      </c>
      <c r="C1098" s="7">
        <v>56707</v>
      </c>
      <c r="D1098" s="6">
        <v>2.6448000000000002E-5</v>
      </c>
      <c r="E1098" s="17">
        <v>3.9617945429293067E-4</v>
      </c>
      <c r="F1098">
        <f>E1098* VLOOKUP(A1098,Check!A$2:F$11,4,FALSE)</f>
        <v>792726.71010202274</v>
      </c>
    </row>
    <row r="1099" spans="1:6" x14ac:dyDescent="0.2">
      <c r="A1099">
        <v>2020</v>
      </c>
      <c r="B1099" s="1" t="s">
        <v>113</v>
      </c>
      <c r="C1099" s="7">
        <v>319564</v>
      </c>
      <c r="D1099" s="6">
        <v>1.4904600000000001E-4</v>
      </c>
      <c r="E1099" s="17">
        <v>2.2326113377830973E-3</v>
      </c>
      <c r="F1099">
        <f>E1099* VLOOKUP(A1099,Check!A$2:F$11,4,FALSE)</f>
        <v>4467295.3671864634</v>
      </c>
    </row>
    <row r="1100" spans="1:6" x14ac:dyDescent="0.2">
      <c r="A1100">
        <v>2020</v>
      </c>
      <c r="B1100" s="1" t="s">
        <v>114</v>
      </c>
      <c r="C1100" s="7">
        <v>96196</v>
      </c>
      <c r="D1100" s="6">
        <v>4.4866E-5</v>
      </c>
      <c r="E1100" s="17">
        <v>6.720665664761451E-4</v>
      </c>
      <c r="F1100">
        <f>E1100* VLOOKUP(A1100,Check!A$2:F$11,4,FALSE)</f>
        <v>1344757.0600626762</v>
      </c>
    </row>
    <row r="1101" spans="1:6" x14ac:dyDescent="0.2">
      <c r="A1101">
        <v>2020</v>
      </c>
      <c r="B1101" s="1" t="s">
        <v>115</v>
      </c>
      <c r="C1101" s="7">
        <v>88318</v>
      </c>
      <c r="D1101" s="6">
        <v>4.1192000000000001E-5</v>
      </c>
      <c r="E1101" s="17">
        <v>6.1702747534242777E-4</v>
      </c>
      <c r="F1101">
        <f>E1101* VLOOKUP(A1101,Check!A$2:F$11,4,FALSE)</f>
        <v>1234627.7810991667</v>
      </c>
    </row>
    <row r="1102" spans="1:6" x14ac:dyDescent="0.2">
      <c r="A1102">
        <v>2020</v>
      </c>
      <c r="B1102" s="1" t="s">
        <v>233</v>
      </c>
      <c r="C1102" s="7">
        <v>43139</v>
      </c>
      <c r="D1102" s="6">
        <v>2.012E-5</v>
      </c>
      <c r="E1102" s="17">
        <v>3.0138757964171507E-4</v>
      </c>
      <c r="F1102">
        <f>E1102* VLOOKUP(A1102,Check!A$2:F$11,4,FALSE)</f>
        <v>603054.95877212973</v>
      </c>
    </row>
    <row r="1103" spans="1:6" x14ac:dyDescent="0.2">
      <c r="A1103">
        <v>2020</v>
      </c>
      <c r="B1103" s="1" t="s">
        <v>116</v>
      </c>
      <c r="C1103" s="7">
        <v>267172</v>
      </c>
      <c r="D1103" s="6">
        <v>1.2460999999999999E-4</v>
      </c>
      <c r="E1103" s="17">
        <v>1.866578326526723E-3</v>
      </c>
      <c r="F1103">
        <f>E1103* VLOOKUP(A1103,Check!A$2:F$11,4,FALSE)</f>
        <v>3734889.5302410219</v>
      </c>
    </row>
    <row r="1104" spans="1:6" x14ac:dyDescent="0.2">
      <c r="A1104">
        <v>2020</v>
      </c>
      <c r="B1104" s="1" t="s">
        <v>117</v>
      </c>
      <c r="C1104" s="7">
        <v>536610</v>
      </c>
      <c r="D1104" s="6">
        <v>2.5027699999999998E-4</v>
      </c>
      <c r="E1104" s="17">
        <v>3.7489879021660386E-3</v>
      </c>
      <c r="F1104">
        <f>E1104* VLOOKUP(A1104,Check!A$2:F$11,4,FALSE)</f>
        <v>7501456.2559797987</v>
      </c>
    </row>
    <row r="1105" spans="1:6" x14ac:dyDescent="0.2">
      <c r="A1105">
        <v>2020</v>
      </c>
      <c r="B1105" s="1" t="s">
        <v>118</v>
      </c>
      <c r="C1105" s="7">
        <v>74410</v>
      </c>
      <c r="D1105" s="6">
        <v>3.4705000000000001E-5</v>
      </c>
      <c r="E1105" s="17">
        <v>5.1986021468137925E-4</v>
      </c>
      <c r="F1105">
        <f>E1105* VLOOKUP(A1105,Check!A$2:F$11,4,FALSE)</f>
        <v>1040203.0525101224</v>
      </c>
    </row>
    <row r="1106" spans="1:6" x14ac:dyDescent="0.2">
      <c r="A1106">
        <v>2020</v>
      </c>
      <c r="B1106" s="1" t="s">
        <v>119</v>
      </c>
      <c r="C1106" s="7">
        <v>73492</v>
      </c>
      <c r="D1106" s="6">
        <v>3.4276999999999997E-5</v>
      </c>
      <c r="E1106" s="17">
        <v>5.1344667245483029E-4</v>
      </c>
      <c r="F1106">
        <f>E1106* VLOOKUP(A1106,Check!A$2:F$11,4,FALSE)</f>
        <v>1027370.0139104142</v>
      </c>
    </row>
    <row r="1107" spans="1:6" x14ac:dyDescent="0.2">
      <c r="A1107">
        <v>2020</v>
      </c>
      <c r="B1107" s="1" t="s">
        <v>120</v>
      </c>
      <c r="C1107" s="7">
        <v>1033617</v>
      </c>
      <c r="D1107" s="6">
        <v>4.8208300000000001E-4</v>
      </c>
      <c r="E1107" s="17">
        <v>7.2212922391926239E-3</v>
      </c>
      <c r="F1107">
        <f>E1107* VLOOKUP(A1107,Check!A$2:F$11,4,FALSE)</f>
        <v>14449288.51668264</v>
      </c>
    </row>
    <row r="1108" spans="1:6" x14ac:dyDescent="0.2">
      <c r="A1108">
        <v>2020</v>
      </c>
      <c r="B1108" s="1" t="s">
        <v>121</v>
      </c>
      <c r="C1108" s="7">
        <v>1701799</v>
      </c>
      <c r="D1108" s="6">
        <v>7.9372600000000002E-4</v>
      </c>
      <c r="E1108" s="17">
        <v>1.1889498635728484E-2</v>
      </c>
      <c r="F1108">
        <f>E1108* VLOOKUP(A1108,Check!A$2:F$11,4,FALSE)</f>
        <v>23790035.137194917</v>
      </c>
    </row>
    <row r="1109" spans="1:6" x14ac:dyDescent="0.2">
      <c r="A1109">
        <v>2020</v>
      </c>
      <c r="B1109" s="1" t="s">
        <v>122</v>
      </c>
      <c r="C1109" s="7">
        <v>716916</v>
      </c>
      <c r="D1109" s="6">
        <v>3.3437300000000001E-4</v>
      </c>
      <c r="E1109" s="17">
        <v>5.0086830488982083E-3</v>
      </c>
      <c r="F1109">
        <f>E1109* VLOOKUP(A1109,Check!A$2:F$11,4,FALSE)</f>
        <v>10022016.013887206</v>
      </c>
    </row>
    <row r="1110" spans="1:6" x14ac:dyDescent="0.2">
      <c r="A1110">
        <v>2020</v>
      </c>
      <c r="B1110" s="1" t="s">
        <v>123</v>
      </c>
      <c r="C1110" s="7">
        <v>1592606</v>
      </c>
      <c r="D1110" s="6">
        <v>7.4279800000000003E-4</v>
      </c>
      <c r="E1110" s="17">
        <v>1.1126629445811755E-2</v>
      </c>
      <c r="F1110">
        <f>E1110* VLOOKUP(A1110,Check!A$2:F$11,4,FALSE)</f>
        <v>22263588.531728748</v>
      </c>
    </row>
    <row r="1111" spans="1:6" x14ac:dyDescent="0.2">
      <c r="A1111">
        <v>2020</v>
      </c>
      <c r="B1111" s="1" t="s">
        <v>124</v>
      </c>
      <c r="C1111" s="7">
        <v>3754</v>
      </c>
      <c r="D1111" s="6">
        <v>1.751E-6</v>
      </c>
      <c r="E1111" s="17">
        <v>2.6227056120331914E-5</v>
      </c>
      <c r="F1111">
        <f>E1111* VLOOKUP(A1111,Check!A$2:F$11,4,FALSE)</f>
        <v>52478.460678981319</v>
      </c>
    </row>
    <row r="1112" spans="1:6" x14ac:dyDescent="0.2">
      <c r="A1112">
        <v>2020</v>
      </c>
      <c r="B1112" s="1" t="s">
        <v>125</v>
      </c>
      <c r="C1112" s="7">
        <v>33772</v>
      </c>
      <c r="D1112" s="6">
        <v>1.5750999999999999E-5</v>
      </c>
      <c r="E1112" s="17">
        <v>2.3594569507081763E-4</v>
      </c>
      <c r="F1112">
        <f>E1112* VLOOKUP(A1112,Check!A$2:F$11,4,FALSE)</f>
        <v>472110.43528251385</v>
      </c>
    </row>
    <row r="1113" spans="1:6" x14ac:dyDescent="0.2">
      <c r="A1113">
        <v>2020</v>
      </c>
      <c r="B1113" s="1" t="s">
        <v>126</v>
      </c>
      <c r="C1113" s="7">
        <v>148658</v>
      </c>
      <c r="D1113" s="6">
        <v>6.9334999999999999E-5</v>
      </c>
      <c r="E1113" s="17">
        <v>1.0385886277933674E-3</v>
      </c>
      <c r="F1113">
        <f>E1113* VLOOKUP(A1113,Check!A$2:F$11,4,FALSE)</f>
        <v>2078141.4511497081</v>
      </c>
    </row>
    <row r="1114" spans="1:6" x14ac:dyDescent="0.2">
      <c r="A1114">
        <v>2020</v>
      </c>
      <c r="B1114" s="1" t="s">
        <v>234</v>
      </c>
      <c r="C1114" s="7">
        <v>79104</v>
      </c>
      <c r="D1114" s="6">
        <v>3.6894000000000003E-5</v>
      </c>
      <c r="E1114" s="17">
        <v>5.5265451447595519E-4</v>
      </c>
      <c r="F1114">
        <f>E1114* VLOOKUP(A1114,Check!A$2:F$11,4,FALSE)</f>
        <v>1105822.0973761689</v>
      </c>
    </row>
    <row r="1115" spans="1:6" x14ac:dyDescent="0.2">
      <c r="A1115">
        <v>2020</v>
      </c>
      <c r="B1115" s="1" t="s">
        <v>127</v>
      </c>
      <c r="C1115" s="7">
        <v>201847</v>
      </c>
      <c r="D1115" s="6">
        <v>9.4141999999999994E-5</v>
      </c>
      <c r="E1115" s="17">
        <v>1.4101898233139681E-3</v>
      </c>
      <c r="F1115">
        <f>E1115* VLOOKUP(A1115,Check!A$2:F$11,4,FALSE)</f>
        <v>2821688.8259643959</v>
      </c>
    </row>
    <row r="1116" spans="1:6" x14ac:dyDescent="0.2">
      <c r="A1116">
        <v>2020</v>
      </c>
      <c r="B1116" s="1" t="s">
        <v>128</v>
      </c>
      <c r="C1116" s="7">
        <v>331640</v>
      </c>
      <c r="D1116" s="6">
        <v>1.54678E-4</v>
      </c>
      <c r="E1116" s="17">
        <v>2.3169794597088108E-3</v>
      </c>
      <c r="F1116">
        <f>E1116* VLOOKUP(A1116,Check!A$2:F$11,4,FALSE)</f>
        <v>4636109.9359556111</v>
      </c>
    </row>
    <row r="1117" spans="1:6" x14ac:dyDescent="0.2">
      <c r="A1117">
        <v>2020</v>
      </c>
      <c r="B1117" s="1" t="s">
        <v>129</v>
      </c>
      <c r="C1117" s="7">
        <v>47941</v>
      </c>
      <c r="D1117" s="6">
        <v>2.2359999999999999E-5</v>
      </c>
      <c r="E1117" s="17">
        <v>3.3493641381588497E-4</v>
      </c>
      <c r="F1117">
        <f>E1117* VLOOKUP(A1117,Check!A$2:F$11,4,FALSE)</f>
        <v>670183.77288520057</v>
      </c>
    </row>
    <row r="1118" spans="1:6" x14ac:dyDescent="0.2">
      <c r="A1118">
        <v>2020</v>
      </c>
      <c r="B1118" s="1" t="s">
        <v>130</v>
      </c>
      <c r="C1118" s="7">
        <v>91823</v>
      </c>
      <c r="D1118" s="6">
        <v>4.2826E-5</v>
      </c>
      <c r="E1118" s="17">
        <v>6.4151491053202915E-4</v>
      </c>
      <c r="F1118">
        <f>E1118* VLOOKUP(A1118,Check!A$2:F$11,4,FALSE)</f>
        <v>1283625.3849030638</v>
      </c>
    </row>
    <row r="1119" spans="1:6" x14ac:dyDescent="0.2">
      <c r="A1119">
        <v>2020</v>
      </c>
      <c r="B1119" s="1" t="s">
        <v>131</v>
      </c>
      <c r="C1119" s="7">
        <v>92215</v>
      </c>
      <c r="D1119" s="6">
        <v>4.3009000000000001E-5</v>
      </c>
      <c r="E1119" s="17">
        <v>6.4425359087277769E-4</v>
      </c>
      <c r="F1119">
        <f>E1119* VLOOKUP(A1119,Check!A$2:F$11,4,FALSE)</f>
        <v>1289105.2880959676</v>
      </c>
    </row>
    <row r="1120" spans="1:6" x14ac:dyDescent="0.2">
      <c r="A1120">
        <v>2020</v>
      </c>
      <c r="B1120" s="1" t="s">
        <v>133</v>
      </c>
      <c r="C1120" s="7">
        <v>69831</v>
      </c>
      <c r="D1120" s="6">
        <v>3.2568999999999999E-5</v>
      </c>
      <c r="E1120" s="17">
        <v>4.8786935427248211E-4</v>
      </c>
      <c r="F1120">
        <f>E1120* VLOOKUP(A1120,Check!A$2:F$11,4,FALSE)</f>
        <v>976191.63230525947</v>
      </c>
    </row>
    <row r="1121" spans="1:6" x14ac:dyDescent="0.2">
      <c r="A1121">
        <v>2020</v>
      </c>
      <c r="B1121" s="1" t="s">
        <v>134</v>
      </c>
      <c r="C1121" s="7">
        <v>150868</v>
      </c>
      <c r="D1121" s="6">
        <v>7.0365999999999997E-5</v>
      </c>
      <c r="E1121" s="17">
        <v>1.0540286368572816E-3</v>
      </c>
      <c r="F1121">
        <f>E1121* VLOOKUP(A1121,Check!A$2:F$11,4,FALSE)</f>
        <v>2109035.803334191</v>
      </c>
    </row>
    <row r="1122" spans="1:6" x14ac:dyDescent="0.2">
      <c r="A1122">
        <v>2020</v>
      </c>
      <c r="B1122" s="1" t="s">
        <v>216</v>
      </c>
      <c r="C1122" s="7">
        <v>134908</v>
      </c>
      <c r="D1122" s="6">
        <v>6.2921000000000003E-5</v>
      </c>
      <c r="E1122" s="17">
        <v>9.4252522298394722E-4</v>
      </c>
      <c r="F1122">
        <f>E1122* VLOOKUP(A1122,Check!A$2:F$11,4,FALSE)</f>
        <v>1885925.4590516812</v>
      </c>
    </row>
    <row r="1123" spans="1:6" x14ac:dyDescent="0.2">
      <c r="A1123">
        <v>2020</v>
      </c>
      <c r="B1123" s="1" t="s">
        <v>135</v>
      </c>
      <c r="C1123" s="7">
        <v>22120</v>
      </c>
      <c r="D1123" s="6">
        <v>1.0317E-5</v>
      </c>
      <c r="E1123" s="17">
        <v>1.5453981922795469E-4</v>
      </c>
      <c r="F1123">
        <f>E1123* VLOOKUP(A1123,Check!A$2:F$11,4,FALSE)</f>
        <v>309223.10874242586</v>
      </c>
    </row>
    <row r="1124" spans="1:6" x14ac:dyDescent="0.2">
      <c r="A1124">
        <v>2020</v>
      </c>
      <c r="B1124" s="1" t="s">
        <v>136</v>
      </c>
      <c r="C1124" s="7">
        <v>367946</v>
      </c>
      <c r="D1124" s="6">
        <v>1.71612E-4</v>
      </c>
      <c r="E1124" s="17">
        <v>2.5706287669823246E-3</v>
      </c>
      <c r="F1124">
        <f>E1124* VLOOKUP(A1124,Check!A$2:F$11,4,FALSE)</f>
        <v>5143644.0311636813</v>
      </c>
    </row>
    <row r="1125" spans="1:6" x14ac:dyDescent="0.2">
      <c r="A1125">
        <v>2020</v>
      </c>
      <c r="B1125" s="1" t="s">
        <v>137</v>
      </c>
      <c r="C1125" s="7">
        <v>17140130</v>
      </c>
      <c r="D1125" s="6">
        <v>7.9942290000000003E-3</v>
      </c>
      <c r="E1125" s="17">
        <v>0.11974830884917012</v>
      </c>
      <c r="F1125">
        <f>E1125* VLOOKUP(A1125,Check!A$2:F$11,4,FALSE)</f>
        <v>239607788.55557486</v>
      </c>
    </row>
    <row r="1126" spans="1:6" x14ac:dyDescent="0.2">
      <c r="A1126">
        <v>2020</v>
      </c>
      <c r="B1126" s="1" t="s">
        <v>138</v>
      </c>
      <c r="C1126" s="7">
        <v>320411</v>
      </c>
      <c r="D1126" s="6">
        <v>1.4944099999999999E-4</v>
      </c>
      <c r="E1126" s="17">
        <v>2.2385288435193577E-3</v>
      </c>
      <c r="F1126">
        <f>E1126* VLOOKUP(A1126,Check!A$2:F$11,4,FALSE)</f>
        <v>4479135.8722997019</v>
      </c>
    </row>
    <row r="1127" spans="1:6" x14ac:dyDescent="0.2">
      <c r="A1127">
        <v>2020</v>
      </c>
      <c r="B1127" s="1" t="s">
        <v>139</v>
      </c>
      <c r="C1127" s="7">
        <v>19701282</v>
      </c>
      <c r="D1127" s="6">
        <v>9.1887610000000002E-3</v>
      </c>
      <c r="E1127" s="17">
        <v>0.13764161658403967</v>
      </c>
      <c r="F1127">
        <f>E1127* VLOOKUP(A1127,Check!A$2:F$11,4,FALSE)</f>
        <v>275411015.65330911</v>
      </c>
    </row>
    <row r="1128" spans="1:6" x14ac:dyDescent="0.2">
      <c r="A1128">
        <v>2020</v>
      </c>
      <c r="B1128" s="1" t="s">
        <v>140</v>
      </c>
      <c r="C1128" s="7">
        <v>26270</v>
      </c>
      <c r="D1128" s="6">
        <v>1.2252000000000001E-5</v>
      </c>
      <c r="E1128" s="17">
        <v>1.8353350140679791E-4</v>
      </c>
      <c r="F1128">
        <f>E1128* VLOOKUP(A1128,Check!A$2:F$11,4,FALSE)</f>
        <v>367237.38999383035</v>
      </c>
    </row>
    <row r="1129" spans="1:6" x14ac:dyDescent="0.2">
      <c r="A1129">
        <v>2020</v>
      </c>
      <c r="B1129" s="1" t="s">
        <v>141</v>
      </c>
      <c r="C1129" s="7">
        <v>69554</v>
      </c>
      <c r="D1129" s="6">
        <v>3.2440000000000001E-5</v>
      </c>
      <c r="E1129" s="17">
        <v>4.8593411331741235E-4</v>
      </c>
      <c r="F1129">
        <f>E1129* VLOOKUP(A1129,Check!A$2:F$11,4,FALSE)</f>
        <v>972319.3537735393</v>
      </c>
    </row>
    <row r="1130" spans="1:6" x14ac:dyDescent="0.2">
      <c r="A1130">
        <v>2020</v>
      </c>
      <c r="B1130" s="1" t="s">
        <v>142</v>
      </c>
      <c r="C1130" s="7">
        <v>81454</v>
      </c>
      <c r="D1130" s="6">
        <v>3.7991000000000003E-5</v>
      </c>
      <c r="E1130" s="17">
        <v>5.6907262366156521E-4</v>
      </c>
      <c r="F1130">
        <f>E1130* VLOOKUP(A1130,Check!A$2:F$11,4,FALSE)</f>
        <v>1138673.5578438318</v>
      </c>
    </row>
    <row r="1131" spans="1:6" x14ac:dyDescent="0.2">
      <c r="A1131">
        <v>2020</v>
      </c>
      <c r="B1131" s="1" t="s">
        <v>143</v>
      </c>
      <c r="C1131" s="7">
        <v>41141</v>
      </c>
      <c r="D1131" s="6">
        <v>1.9188999999999999E-5</v>
      </c>
      <c r="E1131" s="17">
        <v>2.8742869361922624E-4</v>
      </c>
      <c r="F1131">
        <f>E1131* VLOOKUP(A1131,Check!A$2:F$11,4,FALSE)</f>
        <v>575124.22770217643</v>
      </c>
    </row>
    <row r="1132" spans="1:6" x14ac:dyDescent="0.2">
      <c r="A1132">
        <v>2020</v>
      </c>
      <c r="B1132" s="1" t="s">
        <v>144</v>
      </c>
      <c r="C1132" s="7">
        <v>147640</v>
      </c>
      <c r="D1132" s="6">
        <v>6.8860000000000001E-5</v>
      </c>
      <c r="E1132" s="17">
        <v>1.03147644262275E-3</v>
      </c>
      <c r="F1132">
        <f>E1132* VLOOKUP(A1132,Check!A$2:F$11,4,FALSE)</f>
        <v>2063910.4780620141</v>
      </c>
    </row>
    <row r="1133" spans="1:6" x14ac:dyDescent="0.2">
      <c r="A1133">
        <v>2020</v>
      </c>
      <c r="B1133" s="1" t="s">
        <v>145</v>
      </c>
      <c r="C1133" s="7">
        <v>2242110</v>
      </c>
      <c r="D1133" s="6">
        <v>1.045729E-3</v>
      </c>
      <c r="E1133" s="17">
        <v>1.5664343313254499E-2</v>
      </c>
      <c r="F1133">
        <f>E1133* VLOOKUP(A1133,Check!A$2:F$11,4,FALSE)</f>
        <v>31343228.948575068</v>
      </c>
    </row>
    <row r="1134" spans="1:6" x14ac:dyDescent="0.2">
      <c r="A1134">
        <v>2020</v>
      </c>
      <c r="B1134" s="1" t="s">
        <v>146</v>
      </c>
      <c r="C1134" s="7">
        <v>549684</v>
      </c>
      <c r="D1134" s="6">
        <v>2.5637499999999998E-4</v>
      </c>
      <c r="E1134" s="17">
        <v>3.8403284806735557E-3</v>
      </c>
      <c r="F1134">
        <f>E1134* VLOOKUP(A1134,Check!A$2:F$11,4,FALSE)</f>
        <v>7684222.2109390432</v>
      </c>
    </row>
    <row r="1135" spans="1:6" x14ac:dyDescent="0.2">
      <c r="A1135">
        <v>2020</v>
      </c>
      <c r="B1135" s="1" t="s">
        <v>147</v>
      </c>
      <c r="C1135" s="7">
        <v>35663</v>
      </c>
      <c r="D1135" s="6">
        <v>1.6633000000000002E-5</v>
      </c>
      <c r="E1135" s="17">
        <v>2.4915703314315317E-4</v>
      </c>
      <c r="F1135">
        <f>E1135* VLOOKUP(A1135,Check!A$2:F$11,4,FALSE)</f>
        <v>498545.37645032245</v>
      </c>
    </row>
    <row r="1136" spans="1:6" x14ac:dyDescent="0.2">
      <c r="A1136">
        <v>2020</v>
      </c>
      <c r="B1136" s="1" t="s">
        <v>148</v>
      </c>
      <c r="C1136" s="7">
        <v>969449</v>
      </c>
      <c r="D1136" s="6">
        <v>4.5215499999999998E-4</v>
      </c>
      <c r="E1136" s="17">
        <v>6.7729870348427418E-3</v>
      </c>
      <c r="F1136">
        <f>E1136* VLOOKUP(A1136,Check!A$2:F$11,4,FALSE)</f>
        <v>13552261.914432008</v>
      </c>
    </row>
    <row r="1137" spans="1:6" x14ac:dyDescent="0.2">
      <c r="A1137">
        <v>2020</v>
      </c>
      <c r="B1137" s="1" t="s">
        <v>149</v>
      </c>
      <c r="C1137" s="7">
        <v>12645</v>
      </c>
      <c r="D1137" s="6">
        <v>5.8980000000000001E-6</v>
      </c>
      <c r="E1137" s="17">
        <v>8.8343400277463252E-5</v>
      </c>
      <c r="F1137">
        <f>E1137* VLOOKUP(A1137,Check!A$2:F$11,4,FALSE)</f>
        <v>176768.81600578548</v>
      </c>
    </row>
    <row r="1138" spans="1:6" x14ac:dyDescent="0.2">
      <c r="A1138">
        <v>2020</v>
      </c>
      <c r="B1138" s="1" t="s">
        <v>150</v>
      </c>
      <c r="C1138" s="7">
        <v>44162</v>
      </c>
      <c r="D1138" s="6">
        <v>2.0596999999999999E-5</v>
      </c>
      <c r="E1138" s="17">
        <v>3.0853469695953594E-4</v>
      </c>
      <c r="F1138">
        <f>E1138* VLOOKUP(A1138,Check!A$2:F$11,4,FALSE)</f>
        <v>617355.82858422294</v>
      </c>
    </row>
    <row r="1139" spans="1:6" x14ac:dyDescent="0.2">
      <c r="A1139">
        <v>2020</v>
      </c>
      <c r="B1139" s="1" t="s">
        <v>151</v>
      </c>
      <c r="C1139" s="7">
        <v>32537</v>
      </c>
      <c r="D1139" s="6">
        <v>1.5175E-5</v>
      </c>
      <c r="E1139" s="17">
        <v>2.273174547115715E-4</v>
      </c>
      <c r="F1139">
        <f>E1139* VLOOKUP(A1139,Check!A$2:F$11,4,FALSE)</f>
        <v>454845.94435589103</v>
      </c>
    </row>
    <row r="1140" spans="1:6" x14ac:dyDescent="0.2">
      <c r="A1140">
        <v>2020</v>
      </c>
      <c r="B1140" s="1" t="s">
        <v>152</v>
      </c>
      <c r="C1140" s="7">
        <v>1045629</v>
      </c>
      <c r="D1140" s="6">
        <v>4.8768599999999998E-4</v>
      </c>
      <c r="E1140" s="17">
        <v>7.3052132296341334E-3</v>
      </c>
      <c r="F1140">
        <f>E1140* VLOOKUP(A1140,Check!A$2:F$11,4,FALSE)</f>
        <v>14617208.407379476</v>
      </c>
    </row>
    <row r="1141" spans="1:6" x14ac:dyDescent="0.2">
      <c r="A1141">
        <v>2020</v>
      </c>
      <c r="B1141" s="1" t="s">
        <v>230</v>
      </c>
      <c r="C1141" s="7">
        <v>2774665</v>
      </c>
      <c r="D1141" s="6">
        <v>1.2941160000000001E-3</v>
      </c>
      <c r="E1141" s="17">
        <v>1.9385001244038559E-2</v>
      </c>
      <c r="F1141">
        <f>E1141* VLOOKUP(A1141,Check!A$2:F$11,4,FALSE)</f>
        <v>38787998.961067051</v>
      </c>
    </row>
    <row r="1142" spans="1:6" x14ac:dyDescent="0.2">
      <c r="A1142">
        <v>2020</v>
      </c>
      <c r="B1142" s="1" t="s">
        <v>154</v>
      </c>
      <c r="C1142" s="7">
        <v>697972</v>
      </c>
      <c r="D1142" s="6">
        <v>3.2553699999999998E-4</v>
      </c>
      <c r="E1142" s="17">
        <v>4.8763321295738696E-3</v>
      </c>
      <c r="F1142">
        <f>E1142* VLOOKUP(A1142,Check!A$2:F$11,4,FALSE)</f>
        <v>9757191.3044832032</v>
      </c>
    </row>
    <row r="1143" spans="1:6" x14ac:dyDescent="0.2">
      <c r="A1143">
        <v>2020</v>
      </c>
      <c r="B1143" s="1" t="s">
        <v>155</v>
      </c>
      <c r="C1143" s="7">
        <v>85344</v>
      </c>
      <c r="D1143" s="6">
        <v>3.9805000000000003E-5</v>
      </c>
      <c r="E1143" s="17">
        <v>5.9624983418583031E-4</v>
      </c>
      <c r="F1143">
        <f>E1143* VLOOKUP(A1143,Check!A$2:F$11,4,FALSE)</f>
        <v>1193053.2094264736</v>
      </c>
    </row>
    <row r="1144" spans="1:6" x14ac:dyDescent="0.2">
      <c r="A1144">
        <v>2020</v>
      </c>
      <c r="B1144" s="1" t="s">
        <v>156</v>
      </c>
      <c r="C1144" s="7">
        <v>776869</v>
      </c>
      <c r="D1144" s="6">
        <v>3.6233499999999998E-4</v>
      </c>
      <c r="E1144" s="17">
        <v>5.4275404531556031E-3</v>
      </c>
      <c r="F1144">
        <f>E1144* VLOOKUP(A1144,Check!A$2:F$11,4,FALSE)</f>
        <v>10860119.677469242</v>
      </c>
    </row>
    <row r="1145" spans="1:6" x14ac:dyDescent="0.2">
      <c r="A1145">
        <v>2020</v>
      </c>
      <c r="B1145" s="1" t="s">
        <v>157</v>
      </c>
      <c r="C1145" s="7">
        <v>11482</v>
      </c>
      <c r="D1145" s="6">
        <v>5.3550000000000004E-6</v>
      </c>
      <c r="E1145" s="17">
        <v>8.0218182837946467E-5</v>
      </c>
      <c r="F1145">
        <f>E1145* VLOOKUP(A1145,Check!A$2:F$11,4,FALSE)</f>
        <v>160510.83791051237</v>
      </c>
    </row>
    <row r="1146" spans="1:6" x14ac:dyDescent="0.2">
      <c r="A1146">
        <v>2020</v>
      </c>
      <c r="B1146" s="1" t="s">
        <v>158</v>
      </c>
      <c r="C1146" s="7">
        <v>256636</v>
      </c>
      <c r="D1146" s="6">
        <v>1.19696E-4</v>
      </c>
      <c r="E1146" s="17">
        <v>1.7929693059396646E-3</v>
      </c>
      <c r="F1146">
        <f>E1146* VLOOKUP(A1146,Check!A$2:F$11,4,FALSE)</f>
        <v>3587603.1525868536</v>
      </c>
    </row>
    <row r="1147" spans="1:6" x14ac:dyDescent="0.2">
      <c r="A1147">
        <v>2020</v>
      </c>
      <c r="B1147" s="1" t="s">
        <v>159</v>
      </c>
      <c r="C1147" s="7">
        <v>94255</v>
      </c>
      <c r="D1147" s="6">
        <v>4.3961000000000001E-5</v>
      </c>
      <c r="E1147" s="17">
        <v>6.5850590693177532E-4</v>
      </c>
      <c r="F1147">
        <f>E1147* VLOOKUP(A1147,Check!A$2:F$11,4,FALSE)</f>
        <v>1317623.1516508749</v>
      </c>
    </row>
    <row r="1148" spans="1:6" x14ac:dyDescent="0.2">
      <c r="A1148">
        <v>2020</v>
      </c>
      <c r="B1148" s="1" t="s">
        <v>160</v>
      </c>
      <c r="C1148" s="7">
        <v>330216</v>
      </c>
      <c r="D1148" s="6">
        <v>1.5401400000000001E-4</v>
      </c>
      <c r="E1148" s="17">
        <v>2.3070307841852752E-3</v>
      </c>
      <c r="F1148">
        <f>E1148* VLOOKUP(A1148,Check!A$2:F$11,4,FALSE)</f>
        <v>4616203.3488466954</v>
      </c>
    </row>
    <row r="1149" spans="1:6" x14ac:dyDescent="0.2">
      <c r="A1149">
        <v>2020</v>
      </c>
      <c r="B1149" s="1" t="s">
        <v>161</v>
      </c>
      <c r="C1149" s="7">
        <v>529249</v>
      </c>
      <c r="D1149" s="6">
        <v>2.4684400000000002E-4</v>
      </c>
      <c r="E1149" s="17">
        <v>3.6975607950531552E-3</v>
      </c>
      <c r="F1149">
        <f>E1149* VLOOKUP(A1149,Check!A$2:F$11,4,FALSE)</f>
        <v>7398554.2983191749</v>
      </c>
    </row>
    <row r="1150" spans="1:6" x14ac:dyDescent="0.2">
      <c r="A1150">
        <v>2020</v>
      </c>
      <c r="B1150" s="1" t="s">
        <v>162</v>
      </c>
      <c r="C1150" s="7">
        <v>1428552</v>
      </c>
      <c r="D1150" s="6">
        <v>6.6628300000000004E-4</v>
      </c>
      <c r="E1150" s="17">
        <v>9.9804777503495999E-3</v>
      </c>
      <c r="F1150">
        <f>E1150* VLOOKUP(A1150,Check!A$2:F$11,4,FALSE)</f>
        <v>19970221.086808771</v>
      </c>
    </row>
    <row r="1151" spans="1:6" x14ac:dyDescent="0.2">
      <c r="A1151">
        <v>2020</v>
      </c>
      <c r="B1151" s="1" t="s">
        <v>163</v>
      </c>
      <c r="C1151" s="7">
        <v>2419045</v>
      </c>
      <c r="D1151" s="6">
        <v>1.1282530000000001E-3</v>
      </c>
      <c r="E1151" s="17">
        <v>1.6900487206342119E-2</v>
      </c>
      <c r="F1151">
        <f>E1151* VLOOKUP(A1151,Check!A$2:F$11,4,FALSE)</f>
        <v>33816664.334892474</v>
      </c>
    </row>
    <row r="1152" spans="1:6" x14ac:dyDescent="0.2">
      <c r="A1152">
        <v>2020</v>
      </c>
      <c r="B1152" s="1" t="s">
        <v>164</v>
      </c>
      <c r="C1152" s="7">
        <v>31185</v>
      </c>
      <c r="D1152" s="6">
        <v>1.4545000000000001E-5</v>
      </c>
      <c r="E1152" s="17">
        <v>2.1787180210776523E-4</v>
      </c>
      <c r="F1152">
        <f>E1152* VLOOKUP(A1152,Check!A$2:F$11,4,FALSE)</f>
        <v>435945.87007832504</v>
      </c>
    </row>
    <row r="1153" spans="1:6" x14ac:dyDescent="0.2">
      <c r="A1153">
        <v>2020</v>
      </c>
      <c r="B1153" s="1" t="s">
        <v>165</v>
      </c>
      <c r="C1153" s="7">
        <v>60642</v>
      </c>
      <c r="D1153" s="6">
        <v>2.8283999999999999E-5</v>
      </c>
      <c r="E1153" s="17">
        <v>4.2367105414202661E-4</v>
      </c>
      <c r="F1153">
        <f>E1153* VLOOKUP(A1153,Check!A$2:F$11,4,FALSE)</f>
        <v>847735.43220425816</v>
      </c>
    </row>
    <row r="1154" spans="1:6" x14ac:dyDescent="0.2">
      <c r="A1154">
        <v>2020</v>
      </c>
      <c r="B1154" s="1" t="s">
        <v>166</v>
      </c>
      <c r="C1154" s="7">
        <v>126144</v>
      </c>
      <c r="D1154" s="6">
        <v>5.8833999999999999E-5</v>
      </c>
      <c r="E1154" s="17">
        <v>8.812961553657829E-4</v>
      </c>
      <c r="F1154">
        <f>E1154* VLOOKUP(A1154,Check!A$2:F$11,4,FALSE)</f>
        <v>1763410.4805246189</v>
      </c>
    </row>
    <row r="1155" spans="1:6" x14ac:dyDescent="0.2">
      <c r="A1155">
        <v>2020</v>
      </c>
      <c r="B1155" s="1" t="s">
        <v>167</v>
      </c>
      <c r="C1155" s="7">
        <v>99951</v>
      </c>
      <c r="D1155" s="6">
        <v>4.6618E-5</v>
      </c>
      <c r="E1155" s="17">
        <v>6.983006090259177E-4</v>
      </c>
      <c r="F1155">
        <f>E1155* VLOOKUP(A1155,Check!A$2:F$11,4,FALSE)</f>
        <v>1397249.5000865373</v>
      </c>
    </row>
    <row r="1156" spans="1:6" x14ac:dyDescent="0.2">
      <c r="A1156">
        <v>2020</v>
      </c>
      <c r="B1156" s="1" t="s">
        <v>168</v>
      </c>
      <c r="C1156" s="7">
        <v>32852</v>
      </c>
      <c r="D1156" s="6">
        <v>1.5322999999999999E-5</v>
      </c>
      <c r="E1156" s="17">
        <v>2.2951817998538733E-4</v>
      </c>
      <c r="F1156">
        <f>E1156* VLOOKUP(A1156,Check!A$2:F$11,4,FALSE)</f>
        <v>459249.4379930459</v>
      </c>
    </row>
    <row r="1157" spans="1:6" x14ac:dyDescent="0.2">
      <c r="A1157">
        <v>2020</v>
      </c>
      <c r="B1157" s="1" t="s">
        <v>235</v>
      </c>
      <c r="C1157" s="7">
        <v>47221</v>
      </c>
      <c r="D1157" s="6">
        <v>2.2024000000000001E-5</v>
      </c>
      <c r="E1157" s="17">
        <v>3.2990618461859172E-4</v>
      </c>
      <c r="F1157">
        <f>E1157* VLOOKUP(A1157,Check!A$2:F$11,4,FALSE)</f>
        <v>660118.64457170398</v>
      </c>
    </row>
    <row r="1158" spans="1:6" x14ac:dyDescent="0.2">
      <c r="A1158">
        <v>2020</v>
      </c>
      <c r="B1158" s="1" t="s">
        <v>169</v>
      </c>
      <c r="C1158" s="7">
        <v>695060</v>
      </c>
      <c r="D1158" s="6">
        <v>3.2417900000000001E-4</v>
      </c>
      <c r="E1158" s="17">
        <v>4.8559876470425948E-3</v>
      </c>
      <c r="F1158">
        <f>E1158* VLOOKUP(A1158,Check!A$2:F$11,4,FALSE)</f>
        <v>9716483.4521930628</v>
      </c>
    </row>
    <row r="1159" spans="1:6" x14ac:dyDescent="0.2">
      <c r="A1159">
        <v>2020</v>
      </c>
      <c r="B1159" s="1" t="s">
        <v>170</v>
      </c>
      <c r="C1159" s="7">
        <v>1323132</v>
      </c>
      <c r="D1159" s="6">
        <v>6.1711399999999999E-4</v>
      </c>
      <c r="E1159" s="17">
        <v>9.2439683587125752E-3</v>
      </c>
      <c r="F1159">
        <f>E1159* VLOOKUP(A1159,Check!A$2:F$11,4,FALSE)</f>
        <v>18496518.549574297</v>
      </c>
    </row>
    <row r="1160" spans="1:6" x14ac:dyDescent="0.2">
      <c r="A1160">
        <v>2020</v>
      </c>
      <c r="B1160" s="1" t="s">
        <v>171</v>
      </c>
      <c r="C1160" s="7">
        <v>22898</v>
      </c>
      <c r="D1160" s="6">
        <v>1.0679999999999999E-5</v>
      </c>
      <c r="E1160" s="17">
        <v>1.5997526133280771E-4</v>
      </c>
      <c r="F1160">
        <f>E1160* VLOOKUP(A1160,Check!A$2:F$11,4,FALSE)</f>
        <v>320099.03905895422</v>
      </c>
    </row>
    <row r="1161" spans="1:6" x14ac:dyDescent="0.2">
      <c r="A1161">
        <v>2020</v>
      </c>
      <c r="B1161" s="1" t="s">
        <v>172</v>
      </c>
      <c r="C1161" s="7">
        <v>452005</v>
      </c>
      <c r="D1161" s="6">
        <v>2.10817E-4</v>
      </c>
      <c r="E1161" s="17">
        <v>3.1579010393368743E-3</v>
      </c>
      <c r="F1161">
        <f>E1161* VLOOKUP(A1161,Check!A$2:F$11,4,FALSE)</f>
        <v>6318733.7824195391</v>
      </c>
    </row>
    <row r="1162" spans="1:6" x14ac:dyDescent="0.2">
      <c r="A1162">
        <v>2020</v>
      </c>
      <c r="B1162" s="1" t="s">
        <v>173</v>
      </c>
      <c r="C1162" s="7">
        <v>79987</v>
      </c>
      <c r="D1162" s="6">
        <v>3.7305999999999998E-5</v>
      </c>
      <c r="E1162" s="17">
        <v>5.5882353167208013E-4</v>
      </c>
      <c r="F1162">
        <f>E1162* VLOOKUP(A1162,Check!A$2:F$11,4,FALSE)</f>
        <v>1118165.8589050821</v>
      </c>
    </row>
    <row r="1163" spans="1:6" x14ac:dyDescent="0.2">
      <c r="A1163">
        <v>2020</v>
      </c>
      <c r="B1163" s="1" t="s">
        <v>174</v>
      </c>
      <c r="C1163" s="7">
        <v>166115</v>
      </c>
      <c r="D1163" s="6">
        <v>7.7477000000000004E-5</v>
      </c>
      <c r="E1163" s="17">
        <v>1.1605507265394074E-3</v>
      </c>
      <c r="F1163">
        <f>E1163* VLOOKUP(A1163,Check!A$2:F$11,4,FALSE)</f>
        <v>2322178.8747173632</v>
      </c>
    </row>
    <row r="1164" spans="1:6" x14ac:dyDescent="0.2">
      <c r="A1164">
        <v>2020</v>
      </c>
      <c r="B1164" s="1" t="s">
        <v>175</v>
      </c>
      <c r="C1164" s="7">
        <v>409503</v>
      </c>
      <c r="D1164" s="6">
        <v>1.9099399999999999E-4</v>
      </c>
      <c r="E1164" s="17">
        <v>2.8609638152488756E-3</v>
      </c>
      <c r="F1164">
        <f>E1164* VLOOKUP(A1164,Check!A$2:F$11,4,FALSE)</f>
        <v>5724583.666335878</v>
      </c>
    </row>
    <row r="1165" spans="1:6" x14ac:dyDescent="0.2">
      <c r="A1165">
        <v>2020</v>
      </c>
      <c r="B1165" s="1" t="s">
        <v>176</v>
      </c>
      <c r="C1165" s="7">
        <v>369196</v>
      </c>
      <c r="D1165" s="6">
        <v>1.7219499999999999E-4</v>
      </c>
      <c r="E1165" s="17">
        <v>2.5793618037831807E-3</v>
      </c>
      <c r="F1165">
        <f>E1165* VLOOKUP(A1165,Check!A$2:F$11,4,FALSE)</f>
        <v>5161118.2122635012</v>
      </c>
    </row>
    <row r="1166" spans="1:6" x14ac:dyDescent="0.2">
      <c r="A1166">
        <v>2020</v>
      </c>
      <c r="B1166" s="1" t="s">
        <v>177</v>
      </c>
      <c r="C1166" s="7">
        <v>37315</v>
      </c>
      <c r="D1166" s="6">
        <v>1.7404000000000001E-5</v>
      </c>
      <c r="E1166" s="17">
        <v>2.6069861457916497E-4</v>
      </c>
      <c r="F1166">
        <f>E1166* VLOOKUP(A1166,Check!A$2:F$11,4,FALSE)</f>
        <v>521639.25419184542</v>
      </c>
    </row>
    <row r="1167" spans="1:6" x14ac:dyDescent="0.2">
      <c r="A1167">
        <v>2020</v>
      </c>
      <c r="B1167" s="1" t="s">
        <v>231</v>
      </c>
      <c r="C1167" s="7">
        <v>2013</v>
      </c>
      <c r="D1167" s="6">
        <v>9.3900000000000003E-7</v>
      </c>
      <c r="E1167" s="17">
        <v>1.4063682464099131E-5</v>
      </c>
      <c r="F1167">
        <f>E1167* VLOOKUP(A1167,Check!A$2:F$11,4,FALSE)</f>
        <v>28140.421243151141</v>
      </c>
    </row>
    <row r="1168" spans="1:6" x14ac:dyDescent="0.2">
      <c r="A1168">
        <v>2020</v>
      </c>
      <c r="B1168" s="1" t="s">
        <v>179</v>
      </c>
      <c r="C1168" s="7">
        <v>387221</v>
      </c>
      <c r="D1168" s="6">
        <v>1.80602E-4</v>
      </c>
      <c r="E1168" s="17">
        <v>2.7052921944515302E-3</v>
      </c>
      <c r="F1168">
        <f>E1168* VLOOKUP(A1168,Check!A$2:F$11,4,FALSE)</f>
        <v>5413095.9037229158</v>
      </c>
    </row>
    <row r="1169" spans="1:6" x14ac:dyDescent="0.2">
      <c r="A1169">
        <v>2020</v>
      </c>
      <c r="B1169" s="1" t="s">
        <v>180</v>
      </c>
      <c r="C1169" s="7">
        <v>125930</v>
      </c>
      <c r="D1169" s="6">
        <v>5.8733999999999997E-5</v>
      </c>
      <c r="E1169" s="17">
        <v>8.7980105946547621E-4</v>
      </c>
      <c r="F1169">
        <f>E1169* VLOOKUP(A1169,Check!A$2:F$11,4,FALSE)</f>
        <v>1760418.9007203295</v>
      </c>
    </row>
    <row r="1170" spans="1:6" x14ac:dyDescent="0.2">
      <c r="A1170">
        <v>2020</v>
      </c>
      <c r="B1170" s="1" t="s">
        <v>181</v>
      </c>
      <c r="C1170" s="7">
        <v>54018</v>
      </c>
      <c r="D1170" s="6">
        <v>2.5194E-5</v>
      </c>
      <c r="E1170" s="17">
        <v>3.7739294552692839E-4</v>
      </c>
      <c r="F1170">
        <f>E1170* VLOOKUP(A1170,Check!A$2:F$11,4,FALSE)</f>
        <v>755136.25172008853</v>
      </c>
    </row>
    <row r="1171" spans="1:6" x14ac:dyDescent="0.2">
      <c r="A1171">
        <v>2020</v>
      </c>
      <c r="B1171" s="1" t="s">
        <v>182</v>
      </c>
      <c r="C1171" s="7">
        <v>83946</v>
      </c>
      <c r="D1171" s="6">
        <v>3.9153000000000003E-5</v>
      </c>
      <c r="E1171" s="17">
        <v>5.8648280582775244E-4</v>
      </c>
      <c r="F1171">
        <f>E1171* VLOOKUP(A1171,Check!A$2:F$11,4,FALSE)</f>
        <v>1173510.085284434</v>
      </c>
    </row>
    <row r="1172" spans="1:6" x14ac:dyDescent="0.2">
      <c r="A1172">
        <v>2020</v>
      </c>
      <c r="B1172" s="1" t="s">
        <v>183</v>
      </c>
      <c r="C1172" s="7">
        <v>1978818</v>
      </c>
      <c r="D1172" s="6">
        <v>9.2292899999999996E-4</v>
      </c>
      <c r="E1172" s="17">
        <v>1.3824872332957634E-2</v>
      </c>
      <c r="F1172">
        <f>E1172* VLOOKUP(A1172,Check!A$2:F$11,4,FALSE)</f>
        <v>27662579.27646789</v>
      </c>
    </row>
    <row r="1173" spans="1:6" x14ac:dyDescent="0.2">
      <c r="A1173">
        <v>2020</v>
      </c>
      <c r="B1173" s="1" t="s">
        <v>184</v>
      </c>
      <c r="C1173" s="7">
        <v>93843</v>
      </c>
      <c r="D1173" s="6">
        <v>4.3769000000000001E-5</v>
      </c>
      <c r="E1173" s="17">
        <v>6.5562749800221302E-4</v>
      </c>
      <c r="F1173">
        <f>E1173* VLOOKUP(A1173,Check!A$2:F$11,4,FALSE)</f>
        <v>1311863.6615603738</v>
      </c>
    </row>
    <row r="1174" spans="1:6" x14ac:dyDescent="0.2">
      <c r="A1174">
        <v>2020</v>
      </c>
      <c r="B1174" s="1" t="s">
        <v>185</v>
      </c>
      <c r="C1174" s="7">
        <v>12761</v>
      </c>
      <c r="D1174" s="6">
        <v>5.9519999999999999E-6</v>
      </c>
      <c r="E1174" s="17">
        <v>8.9153826092582718E-5</v>
      </c>
      <c r="F1174">
        <f>E1174* VLOOKUP(A1174,Check!A$2:F$11,4,FALSE)</f>
        <v>178390.42001184882</v>
      </c>
    </row>
    <row r="1175" spans="1:6" x14ac:dyDescent="0.2">
      <c r="A1175">
        <v>2020</v>
      </c>
      <c r="B1175" s="1" t="s">
        <v>186</v>
      </c>
      <c r="C1175" s="7">
        <v>569</v>
      </c>
      <c r="D1175" s="6">
        <v>2.65E-7</v>
      </c>
      <c r="E1175" s="17">
        <v>3.9752783517498289E-6</v>
      </c>
      <c r="F1175">
        <f>E1175* VLOOKUP(A1175,Check!A$2:F$11,4,FALSE)</f>
        <v>7954.2472366383499</v>
      </c>
    </row>
    <row r="1176" spans="1:6" x14ac:dyDescent="0.2">
      <c r="A1176">
        <v>2020</v>
      </c>
      <c r="B1176" s="1" t="s">
        <v>187</v>
      </c>
      <c r="C1176" s="7">
        <v>75725</v>
      </c>
      <c r="D1176" s="6">
        <v>3.5318000000000003E-5</v>
      </c>
      <c r="E1176" s="17">
        <v>5.2904736939588014E-4</v>
      </c>
      <c r="F1176">
        <f>E1176* VLOOKUP(A1176,Check!A$2:F$11,4,FALSE)</f>
        <v>1058585.8910271337</v>
      </c>
    </row>
    <row r="1177" spans="1:6" x14ac:dyDescent="0.2">
      <c r="A1177">
        <v>2020</v>
      </c>
      <c r="B1177" s="1" t="s">
        <v>188</v>
      </c>
      <c r="C1177" s="7">
        <v>22856</v>
      </c>
      <c r="D1177" s="6">
        <v>1.066E-5</v>
      </c>
      <c r="E1177" s="17">
        <v>1.5968183129629895E-4</v>
      </c>
      <c r="F1177">
        <f>E1177* VLOOKUP(A1177,Check!A$2:F$11,4,FALSE)</f>
        <v>319511.90657400026</v>
      </c>
    </row>
    <row r="1178" spans="1:6" x14ac:dyDescent="0.2">
      <c r="A1178">
        <v>2020</v>
      </c>
      <c r="B1178" s="1" t="s">
        <v>189</v>
      </c>
      <c r="C1178" s="7">
        <v>11970</v>
      </c>
      <c r="D1178" s="6">
        <v>5.5829999999999997E-6</v>
      </c>
      <c r="E1178" s="17">
        <v>8.3627560405000797E-5</v>
      </c>
      <c r="F1178">
        <f>E1178* VLOOKUP(A1178,Check!A$2:F$11,4,FALSE)</f>
        <v>167332.75821188235</v>
      </c>
    </row>
    <row r="1179" spans="1:6" x14ac:dyDescent="0.2">
      <c r="A1179">
        <v>2020</v>
      </c>
      <c r="B1179" s="1" t="s">
        <v>190</v>
      </c>
      <c r="C1179" s="7">
        <v>8949</v>
      </c>
      <c r="D1179" s="6">
        <v>4.1740000000000002E-6</v>
      </c>
      <c r="E1179" s="17">
        <v>6.2521557064691068E-5</v>
      </c>
      <c r="F1179">
        <f>E1179* VLOOKUP(A1179,Check!A$2:F$11,4,FALSE)</f>
        <v>125101.15732983584</v>
      </c>
    </row>
    <row r="1180" spans="1:6" x14ac:dyDescent="0.2">
      <c r="A1180">
        <v>2020</v>
      </c>
      <c r="B1180" s="1" t="s">
        <v>191</v>
      </c>
      <c r="C1180" s="7">
        <v>518454</v>
      </c>
      <c r="D1180" s="6">
        <v>2.41809E-4</v>
      </c>
      <c r="E1180" s="17">
        <v>3.6221422892409594E-3</v>
      </c>
      <c r="F1180">
        <f>E1180* VLOOKUP(A1180,Check!A$2:F$11,4,FALSE)</f>
        <v>7247647.2703411235</v>
      </c>
    </row>
    <row r="1181" spans="1:6" x14ac:dyDescent="0.2">
      <c r="A1181">
        <v>2020</v>
      </c>
      <c r="B1181" s="1" t="s">
        <v>192</v>
      </c>
      <c r="C1181" s="7">
        <v>724830</v>
      </c>
      <c r="D1181" s="6">
        <v>3.3806400000000001E-4</v>
      </c>
      <c r="E1181" s="17">
        <v>5.0639736514917905E-3</v>
      </c>
      <c r="F1181">
        <f>E1181* VLOOKUP(A1181,Check!A$2:F$11,4,FALSE)</f>
        <v>10132648.549266391</v>
      </c>
    </row>
    <row r="1182" spans="1:6" x14ac:dyDescent="0.2">
      <c r="A1182">
        <v>2020</v>
      </c>
      <c r="B1182" s="1" t="s">
        <v>193</v>
      </c>
      <c r="C1182" s="7">
        <v>58630</v>
      </c>
      <c r="D1182" s="6">
        <v>2.7345E-5</v>
      </c>
      <c r="E1182" s="17">
        <v>4.0961435810736818E-4</v>
      </c>
      <c r="F1182">
        <f>E1182* VLOOKUP(A1182,Check!A$2:F$11,4,FALSE)</f>
        <v>819608.99030598684</v>
      </c>
    </row>
    <row r="1183" spans="1:6" x14ac:dyDescent="0.2">
      <c r="A1183">
        <v>2020</v>
      </c>
      <c r="B1183" s="1" t="s">
        <v>194</v>
      </c>
      <c r="C1183" s="7">
        <v>4612</v>
      </c>
      <c r="D1183" s="6">
        <v>2.1509999999999998E-6</v>
      </c>
      <c r="E1183" s="17">
        <v>3.2221412580439738E-5</v>
      </c>
      <c r="F1183">
        <f>E1183* VLOOKUP(A1183,Check!A$2:F$11,4,FALSE)</f>
        <v>64472.738585898194</v>
      </c>
    </row>
    <row r="1184" spans="1:6" x14ac:dyDescent="0.2">
      <c r="A1184">
        <v>2020</v>
      </c>
      <c r="B1184" s="1" t="s">
        <v>195</v>
      </c>
      <c r="C1184" s="7">
        <v>943051</v>
      </c>
      <c r="D1184" s="6">
        <v>4.3984299999999998E-4</v>
      </c>
      <c r="E1184" s="17">
        <v>6.5885592704675363E-3</v>
      </c>
      <c r="F1184">
        <f>E1184* VLOOKUP(A1184,Check!A$2:F$11,4,FALSE)</f>
        <v>13183235.168293556</v>
      </c>
    </row>
    <row r="1185" spans="1:6" x14ac:dyDescent="0.2">
      <c r="A1185">
        <v>2020</v>
      </c>
      <c r="B1185" s="1" t="s">
        <v>196</v>
      </c>
      <c r="C1185" s="7">
        <v>554583</v>
      </c>
      <c r="D1185" s="6">
        <v>2.5866000000000002E-4</v>
      </c>
      <c r="E1185" s="17">
        <v>3.8745549985034719E-3</v>
      </c>
      <c r="F1185">
        <f>E1185* VLOOKUP(A1185,Check!A$2:F$11,4,FALSE)</f>
        <v>7752707.0215054592</v>
      </c>
    </row>
    <row r="1186" spans="1:6" x14ac:dyDescent="0.2">
      <c r="A1186">
        <v>2020</v>
      </c>
      <c r="B1186" s="1" t="s">
        <v>197</v>
      </c>
      <c r="C1186" s="7">
        <v>572844</v>
      </c>
      <c r="D1186" s="6">
        <v>2.6717700000000001E-4</v>
      </c>
      <c r="E1186" s="17">
        <v>4.0021341865198231E-3</v>
      </c>
      <c r="F1186">
        <f>E1186* VLOOKUP(A1186,Check!A$2:F$11,4,FALSE)</f>
        <v>8007983.83835652</v>
      </c>
    </row>
    <row r="1187" spans="1:6" x14ac:dyDescent="0.2">
      <c r="A1187">
        <v>2020</v>
      </c>
      <c r="B1187" s="1" t="s">
        <v>198</v>
      </c>
      <c r="C1187" s="7">
        <v>2934</v>
      </c>
      <c r="D1187" s="6">
        <v>1.3680000000000001E-6</v>
      </c>
      <c r="E1187" s="17">
        <v>2.0498183978970119E-5</v>
      </c>
      <c r="F1187">
        <f>E1187* VLOOKUP(A1187,Check!A$2:F$11,4,FALSE)</f>
        <v>41015.397877498981</v>
      </c>
    </row>
    <row r="1188" spans="1:6" x14ac:dyDescent="0.2">
      <c r="A1188">
        <v>2020</v>
      </c>
      <c r="B1188" s="1" t="s">
        <v>199</v>
      </c>
      <c r="C1188" s="7">
        <v>1543775</v>
      </c>
      <c r="D1188" s="6">
        <v>7.2002299999999997E-4</v>
      </c>
      <c r="E1188" s="17">
        <v>1.078547510979366E-2</v>
      </c>
      <c r="F1188">
        <f>E1188* VLOOKUP(A1188,Check!A$2:F$11,4,FALSE)</f>
        <v>21580963.141900472</v>
      </c>
    </row>
    <row r="1189" spans="1:6" x14ac:dyDescent="0.2">
      <c r="A1189">
        <v>2020</v>
      </c>
      <c r="B1189" s="1" t="s">
        <v>200</v>
      </c>
      <c r="C1189" s="7">
        <v>7253</v>
      </c>
      <c r="D1189" s="6">
        <v>3.3830000000000001E-6</v>
      </c>
      <c r="E1189" s="17">
        <v>5.0672572733289125E-5</v>
      </c>
      <c r="F1189">
        <f>E1189* VLOOKUP(A1189,Check!A$2:F$11,4,FALSE)</f>
        <v>101392.18841359923</v>
      </c>
    </row>
    <row r="1190" spans="1:6" x14ac:dyDescent="0.2">
      <c r="A1190">
        <v>2020</v>
      </c>
      <c r="B1190" s="1" t="s">
        <v>201</v>
      </c>
      <c r="C1190" s="7">
        <v>3736</v>
      </c>
      <c r="D1190" s="6">
        <v>1.742E-6</v>
      </c>
      <c r="E1190" s="17">
        <v>2.610130039039958E-5</v>
      </c>
      <c r="F1190">
        <f>E1190* VLOOKUP(A1190,Check!A$2:F$11,4,FALSE)</f>
        <v>52226.832471143898</v>
      </c>
    </row>
    <row r="1191" spans="1:6" ht="17" customHeight="1" x14ac:dyDescent="0.2">
      <c r="A1191">
        <v>2020</v>
      </c>
      <c r="B1191" s="1" t="s">
        <v>202</v>
      </c>
      <c r="C1191" s="7">
        <v>109486</v>
      </c>
      <c r="D1191" s="6">
        <v>5.1065E-5</v>
      </c>
      <c r="E1191" s="17">
        <v>7.6491621374285028E-4</v>
      </c>
      <c r="F1191">
        <f>E1191* VLOOKUP(A1191,Check!A$2:F$11,4,FALSE)</f>
        <v>1530542.5535159693</v>
      </c>
    </row>
    <row r="1192" spans="1:6" x14ac:dyDescent="0.2">
      <c r="A1192">
        <v>2021</v>
      </c>
      <c r="B1192" s="1" t="s">
        <v>5</v>
      </c>
      <c r="C1192" s="7">
        <v>34959</v>
      </c>
      <c r="D1192" s="6">
        <v>1.5865000000000001E-5</v>
      </c>
      <c r="E1192" s="17">
        <v>2.2296706008807603E-4</v>
      </c>
      <c r="F1192">
        <f>E1192* VLOOKUP(A1192,Check!A$2:F$11,4,FALSE)</f>
        <v>456354.26811351767</v>
      </c>
    </row>
    <row r="1193" spans="1:6" x14ac:dyDescent="0.2">
      <c r="A1193">
        <v>2021</v>
      </c>
      <c r="B1193" s="1" t="s">
        <v>7</v>
      </c>
      <c r="C1193" s="7">
        <v>92968</v>
      </c>
      <c r="D1193" s="6">
        <v>4.2191000000000003E-5</v>
      </c>
      <c r="E1193" s="17">
        <v>5.9294606946046094E-4</v>
      </c>
      <c r="F1193">
        <f>E1193* VLOOKUP(A1193,Check!A$2:F$11,4,FALSE)</f>
        <v>1213602.8947617926</v>
      </c>
    </row>
    <row r="1194" spans="1:6" x14ac:dyDescent="0.2">
      <c r="A1194">
        <v>2021</v>
      </c>
      <c r="B1194" s="1" t="s">
        <v>8</v>
      </c>
      <c r="C1194" s="7">
        <v>1653862</v>
      </c>
      <c r="D1194" s="6">
        <v>7.5055300000000005E-4</v>
      </c>
      <c r="E1194" s="17">
        <v>1.0548263621138637E-2</v>
      </c>
      <c r="F1194">
        <f>E1194* VLOOKUP(A1194,Check!A$2:F$11,4,FALSE)</f>
        <v>21589490.047505897</v>
      </c>
    </row>
    <row r="1195" spans="1:6" x14ac:dyDescent="0.2">
      <c r="A1195">
        <v>2021</v>
      </c>
      <c r="B1195" s="1" t="s">
        <v>203</v>
      </c>
      <c r="C1195" s="7">
        <v>394923</v>
      </c>
      <c r="D1195" s="6">
        <v>1.79223E-4</v>
      </c>
      <c r="E1195" s="17">
        <v>2.5188026050849068E-3</v>
      </c>
      <c r="F1195">
        <f>E1195* VLOOKUP(A1195,Check!A$2:F$11,4,FALSE)</f>
        <v>5155318.9915671144</v>
      </c>
    </row>
    <row r="1196" spans="1:6" x14ac:dyDescent="0.2">
      <c r="A1196">
        <v>2021</v>
      </c>
      <c r="B1196" s="1" t="s">
        <v>9</v>
      </c>
      <c r="C1196" s="7">
        <v>3321</v>
      </c>
      <c r="D1196" s="6">
        <v>1.5069999999999999E-6</v>
      </c>
      <c r="E1196" s="17">
        <v>2.1181201022698033E-5</v>
      </c>
      <c r="F1196">
        <f>E1196* VLOOKUP(A1196,Check!A$2:F$11,4,FALSE)</f>
        <v>43352.284802339658</v>
      </c>
    </row>
    <row r="1197" spans="1:6" x14ac:dyDescent="0.2">
      <c r="A1197">
        <v>2021</v>
      </c>
      <c r="B1197" s="1" t="s">
        <v>10</v>
      </c>
      <c r="C1197" s="7">
        <v>42373</v>
      </c>
      <c r="D1197" s="6">
        <v>1.9230000000000001E-5</v>
      </c>
      <c r="E1197" s="17">
        <v>2.7025324629171448E-4</v>
      </c>
      <c r="F1197">
        <f>E1197* VLOOKUP(A1197,Check!A$2:F$11,4,FALSE)</f>
        <v>553136.51428170386</v>
      </c>
    </row>
    <row r="1198" spans="1:6" x14ac:dyDescent="0.2">
      <c r="A1198">
        <v>2021</v>
      </c>
      <c r="B1198" s="1" t="s">
        <v>11</v>
      </c>
      <c r="C1198" s="7">
        <v>657502</v>
      </c>
      <c r="D1198" s="6">
        <v>2.98387E-4</v>
      </c>
      <c r="E1198" s="17">
        <v>4.1935206368039751E-3</v>
      </c>
      <c r="F1198">
        <f>E1198* VLOOKUP(A1198,Check!A$2:F$11,4,FALSE)</f>
        <v>8583021.3676928431</v>
      </c>
    </row>
    <row r="1199" spans="1:6" x14ac:dyDescent="0.2">
      <c r="A1199">
        <v>2021</v>
      </c>
      <c r="B1199" s="1" t="s">
        <v>12</v>
      </c>
      <c r="C1199" s="7">
        <v>78296</v>
      </c>
      <c r="D1199" s="6">
        <v>3.5531999999999998E-5</v>
      </c>
      <c r="E1199" s="17">
        <v>4.993686586188393E-4</v>
      </c>
      <c r="F1199">
        <f>E1199* VLOOKUP(A1199,Check!A$2:F$11,4,FALSE)</f>
        <v>1022074.8241144193</v>
      </c>
    </row>
    <row r="1200" spans="1:6" x14ac:dyDescent="0.2">
      <c r="A1200">
        <v>2021</v>
      </c>
      <c r="B1200" s="1" t="s">
        <v>13</v>
      </c>
      <c r="C1200" s="7" t="s">
        <v>6</v>
      </c>
      <c r="D1200" s="6">
        <v>0</v>
      </c>
      <c r="F1200">
        <f>E1200* VLOOKUP(A1200,Check!A$2:F$11,4,FALSE)</f>
        <v>0</v>
      </c>
    </row>
    <row r="1201" spans="1:6" x14ac:dyDescent="0.2">
      <c r="A1201">
        <v>2021</v>
      </c>
      <c r="B1201" s="1" t="s">
        <v>14</v>
      </c>
      <c r="C1201" s="7">
        <v>26836</v>
      </c>
      <c r="D1201" s="6">
        <v>1.2179E-5</v>
      </c>
      <c r="E1201" s="17">
        <v>1.7115890112770984E-4</v>
      </c>
      <c r="F1201">
        <f>E1201* VLOOKUP(A1201,Check!A$2:F$11,4,FALSE)</f>
        <v>350316.7464485357</v>
      </c>
    </row>
    <row r="1202" spans="1:6" x14ac:dyDescent="0.2">
      <c r="A1202">
        <v>2021</v>
      </c>
      <c r="B1202" s="1" t="s">
        <v>15</v>
      </c>
      <c r="C1202" s="7">
        <v>1994682</v>
      </c>
      <c r="D1202" s="6">
        <v>9.0522400000000005E-4</v>
      </c>
      <c r="E1202" s="17">
        <v>1.2721999523745064E-2</v>
      </c>
      <c r="F1202">
        <f>E1202* VLOOKUP(A1202,Check!A$2:F$11,4,FALSE)</f>
        <v>26038549.278560817</v>
      </c>
    </row>
    <row r="1203" spans="1:6" x14ac:dyDescent="0.2">
      <c r="A1203">
        <v>2021</v>
      </c>
      <c r="B1203" s="1" t="s">
        <v>16</v>
      </c>
      <c r="C1203" s="7">
        <v>451393</v>
      </c>
      <c r="D1203" s="6">
        <v>2.0485100000000001E-4</v>
      </c>
      <c r="E1203" s="17">
        <v>2.8789659359345779E-3</v>
      </c>
      <c r="F1203">
        <f>E1203* VLOOKUP(A1203,Check!A$2:F$11,4,FALSE)</f>
        <v>5892477.5350143053</v>
      </c>
    </row>
    <row r="1204" spans="1:6" x14ac:dyDescent="0.2">
      <c r="A1204">
        <v>2021</v>
      </c>
      <c r="B1204" s="1" t="s">
        <v>17</v>
      </c>
      <c r="C1204" s="7">
        <v>38879</v>
      </c>
      <c r="D1204" s="6">
        <v>1.7643999999999999E-5</v>
      </c>
      <c r="E1204" s="17">
        <v>2.4796865840453987E-4</v>
      </c>
      <c r="F1204">
        <f>E1204* VLOOKUP(A1204,Check!A$2:F$11,4,FALSE)</f>
        <v>507525.89004220528</v>
      </c>
    </row>
    <row r="1205" spans="1:6" x14ac:dyDescent="0.2">
      <c r="A1205">
        <v>2021</v>
      </c>
      <c r="B1205" s="1" t="s">
        <v>18</v>
      </c>
      <c r="C1205" s="7" t="s">
        <v>6</v>
      </c>
      <c r="D1205" s="6">
        <v>0</v>
      </c>
      <c r="F1205">
        <f>E1205* VLOOKUP(A1205,Check!A$2:F$11,4,FALSE)</f>
        <v>0</v>
      </c>
    </row>
    <row r="1206" spans="1:6" x14ac:dyDescent="0.2">
      <c r="A1206">
        <v>2021</v>
      </c>
      <c r="B1206" s="1" t="s">
        <v>19</v>
      </c>
      <c r="C1206" s="7">
        <v>65498</v>
      </c>
      <c r="D1206" s="6">
        <v>2.9723999999999999E-5</v>
      </c>
      <c r="E1206" s="17">
        <v>4.177435424825883E-4</v>
      </c>
      <c r="F1206">
        <f>E1206* VLOOKUP(A1206,Check!A$2:F$11,4,FALSE)</f>
        <v>855009.9217054029</v>
      </c>
    </row>
    <row r="1207" spans="1:6" x14ac:dyDescent="0.2">
      <c r="A1207">
        <v>2021</v>
      </c>
      <c r="B1207" s="1" t="s">
        <v>20</v>
      </c>
      <c r="C1207" s="7">
        <v>27544</v>
      </c>
      <c r="D1207" s="6">
        <v>1.2500000000000001E-5</v>
      </c>
      <c r="E1207" s="17">
        <v>1.7567449592568343E-4</v>
      </c>
      <c r="F1207">
        <f>E1207* VLOOKUP(A1207,Check!A$2:F$11,4,FALSE)</f>
        <v>359558.96796014562</v>
      </c>
    </row>
    <row r="1208" spans="1:6" x14ac:dyDescent="0.2">
      <c r="A1208">
        <v>2021</v>
      </c>
      <c r="B1208" s="1" t="s">
        <v>21</v>
      </c>
      <c r="C1208" s="7">
        <v>8772222</v>
      </c>
      <c r="D1208" s="6">
        <v>3.980997E-3</v>
      </c>
      <c r="E1208" s="17">
        <v>5.5948870098685391E-2</v>
      </c>
      <c r="F1208">
        <f>E1208* VLOOKUP(A1208,Check!A$2:F$11,4,FALSE)</f>
        <v>114512456.03533563</v>
      </c>
    </row>
    <row r="1209" spans="1:6" x14ac:dyDescent="0.2">
      <c r="A1209">
        <v>2021</v>
      </c>
      <c r="B1209" s="1" t="s">
        <v>205</v>
      </c>
      <c r="C1209" s="7">
        <v>720524</v>
      </c>
      <c r="D1209" s="6">
        <v>3.2698699999999999E-4</v>
      </c>
      <c r="E1209" s="17">
        <v>4.5954723534111647E-3</v>
      </c>
      <c r="F1209">
        <f>E1209* VLOOKUP(A1209,Check!A$2:F$11,4,FALSE)</f>
        <v>9405709.6220779829</v>
      </c>
    </row>
    <row r="1210" spans="1:6" x14ac:dyDescent="0.2">
      <c r="A1210">
        <v>2021</v>
      </c>
      <c r="B1210" s="1" t="s">
        <v>206</v>
      </c>
      <c r="C1210" s="7">
        <v>2946381</v>
      </c>
      <c r="D1210" s="6">
        <v>1.3371220000000001E-3</v>
      </c>
      <c r="E1210" s="17">
        <v>1.8791896492158403E-2</v>
      </c>
      <c r="F1210">
        <f>E1210* VLOOKUP(A1210,Check!A$2:F$11,4,FALSE)</f>
        <v>38462013.925986856</v>
      </c>
    </row>
    <row r="1211" spans="1:6" x14ac:dyDescent="0.2">
      <c r="A1211">
        <v>2021</v>
      </c>
      <c r="B1211" s="1" t="s">
        <v>25</v>
      </c>
      <c r="C1211" s="7">
        <v>58921</v>
      </c>
      <c r="D1211" s="6">
        <v>2.6738999999999999E-5</v>
      </c>
      <c r="E1211" s="17">
        <v>3.7579570775621524E-4</v>
      </c>
      <c r="F1211">
        <f>E1211* VLOOKUP(A1211,Check!A$2:F$11,4,FALSE)</f>
        <v>769153.86113780644</v>
      </c>
    </row>
    <row r="1212" spans="1:6" x14ac:dyDescent="0.2">
      <c r="A1212">
        <v>2021</v>
      </c>
      <c r="B1212" s="1" t="s">
        <v>26</v>
      </c>
      <c r="C1212" s="7">
        <v>62207</v>
      </c>
      <c r="D1212" s="6">
        <v>2.8231000000000001E-5</v>
      </c>
      <c r="E1212" s="17">
        <v>3.9675368022251624E-4</v>
      </c>
      <c r="F1212">
        <f>E1212* VLOOKUP(A1212,Check!A$2:F$11,4,FALSE)</f>
        <v>812049.25645863987</v>
      </c>
    </row>
    <row r="1213" spans="1:6" x14ac:dyDescent="0.2">
      <c r="A1213">
        <v>2021</v>
      </c>
      <c r="B1213" s="1" t="s">
        <v>27</v>
      </c>
      <c r="C1213" s="7">
        <v>13832</v>
      </c>
      <c r="D1213" s="6">
        <v>6.2770000000000002E-6</v>
      </c>
      <c r="E1213" s="17">
        <v>8.8219925488093704E-5</v>
      </c>
      <c r="F1213">
        <f>E1213* VLOOKUP(A1213,Check!A$2:F$11,4,FALSE)</f>
        <v>180562.72309122619</v>
      </c>
    </row>
    <row r="1214" spans="1:6" x14ac:dyDescent="0.2">
      <c r="A1214">
        <v>2021</v>
      </c>
      <c r="B1214" s="1" t="s">
        <v>28</v>
      </c>
      <c r="C1214" s="7">
        <v>394254</v>
      </c>
      <c r="D1214" s="6">
        <v>1.7892E-4</v>
      </c>
      <c r="E1214" s="17">
        <v>2.5145357506783468E-3</v>
      </c>
      <c r="F1214">
        <f>E1214* VLOOKUP(A1214,Check!A$2:F$11,4,FALSE)</f>
        <v>5146585.8754777536</v>
      </c>
    </row>
    <row r="1215" spans="1:6" x14ac:dyDescent="0.2">
      <c r="A1215">
        <v>2021</v>
      </c>
      <c r="B1215" s="1" t="s">
        <v>29</v>
      </c>
      <c r="C1215" s="7">
        <v>122540</v>
      </c>
      <c r="D1215" s="6">
        <v>5.5611E-5</v>
      </c>
      <c r="E1215" s="17">
        <v>7.8155506573966184E-4</v>
      </c>
      <c r="F1215">
        <f>E1215* VLOOKUP(A1215,Check!A$2:F$11,4,FALSE)</f>
        <v>1599635.3446789226</v>
      </c>
    </row>
    <row r="1216" spans="1:6" x14ac:dyDescent="0.2">
      <c r="A1216">
        <v>2021</v>
      </c>
      <c r="B1216" s="1" t="s">
        <v>30</v>
      </c>
      <c r="C1216" s="7" t="s">
        <v>6</v>
      </c>
      <c r="D1216" s="6">
        <v>0</v>
      </c>
      <c r="F1216">
        <f>E1216* VLOOKUP(A1216,Check!A$2:F$11,4,FALSE)</f>
        <v>0</v>
      </c>
    </row>
    <row r="1217" spans="1:6" x14ac:dyDescent="0.2">
      <c r="A1217">
        <v>2021</v>
      </c>
      <c r="B1217" s="1" t="s">
        <v>31</v>
      </c>
      <c r="C1217" s="7">
        <v>249949</v>
      </c>
      <c r="D1217" s="6">
        <v>1.1343100000000001E-4</v>
      </c>
      <c r="E1217" s="17">
        <v>1.5941644126535232E-3</v>
      </c>
      <c r="F1217">
        <f>E1217* VLOOKUP(A1217,Check!A$2:F$11,4,FALSE)</f>
        <v>3262830.5432279422</v>
      </c>
    </row>
    <row r="1218" spans="1:6" x14ac:dyDescent="0.2">
      <c r="A1218">
        <v>2021</v>
      </c>
      <c r="B1218" s="1" t="s">
        <v>32</v>
      </c>
      <c r="C1218" s="7">
        <v>1680128</v>
      </c>
      <c r="D1218" s="6">
        <v>7.6247299999999995E-4</v>
      </c>
      <c r="E1218" s="17">
        <v>1.0715787085776453E-2</v>
      </c>
      <c r="F1218">
        <f>E1218* VLOOKUP(A1218,Check!A$2:F$11,4,FALSE)</f>
        <v>21932366.022398472</v>
      </c>
    </row>
    <row r="1219" spans="1:6" x14ac:dyDescent="0.2">
      <c r="A1219">
        <v>2021</v>
      </c>
      <c r="B1219" s="1" t="s">
        <v>33</v>
      </c>
      <c r="C1219" s="7">
        <v>215548</v>
      </c>
      <c r="D1219" s="6">
        <v>9.7819999999999995E-5</v>
      </c>
      <c r="E1219" s="17">
        <v>1.3747562535502908E-3</v>
      </c>
      <c r="F1219">
        <f>E1219* VLOOKUP(A1219,Check!A$2:F$11,4,FALSE)</f>
        <v>2813760.3988481509</v>
      </c>
    </row>
    <row r="1220" spans="1:6" x14ac:dyDescent="0.2">
      <c r="A1220">
        <v>2021</v>
      </c>
      <c r="B1220" s="1" t="s">
        <v>34</v>
      </c>
      <c r="C1220" s="7">
        <v>1652773</v>
      </c>
      <c r="D1220" s="6">
        <v>7.5005899999999997E-4</v>
      </c>
      <c r="E1220" s="17">
        <v>1.0541318024055312E-2</v>
      </c>
      <c r="F1220">
        <f>E1220* VLOOKUP(A1220,Check!A$2:F$11,4,FALSE)</f>
        <v>21575274.257638458</v>
      </c>
    </row>
    <row r="1221" spans="1:6" x14ac:dyDescent="0.2">
      <c r="A1221">
        <v>2021</v>
      </c>
      <c r="B1221" s="1" t="s">
        <v>35</v>
      </c>
      <c r="C1221" s="7">
        <v>370521</v>
      </c>
      <c r="D1221" s="6">
        <v>1.6814900000000001E-4</v>
      </c>
      <c r="E1221" s="17">
        <v>2.3631676555649194E-3</v>
      </c>
      <c r="F1221">
        <f>E1221* VLOOKUP(A1221,Check!A$2:F$11,4,FALSE)</f>
        <v>4836775.6450610338</v>
      </c>
    </row>
    <row r="1222" spans="1:6" x14ac:dyDescent="0.2">
      <c r="A1222">
        <v>2021</v>
      </c>
      <c r="B1222" s="1" t="s">
        <v>36</v>
      </c>
      <c r="C1222" s="7">
        <v>685828</v>
      </c>
      <c r="D1222" s="6">
        <v>3.1124100000000002E-4</v>
      </c>
      <c r="E1222" s="17">
        <v>4.3741826964754432E-3</v>
      </c>
      <c r="F1222">
        <f>E1222* VLOOKUP(A1222,Check!A$2:F$11,4,FALSE)</f>
        <v>8952788.5520683546</v>
      </c>
    </row>
    <row r="1223" spans="1:6" x14ac:dyDescent="0.2">
      <c r="A1223">
        <v>2021</v>
      </c>
      <c r="B1223" s="1" t="s">
        <v>38</v>
      </c>
      <c r="C1223" s="7">
        <v>25073</v>
      </c>
      <c r="D1223" s="6">
        <v>1.1379000000000001E-5</v>
      </c>
      <c r="E1223" s="17">
        <v>1.5991455984405532E-4</v>
      </c>
      <c r="F1223">
        <f>E1223* VLOOKUP(A1223,Check!A$2:F$11,4,FALSE)</f>
        <v>327302.57056581217</v>
      </c>
    </row>
    <row r="1224" spans="1:6" x14ac:dyDescent="0.2">
      <c r="A1224">
        <v>2021</v>
      </c>
      <c r="B1224" s="1" t="s">
        <v>39</v>
      </c>
      <c r="C1224" s="7">
        <v>672288</v>
      </c>
      <c r="D1224" s="6">
        <v>3.05097E-4</v>
      </c>
      <c r="E1224" s="17">
        <v>4.2878251349435757E-3</v>
      </c>
      <c r="F1224">
        <f>E1224* VLOOKUP(A1224,Check!A$2:F$11,4,FALSE)</f>
        <v>8776037.5926514082</v>
      </c>
    </row>
    <row r="1225" spans="1:6" x14ac:dyDescent="0.2">
      <c r="A1225">
        <v>2021</v>
      </c>
      <c r="B1225" s="1" t="s">
        <v>40</v>
      </c>
      <c r="C1225" s="7" t="s">
        <v>6</v>
      </c>
      <c r="D1225" s="6">
        <v>0</v>
      </c>
      <c r="F1225">
        <f>E1225* VLOOKUP(A1225,Check!A$2:F$11,4,FALSE)</f>
        <v>0</v>
      </c>
    </row>
    <row r="1226" spans="1:6" x14ac:dyDescent="0.2">
      <c r="A1226">
        <v>2021</v>
      </c>
      <c r="B1226" s="1" t="s">
        <v>207</v>
      </c>
      <c r="C1226" s="7">
        <v>655558</v>
      </c>
      <c r="D1226" s="6">
        <v>2.9750399999999998E-4</v>
      </c>
      <c r="E1226" s="17">
        <v>4.1811218849858106E-3</v>
      </c>
      <c r="F1226">
        <f>E1226* VLOOKUP(A1226,Check!A$2:F$11,4,FALSE)</f>
        <v>8557644.4204914737</v>
      </c>
    </row>
    <row r="1227" spans="1:6" x14ac:dyDescent="0.2">
      <c r="A1227">
        <v>2021</v>
      </c>
      <c r="B1227" s="1" t="s">
        <v>42</v>
      </c>
      <c r="C1227" s="7">
        <v>37865</v>
      </c>
      <c r="D1227" s="6">
        <v>1.7184E-5</v>
      </c>
      <c r="E1227" s="17">
        <v>2.4150140822778109E-4</v>
      </c>
      <c r="F1227">
        <f>E1227* VLOOKUP(A1227,Check!A$2:F$11,4,FALSE)</f>
        <v>494289.14906371309</v>
      </c>
    </row>
    <row r="1228" spans="1:6" x14ac:dyDescent="0.2">
      <c r="A1228">
        <v>2021</v>
      </c>
      <c r="B1228" s="1" t="s">
        <v>43</v>
      </c>
      <c r="C1228" s="7">
        <v>93177</v>
      </c>
      <c r="D1228" s="6">
        <v>4.2284999999999999E-5</v>
      </c>
      <c r="E1228" s="17">
        <v>5.9427906284008868E-4</v>
      </c>
      <c r="F1228">
        <f>E1228* VLOOKUP(A1228,Check!A$2:F$11,4,FALSE)</f>
        <v>1216331.1776656436</v>
      </c>
    </row>
    <row r="1229" spans="1:6" x14ac:dyDescent="0.2">
      <c r="A1229">
        <v>2021</v>
      </c>
      <c r="B1229" s="1" t="s">
        <v>44</v>
      </c>
      <c r="C1229" s="7">
        <v>2091882</v>
      </c>
      <c r="D1229" s="6">
        <v>9.4933500000000004E-4</v>
      </c>
      <c r="E1229" s="17">
        <v>1.3341937114653299E-2</v>
      </c>
      <c r="F1229">
        <f>E1229* VLOOKUP(A1229,Check!A$2:F$11,4,FALSE)</f>
        <v>27307396.638629295</v>
      </c>
    </row>
    <row r="1230" spans="1:6" x14ac:dyDescent="0.2">
      <c r="A1230">
        <v>2021</v>
      </c>
      <c r="B1230" s="1" t="s">
        <v>45</v>
      </c>
      <c r="C1230" s="7">
        <v>30496</v>
      </c>
      <c r="D1230" s="6">
        <v>1.384E-5</v>
      </c>
      <c r="E1230" s="17">
        <v>1.9450223016808166E-4</v>
      </c>
      <c r="F1230">
        <f>E1230* VLOOKUP(A1230,Check!A$2:F$11,4,FALSE)</f>
        <v>398094.33222889196</v>
      </c>
    </row>
    <row r="1231" spans="1:6" x14ac:dyDescent="0.2">
      <c r="A1231">
        <v>2021</v>
      </c>
      <c r="B1231" s="1" t="s">
        <v>46</v>
      </c>
      <c r="C1231" s="7">
        <v>43098</v>
      </c>
      <c r="D1231" s="6">
        <v>1.9559E-5</v>
      </c>
      <c r="E1231" s="17">
        <v>2.7487726638850943E-4</v>
      </c>
      <c r="F1231">
        <f>E1231* VLOOKUP(A1231,Check!A$2:F$11,4,FALSE)</f>
        <v>562600.6535414739</v>
      </c>
    </row>
    <row r="1232" spans="1:6" x14ac:dyDescent="0.2">
      <c r="A1232">
        <v>2021</v>
      </c>
      <c r="B1232" s="1" t="s">
        <v>47</v>
      </c>
      <c r="C1232" s="7">
        <v>2048039</v>
      </c>
      <c r="D1232" s="6">
        <v>9.2943799999999999E-4</v>
      </c>
      <c r="E1232" s="17">
        <v>1.3062308268992911E-2</v>
      </c>
      <c r="F1232">
        <f>E1232* VLOOKUP(A1232,Check!A$2:F$11,4,FALSE)</f>
        <v>26735070.766124334</v>
      </c>
    </row>
    <row r="1233" spans="1:6" x14ac:dyDescent="0.2">
      <c r="A1233">
        <v>2021</v>
      </c>
      <c r="B1233" s="1" t="s">
        <v>48</v>
      </c>
      <c r="C1233" s="7">
        <v>57638</v>
      </c>
      <c r="D1233" s="6">
        <v>2.6157E-5</v>
      </c>
      <c r="E1233" s="17">
        <v>3.6761278667457668E-4</v>
      </c>
      <c r="F1233">
        <f>E1233* VLOOKUP(A1233,Check!A$2:F$11,4,FALSE)</f>
        <v>752405.59814430994</v>
      </c>
    </row>
    <row r="1234" spans="1:6" x14ac:dyDescent="0.2">
      <c r="A1234">
        <v>2021</v>
      </c>
      <c r="B1234" s="1" t="s">
        <v>49</v>
      </c>
      <c r="C1234" s="7">
        <v>29774</v>
      </c>
      <c r="D1234" s="6">
        <v>1.3512E-5</v>
      </c>
      <c r="E1234" s="17">
        <v>1.898973439475493E-4</v>
      </c>
      <c r="F1234">
        <f>E1234* VLOOKUP(A1234,Check!A$2:F$11,4,FALSE)</f>
        <v>388669.35492467962</v>
      </c>
    </row>
    <row r="1235" spans="1:6" x14ac:dyDescent="0.2">
      <c r="A1235">
        <v>2021</v>
      </c>
      <c r="B1235" s="1" t="s">
        <v>50</v>
      </c>
      <c r="C1235" s="7">
        <v>1304242</v>
      </c>
      <c r="D1235" s="6">
        <v>5.9188899999999996E-4</v>
      </c>
      <c r="E1235" s="17">
        <v>8.3184016814952504E-3</v>
      </c>
      <c r="F1235">
        <f>E1235* VLOOKUP(A1235,Check!A$2:F$11,4,FALSE)</f>
        <v>17025555.746815141</v>
      </c>
    </row>
    <row r="1236" spans="1:6" x14ac:dyDescent="0.2">
      <c r="A1236">
        <v>2021</v>
      </c>
      <c r="B1236" s="1" t="s">
        <v>51</v>
      </c>
      <c r="C1236" s="7">
        <v>106185</v>
      </c>
      <c r="D1236" s="6">
        <v>4.8189000000000002E-5</v>
      </c>
      <c r="E1236" s="17">
        <v>6.7724355031472164E-4</v>
      </c>
      <c r="F1236">
        <f>E1236* VLOOKUP(A1236,Check!A$2:F$11,4,FALSE)</f>
        <v>1386137.4169636967</v>
      </c>
    </row>
    <row r="1237" spans="1:6" x14ac:dyDescent="0.2">
      <c r="A1237">
        <v>2021</v>
      </c>
      <c r="B1237" s="1" t="s">
        <v>52</v>
      </c>
      <c r="C1237" s="7">
        <v>25488</v>
      </c>
      <c r="D1237" s="6">
        <v>1.1567E-5</v>
      </c>
      <c r="E1237" s="17">
        <v>1.6256141272704832E-4</v>
      </c>
      <c r="F1237">
        <f>E1237* VLOOKUP(A1237,Check!A$2:F$11,4,FALSE)</f>
        <v>332719.97441795643</v>
      </c>
    </row>
    <row r="1238" spans="1:6" x14ac:dyDescent="0.2">
      <c r="A1238">
        <v>2021</v>
      </c>
      <c r="B1238" s="1" t="s">
        <v>54</v>
      </c>
      <c r="C1238" s="7">
        <v>139190</v>
      </c>
      <c r="D1238" s="6">
        <v>6.3167E-5</v>
      </c>
      <c r="E1238" s="17">
        <v>8.8774807899709104E-4</v>
      </c>
      <c r="F1238">
        <f>E1238* VLOOKUP(A1238,Check!A$2:F$11,4,FALSE)</f>
        <v>1816984.1980239861</v>
      </c>
    </row>
    <row r="1239" spans="1:6" x14ac:dyDescent="0.2">
      <c r="A1239">
        <v>2021</v>
      </c>
      <c r="B1239" s="1" t="s">
        <v>55</v>
      </c>
      <c r="C1239" s="7">
        <v>84391</v>
      </c>
      <c r="D1239" s="6">
        <v>3.8297999999999998E-5</v>
      </c>
      <c r="E1239" s="17">
        <v>5.3824231722568797E-4</v>
      </c>
      <c r="F1239">
        <f>E1239* VLOOKUP(A1239,Check!A$2:F$11,4,FALSE)</f>
        <v>1101638.8638224169</v>
      </c>
    </row>
    <row r="1240" spans="1:6" x14ac:dyDescent="0.2">
      <c r="A1240">
        <v>2021</v>
      </c>
      <c r="B1240" s="1" t="s">
        <v>56</v>
      </c>
      <c r="C1240" s="7">
        <v>188536</v>
      </c>
      <c r="D1240" s="6">
        <v>8.5561000000000003E-5</v>
      </c>
      <c r="E1240" s="17">
        <v>1.2024748316818417E-3</v>
      </c>
      <c r="F1240">
        <f>E1240* VLOOKUP(A1240,Check!A$2:F$11,4,FALSE)</f>
        <v>2461146.1510068984</v>
      </c>
    </row>
    <row r="1241" spans="1:6" x14ac:dyDescent="0.2">
      <c r="A1241">
        <v>2021</v>
      </c>
      <c r="B1241" s="1" t="s">
        <v>232</v>
      </c>
      <c r="C1241" s="7">
        <v>179705</v>
      </c>
      <c r="D1241" s="6">
        <v>8.1552999999999997E-5</v>
      </c>
      <c r="E1241" s="17">
        <v>1.1461510779235021E-3</v>
      </c>
      <c r="F1241">
        <f>E1241* VLOOKUP(A1241,Check!A$2:F$11,4,FALSE)</f>
        <v>2345866.4078303068</v>
      </c>
    </row>
    <row r="1242" spans="1:6" x14ac:dyDescent="0.2">
      <c r="A1242">
        <v>2021</v>
      </c>
      <c r="B1242" s="1" t="s">
        <v>57</v>
      </c>
      <c r="C1242" s="7" t="s">
        <v>6</v>
      </c>
      <c r="D1242" s="6">
        <v>0</v>
      </c>
      <c r="F1242">
        <f>E1242* VLOOKUP(A1242,Check!A$2:F$11,4,FALSE)</f>
        <v>0</v>
      </c>
    </row>
    <row r="1243" spans="1:6" x14ac:dyDescent="0.2">
      <c r="A1243">
        <v>2021</v>
      </c>
      <c r="B1243" s="1" t="s">
        <v>58</v>
      </c>
      <c r="C1243" s="7">
        <v>279060</v>
      </c>
      <c r="D1243" s="6">
        <v>1.2664299999999999E-4</v>
      </c>
      <c r="E1243" s="17">
        <v>1.779833169947038E-3</v>
      </c>
      <c r="F1243">
        <f>E1243* VLOOKUP(A1243,Check!A$2:F$11,4,FALSE)</f>
        <v>3642845.1059743771</v>
      </c>
    </row>
    <row r="1244" spans="1:6" x14ac:dyDescent="0.2">
      <c r="A1244">
        <v>2021</v>
      </c>
      <c r="B1244" s="1" t="s">
        <v>59</v>
      </c>
      <c r="C1244" s="7">
        <v>436599</v>
      </c>
      <c r="D1244" s="6">
        <v>1.98137E-4</v>
      </c>
      <c r="E1244" s="17">
        <v>2.7846104141249438E-3</v>
      </c>
      <c r="F1244">
        <f>E1244* VLOOKUP(A1244,Check!A$2:F$11,4,FALSE)</f>
        <v>5699356.8781742528</v>
      </c>
    </row>
    <row r="1245" spans="1:6" x14ac:dyDescent="0.2">
      <c r="A1245">
        <v>2021</v>
      </c>
      <c r="B1245" s="1" t="s">
        <v>60</v>
      </c>
      <c r="C1245" s="7">
        <v>71100</v>
      </c>
      <c r="D1245" s="6">
        <v>3.2265999999999999E-5</v>
      </c>
      <c r="E1245" s="17">
        <v>4.534728674236164E-4</v>
      </c>
      <c r="F1245">
        <f>E1245* VLOOKUP(A1245,Check!A$2:F$11,4,FALSE)</f>
        <v>928138.34671675693</v>
      </c>
    </row>
    <row r="1246" spans="1:6" x14ac:dyDescent="0.2">
      <c r="A1246">
        <v>2021</v>
      </c>
      <c r="B1246" s="1" t="s">
        <v>61</v>
      </c>
      <c r="C1246" s="7">
        <v>35123</v>
      </c>
      <c r="D1246" s="6">
        <v>1.5939000000000001E-5</v>
      </c>
      <c r="E1246" s="17">
        <v>2.2401304532376483E-4</v>
      </c>
      <c r="F1246">
        <f>E1246* VLOOKUP(A1246,Check!A$2:F$11,4,FALSE)</f>
        <v>458495.12168400356</v>
      </c>
    </row>
    <row r="1247" spans="1:6" x14ac:dyDescent="0.2">
      <c r="A1247">
        <v>2021</v>
      </c>
      <c r="B1247" s="1" t="s">
        <v>209</v>
      </c>
      <c r="C1247" s="7">
        <v>780766</v>
      </c>
      <c r="D1247" s="6">
        <v>3.5432600000000002E-4</v>
      </c>
      <c r="E1247" s="17">
        <v>4.9796933446816776E-3</v>
      </c>
      <c r="F1247">
        <f>E1247* VLOOKUP(A1247,Check!A$2:F$11,4,FALSE)</f>
        <v>10192107.797646349</v>
      </c>
    </row>
    <row r="1248" spans="1:6" x14ac:dyDescent="0.2">
      <c r="A1248">
        <v>2021</v>
      </c>
      <c r="B1248" s="1" t="s">
        <v>63</v>
      </c>
      <c r="C1248" s="7">
        <v>1311211</v>
      </c>
      <c r="D1248" s="6">
        <v>5.9505199999999999E-4</v>
      </c>
      <c r="E1248" s="17">
        <v>8.362849676053271E-3</v>
      </c>
      <c r="F1248">
        <f>E1248* VLOOKUP(A1248,Check!A$2:F$11,4,FALSE)</f>
        <v>17116528.969575606</v>
      </c>
    </row>
    <row r="1249" spans="1:6" x14ac:dyDescent="0.2">
      <c r="A1249">
        <v>2021</v>
      </c>
      <c r="B1249" s="1" t="s">
        <v>64</v>
      </c>
      <c r="C1249" s="7">
        <v>201130</v>
      </c>
      <c r="D1249" s="6">
        <v>9.1277E-5</v>
      </c>
      <c r="E1249" s="17">
        <v>1.2827988442322359E-3</v>
      </c>
      <c r="F1249">
        <f>E1249* VLOOKUP(A1249,Check!A$2:F$11,4,FALSE)</f>
        <v>2625548.0404379936</v>
      </c>
    </row>
    <row r="1250" spans="1:6" x14ac:dyDescent="0.2">
      <c r="A1250">
        <v>2021</v>
      </c>
      <c r="B1250" s="1" t="s">
        <v>65</v>
      </c>
      <c r="C1250" s="7">
        <v>214584</v>
      </c>
      <c r="D1250" s="6">
        <v>9.7381999999999997E-5</v>
      </c>
      <c r="E1250" s="17">
        <v>1.368607901311242E-3</v>
      </c>
      <c r="F1250">
        <f>E1250* VLOOKUP(A1250,Check!A$2:F$11,4,FALSE)</f>
        <v>2801176.3571289531</v>
      </c>
    </row>
    <row r="1251" spans="1:6" x14ac:dyDescent="0.2">
      <c r="A1251">
        <v>2021</v>
      </c>
      <c r="B1251" s="1" t="s">
        <v>66</v>
      </c>
      <c r="C1251" s="7">
        <v>906093</v>
      </c>
      <c r="D1251" s="6">
        <v>4.11202E-4</v>
      </c>
      <c r="E1251" s="17">
        <v>5.779023781469295E-3</v>
      </c>
      <c r="F1251">
        <f>E1251* VLOOKUP(A1251,Check!A$2:F$11,4,FALSE)</f>
        <v>11828124.599038348</v>
      </c>
    </row>
    <row r="1252" spans="1:6" x14ac:dyDescent="0.2">
      <c r="A1252">
        <v>2021</v>
      </c>
      <c r="B1252" s="1" t="s">
        <v>67</v>
      </c>
      <c r="C1252" s="7">
        <v>617813</v>
      </c>
      <c r="D1252" s="6">
        <v>2.8037500000000003E-4</v>
      </c>
      <c r="E1252" s="17">
        <v>3.9403858318085338E-3</v>
      </c>
      <c r="F1252">
        <f>E1252* VLOOKUP(A1252,Check!A$2:F$11,4,FALSE)</f>
        <v>8064921.7496500676</v>
      </c>
    </row>
    <row r="1253" spans="1:6" x14ac:dyDescent="0.2">
      <c r="A1253">
        <v>2021</v>
      </c>
      <c r="B1253" s="1" t="s">
        <v>68</v>
      </c>
      <c r="C1253" s="7">
        <v>30921</v>
      </c>
      <c r="D1253" s="6">
        <v>1.4032999999999999E-5</v>
      </c>
      <c r="E1253" s="17">
        <v>1.9721286263861665E-4</v>
      </c>
      <c r="F1253">
        <f>E1253* VLOOKUP(A1253,Check!A$2:F$11,4,FALSE)</f>
        <v>403642.27593289514</v>
      </c>
    </row>
    <row r="1254" spans="1:6" x14ac:dyDescent="0.2">
      <c r="A1254">
        <v>2021</v>
      </c>
      <c r="B1254" s="1" t="s">
        <v>69</v>
      </c>
      <c r="C1254" s="7">
        <v>461237</v>
      </c>
      <c r="D1254" s="6">
        <v>2.09318E-4</v>
      </c>
      <c r="E1254" s="17">
        <v>2.9417505619109222E-3</v>
      </c>
      <c r="F1254">
        <f>E1254* VLOOKUP(A1254,Check!A$2:F$11,4,FALSE)</f>
        <v>6020980.9651842033</v>
      </c>
    </row>
    <row r="1255" spans="1:6" x14ac:dyDescent="0.2">
      <c r="A1255">
        <v>2021</v>
      </c>
      <c r="B1255" s="1" t="s">
        <v>70</v>
      </c>
      <c r="C1255" s="7">
        <v>132410</v>
      </c>
      <c r="D1255" s="6">
        <v>6.0090000000000002E-5</v>
      </c>
      <c r="E1255" s="17">
        <v>8.4450551864361531E-4</v>
      </c>
      <c r="F1255">
        <f>E1255* VLOOKUP(A1255,Check!A$2:F$11,4,FALSE)</f>
        <v>1728478.1784636539</v>
      </c>
    </row>
    <row r="1256" spans="1:6" x14ac:dyDescent="0.2">
      <c r="A1256">
        <v>2021</v>
      </c>
      <c r="B1256" s="1" t="s">
        <v>71</v>
      </c>
      <c r="C1256" s="7">
        <v>11972</v>
      </c>
      <c r="D1256" s="6">
        <v>5.4330000000000003E-6</v>
      </c>
      <c r="E1256" s="17">
        <v>7.6356922205281797E-5</v>
      </c>
      <c r="F1256">
        <f>E1256* VLOOKUP(A1256,Check!A$2:F$11,4,FALSE)</f>
        <v>156282.31064547136</v>
      </c>
    </row>
    <row r="1257" spans="1:6" x14ac:dyDescent="0.2">
      <c r="A1257">
        <v>2021</v>
      </c>
      <c r="B1257" s="1" t="s">
        <v>72</v>
      </c>
      <c r="C1257" s="7">
        <v>16347</v>
      </c>
      <c r="D1257" s="6">
        <v>7.4189999999999996E-6</v>
      </c>
      <c r="E1257" s="17">
        <v>1.0426049175490658E-4</v>
      </c>
      <c r="F1257">
        <f>E1257* VLOOKUP(A1257,Check!A$2:F$11,4,FALSE)</f>
        <v>213393.49583373877</v>
      </c>
    </row>
    <row r="1258" spans="1:6" x14ac:dyDescent="0.2">
      <c r="A1258">
        <v>2021</v>
      </c>
      <c r="B1258" s="1" t="s">
        <v>73</v>
      </c>
      <c r="C1258" s="7">
        <v>33976</v>
      </c>
      <c r="D1258" s="6">
        <v>1.5418999999999999E-5</v>
      </c>
      <c r="E1258" s="17">
        <v>2.1669752663269748E-4</v>
      </c>
      <c r="F1258">
        <f>E1258* VLOOKUP(A1258,Check!A$2:F$11,4,FALSE)</f>
        <v>443522.2006757881</v>
      </c>
    </row>
    <row r="1259" spans="1:6" x14ac:dyDescent="0.2">
      <c r="A1259">
        <v>2021</v>
      </c>
      <c r="B1259" s="1" t="s">
        <v>74</v>
      </c>
      <c r="C1259" s="7">
        <v>8104</v>
      </c>
      <c r="D1259" s="6">
        <v>3.6780000000000002E-6</v>
      </c>
      <c r="E1259" s="17">
        <v>5.1686977744036389E-5</v>
      </c>
      <c r="F1259">
        <f>E1259* VLOOKUP(A1259,Check!A$2:F$11,4,FALSE)</f>
        <v>105789.49594645004</v>
      </c>
    </row>
    <row r="1260" spans="1:6" x14ac:dyDescent="0.2">
      <c r="A1260">
        <v>2021</v>
      </c>
      <c r="B1260" s="1" t="s">
        <v>75</v>
      </c>
      <c r="C1260" s="7">
        <v>74958</v>
      </c>
      <c r="D1260" s="6">
        <v>3.4017000000000003E-5</v>
      </c>
      <c r="E1260" s="17">
        <v>4.7807903229731984E-4</v>
      </c>
      <c r="F1260">
        <f>E1260* VLOOKUP(A1260,Check!A$2:F$11,4,FALSE)</f>
        <v>978500.62156391935</v>
      </c>
    </row>
    <row r="1261" spans="1:6" x14ac:dyDescent="0.2">
      <c r="A1261">
        <v>2021</v>
      </c>
      <c r="B1261" s="1" t="s">
        <v>76</v>
      </c>
      <c r="C1261" s="7">
        <v>118686</v>
      </c>
      <c r="D1261" s="6">
        <v>5.3862E-5</v>
      </c>
      <c r="E1261" s="17">
        <v>7.5697441270097517E-4</v>
      </c>
      <c r="F1261">
        <f>E1261* VLOOKUP(A1261,Check!A$2:F$11,4,FALSE)</f>
        <v>1549325.2857725036</v>
      </c>
    </row>
    <row r="1262" spans="1:6" x14ac:dyDescent="0.2">
      <c r="A1262">
        <v>2021</v>
      </c>
      <c r="B1262" s="1" t="s">
        <v>77</v>
      </c>
      <c r="C1262" s="7" t="s">
        <v>6</v>
      </c>
      <c r="D1262" s="6">
        <v>0</v>
      </c>
      <c r="F1262">
        <f>E1262* VLOOKUP(A1262,Check!A$2:F$11,4,FALSE)</f>
        <v>0</v>
      </c>
    </row>
    <row r="1263" spans="1:6" x14ac:dyDescent="0.2">
      <c r="A1263">
        <v>2021</v>
      </c>
      <c r="B1263" s="1" t="s">
        <v>78</v>
      </c>
      <c r="C1263" s="7">
        <v>5002218</v>
      </c>
      <c r="D1263" s="6">
        <v>2.2700989999999998E-3</v>
      </c>
      <c r="E1263" s="17">
        <v>3.190394008351656E-2</v>
      </c>
      <c r="F1263">
        <f>E1263* VLOOKUP(A1263,Check!A$2:F$11,4,FALSE)</f>
        <v>65298879.668590747</v>
      </c>
    </row>
    <row r="1264" spans="1:6" x14ac:dyDescent="0.2">
      <c r="A1264">
        <v>2021</v>
      </c>
      <c r="B1264" s="1" t="s">
        <v>79</v>
      </c>
      <c r="C1264" s="7">
        <v>198365</v>
      </c>
      <c r="D1264" s="6">
        <v>9.0022E-5</v>
      </c>
      <c r="E1264" s="17">
        <v>1.265163788276873E-3</v>
      </c>
      <c r="F1264">
        <f>E1264* VLOOKUP(A1264,Check!A$2:F$11,4,FALSE)</f>
        <v>2589453.7713990081</v>
      </c>
    </row>
    <row r="1265" spans="1:6" x14ac:dyDescent="0.2">
      <c r="A1265">
        <v>2021</v>
      </c>
      <c r="B1265" s="1" t="s">
        <v>80</v>
      </c>
      <c r="C1265" s="7">
        <v>119071</v>
      </c>
      <c r="D1265" s="6">
        <v>5.4036999999999998E-5</v>
      </c>
      <c r="E1265" s="17">
        <v>7.5942992682134216E-4</v>
      </c>
      <c r="F1265">
        <f>E1265* VLOOKUP(A1265,Check!A$2:F$11,4,FALSE)</f>
        <v>1554351.0700690711</v>
      </c>
    </row>
    <row r="1266" spans="1:6" x14ac:dyDescent="0.2">
      <c r="A1266">
        <v>2021</v>
      </c>
      <c r="B1266" s="1" t="s">
        <v>81</v>
      </c>
      <c r="C1266" s="7">
        <v>196384</v>
      </c>
      <c r="D1266" s="6">
        <v>8.9122999999999994E-5</v>
      </c>
      <c r="E1266" s="17">
        <v>1.2525290519848028E-3</v>
      </c>
      <c r="F1266">
        <f>E1266* VLOOKUP(A1266,Check!A$2:F$11,4,FALSE)</f>
        <v>2563593.8267457606</v>
      </c>
    </row>
    <row r="1267" spans="1:6" x14ac:dyDescent="0.2">
      <c r="A1267">
        <v>2021</v>
      </c>
      <c r="B1267" s="1" t="s">
        <v>82</v>
      </c>
      <c r="C1267" s="7">
        <v>3889</v>
      </c>
      <c r="D1267" s="6">
        <v>1.765E-6</v>
      </c>
      <c r="E1267" s="17">
        <v>2.4803881595083603E-5</v>
      </c>
      <c r="F1267">
        <f>E1267* VLOOKUP(A1267,Check!A$2:F$11,4,FALSE)</f>
        <v>50766.948387925004</v>
      </c>
    </row>
    <row r="1268" spans="1:6" x14ac:dyDescent="0.2">
      <c r="A1268">
        <v>2021</v>
      </c>
      <c r="B1268" s="1" t="s">
        <v>83</v>
      </c>
      <c r="C1268" s="7">
        <v>481304</v>
      </c>
      <c r="D1268" s="6">
        <v>2.1842500000000001E-4</v>
      </c>
      <c r="E1268" s="17">
        <v>3.0697370602314525E-3</v>
      </c>
      <c r="F1268">
        <f>E1268* VLOOKUP(A1268,Check!A$2:F$11,4,FALSE)</f>
        <v>6282935.2859094515</v>
      </c>
    </row>
    <row r="1269" spans="1:6" x14ac:dyDescent="0.2">
      <c r="A1269">
        <v>2021</v>
      </c>
      <c r="B1269" s="1" t="s">
        <v>84</v>
      </c>
      <c r="C1269" s="7">
        <v>26626</v>
      </c>
      <c r="D1269" s="6">
        <v>1.2082999999999999E-5</v>
      </c>
      <c r="E1269" s="17">
        <v>1.6981952978932787E-4</v>
      </c>
      <c r="F1269">
        <f>E1269* VLOOKUP(A1269,Check!A$2:F$11,4,FALSE)</f>
        <v>347575.40955949889</v>
      </c>
    </row>
    <row r="1270" spans="1:6" x14ac:dyDescent="0.2">
      <c r="A1270">
        <v>2021</v>
      </c>
      <c r="B1270" s="1" t="s">
        <v>85</v>
      </c>
      <c r="C1270" s="7">
        <v>411250</v>
      </c>
      <c r="D1270" s="6">
        <v>1.8663299999999999E-4</v>
      </c>
      <c r="E1270" s="17">
        <v>2.6229355376647294E-3</v>
      </c>
      <c r="F1270">
        <f>E1270* VLOOKUP(A1270,Check!A$2:F$11,4,FALSE)</f>
        <v>5368451.4076971356</v>
      </c>
    </row>
    <row r="1271" spans="1:6" x14ac:dyDescent="0.2">
      <c r="A1271">
        <v>2021</v>
      </c>
      <c r="B1271" s="1" t="s">
        <v>86</v>
      </c>
      <c r="C1271" s="7">
        <v>18935</v>
      </c>
      <c r="D1271" s="6">
        <v>8.5930000000000006E-6</v>
      </c>
      <c r="E1271" s="17">
        <v>1.2076664901077605E-4</v>
      </c>
      <c r="F1271">
        <f>E1271* VLOOKUP(A1271,Check!A$2:F$11,4,FALSE)</f>
        <v>247177.20949482126</v>
      </c>
    </row>
    <row r="1272" spans="1:6" x14ac:dyDescent="0.2">
      <c r="A1272">
        <v>2021</v>
      </c>
      <c r="B1272" s="1" t="s">
        <v>87</v>
      </c>
      <c r="C1272" s="7" t="s">
        <v>6</v>
      </c>
      <c r="D1272" s="6">
        <v>0</v>
      </c>
      <c r="F1272">
        <f>E1272* VLOOKUP(A1272,Check!A$2:F$11,4,FALSE)</f>
        <v>0</v>
      </c>
    </row>
    <row r="1273" spans="1:6" x14ac:dyDescent="0.2">
      <c r="A1273">
        <v>2021</v>
      </c>
      <c r="B1273" s="1" t="s">
        <v>88</v>
      </c>
      <c r="C1273" s="7">
        <v>863670</v>
      </c>
      <c r="D1273" s="6">
        <v>3.91949E-4</v>
      </c>
      <c r="E1273" s="17">
        <v>5.5084516372398704E-3</v>
      </c>
      <c r="F1273">
        <f>E1273* VLOOKUP(A1273,Check!A$2:F$11,4,FALSE)</f>
        <v>11274335.385497348</v>
      </c>
    </row>
    <row r="1274" spans="1:6" x14ac:dyDescent="0.2">
      <c r="A1274">
        <v>2021</v>
      </c>
      <c r="B1274" s="1" t="s">
        <v>89</v>
      </c>
      <c r="C1274" s="7">
        <v>1167113</v>
      </c>
      <c r="D1274" s="6">
        <v>5.29657E-4</v>
      </c>
      <c r="E1274" s="17">
        <v>7.4437985754905655E-3</v>
      </c>
      <c r="F1274">
        <f>E1274* VLOOKUP(A1274,Check!A$2:F$11,4,FALSE)</f>
        <v>15235475.812259274</v>
      </c>
    </row>
    <row r="1275" spans="1:6" x14ac:dyDescent="0.2">
      <c r="A1275">
        <v>2021</v>
      </c>
      <c r="B1275" s="1" t="s">
        <v>90</v>
      </c>
      <c r="C1275" s="7">
        <v>54357</v>
      </c>
      <c r="D1275" s="6">
        <v>2.4668000000000002E-5</v>
      </c>
      <c r="E1275" s="17">
        <v>3.4668670400204668E-4</v>
      </c>
      <c r="F1275">
        <f>E1275* VLOOKUP(A1275,Check!A$2:F$11,4,FALSE)</f>
        <v>709575.47274940589</v>
      </c>
    </row>
    <row r="1276" spans="1:6" x14ac:dyDescent="0.2">
      <c r="A1276">
        <v>2021</v>
      </c>
      <c r="B1276" s="1" t="s">
        <v>91</v>
      </c>
      <c r="C1276" s="7">
        <v>192827</v>
      </c>
      <c r="D1276" s="6">
        <v>8.7508000000000003E-5</v>
      </c>
      <c r="E1276" s="17">
        <v>1.2298426526961136E-3</v>
      </c>
      <c r="F1276">
        <f>E1276* VLOOKUP(A1276,Check!A$2:F$11,4,FALSE)</f>
        <v>2517160.8014395512</v>
      </c>
    </row>
    <row r="1277" spans="1:6" x14ac:dyDescent="0.2">
      <c r="A1277">
        <v>2021</v>
      </c>
      <c r="B1277" s="1" t="s">
        <v>92</v>
      </c>
      <c r="C1277" s="7">
        <v>2124501</v>
      </c>
      <c r="D1277" s="6">
        <v>9.6413800000000002E-4</v>
      </c>
      <c r="E1277" s="17">
        <v>1.3549979751256547E-2</v>
      </c>
      <c r="F1277">
        <f>E1277* VLOOKUP(A1277,Check!A$2:F$11,4,FALSE)</f>
        <v>27733204.58140783</v>
      </c>
    </row>
    <row r="1278" spans="1:6" x14ac:dyDescent="0.2">
      <c r="A1278">
        <v>2021</v>
      </c>
      <c r="B1278" s="1" t="s">
        <v>93</v>
      </c>
      <c r="C1278" s="7">
        <v>142814</v>
      </c>
      <c r="D1278" s="6">
        <v>6.4812000000000002E-5</v>
      </c>
      <c r="E1278" s="17">
        <v>9.1086180152231164E-4</v>
      </c>
      <c r="F1278">
        <f>E1278* VLOOKUP(A1278,Check!A$2:F$11,4,FALSE)</f>
        <v>1864291.8403376502</v>
      </c>
    </row>
    <row r="1279" spans="1:6" x14ac:dyDescent="0.2">
      <c r="A1279">
        <v>2021</v>
      </c>
      <c r="B1279" s="1" t="s">
        <v>94</v>
      </c>
      <c r="C1279" s="7">
        <v>3049206</v>
      </c>
      <c r="D1279" s="6">
        <v>1.3837859999999999E-3</v>
      </c>
      <c r="E1279" s="17">
        <v>1.9447710101059012E-2</v>
      </c>
      <c r="F1279">
        <f>E1279* VLOOKUP(A1279,Check!A$2:F$11,4,FALSE)</f>
        <v>39804289.952725954</v>
      </c>
    </row>
    <row r="1280" spans="1:6" x14ac:dyDescent="0.2">
      <c r="A1280">
        <v>2021</v>
      </c>
      <c r="B1280" s="1" t="s">
        <v>95</v>
      </c>
      <c r="C1280" s="7">
        <v>131965</v>
      </c>
      <c r="D1280" s="6">
        <v>5.9888E-5</v>
      </c>
      <c r="E1280" s="17">
        <v>8.4166732699799632E-4</v>
      </c>
      <c r="F1280">
        <f>E1280* VLOOKUP(A1280,Check!A$2:F$11,4,FALSE)</f>
        <v>1722669.1550559329</v>
      </c>
    </row>
    <row r="1281" spans="1:6" x14ac:dyDescent="0.2">
      <c r="A1281">
        <v>2021</v>
      </c>
      <c r="B1281" s="1" t="s">
        <v>96</v>
      </c>
      <c r="C1281" s="7">
        <v>8131668</v>
      </c>
      <c r="D1281" s="6">
        <v>3.6903019999999999E-3</v>
      </c>
      <c r="E1281" s="17">
        <v>5.1863443106847595E-2</v>
      </c>
      <c r="F1281">
        <f>E1281* VLOOKUP(A1281,Check!A$2:F$11,4,FALSE)</f>
        <v>106150673.60857324</v>
      </c>
    </row>
    <row r="1282" spans="1:6" x14ac:dyDescent="0.2">
      <c r="A1282">
        <v>2021</v>
      </c>
      <c r="B1282" s="1" t="s">
        <v>97</v>
      </c>
      <c r="C1282" s="7">
        <v>8478591</v>
      </c>
      <c r="D1282" s="6">
        <v>3.8477419999999999E-3</v>
      </c>
      <c r="E1282" s="17">
        <v>5.4076103691730902E-2</v>
      </c>
      <c r="F1282">
        <f>E1282* VLOOKUP(A1282,Check!A$2:F$11,4,FALSE)</f>
        <v>110679401.31121765</v>
      </c>
    </row>
    <row r="1283" spans="1:6" x14ac:dyDescent="0.2">
      <c r="A1283">
        <v>2021</v>
      </c>
      <c r="B1283" s="1" t="s">
        <v>98</v>
      </c>
      <c r="C1283" s="7">
        <v>190834</v>
      </c>
      <c r="D1283" s="6">
        <v>8.6604E-5</v>
      </c>
      <c r="E1283" s="17">
        <v>1.2171313808989931E-3</v>
      </c>
      <c r="F1283">
        <f>E1283* VLOOKUP(A1283,Check!A$2:F$11,4,FALSE)</f>
        <v>2491144.2089640731</v>
      </c>
    </row>
    <row r="1284" spans="1:6" x14ac:dyDescent="0.2">
      <c r="A1284">
        <v>2021</v>
      </c>
      <c r="B1284" s="1" t="s">
        <v>99</v>
      </c>
      <c r="C1284" s="7">
        <v>25378</v>
      </c>
      <c r="D1284" s="6">
        <v>1.1517E-5</v>
      </c>
      <c r="E1284" s="17">
        <v>1.6185983726408633E-4</v>
      </c>
      <c r="F1284">
        <f>E1284* VLOOKUP(A1284,Check!A$2:F$11,4,FALSE)</f>
        <v>331284.03604750859</v>
      </c>
    </row>
    <row r="1285" spans="1:6" x14ac:dyDescent="0.2">
      <c r="A1285">
        <v>2021</v>
      </c>
      <c r="B1285" s="1" t="s">
        <v>100</v>
      </c>
      <c r="C1285" s="7">
        <v>308867</v>
      </c>
      <c r="D1285" s="6">
        <v>1.4017000000000001E-4</v>
      </c>
      <c r="E1285" s="17">
        <v>1.9699409865334759E-3</v>
      </c>
      <c r="F1285">
        <f>E1285* VLOOKUP(A1285,Check!A$2:F$11,4,FALSE)</f>
        <v>4031945.2424101909</v>
      </c>
    </row>
    <row r="1286" spans="1:6" x14ac:dyDescent="0.2">
      <c r="A1286">
        <v>2021</v>
      </c>
      <c r="B1286" s="1" t="s">
        <v>101</v>
      </c>
      <c r="C1286" s="7">
        <v>494345</v>
      </c>
      <c r="D1286" s="6">
        <v>2.24343E-4</v>
      </c>
      <c r="E1286" s="17">
        <v>3.1529120203449743E-3</v>
      </c>
      <c r="F1286">
        <f>E1286* VLOOKUP(A1286,Check!A$2:F$11,4,FALSE)</f>
        <v>6453172.3067186391</v>
      </c>
    </row>
    <row r="1287" spans="1:6" x14ac:dyDescent="0.2">
      <c r="A1287">
        <v>2021</v>
      </c>
      <c r="B1287" s="1" t="s">
        <v>102</v>
      </c>
      <c r="C1287" s="7">
        <v>59196</v>
      </c>
      <c r="D1287" s="6">
        <v>2.6863999999999999E-5</v>
      </c>
      <c r="E1287" s="17">
        <v>3.7754964641362019E-4</v>
      </c>
      <c r="F1287">
        <f>E1287* VLOOKUP(A1287,Check!A$2:F$11,4,FALSE)</f>
        <v>772743.70706392603</v>
      </c>
    </row>
    <row r="1288" spans="1:6" x14ac:dyDescent="0.2">
      <c r="A1288">
        <v>2021</v>
      </c>
      <c r="B1288" s="1" t="s">
        <v>103</v>
      </c>
      <c r="C1288" s="7">
        <v>6002597</v>
      </c>
      <c r="D1288" s="6">
        <v>2.7240900000000002E-3</v>
      </c>
      <c r="E1288" s="17">
        <v>3.8284316084084356E-2</v>
      </c>
      <c r="F1288">
        <f>E1288* VLOOKUP(A1288,Check!A$2:F$11,4,FALSE)</f>
        <v>78357812.314865902</v>
      </c>
    </row>
    <row r="1289" spans="1:6" x14ac:dyDescent="0.2">
      <c r="A1289">
        <v>2021</v>
      </c>
      <c r="B1289" s="1" t="s">
        <v>104</v>
      </c>
      <c r="C1289" s="7">
        <v>65509</v>
      </c>
      <c r="D1289" s="6">
        <v>2.9728999999999999E-5</v>
      </c>
      <c r="E1289" s="17">
        <v>4.1781370002888447E-4</v>
      </c>
      <c r="F1289">
        <f>E1289* VLOOKUP(A1289,Check!A$2:F$11,4,FALSE)</f>
        <v>855153.51554244768</v>
      </c>
    </row>
    <row r="1290" spans="1:6" x14ac:dyDescent="0.2">
      <c r="A1290">
        <v>2021</v>
      </c>
      <c r="B1290" s="1" t="s">
        <v>105</v>
      </c>
      <c r="C1290" s="7">
        <v>75604</v>
      </c>
      <c r="D1290" s="6">
        <v>3.4310000000000002E-5</v>
      </c>
      <c r="E1290" s="17">
        <v>4.8219919365253297E-4</v>
      </c>
      <c r="F1290">
        <f>E1290* VLOOKUP(A1290,Check!A$2:F$11,4,FALSE)</f>
        <v>986933.49599400407</v>
      </c>
    </row>
    <row r="1291" spans="1:6" x14ac:dyDescent="0.2">
      <c r="A1291">
        <v>2021</v>
      </c>
      <c r="B1291" s="1" t="s">
        <v>106</v>
      </c>
      <c r="C1291" s="7">
        <v>537246</v>
      </c>
      <c r="D1291" s="6">
        <v>2.4381199999999999E-4</v>
      </c>
      <c r="E1291" s="17">
        <v>3.4265328288589059E-3</v>
      </c>
      <c r="F1291">
        <f>E1291* VLOOKUP(A1291,Check!A$2:F$11,4,FALSE)</f>
        <v>7013201.3251784919</v>
      </c>
    </row>
    <row r="1292" spans="1:6" x14ac:dyDescent="0.2">
      <c r="A1292">
        <v>2021</v>
      </c>
      <c r="B1292" s="1" t="s">
        <v>107</v>
      </c>
      <c r="C1292" s="7">
        <v>1002028</v>
      </c>
      <c r="D1292" s="6">
        <v>4.5473900000000001E-4</v>
      </c>
      <c r="E1292" s="17">
        <v>6.3908932545534668E-3</v>
      </c>
      <c r="F1292">
        <f>E1292* VLOOKUP(A1292,Check!A$2:F$11,4,FALSE)</f>
        <v>13080458.667846674</v>
      </c>
    </row>
    <row r="1293" spans="1:6" x14ac:dyDescent="0.2">
      <c r="A1293">
        <v>2021</v>
      </c>
      <c r="B1293" s="1" t="s">
        <v>108</v>
      </c>
      <c r="C1293" s="7">
        <v>986224</v>
      </c>
      <c r="D1293" s="6">
        <v>4.4756700000000001E-4</v>
      </c>
      <c r="E1293" s="17">
        <v>6.2900959944020909E-3</v>
      </c>
      <c r="F1293">
        <f>E1293* VLOOKUP(A1293,Check!A$2:F$11,4,FALSE)</f>
        <v>12874153.485968873</v>
      </c>
    </row>
    <row r="1294" spans="1:6" x14ac:dyDescent="0.2">
      <c r="A1294">
        <v>2021</v>
      </c>
      <c r="B1294" s="1" t="s">
        <v>109</v>
      </c>
      <c r="C1294" s="7">
        <v>422352</v>
      </c>
      <c r="D1294" s="6">
        <v>1.91671E-4</v>
      </c>
      <c r="E1294" s="17">
        <v>2.6937436357538573E-3</v>
      </c>
      <c r="F1294">
        <f>E1294* VLOOKUP(A1294,Check!A$2:F$11,4,FALSE)</f>
        <v>5513376.7512308825</v>
      </c>
    </row>
    <row r="1295" spans="1:6" x14ac:dyDescent="0.2">
      <c r="A1295">
        <v>2021</v>
      </c>
      <c r="B1295" s="1" t="s">
        <v>110</v>
      </c>
      <c r="C1295" s="7">
        <v>158700</v>
      </c>
      <c r="D1295" s="6">
        <v>7.2020999999999994E-5</v>
      </c>
      <c r="E1295" s="17">
        <v>1.0121820542915319E-3</v>
      </c>
      <c r="F1295">
        <f>E1295* VLOOKUP(A1295,Check!A$2:F$11,4,FALSE)</f>
        <v>2071667.4490006936</v>
      </c>
    </row>
    <row r="1296" spans="1:6" x14ac:dyDescent="0.2">
      <c r="A1296">
        <v>2021</v>
      </c>
      <c r="B1296" s="1" t="s">
        <v>111</v>
      </c>
      <c r="C1296" s="7">
        <v>11246</v>
      </c>
      <c r="D1296" s="6">
        <v>5.1039999999999998E-6</v>
      </c>
      <c r="E1296" s="17">
        <v>7.1726524149732634E-5</v>
      </c>
      <c r="F1296">
        <f>E1296* VLOOKUP(A1296,Check!A$2:F$11,4,FALSE)</f>
        <v>146805.11740051545</v>
      </c>
    </row>
    <row r="1297" spans="1:6" x14ac:dyDescent="0.2">
      <c r="A1297">
        <v>2021</v>
      </c>
      <c r="B1297" s="1" t="s">
        <v>112</v>
      </c>
      <c r="C1297" s="7">
        <v>60990</v>
      </c>
      <c r="D1297" s="6">
        <v>2.7678000000000002E-5</v>
      </c>
      <c r="E1297" s="17">
        <v>3.8899170441865491E-4</v>
      </c>
      <c r="F1297">
        <f>E1297* VLOOKUP(A1297,Check!A$2:F$11,4,FALSE)</f>
        <v>796162.55648741219</v>
      </c>
    </row>
    <row r="1298" spans="1:6" x14ac:dyDescent="0.2">
      <c r="A1298">
        <v>2021</v>
      </c>
      <c r="B1298" s="1" t="s">
        <v>113</v>
      </c>
      <c r="C1298" s="7">
        <v>393620</v>
      </c>
      <c r="D1298" s="6">
        <v>1.7863199999999999E-4</v>
      </c>
      <c r="E1298" s="17">
        <v>2.5104921248281843E-3</v>
      </c>
      <c r="F1298">
        <f>E1298* VLOOKUP(A1298,Check!A$2:F$11,4,FALSE)</f>
        <v>5138309.6488699</v>
      </c>
    </row>
    <row r="1299" spans="1:6" x14ac:dyDescent="0.2">
      <c r="A1299">
        <v>2021</v>
      </c>
      <c r="B1299" s="1" t="s">
        <v>114</v>
      </c>
      <c r="C1299" s="7" t="s">
        <v>6</v>
      </c>
      <c r="D1299" s="6">
        <v>0</v>
      </c>
      <c r="F1299">
        <f>E1299* VLOOKUP(A1299,Check!A$2:F$11,4,FALSE)</f>
        <v>0</v>
      </c>
    </row>
    <row r="1300" spans="1:6" x14ac:dyDescent="0.2">
      <c r="A1300">
        <v>2021</v>
      </c>
      <c r="B1300" s="1" t="s">
        <v>115</v>
      </c>
      <c r="C1300" s="7">
        <v>96727</v>
      </c>
      <c r="D1300" s="6">
        <v>4.3896999999999997E-5</v>
      </c>
      <c r="E1300" s="17">
        <v>6.1692081641749857E-4</v>
      </c>
      <c r="F1300">
        <f>E1300* VLOOKUP(A1300,Check!A$2:F$11,4,FALSE)</f>
        <v>1262672.8250755521</v>
      </c>
    </row>
    <row r="1301" spans="1:6" x14ac:dyDescent="0.2">
      <c r="A1301">
        <v>2021</v>
      </c>
      <c r="B1301" s="1" t="s">
        <v>233</v>
      </c>
      <c r="C1301" s="7">
        <v>53213</v>
      </c>
      <c r="D1301" s="6">
        <v>2.4148999999999999E-5</v>
      </c>
      <c r="E1301" s="17">
        <v>3.3939031918724192E-4</v>
      </c>
      <c r="F1301">
        <f>E1301* VLOOKUP(A1301,Check!A$2:F$11,4,FALSE)</f>
        <v>694641.71369674802</v>
      </c>
    </row>
    <row r="1302" spans="1:6" x14ac:dyDescent="0.2">
      <c r="A1302">
        <v>2021</v>
      </c>
      <c r="B1302" t="s">
        <v>116</v>
      </c>
      <c r="C1302" s="7">
        <v>231769</v>
      </c>
      <c r="D1302" s="6">
        <v>1.0518099999999999E-4</v>
      </c>
      <c r="E1302" s="17">
        <v>1.4782131225021681E-3</v>
      </c>
      <c r="F1302">
        <f>E1302* VLOOKUP(A1302,Check!A$2:F$11,4,FALSE)</f>
        <v>3025509.0925484672</v>
      </c>
    </row>
    <row r="1303" spans="1:6" x14ac:dyDescent="0.2">
      <c r="A1303">
        <v>2021</v>
      </c>
      <c r="B1303" t="s">
        <v>117</v>
      </c>
      <c r="C1303" s="7" t="s">
        <v>6</v>
      </c>
      <c r="D1303" s="6">
        <v>0</v>
      </c>
      <c r="F1303">
        <f>E1303* VLOOKUP(A1303,Check!A$2:F$11,4,FALSE)</f>
        <v>0</v>
      </c>
    </row>
    <row r="1304" spans="1:6" x14ac:dyDescent="0.2">
      <c r="A1304">
        <v>2021</v>
      </c>
      <c r="B1304" t="s">
        <v>118</v>
      </c>
      <c r="C1304" s="7">
        <v>67425</v>
      </c>
      <c r="D1304" s="6">
        <v>3.0599000000000003E-5</v>
      </c>
      <c r="E1304" s="17">
        <v>4.3003386900193158E-4</v>
      </c>
      <c r="F1304">
        <f>E1304* VLOOKUP(A1304,Check!A$2:F$11,4,FALSE)</f>
        <v>880164.95115861227</v>
      </c>
    </row>
    <row r="1305" spans="1:6" x14ac:dyDescent="0.2">
      <c r="A1305">
        <v>2021</v>
      </c>
      <c r="B1305" t="s">
        <v>119</v>
      </c>
      <c r="C1305" s="7">
        <v>86398</v>
      </c>
      <c r="D1305" s="6">
        <v>3.9208999999999997E-5</v>
      </c>
      <c r="E1305" s="17">
        <v>5.5104288044536729E-4</v>
      </c>
      <c r="F1305">
        <f>E1305* VLOOKUP(A1305,Check!A$2:F$11,4,FALSE)</f>
        <v>1127838.2120904976</v>
      </c>
    </row>
    <row r="1306" spans="1:6" x14ac:dyDescent="0.2">
      <c r="A1306">
        <v>2021</v>
      </c>
      <c r="B1306" t="s">
        <v>120</v>
      </c>
      <c r="C1306" s="7">
        <v>905142</v>
      </c>
      <c r="D1306" s="6">
        <v>4.1077000000000003E-4</v>
      </c>
      <c r="E1306" s="17">
        <v>5.772958342694051E-3</v>
      </c>
      <c r="F1306">
        <f>E1306* VLOOKUP(A1306,Check!A$2:F$11,4,FALSE)</f>
        <v>11815710.259126566</v>
      </c>
    </row>
    <row r="1307" spans="1:6" x14ac:dyDescent="0.2">
      <c r="A1307">
        <v>2021</v>
      </c>
      <c r="B1307" t="s">
        <v>121</v>
      </c>
      <c r="C1307" s="7">
        <v>1812618</v>
      </c>
      <c r="D1307" s="6">
        <v>8.2260000000000005E-4</v>
      </c>
      <c r="E1307" s="17">
        <v>1.1560802841120404E-2</v>
      </c>
      <c r="F1307">
        <f>E1307* VLOOKUP(A1307,Check!A$2:F$11,4,FALSE)</f>
        <v>23661888.519676998</v>
      </c>
    </row>
    <row r="1308" spans="1:6" x14ac:dyDescent="0.2">
      <c r="A1308">
        <v>2021</v>
      </c>
      <c r="B1308" t="s">
        <v>122</v>
      </c>
      <c r="C1308" s="7" t="s">
        <v>6</v>
      </c>
      <c r="D1308" s="6">
        <v>0</v>
      </c>
      <c r="F1308">
        <f>E1308* VLOOKUP(A1308,Check!A$2:F$11,4,FALSE)</f>
        <v>0</v>
      </c>
    </row>
    <row r="1309" spans="1:6" x14ac:dyDescent="0.2">
      <c r="A1309">
        <v>2021</v>
      </c>
      <c r="B1309" t="s">
        <v>123</v>
      </c>
      <c r="C1309" s="7" t="s">
        <v>6</v>
      </c>
      <c r="D1309" s="6">
        <v>0</v>
      </c>
      <c r="F1309">
        <f>E1309* VLOOKUP(A1309,Check!A$2:F$11,4,FALSE)</f>
        <v>0</v>
      </c>
    </row>
    <row r="1310" spans="1:6" x14ac:dyDescent="0.2">
      <c r="A1310">
        <v>2021</v>
      </c>
      <c r="B1310" t="s">
        <v>124</v>
      </c>
      <c r="C1310" s="7" t="s">
        <v>6</v>
      </c>
      <c r="D1310" s="6">
        <v>0</v>
      </c>
      <c r="F1310">
        <f>E1310* VLOOKUP(A1310,Check!A$2:F$11,4,FALSE)</f>
        <v>0</v>
      </c>
    </row>
    <row r="1311" spans="1:6" x14ac:dyDescent="0.2">
      <c r="A1311">
        <v>2021</v>
      </c>
      <c r="B1311" t="s">
        <v>125</v>
      </c>
      <c r="C1311" s="7">
        <v>39942</v>
      </c>
      <c r="D1311" s="6">
        <v>1.8125999999999999E-5</v>
      </c>
      <c r="E1311" s="17">
        <v>2.547484285602544E-4</v>
      </c>
      <c r="F1311">
        <f>E1311* VLOOKUP(A1311,Check!A$2:F$11,4,FALSE)</f>
        <v>521402.27629480604</v>
      </c>
    </row>
    <row r="1312" spans="1:6" x14ac:dyDescent="0.2">
      <c r="A1312">
        <v>2021</v>
      </c>
      <c r="B1312" t="s">
        <v>126</v>
      </c>
      <c r="C1312" s="7">
        <v>155930</v>
      </c>
      <c r="D1312" s="6">
        <v>7.0764000000000002E-5</v>
      </c>
      <c r="E1312" s="17">
        <v>9.9451510854239823E-4</v>
      </c>
      <c r="F1312">
        <f>E1312* VLOOKUP(A1312,Check!A$2:F$11,4,FALSE)</f>
        <v>2035507.9100357795</v>
      </c>
    </row>
    <row r="1313" spans="1:6" x14ac:dyDescent="0.2">
      <c r="A1313">
        <v>2021</v>
      </c>
      <c r="B1313" t="s">
        <v>234</v>
      </c>
      <c r="C1313" s="7">
        <v>100205</v>
      </c>
      <c r="D1313" s="6">
        <v>4.5475000000000001E-5</v>
      </c>
      <c r="E1313" s="17">
        <v>6.391033569646059E-4</v>
      </c>
      <c r="F1313">
        <f>E1313* VLOOKUP(A1313,Check!A$2:F$11,4,FALSE)</f>
        <v>1308074.5855520763</v>
      </c>
    </row>
    <row r="1314" spans="1:6" x14ac:dyDescent="0.2">
      <c r="A1314">
        <v>2021</v>
      </c>
      <c r="B1314" t="s">
        <v>127</v>
      </c>
      <c r="C1314" s="7">
        <v>257722</v>
      </c>
      <c r="D1314" s="6">
        <v>1.16959E-4</v>
      </c>
      <c r="E1314" s="17">
        <v>1.6437402860499195E-3</v>
      </c>
      <c r="F1314">
        <f>E1314* VLOOKUP(A1314,Check!A$2:F$11,4,FALSE)</f>
        <v>3364299.1700778627</v>
      </c>
    </row>
    <row r="1315" spans="1:6" x14ac:dyDescent="0.2">
      <c r="A1315">
        <v>2021</v>
      </c>
      <c r="B1315" t="s">
        <v>128</v>
      </c>
      <c r="C1315" s="7">
        <v>372994</v>
      </c>
      <c r="D1315" s="6">
        <v>1.6927199999999999E-4</v>
      </c>
      <c r="E1315" s="17">
        <v>2.3789403475640561E-3</v>
      </c>
      <c r="F1315">
        <f>E1315* VLOOKUP(A1315,Check!A$2:F$11,4,FALSE)</f>
        <v>4869058.1504257387</v>
      </c>
    </row>
    <row r="1316" spans="1:6" x14ac:dyDescent="0.2">
      <c r="A1316">
        <v>2021</v>
      </c>
      <c r="B1316" t="s">
        <v>129</v>
      </c>
      <c r="C1316" s="7">
        <v>54988</v>
      </c>
      <c r="D1316" s="6">
        <v>2.4955000000000001E-5</v>
      </c>
      <c r="E1316" s="17">
        <v>3.5071119597594681E-4</v>
      </c>
      <c r="F1316">
        <f>E1316* VLOOKUP(A1316,Check!A$2:F$11,4,FALSE)</f>
        <v>717812.53740170226</v>
      </c>
    </row>
    <row r="1317" spans="1:6" x14ac:dyDescent="0.2">
      <c r="A1317">
        <v>2021</v>
      </c>
      <c r="B1317" t="s">
        <v>130</v>
      </c>
      <c r="C1317" s="7">
        <v>99081</v>
      </c>
      <c r="D1317" s="6">
        <v>4.4965000000000001E-5</v>
      </c>
      <c r="E1317" s="17">
        <v>6.3193453132488525E-4</v>
      </c>
      <c r="F1317">
        <f>E1317* VLOOKUP(A1317,Check!A$2:F$11,4,FALSE)</f>
        <v>1293401.9062031365</v>
      </c>
    </row>
    <row r="1318" spans="1:6" x14ac:dyDescent="0.2">
      <c r="A1318">
        <v>2021</v>
      </c>
      <c r="B1318" t="s">
        <v>131</v>
      </c>
      <c r="C1318" s="7">
        <v>103785</v>
      </c>
      <c r="D1318" s="6">
        <v>4.71E-5</v>
      </c>
      <c r="E1318" s="17">
        <v>6.6193644930464179E-4</v>
      </c>
      <c r="F1318">
        <f>E1318* VLOOKUP(A1318,Check!A$2:F$11,4,FALSE)</f>
        <v>1354807.8525175615</v>
      </c>
    </row>
    <row r="1319" spans="1:6" x14ac:dyDescent="0.2">
      <c r="A1319">
        <v>2021</v>
      </c>
      <c r="B1319" t="s">
        <v>133</v>
      </c>
      <c r="C1319" s="7">
        <v>74665</v>
      </c>
      <c r="D1319" s="6">
        <v>3.3884000000000003E-5</v>
      </c>
      <c r="E1319" s="17">
        <v>4.7621029038233924E-4</v>
      </c>
      <c r="F1319">
        <f>E1319* VLOOKUP(A1319,Check!A$2:F$11,4,FALSE)</f>
        <v>974675.80390445364</v>
      </c>
    </row>
    <row r="1320" spans="1:6" x14ac:dyDescent="0.2">
      <c r="A1320">
        <v>2021</v>
      </c>
      <c r="B1320" t="s">
        <v>134</v>
      </c>
      <c r="C1320" s="7">
        <v>168752</v>
      </c>
      <c r="D1320" s="6">
        <v>7.6582999999999995E-5</v>
      </c>
      <c r="E1320" s="17">
        <v>1.0762932956887498E-3</v>
      </c>
      <c r="F1320">
        <f>E1320* VLOOKUP(A1320,Check!A$2:F$11,4,FALSE)</f>
        <v>2202886.1080892566</v>
      </c>
    </row>
    <row r="1321" spans="1:6" x14ac:dyDescent="0.2">
      <c r="A1321">
        <v>2021</v>
      </c>
      <c r="B1321" t="s">
        <v>216</v>
      </c>
      <c r="C1321" s="7">
        <v>172025</v>
      </c>
      <c r="D1321" s="6">
        <v>7.8067999999999999E-5</v>
      </c>
      <c r="E1321" s="17">
        <v>1.0971683546912464E-3</v>
      </c>
      <c r="F1321">
        <f>E1321* VLOOKUP(A1321,Check!A$2:F$11,4,FALSE)</f>
        <v>2245611.8016026737</v>
      </c>
    </row>
    <row r="1322" spans="1:6" x14ac:dyDescent="0.2">
      <c r="A1322">
        <v>2021</v>
      </c>
      <c r="B1322" t="s">
        <v>135</v>
      </c>
      <c r="C1322" s="7">
        <v>15298</v>
      </c>
      <c r="D1322" s="6">
        <v>6.9430000000000003E-6</v>
      </c>
      <c r="E1322" s="17">
        <v>9.7570013021750835E-5</v>
      </c>
      <c r="F1322">
        <f>E1322* VLOOKUP(A1322,Check!A$2:F$11,4,FALSE)</f>
        <v>199699.8653737405</v>
      </c>
    </row>
    <row r="1323" spans="1:6" x14ac:dyDescent="0.2">
      <c r="A1323">
        <v>2021</v>
      </c>
      <c r="B1323" t="s">
        <v>136</v>
      </c>
      <c r="C1323" s="7">
        <v>469033</v>
      </c>
      <c r="D1323" s="6">
        <v>2.1285600000000001E-4</v>
      </c>
      <c r="E1323" s="17">
        <v>2.991473128358665E-3</v>
      </c>
      <c r="F1323">
        <f>E1323* VLOOKUP(A1323,Check!A$2:F$11,4,FALSE)</f>
        <v>6122749.8336933991</v>
      </c>
    </row>
    <row r="1324" spans="1:6" x14ac:dyDescent="0.2">
      <c r="A1324">
        <v>2021</v>
      </c>
      <c r="B1324" t="s">
        <v>137</v>
      </c>
      <c r="C1324" s="7">
        <v>20395258</v>
      </c>
      <c r="D1324" s="6">
        <v>9.2557460000000005E-3</v>
      </c>
      <c r="E1324" s="17">
        <v>0.13008011430526656</v>
      </c>
      <c r="F1324">
        <f>E1324* VLOOKUP(A1324,Check!A$2:F$11,4,FALSE)</f>
        <v>266239395.79439819</v>
      </c>
    </row>
    <row r="1325" spans="1:6" x14ac:dyDescent="0.2">
      <c r="A1325">
        <v>2021</v>
      </c>
      <c r="B1325" t="s">
        <v>138</v>
      </c>
      <c r="C1325" s="7">
        <v>373827</v>
      </c>
      <c r="D1325" s="6">
        <v>1.6965E-4</v>
      </c>
      <c r="E1325" s="17">
        <v>2.3842531872063045E-3</v>
      </c>
      <c r="F1325">
        <f>E1325* VLOOKUP(A1325,Check!A$2:F$11,4,FALSE)</f>
        <v>4879932.1200855849</v>
      </c>
    </row>
    <row r="1326" spans="1:6" x14ac:dyDescent="0.2">
      <c r="A1326">
        <v>2021</v>
      </c>
      <c r="B1326" t="s">
        <v>139</v>
      </c>
      <c r="C1326" s="7">
        <v>22772302</v>
      </c>
      <c r="D1326" s="6">
        <v>1.0334492000000001E-2</v>
      </c>
      <c r="E1326" s="17">
        <v>0.14524080289418503</v>
      </c>
      <c r="F1326">
        <f>E1326* VLOOKUP(A1326,Check!A$2:F$11,4,FALSE)</f>
        <v>297269292.95660621</v>
      </c>
    </row>
    <row r="1327" spans="1:6" x14ac:dyDescent="0.2">
      <c r="A1327">
        <v>2021</v>
      </c>
      <c r="B1327" t="s">
        <v>140</v>
      </c>
      <c r="C1327" s="7">
        <v>29258</v>
      </c>
      <c r="D1327" s="6">
        <v>1.3278000000000001E-5</v>
      </c>
      <c r="E1327" s="17">
        <v>1.8660631723038212E-4</v>
      </c>
      <c r="F1327">
        <f>E1327* VLOOKUP(A1327,Check!A$2:F$11,4,FALSE)</f>
        <v>381933.49856876052</v>
      </c>
    </row>
    <row r="1328" spans="1:6" x14ac:dyDescent="0.2">
      <c r="A1328">
        <v>2021</v>
      </c>
      <c r="B1328" t="s">
        <v>141</v>
      </c>
      <c r="C1328" s="7">
        <v>59267</v>
      </c>
      <c r="D1328" s="6">
        <v>2.6896000000000001E-5</v>
      </c>
      <c r="E1328" s="17">
        <v>3.7800248148516842E-4</v>
      </c>
      <c r="F1328">
        <f>E1328* VLOOKUP(A1328,Check!A$2:F$11,4,FALSE)</f>
        <v>773670.54001212423</v>
      </c>
    </row>
    <row r="1329" spans="1:6" x14ac:dyDescent="0.2">
      <c r="A1329">
        <v>2021</v>
      </c>
      <c r="B1329" t="s">
        <v>142</v>
      </c>
      <c r="C1329" s="7">
        <v>87427</v>
      </c>
      <c r="D1329" s="6">
        <v>3.9675999999999998E-5</v>
      </c>
      <c r="E1329" s="17">
        <v>5.5760580000343901E-4</v>
      </c>
      <c r="F1329">
        <f>E1329* VLOOKUP(A1329,Check!A$2:F$11,4,FALSE)</f>
        <v>1141270.7628467779</v>
      </c>
    </row>
    <row r="1330" spans="1:6" x14ac:dyDescent="0.2">
      <c r="A1330">
        <v>2021</v>
      </c>
      <c r="B1330" t="s">
        <v>143</v>
      </c>
      <c r="C1330" s="7">
        <v>34567</v>
      </c>
      <c r="D1330" s="6">
        <v>1.5687000000000001E-5</v>
      </c>
      <c r="E1330" s="17">
        <v>2.2046690025642965E-4</v>
      </c>
      <c r="F1330">
        <f>E1330* VLOOKUP(A1330,Check!A$2:F$11,4,FALSE)</f>
        <v>451237.1059206489</v>
      </c>
    </row>
    <row r="1331" spans="1:6" x14ac:dyDescent="0.2">
      <c r="A1331">
        <v>2021</v>
      </c>
      <c r="B1331" t="s">
        <v>144</v>
      </c>
      <c r="C1331" s="7">
        <v>143063</v>
      </c>
      <c r="D1331" s="6">
        <v>6.4925000000000006E-5</v>
      </c>
      <c r="E1331" s="17">
        <v>9.1244991325210736E-4</v>
      </c>
      <c r="F1331">
        <f>E1331* VLOOKUP(A1331,Check!A$2:F$11,4,FALSE)</f>
        <v>1867542.2826489366</v>
      </c>
    </row>
    <row r="1332" spans="1:6" x14ac:dyDescent="0.2">
      <c r="A1332">
        <v>2021</v>
      </c>
      <c r="B1332" t="s">
        <v>145</v>
      </c>
      <c r="C1332" s="7">
        <v>2618687</v>
      </c>
      <c r="D1332" s="6">
        <v>1.1884090000000001E-3</v>
      </c>
      <c r="E1332" s="17">
        <v>1.6701877676159604E-2</v>
      </c>
      <c r="F1332">
        <f>E1332* VLOOKUP(A1332,Check!A$2:F$11,4,FALSE)</f>
        <v>34184301.304481916</v>
      </c>
    </row>
    <row r="1333" spans="1:6" x14ac:dyDescent="0.2">
      <c r="A1333">
        <v>2021</v>
      </c>
      <c r="B1333" t="s">
        <v>146</v>
      </c>
      <c r="C1333" s="7">
        <v>632990</v>
      </c>
      <c r="D1333" s="6">
        <v>2.87263E-4</v>
      </c>
      <c r="E1333" s="17">
        <v>4.0371841118210265E-3</v>
      </c>
      <c r="F1333">
        <f>E1333* VLOOKUP(A1333,Check!A$2:F$11,4,FALSE)</f>
        <v>8263042.0828163158</v>
      </c>
    </row>
    <row r="1334" spans="1:6" x14ac:dyDescent="0.2">
      <c r="A1334">
        <v>2021</v>
      </c>
      <c r="B1334" t="s">
        <v>147</v>
      </c>
      <c r="C1334" s="7">
        <v>39831</v>
      </c>
      <c r="D1334" s="6">
        <v>1.8076000000000001E-5</v>
      </c>
      <c r="E1334" s="17">
        <v>2.5404047513853819E-4</v>
      </c>
      <c r="F1334">
        <f>E1334* VLOOKUP(A1334,Check!A$2:F$11,4,FALSE)</f>
        <v>519953.28393917222</v>
      </c>
    </row>
    <row r="1335" spans="1:6" x14ac:dyDescent="0.2">
      <c r="A1335">
        <v>2021</v>
      </c>
      <c r="B1335" t="s">
        <v>148</v>
      </c>
      <c r="C1335" s="7">
        <v>1187375</v>
      </c>
      <c r="D1335" s="6">
        <v>5.3885300000000005E-4</v>
      </c>
      <c r="E1335" s="17">
        <v>7.5730287757681649E-3</v>
      </c>
      <c r="F1335">
        <f>E1335* VLOOKUP(A1335,Check!A$2:F$11,4,FALSE)</f>
        <v>15499975.66009577</v>
      </c>
    </row>
    <row r="1336" spans="1:6" x14ac:dyDescent="0.2">
      <c r="A1336">
        <v>2021</v>
      </c>
      <c r="B1336" t="s">
        <v>149</v>
      </c>
      <c r="C1336" s="7">
        <v>17517</v>
      </c>
      <c r="D1336" s="6">
        <v>7.9500000000000001E-6</v>
      </c>
      <c r="E1336" s="17">
        <v>1.1172270349732052E-4</v>
      </c>
      <c r="F1336">
        <f>E1336* VLOOKUP(A1336,Check!A$2:F$11,4,FALSE)</f>
        <v>228666.65850122971</v>
      </c>
    </row>
    <row r="1337" spans="1:6" x14ac:dyDescent="0.2">
      <c r="A1337">
        <v>2021</v>
      </c>
      <c r="B1337" t="s">
        <v>150</v>
      </c>
      <c r="C1337" s="7">
        <v>44817</v>
      </c>
      <c r="D1337" s="6">
        <v>2.0339E-5</v>
      </c>
      <c r="E1337" s="17">
        <v>2.8584097748697915E-4</v>
      </c>
      <c r="F1337">
        <f>E1337* VLOOKUP(A1337,Check!A$2:F$11,4,FALSE)</f>
        <v>585040.4540760183</v>
      </c>
    </row>
    <row r="1338" spans="1:6" x14ac:dyDescent="0.2">
      <c r="A1338">
        <v>2021</v>
      </c>
      <c r="B1338" t="s">
        <v>151</v>
      </c>
      <c r="C1338" s="7">
        <v>43000</v>
      </c>
      <c r="D1338" s="6">
        <v>1.9514E-5</v>
      </c>
      <c r="E1338" s="17">
        <v>2.7425222643059785E-4</v>
      </c>
      <c r="F1338">
        <f>E1338* VLOOKUP(A1338,Check!A$2:F$11,4,FALSE)</f>
        <v>561321.36299325665</v>
      </c>
    </row>
    <row r="1339" spans="1:6" x14ac:dyDescent="0.2">
      <c r="A1339">
        <v>2021</v>
      </c>
      <c r="B1339" t="s">
        <v>152</v>
      </c>
      <c r="C1339" s="7">
        <v>1167784</v>
      </c>
      <c r="D1339" s="6">
        <v>5.2996200000000003E-4</v>
      </c>
      <c r="E1339" s="17">
        <v>7.448078185814634E-3</v>
      </c>
      <c r="F1339">
        <f>E1339* VLOOKUP(A1339,Check!A$2:F$11,4,FALSE)</f>
        <v>15244235.036319006</v>
      </c>
    </row>
    <row r="1340" spans="1:6" x14ac:dyDescent="0.2">
      <c r="A1340">
        <v>2021</v>
      </c>
      <c r="B1340" t="s">
        <v>230</v>
      </c>
      <c r="C1340" s="7">
        <v>3124595</v>
      </c>
      <c r="D1340" s="6">
        <v>1.4179990000000001E-3</v>
      </c>
      <c r="E1340" s="17">
        <v>1.9928538033579392E-2</v>
      </c>
      <c r="F1340">
        <f>E1340* VLOOKUP(A1340,Check!A$2:F$11,4,FALSE)</f>
        <v>40788416.841904998</v>
      </c>
    </row>
    <row r="1341" spans="1:6" x14ac:dyDescent="0.2">
      <c r="A1341">
        <v>2021</v>
      </c>
      <c r="B1341" t="s">
        <v>154</v>
      </c>
      <c r="C1341" s="7">
        <v>704938</v>
      </c>
      <c r="D1341" s="6">
        <v>3.1991399999999997E-4</v>
      </c>
      <c r="E1341" s="17">
        <v>4.4960654882682041E-3</v>
      </c>
      <c r="F1341">
        <f>E1341* VLOOKUP(A1341,Check!A$2:F$11,4,FALSE)</f>
        <v>9202250.2089707069</v>
      </c>
    </row>
    <row r="1342" spans="1:6" x14ac:dyDescent="0.2">
      <c r="A1342">
        <v>2021</v>
      </c>
      <c r="B1342" t="s">
        <v>155</v>
      </c>
      <c r="C1342" s="7">
        <v>93489</v>
      </c>
      <c r="D1342" s="6">
        <v>4.2426999999999999E-5</v>
      </c>
      <c r="E1342" s="17">
        <v>5.9626898597139909E-4</v>
      </c>
      <c r="F1342">
        <f>E1342* VLOOKUP(A1342,Check!A$2:F$11,4,FALSE)</f>
        <v>1220404.0210436413</v>
      </c>
    </row>
    <row r="1343" spans="1:6" x14ac:dyDescent="0.2">
      <c r="A1343">
        <v>2021</v>
      </c>
      <c r="B1343" t="s">
        <v>156</v>
      </c>
      <c r="C1343" s="7">
        <v>842491</v>
      </c>
      <c r="D1343" s="6">
        <v>3.8233800000000002E-4</v>
      </c>
      <c r="E1343" s="17">
        <v>5.3733728487846697E-3</v>
      </c>
      <c r="F1343">
        <f>E1343* VLOOKUP(A1343,Check!A$2:F$11,4,FALSE)</f>
        <v>10997865.03324539</v>
      </c>
    </row>
    <row r="1344" spans="1:6" x14ac:dyDescent="0.2">
      <c r="A1344">
        <v>2021</v>
      </c>
      <c r="B1344" t="s">
        <v>157</v>
      </c>
      <c r="C1344" s="7">
        <v>13069</v>
      </c>
      <c r="D1344" s="6">
        <v>5.9309999999999996E-6</v>
      </c>
      <c r="E1344" s="17">
        <v>8.3353542958639136E-5</v>
      </c>
      <c r="F1344">
        <f>E1344* VLOOKUP(A1344,Check!A$2:F$11,4,FALSE)</f>
        <v>170602.53239439236</v>
      </c>
    </row>
    <row r="1345" spans="1:6" x14ac:dyDescent="0.2">
      <c r="A1345">
        <v>2021</v>
      </c>
      <c r="B1345" t="s">
        <v>158</v>
      </c>
      <c r="C1345" s="7">
        <v>323965</v>
      </c>
      <c r="D1345" s="6">
        <v>1.47021E-4</v>
      </c>
      <c r="E1345" s="17">
        <v>2.0662354078043866E-3</v>
      </c>
      <c r="F1345">
        <f>E1345* VLOOKUP(A1345,Check!A$2:F$11,4,FALSE)</f>
        <v>4229034.3107467536</v>
      </c>
    </row>
    <row r="1346" spans="1:6" x14ac:dyDescent="0.2">
      <c r="A1346">
        <v>2021</v>
      </c>
      <c r="B1346" t="s">
        <v>159</v>
      </c>
      <c r="C1346" s="7">
        <v>95732</v>
      </c>
      <c r="D1346" s="6">
        <v>4.3445000000000002E-5</v>
      </c>
      <c r="E1346" s="17">
        <v>6.1057474745706956E-4</v>
      </c>
      <c r="F1346">
        <f>E1346* VLOOKUP(A1346,Check!A$2:F$11,4,FALSE)</f>
        <v>1249684.1098155917</v>
      </c>
    </row>
    <row r="1347" spans="1:6" x14ac:dyDescent="0.2">
      <c r="A1347">
        <v>2021</v>
      </c>
      <c r="B1347" t="s">
        <v>160</v>
      </c>
      <c r="C1347" s="7">
        <v>235574</v>
      </c>
      <c r="D1347" s="6">
        <v>1.06908E-4</v>
      </c>
      <c r="E1347" s="17">
        <v>1.5024812555618989E-3</v>
      </c>
      <c r="F1347">
        <f>E1347* VLOOKUP(A1347,Check!A$2:F$11,4,FALSE)</f>
        <v>3075179.5061807777</v>
      </c>
    </row>
    <row r="1348" spans="1:6" x14ac:dyDescent="0.2">
      <c r="A1348">
        <v>2021</v>
      </c>
      <c r="B1348" t="s">
        <v>161</v>
      </c>
      <c r="C1348" s="7">
        <v>616924</v>
      </c>
      <c r="D1348" s="6">
        <v>2.7997200000000002E-4</v>
      </c>
      <c r="E1348" s="17">
        <v>3.93471582647605E-3</v>
      </c>
      <c r="F1348">
        <f>E1348* VLOOKUP(A1348,Check!A$2:F$11,4,FALSE)</f>
        <v>8053316.7568198116</v>
      </c>
    </row>
    <row r="1349" spans="1:6" x14ac:dyDescent="0.2">
      <c r="A1349">
        <v>2021</v>
      </c>
      <c r="B1349" t="s">
        <v>162</v>
      </c>
      <c r="C1349" s="7">
        <v>1619548</v>
      </c>
      <c r="D1349" s="6">
        <v>7.34981E-4</v>
      </c>
      <c r="E1349" s="17">
        <v>1.032941034444702E-2</v>
      </c>
      <c r="F1349">
        <f>E1349* VLOOKUP(A1349,Check!A$2:F$11,4,FALSE)</f>
        <v>21141555.599837277</v>
      </c>
    </row>
    <row r="1350" spans="1:6" x14ac:dyDescent="0.2">
      <c r="A1350">
        <v>2021</v>
      </c>
      <c r="B1350" t="s">
        <v>163</v>
      </c>
      <c r="C1350" s="7">
        <v>2903407</v>
      </c>
      <c r="D1350" s="6">
        <v>1.31762E-3</v>
      </c>
      <c r="E1350" s="17">
        <v>1.8517810092655414E-2</v>
      </c>
      <c r="F1350">
        <f>E1350* VLOOKUP(A1350,Check!A$2:F$11,4,FALSE)</f>
        <v>37901031.966608427</v>
      </c>
    </row>
    <row r="1351" spans="1:6" x14ac:dyDescent="0.2">
      <c r="A1351">
        <v>2021</v>
      </c>
      <c r="B1351" t="s">
        <v>164</v>
      </c>
      <c r="C1351" s="7">
        <v>34054</v>
      </c>
      <c r="D1351" s="6">
        <v>1.5454000000000001E-5</v>
      </c>
      <c r="E1351" s="17">
        <v>2.1719500741552509E-4</v>
      </c>
      <c r="F1351">
        <f>E1351* VLOOKUP(A1351,Check!A$2:F$11,4,FALSE)</f>
        <v>444540.41152028751</v>
      </c>
    </row>
    <row r="1352" spans="1:6" x14ac:dyDescent="0.2">
      <c r="A1352">
        <v>2021</v>
      </c>
      <c r="B1352" t="s">
        <v>165</v>
      </c>
      <c r="C1352" s="7">
        <v>64957</v>
      </c>
      <c r="D1352" s="6">
        <v>2.9479E-5</v>
      </c>
      <c r="E1352" s="17">
        <v>4.1429306679656615E-4</v>
      </c>
      <c r="F1352">
        <f>E1352* VLOOKUP(A1352,Check!A$2:F$11,4,FALSE)</f>
        <v>847947.71571983665</v>
      </c>
    </row>
    <row r="1353" spans="1:6" x14ac:dyDescent="0.2">
      <c r="A1353">
        <v>2021</v>
      </c>
      <c r="B1353" t="s">
        <v>166</v>
      </c>
      <c r="C1353" s="7" t="s">
        <v>6</v>
      </c>
      <c r="D1353" s="6">
        <v>0</v>
      </c>
      <c r="F1353">
        <f>E1353* VLOOKUP(A1353,Check!A$2:F$11,4,FALSE)</f>
        <v>0</v>
      </c>
    </row>
    <row r="1354" spans="1:6" x14ac:dyDescent="0.2">
      <c r="A1354">
        <v>2021</v>
      </c>
      <c r="B1354" t="s">
        <v>167</v>
      </c>
      <c r="C1354" s="7">
        <v>213162</v>
      </c>
      <c r="D1354" s="6">
        <v>9.6737000000000006E-5</v>
      </c>
      <c r="E1354" s="17">
        <v>1.3595384439627697E-3</v>
      </c>
      <c r="F1354">
        <f>E1354* VLOOKUP(A1354,Check!A$2:F$11,4,FALSE)</f>
        <v>2782613.5901946183</v>
      </c>
    </row>
    <row r="1355" spans="1:6" x14ac:dyDescent="0.2">
      <c r="A1355">
        <v>2021</v>
      </c>
      <c r="B1355" t="s">
        <v>168</v>
      </c>
      <c r="C1355" s="7">
        <v>46624</v>
      </c>
      <c r="D1355" s="6">
        <v>2.1158999999999999E-5</v>
      </c>
      <c r="E1355" s="17">
        <v>2.9736594895581845E-4</v>
      </c>
      <c r="F1355">
        <f>E1355* VLOOKUP(A1355,Check!A$2:F$11,4,FALSE)</f>
        <v>608629.00530692085</v>
      </c>
    </row>
    <row r="1356" spans="1:6" x14ac:dyDescent="0.2">
      <c r="A1356">
        <v>2021</v>
      </c>
      <c r="B1356" t="s">
        <v>235</v>
      </c>
      <c r="C1356" s="7">
        <v>78889</v>
      </c>
      <c r="D1356" s="6">
        <v>3.5800999999999998E-5</v>
      </c>
      <c r="E1356" s="17">
        <v>5.031507881600798E-4</v>
      </c>
      <c r="F1356">
        <f>E1356* VLOOKUP(A1356,Check!A$2:F$11,4,FALSE)</f>
        <v>1029815.8373296517</v>
      </c>
    </row>
    <row r="1357" spans="1:6" x14ac:dyDescent="0.2">
      <c r="A1357">
        <v>2021</v>
      </c>
      <c r="B1357" t="s">
        <v>169</v>
      </c>
      <c r="C1357" s="2">
        <v>879420</v>
      </c>
      <c r="D1357" s="6">
        <v>3.99097E-4</v>
      </c>
      <c r="E1357" s="17">
        <v>5.6089044876185198E-3</v>
      </c>
      <c r="F1357">
        <f>E1357* VLOOKUP(A1357,Check!A$2:F$11,4,FALSE)</f>
        <v>11479935.652175112</v>
      </c>
    </row>
    <row r="1358" spans="1:6" x14ac:dyDescent="0.2">
      <c r="A1358">
        <v>2021</v>
      </c>
      <c r="B1358" t="s">
        <v>170</v>
      </c>
      <c r="C1358" s="4">
        <v>1460440</v>
      </c>
      <c r="D1358" s="6">
        <v>6.62775E-4</v>
      </c>
      <c r="E1358" s="17">
        <v>9.3146260829837738E-3</v>
      </c>
      <c r="F1358">
        <f>E1358* VLOOKUP(A1358,Check!A$2:F$11,4,FALSE)</f>
        <v>19064562.124880739</v>
      </c>
    </row>
    <row r="1359" spans="1:6" x14ac:dyDescent="0.2">
      <c r="A1359">
        <v>2021</v>
      </c>
      <c r="B1359" t="s">
        <v>171</v>
      </c>
      <c r="C1359" s="4">
        <v>25073</v>
      </c>
      <c r="D1359" s="6">
        <v>1.1379000000000001E-5</v>
      </c>
      <c r="E1359" s="17">
        <v>1.5991455984405532E-4</v>
      </c>
      <c r="F1359">
        <f>E1359* VLOOKUP(A1359,Check!A$2:F$11,4,FALSE)</f>
        <v>327302.57056581217</v>
      </c>
    </row>
    <row r="1360" spans="1:6" x14ac:dyDescent="0.2">
      <c r="A1360">
        <v>2021</v>
      </c>
      <c r="B1360" t="s">
        <v>172</v>
      </c>
      <c r="C1360" s="4">
        <v>534696</v>
      </c>
      <c r="D1360" s="6">
        <v>2.4265499999999999E-4</v>
      </c>
      <c r="E1360" s="17">
        <v>3.4102690340356962E-3</v>
      </c>
      <c r="F1360">
        <f>E1360* VLOOKUP(A1360,Check!A$2:F$11,4,FALSE)</f>
        <v>6979913.6629544739</v>
      </c>
    </row>
    <row r="1361" spans="1:6" x14ac:dyDescent="0.2">
      <c r="A1361">
        <v>2021</v>
      </c>
      <c r="B1361" t="s">
        <v>173</v>
      </c>
      <c r="C1361" s="4">
        <v>96195</v>
      </c>
      <c r="D1361" s="6">
        <v>4.3655000000000001E-5</v>
      </c>
      <c r="E1361" s="17">
        <v>6.1352774236026419E-4</v>
      </c>
      <c r="F1361">
        <f>E1361* VLOOKUP(A1361,Check!A$2:F$11,4,FALSE)</f>
        <v>1255728.1049566588</v>
      </c>
    </row>
    <row r="1362" spans="1:6" x14ac:dyDescent="0.2">
      <c r="A1362">
        <v>2021</v>
      </c>
      <c r="B1362" t="s">
        <v>174</v>
      </c>
      <c r="C1362" s="4">
        <v>216687</v>
      </c>
      <c r="D1362" s="6">
        <v>9.8337000000000004E-5</v>
      </c>
      <c r="E1362" s="17">
        <v>1.3820207485713246E-3</v>
      </c>
      <c r="F1362">
        <f>E1362* VLOOKUP(A1362,Check!A$2:F$11,4,FALSE)</f>
        <v>2828628.8879748792</v>
      </c>
    </row>
    <row r="1363" spans="1:6" x14ac:dyDescent="0.2">
      <c r="A1363">
        <v>2021</v>
      </c>
      <c r="B1363" t="s">
        <v>175</v>
      </c>
      <c r="C1363" s="4">
        <v>449775</v>
      </c>
      <c r="D1363" s="6">
        <v>2.0411600000000001E-4</v>
      </c>
      <c r="E1363" s="17">
        <v>2.8686463986702824E-3</v>
      </c>
      <c r="F1363">
        <f>E1363* VLOOKUP(A1363,Check!A$2:F$11,4,FALSE)</f>
        <v>5871356.1869835351</v>
      </c>
    </row>
    <row r="1364" spans="1:6" x14ac:dyDescent="0.2">
      <c r="A1364">
        <v>2021</v>
      </c>
      <c r="B1364" t="s">
        <v>176</v>
      </c>
      <c r="C1364" s="4">
        <v>373622</v>
      </c>
      <c r="D1364" s="6">
        <v>1.69557E-4</v>
      </c>
      <c r="E1364" s="17">
        <v>2.3829457056616936E-3</v>
      </c>
      <c r="F1364">
        <f>E1364* VLOOKUP(A1364,Check!A$2:F$11,4,FALSE)</f>
        <v>4877256.0531224776</v>
      </c>
    </row>
    <row r="1365" spans="1:6" x14ac:dyDescent="0.2">
      <c r="A1365">
        <v>2021</v>
      </c>
      <c r="B1365" t="s">
        <v>177</v>
      </c>
      <c r="C1365" s="4">
        <v>2969</v>
      </c>
      <c r="D1365" s="6">
        <v>1.347E-6</v>
      </c>
      <c r="E1365" s="17">
        <v>1.8936159541219651E-5</v>
      </c>
      <c r="F1365">
        <f>E1365* VLOOKUP(A1365,Check!A$2:F$11,4,FALSE)</f>
        <v>38757.282016906494</v>
      </c>
    </row>
    <row r="1366" spans="1:6" x14ac:dyDescent="0.2">
      <c r="A1366">
        <v>2021</v>
      </c>
      <c r="B1366" t="s">
        <v>178</v>
      </c>
      <c r="C1366" t="s">
        <v>6</v>
      </c>
      <c r="D1366" s="6">
        <v>0</v>
      </c>
      <c r="F1366">
        <f>E1366* VLOOKUP(A1366,Check!A$2:F$11,4,FALSE)</f>
        <v>0</v>
      </c>
    </row>
    <row r="1367" spans="1:6" x14ac:dyDescent="0.2">
      <c r="A1367">
        <v>2021</v>
      </c>
      <c r="B1367" t="s">
        <v>179</v>
      </c>
      <c r="C1367" t="s">
        <v>6</v>
      </c>
      <c r="D1367" s="6">
        <v>0</v>
      </c>
      <c r="F1367">
        <f>E1367* VLOOKUP(A1367,Check!A$2:F$11,4,FALSE)</f>
        <v>0</v>
      </c>
    </row>
    <row r="1368" spans="1:6" x14ac:dyDescent="0.2">
      <c r="A1368">
        <v>2021</v>
      </c>
      <c r="B1368" t="s">
        <v>180</v>
      </c>
      <c r="C1368" s="4">
        <v>144281</v>
      </c>
      <c r="D1368" s="6">
        <v>6.5476999999999997E-5</v>
      </c>
      <c r="E1368" s="17">
        <v>9.2021826701472293E-4</v>
      </c>
      <c r="F1368">
        <f>E1368* VLOOKUP(A1368,Check!A$2:F$11,4,FALSE)</f>
        <v>1883442.0366053504</v>
      </c>
    </row>
    <row r="1369" spans="1:6" x14ac:dyDescent="0.2">
      <c r="A1369">
        <v>2021</v>
      </c>
      <c r="B1369" t="s">
        <v>181</v>
      </c>
      <c r="C1369" s="4">
        <v>56436</v>
      </c>
      <c r="D1369" s="6">
        <v>2.5612000000000001E-5</v>
      </c>
      <c r="E1369" s="17">
        <v>3.5994648025202834E-4</v>
      </c>
      <c r="F1369">
        <f>E1369* VLOOKUP(A1369,Check!A$2:F$11,4,FALSE)</f>
        <v>736714.70795087051</v>
      </c>
    </row>
    <row r="1370" spans="1:6" x14ac:dyDescent="0.2">
      <c r="A1370">
        <v>2021</v>
      </c>
      <c r="B1370" t="s">
        <v>182</v>
      </c>
      <c r="C1370" s="4">
        <v>97498</v>
      </c>
      <c r="D1370" s="6">
        <v>4.4246000000000003E-5</v>
      </c>
      <c r="E1370" s="17">
        <v>6.2183822261698669E-4</v>
      </c>
      <c r="F1370">
        <f>E1370* VLOOKUP(A1370,Check!A$2:F$11,4,FALSE)</f>
        <v>1272737.4476538729</v>
      </c>
    </row>
    <row r="1371" spans="1:6" x14ac:dyDescent="0.2">
      <c r="A1371">
        <v>2021</v>
      </c>
      <c r="B1371" t="s">
        <v>183</v>
      </c>
      <c r="C1371" s="4">
        <v>2210129</v>
      </c>
      <c r="D1371" s="6">
        <v>1.002997E-3</v>
      </c>
      <c r="E1371" s="17">
        <v>1.409611160346118E-2</v>
      </c>
      <c r="F1371">
        <f>E1371* VLOOKUP(A1371,Check!A$2:F$11,4,FALSE)</f>
        <v>28850991.224905193</v>
      </c>
    </row>
    <row r="1372" spans="1:6" x14ac:dyDescent="0.2">
      <c r="A1372">
        <v>2021</v>
      </c>
      <c r="B1372" t="s">
        <v>184</v>
      </c>
      <c r="C1372" t="s">
        <v>6</v>
      </c>
      <c r="D1372" s="6">
        <v>0</v>
      </c>
      <c r="F1372">
        <f>E1372* VLOOKUP(A1372,Check!A$2:F$11,4,FALSE)</f>
        <v>0</v>
      </c>
    </row>
    <row r="1373" spans="1:6" x14ac:dyDescent="0.2">
      <c r="A1373">
        <v>2021</v>
      </c>
      <c r="B1373" t="s">
        <v>185</v>
      </c>
      <c r="C1373" t="s">
        <v>6</v>
      </c>
      <c r="D1373" s="6">
        <v>0</v>
      </c>
      <c r="F1373">
        <f>E1373* VLOOKUP(A1373,Check!A$2:F$11,4,FALSE)</f>
        <v>0</v>
      </c>
    </row>
    <row r="1374" spans="1:6" x14ac:dyDescent="0.2">
      <c r="A1374">
        <v>2021</v>
      </c>
      <c r="B1374" t="s">
        <v>186</v>
      </c>
      <c r="C1374" t="s">
        <v>6</v>
      </c>
      <c r="D1374" s="6">
        <v>0</v>
      </c>
      <c r="F1374">
        <f>E1374* VLOOKUP(A1374,Check!A$2:F$11,4,FALSE)</f>
        <v>0</v>
      </c>
    </row>
    <row r="1375" spans="1:6" x14ac:dyDescent="0.2">
      <c r="A1375">
        <v>2021</v>
      </c>
      <c r="B1375" t="s">
        <v>187</v>
      </c>
      <c r="C1375" t="s">
        <v>6</v>
      </c>
      <c r="D1375" s="6">
        <v>0</v>
      </c>
      <c r="F1375">
        <f>E1375* VLOOKUP(A1375,Check!A$2:F$11,4,FALSE)</f>
        <v>0</v>
      </c>
    </row>
    <row r="1376" spans="1:6" x14ac:dyDescent="0.2">
      <c r="A1376">
        <v>2021</v>
      </c>
      <c r="B1376" t="s">
        <v>188</v>
      </c>
      <c r="C1376" t="s">
        <v>6</v>
      </c>
      <c r="D1376" s="6">
        <v>0</v>
      </c>
      <c r="F1376">
        <f>E1376* VLOOKUP(A1376,Check!A$2:F$11,4,FALSE)</f>
        <v>0</v>
      </c>
    </row>
    <row r="1377" spans="1:6" x14ac:dyDescent="0.2">
      <c r="A1377">
        <v>2021</v>
      </c>
      <c r="B1377" t="s">
        <v>189</v>
      </c>
      <c r="C1377" t="s">
        <v>6</v>
      </c>
      <c r="D1377" s="6">
        <v>0</v>
      </c>
      <c r="F1377">
        <f>E1377* VLOOKUP(A1377,Check!A$2:F$11,4,FALSE)</f>
        <v>0</v>
      </c>
    </row>
    <row r="1378" spans="1:6" x14ac:dyDescent="0.2">
      <c r="A1378">
        <v>2021</v>
      </c>
      <c r="B1378" t="s">
        <v>190</v>
      </c>
      <c r="C1378" s="4">
        <v>6611</v>
      </c>
      <c r="D1378" s="6">
        <v>3.0000000000000001E-6</v>
      </c>
      <c r="E1378" s="17">
        <v>4.2164685324015864E-5</v>
      </c>
      <c r="F1378">
        <f>E1378* VLOOKUP(A1378,Check!A$2:F$11,4,FALSE)</f>
        <v>86299.896063916734</v>
      </c>
    </row>
    <row r="1379" spans="1:6" x14ac:dyDescent="0.2">
      <c r="A1379">
        <v>2021</v>
      </c>
      <c r="B1379" t="s">
        <v>191</v>
      </c>
      <c r="C1379" s="4">
        <v>564647</v>
      </c>
      <c r="D1379" s="6">
        <v>2.5624699999999997E-4</v>
      </c>
      <c r="E1379" s="17">
        <v>3.6012952766827388E-3</v>
      </c>
      <c r="F1379">
        <f>E1379* VLOOKUP(A1379,Check!A$2:F$11,4,FALSE)</f>
        <v>7370893.5732570551</v>
      </c>
    </row>
    <row r="1380" spans="1:6" x14ac:dyDescent="0.2">
      <c r="A1380">
        <v>2021</v>
      </c>
      <c r="B1380" t="s">
        <v>192</v>
      </c>
      <c r="C1380" s="4">
        <v>817337</v>
      </c>
      <c r="D1380" s="6">
        <v>3.70923E-4</v>
      </c>
      <c r="E1380" s="17">
        <v>5.2129416742815243E-3</v>
      </c>
      <c r="F1380">
        <f>E1380* VLOOKUP(A1380,Check!A$2:F$11,4,FALSE)</f>
        <v>10669505.089879522</v>
      </c>
    </row>
    <row r="1381" spans="1:6" x14ac:dyDescent="0.2">
      <c r="A1381">
        <v>2021</v>
      </c>
      <c r="B1381" t="s">
        <v>193</v>
      </c>
      <c r="C1381" t="s">
        <v>6</v>
      </c>
      <c r="D1381" s="6">
        <v>0</v>
      </c>
      <c r="F1381">
        <f>E1381* VLOOKUP(A1381,Check!A$2:F$11,4,FALSE)</f>
        <v>0</v>
      </c>
    </row>
    <row r="1382" spans="1:6" x14ac:dyDescent="0.2">
      <c r="A1382">
        <v>2021</v>
      </c>
      <c r="B1382" t="s">
        <v>194</v>
      </c>
      <c r="C1382" t="s">
        <v>6</v>
      </c>
      <c r="D1382" s="6">
        <v>0</v>
      </c>
      <c r="F1382">
        <f>E1382* VLOOKUP(A1382,Check!A$2:F$11,4,FALSE)</f>
        <v>0</v>
      </c>
    </row>
    <row r="1383" spans="1:6" x14ac:dyDescent="0.2">
      <c r="A1383">
        <v>2021</v>
      </c>
      <c r="B1383" t="s">
        <v>195</v>
      </c>
      <c r="C1383" s="4">
        <v>1117062</v>
      </c>
      <c r="D1383" s="6">
        <v>5.0694300000000004E-4</v>
      </c>
      <c r="E1383" s="17">
        <v>7.1245753618841045E-3</v>
      </c>
      <c r="F1383">
        <f>E1383* VLOOKUP(A1383,Check!A$2:F$11,4,FALSE)</f>
        <v>14582110.79972031</v>
      </c>
    </row>
    <row r="1384" spans="1:6" x14ac:dyDescent="0.2">
      <c r="A1384">
        <v>2021</v>
      </c>
      <c r="B1384" t="s">
        <v>196</v>
      </c>
      <c r="C1384" s="4">
        <v>624038</v>
      </c>
      <c r="D1384" s="6">
        <v>2.832E-4</v>
      </c>
      <c r="E1384" s="17">
        <v>3.980088625053428E-3</v>
      </c>
      <c r="F1384">
        <f>E1384* VLOOKUP(A1384,Check!A$2:F$11,4,FALSE)</f>
        <v>8146182.8074322296</v>
      </c>
    </row>
    <row r="1385" spans="1:6" x14ac:dyDescent="0.2">
      <c r="A1385">
        <v>2021</v>
      </c>
      <c r="B1385" t="s">
        <v>197</v>
      </c>
      <c r="C1385" s="4">
        <v>546402</v>
      </c>
      <c r="D1385" s="6">
        <v>2.4796699999999998E-4</v>
      </c>
      <c r="E1385" s="17">
        <v>3.4849294192123609E-3</v>
      </c>
      <c r="F1385">
        <f>E1385* VLOOKUP(A1385,Check!A$2:F$11,4,FALSE)</f>
        <v>7132723.6135404985</v>
      </c>
    </row>
    <row r="1386" spans="1:6" x14ac:dyDescent="0.2">
      <c r="A1386">
        <v>2021</v>
      </c>
      <c r="B1386" t="s">
        <v>198</v>
      </c>
      <c r="C1386" s="4">
        <v>3107</v>
      </c>
      <c r="D1386" s="6">
        <v>1.4100000000000001E-6</v>
      </c>
      <c r="E1386" s="17">
        <v>1.9816317849299243E-5</v>
      </c>
      <c r="F1386">
        <f>E1386* VLOOKUP(A1386,Check!A$2:F$11,4,FALSE)</f>
        <v>40558.731972559268</v>
      </c>
    </row>
    <row r="1387" spans="1:6" x14ac:dyDescent="0.2">
      <c r="A1387">
        <v>2021</v>
      </c>
      <c r="B1387" t="s">
        <v>199</v>
      </c>
      <c r="C1387" s="4">
        <v>1783395</v>
      </c>
      <c r="D1387" s="6">
        <v>8.0933800000000005E-4</v>
      </c>
      <c r="E1387" s="17">
        <v>1.137441975244642E-2</v>
      </c>
      <c r="F1387">
        <f>E1387* VLOOKUP(A1387,Check!A$2:F$11,4,FALSE)</f>
        <v>23280411.910589743</v>
      </c>
    </row>
    <row r="1388" spans="1:6" x14ac:dyDescent="0.2">
      <c r="A1388">
        <v>2021</v>
      </c>
      <c r="B1388" t="s">
        <v>200</v>
      </c>
      <c r="C1388" s="4">
        <v>7847</v>
      </c>
      <c r="D1388" s="6">
        <v>3.5609999999999999E-6</v>
      </c>
      <c r="E1388" s="17">
        <v>5.0047842344207004E-5</v>
      </c>
      <c r="F1388">
        <f>E1388* VLOOKUP(A1388,Check!A$2:F$11,4,FALSE)</f>
        <v>102434.62175367639</v>
      </c>
    </row>
    <row r="1389" spans="1:6" x14ac:dyDescent="0.2">
      <c r="A1389">
        <v>2021</v>
      </c>
      <c r="B1389" t="s">
        <v>201</v>
      </c>
      <c r="C1389" s="4">
        <v>3956</v>
      </c>
      <c r="D1389" s="6">
        <v>1.795E-6</v>
      </c>
      <c r="E1389" s="17">
        <v>2.5231204831615E-5</v>
      </c>
      <c r="F1389">
        <f>E1389* VLOOKUP(A1389,Check!A$2:F$11,4,FALSE)</f>
        <v>51641.565395379614</v>
      </c>
    </row>
    <row r="1390" spans="1:6" x14ac:dyDescent="0.2">
      <c r="A1390">
        <v>2021</v>
      </c>
      <c r="B1390" t="s">
        <v>202</v>
      </c>
      <c r="C1390" s="4">
        <v>119384</v>
      </c>
      <c r="D1390" s="6">
        <v>5.4178999999999997E-5</v>
      </c>
      <c r="E1390" s="17">
        <v>7.6142622791140681E-4</v>
      </c>
      <c r="F1390">
        <f>E1390* VLOOKUP(A1390,Check!A$2:F$11,4,FALSE)</f>
        <v>1558436.9674322547</v>
      </c>
    </row>
    <row r="1391" spans="1:6" x14ac:dyDescent="0.2">
      <c r="A1391">
        <v>2022</v>
      </c>
      <c r="B1391" s="1" t="s">
        <v>5</v>
      </c>
      <c r="C1391" s="7">
        <v>35315</v>
      </c>
      <c r="D1391" s="6">
        <v>1.5472999999999999E-5</v>
      </c>
      <c r="E1391" s="17">
        <v>2.2819439112208478E-4</v>
      </c>
      <c r="F1391">
        <f>E1391* VLOOKUP(A1391,Check!A$2:F$11,4,FALSE)</f>
        <v>485493.74366930185</v>
      </c>
    </row>
    <row r="1392" spans="1:6" x14ac:dyDescent="0.2">
      <c r="A1392">
        <v>2022</v>
      </c>
      <c r="B1392" s="1" t="s">
        <v>7</v>
      </c>
      <c r="C1392" s="7">
        <v>93825</v>
      </c>
      <c r="D1392" s="6">
        <v>4.1109999999999998E-5</v>
      </c>
      <c r="E1392" s="17">
        <v>6.0626755619509005E-4</v>
      </c>
      <c r="F1392">
        <f>E1392* VLOOKUP(A1392,Check!A$2:F$11,4,FALSE)</f>
        <v>1289861.2629129901</v>
      </c>
    </row>
    <row r="1393" spans="1:6" x14ac:dyDescent="0.2">
      <c r="A1393">
        <v>2022</v>
      </c>
      <c r="B1393" s="1" t="s">
        <v>8</v>
      </c>
      <c r="C1393" s="7">
        <v>1763613</v>
      </c>
      <c r="D1393" s="6">
        <v>7.7273399999999996E-4</v>
      </c>
      <c r="E1393" s="17">
        <v>1.1395910936145923E-2</v>
      </c>
      <c r="F1393">
        <f>E1393* VLOOKUP(A1393,Check!A$2:F$11,4,FALSE)</f>
        <v>24245308.728694562</v>
      </c>
    </row>
    <row r="1394" spans="1:6" x14ac:dyDescent="0.2">
      <c r="A1394">
        <v>2022</v>
      </c>
      <c r="B1394" s="1" t="s">
        <v>203</v>
      </c>
      <c r="C1394" s="7">
        <v>408409</v>
      </c>
      <c r="D1394" s="6">
        <v>1.78946E-4</v>
      </c>
      <c r="E1394" s="17">
        <v>2.6390101397077595E-3</v>
      </c>
      <c r="F1394">
        <f>E1394* VLOOKUP(A1394,Check!A$2:F$11,4,FALSE)</f>
        <v>5614611.7615244491</v>
      </c>
    </row>
    <row r="1395" spans="1:6" x14ac:dyDescent="0.2">
      <c r="A1395">
        <v>2022</v>
      </c>
      <c r="B1395" s="1" t="s">
        <v>9</v>
      </c>
      <c r="C1395" s="7">
        <v>3479</v>
      </c>
      <c r="D1395" s="6">
        <v>1.5239999999999999E-6</v>
      </c>
      <c r="E1395" s="17">
        <v>2.2480200671491802E-5</v>
      </c>
      <c r="F1395">
        <f>E1395* VLOOKUP(A1395,Check!A$2:F$11,4,FALSE)</f>
        <v>47827.629455627954</v>
      </c>
    </row>
    <row r="1396" spans="1:6" x14ac:dyDescent="0.2">
      <c r="A1396">
        <v>2022</v>
      </c>
      <c r="B1396" s="1" t="s">
        <v>10</v>
      </c>
      <c r="C1396" s="7">
        <v>43071</v>
      </c>
      <c r="D1396" s="6">
        <v>1.8872000000000002E-5</v>
      </c>
      <c r="E1396" s="17">
        <v>2.7831121676396187E-4</v>
      </c>
      <c r="F1396">
        <f>E1396* VLOOKUP(A1396,Check!A$2:F$11,4,FALSE)</f>
        <v>592119.52523235173</v>
      </c>
    </row>
    <row r="1397" spans="1:6" x14ac:dyDescent="0.2">
      <c r="A1397">
        <v>2022</v>
      </c>
      <c r="B1397" s="1" t="s">
        <v>11</v>
      </c>
      <c r="C1397" s="7">
        <v>707323</v>
      </c>
      <c r="D1397" s="6">
        <v>3.0991599999999998E-4</v>
      </c>
      <c r="E1397" s="17">
        <v>4.5704981257722321E-3</v>
      </c>
      <c r="F1397">
        <f>E1397* VLOOKUP(A1397,Check!A$2:F$11,4,FALSE)</f>
        <v>9723938.5885148402</v>
      </c>
    </row>
    <row r="1398" spans="1:6" x14ac:dyDescent="0.2">
      <c r="A1398">
        <v>2022</v>
      </c>
      <c r="B1398" s="1" t="s">
        <v>12</v>
      </c>
      <c r="C1398" s="7">
        <v>88453</v>
      </c>
      <c r="D1398" s="6">
        <v>3.8756E-5</v>
      </c>
      <c r="E1398" s="17">
        <v>5.7155538660404257E-4</v>
      </c>
      <c r="F1398">
        <f>E1398* VLOOKUP(A1398,Check!A$2:F$11,4,FALSE)</f>
        <v>1216009.5740841215</v>
      </c>
    </row>
    <row r="1399" spans="1:6" x14ac:dyDescent="0.2">
      <c r="A1399">
        <v>2022</v>
      </c>
      <c r="B1399" s="1" t="s">
        <v>13</v>
      </c>
      <c r="C1399" s="7" t="s">
        <v>6</v>
      </c>
      <c r="D1399" s="6">
        <v>0</v>
      </c>
      <c r="F1399">
        <f>E1399* VLOOKUP(A1399,Check!A$2:F$11,4,FALSE)</f>
        <v>0</v>
      </c>
    </row>
    <row r="1400" spans="1:6" x14ac:dyDescent="0.2">
      <c r="A1400">
        <v>2022</v>
      </c>
      <c r="B1400" s="1" t="s">
        <v>14</v>
      </c>
      <c r="C1400" s="7">
        <v>28788</v>
      </c>
      <c r="D1400" s="6">
        <v>1.2614E-5</v>
      </c>
      <c r="E1400" s="17">
        <v>1.8601897583527048E-4</v>
      </c>
      <c r="F1400">
        <f>E1400* VLOOKUP(A1400,Check!A$2:F$11,4,FALSE)</f>
        <v>395763.66679178429</v>
      </c>
    </row>
    <row r="1401" spans="1:6" x14ac:dyDescent="0.2">
      <c r="A1401">
        <v>2022</v>
      </c>
      <c r="B1401" s="1" t="s">
        <v>15</v>
      </c>
      <c r="C1401" s="7">
        <v>2185333</v>
      </c>
      <c r="D1401" s="6">
        <v>9.5751199999999999E-4</v>
      </c>
      <c r="E1401" s="17">
        <v>1.4120932559365676E-2</v>
      </c>
      <c r="F1401">
        <f>E1401* VLOOKUP(A1401,Check!A$2:F$11,4,FALSE)</f>
        <v>30042913.757158894</v>
      </c>
    </row>
    <row r="1402" spans="1:6" x14ac:dyDescent="0.2">
      <c r="A1402">
        <v>2022</v>
      </c>
      <c r="B1402" s="1" t="s">
        <v>16</v>
      </c>
      <c r="C1402" s="7">
        <v>446925</v>
      </c>
      <c r="D1402" s="6">
        <v>1.9582200000000001E-4</v>
      </c>
      <c r="E1402" s="17">
        <v>2.8878883831866837E-3</v>
      </c>
      <c r="F1402">
        <f>E1402* VLOOKUP(A1402,Check!A$2:F$11,4,FALSE)</f>
        <v>6144111.3235000065</v>
      </c>
    </row>
    <row r="1403" spans="1:6" x14ac:dyDescent="0.2">
      <c r="A1403">
        <v>2022</v>
      </c>
      <c r="B1403" s="1" t="s">
        <v>17</v>
      </c>
      <c r="C1403" s="7">
        <v>38967</v>
      </c>
      <c r="D1403" s="6">
        <v>1.7073999999999999E-5</v>
      </c>
      <c r="E1403" s="17">
        <v>2.5179246322679533E-4</v>
      </c>
      <c r="F1403">
        <f>E1403* VLOOKUP(A1403,Check!A$2:F$11,4,FALSE)</f>
        <v>535699.69445169717</v>
      </c>
    </row>
    <row r="1404" spans="1:6" x14ac:dyDescent="0.2">
      <c r="A1404">
        <v>2022</v>
      </c>
      <c r="B1404" s="1" t="s">
        <v>18</v>
      </c>
      <c r="C1404" s="7" t="s">
        <v>6</v>
      </c>
      <c r="D1404" s="6">
        <v>0</v>
      </c>
      <c r="F1404">
        <f>E1404* VLOOKUP(A1404,Check!A$2:F$11,4,FALSE)</f>
        <v>0</v>
      </c>
    </row>
    <row r="1405" spans="1:6" x14ac:dyDescent="0.2">
      <c r="A1405">
        <v>2022</v>
      </c>
      <c r="B1405" s="1" t="s">
        <v>19</v>
      </c>
      <c r="C1405" s="7">
        <v>68181</v>
      </c>
      <c r="D1405" s="6">
        <v>2.9873999999999999E-5</v>
      </c>
      <c r="E1405" s="17">
        <v>4.4056411669530973E-4</v>
      </c>
      <c r="F1405">
        <f>E1405* VLOOKUP(A1405,Check!A$2:F$11,4,FALSE)</f>
        <v>937319.80566661956</v>
      </c>
    </row>
    <row r="1406" spans="1:6" x14ac:dyDescent="0.2">
      <c r="A1406">
        <v>2022</v>
      </c>
      <c r="B1406" s="1" t="s">
        <v>20</v>
      </c>
      <c r="C1406" s="7">
        <v>27265</v>
      </c>
      <c r="D1406" s="6">
        <v>1.1946E-5</v>
      </c>
      <c r="E1406" s="17">
        <v>1.7617783021219428E-4</v>
      </c>
      <c r="F1406">
        <f>E1406* VLOOKUP(A1406,Check!A$2:F$11,4,FALSE)</f>
        <v>374826.19060295948</v>
      </c>
    </row>
    <row r="1407" spans="1:6" x14ac:dyDescent="0.2">
      <c r="A1407">
        <v>2022</v>
      </c>
      <c r="B1407" s="1" t="s">
        <v>21</v>
      </c>
      <c r="C1407" s="7">
        <v>9114191</v>
      </c>
      <c r="D1407" s="6">
        <v>3.9934180000000003E-3</v>
      </c>
      <c r="E1407" s="17">
        <v>5.8893027490170891E-2</v>
      </c>
      <c r="F1407">
        <f>E1407* VLOOKUP(A1407,Check!A$2:F$11,4,FALSE)</f>
        <v>125297542.37879252</v>
      </c>
    </row>
    <row r="1408" spans="1:6" x14ac:dyDescent="0.2">
      <c r="A1408">
        <v>2022</v>
      </c>
      <c r="B1408" s="1" t="s">
        <v>205</v>
      </c>
      <c r="C1408" s="7">
        <v>739168</v>
      </c>
      <c r="D1408" s="6">
        <v>3.2386900000000001E-4</v>
      </c>
      <c r="E1408" s="17">
        <v>4.7762704713840906E-3</v>
      </c>
      <c r="F1408">
        <f>E1408* VLOOKUP(A1408,Check!A$2:F$11,4,FALSE)</f>
        <v>10161728.430427594</v>
      </c>
    </row>
    <row r="1409" spans="1:6" x14ac:dyDescent="0.2">
      <c r="A1409">
        <v>2022</v>
      </c>
      <c r="B1409" s="1" t="s">
        <v>206</v>
      </c>
      <c r="C1409" s="7">
        <v>2707597</v>
      </c>
      <c r="D1409" s="6">
        <v>1.186344E-3</v>
      </c>
      <c r="E1409" s="17">
        <v>1.7495637797507669E-2</v>
      </c>
      <c r="F1409">
        <f>E1409* VLOOKUP(A1409,Check!A$2:F$11,4,FALSE)</f>
        <v>37222749.649660781</v>
      </c>
    </row>
    <row r="1410" spans="1:6" x14ac:dyDescent="0.2">
      <c r="A1410">
        <v>2022</v>
      </c>
      <c r="B1410" s="1" t="s">
        <v>25</v>
      </c>
      <c r="C1410" s="7" t="s">
        <v>6</v>
      </c>
      <c r="D1410" s="6">
        <v>0</v>
      </c>
      <c r="F1410">
        <f>E1410* VLOOKUP(A1410,Check!A$2:F$11,4,FALSE)</f>
        <v>0</v>
      </c>
    </row>
    <row r="1411" spans="1:6" x14ac:dyDescent="0.2">
      <c r="A1411">
        <v>2022</v>
      </c>
      <c r="B1411" s="1" t="s">
        <v>26</v>
      </c>
      <c r="C1411" s="7">
        <v>62444</v>
      </c>
      <c r="D1411" s="6">
        <v>2.7359999999999999E-5</v>
      </c>
      <c r="E1411" s="17">
        <v>4.0349343223070825E-4</v>
      </c>
      <c r="F1411">
        <f>E1411* VLOOKUP(A1411,Check!A$2:F$11,4,FALSE)</f>
        <v>858450.2712639356</v>
      </c>
    </row>
    <row r="1412" spans="1:6" x14ac:dyDescent="0.2">
      <c r="A1412">
        <v>2022</v>
      </c>
      <c r="B1412" s="1" t="s">
        <v>27</v>
      </c>
      <c r="C1412" s="7">
        <v>14346</v>
      </c>
      <c r="D1412" s="6">
        <v>6.2859999999999996E-6</v>
      </c>
      <c r="E1412" s="17">
        <v>9.2699327057551412E-5</v>
      </c>
      <c r="F1412">
        <f>E1412* VLOOKUP(A1412,Check!A$2:F$11,4,FALSE)</f>
        <v>197221.9523341301</v>
      </c>
    </row>
    <row r="1413" spans="1:6" x14ac:dyDescent="0.2">
      <c r="A1413">
        <v>2022</v>
      </c>
      <c r="B1413" s="1" t="s">
        <v>28</v>
      </c>
      <c r="C1413" s="7">
        <v>391003</v>
      </c>
      <c r="D1413" s="6">
        <v>1.7131899999999999E-4</v>
      </c>
      <c r="E1413" s="17">
        <v>2.5265380578198644E-3</v>
      </c>
      <c r="F1413">
        <f>E1413* VLOOKUP(A1413,Check!A$2:F$11,4,FALSE)</f>
        <v>5375322.3915029876</v>
      </c>
    </row>
    <row r="1414" spans="1:6" x14ac:dyDescent="0.2">
      <c r="A1414">
        <v>2022</v>
      </c>
      <c r="B1414" s="1" t="s">
        <v>29</v>
      </c>
      <c r="C1414" s="7">
        <v>115234</v>
      </c>
      <c r="D1414" s="6">
        <v>5.0489999999999999E-5</v>
      </c>
      <c r="E1414" s="17">
        <v>7.4460576147705835E-4</v>
      </c>
      <c r="F1414">
        <f>E1414* VLOOKUP(A1414,Check!A$2:F$11,4,FALSE)</f>
        <v>1584181.9639809805</v>
      </c>
    </row>
    <row r="1415" spans="1:6" x14ac:dyDescent="0.2">
      <c r="A1415">
        <v>2022</v>
      </c>
      <c r="B1415" s="1" t="s">
        <v>30</v>
      </c>
      <c r="C1415" s="7" t="s">
        <v>6</v>
      </c>
      <c r="D1415" s="6">
        <v>0</v>
      </c>
      <c r="F1415">
        <f>E1415* VLOOKUP(A1415,Check!A$2:F$11,4,FALSE)</f>
        <v>0</v>
      </c>
    </row>
    <row r="1416" spans="1:6" x14ac:dyDescent="0.2">
      <c r="A1416">
        <v>2022</v>
      </c>
      <c r="B1416" s="1" t="s">
        <v>31</v>
      </c>
      <c r="C1416" s="7">
        <v>281014</v>
      </c>
      <c r="D1416" s="6">
        <v>1.23127E-4</v>
      </c>
      <c r="E1416" s="17">
        <v>1.8158238319915484E-3</v>
      </c>
      <c r="F1416">
        <f>E1416* VLOOKUP(A1416,Check!A$2:F$11,4,FALSE)</f>
        <v>3863246.1810416309</v>
      </c>
    </row>
    <row r="1417" spans="1:6" x14ac:dyDescent="0.2">
      <c r="A1417">
        <v>2022</v>
      </c>
      <c r="B1417" s="1" t="s">
        <v>32</v>
      </c>
      <c r="C1417" s="7">
        <v>1757832</v>
      </c>
      <c r="D1417" s="6">
        <v>7.7020099999999998E-4</v>
      </c>
      <c r="E1417" s="17">
        <v>1.1358555937559578E-2</v>
      </c>
      <c r="F1417">
        <f>E1417* VLOOKUP(A1417,Check!A$2:F$11,4,FALSE)</f>
        <v>24165834.303318594</v>
      </c>
    </row>
    <row r="1418" spans="1:6" x14ac:dyDescent="0.2">
      <c r="A1418">
        <v>2022</v>
      </c>
      <c r="B1418" s="1" t="s">
        <v>33</v>
      </c>
      <c r="C1418" s="7">
        <v>339523</v>
      </c>
      <c r="D1418" s="6">
        <v>1.48763E-4</v>
      </c>
      <c r="E1418" s="17">
        <v>2.1938905353799686E-3</v>
      </c>
      <c r="F1418">
        <f>E1418* VLOOKUP(A1418,Check!A$2:F$11,4,FALSE)</f>
        <v>4667599.9527631989</v>
      </c>
    </row>
    <row r="1419" spans="1:6" x14ac:dyDescent="0.2">
      <c r="A1419">
        <v>2022</v>
      </c>
      <c r="B1419" s="1" t="s">
        <v>34</v>
      </c>
      <c r="C1419" s="7">
        <v>1793426</v>
      </c>
      <c r="D1419" s="6">
        <v>7.8579699999999997E-4</v>
      </c>
      <c r="E1419" s="17">
        <v>1.1588553138680902E-2</v>
      </c>
      <c r="F1419">
        <f>E1419* VLOOKUP(A1419,Check!A$2:F$11,4,FALSE)</f>
        <v>24655163.605659392</v>
      </c>
    </row>
    <row r="1420" spans="1:6" x14ac:dyDescent="0.2">
      <c r="A1420">
        <v>2022</v>
      </c>
      <c r="B1420" s="1" t="s">
        <v>35</v>
      </c>
      <c r="C1420" s="7">
        <v>276177</v>
      </c>
      <c r="D1420" s="6">
        <v>1.21008E-4</v>
      </c>
      <c r="E1420" s="17">
        <v>1.7845686636535185E-3</v>
      </c>
      <c r="F1420">
        <f>E1420* VLOOKUP(A1420,Check!A$2:F$11,4,FALSE)</f>
        <v>3796749.416546985</v>
      </c>
    </row>
    <row r="1421" spans="1:6" x14ac:dyDescent="0.2">
      <c r="A1421">
        <v>2022</v>
      </c>
      <c r="B1421" s="1" t="s">
        <v>36</v>
      </c>
      <c r="C1421" s="7">
        <v>615457</v>
      </c>
      <c r="D1421" s="6">
        <v>2.6966499999999999E-4</v>
      </c>
      <c r="E1421" s="17">
        <v>3.9768890096793129E-3</v>
      </c>
      <c r="F1421">
        <f>E1421* VLOOKUP(A1421,Check!A$2:F$11,4,FALSE)</f>
        <v>8461008.7214350142</v>
      </c>
    </row>
    <row r="1422" spans="1:6" x14ac:dyDescent="0.2">
      <c r="A1422">
        <v>2022</v>
      </c>
      <c r="B1422" s="1" t="s">
        <v>37</v>
      </c>
      <c r="C1422" s="7" t="s">
        <v>6</v>
      </c>
      <c r="D1422" s="6">
        <v>0</v>
      </c>
      <c r="F1422">
        <f>E1422* VLOOKUP(A1422,Check!A$2:F$11,4,FALSE)</f>
        <v>0</v>
      </c>
    </row>
    <row r="1423" spans="1:6" x14ac:dyDescent="0.2">
      <c r="A1423">
        <v>2022</v>
      </c>
      <c r="B1423" s="1" t="s">
        <v>38</v>
      </c>
      <c r="C1423" s="7">
        <v>25639</v>
      </c>
      <c r="D1423" s="6">
        <v>1.1234E-5</v>
      </c>
      <c r="E1423" s="17">
        <v>1.6567113107685493E-4</v>
      </c>
      <c r="F1423">
        <f>E1423* VLOOKUP(A1423,Check!A$2:F$11,4,FALSE)</f>
        <v>352472.71963577037</v>
      </c>
    </row>
    <row r="1424" spans="1:6" x14ac:dyDescent="0.2">
      <c r="A1424">
        <v>2022</v>
      </c>
      <c r="B1424" s="1" t="s">
        <v>39</v>
      </c>
      <c r="C1424" s="7">
        <v>763243</v>
      </c>
      <c r="D1424" s="6">
        <v>3.3441800000000001E-4</v>
      </c>
      <c r="E1424" s="17">
        <v>4.9318355277698815E-3</v>
      </c>
      <c r="F1424">
        <f>E1424* VLOOKUP(A1424,Check!A$2:F$11,4,FALSE)</f>
        <v>10492700.025467619</v>
      </c>
    </row>
    <row r="1425" spans="1:6" x14ac:dyDescent="0.2">
      <c r="A1425">
        <v>2022</v>
      </c>
      <c r="B1425" s="1" t="s">
        <v>40</v>
      </c>
      <c r="C1425" s="7" t="s">
        <v>6</v>
      </c>
      <c r="D1425" s="6">
        <v>0</v>
      </c>
      <c r="F1425">
        <f>E1425* VLOOKUP(A1425,Check!A$2:F$11,4,FALSE)</f>
        <v>0</v>
      </c>
    </row>
    <row r="1426" spans="1:6" x14ac:dyDescent="0.2">
      <c r="A1426">
        <v>2022</v>
      </c>
      <c r="B1426" s="1" t="s">
        <v>207</v>
      </c>
      <c r="C1426" s="7">
        <v>693660</v>
      </c>
      <c r="D1426" s="6">
        <v>3.0393E-4</v>
      </c>
      <c r="E1426" s="17">
        <v>4.4822121292862902E-3</v>
      </c>
      <c r="F1426">
        <f>E1426* VLOOKUP(A1426,Check!A$2:F$11,4,FALSE)</f>
        <v>9536106.1937886998</v>
      </c>
    </row>
    <row r="1427" spans="1:6" x14ac:dyDescent="0.2">
      <c r="A1427">
        <v>2022</v>
      </c>
      <c r="B1427" s="1" t="s">
        <v>42</v>
      </c>
      <c r="C1427" s="7">
        <v>38506</v>
      </c>
      <c r="D1427" s="6">
        <v>1.6872E-5</v>
      </c>
      <c r="E1427" s="17">
        <v>2.4881362663307368E-4</v>
      </c>
      <c r="F1427">
        <f>E1427* VLOOKUP(A1427,Check!A$2:F$11,4,FALSE)</f>
        <v>529362.08675435756</v>
      </c>
    </row>
    <row r="1428" spans="1:6" x14ac:dyDescent="0.2">
      <c r="A1428">
        <v>2022</v>
      </c>
      <c r="B1428" s="1" t="s">
        <v>43</v>
      </c>
      <c r="C1428" s="7">
        <v>93879</v>
      </c>
      <c r="D1428" s="6">
        <v>4.1133000000000001E-5</v>
      </c>
      <c r="E1428" s="17">
        <v>6.0661648716268436E-4</v>
      </c>
      <c r="F1428">
        <f>E1428* VLOOKUP(A1428,Check!A$2:F$11,4,FALSE)</f>
        <v>1290603.6291074725</v>
      </c>
    </row>
    <row r="1429" spans="1:6" x14ac:dyDescent="0.2">
      <c r="A1429">
        <v>2022</v>
      </c>
      <c r="B1429" s="1" t="s">
        <v>44</v>
      </c>
      <c r="C1429" s="7">
        <v>2220611</v>
      </c>
      <c r="D1429" s="6">
        <v>9.7296899999999996E-4</v>
      </c>
      <c r="E1429" s="17">
        <v>1.4348887868158114E-2</v>
      </c>
      <c r="F1429">
        <f>E1429* VLOOKUP(A1429,Check!A$2:F$11,4,FALSE)</f>
        <v>30527898.842509758</v>
      </c>
    </row>
    <row r="1430" spans="1:6" x14ac:dyDescent="0.2">
      <c r="A1430">
        <v>2022</v>
      </c>
      <c r="B1430" s="1" t="s">
        <v>45</v>
      </c>
      <c r="C1430" s="7">
        <v>31479</v>
      </c>
      <c r="D1430" s="6">
        <v>1.3793E-5</v>
      </c>
      <c r="E1430" s="17">
        <v>2.0340736905371956E-4</v>
      </c>
      <c r="F1430">
        <f>E1430* VLOOKUP(A1430,Check!A$2:F$11,4,FALSE)</f>
        <v>432758.2488168187</v>
      </c>
    </row>
    <row r="1431" spans="1:6" x14ac:dyDescent="0.2">
      <c r="A1431">
        <v>2022</v>
      </c>
      <c r="B1431" s="1" t="s">
        <v>46</v>
      </c>
      <c r="C1431" s="7">
        <v>46640</v>
      </c>
      <c r="D1431" s="6">
        <v>2.0435999999999999E-5</v>
      </c>
      <c r="E1431" s="17">
        <v>3.0137296904811085E-4</v>
      </c>
      <c r="F1431">
        <f>E1431* VLOOKUP(A1431,Check!A$2:F$11,4,FALSE)</f>
        <v>641184.4316787835</v>
      </c>
    </row>
    <row r="1432" spans="1:6" x14ac:dyDescent="0.2">
      <c r="A1432">
        <v>2022</v>
      </c>
      <c r="B1432" s="1" t="s">
        <v>47</v>
      </c>
      <c r="C1432" s="7">
        <v>2166187</v>
      </c>
      <c r="D1432" s="6">
        <v>9.4912299999999996E-4</v>
      </c>
      <c r="E1432" s="17">
        <v>1.3997217146299744E-2</v>
      </c>
      <c r="F1432">
        <f>E1432* VLOOKUP(A1432,Check!A$2:F$11,4,FALSE)</f>
        <v>29779703.698648561</v>
      </c>
    </row>
    <row r="1433" spans="1:6" x14ac:dyDescent="0.2">
      <c r="A1433">
        <v>2022</v>
      </c>
      <c r="B1433" s="1" t="s">
        <v>48</v>
      </c>
      <c r="C1433" s="7">
        <v>65365</v>
      </c>
      <c r="D1433" s="6">
        <v>2.864E-5</v>
      </c>
      <c r="E1433" s="17">
        <v>4.2236801290372567E-4</v>
      </c>
      <c r="F1433">
        <f>E1433* VLOOKUP(A1433,Check!A$2:F$11,4,FALSE)</f>
        <v>898606.78337657987</v>
      </c>
    </row>
    <row r="1434" spans="1:6" x14ac:dyDescent="0.2">
      <c r="A1434">
        <v>2022</v>
      </c>
      <c r="B1434" s="1" t="s">
        <v>49</v>
      </c>
      <c r="C1434" s="7">
        <v>30446</v>
      </c>
      <c r="D1434" s="6">
        <v>1.3339999999999999E-5</v>
      </c>
      <c r="E1434" s="17">
        <v>1.9673244887733238E-4</v>
      </c>
      <c r="F1434">
        <f>E1434* VLOOKUP(A1434,Check!A$2:F$11,4,FALSE)</f>
        <v>418557.05846681481</v>
      </c>
    </row>
    <row r="1435" spans="1:6" x14ac:dyDescent="0.2">
      <c r="A1435">
        <v>2022</v>
      </c>
      <c r="B1435" s="1" t="s">
        <v>50</v>
      </c>
      <c r="C1435" s="7">
        <v>1356401</v>
      </c>
      <c r="D1435" s="6">
        <v>5.9431200000000005E-4</v>
      </c>
      <c r="E1435" s="17">
        <v>8.7646354328865042E-3</v>
      </c>
      <c r="F1435">
        <f>E1435* VLOOKUP(A1435,Check!A$2:F$11,4,FALSE)</f>
        <v>18647152.751147803</v>
      </c>
    </row>
    <row r="1436" spans="1:6" x14ac:dyDescent="0.2">
      <c r="A1436">
        <v>2022</v>
      </c>
      <c r="B1436" s="1" t="s">
        <v>51</v>
      </c>
      <c r="C1436" s="7">
        <v>103892</v>
      </c>
      <c r="D1436" s="6">
        <v>4.5519999999999998E-5</v>
      </c>
      <c r="E1436" s="17">
        <v>6.7131733491308603E-4</v>
      </c>
      <c r="F1436">
        <f>E1436* VLOOKUP(A1436,Check!A$2:F$11,4,FALSE)</f>
        <v>1428257.5680954582</v>
      </c>
    </row>
    <row r="1437" spans="1:6" x14ac:dyDescent="0.2">
      <c r="A1437">
        <v>2022</v>
      </c>
      <c r="B1437" s="1" t="s">
        <v>52</v>
      </c>
      <c r="C1437" s="7">
        <v>26815</v>
      </c>
      <c r="D1437" s="6">
        <v>1.1749000000000001E-5</v>
      </c>
      <c r="E1437" s="17">
        <v>1.7327007214890848E-4</v>
      </c>
      <c r="F1437">
        <f>E1437* VLOOKUP(A1437,Check!A$2:F$11,4,FALSE)</f>
        <v>368639.80564894032</v>
      </c>
    </row>
    <row r="1438" spans="1:6" x14ac:dyDescent="0.2">
      <c r="A1438">
        <v>2022</v>
      </c>
      <c r="B1438" s="1" t="s">
        <v>53</v>
      </c>
      <c r="C1438" s="7" t="s">
        <v>6</v>
      </c>
      <c r="D1438" s="6">
        <v>0</v>
      </c>
      <c r="F1438">
        <f>E1438* VLOOKUP(A1438,Check!A$2:F$11,4,FALSE)</f>
        <v>0</v>
      </c>
    </row>
    <row r="1439" spans="1:6" x14ac:dyDescent="0.2">
      <c r="A1439">
        <v>2022</v>
      </c>
      <c r="B1439" s="1" t="s">
        <v>54</v>
      </c>
      <c r="C1439" s="7">
        <v>134602</v>
      </c>
      <c r="D1439" s="6">
        <v>5.8975999999999999E-5</v>
      </c>
      <c r="E1439" s="17">
        <v>8.6975566852087933E-4</v>
      </c>
      <c r="F1439">
        <f>E1439* VLOOKUP(A1439,Check!A$2:F$11,4,FALSE)</f>
        <v>1850443.9724019642</v>
      </c>
    </row>
    <row r="1440" spans="1:6" x14ac:dyDescent="0.2">
      <c r="A1440">
        <v>2022</v>
      </c>
      <c r="B1440" s="1" t="s">
        <v>55</v>
      </c>
      <c r="C1440" s="7">
        <v>116032</v>
      </c>
      <c r="D1440" s="6">
        <v>5.0840000000000001E-5</v>
      </c>
      <c r="E1440" s="17">
        <v>7.4976218577595187E-4</v>
      </c>
      <c r="F1440">
        <f>E1440* VLOOKUP(A1440,Check!A$2:F$11,4,FALSE)</f>
        <v>1595152.4866327744</v>
      </c>
    </row>
    <row r="1441" spans="1:6" x14ac:dyDescent="0.2">
      <c r="A1441">
        <v>2022</v>
      </c>
      <c r="B1441" s="1" t="s">
        <v>56</v>
      </c>
      <c r="C1441" s="7">
        <v>146014</v>
      </c>
      <c r="D1441" s="6">
        <v>6.3977000000000001E-5</v>
      </c>
      <c r="E1441" s="17">
        <v>9.4349641300580734E-4</v>
      </c>
      <c r="F1441">
        <f>E1441* VLOOKUP(A1441,Check!A$2:F$11,4,FALSE)</f>
        <v>2007330.6948358896</v>
      </c>
    </row>
    <row r="1442" spans="1:6" x14ac:dyDescent="0.2">
      <c r="A1442">
        <v>2022</v>
      </c>
      <c r="B1442" s="1" t="s">
        <v>232</v>
      </c>
      <c r="C1442" s="7">
        <v>93606</v>
      </c>
      <c r="D1442" s="6">
        <v>4.1013999999999997E-5</v>
      </c>
      <c r="E1442" s="17">
        <v>6.0485244727095759E-4</v>
      </c>
      <c r="F1442">
        <f>E1442* VLOOKUP(A1442,Check!A$2:F$11,4,FALSE)</f>
        <v>1286850.5555687007</v>
      </c>
    </row>
    <row r="1443" spans="1:6" x14ac:dyDescent="0.2">
      <c r="A1443">
        <v>2022</v>
      </c>
      <c r="B1443" s="1" t="s">
        <v>57</v>
      </c>
      <c r="C1443" s="7" t="s">
        <v>6</v>
      </c>
      <c r="D1443" s="6">
        <v>0</v>
      </c>
      <c r="F1443">
        <f>E1443* VLOOKUP(A1443,Check!A$2:F$11,4,FALSE)</f>
        <v>0</v>
      </c>
    </row>
    <row r="1444" spans="1:6" x14ac:dyDescent="0.2">
      <c r="A1444">
        <v>2022</v>
      </c>
      <c r="B1444" s="1" t="s">
        <v>58</v>
      </c>
      <c r="C1444" s="7">
        <v>208533</v>
      </c>
      <c r="D1444" s="6">
        <v>9.1368999999999999E-5</v>
      </c>
      <c r="E1444" s="17">
        <v>1.3474744715803965E-3</v>
      </c>
      <c r="F1444">
        <f>E1444* VLOOKUP(A1444,Check!A$2:F$11,4,FALSE)</f>
        <v>2866812.0302588278</v>
      </c>
    </row>
    <row r="1445" spans="1:6" x14ac:dyDescent="0.2">
      <c r="A1445">
        <v>2022</v>
      </c>
      <c r="B1445" s="1" t="s">
        <v>59</v>
      </c>
      <c r="C1445" s="7">
        <v>466180</v>
      </c>
      <c r="D1445" s="6">
        <v>2.0425900000000001E-4</v>
      </c>
      <c r="E1445" s="17">
        <v>3.0123081198723907E-3</v>
      </c>
      <c r="F1445">
        <f>E1445* VLOOKUP(A1445,Check!A$2:F$11,4,FALSE)</f>
        <v>6408819.861921425</v>
      </c>
    </row>
    <row r="1446" spans="1:6" x14ac:dyDescent="0.2">
      <c r="A1446">
        <v>2022</v>
      </c>
      <c r="B1446" s="1" t="s">
        <v>60</v>
      </c>
      <c r="C1446" s="7">
        <v>77285</v>
      </c>
      <c r="D1446" s="6">
        <v>3.3862999999999997E-5</v>
      </c>
      <c r="E1446" s="17">
        <v>4.9939129315787402E-4</v>
      </c>
      <c r="F1446">
        <f>E1446* VLOOKUP(A1446,Check!A$2:F$11,4,FALSE)</f>
        <v>1062477.2470474867</v>
      </c>
    </row>
    <row r="1447" spans="1:6" x14ac:dyDescent="0.2">
      <c r="A1447">
        <v>2022</v>
      </c>
      <c r="B1447" s="1" t="s">
        <v>61</v>
      </c>
      <c r="C1447" s="8">
        <v>35036</v>
      </c>
      <c r="D1447" s="6">
        <v>1.5350999999999999E-5</v>
      </c>
      <c r="E1447" s="17">
        <v>2.2639158112284756E-4</v>
      </c>
      <c r="F1447">
        <f>E1447* VLOOKUP(A1447,Check!A$2:F$11,4,FALSE)</f>
        <v>481658.18499780993</v>
      </c>
    </row>
    <row r="1448" spans="1:6" x14ac:dyDescent="0.2">
      <c r="A1448">
        <v>2022</v>
      </c>
      <c r="B1448" s="1" t="s">
        <v>209</v>
      </c>
      <c r="C1448" s="7">
        <v>813202</v>
      </c>
      <c r="D1448" s="6">
        <v>3.56308E-4</v>
      </c>
      <c r="E1448" s="17">
        <v>5.2546548279558706E-3</v>
      </c>
      <c r="F1448">
        <f>E1448* VLOOKUP(A1448,Check!A$2:F$11,4,FALSE)</f>
        <v>11179512.483062822</v>
      </c>
    </row>
    <row r="1449" spans="1:6" x14ac:dyDescent="0.2">
      <c r="A1449">
        <v>2022</v>
      </c>
      <c r="B1449" s="1" t="s">
        <v>63</v>
      </c>
      <c r="C1449" s="7">
        <v>1267759</v>
      </c>
      <c r="D1449" s="6">
        <v>5.5547300000000001E-4</v>
      </c>
      <c r="E1449" s="17">
        <v>8.191858787895882E-3</v>
      </c>
      <c r="F1449">
        <f>E1449* VLOOKUP(A1449,Check!A$2:F$11,4,FALSE)</f>
        <v>17428544.895382993</v>
      </c>
    </row>
    <row r="1450" spans="1:6" x14ac:dyDescent="0.2">
      <c r="A1450">
        <v>2022</v>
      </c>
      <c r="B1450" s="1" t="s">
        <v>64</v>
      </c>
      <c r="C1450" s="7">
        <v>188155</v>
      </c>
      <c r="D1450" s="6">
        <v>8.2441000000000006E-5</v>
      </c>
      <c r="E1450" s="17">
        <v>1.2157982631056453E-3</v>
      </c>
      <c r="F1450">
        <f>E1450* VLOOKUP(A1450,Check!A$2:F$11,4,FALSE)</f>
        <v>2586665.0244966019</v>
      </c>
    </row>
    <row r="1451" spans="1:6" x14ac:dyDescent="0.2">
      <c r="A1451">
        <v>2022</v>
      </c>
      <c r="B1451" s="1" t="s">
        <v>65</v>
      </c>
      <c r="C1451" s="7">
        <v>220744</v>
      </c>
      <c r="D1451" s="6">
        <v>9.6719999999999996E-5</v>
      </c>
      <c r="E1451" s="17">
        <v>1.4263781020488031E-3</v>
      </c>
      <c r="F1451">
        <f>E1451* VLOOKUP(A1451,Check!A$2:F$11,4,FALSE)</f>
        <v>3034683.0228666677</v>
      </c>
    </row>
    <row r="1452" spans="1:6" x14ac:dyDescent="0.2">
      <c r="A1452">
        <v>2022</v>
      </c>
      <c r="B1452" s="1" t="s">
        <v>66</v>
      </c>
      <c r="C1452" s="7">
        <v>932762</v>
      </c>
      <c r="D1452" s="6">
        <v>4.0869300000000001E-4</v>
      </c>
      <c r="E1452" s="17">
        <v>6.0272138369479832E-3</v>
      </c>
      <c r="F1452">
        <f>E1452* VLOOKUP(A1452,Check!A$2:F$11,4,FALSE)</f>
        <v>12823166.227735106</v>
      </c>
    </row>
    <row r="1453" spans="1:6" x14ac:dyDescent="0.2">
      <c r="A1453">
        <v>2022</v>
      </c>
      <c r="B1453" s="1" t="s">
        <v>67</v>
      </c>
      <c r="C1453" s="7">
        <v>606087</v>
      </c>
      <c r="D1453" s="6">
        <v>2.6556000000000003E-4</v>
      </c>
      <c r="E1453" s="17">
        <v>3.9163430251171168E-3</v>
      </c>
      <c r="F1453">
        <f>E1453* VLOOKUP(A1453,Check!A$2:F$11,4,FALSE)</f>
        <v>8332194.4391702143</v>
      </c>
    </row>
    <row r="1454" spans="1:6" x14ac:dyDescent="0.2">
      <c r="A1454">
        <v>2022</v>
      </c>
      <c r="B1454" s="1" t="s">
        <v>68</v>
      </c>
      <c r="C1454" s="7">
        <v>48816</v>
      </c>
      <c r="D1454" s="6">
        <v>2.1389000000000001E-5</v>
      </c>
      <c r="E1454" s="17">
        <v>3.1543359470524398E-4</v>
      </c>
      <c r="F1454">
        <f>E1454* VLOOKUP(A1454,Check!A$2:F$11,4,FALSE)</f>
        <v>671099.03981199604</v>
      </c>
    </row>
    <row r="1455" spans="1:6" x14ac:dyDescent="0.2">
      <c r="A1455">
        <v>2022</v>
      </c>
      <c r="B1455" s="1" t="s">
        <v>69</v>
      </c>
      <c r="C1455" s="7">
        <v>442187</v>
      </c>
      <c r="D1455" s="6">
        <v>1.9374600000000001E-4</v>
      </c>
      <c r="E1455" s="17">
        <v>2.857272921622577E-3</v>
      </c>
      <c r="F1455">
        <f>E1455* VLOOKUP(A1455,Check!A$2:F$11,4,FALSE)</f>
        <v>6078975.5636952454</v>
      </c>
    </row>
    <row r="1456" spans="1:6" x14ac:dyDescent="0.2">
      <c r="A1456">
        <v>2022</v>
      </c>
      <c r="B1456" s="1" t="s">
        <v>70</v>
      </c>
      <c r="C1456" s="7">
        <v>119248</v>
      </c>
      <c r="D1456" s="6">
        <v>5.2249000000000001E-5</v>
      </c>
      <c r="E1456" s="17">
        <v>7.7054296340156776E-4</v>
      </c>
      <c r="F1456">
        <f>E1456* VLOOKUP(A1456,Check!A$2:F$11,4,FALSE)</f>
        <v>1639364.5177708312</v>
      </c>
    </row>
    <row r="1457" spans="1:6" x14ac:dyDescent="0.2">
      <c r="A1457">
        <v>2022</v>
      </c>
      <c r="B1457" s="1" t="s">
        <v>71</v>
      </c>
      <c r="C1457" s="7">
        <v>12754</v>
      </c>
      <c r="D1457" s="6">
        <v>5.5879999999999997E-6</v>
      </c>
      <c r="E1457" s="17">
        <v>8.2412325198104756E-5</v>
      </c>
      <c r="F1457">
        <f>E1457* VLOOKUP(A1457,Check!A$2:F$11,4,FALSE)</f>
        <v>175335.89711902241</v>
      </c>
    </row>
    <row r="1458" spans="1:6" x14ac:dyDescent="0.2">
      <c r="A1458">
        <v>2022</v>
      </c>
      <c r="B1458" s="1" t="s">
        <v>72</v>
      </c>
      <c r="C1458" s="7">
        <v>11529</v>
      </c>
      <c r="D1458" s="6">
        <v>5.0520000000000001E-6</v>
      </c>
      <c r="E1458" s="17">
        <v>7.4496761581382281E-5</v>
      </c>
      <c r="F1458">
        <f>E1458* VLOOKUP(A1458,Check!A$2:F$11,4,FALSE)</f>
        <v>158495.18252197027</v>
      </c>
    </row>
    <row r="1459" spans="1:6" x14ac:dyDescent="0.2">
      <c r="A1459">
        <v>2022</v>
      </c>
      <c r="B1459" s="1" t="s">
        <v>73</v>
      </c>
      <c r="C1459" s="7">
        <v>35093</v>
      </c>
      <c r="D1459" s="6">
        <v>1.5376E-5</v>
      </c>
      <c r="E1459" s="17">
        <v>2.2675989714419711E-4</v>
      </c>
      <c r="F1459">
        <f>E1459* VLOOKUP(A1459,Check!A$2:F$11,4,FALSE)</f>
        <v>482441.79375865241</v>
      </c>
    </row>
    <row r="1460" spans="1:6" x14ac:dyDescent="0.2">
      <c r="A1460">
        <v>2022</v>
      </c>
      <c r="B1460" s="1" t="s">
        <v>74</v>
      </c>
      <c r="C1460" s="7">
        <v>8917</v>
      </c>
      <c r="D1460" s="6">
        <v>3.907E-6</v>
      </c>
      <c r="E1460" s="17">
        <v>5.7618841445154462E-5</v>
      </c>
      <c r="F1460">
        <f>E1460* VLOOKUP(A1460,Check!A$2:F$11,4,FALSE)</f>
        <v>122586.65474441921</v>
      </c>
    </row>
    <row r="1461" spans="1:6" x14ac:dyDescent="0.2">
      <c r="A1461">
        <v>2022</v>
      </c>
      <c r="B1461" s="1" t="s">
        <v>75</v>
      </c>
      <c r="C1461" s="7">
        <v>89539</v>
      </c>
      <c r="D1461" s="6">
        <v>3.9232E-5</v>
      </c>
      <c r="E1461" s="17">
        <v>5.7857277606343906E-4</v>
      </c>
      <c r="F1461">
        <f>E1461* VLOOKUP(A1461,Check!A$2:F$11,4,FALSE)</f>
        <v>1230939.383106488</v>
      </c>
    </row>
    <row r="1462" spans="1:6" x14ac:dyDescent="0.2">
      <c r="A1462">
        <v>2022</v>
      </c>
      <c r="B1462" s="1" t="s">
        <v>76</v>
      </c>
      <c r="C1462" s="7">
        <v>138076</v>
      </c>
      <c r="D1462" s="6">
        <v>6.0498000000000003E-5</v>
      </c>
      <c r="E1462" s="17">
        <v>8.9220356076944579E-4</v>
      </c>
      <c r="F1462">
        <f>E1462* VLOOKUP(A1462,Check!A$2:F$11,4,FALSE)</f>
        <v>1898202.8642469919</v>
      </c>
    </row>
    <row r="1463" spans="1:6" x14ac:dyDescent="0.2">
      <c r="A1463">
        <v>2022</v>
      </c>
      <c r="B1463" s="1" t="s">
        <v>78</v>
      </c>
      <c r="C1463" s="7">
        <v>5258842</v>
      </c>
      <c r="D1463" s="6">
        <v>2.3041820000000001E-3</v>
      </c>
      <c r="E1463" s="17">
        <v>3.3980978286768979E-2</v>
      </c>
      <c r="F1463">
        <f>E1463* VLOOKUP(A1463,Check!A$2:F$11,4,FALSE)</f>
        <v>72296046.720808685</v>
      </c>
    </row>
    <row r="1464" spans="1:6" x14ac:dyDescent="0.2">
      <c r="A1464">
        <v>2022</v>
      </c>
      <c r="B1464" s="1" t="s">
        <v>79</v>
      </c>
      <c r="C1464" s="7">
        <v>199806</v>
      </c>
      <c r="D1464" s="6">
        <v>8.7546000000000005E-5</v>
      </c>
      <c r="E1464" s="17">
        <v>1.2910833502064072E-3</v>
      </c>
      <c r="F1464">
        <f>E1464* VLOOKUP(A1464,Check!A$2:F$11,4,FALSE)</f>
        <v>2746837.4047172172</v>
      </c>
    </row>
    <row r="1465" spans="1:6" x14ac:dyDescent="0.2">
      <c r="A1465">
        <v>2022</v>
      </c>
      <c r="B1465" s="1" t="s">
        <v>80</v>
      </c>
      <c r="C1465" s="7">
        <v>125290</v>
      </c>
      <c r="D1465" s="6">
        <v>5.4895999999999998E-5</v>
      </c>
      <c r="E1465" s="17">
        <v>8.0958446166461845E-4</v>
      </c>
      <c r="F1465">
        <f>E1465* VLOOKUP(A1465,Check!A$2:F$11,4,FALSE)</f>
        <v>1722427.0464201281</v>
      </c>
    </row>
    <row r="1466" spans="1:6" x14ac:dyDescent="0.2">
      <c r="A1466">
        <v>2022</v>
      </c>
      <c r="B1466" s="1" t="s">
        <v>81</v>
      </c>
      <c r="C1466" s="7">
        <v>204334</v>
      </c>
      <c r="D1466" s="6">
        <v>8.9530000000000005E-5</v>
      </c>
      <c r="E1466" s="17">
        <v>1.3203418580076474E-3</v>
      </c>
      <c r="F1466">
        <f>E1466* VLOOKUP(A1466,Check!A$2:F$11,4,FALSE)</f>
        <v>2809086.1848767698</v>
      </c>
    </row>
    <row r="1467" spans="1:6" x14ac:dyDescent="0.2">
      <c r="A1467">
        <v>2022</v>
      </c>
      <c r="B1467" s="1" t="s">
        <v>82</v>
      </c>
      <c r="C1467" s="7">
        <v>4162</v>
      </c>
      <c r="D1467" s="6">
        <v>1.824E-6</v>
      </c>
      <c r="E1467" s="17">
        <v>2.6893531243101143E-5</v>
      </c>
      <c r="F1467">
        <f>E1467* VLOOKUP(A1467,Check!A$2:F$11,4,FALSE)</f>
        <v>57217.187063616999</v>
      </c>
    </row>
    <row r="1468" spans="1:6" x14ac:dyDescent="0.2">
      <c r="A1468">
        <v>2022</v>
      </c>
      <c r="B1468" s="1" t="s">
        <v>83</v>
      </c>
      <c r="C1468" s="7">
        <v>518302</v>
      </c>
      <c r="D1468" s="6">
        <v>2.2709600000000001E-4</v>
      </c>
      <c r="E1468" s="17">
        <v>3.3491040438159078E-3</v>
      </c>
      <c r="F1468">
        <f>E1468* VLOOKUP(A1468,Check!A$2:F$11,4,FALSE)</f>
        <v>7125368.2098622816</v>
      </c>
    </row>
    <row r="1469" spans="1:6" x14ac:dyDescent="0.2">
      <c r="A1469">
        <v>2022</v>
      </c>
      <c r="B1469" s="1" t="s">
        <v>84</v>
      </c>
      <c r="C1469" s="7">
        <v>27176</v>
      </c>
      <c r="D1469" s="6">
        <v>1.1907E-5</v>
      </c>
      <c r="E1469" s="17">
        <v>1.7560274028412221E-4</v>
      </c>
      <c r="F1469">
        <f>E1469* VLOOKUP(A1469,Check!A$2:F$11,4,FALSE)</f>
        <v>373602.66113427572</v>
      </c>
    </row>
    <row r="1470" spans="1:6" x14ac:dyDescent="0.2">
      <c r="A1470">
        <v>2022</v>
      </c>
      <c r="B1470" s="1" t="s">
        <v>85</v>
      </c>
      <c r="C1470" s="7">
        <v>370263</v>
      </c>
      <c r="D1470" s="6">
        <v>1.62232E-4</v>
      </c>
      <c r="E1470" s="17">
        <v>2.3925227195253141E-3</v>
      </c>
      <c r="F1470">
        <f>E1470* VLOOKUP(A1470,Check!A$2:F$11,4,FALSE)</f>
        <v>5090198.7827333054</v>
      </c>
    </row>
    <row r="1471" spans="1:6" x14ac:dyDescent="0.2">
      <c r="A1471">
        <v>2022</v>
      </c>
      <c r="B1471" s="1" t="s">
        <v>86</v>
      </c>
      <c r="C1471" s="7">
        <v>20755</v>
      </c>
      <c r="D1471" s="6">
        <v>9.0939999999999997E-6</v>
      </c>
      <c r="E1471" s="17">
        <v>1.3411226356332633E-4</v>
      </c>
      <c r="F1471">
        <f>E1471* VLOOKUP(A1471,Check!A$2:F$11,4,FALSE)</f>
        <v>285329.82160148263</v>
      </c>
    </row>
    <row r="1472" spans="1:6" x14ac:dyDescent="0.2">
      <c r="A1472">
        <v>2022</v>
      </c>
      <c r="B1472" s="1" t="s">
        <v>87</v>
      </c>
      <c r="C1472" s="7" t="s">
        <v>6</v>
      </c>
      <c r="D1472" s="6">
        <v>0</v>
      </c>
      <c r="F1472">
        <f>E1472* VLOOKUP(A1472,Check!A$2:F$11,4,FALSE)</f>
        <v>0</v>
      </c>
    </row>
    <row r="1473" spans="1:6" x14ac:dyDescent="0.2">
      <c r="A1473">
        <v>2022</v>
      </c>
      <c r="B1473" s="1" t="s">
        <v>88</v>
      </c>
      <c r="C1473" s="7">
        <v>884081</v>
      </c>
      <c r="D1473" s="6">
        <v>3.8736400000000001E-4</v>
      </c>
      <c r="E1473" s="17">
        <v>5.7126525696617253E-3</v>
      </c>
      <c r="F1473">
        <f>E1473* VLOOKUP(A1473,Check!A$2:F$11,4,FALSE)</f>
        <v>12153923.103409316</v>
      </c>
    </row>
    <row r="1474" spans="1:6" x14ac:dyDescent="0.2">
      <c r="A1474">
        <v>2022</v>
      </c>
      <c r="B1474" s="1" t="s">
        <v>89</v>
      </c>
      <c r="C1474" s="7">
        <v>1160405</v>
      </c>
      <c r="D1474" s="6">
        <v>5.0843600000000002E-4</v>
      </c>
      <c r="E1474" s="17">
        <v>7.4981711009492504E-3</v>
      </c>
      <c r="F1474">
        <f>E1474* VLOOKUP(A1474,Check!A$2:F$11,4,FALSE)</f>
        <v>15952693.405707948</v>
      </c>
    </row>
    <row r="1475" spans="1:6" x14ac:dyDescent="0.2">
      <c r="A1475">
        <v>2022</v>
      </c>
      <c r="B1475" s="1" t="s">
        <v>90</v>
      </c>
      <c r="C1475" s="7">
        <v>55599</v>
      </c>
      <c r="D1475" s="6">
        <v>2.4360999999999999E-5</v>
      </c>
      <c r="E1475" s="17">
        <v>3.5926320124583864E-4</v>
      </c>
      <c r="F1475">
        <f>E1475* VLOOKUP(A1475,Check!A$2:F$11,4,FALSE)</f>
        <v>764348.48235224443</v>
      </c>
    </row>
    <row r="1476" spans="1:6" x14ac:dyDescent="0.2">
      <c r="A1476">
        <v>2022</v>
      </c>
      <c r="B1476" s="1" t="s">
        <v>91</v>
      </c>
      <c r="C1476" s="7">
        <v>196841</v>
      </c>
      <c r="D1476" s="6">
        <v>8.6247000000000003E-5</v>
      </c>
      <c r="E1476" s="17">
        <v>1.2719244554116463E-3</v>
      </c>
      <c r="F1476">
        <f>E1476* VLOOKUP(A1476,Check!A$2:F$11,4,FALSE)</f>
        <v>2706076.0016312911</v>
      </c>
    </row>
    <row r="1477" spans="1:6" x14ac:dyDescent="0.2">
      <c r="A1477">
        <v>2022</v>
      </c>
      <c r="B1477" s="1" t="s">
        <v>92</v>
      </c>
      <c r="C1477" s="7">
        <v>2164277</v>
      </c>
      <c r="D1477" s="6">
        <v>9.4828700000000002E-4</v>
      </c>
      <c r="E1477" s="17">
        <v>1.3984875328742243E-2</v>
      </c>
      <c r="F1477">
        <f>E1477* VLOOKUP(A1477,Check!A$2:F$11,4,FALSE)</f>
        <v>29753445.931399282</v>
      </c>
    </row>
    <row r="1478" spans="1:6" x14ac:dyDescent="0.2">
      <c r="A1478">
        <v>2022</v>
      </c>
      <c r="B1478" s="1" t="s">
        <v>93</v>
      </c>
      <c r="C1478" s="7">
        <v>123657</v>
      </c>
      <c r="D1478" s="6">
        <v>5.4181000000000002E-5</v>
      </c>
      <c r="E1478" s="17">
        <v>7.9903253073718356E-4</v>
      </c>
      <c r="F1478">
        <f>E1478* VLOOKUP(A1478,Check!A$2:F$11,4,FALSE)</f>
        <v>1699977.3427980987</v>
      </c>
    </row>
    <row r="1479" spans="1:6" x14ac:dyDescent="0.2">
      <c r="A1479">
        <v>2022</v>
      </c>
      <c r="B1479" s="1" t="s">
        <v>94</v>
      </c>
      <c r="C1479" s="7">
        <v>3257995</v>
      </c>
      <c r="D1479" s="6">
        <v>1.4275030000000001E-3</v>
      </c>
      <c r="E1479" s="17">
        <v>2.1052136069766293E-2</v>
      </c>
      <c r="F1479">
        <f>E1479* VLOOKUP(A1479,Check!A$2:F$11,4,FALSE)</f>
        <v>44789358.329487957</v>
      </c>
    </row>
    <row r="1480" spans="1:6" x14ac:dyDescent="0.2">
      <c r="A1480">
        <v>2022</v>
      </c>
      <c r="B1480" s="1" t="s">
        <v>95</v>
      </c>
      <c r="C1480" s="7">
        <v>131047</v>
      </c>
      <c r="D1480" s="6">
        <v>5.7419E-5</v>
      </c>
      <c r="E1480" s="17">
        <v>8.4678437982092152E-4</v>
      </c>
      <c r="F1480">
        <f>E1480* VLOOKUP(A1480,Check!A$2:F$11,4,FALSE)</f>
        <v>1801571.5312652129</v>
      </c>
    </row>
    <row r="1481" spans="1:6" x14ac:dyDescent="0.2">
      <c r="A1481">
        <v>2022</v>
      </c>
      <c r="B1481" s="1" t="s">
        <v>96</v>
      </c>
      <c r="C1481" s="7">
        <v>7584975</v>
      </c>
      <c r="D1481" s="6">
        <v>3.3233859999999998E-3</v>
      </c>
      <c r="E1481" s="17">
        <v>4.9011716035713859E-2</v>
      </c>
      <c r="F1481">
        <f>E1481* VLOOKUP(A1481,Check!A$2:F$11,4,FALSE)</f>
        <v>104274611.59246956</v>
      </c>
    </row>
    <row r="1482" spans="1:6" x14ac:dyDescent="0.2">
      <c r="A1482">
        <v>2022</v>
      </c>
      <c r="B1482" s="1" t="s">
        <v>97</v>
      </c>
      <c r="C1482" s="7">
        <v>8673117</v>
      </c>
      <c r="D1482" s="6">
        <v>3.8001599999999999E-3</v>
      </c>
      <c r="E1482" s="17">
        <v>5.6042946423491509E-2</v>
      </c>
      <c r="F1482">
        <f>E1482* VLOOKUP(A1482,Check!A$2:F$11,4,FALSE)</f>
        <v>119233867.80721688</v>
      </c>
    </row>
    <row r="1483" spans="1:6" x14ac:dyDescent="0.2">
      <c r="A1483">
        <v>2022</v>
      </c>
      <c r="B1483" s="1" t="s">
        <v>98</v>
      </c>
      <c r="C1483" s="7">
        <v>212222</v>
      </c>
      <c r="D1483" s="6">
        <v>9.2985999999999994E-5</v>
      </c>
      <c r="E1483" s="17">
        <v>1.3713116260147551E-3</v>
      </c>
      <c r="F1483">
        <f>E1483* VLOOKUP(A1483,Check!A$2:F$11,4,FALSE)</f>
        <v>2917526.6393596651</v>
      </c>
    </row>
    <row r="1484" spans="1:6" x14ac:dyDescent="0.2">
      <c r="A1484">
        <v>2022</v>
      </c>
      <c r="B1484" s="1" t="s">
        <v>99</v>
      </c>
      <c r="C1484" s="7">
        <v>19219</v>
      </c>
      <c r="D1484" s="6">
        <v>8.4209999999999995E-6</v>
      </c>
      <c r="E1484" s="17">
        <v>1.2418711604064413E-4</v>
      </c>
      <c r="F1484">
        <f>E1484* VLOOKUP(A1484,Check!A$2:F$11,4,FALSE)</f>
        <v>264213.62762509735</v>
      </c>
    </row>
    <row r="1485" spans="1:6" x14ac:dyDescent="0.2">
      <c r="A1485">
        <v>2022</v>
      </c>
      <c r="B1485" s="1" t="s">
        <v>100</v>
      </c>
      <c r="C1485" s="7">
        <v>329816</v>
      </c>
      <c r="D1485" s="6">
        <v>1.4451000000000001E-4</v>
      </c>
      <c r="E1485" s="17">
        <v>2.1311669631126013E-3</v>
      </c>
      <c r="F1485">
        <f>E1485* VLOOKUP(A1485,Check!A$2:F$11,4,FALSE)</f>
        <v>4534152.7555439463</v>
      </c>
    </row>
    <row r="1486" spans="1:6" x14ac:dyDescent="0.2">
      <c r="A1486">
        <v>2022</v>
      </c>
      <c r="B1486" s="1" t="s">
        <v>101</v>
      </c>
      <c r="C1486" s="7">
        <v>591942</v>
      </c>
      <c r="D1486" s="6">
        <v>2.5936200000000001E-4</v>
      </c>
      <c r="E1486" s="17">
        <v>3.8249424966611666E-3</v>
      </c>
      <c r="F1486">
        <f>E1486* VLOOKUP(A1486,Check!A$2:F$11,4,FALSE)</f>
        <v>8137735.7387822131</v>
      </c>
    </row>
    <row r="1487" spans="1:6" x14ac:dyDescent="0.2">
      <c r="A1487">
        <v>2022</v>
      </c>
      <c r="B1487" s="1" t="s">
        <v>102</v>
      </c>
      <c r="C1487" s="7">
        <v>61261</v>
      </c>
      <c r="D1487" s="6">
        <v>2.6842000000000002E-5</v>
      </c>
      <c r="E1487" s="17">
        <v>3.9584925936655914E-4</v>
      </c>
      <c r="F1487">
        <f>E1487* VLOOKUP(A1487,Check!A$2:F$11,4,FALSE)</f>
        <v>842186.95259592531</v>
      </c>
    </row>
    <row r="1488" spans="1:6" x14ac:dyDescent="0.2">
      <c r="A1488">
        <v>2022</v>
      </c>
      <c r="B1488" s="1" t="s">
        <v>103</v>
      </c>
      <c r="C1488" s="7">
        <v>6264996</v>
      </c>
      <c r="D1488" s="6">
        <v>2.745033E-3</v>
      </c>
      <c r="E1488" s="17">
        <v>4.0482428078785125E-2</v>
      </c>
      <c r="F1488">
        <f>E1488* VLOOKUP(A1488,Check!A$2:F$11,4,FALSE)</f>
        <v>86128171.091977954</v>
      </c>
    </row>
    <row r="1489" spans="1:6" x14ac:dyDescent="0.2">
      <c r="A1489">
        <v>2022</v>
      </c>
      <c r="B1489" s="1" t="s">
        <v>104</v>
      </c>
      <c r="C1489" s="7">
        <v>72508</v>
      </c>
      <c r="D1489" s="6">
        <v>3.1770000000000002E-5</v>
      </c>
      <c r="E1489" s="17">
        <v>4.6852382589494899E-4</v>
      </c>
      <c r="F1489">
        <f>E1489* VLOOKUP(A1489,Check!A$2:F$11,4,FALSE)</f>
        <v>996805.33388004359</v>
      </c>
    </row>
    <row r="1490" spans="1:6" x14ac:dyDescent="0.2">
      <c r="A1490">
        <v>2022</v>
      </c>
      <c r="B1490" s="1" t="s">
        <v>105</v>
      </c>
      <c r="C1490" s="7">
        <v>74441</v>
      </c>
      <c r="D1490" s="6">
        <v>3.2617000000000003E-5</v>
      </c>
      <c r="E1490" s="17">
        <v>4.8101426219790774E-4</v>
      </c>
      <c r="F1490">
        <f>E1490* VLOOKUP(A1490,Check!A$2:F$11,4,FALSE)</f>
        <v>1023379.2941380857</v>
      </c>
    </row>
    <row r="1491" spans="1:6" x14ac:dyDescent="0.2">
      <c r="A1491">
        <v>2022</v>
      </c>
      <c r="B1491" s="1" t="s">
        <v>106</v>
      </c>
      <c r="C1491" s="7">
        <v>589560</v>
      </c>
      <c r="D1491" s="6">
        <v>2.58318E-4</v>
      </c>
      <c r="E1491" s="17">
        <v>3.8095507639795073E-3</v>
      </c>
      <c r="F1491">
        <f>E1491* VLOOKUP(A1491,Check!A$2:F$11,4,FALSE)</f>
        <v>8104989.1410922725</v>
      </c>
    </row>
    <row r="1492" spans="1:6" x14ac:dyDescent="0.2">
      <c r="A1492">
        <v>2022</v>
      </c>
      <c r="B1492" s="1" t="s">
        <v>107</v>
      </c>
      <c r="C1492" s="7">
        <v>944845</v>
      </c>
      <c r="D1492" s="6">
        <v>4.1398800000000001E-4</v>
      </c>
      <c r="E1492" s="17">
        <v>6.1052903717894996E-3</v>
      </c>
      <c r="F1492">
        <f>E1492* VLOOKUP(A1492,Check!A$2:F$11,4,FALSE)</f>
        <v>12989277.537511582</v>
      </c>
    </row>
    <row r="1493" spans="1:6" x14ac:dyDescent="0.2">
      <c r="A1493">
        <v>2022</v>
      </c>
      <c r="B1493" s="1" t="s">
        <v>108</v>
      </c>
      <c r="C1493" s="7">
        <v>964279</v>
      </c>
      <c r="D1493" s="6">
        <v>4.2250300000000002E-4</v>
      </c>
      <c r="E1493" s="17">
        <v>6.2308667500159363E-3</v>
      </c>
      <c r="F1493">
        <f>E1493* VLOOKUP(A1493,Check!A$2:F$11,4,FALSE)</f>
        <v>13256446.882392488</v>
      </c>
    </row>
    <row r="1494" spans="1:6" x14ac:dyDescent="0.2">
      <c r="A1494">
        <v>2022</v>
      </c>
      <c r="B1494" s="1" t="s">
        <v>109</v>
      </c>
      <c r="C1494" s="7">
        <v>458903</v>
      </c>
      <c r="D1494" s="6">
        <v>2.0107E-4</v>
      </c>
      <c r="E1494" s="17">
        <v>2.9652864411467668E-3</v>
      </c>
      <c r="F1494">
        <f>E1494* VLOOKUP(A1494,Check!A$2:F$11,4,FALSE)</f>
        <v>6308779.1434538756</v>
      </c>
    </row>
    <row r="1495" spans="1:6" x14ac:dyDescent="0.2">
      <c r="A1495">
        <v>2022</v>
      </c>
      <c r="B1495" s="1" t="s">
        <v>110</v>
      </c>
      <c r="C1495" s="7">
        <v>170839</v>
      </c>
      <c r="D1495" s="6">
        <v>7.4853999999999999E-5</v>
      </c>
      <c r="E1495" s="17">
        <v>1.1039077328304076E-3</v>
      </c>
      <c r="F1495">
        <f>E1495* VLOOKUP(A1495,Check!A$2:F$11,4,FALSE)</f>
        <v>2348612.9314659452</v>
      </c>
    </row>
    <row r="1496" spans="1:6" x14ac:dyDescent="0.2">
      <c r="A1496">
        <v>2022</v>
      </c>
      <c r="B1496" s="1" t="s">
        <v>111</v>
      </c>
      <c r="C1496" s="7">
        <v>11722</v>
      </c>
      <c r="D1496" s="6">
        <v>5.1359999999999996E-6</v>
      </c>
      <c r="E1496" s="17">
        <v>7.5743866706302643E-5</v>
      </c>
      <c r="F1496">
        <f>E1496* VLOOKUP(A1496,Check!A$2:F$11,4,FALSE)</f>
        <v>161148.45429113851</v>
      </c>
    </row>
    <row r="1497" spans="1:6" x14ac:dyDescent="0.2">
      <c r="A1497">
        <v>2022</v>
      </c>
      <c r="B1497" s="1" t="s">
        <v>112</v>
      </c>
      <c r="C1497" s="7">
        <v>74008</v>
      </c>
      <c r="D1497" s="6">
        <v>3.2427E-5</v>
      </c>
      <c r="E1497" s="17">
        <v>4.7821635277256832E-4</v>
      </c>
      <c r="F1497">
        <f>E1497* VLOOKUP(A1497,Check!A$2:F$11,4,FALSE)</f>
        <v>1017426.6170601073</v>
      </c>
    </row>
    <row r="1498" spans="1:6" x14ac:dyDescent="0.2">
      <c r="A1498">
        <v>2022</v>
      </c>
      <c r="B1498" s="1" t="s">
        <v>113</v>
      </c>
      <c r="C1498" s="7">
        <v>409365</v>
      </c>
      <c r="D1498" s="6">
        <v>1.7936499999999999E-4</v>
      </c>
      <c r="E1498" s="17">
        <v>2.6451875101710953E-3</v>
      </c>
      <c r="F1498">
        <f>E1498* VLOOKUP(A1498,Check!A$2:F$11,4,FALSE)</f>
        <v>5627754.3926712088</v>
      </c>
    </row>
    <row r="1499" spans="1:6" x14ac:dyDescent="0.2">
      <c r="A1499">
        <v>2022</v>
      </c>
      <c r="B1499" s="1" t="s">
        <v>114</v>
      </c>
      <c r="C1499" s="7" t="s">
        <v>6</v>
      </c>
      <c r="D1499" s="6">
        <v>0</v>
      </c>
      <c r="F1499">
        <f>E1499* VLOOKUP(A1499,Check!A$2:F$11,4,FALSE)</f>
        <v>0</v>
      </c>
    </row>
    <row r="1500" spans="1:6" x14ac:dyDescent="0.2">
      <c r="A1500">
        <v>2022</v>
      </c>
      <c r="B1500" s="1" t="s">
        <v>115</v>
      </c>
      <c r="C1500" s="7">
        <v>105274</v>
      </c>
      <c r="D1500" s="6">
        <v>4.6125999999999998E-5</v>
      </c>
      <c r="E1500" s="17">
        <v>6.802473830096659E-4</v>
      </c>
      <c r="F1500">
        <f>E1500* VLOOKUP(A1500,Check!A$2:F$11,4,FALSE)</f>
        <v>1447256.6436653568</v>
      </c>
    </row>
    <row r="1501" spans="1:6" x14ac:dyDescent="0.2">
      <c r="A1501">
        <v>2022</v>
      </c>
      <c r="B1501" s="1" t="s">
        <v>233</v>
      </c>
      <c r="C1501" s="7">
        <v>52216</v>
      </c>
      <c r="D1501" s="6">
        <v>2.2878E-5</v>
      </c>
      <c r="E1501" s="17">
        <v>3.3740332229451449E-4</v>
      </c>
      <c r="F1501">
        <f>E1501* VLOOKUP(A1501,Check!A$2:F$11,4,FALSE)</f>
        <v>717840.61502014066</v>
      </c>
    </row>
    <row r="1502" spans="1:6" x14ac:dyDescent="0.2">
      <c r="A1502">
        <v>2022</v>
      </c>
      <c r="B1502" s="1" t="s">
        <v>116</v>
      </c>
      <c r="C1502" s="8">
        <v>222420</v>
      </c>
      <c r="D1502" s="6">
        <v>9.7454000000000006E-5</v>
      </c>
      <c r="E1502" s="17">
        <v>1.4372078854133965E-3</v>
      </c>
      <c r="F1502">
        <f>E1502* VLOOKUP(A1502,Check!A$2:F$11,4,FALSE)</f>
        <v>3057723.869939859</v>
      </c>
    </row>
    <row r="1503" spans="1:6" x14ac:dyDescent="0.2">
      <c r="A1503">
        <v>2022</v>
      </c>
      <c r="B1503" s="1" t="s">
        <v>118</v>
      </c>
      <c r="C1503" s="7">
        <v>80246</v>
      </c>
      <c r="D1503" s="6">
        <v>3.5160000000000002E-5</v>
      </c>
      <c r="E1503" s="17">
        <v>5.1852434121429458E-4</v>
      </c>
      <c r="F1503">
        <f>E1503* VLOOKUP(A1503,Check!A$2:F$11,4,FALSE)</f>
        <v>1103183.6600449325</v>
      </c>
    </row>
    <row r="1504" spans="1:6" x14ac:dyDescent="0.2">
      <c r="A1504">
        <v>2022</v>
      </c>
      <c r="B1504" s="1" t="s">
        <v>119</v>
      </c>
      <c r="C1504" s="7">
        <v>93394</v>
      </c>
      <c r="D1504" s="6">
        <v>4.0920999999999997E-5</v>
      </c>
      <c r="E1504" s="17">
        <v>6.0348257013892069E-4</v>
      </c>
      <c r="F1504">
        <f>E1504* VLOOKUP(A1504,Check!A$2:F$11,4,FALSE)</f>
        <v>1283936.0808792517</v>
      </c>
    </row>
    <row r="1505" spans="1:6" x14ac:dyDescent="0.2">
      <c r="A1505">
        <v>2022</v>
      </c>
      <c r="B1505" s="1" t="s">
        <v>120</v>
      </c>
      <c r="C1505" s="7">
        <v>679834</v>
      </c>
      <c r="D1505" s="6">
        <v>2.9787200000000002E-4</v>
      </c>
      <c r="E1505" s="17">
        <v>4.3928728782129797E-3</v>
      </c>
      <c r="F1505">
        <f>E1505* VLOOKUP(A1505,Check!A$2:F$11,4,FALSE)</f>
        <v>9346032.9529569913</v>
      </c>
    </row>
    <row r="1506" spans="1:6" x14ac:dyDescent="0.2">
      <c r="A1506">
        <v>2022</v>
      </c>
      <c r="B1506" s="1" t="s">
        <v>121</v>
      </c>
      <c r="C1506" s="7">
        <v>1879449</v>
      </c>
      <c r="D1506" s="6">
        <v>8.2348800000000004E-4</v>
      </c>
      <c r="E1506" s="17">
        <v>1.2144406631743199E-2</v>
      </c>
      <c r="F1506">
        <f>E1506* VLOOKUP(A1506,Check!A$2:F$11,4,FALSE)</f>
        <v>25837766.700991806</v>
      </c>
    </row>
    <row r="1507" spans="1:6" x14ac:dyDescent="0.2">
      <c r="A1507">
        <v>2022</v>
      </c>
      <c r="B1507" s="1" t="s">
        <v>122</v>
      </c>
      <c r="C1507" s="7" t="s">
        <v>6</v>
      </c>
      <c r="D1507" s="6">
        <v>0</v>
      </c>
      <c r="F1507">
        <f>E1507* VLOOKUP(A1507,Check!A$2:F$11,4,FALSE)</f>
        <v>0</v>
      </c>
    </row>
    <row r="1508" spans="1:6" x14ac:dyDescent="0.2">
      <c r="A1508">
        <v>2022</v>
      </c>
      <c r="B1508" s="1" t="s">
        <v>123</v>
      </c>
      <c r="C1508" s="7" t="s">
        <v>6</v>
      </c>
      <c r="D1508" s="6">
        <v>0</v>
      </c>
      <c r="F1508">
        <f>E1508* VLOOKUP(A1508,Check!A$2:F$11,4,FALSE)</f>
        <v>0</v>
      </c>
    </row>
    <row r="1509" spans="1:6" x14ac:dyDescent="0.2">
      <c r="A1509">
        <v>2022</v>
      </c>
      <c r="B1509" s="1" t="s">
        <v>124</v>
      </c>
      <c r="C1509" s="7" t="s">
        <v>6</v>
      </c>
      <c r="D1509" s="6">
        <v>0</v>
      </c>
      <c r="F1509">
        <f>E1509* VLOOKUP(A1509,Check!A$2:F$11,4,FALSE)</f>
        <v>0</v>
      </c>
    </row>
    <row r="1510" spans="1:6" x14ac:dyDescent="0.2">
      <c r="A1510">
        <v>2022</v>
      </c>
      <c r="B1510" s="1" t="s">
        <v>125</v>
      </c>
      <c r="C1510" s="7">
        <v>44756</v>
      </c>
      <c r="D1510" s="6">
        <v>1.961E-5</v>
      </c>
      <c r="E1510" s="17">
        <v>2.8919915528982095E-4</v>
      </c>
      <c r="F1510">
        <f>E1510* VLOOKUP(A1510,Check!A$2:F$11,4,FALSE)</f>
        <v>615284.10000462341</v>
      </c>
    </row>
    <row r="1511" spans="1:6" x14ac:dyDescent="0.2">
      <c r="A1511">
        <v>2022</v>
      </c>
      <c r="B1511" s="1" t="s">
        <v>126</v>
      </c>
      <c r="C1511" s="7">
        <v>160430</v>
      </c>
      <c r="D1511" s="6">
        <v>7.0292999999999999E-5</v>
      </c>
      <c r="E1511" s="17">
        <v>1.0366480579843142E-3</v>
      </c>
      <c r="F1511">
        <f>E1511* VLOOKUP(A1511,Check!A$2:F$11,4,FALSE)</f>
        <v>2205514.9737184225</v>
      </c>
    </row>
    <row r="1512" spans="1:6" x14ac:dyDescent="0.2">
      <c r="A1512">
        <v>2022</v>
      </c>
      <c r="B1512" s="1" t="s">
        <v>234</v>
      </c>
      <c r="C1512" s="7">
        <v>114637</v>
      </c>
      <c r="D1512" s="6">
        <v>5.0229000000000003E-5</v>
      </c>
      <c r="E1512" s="17">
        <v>7.4074813577976585E-4</v>
      </c>
      <c r="F1512">
        <f>E1512* VLOOKUP(A1512,Check!A$2:F$11,4,FALSE)</f>
        <v>1575974.693275315</v>
      </c>
    </row>
    <row r="1513" spans="1:6" x14ac:dyDescent="0.2">
      <c r="A1513">
        <v>2022</v>
      </c>
      <c r="B1513" s="1" t="s">
        <v>127</v>
      </c>
      <c r="C1513" s="7">
        <v>253967</v>
      </c>
      <c r="D1513" s="6">
        <v>1.11277E-4</v>
      </c>
      <c r="E1513" s="17">
        <v>1.6410546490189014E-3</v>
      </c>
      <c r="F1513">
        <f>E1513* VLOOKUP(A1513,Check!A$2:F$11,4,FALSE)</f>
        <v>3491416.9502608404</v>
      </c>
    </row>
    <row r="1514" spans="1:6" x14ac:dyDescent="0.2">
      <c r="A1514">
        <v>2022</v>
      </c>
      <c r="B1514" s="1" t="s">
        <v>128</v>
      </c>
      <c r="C1514" s="7">
        <v>456692</v>
      </c>
      <c r="D1514" s="6">
        <v>2.00101E-4</v>
      </c>
      <c r="E1514" s="17">
        <v>2.9509996565291558E-3</v>
      </c>
      <c r="F1514">
        <f>E1514* VLOOKUP(A1514,Check!A$2:F$11,4,FALSE)</f>
        <v>6278383.3720464613</v>
      </c>
    </row>
    <row r="1515" spans="1:6" x14ac:dyDescent="0.2">
      <c r="A1515">
        <v>2022</v>
      </c>
      <c r="B1515" s="1" t="s">
        <v>129</v>
      </c>
      <c r="C1515" s="7">
        <v>51475</v>
      </c>
      <c r="D1515" s="6">
        <v>2.2554000000000001E-5</v>
      </c>
      <c r="E1515" s="17">
        <v>3.3261521401697051E-4</v>
      </c>
      <c r="F1515">
        <f>E1515* VLOOKUP(A1515,Check!A$2:F$11,4,FALSE)</f>
        <v>707653.70112918911</v>
      </c>
    </row>
    <row r="1516" spans="1:6" x14ac:dyDescent="0.2">
      <c r="A1516">
        <v>2022</v>
      </c>
      <c r="B1516" s="1" t="s">
        <v>130</v>
      </c>
      <c r="C1516" s="7">
        <v>111837</v>
      </c>
      <c r="D1516" s="6">
        <v>4.9002000000000003E-5</v>
      </c>
      <c r="E1516" s="17">
        <v>7.2265541894154313E-4</v>
      </c>
      <c r="F1516">
        <f>E1516* VLOOKUP(A1516,Check!A$2:F$11,4,FALSE)</f>
        <v>1537481.6313391961</v>
      </c>
    </row>
    <row r="1517" spans="1:6" x14ac:dyDescent="0.2">
      <c r="A1517">
        <v>2022</v>
      </c>
      <c r="B1517" s="1" t="s">
        <v>131</v>
      </c>
      <c r="C1517" s="7">
        <v>98736</v>
      </c>
      <c r="D1517" s="6">
        <v>4.3262E-5</v>
      </c>
      <c r="E1517" s="17">
        <v>6.3800088919241577E-4</v>
      </c>
      <c r="F1517">
        <f>E1517* VLOOKUP(A1517,Check!A$2:F$11,4,FALSE)</f>
        <v>1357375.3440445189</v>
      </c>
    </row>
    <row r="1518" spans="1:6" x14ac:dyDescent="0.2">
      <c r="A1518">
        <v>2022</v>
      </c>
      <c r="B1518" s="1" t="s">
        <v>133</v>
      </c>
      <c r="C1518" s="7">
        <v>76373</v>
      </c>
      <c r="D1518" s="6">
        <v>3.3463000000000001E-5</v>
      </c>
      <c r="E1518" s="17">
        <v>4.9349823681628152E-4</v>
      </c>
      <c r="F1518">
        <f>E1518* VLOOKUP(A1518,Check!A$2:F$11,4,FALSE)</f>
        <v>1049939.5068740081</v>
      </c>
    </row>
    <row r="1519" spans="1:6" x14ac:dyDescent="0.2">
      <c r="A1519">
        <v>2022</v>
      </c>
      <c r="B1519" s="1" t="s">
        <v>134</v>
      </c>
      <c r="C1519" s="7">
        <v>217849</v>
      </c>
      <c r="D1519" s="6">
        <v>9.5451000000000005E-5</v>
      </c>
      <c r="E1519" s="17">
        <v>1.4076715251749978E-3</v>
      </c>
      <c r="F1519">
        <f>E1519* VLOOKUP(A1519,Check!A$2:F$11,4,FALSE)</f>
        <v>2994883.9463291443</v>
      </c>
    </row>
    <row r="1520" spans="1:6" x14ac:dyDescent="0.2">
      <c r="A1520">
        <v>2022</v>
      </c>
      <c r="B1520" s="1" t="s">
        <v>216</v>
      </c>
      <c r="C1520" s="7">
        <v>86240</v>
      </c>
      <c r="D1520" s="6">
        <v>3.7786E-5</v>
      </c>
      <c r="E1520" s="17">
        <v>5.5725567861726155E-4</v>
      </c>
      <c r="F1520">
        <f>E1520* VLOOKUP(A1520,Check!A$2:F$11,4,FALSE)</f>
        <v>1185586.3076324675</v>
      </c>
    </row>
    <row r="1521" spans="1:6" x14ac:dyDescent="0.2">
      <c r="A1521">
        <v>2022</v>
      </c>
      <c r="B1521" s="1" t="s">
        <v>135</v>
      </c>
      <c r="C1521" s="7">
        <v>16315</v>
      </c>
      <c r="D1521" s="6">
        <v>7.148E-6</v>
      </c>
      <c r="E1521" s="17">
        <v>1.0542238400557308E-4</v>
      </c>
      <c r="F1521">
        <f>E1521* VLOOKUP(A1521,Check!A$2:F$11,4,FALSE)</f>
        <v>224290.82338849382</v>
      </c>
    </row>
    <row r="1522" spans="1:6" x14ac:dyDescent="0.2">
      <c r="A1522">
        <v>2022</v>
      </c>
      <c r="B1522" s="1" t="s">
        <v>136</v>
      </c>
      <c r="C1522" s="7">
        <v>407440</v>
      </c>
      <c r="D1522" s="6">
        <v>1.7852100000000001E-4</v>
      </c>
      <c r="E1522" s="17">
        <v>2.6327487673448173E-3</v>
      </c>
      <c r="F1522">
        <f>E1522* VLOOKUP(A1522,Check!A$2:F$11,4,FALSE)</f>
        <v>5601290.4125901274</v>
      </c>
    </row>
    <row r="1523" spans="1:6" x14ac:dyDescent="0.2">
      <c r="A1523">
        <v>2022</v>
      </c>
      <c r="B1523" s="1" t="s">
        <v>137</v>
      </c>
      <c r="C1523" s="7">
        <v>16189374</v>
      </c>
      <c r="D1523" s="6">
        <v>7.0934379999999997E-3</v>
      </c>
      <c r="E1523" s="17">
        <v>0.10461062841788787</v>
      </c>
      <c r="F1523">
        <f>E1523* VLOOKUP(A1523,Check!A$2:F$11,4,FALSE)</f>
        <v>222563777.17464137</v>
      </c>
    </row>
    <row r="1524" spans="1:6" x14ac:dyDescent="0.2">
      <c r="A1524">
        <v>2022</v>
      </c>
      <c r="B1524" s="1" t="s">
        <v>138</v>
      </c>
      <c r="C1524" s="7">
        <v>413491</v>
      </c>
      <c r="D1524" s="6">
        <v>1.8117299999999999E-4</v>
      </c>
      <c r="E1524" s="17">
        <v>2.6718484207691336E-3</v>
      </c>
      <c r="F1524">
        <f>E1524* VLOOKUP(A1524,Check!A$2:F$11,4,FALSE)</f>
        <v>5684476.6689385045</v>
      </c>
    </row>
    <row r="1525" spans="1:6" x14ac:dyDescent="0.2">
      <c r="A1525">
        <v>2022</v>
      </c>
      <c r="B1525" s="1" t="s">
        <v>139</v>
      </c>
      <c r="C1525" s="7">
        <v>22109883</v>
      </c>
      <c r="D1525" s="6">
        <v>9.6875320000000004E-3</v>
      </c>
      <c r="E1525" s="17">
        <v>0.14286709015901269</v>
      </c>
      <c r="F1525">
        <f>E1525* VLOOKUP(A1525,Check!A$2:F$11,4,FALSE)</f>
        <v>303956105.61405224</v>
      </c>
    </row>
    <row r="1526" spans="1:6" x14ac:dyDescent="0.2">
      <c r="A1526">
        <v>2022</v>
      </c>
      <c r="B1526" s="1" t="s">
        <v>140</v>
      </c>
      <c r="C1526" s="7">
        <v>29986</v>
      </c>
      <c r="D1526" s="6">
        <v>1.3139000000000001E-5</v>
      </c>
      <c r="E1526" s="17">
        <v>1.9376007396819579E-4</v>
      </c>
      <c r="F1526">
        <f>E1526* VLOOKUP(A1526,Check!A$2:F$11,4,FALSE)</f>
        <v>412233.19829159521</v>
      </c>
    </row>
    <row r="1527" spans="1:6" x14ac:dyDescent="0.2">
      <c r="A1527">
        <v>2022</v>
      </c>
      <c r="B1527" s="1" t="s">
        <v>141</v>
      </c>
      <c r="C1527" s="7">
        <v>73979</v>
      </c>
      <c r="D1527" s="6">
        <v>3.2413999999999998E-5</v>
      </c>
      <c r="E1527" s="17">
        <v>4.7802896391960101E-4</v>
      </c>
      <c r="F1527">
        <f>E1527* VLOOKUP(A1527,Check!A$2:F$11,4,FALSE)</f>
        <v>1017027.9389186261</v>
      </c>
    </row>
    <row r="1528" spans="1:6" x14ac:dyDescent="0.2">
      <c r="A1528">
        <v>2022</v>
      </c>
      <c r="B1528" s="1" t="s">
        <v>142</v>
      </c>
      <c r="C1528" s="7">
        <v>87596</v>
      </c>
      <c r="D1528" s="6">
        <v>3.8380999999999997E-5</v>
      </c>
      <c r="E1528" s="17">
        <v>5.6601772291462946E-4</v>
      </c>
      <c r="F1528">
        <f>E1528* VLOOKUP(A1528,Check!A$2:F$11,4,FALSE)</f>
        <v>1204227.9476272452</v>
      </c>
    </row>
    <row r="1529" spans="1:6" x14ac:dyDescent="0.2">
      <c r="A1529">
        <v>2022</v>
      </c>
      <c r="B1529" s="1" t="s">
        <v>143</v>
      </c>
      <c r="C1529" s="7">
        <v>50654</v>
      </c>
      <c r="D1529" s="6">
        <v>2.2194000000000001E-5</v>
      </c>
      <c r="E1529" s="17">
        <v>3.2731017097262021E-4</v>
      </c>
      <c r="F1529">
        <f>E1529* VLOOKUP(A1529,Check!A$2:F$11,4,FALSE)</f>
        <v>696366.98546863417</v>
      </c>
    </row>
    <row r="1530" spans="1:6" x14ac:dyDescent="0.2">
      <c r="A1530">
        <v>2022</v>
      </c>
      <c r="B1530" s="1" t="s">
        <v>144</v>
      </c>
      <c r="C1530" s="7">
        <v>154449</v>
      </c>
      <c r="D1530" s="6">
        <v>6.7671999999999999E-5</v>
      </c>
      <c r="E1530" s="17">
        <v>9.9800072248095351E-4</v>
      </c>
      <c r="F1530">
        <f>E1530* VLOOKUP(A1530,Check!A$2:F$11,4,FALSE)</f>
        <v>2123291.0439184485</v>
      </c>
    </row>
    <row r="1531" spans="1:6" x14ac:dyDescent="0.2">
      <c r="A1531">
        <v>2022</v>
      </c>
      <c r="B1531" s="1" t="s">
        <v>145</v>
      </c>
      <c r="C1531" s="7">
        <v>2451340</v>
      </c>
      <c r="D1531" s="6">
        <v>1.074064E-3</v>
      </c>
      <c r="E1531" s="17">
        <v>1.5839785890788938E-2</v>
      </c>
      <c r="F1531">
        <f>E1531* VLOOKUP(A1531,Check!A$2:F$11,4,FALSE)</f>
        <v>33699850.873745054</v>
      </c>
    </row>
    <row r="1532" spans="1:6" x14ac:dyDescent="0.2">
      <c r="A1532">
        <v>2022</v>
      </c>
      <c r="B1532" s="1" t="s">
        <v>146</v>
      </c>
      <c r="C1532" s="7">
        <v>672111</v>
      </c>
      <c r="D1532" s="6">
        <v>2.9448799999999998E-4</v>
      </c>
      <c r="E1532" s="17">
        <v>4.3429692881624101E-3</v>
      </c>
      <c r="F1532">
        <f>E1532* VLOOKUP(A1532,Check!A$2:F$11,4,FALSE)</f>
        <v>9239860.839623902</v>
      </c>
    </row>
    <row r="1533" spans="1:6" x14ac:dyDescent="0.2">
      <c r="A1533">
        <v>2022</v>
      </c>
      <c r="B1533" s="1" t="s">
        <v>147</v>
      </c>
      <c r="C1533" s="7">
        <v>40452</v>
      </c>
      <c r="D1533" s="6">
        <v>1.7723999999999998E-5</v>
      </c>
      <c r="E1533" s="17">
        <v>2.6138806483563847E-4</v>
      </c>
      <c r="F1533">
        <f>E1533* VLOOKUP(A1533,Check!A$2:F$11,4,FALSE)</f>
        <v>556114.76479996031</v>
      </c>
    </row>
    <row r="1534" spans="1:6" x14ac:dyDescent="0.2">
      <c r="A1534">
        <v>2022</v>
      </c>
      <c r="B1534" s="1" t="s">
        <v>148</v>
      </c>
      <c r="C1534" s="7">
        <v>1126114</v>
      </c>
      <c r="D1534" s="6">
        <v>4.9341100000000002E-4</v>
      </c>
      <c r="E1534" s="17">
        <v>7.2765934748422875E-3</v>
      </c>
      <c r="F1534">
        <f>E1534* VLOOKUP(A1534,Check!A$2:F$11,4,FALSE)</f>
        <v>15481277.124689572</v>
      </c>
    </row>
    <row r="1535" spans="1:6" x14ac:dyDescent="0.2">
      <c r="A1535">
        <v>2022</v>
      </c>
      <c r="B1535" s="1" t="s">
        <v>236</v>
      </c>
      <c r="C1535" s="7">
        <v>404193</v>
      </c>
      <c r="D1535" s="6">
        <v>1.7709900000000001E-4</v>
      </c>
      <c r="E1535" s="17">
        <v>2.6117676774970637E-3</v>
      </c>
      <c r="F1535">
        <f>E1535* VLOOKUP(A1535,Check!A$2:F$11,4,FALSE)</f>
        <v>5556652.2082663486</v>
      </c>
    </row>
    <row r="1536" spans="1:6" x14ac:dyDescent="0.2">
      <c r="A1536">
        <v>2022</v>
      </c>
      <c r="B1536" s="1" t="s">
        <v>149</v>
      </c>
      <c r="C1536" s="7">
        <v>18867</v>
      </c>
      <c r="D1536" s="6">
        <v>8.2670000000000006E-6</v>
      </c>
      <c r="E1536" s="17">
        <v>1.2191260306669612E-4</v>
      </c>
      <c r="F1536">
        <f>E1536* VLOOKUP(A1536,Check!A$2:F$11,4,FALSE)</f>
        <v>259374.49983884234</v>
      </c>
    </row>
    <row r="1537" spans="1:6" x14ac:dyDescent="0.2">
      <c r="A1537">
        <v>2022</v>
      </c>
      <c r="B1537" s="1" t="s">
        <v>150</v>
      </c>
      <c r="C1537" s="7">
        <v>57326</v>
      </c>
      <c r="D1537" s="6">
        <v>2.5117999999999999E-5</v>
      </c>
      <c r="E1537" s="17">
        <v>3.7042253052427102E-4</v>
      </c>
      <c r="F1537">
        <f>E1537* VLOOKUP(A1537,Check!A$2:F$11,4,FALSE)</f>
        <v>788090.4530535579</v>
      </c>
    </row>
    <row r="1538" spans="1:6" x14ac:dyDescent="0.2">
      <c r="A1538">
        <v>2022</v>
      </c>
      <c r="B1538" s="1" t="s">
        <v>151</v>
      </c>
      <c r="C1538" s="7">
        <v>40612</v>
      </c>
      <c r="D1538" s="6">
        <v>1.7793999999999999E-5</v>
      </c>
      <c r="E1538" s="17">
        <v>2.6242193436925123E-4</v>
      </c>
      <c r="F1538">
        <f>E1538* VLOOKUP(A1538,Check!A$2:F$11,4,FALSE)</f>
        <v>558314.36833916709</v>
      </c>
    </row>
    <row r="1539" spans="1:6" x14ac:dyDescent="0.2">
      <c r="A1539">
        <v>2022</v>
      </c>
      <c r="B1539" s="1" t="s">
        <v>152</v>
      </c>
      <c r="C1539" s="7">
        <v>1171926</v>
      </c>
      <c r="D1539" s="6">
        <v>5.1348400000000003E-4</v>
      </c>
      <c r="E1539" s="17">
        <v>7.5726161690539522E-3</v>
      </c>
      <c r="F1539">
        <f>E1539* VLOOKUP(A1539,Check!A$2:F$11,4,FALSE)</f>
        <v>16111078.608052958</v>
      </c>
    </row>
    <row r="1540" spans="1:6" x14ac:dyDescent="0.2">
      <c r="A1540">
        <v>2022</v>
      </c>
      <c r="B1540" s="1" t="s">
        <v>230</v>
      </c>
      <c r="C1540" s="7">
        <v>3169591</v>
      </c>
      <c r="D1540" s="6">
        <v>1.388769E-3</v>
      </c>
      <c r="E1540" s="17">
        <v>2.0480897305706919E-2</v>
      </c>
      <c r="F1540">
        <f>E1540* VLOOKUP(A1540,Check!A$2:F$11,4,FALSE)</f>
        <v>43574022.383987717</v>
      </c>
    </row>
    <row r="1541" spans="1:6" x14ac:dyDescent="0.2">
      <c r="A1541">
        <v>2022</v>
      </c>
      <c r="B1541" s="1" t="s">
        <v>154</v>
      </c>
      <c r="C1541" s="7">
        <v>715013</v>
      </c>
      <c r="D1541" s="6">
        <v>3.1328600000000002E-4</v>
      </c>
      <c r="E1541" s="17">
        <v>4.6201884802314934E-3</v>
      </c>
      <c r="F1541">
        <f>E1541* VLOOKUP(A1541,Check!A$2:F$11,4,FALSE)</f>
        <v>9829657.0336179659</v>
      </c>
    </row>
    <row r="1542" spans="1:6" x14ac:dyDescent="0.2">
      <c r="A1542">
        <v>2022</v>
      </c>
      <c r="B1542" s="1" t="s">
        <v>155</v>
      </c>
      <c r="C1542" s="7">
        <v>90696</v>
      </c>
      <c r="D1542" s="6">
        <v>3.9739E-5</v>
      </c>
      <c r="E1542" s="17">
        <v>5.860489451283761E-4</v>
      </c>
      <c r="F1542">
        <f>E1542* VLOOKUP(A1542,Check!A$2:F$11,4,FALSE)</f>
        <v>1246845.2661993771</v>
      </c>
    </row>
    <row r="1543" spans="1:6" x14ac:dyDescent="0.2">
      <c r="A1543">
        <v>2022</v>
      </c>
      <c r="B1543" s="1" t="s">
        <v>156</v>
      </c>
      <c r="C1543" s="7">
        <v>898509</v>
      </c>
      <c r="D1543" s="6">
        <v>3.9368500000000001E-4</v>
      </c>
      <c r="E1543" s="17">
        <v>5.8058817548552535E-3</v>
      </c>
      <c r="F1543">
        <f>E1543* VLOOKUP(A1543,Check!A$2:F$11,4,FALSE)</f>
        <v>12352272.352557292</v>
      </c>
    </row>
    <row r="1544" spans="1:6" x14ac:dyDescent="0.2">
      <c r="A1544">
        <v>2022</v>
      </c>
      <c r="B1544" s="1" t="s">
        <v>157</v>
      </c>
      <c r="C1544" s="7">
        <v>13531</v>
      </c>
      <c r="D1544" s="6">
        <v>5.9290000000000003E-6</v>
      </c>
      <c r="E1544" s="17">
        <v>8.7433054120711576E-5</v>
      </c>
      <c r="F1544">
        <f>E1544* VLOOKUP(A1544,Check!A$2:F$11,4,FALSE)</f>
        <v>186017.72180629545</v>
      </c>
    </row>
    <row r="1545" spans="1:6" x14ac:dyDescent="0.2">
      <c r="A1545">
        <v>2022</v>
      </c>
      <c r="B1545" s="1" t="s">
        <v>158</v>
      </c>
      <c r="C1545" s="7">
        <v>384107</v>
      </c>
      <c r="D1545" s="6">
        <v>1.6829799999999999E-4</v>
      </c>
      <c r="E1545" s="17">
        <v>2.4819782809211558E-3</v>
      </c>
      <c r="F1545">
        <f>E1545* VLOOKUP(A1545,Check!A$2:F$11,4,FALSE)</f>
        <v>5280519.4789631749</v>
      </c>
    </row>
    <row r="1546" spans="1:6" x14ac:dyDescent="0.2">
      <c r="A1546">
        <v>2022</v>
      </c>
      <c r="B1546" s="1" t="s">
        <v>159</v>
      </c>
      <c r="C1546" s="7">
        <v>114237</v>
      </c>
      <c r="D1546" s="6">
        <v>5.0052999999999997E-5</v>
      </c>
      <c r="E1546" s="17">
        <v>7.3816346194573407E-4</v>
      </c>
      <c r="F1546">
        <f>E1546* VLOOKUP(A1546,Check!A$2:F$11,4,FALSE)</f>
        <v>1570475.6844272981</v>
      </c>
    </row>
    <row r="1547" spans="1:6" x14ac:dyDescent="0.2">
      <c r="A1547">
        <v>2022</v>
      </c>
      <c r="B1547" s="1" t="s">
        <v>160</v>
      </c>
      <c r="C1547" s="7">
        <v>235153</v>
      </c>
      <c r="D1547" s="6">
        <v>1.03033E-4</v>
      </c>
      <c r="E1547" s="17">
        <v>1.5194845152352145E-3</v>
      </c>
      <c r="F1547">
        <f>E1547* VLOOKUP(A1547,Check!A$2:F$11,4,FALSE)</f>
        <v>3232771.0690943603</v>
      </c>
    </row>
    <row r="1548" spans="1:6" x14ac:dyDescent="0.2">
      <c r="A1548">
        <v>2022</v>
      </c>
      <c r="B1548" s="1" t="s">
        <v>161</v>
      </c>
      <c r="C1548" s="7">
        <v>646370</v>
      </c>
      <c r="D1548" s="6">
        <v>2.8320899999999998E-4</v>
      </c>
      <c r="E1548" s="17">
        <v>4.1766390652578774E-3</v>
      </c>
      <c r="F1548">
        <f>E1548* VLOOKUP(A1548,Check!A$2:F$11,4,FALSE)</f>
        <v>8885985.8727318887</v>
      </c>
    </row>
    <row r="1549" spans="1:6" x14ac:dyDescent="0.2">
      <c r="A1549">
        <v>2022</v>
      </c>
      <c r="B1549" s="1" t="s">
        <v>162</v>
      </c>
      <c r="C1549" s="7">
        <v>1719726</v>
      </c>
      <c r="D1549" s="6">
        <v>7.5350500000000002E-4</v>
      </c>
      <c r="E1549" s="17">
        <v>1.1112326984760537E-2</v>
      </c>
      <c r="F1549">
        <f>E1549* VLOOKUP(A1549,Check!A$2:F$11,4,FALSE)</f>
        <v>23641971.225412257</v>
      </c>
    </row>
    <row r="1550" spans="1:6" x14ac:dyDescent="0.2">
      <c r="A1550">
        <v>2022</v>
      </c>
      <c r="B1550" s="1" t="s">
        <v>163</v>
      </c>
      <c r="C1550" s="7">
        <v>3175169</v>
      </c>
      <c r="D1550" s="6">
        <v>1.3912130000000001E-3</v>
      </c>
      <c r="E1550" s="17">
        <v>2.0516940582322493E-2</v>
      </c>
      <c r="F1550">
        <f>E1550* VLOOKUP(A1550,Check!A$2:F$11,4,FALSE)</f>
        <v>43650706.06237331</v>
      </c>
    </row>
    <row r="1551" spans="1:6" x14ac:dyDescent="0.2">
      <c r="A1551">
        <v>2022</v>
      </c>
      <c r="B1551" s="1" t="s">
        <v>164</v>
      </c>
      <c r="C1551" s="7">
        <v>34736</v>
      </c>
      <c r="D1551" s="6">
        <v>1.522E-5</v>
      </c>
      <c r="E1551" s="17">
        <v>2.244530757473237E-4</v>
      </c>
      <c r="F1551">
        <f>E1551* VLOOKUP(A1551,Check!A$2:F$11,4,FALSE)</f>
        <v>477533.92836179718</v>
      </c>
    </row>
    <row r="1552" spans="1:6" x14ac:dyDescent="0.2">
      <c r="A1552">
        <v>2022</v>
      </c>
      <c r="B1552" s="1" t="s">
        <v>165</v>
      </c>
      <c r="C1552" s="7">
        <v>91380</v>
      </c>
      <c r="D1552" s="6">
        <v>4.0037999999999999E-5</v>
      </c>
      <c r="E1552" s="17">
        <v>5.9046873738457053E-4</v>
      </c>
      <c r="F1552">
        <f>E1552* VLOOKUP(A1552,Check!A$2:F$11,4,FALSE)</f>
        <v>1256248.5713294861</v>
      </c>
    </row>
    <row r="1553" spans="1:6" x14ac:dyDescent="0.2">
      <c r="A1553">
        <v>2022</v>
      </c>
      <c r="B1553" s="1" t="s">
        <v>166</v>
      </c>
      <c r="C1553" s="7" t="s">
        <v>6</v>
      </c>
      <c r="D1553" s="6">
        <v>0</v>
      </c>
      <c r="F1553">
        <f>E1553* VLOOKUP(A1553,Check!A$2:F$11,4,FALSE)</f>
        <v>0</v>
      </c>
    </row>
    <row r="1554" spans="1:6" x14ac:dyDescent="0.2">
      <c r="A1554">
        <v>2022</v>
      </c>
      <c r="B1554" s="1" t="s">
        <v>167</v>
      </c>
      <c r="C1554" s="7">
        <v>73437</v>
      </c>
      <c r="D1554" s="6">
        <v>3.2177E-5</v>
      </c>
      <c r="E1554" s="17">
        <v>4.745267308744879E-4</v>
      </c>
      <c r="F1554">
        <f>E1554* VLOOKUP(A1554,Check!A$2:F$11,4,FALSE)</f>
        <v>1009576.781929563</v>
      </c>
    </row>
    <row r="1555" spans="1:6" x14ac:dyDescent="0.2">
      <c r="A1555">
        <v>2022</v>
      </c>
      <c r="B1555" s="1" t="s">
        <v>237</v>
      </c>
      <c r="C1555" s="7">
        <v>122690</v>
      </c>
      <c r="D1555" s="6">
        <v>5.3757E-5</v>
      </c>
      <c r="E1555" s="17">
        <v>7.9278408174341156E-4</v>
      </c>
      <c r="F1555">
        <f>E1555* VLOOKUP(A1555,Check!A$2:F$11,4,FALSE)</f>
        <v>1686683.4889080175</v>
      </c>
    </row>
    <row r="1556" spans="1:6" x14ac:dyDescent="0.2">
      <c r="A1556">
        <v>2022</v>
      </c>
      <c r="B1556" s="1" t="s">
        <v>168</v>
      </c>
      <c r="C1556" s="7">
        <v>46391</v>
      </c>
      <c r="D1556" s="6">
        <v>2.0327E-5</v>
      </c>
      <c r="E1556" s="17">
        <v>2.99764009586426E-4</v>
      </c>
      <c r="F1556">
        <f>E1556* VLOOKUP(A1556,Check!A$2:F$11,4,FALSE)</f>
        <v>637761.29867089284</v>
      </c>
    </row>
    <row r="1557" spans="1:6" x14ac:dyDescent="0.2">
      <c r="A1557">
        <v>2022</v>
      </c>
      <c r="B1557" s="1" t="s">
        <v>235</v>
      </c>
      <c r="C1557" s="7">
        <v>62733</v>
      </c>
      <c r="D1557" s="6">
        <v>2.7487E-5</v>
      </c>
      <c r="E1557" s="17">
        <v>4.0536085907579624E-4</v>
      </c>
      <c r="F1557">
        <f>E1557* VLOOKUP(A1557,Check!A$2:F$11,4,FALSE)</f>
        <v>862423.3051566279</v>
      </c>
    </row>
    <row r="1558" spans="1:6" x14ac:dyDescent="0.2">
      <c r="A1558">
        <v>2022</v>
      </c>
      <c r="B1558" s="1" t="s">
        <v>169</v>
      </c>
      <c r="C1558" s="8">
        <v>777372</v>
      </c>
      <c r="D1558" s="6">
        <v>3.40608E-4</v>
      </c>
      <c r="E1558" s="17">
        <v>5.0231326692724704E-3</v>
      </c>
      <c r="F1558">
        <f>E1558* VLOOKUP(A1558,Check!A$2:F$11,4,FALSE)</f>
        <v>10686938.7655017</v>
      </c>
    </row>
    <row r="1559" spans="1:6" x14ac:dyDescent="0.2">
      <c r="A1559">
        <v>2022</v>
      </c>
      <c r="B1559" s="1" t="s">
        <v>170</v>
      </c>
      <c r="C1559" s="7">
        <v>1545735</v>
      </c>
      <c r="D1559" s="6">
        <v>6.7727E-4</v>
      </c>
      <c r="E1559" s="17">
        <v>9.9880520221179592E-3</v>
      </c>
      <c r="F1559">
        <f>E1559* VLOOKUP(A1559,Check!A$2:F$11,4,FALSE)</f>
        <v>21250026.104223937</v>
      </c>
    </row>
    <row r="1560" spans="1:6" x14ac:dyDescent="0.2">
      <c r="A1560">
        <v>2022</v>
      </c>
      <c r="B1560" s="1" t="s">
        <v>171</v>
      </c>
      <c r="C1560" s="7">
        <v>25639</v>
      </c>
      <c r="D1560" s="6">
        <v>1.1234E-5</v>
      </c>
      <c r="E1560" s="17">
        <v>1.6567113107685493E-4</v>
      </c>
      <c r="F1560">
        <f>E1560* VLOOKUP(A1560,Check!A$2:F$11,4,FALSE)</f>
        <v>352472.71963577037</v>
      </c>
    </row>
    <row r="1561" spans="1:6" x14ac:dyDescent="0.2">
      <c r="A1561">
        <v>2022</v>
      </c>
      <c r="B1561" s="1" t="s">
        <v>172</v>
      </c>
      <c r="C1561" s="7">
        <v>572686</v>
      </c>
      <c r="D1561" s="6">
        <v>2.5092400000000003E-4</v>
      </c>
      <c r="E1561" s="17">
        <v>3.7005162982908747E-3</v>
      </c>
      <c r="F1561">
        <f>E1561* VLOOKUP(A1561,Check!A$2:F$11,4,FALSE)</f>
        <v>7873013.4528386742</v>
      </c>
    </row>
    <row r="1562" spans="1:6" x14ac:dyDescent="0.2">
      <c r="A1562">
        <v>2022</v>
      </c>
      <c r="B1562" s="1" t="s">
        <v>173</v>
      </c>
      <c r="C1562" s="7">
        <v>111585</v>
      </c>
      <c r="D1562" s="6">
        <v>4.8891000000000003E-5</v>
      </c>
      <c r="E1562" s="17">
        <v>7.2102707442610304E-4</v>
      </c>
      <c r="F1562">
        <f>E1562* VLOOKUP(A1562,Check!A$2:F$11,4,FALSE)</f>
        <v>1534017.2557649454</v>
      </c>
    </row>
    <row r="1563" spans="1:6" x14ac:dyDescent="0.2">
      <c r="A1563">
        <v>2022</v>
      </c>
      <c r="B1563" s="1" t="s">
        <v>174</v>
      </c>
      <c r="C1563" s="7">
        <v>229529</v>
      </c>
      <c r="D1563" s="6">
        <v>1.0056900000000001E-4</v>
      </c>
      <c r="E1563" s="17">
        <v>1.4831440011287271E-3</v>
      </c>
      <c r="F1563">
        <f>E1563* VLOOKUP(A1563,Check!A$2:F$11,4,FALSE)</f>
        <v>3155455.0046912413</v>
      </c>
    </row>
    <row r="1564" spans="1:6" x14ac:dyDescent="0.2">
      <c r="A1564">
        <v>2022</v>
      </c>
      <c r="B1564" s="1" t="s">
        <v>175</v>
      </c>
      <c r="C1564" s="7">
        <v>468976</v>
      </c>
      <c r="D1564" s="6">
        <v>2.05484E-4</v>
      </c>
      <c r="E1564" s="17">
        <v>3.0303749899722732E-3</v>
      </c>
      <c r="F1564">
        <f>E1564* VLOOKUP(A1564,Check!A$2:F$11,4,FALSE)</f>
        <v>6447257.933769064</v>
      </c>
    </row>
    <row r="1565" spans="1:6" x14ac:dyDescent="0.2">
      <c r="A1565">
        <v>2022</v>
      </c>
      <c r="B1565" s="1" t="s">
        <v>176</v>
      </c>
      <c r="C1565" s="7">
        <v>374482</v>
      </c>
      <c r="D1565" s="6">
        <v>1.64081E-4</v>
      </c>
      <c r="E1565" s="17">
        <v>2.4197845667897648E-3</v>
      </c>
      <c r="F1565">
        <f>E1565* VLOOKUP(A1565,Check!A$2:F$11,4,FALSE)</f>
        <v>5148199.5785577651</v>
      </c>
    </row>
    <row r="1566" spans="1:6" x14ac:dyDescent="0.2">
      <c r="A1566">
        <v>2022</v>
      </c>
      <c r="B1566" s="1" t="s">
        <v>177</v>
      </c>
      <c r="C1566" s="7">
        <v>48976</v>
      </c>
      <c r="D1566" s="6">
        <v>2.1458999999999999E-5</v>
      </c>
      <c r="E1566" s="17">
        <v>3.1646746423885668E-4</v>
      </c>
      <c r="F1566">
        <f>E1566* VLOOKUP(A1566,Check!A$2:F$11,4,FALSE)</f>
        <v>673298.64335120283</v>
      </c>
    </row>
    <row r="1567" spans="1:6" x14ac:dyDescent="0.2">
      <c r="A1567">
        <v>2022</v>
      </c>
      <c r="B1567" s="1" t="s">
        <v>180</v>
      </c>
      <c r="C1567" s="7">
        <v>127077</v>
      </c>
      <c r="D1567" s="6">
        <v>5.5679E-5</v>
      </c>
      <c r="E1567" s="17">
        <v>8.2113149201815561E-4</v>
      </c>
      <c r="F1567">
        <f>E1567* VLOOKUP(A1567,Check!A$2:F$11,4,FALSE)</f>
        <v>1746993.8684486442</v>
      </c>
    </row>
    <row r="1568" spans="1:6" x14ac:dyDescent="0.2">
      <c r="A1568">
        <v>2022</v>
      </c>
      <c r="B1568" s="1" t="s">
        <v>181</v>
      </c>
      <c r="C1568" s="7">
        <v>62889</v>
      </c>
      <c r="D1568" s="6">
        <v>2.7555E-5</v>
      </c>
      <c r="E1568" s="17">
        <v>4.0636888187106862E-4</v>
      </c>
      <c r="F1568">
        <f>E1568* VLOOKUP(A1568,Check!A$2:F$11,4,FALSE)</f>
        <v>864567.9186073544</v>
      </c>
    </row>
    <row r="1569" spans="1:6" x14ac:dyDescent="0.2">
      <c r="A1569">
        <v>2022</v>
      </c>
      <c r="B1569" s="1" t="s">
        <v>182</v>
      </c>
      <c r="C1569" s="7">
        <v>100690</v>
      </c>
      <c r="D1569" s="6">
        <v>4.4118E-5</v>
      </c>
      <c r="E1569" s="17">
        <v>6.5062702087166125E-4</v>
      </c>
      <c r="F1569">
        <f>E1569* VLOOKUP(A1569,Check!A$2:F$11,4,FALSE)</f>
        <v>1384238.0022670822</v>
      </c>
    </row>
    <row r="1570" spans="1:6" x14ac:dyDescent="0.2">
      <c r="A1570">
        <v>2022</v>
      </c>
      <c r="B1570" s="1" t="s">
        <v>183</v>
      </c>
      <c r="C1570" s="7">
        <v>2255527</v>
      </c>
      <c r="D1570" s="6">
        <v>9.8826800000000005E-4</v>
      </c>
      <c r="E1570" s="17">
        <v>1.4574504047130753E-2</v>
      </c>
      <c r="F1570">
        <f>E1570* VLOOKUP(A1570,Check!A$2:F$11,4,FALSE)</f>
        <v>31007907.324853163</v>
      </c>
    </row>
    <row r="1571" spans="1:6" x14ac:dyDescent="0.2">
      <c r="A1571">
        <v>2022</v>
      </c>
      <c r="B1571" s="1" t="s">
        <v>184</v>
      </c>
      <c r="C1571" s="7" t="s">
        <v>6</v>
      </c>
      <c r="D1571" s="6">
        <v>0</v>
      </c>
      <c r="F1571">
        <f>E1571* VLOOKUP(A1571,Check!A$2:F$11,4,FALSE)</f>
        <v>0</v>
      </c>
    </row>
    <row r="1572" spans="1:6" x14ac:dyDescent="0.2">
      <c r="A1572">
        <v>2022</v>
      </c>
      <c r="B1572" s="1" t="s">
        <v>185</v>
      </c>
      <c r="C1572" s="7">
        <v>14573</v>
      </c>
      <c r="D1572" s="6">
        <v>6.3849999999999999E-6</v>
      </c>
      <c r="E1572" s="17">
        <v>9.4166129458364472E-5</v>
      </c>
      <c r="F1572">
        <f>E1572* VLOOKUP(A1572,Check!A$2:F$11,4,FALSE)</f>
        <v>200342.63985537973</v>
      </c>
    </row>
    <row r="1573" spans="1:6" x14ac:dyDescent="0.2">
      <c r="A1573">
        <v>2022</v>
      </c>
      <c r="B1573" s="1" t="s">
        <v>186</v>
      </c>
      <c r="C1573" s="7" t="s">
        <v>6</v>
      </c>
      <c r="D1573" s="6">
        <v>0</v>
      </c>
      <c r="F1573">
        <f>E1573* VLOOKUP(A1573,Check!A$2:F$11,4,FALSE)</f>
        <v>0</v>
      </c>
    </row>
    <row r="1574" spans="1:6" x14ac:dyDescent="0.2">
      <c r="A1574">
        <v>2022</v>
      </c>
      <c r="B1574" s="1" t="s">
        <v>187</v>
      </c>
      <c r="C1574" s="7" t="s">
        <v>6</v>
      </c>
      <c r="D1574" s="6">
        <v>0</v>
      </c>
      <c r="F1574">
        <f>E1574* VLOOKUP(A1574,Check!A$2:F$11,4,FALSE)</f>
        <v>0</v>
      </c>
    </row>
    <row r="1575" spans="1:6" x14ac:dyDescent="0.2">
      <c r="A1575">
        <v>2022</v>
      </c>
      <c r="B1575" s="1" t="s">
        <v>188</v>
      </c>
      <c r="C1575" s="7" t="s">
        <v>6</v>
      </c>
      <c r="D1575" s="6">
        <v>0</v>
      </c>
      <c r="F1575">
        <f>E1575* VLOOKUP(A1575,Check!A$2:F$11,4,FALSE)</f>
        <v>0</v>
      </c>
    </row>
    <row r="1576" spans="1:6" x14ac:dyDescent="0.2">
      <c r="A1576">
        <v>2022</v>
      </c>
      <c r="B1576" s="1" t="s">
        <v>189</v>
      </c>
      <c r="C1576" s="7" t="s">
        <v>6</v>
      </c>
      <c r="D1576" s="6">
        <v>0</v>
      </c>
      <c r="F1576">
        <f>E1576* VLOOKUP(A1576,Check!A$2:F$11,4,FALSE)</f>
        <v>0</v>
      </c>
    </row>
    <row r="1577" spans="1:6" x14ac:dyDescent="0.2">
      <c r="A1577">
        <v>2022</v>
      </c>
      <c r="B1577" s="1" t="s">
        <v>190</v>
      </c>
      <c r="C1577" s="7">
        <v>9336</v>
      </c>
      <c r="D1577" s="6">
        <v>4.0910000000000003E-6</v>
      </c>
      <c r="E1577" s="17">
        <v>6.0326287286302804E-5</v>
      </c>
      <c r="F1577">
        <f>E1577* VLOOKUP(A1577,Check!A$2:F$11,4,FALSE)</f>
        <v>128346.86651271704</v>
      </c>
    </row>
    <row r="1578" spans="1:6" x14ac:dyDescent="0.2">
      <c r="A1578">
        <v>2022</v>
      </c>
      <c r="B1578" s="1" t="s">
        <v>191</v>
      </c>
      <c r="C1578" s="7">
        <v>583061</v>
      </c>
      <c r="D1578" s="6">
        <v>2.5547100000000001E-4</v>
      </c>
      <c r="E1578" s="17">
        <v>3.7675562758610753E-3</v>
      </c>
      <c r="F1578">
        <f>E1578* VLOOKUP(A1578,Check!A$2:F$11,4,FALSE)</f>
        <v>8015643.9948341157</v>
      </c>
    </row>
    <row r="1579" spans="1:6" x14ac:dyDescent="0.2">
      <c r="A1579">
        <v>2022</v>
      </c>
      <c r="B1579" s="1" t="s">
        <v>192</v>
      </c>
      <c r="C1579" s="7">
        <v>867858</v>
      </c>
      <c r="D1579" s="6">
        <v>3.8025500000000002E-4</v>
      </c>
      <c r="E1579" s="17">
        <v>5.6078246606379792E-3</v>
      </c>
      <c r="F1579">
        <f>E1579* VLOOKUP(A1579,Check!A$2:F$11,4,FALSE)</f>
        <v>11930897.052055867</v>
      </c>
    </row>
    <row r="1580" spans="1:6" x14ac:dyDescent="0.2">
      <c r="A1580">
        <v>2022</v>
      </c>
      <c r="B1580" s="1" t="s">
        <v>193</v>
      </c>
      <c r="C1580" s="7" t="s">
        <v>6</v>
      </c>
      <c r="D1580" s="6">
        <v>0</v>
      </c>
      <c r="F1580">
        <f>E1580* VLOOKUP(A1580,Check!A$2:F$11,4,FALSE)</f>
        <v>0</v>
      </c>
    </row>
    <row r="1581" spans="1:6" x14ac:dyDescent="0.2">
      <c r="A1581">
        <v>2022</v>
      </c>
      <c r="B1581" s="1" t="s">
        <v>194</v>
      </c>
      <c r="C1581" s="7" t="s">
        <v>6</v>
      </c>
      <c r="D1581" s="6">
        <v>0</v>
      </c>
      <c r="F1581">
        <f>E1581* VLOOKUP(A1581,Check!A$2:F$11,4,FALSE)</f>
        <v>0</v>
      </c>
    </row>
    <row r="1582" spans="1:6" x14ac:dyDescent="0.2">
      <c r="A1582">
        <v>2022</v>
      </c>
      <c r="B1582" s="1" t="s">
        <v>195</v>
      </c>
      <c r="C1582" s="7">
        <v>1149060</v>
      </c>
      <c r="D1582" s="6">
        <v>5.0346500000000003E-4</v>
      </c>
      <c r="E1582" s="17">
        <v>7.4248632893315226E-3</v>
      </c>
      <c r="F1582">
        <f>E1582* VLOOKUP(A1582,Check!A$2:F$11,4,FALSE)</f>
        <v>15796727.767256066</v>
      </c>
    </row>
    <row r="1583" spans="1:6" x14ac:dyDescent="0.2">
      <c r="A1583">
        <v>2022</v>
      </c>
      <c r="B1583" s="1" t="s">
        <v>196</v>
      </c>
      <c r="C1583" s="7">
        <v>648942</v>
      </c>
      <c r="D1583" s="6">
        <v>2.8433700000000001E-4</v>
      </c>
      <c r="E1583" s="17">
        <v>4.1932585180107021E-3</v>
      </c>
      <c r="F1583">
        <f>E1583* VLOOKUP(A1583,Check!A$2:F$11,4,FALSE)</f>
        <v>8921344.4996246379</v>
      </c>
    </row>
    <row r="1584" spans="1:6" x14ac:dyDescent="0.2">
      <c r="A1584">
        <v>2022</v>
      </c>
      <c r="B1584" s="1" t="s">
        <v>197</v>
      </c>
      <c r="C1584" s="7">
        <v>616246</v>
      </c>
      <c r="D1584" s="6">
        <v>2.7001100000000001E-4</v>
      </c>
      <c r="E1584" s="17">
        <v>3.9819872788169402E-3</v>
      </c>
      <c r="F1584">
        <f>E1584* VLOOKUP(A1584,Check!A$2:F$11,4,FALSE)</f>
        <v>8471855.5163877271</v>
      </c>
    </row>
    <row r="1585" spans="1:6" x14ac:dyDescent="0.2">
      <c r="A1585">
        <v>2022</v>
      </c>
      <c r="B1585" s="1" t="s">
        <v>198</v>
      </c>
      <c r="C1585" s="7">
        <v>3075</v>
      </c>
      <c r="D1585" s="6">
        <v>1.347E-6</v>
      </c>
      <c r="E1585" s="17">
        <v>1.9869680099119656E-5</v>
      </c>
      <c r="F1585">
        <f>E1585* VLOOKUP(A1585,Check!A$2:F$11,4,FALSE)</f>
        <v>42273.630519130769</v>
      </c>
    </row>
    <row r="1586" spans="1:6" x14ac:dyDescent="0.2">
      <c r="A1586">
        <v>2022</v>
      </c>
      <c r="B1586" s="1" t="s">
        <v>199</v>
      </c>
      <c r="C1586" s="7">
        <v>1913745</v>
      </c>
      <c r="D1586" s="6">
        <v>8.3851499999999996E-4</v>
      </c>
      <c r="E1586" s="17">
        <v>1.2366016566273088E-2</v>
      </c>
      <c r="F1586">
        <f>E1586* VLOOKUP(A1586,Check!A$2:F$11,4,FALSE)</f>
        <v>26309251.719620783</v>
      </c>
    </row>
    <row r="1587" spans="1:6" x14ac:dyDescent="0.2">
      <c r="A1587">
        <v>2022</v>
      </c>
      <c r="B1587" s="1" t="s">
        <v>200</v>
      </c>
      <c r="C1587" s="7" t="s">
        <v>6</v>
      </c>
      <c r="D1587" s="6">
        <v>0</v>
      </c>
      <c r="F1587">
        <f>E1587* VLOOKUP(A1587,Check!A$2:F$11,4,FALSE)</f>
        <v>0</v>
      </c>
    </row>
    <row r="1588" spans="1:6" x14ac:dyDescent="0.2">
      <c r="A1588">
        <v>2022</v>
      </c>
      <c r="B1588" s="1" t="s">
        <v>201</v>
      </c>
      <c r="C1588" s="7">
        <v>3916</v>
      </c>
      <c r="D1588" s="6">
        <v>1.716E-6</v>
      </c>
      <c r="E1588" s="17">
        <v>2.5303956835171569E-5</v>
      </c>
      <c r="F1588">
        <f>E1588* VLOOKUP(A1588,Check!A$2:F$11,4,FALSE)</f>
        <v>53835.296622086535</v>
      </c>
    </row>
    <row r="1589" spans="1:6" x14ac:dyDescent="0.2">
      <c r="A1589">
        <v>2022</v>
      </c>
      <c r="B1589" s="1" t="s">
        <v>202</v>
      </c>
      <c r="C1589" s="7">
        <v>119900</v>
      </c>
      <c r="D1589" s="6">
        <v>5.2534999999999998E-5</v>
      </c>
      <c r="E1589" s="17">
        <v>7.7475598175103964E-4</v>
      </c>
      <c r="F1589">
        <f>E1589* VLOOKUP(A1589,Check!A$2:F$11,4,FALSE)</f>
        <v>1648327.902193099</v>
      </c>
    </row>
    <row r="1590" spans="1:6" x14ac:dyDescent="0.2">
      <c r="A1590">
        <v>2023</v>
      </c>
      <c r="B1590" s="1" t="s">
        <v>5</v>
      </c>
      <c r="C1590" s="7">
        <v>49332</v>
      </c>
      <c r="D1590" s="6">
        <v>2.0227000000000001E-5</v>
      </c>
      <c r="E1590" s="17">
        <v>2.9094048073261236E-4</v>
      </c>
      <c r="F1590">
        <f>E1590* VLOOKUP(A1590,Check!A$2:F$11,4,FALSE)</f>
        <v>660247.75427265605</v>
      </c>
    </row>
    <row r="1591" spans="1:6" x14ac:dyDescent="0.2">
      <c r="A1591">
        <v>2023</v>
      </c>
      <c r="B1591" s="1" t="s">
        <v>7</v>
      </c>
      <c r="C1591" s="7">
        <v>94072</v>
      </c>
      <c r="D1591" s="6">
        <v>3.8571000000000001E-5</v>
      </c>
      <c r="E1591" s="17">
        <v>5.5479917504821022E-4</v>
      </c>
      <c r="F1591">
        <f>E1591* VLOOKUP(A1591,Check!A$2:F$11,4,FALSE)</f>
        <v>1259037.2727628578</v>
      </c>
    </row>
    <row r="1592" spans="1:6" x14ac:dyDescent="0.2">
      <c r="A1592">
        <v>2023</v>
      </c>
      <c r="B1592" s="1" t="s">
        <v>8</v>
      </c>
      <c r="C1592" s="7">
        <v>2047561</v>
      </c>
      <c r="D1592" s="6">
        <v>8.3953700000000001E-4</v>
      </c>
      <c r="E1592" s="17">
        <v>1.2075698971648188E-2</v>
      </c>
      <c r="F1592">
        <f>E1592* VLOOKUP(A1592,Check!A$2:F$11,4,FALSE)</f>
        <v>27404069.407003038</v>
      </c>
    </row>
    <row r="1593" spans="1:6" x14ac:dyDescent="0.2">
      <c r="A1593">
        <v>2023</v>
      </c>
      <c r="B1593" s="1" t="s">
        <v>203</v>
      </c>
      <c r="C1593" s="7">
        <v>545812</v>
      </c>
      <c r="D1593" s="6">
        <v>2.2379299999999999E-4</v>
      </c>
      <c r="E1593" s="17">
        <v>3.2189817090251482E-3</v>
      </c>
      <c r="F1593">
        <f>E1593* VLOOKUP(A1593,Check!A$2:F$11,4,FALSE)</f>
        <v>7305017.9853860978</v>
      </c>
    </row>
    <row r="1594" spans="1:6" x14ac:dyDescent="0.2">
      <c r="A1594">
        <v>2023</v>
      </c>
      <c r="B1594" s="1" t="s">
        <v>9</v>
      </c>
      <c r="C1594" s="7" t="s">
        <v>6</v>
      </c>
      <c r="D1594" s="6">
        <v>0</v>
      </c>
      <c r="F1594">
        <f>E1594* VLOOKUP(A1594,Check!A$2:F$11,4,FALSE)</f>
        <v>0</v>
      </c>
    </row>
    <row r="1595" spans="1:6" x14ac:dyDescent="0.2">
      <c r="A1595">
        <v>2023</v>
      </c>
      <c r="B1595" s="1" t="s">
        <v>10</v>
      </c>
      <c r="C1595" s="7">
        <v>44587</v>
      </c>
      <c r="D1595" s="6">
        <v>1.8281E-5</v>
      </c>
      <c r="E1595" s="17">
        <v>2.6295636127513552E-4</v>
      </c>
      <c r="F1595">
        <f>E1595* VLOOKUP(A1595,Check!A$2:F$11,4,FALSE)</f>
        <v>596741.80288159638</v>
      </c>
    </row>
    <row r="1596" spans="1:6" x14ac:dyDescent="0.2">
      <c r="A1596">
        <v>2023</v>
      </c>
      <c r="B1596" s="1" t="s">
        <v>11</v>
      </c>
      <c r="C1596" s="7">
        <v>801251</v>
      </c>
      <c r="D1596" s="6">
        <v>3.2852700000000001E-4</v>
      </c>
      <c r="E1596" s="17">
        <v>4.7254591568857201E-3</v>
      </c>
      <c r="F1596">
        <f>E1596* VLOOKUP(A1596,Check!A$2:F$11,4,FALSE)</f>
        <v>10723752.804644447</v>
      </c>
    </row>
    <row r="1597" spans="1:6" x14ac:dyDescent="0.2">
      <c r="A1597">
        <v>2023</v>
      </c>
      <c r="B1597" s="1" t="s">
        <v>12</v>
      </c>
      <c r="C1597" s="7">
        <v>104573</v>
      </c>
      <c r="D1597" s="6">
        <v>4.2877000000000003E-5</v>
      </c>
      <c r="E1597" s="17">
        <v>6.1672988915210144E-4</v>
      </c>
      <c r="F1597">
        <f>E1597* VLOOKUP(A1597,Check!A$2:F$11,4,FALSE)</f>
        <v>1399580.1590763491</v>
      </c>
    </row>
    <row r="1598" spans="1:6" x14ac:dyDescent="0.2">
      <c r="A1598">
        <v>2023</v>
      </c>
      <c r="B1598" s="1" t="s">
        <v>13</v>
      </c>
      <c r="C1598" s="7" t="s">
        <v>6</v>
      </c>
      <c r="D1598" s="6">
        <v>0</v>
      </c>
      <c r="F1598">
        <f>E1598* VLOOKUP(A1598,Check!A$2:F$11,4,FALSE)</f>
        <v>0</v>
      </c>
    </row>
    <row r="1599" spans="1:6" x14ac:dyDescent="0.2">
      <c r="A1599">
        <v>2023</v>
      </c>
      <c r="B1599" s="1" t="s">
        <v>14</v>
      </c>
      <c r="C1599" s="7">
        <v>24559</v>
      </c>
      <c r="D1599" s="6">
        <v>1.0069E-5</v>
      </c>
      <c r="E1599" s="17">
        <v>1.4483919699813968E-4</v>
      </c>
      <c r="F1599">
        <f>E1599* VLOOKUP(A1599,Check!A$2:F$11,4,FALSE)</f>
        <v>328691.81458651915</v>
      </c>
    </row>
    <row r="1600" spans="1:6" x14ac:dyDescent="0.2">
      <c r="A1600">
        <v>2023</v>
      </c>
      <c r="B1600" s="1" t="s">
        <v>15</v>
      </c>
      <c r="C1600" s="7">
        <v>2415767</v>
      </c>
      <c r="D1600" s="6">
        <v>9.9050799999999997E-4</v>
      </c>
      <c r="E1600" s="17">
        <v>1.4247231255938958E-2</v>
      </c>
      <c r="F1600">
        <f>E1600* VLOOKUP(A1600,Check!A$2:F$11,4,FALSE)</f>
        <v>32332050.932376377</v>
      </c>
    </row>
    <row r="1601" spans="1:6" x14ac:dyDescent="0.2">
      <c r="A1601">
        <v>2023</v>
      </c>
      <c r="B1601" s="1" t="s">
        <v>16</v>
      </c>
      <c r="C1601" s="7">
        <v>514561</v>
      </c>
      <c r="D1601" s="6">
        <v>2.10979E-4</v>
      </c>
      <c r="E1601" s="17">
        <v>3.0346757623095299E-3</v>
      </c>
      <c r="F1601">
        <f>E1601* VLOOKUP(A1601,Check!A$2:F$11,4,FALSE)</f>
        <v>6886762.0345068546</v>
      </c>
    </row>
    <row r="1602" spans="1:6" x14ac:dyDescent="0.2">
      <c r="A1602">
        <v>2023</v>
      </c>
      <c r="B1602" s="1" t="s">
        <v>17</v>
      </c>
      <c r="C1602" s="7">
        <v>39207</v>
      </c>
      <c r="D1602" s="6">
        <v>1.6075000000000001E-5</v>
      </c>
      <c r="E1602" s="17">
        <v>2.3122726481966132E-4</v>
      </c>
      <c r="F1602">
        <f>E1602* VLOOKUP(A1602,Check!A$2:F$11,4,FALSE)</f>
        <v>524737.16252671753</v>
      </c>
    </row>
    <row r="1603" spans="1:6" x14ac:dyDescent="0.2">
      <c r="A1603">
        <v>2023</v>
      </c>
      <c r="B1603" s="1" t="s">
        <v>18</v>
      </c>
      <c r="C1603" s="7" t="s">
        <v>6</v>
      </c>
      <c r="D1603" s="6">
        <v>0</v>
      </c>
      <c r="F1603">
        <f>E1603* VLOOKUP(A1603,Check!A$2:F$11,4,FALSE)</f>
        <v>0</v>
      </c>
    </row>
    <row r="1604" spans="1:6" x14ac:dyDescent="0.2">
      <c r="A1604">
        <v>2023</v>
      </c>
      <c r="B1604" s="1" t="s">
        <v>19</v>
      </c>
      <c r="C1604" s="7">
        <v>66067</v>
      </c>
      <c r="D1604" s="6">
        <v>2.7089000000000001E-5</v>
      </c>
      <c r="E1604" s="17">
        <v>3.8963684303416646E-4</v>
      </c>
      <c r="F1604">
        <f>E1604* VLOOKUP(A1604,Check!A$2:F$11,4,FALSE)</f>
        <v>884225.01381520252</v>
      </c>
    </row>
    <row r="1605" spans="1:6" x14ac:dyDescent="0.2">
      <c r="A1605">
        <v>2023</v>
      </c>
      <c r="B1605" s="1" t="s">
        <v>20</v>
      </c>
      <c r="C1605" s="7">
        <v>27504</v>
      </c>
      <c r="D1605" s="6">
        <v>1.1277000000000001E-5</v>
      </c>
      <c r="E1605" s="17">
        <v>1.6220763362664739E-4</v>
      </c>
      <c r="F1605">
        <f>E1605* VLOOKUP(A1605,Check!A$2:F$11,4,FALSE)</f>
        <v>368106.99411163403</v>
      </c>
    </row>
    <row r="1606" spans="1:6" x14ac:dyDescent="0.2">
      <c r="A1606">
        <v>2023</v>
      </c>
      <c r="B1606" s="1" t="s">
        <v>21</v>
      </c>
      <c r="C1606" s="7">
        <v>9927244</v>
      </c>
      <c r="D1606" s="6">
        <v>4.070349E-3</v>
      </c>
      <c r="E1606" s="17">
        <v>5.854692981654791E-2</v>
      </c>
      <c r="F1606">
        <f>E1606* VLOOKUP(A1606,Check!A$2:F$11,4,FALSE)</f>
        <v>132863872.47864874</v>
      </c>
    </row>
    <row r="1607" spans="1:6" x14ac:dyDescent="0.2">
      <c r="A1607">
        <v>2023</v>
      </c>
      <c r="B1607" s="1" t="s">
        <v>205</v>
      </c>
      <c r="C1607" s="7">
        <v>748045</v>
      </c>
      <c r="D1607" s="6">
        <v>3.06712E-4</v>
      </c>
      <c r="E1607" s="17">
        <v>4.4116713676645384E-3</v>
      </c>
      <c r="F1607">
        <f>E1607* VLOOKUP(A1607,Check!A$2:F$11,4,FALSE)</f>
        <v>10011656.355811421</v>
      </c>
    </row>
    <row r="1608" spans="1:6" x14ac:dyDescent="0.2">
      <c r="A1608">
        <v>2023</v>
      </c>
      <c r="B1608" s="1" t="s">
        <v>206</v>
      </c>
      <c r="C1608" s="7">
        <v>2450036</v>
      </c>
      <c r="D1608" s="6">
        <v>1.0045589999999999E-3</v>
      </c>
      <c r="E1608" s="17">
        <v>1.4449336164197815E-2</v>
      </c>
      <c r="F1608">
        <f>E1608* VLOOKUP(A1608,Check!A$2:F$11,4,FALSE)</f>
        <v>32790699.077417523</v>
      </c>
    </row>
    <row r="1609" spans="1:6" x14ac:dyDescent="0.2">
      <c r="A1609">
        <v>2023</v>
      </c>
      <c r="B1609" s="1" t="s">
        <v>25</v>
      </c>
      <c r="C1609" s="7" t="s">
        <v>6</v>
      </c>
      <c r="D1609" s="6">
        <v>0</v>
      </c>
      <c r="F1609">
        <f>E1609* VLOOKUP(A1609,Check!A$2:F$11,4,FALSE)</f>
        <v>0</v>
      </c>
    </row>
    <row r="1610" spans="1:6" x14ac:dyDescent="0.2">
      <c r="A1610">
        <v>2023</v>
      </c>
      <c r="B1610" s="1" t="s">
        <v>26</v>
      </c>
      <c r="C1610" s="7">
        <v>63436</v>
      </c>
      <c r="D1610" s="6">
        <v>2.601E-5</v>
      </c>
      <c r="E1610" s="17">
        <v>3.7412025329915664E-4</v>
      </c>
      <c r="F1610">
        <f>E1610* VLOOKUP(A1610,Check!A$2:F$11,4,FALSE)</f>
        <v>849012.33560448</v>
      </c>
    </row>
    <row r="1611" spans="1:6" x14ac:dyDescent="0.2">
      <c r="A1611">
        <v>2023</v>
      </c>
      <c r="B1611" s="1" t="s">
        <v>27</v>
      </c>
      <c r="C1611" s="7">
        <v>17517</v>
      </c>
      <c r="D1611" s="6">
        <v>7.182E-6</v>
      </c>
      <c r="E1611" s="17">
        <v>1.0330828673058401E-4</v>
      </c>
      <c r="F1611">
        <f>E1611* VLOOKUP(A1611,Check!A$2:F$11,4,FALSE)</f>
        <v>234443.36154208457</v>
      </c>
    </row>
    <row r="1612" spans="1:6" x14ac:dyDescent="0.2">
      <c r="A1612">
        <v>2023</v>
      </c>
      <c r="B1612" s="1" t="s">
        <v>28</v>
      </c>
      <c r="C1612" s="7">
        <v>384580</v>
      </c>
      <c r="D1612" s="6">
        <v>1.5768499999999999E-4</v>
      </c>
      <c r="E1612" s="17">
        <v>2.2680996124249584E-3</v>
      </c>
      <c r="F1612">
        <f>E1612* VLOOKUP(A1612,Check!A$2:F$11,4,FALSE)</f>
        <v>5147127.2467805492</v>
      </c>
    </row>
    <row r="1613" spans="1:6" x14ac:dyDescent="0.2">
      <c r="A1613">
        <v>2023</v>
      </c>
      <c r="B1613" s="1" t="s">
        <v>29</v>
      </c>
      <c r="C1613" s="7">
        <v>130984</v>
      </c>
      <c r="D1613" s="6">
        <v>5.3705999999999997E-5</v>
      </c>
      <c r="E1613" s="17">
        <v>7.7249144426093602E-4</v>
      </c>
      <c r="F1613">
        <f>E1613* VLOOKUP(A1613,Check!A$2:F$11,4,FALSE)</f>
        <v>1753058.7011604959</v>
      </c>
    </row>
    <row r="1614" spans="1:6" x14ac:dyDescent="0.2">
      <c r="A1614">
        <v>2023</v>
      </c>
      <c r="B1614" s="1" t="s">
        <v>30</v>
      </c>
      <c r="C1614" s="7" t="s">
        <v>6</v>
      </c>
      <c r="D1614" s="6">
        <v>0</v>
      </c>
      <c r="F1614">
        <f>E1614* VLOOKUP(A1614,Check!A$2:F$11,4,FALSE)</f>
        <v>0</v>
      </c>
    </row>
    <row r="1615" spans="1:6" x14ac:dyDescent="0.2">
      <c r="A1615">
        <v>2023</v>
      </c>
      <c r="B1615" s="1" t="s">
        <v>31</v>
      </c>
      <c r="C1615" s="7">
        <v>306342</v>
      </c>
      <c r="D1615" s="6">
        <v>1.25606E-4</v>
      </c>
      <c r="E1615" s="17">
        <v>1.8066830606622462E-3</v>
      </c>
      <c r="F1615">
        <f>E1615* VLOOKUP(A1615,Check!A$2:F$11,4,FALSE)</f>
        <v>4100008.4638651181</v>
      </c>
    </row>
    <row r="1616" spans="1:6" x14ac:dyDescent="0.2">
      <c r="A1616">
        <v>2023</v>
      </c>
      <c r="B1616" s="1" t="s">
        <v>32</v>
      </c>
      <c r="C1616" s="7">
        <v>1855697</v>
      </c>
      <c r="D1616" s="6">
        <v>7.6086899999999996E-4</v>
      </c>
      <c r="E1616" s="17">
        <v>1.0944161543705233E-2</v>
      </c>
      <c r="F1616">
        <f>E1616* VLOOKUP(A1616,Check!A$2:F$11,4,FALSE)</f>
        <v>24836207.266287707</v>
      </c>
    </row>
    <row r="1617" spans="1:6" x14ac:dyDescent="0.2">
      <c r="A1617">
        <v>2023</v>
      </c>
      <c r="B1617" s="1" t="s">
        <v>238</v>
      </c>
      <c r="C1617" s="7">
        <v>76130</v>
      </c>
      <c r="D1617" s="6">
        <v>3.1214999999999998E-5</v>
      </c>
      <c r="E1617" s="17">
        <v>4.4898440764967517E-4</v>
      </c>
      <c r="F1617">
        <f>E1617* VLOOKUP(A1617,Check!A$2:F$11,4,FALSE)</f>
        <v>1018905.8123079806</v>
      </c>
    </row>
    <row r="1618" spans="1:6" x14ac:dyDescent="0.2">
      <c r="A1618">
        <v>2023</v>
      </c>
      <c r="B1618" s="1" t="s">
        <v>33</v>
      </c>
      <c r="C1618" s="7">
        <v>386310</v>
      </c>
      <c r="D1618" s="6">
        <v>1.5839399999999999E-4</v>
      </c>
      <c r="E1618" s="17">
        <v>2.278302463143912E-3</v>
      </c>
      <c r="F1618">
        <f>E1618* VLOOKUP(A1618,Check!A$2:F$11,4,FALSE)</f>
        <v>5170281.1552961515</v>
      </c>
    </row>
    <row r="1619" spans="1:6" x14ac:dyDescent="0.2">
      <c r="A1619">
        <v>2023</v>
      </c>
      <c r="B1619" s="1" t="s">
        <v>34</v>
      </c>
      <c r="C1619" s="7">
        <v>1935694</v>
      </c>
      <c r="D1619" s="6">
        <v>7.9366899999999999E-4</v>
      </c>
      <c r="E1619" s="17">
        <v>1.1415951976632475E-2</v>
      </c>
      <c r="F1619">
        <f>E1619* VLOOKUP(A1619,Check!A$2:F$11,4,FALSE)</f>
        <v>25906868.08682102</v>
      </c>
    </row>
    <row r="1620" spans="1:6" x14ac:dyDescent="0.2">
      <c r="A1620">
        <v>2023</v>
      </c>
      <c r="B1620" s="1" t="s">
        <v>35</v>
      </c>
      <c r="C1620" s="7">
        <v>295671</v>
      </c>
      <c r="D1620" s="6">
        <v>1.2123E-4</v>
      </c>
      <c r="E1620" s="17">
        <v>1.7437497542911746E-3</v>
      </c>
      <c r="F1620">
        <f>E1620* VLOOKUP(A1620,Check!A$2:F$11,4,FALSE)</f>
        <v>3957190.3379865098</v>
      </c>
    </row>
    <row r="1621" spans="1:6" x14ac:dyDescent="0.2">
      <c r="A1621">
        <v>2023</v>
      </c>
      <c r="B1621" s="1" t="s">
        <v>36</v>
      </c>
      <c r="C1621" s="7">
        <v>663767</v>
      </c>
      <c r="D1621" s="6">
        <v>2.7215600000000001E-4</v>
      </c>
      <c r="E1621" s="17">
        <v>3.9146333024090629E-3</v>
      </c>
      <c r="F1621">
        <f>E1621* VLOOKUP(A1621,Check!A$2:F$11,4,FALSE)</f>
        <v>8883699.6495235972</v>
      </c>
    </row>
    <row r="1622" spans="1:6" x14ac:dyDescent="0.2">
      <c r="A1622">
        <v>2023</v>
      </c>
      <c r="B1622" s="1" t="s">
        <v>38</v>
      </c>
      <c r="C1622" s="7">
        <v>26691</v>
      </c>
      <c r="D1622" s="6">
        <v>1.0944000000000001E-5</v>
      </c>
      <c r="E1622" s="17">
        <v>1.5741288354889638E-4</v>
      </c>
      <c r="F1622">
        <f>E1622* VLOOKUP(A1622,Check!A$2:F$11,4,FALSE)</f>
        <v>357225.99548551574</v>
      </c>
    </row>
    <row r="1623" spans="1:6" x14ac:dyDescent="0.2">
      <c r="A1623">
        <v>2023</v>
      </c>
      <c r="B1623" s="1" t="s">
        <v>39</v>
      </c>
      <c r="C1623" s="7">
        <v>784719</v>
      </c>
      <c r="D1623" s="6">
        <v>3.2174900000000003E-4</v>
      </c>
      <c r="E1623" s="17">
        <v>4.6279600077032109E-3</v>
      </c>
      <c r="F1623">
        <f>E1623* VLOOKUP(A1623,Check!A$2:F$11,4,FALSE)</f>
        <v>10502492.448817894</v>
      </c>
    </row>
    <row r="1624" spans="1:6" x14ac:dyDescent="0.2">
      <c r="A1624">
        <v>2023</v>
      </c>
      <c r="B1624" s="1" t="s">
        <v>40</v>
      </c>
      <c r="C1624" s="7" t="s">
        <v>6</v>
      </c>
      <c r="D1624" s="6">
        <v>0</v>
      </c>
      <c r="F1624">
        <f>E1624* VLOOKUP(A1624,Check!A$2:F$11,4,FALSE)</f>
        <v>0</v>
      </c>
    </row>
    <row r="1625" spans="1:6" x14ac:dyDescent="0.2">
      <c r="A1625">
        <v>2023</v>
      </c>
      <c r="B1625" s="1" t="s">
        <v>207</v>
      </c>
      <c r="C1625" s="7">
        <v>710873</v>
      </c>
      <c r="D1625" s="6">
        <v>2.9147100000000002E-4</v>
      </c>
      <c r="E1625" s="17">
        <v>4.1924457220431834E-3</v>
      </c>
      <c r="F1625">
        <f>E1625* VLOOKUP(A1625,Check!A$2:F$11,4,FALSE)</f>
        <v>9514155.1492553689</v>
      </c>
    </row>
    <row r="1626" spans="1:6" x14ac:dyDescent="0.2">
      <c r="A1626">
        <v>2023</v>
      </c>
      <c r="B1626" s="1" t="s">
        <v>42</v>
      </c>
      <c r="C1626" s="7">
        <v>6514</v>
      </c>
      <c r="D1626" s="6">
        <v>2.6709999999999999E-6</v>
      </c>
      <c r="E1626" s="17">
        <v>3.8416976637724739E-5</v>
      </c>
      <c r="F1626">
        <f>E1626* VLOOKUP(A1626,Check!A$2:F$11,4,FALSE)</f>
        <v>87181.826630424097</v>
      </c>
    </row>
    <row r="1627" spans="1:6" x14ac:dyDescent="0.2">
      <c r="A1627">
        <v>2023</v>
      </c>
      <c r="B1627" s="1" t="s">
        <v>43</v>
      </c>
      <c r="C1627" s="7">
        <v>123085</v>
      </c>
      <c r="D1627" s="6">
        <v>5.0467000000000003E-5</v>
      </c>
      <c r="E1627" s="17">
        <v>7.2590628944647667E-4</v>
      </c>
      <c r="F1627">
        <f>E1627* VLOOKUP(A1627,Check!A$2:F$11,4,FALSE)</f>
        <v>1647340.3639554421</v>
      </c>
    </row>
    <row r="1628" spans="1:6" x14ac:dyDescent="0.2">
      <c r="A1628">
        <v>2023</v>
      </c>
      <c r="B1628" s="1" t="s">
        <v>44</v>
      </c>
      <c r="C1628" s="7">
        <v>2318314</v>
      </c>
      <c r="D1628" s="6">
        <v>9.5054999999999998E-4</v>
      </c>
      <c r="E1628" s="17">
        <v>1.3672492289977002E-2</v>
      </c>
      <c r="F1628">
        <f>E1628* VLOOKUP(A1628,Check!A$2:F$11,4,FALSE)</f>
        <v>31027763.159791991</v>
      </c>
    </row>
    <row r="1629" spans="1:6" x14ac:dyDescent="0.2">
      <c r="A1629">
        <v>2023</v>
      </c>
      <c r="B1629" s="1" t="s">
        <v>45</v>
      </c>
      <c r="C1629" s="7">
        <v>36265</v>
      </c>
      <c r="D1629" s="6">
        <v>1.4868999999999999E-5</v>
      </c>
      <c r="E1629" s="17">
        <v>2.1387652099586854E-4</v>
      </c>
      <c r="F1629">
        <f>E1629* VLOOKUP(A1629,Check!A$2:F$11,4,FALSE)</f>
        <v>485362.13428804575</v>
      </c>
    </row>
    <row r="1630" spans="1:6" x14ac:dyDescent="0.2">
      <c r="A1630">
        <v>2023</v>
      </c>
      <c r="B1630" s="1" t="s">
        <v>46</v>
      </c>
      <c r="C1630" s="7">
        <v>40540</v>
      </c>
      <c r="D1630" s="6">
        <v>1.6622000000000001E-5</v>
      </c>
      <c r="E1630" s="17">
        <v>2.3908876771467006E-4</v>
      </c>
      <c r="F1630">
        <f>E1630* VLOOKUP(A1630,Check!A$2:F$11,4,FALSE)</f>
        <v>542577.71746966417</v>
      </c>
    </row>
    <row r="1631" spans="1:6" x14ac:dyDescent="0.2">
      <c r="A1631">
        <v>2023</v>
      </c>
      <c r="B1631" s="1" t="s">
        <v>47</v>
      </c>
      <c r="C1631" s="7">
        <v>2485624</v>
      </c>
      <c r="D1631" s="6">
        <v>1.019151E-3</v>
      </c>
      <c r="E1631" s="17">
        <v>1.4659220008929677E-2</v>
      </c>
      <c r="F1631">
        <f>E1631* VLOOKUP(A1631,Check!A$2:F$11,4,FALSE)</f>
        <v>33267000.404731542</v>
      </c>
    </row>
    <row r="1632" spans="1:6" x14ac:dyDescent="0.2">
      <c r="A1632">
        <v>2023</v>
      </c>
      <c r="B1632" s="1" t="s">
        <v>48</v>
      </c>
      <c r="C1632" s="7">
        <v>76259</v>
      </c>
      <c r="D1632" s="6">
        <v>3.1267999999999999E-5</v>
      </c>
      <c r="E1632" s="17">
        <v>4.4974519825241799E-4</v>
      </c>
      <c r="F1632">
        <f>E1632* VLOOKUP(A1632,Check!A$2:F$11,4,FALSE)</f>
        <v>1020632.3176250401</v>
      </c>
    </row>
    <row r="1633" spans="1:6" x14ac:dyDescent="0.2">
      <c r="A1633">
        <v>2023</v>
      </c>
      <c r="B1633" s="1" t="s">
        <v>49</v>
      </c>
      <c r="C1633" s="7">
        <v>31695</v>
      </c>
      <c r="D1633" s="6">
        <v>1.2996000000000001E-5</v>
      </c>
      <c r="E1633" s="17">
        <v>1.869244818134304E-4</v>
      </c>
      <c r="F1633">
        <f>E1633* VLOOKUP(A1633,Check!A$2:F$11,4,FALSE)</f>
        <v>424198.34127284185</v>
      </c>
    </row>
    <row r="1634" spans="1:6" x14ac:dyDescent="0.2">
      <c r="A1634">
        <v>2023</v>
      </c>
      <c r="B1634" s="1" t="s">
        <v>50</v>
      </c>
      <c r="C1634" s="7">
        <v>1432560</v>
      </c>
      <c r="D1634" s="6">
        <v>5.8737600000000002E-4</v>
      </c>
      <c r="E1634" s="17">
        <v>8.4486681074821841E-3</v>
      </c>
      <c r="F1634">
        <f>E1634* VLOOKUP(A1634,Check!A$2:F$11,4,FALSE)</f>
        <v>19173042.302376471</v>
      </c>
    </row>
    <row r="1635" spans="1:6" x14ac:dyDescent="0.2">
      <c r="A1635">
        <v>2023</v>
      </c>
      <c r="B1635" s="1" t="s">
        <v>51</v>
      </c>
      <c r="C1635" s="7">
        <v>86899</v>
      </c>
      <c r="D1635" s="6">
        <v>3.5630000000000003E-5</v>
      </c>
      <c r="E1635" s="17">
        <v>5.1249567897476852E-4</v>
      </c>
      <c r="F1635">
        <f>E1635* VLOOKUP(A1635,Check!A$2:F$11,4,FALSE)</f>
        <v>1163035.5468770685</v>
      </c>
    </row>
    <row r="1636" spans="1:6" x14ac:dyDescent="0.2">
      <c r="A1636">
        <v>2023</v>
      </c>
      <c r="B1636" s="1" t="s">
        <v>239</v>
      </c>
      <c r="C1636" s="7">
        <v>202931</v>
      </c>
      <c r="D1636" s="6">
        <v>8.3205E-5</v>
      </c>
      <c r="E1636" s="17">
        <v>1.1968061845364015E-3</v>
      </c>
      <c r="F1636">
        <f>E1636* VLOOKUP(A1636,Check!A$2:F$11,4,FALSE)</f>
        <v>2715980.2364044511</v>
      </c>
    </row>
    <row r="1637" spans="1:6" x14ac:dyDescent="0.2">
      <c r="A1637">
        <v>2023</v>
      </c>
      <c r="B1637" s="1" t="s">
        <v>52</v>
      </c>
      <c r="C1637" s="7">
        <v>28560</v>
      </c>
      <c r="D1637" s="6">
        <v>1.171E-5</v>
      </c>
      <c r="E1637" s="17">
        <v>1.6843550088630925E-4</v>
      </c>
      <c r="F1637">
        <f>E1637* VLOOKUP(A1637,Check!A$2:F$11,4,FALSE)</f>
        <v>382240.24693965493</v>
      </c>
    </row>
    <row r="1638" spans="1:6" x14ac:dyDescent="0.2">
      <c r="A1638">
        <v>2023</v>
      </c>
      <c r="B1638" s="1" t="s">
        <v>54</v>
      </c>
      <c r="C1638" s="7">
        <v>162816</v>
      </c>
      <c r="D1638" s="6">
        <v>6.6756999999999998E-5</v>
      </c>
      <c r="E1638" s="17">
        <v>9.6022389748968236E-4</v>
      </c>
      <c r="F1638">
        <f>E1638* VLOOKUP(A1638,Check!A$2:F$11,4,FALSE)</f>
        <v>2179090.6178475791</v>
      </c>
    </row>
    <row r="1639" spans="1:6" x14ac:dyDescent="0.2">
      <c r="A1639">
        <v>2023</v>
      </c>
      <c r="B1639" s="1" t="s">
        <v>55</v>
      </c>
      <c r="C1639" s="7">
        <v>117740</v>
      </c>
      <c r="D1639" s="6">
        <v>4.8276000000000003E-5</v>
      </c>
      <c r="E1639" s="17">
        <v>6.9438360904601026E-4</v>
      </c>
      <c r="F1639">
        <f>E1639* VLOOKUP(A1639,Check!A$2:F$11,4,FALSE)</f>
        <v>1575804.1552757344</v>
      </c>
    </row>
    <row r="1640" spans="1:6" x14ac:dyDescent="0.2">
      <c r="A1640">
        <v>2023</v>
      </c>
      <c r="B1640" s="1" t="s">
        <v>56</v>
      </c>
      <c r="C1640" s="7">
        <v>161860</v>
      </c>
      <c r="D1640" s="6">
        <v>6.6365999999999994E-5</v>
      </c>
      <c r="E1640" s="17">
        <v>9.5458579038718548E-4</v>
      </c>
      <c r="F1640">
        <f>E1640* VLOOKUP(A1640,Check!A$2:F$11,4,FALSE)</f>
        <v>2166295.7412343328</v>
      </c>
    </row>
    <row r="1641" spans="1:6" x14ac:dyDescent="0.2">
      <c r="A1641">
        <v>2023</v>
      </c>
      <c r="B1641" s="1" t="s">
        <v>232</v>
      </c>
      <c r="C1641" s="7">
        <v>166266</v>
      </c>
      <c r="D1641" s="6">
        <v>6.8171999999999997E-5</v>
      </c>
      <c r="E1641" s="17">
        <v>9.8057062291187318E-4</v>
      </c>
      <c r="F1641">
        <f>E1641* VLOOKUP(A1641,Check!A$2:F$11,4,FALSE)</f>
        <v>2225264.5972573063</v>
      </c>
    </row>
    <row r="1642" spans="1:6" x14ac:dyDescent="0.2">
      <c r="A1642">
        <v>2023</v>
      </c>
      <c r="B1642" s="1" t="s">
        <v>57</v>
      </c>
      <c r="C1642" s="7" t="s">
        <v>6</v>
      </c>
      <c r="D1642" s="6">
        <v>0</v>
      </c>
      <c r="F1642">
        <f>E1642* VLOOKUP(A1642,Check!A$2:F$11,4,FALSE)</f>
        <v>0</v>
      </c>
    </row>
    <row r="1643" spans="1:6" x14ac:dyDescent="0.2">
      <c r="A1643">
        <v>2023</v>
      </c>
      <c r="B1643" s="1" t="s">
        <v>58</v>
      </c>
      <c r="C1643" s="7">
        <v>270385</v>
      </c>
      <c r="D1643" s="6">
        <v>1.10863E-4</v>
      </c>
      <c r="E1643" s="17">
        <v>1.5946230009504458E-3</v>
      </c>
      <c r="F1643">
        <f>E1643* VLOOKUP(A1643,Check!A$2:F$11,4,FALSE)</f>
        <v>3618768.5283185784</v>
      </c>
    </row>
    <row r="1644" spans="1:6" x14ac:dyDescent="0.2">
      <c r="A1644">
        <v>2023</v>
      </c>
      <c r="B1644" s="1" t="s">
        <v>59</v>
      </c>
      <c r="C1644" s="7">
        <v>547111</v>
      </c>
      <c r="D1644" s="6">
        <v>2.2432499999999999E-4</v>
      </c>
      <c r="E1644" s="17">
        <v>3.2266426934667207E-3</v>
      </c>
      <c r="F1644">
        <f>E1644* VLOOKUP(A1644,Check!A$2:F$11,4,FALSE)</f>
        <v>7322403.4924160205</v>
      </c>
    </row>
    <row r="1645" spans="1:6" x14ac:dyDescent="0.2">
      <c r="A1645">
        <v>2023</v>
      </c>
      <c r="B1645" s="1" t="s">
        <v>60</v>
      </c>
      <c r="C1645" s="7">
        <v>89320</v>
      </c>
      <c r="D1645" s="6">
        <v>3.6622999999999998E-5</v>
      </c>
      <c r="E1645" s="17">
        <v>5.2677377237973192E-4</v>
      </c>
      <c r="F1645">
        <f>E1645* VLOOKUP(A1645,Check!A$2:F$11,4,FALSE)</f>
        <v>1195437.635036764</v>
      </c>
    </row>
    <row r="1646" spans="1:6" x14ac:dyDescent="0.2">
      <c r="A1646">
        <v>2023</v>
      </c>
      <c r="B1646" s="1" t="s">
        <v>61</v>
      </c>
      <c r="C1646" s="7">
        <v>25044</v>
      </c>
      <c r="D1646" s="6">
        <v>1.0268999999999999E-5</v>
      </c>
      <c r="E1646" s="17">
        <v>1.4769953376038967E-4</v>
      </c>
      <c r="F1646">
        <f>E1646* VLOOKUP(A1646,Check!A$2:F$11,4,FALSE)</f>
        <v>335182.93922817637</v>
      </c>
    </row>
    <row r="1647" spans="1:6" x14ac:dyDescent="0.2">
      <c r="A1647">
        <v>2023</v>
      </c>
      <c r="B1647" s="1" t="s">
        <v>209</v>
      </c>
      <c r="C1647" s="8">
        <v>896586</v>
      </c>
      <c r="D1647" s="6">
        <v>3.6761600000000003E-4</v>
      </c>
      <c r="E1647" s="17">
        <v>5.287707002718924E-3</v>
      </c>
      <c r="F1647">
        <f>E1647* VLOOKUP(A1647,Check!A$2:F$11,4,FALSE)</f>
        <v>11999693.76899991</v>
      </c>
    </row>
    <row r="1648" spans="1:6" x14ac:dyDescent="0.2">
      <c r="A1648">
        <v>2023</v>
      </c>
      <c r="B1648" s="1" t="s">
        <v>63</v>
      </c>
      <c r="C1648" s="7">
        <v>1385861</v>
      </c>
      <c r="D1648" s="6">
        <v>5.6822800000000005E-4</v>
      </c>
      <c r="E1648" s="17">
        <v>8.1732560116877257E-3</v>
      </c>
      <c r="F1648">
        <f>E1648* VLOOKUP(A1648,Check!A$2:F$11,4,FALSE)</f>
        <v>18548033.993838836</v>
      </c>
    </row>
    <row r="1649" spans="1:6" x14ac:dyDescent="0.2">
      <c r="A1649">
        <v>2023</v>
      </c>
      <c r="B1649" s="1" t="s">
        <v>64</v>
      </c>
      <c r="C1649" s="7">
        <v>193558</v>
      </c>
      <c r="D1649" s="6">
        <v>7.9362000000000004E-5</v>
      </c>
      <c r="E1649" s="17">
        <v>1.1415279650053309E-3</v>
      </c>
      <c r="F1649">
        <f>E1649* VLOOKUP(A1649,Check!A$2:F$11,4,FALSE)</f>
        <v>2590534.2337936182</v>
      </c>
    </row>
    <row r="1650" spans="1:6" x14ac:dyDescent="0.2">
      <c r="A1650">
        <v>2023</v>
      </c>
      <c r="B1650" s="1" t="s">
        <v>65</v>
      </c>
      <c r="C1650" s="7">
        <v>209221</v>
      </c>
      <c r="D1650" s="6">
        <v>8.5784000000000004E-5</v>
      </c>
      <c r="E1650" s="17">
        <v>1.2339020984220767E-3</v>
      </c>
      <c r="F1650">
        <f>E1650* VLOOKUP(A1650,Check!A$2:F$11,4,FALSE)</f>
        <v>2800164.1003137799</v>
      </c>
    </row>
    <row r="1651" spans="1:6" x14ac:dyDescent="0.2">
      <c r="A1651">
        <v>2023</v>
      </c>
      <c r="B1651" s="1" t="s">
        <v>66</v>
      </c>
      <c r="C1651" s="7">
        <v>1034665</v>
      </c>
      <c r="D1651" s="6">
        <v>4.2423100000000001E-4</v>
      </c>
      <c r="E1651" s="17">
        <v>6.1020419301307128E-3</v>
      </c>
      <c r="F1651">
        <f>E1651* VLOOKUP(A1651,Check!A$2:F$11,4,FALSE)</f>
        <v>13847710.262598671</v>
      </c>
    </row>
    <row r="1652" spans="1:6" x14ac:dyDescent="0.2">
      <c r="A1652">
        <v>2023</v>
      </c>
      <c r="B1652" s="1" t="s">
        <v>67</v>
      </c>
      <c r="C1652" s="7">
        <v>738470</v>
      </c>
      <c r="D1652" s="6">
        <v>3.0278599999999998E-4</v>
      </c>
      <c r="E1652" s="17">
        <v>4.3552018326159939E-3</v>
      </c>
      <c r="F1652">
        <f>E1652* VLOOKUP(A1652,Check!A$2:F$11,4,FALSE)</f>
        <v>9883506.8332467414</v>
      </c>
    </row>
    <row r="1653" spans="1:6" x14ac:dyDescent="0.2">
      <c r="A1653">
        <v>2023</v>
      </c>
      <c r="B1653" s="1" t="s">
        <v>68</v>
      </c>
      <c r="C1653" s="7">
        <v>18170</v>
      </c>
      <c r="D1653" s="6">
        <v>7.4499999999999998E-6</v>
      </c>
      <c r="E1653" s="17">
        <v>1.0715942055687112E-4</v>
      </c>
      <c r="F1653">
        <f>E1653* VLOOKUP(A1653,Check!A$2:F$11,4,FALSE)</f>
        <v>243182.95822456336</v>
      </c>
    </row>
    <row r="1654" spans="1:6" x14ac:dyDescent="0.2">
      <c r="A1654">
        <v>2023</v>
      </c>
      <c r="B1654" s="1" t="s">
        <v>69</v>
      </c>
      <c r="C1654" s="7">
        <v>508741</v>
      </c>
      <c r="D1654" s="6">
        <v>2.08593E-4</v>
      </c>
      <c r="E1654" s="17">
        <v>3.0003517211625299E-3</v>
      </c>
      <c r="F1654">
        <f>E1654* VLOOKUP(A1654,Check!A$2:F$11,4,FALSE)</f>
        <v>6808868.5388069674</v>
      </c>
    </row>
    <row r="1655" spans="1:6" x14ac:dyDescent="0.2">
      <c r="A1655">
        <v>2023</v>
      </c>
      <c r="B1655" s="1" t="s">
        <v>70</v>
      </c>
      <c r="C1655" s="7">
        <v>137487</v>
      </c>
      <c r="D1655" s="6">
        <v>5.6372000000000002E-5</v>
      </c>
      <c r="E1655" s="17">
        <v>8.1084354728137257E-4</v>
      </c>
      <c r="F1655">
        <f>E1655* VLOOKUP(A1655,Check!A$2:F$11,4,FALSE)</f>
        <v>1840093.3064072947</v>
      </c>
    </row>
    <row r="1656" spans="1:6" x14ac:dyDescent="0.2">
      <c r="A1656">
        <v>2023</v>
      </c>
      <c r="B1656" s="1" t="s">
        <v>71</v>
      </c>
      <c r="C1656" s="7">
        <v>14966</v>
      </c>
      <c r="D1656" s="6">
        <v>6.1360000000000002E-6</v>
      </c>
      <c r="E1656" s="17">
        <v>8.826350512130617E-5</v>
      </c>
      <c r="F1656">
        <f>E1656* VLOOKUP(A1656,Check!A$2:F$11,4,FALSE)</f>
        <v>200301.3843031819</v>
      </c>
    </row>
    <row r="1657" spans="1:6" x14ac:dyDescent="0.2">
      <c r="A1657">
        <v>2023</v>
      </c>
      <c r="B1657" s="1" t="s">
        <v>72</v>
      </c>
      <c r="C1657" s="7">
        <v>12351</v>
      </c>
      <c r="D1657" s="6">
        <v>5.0640000000000001E-6</v>
      </c>
      <c r="E1657" s="17">
        <v>7.2841277011442772E-5</v>
      </c>
      <c r="F1657">
        <f>E1657* VLOOKUP(A1657,Check!A$2:F$11,4,FALSE)</f>
        <v>165302.84628682345</v>
      </c>
    </row>
    <row r="1658" spans="1:6" x14ac:dyDescent="0.2">
      <c r="A1658">
        <v>2023</v>
      </c>
      <c r="B1658" s="1" t="s">
        <v>73</v>
      </c>
      <c r="C1658" s="7">
        <v>36381</v>
      </c>
      <c r="D1658" s="6">
        <v>1.4917E-5</v>
      </c>
      <c r="E1658" s="17">
        <v>2.1456064277817986E-4</v>
      </c>
      <c r="F1658">
        <f>E1658* VLOOKUP(A1658,Check!A$2:F$11,4,FALSE)</f>
        <v>486914.65069718438</v>
      </c>
    </row>
    <row r="1659" spans="1:6" x14ac:dyDescent="0.2">
      <c r="A1659">
        <v>2023</v>
      </c>
      <c r="B1659" s="1" t="s">
        <v>74</v>
      </c>
      <c r="C1659" s="7">
        <v>9654</v>
      </c>
      <c r="D1659" s="6">
        <v>3.9589999999999997E-6</v>
      </c>
      <c r="E1659" s="17">
        <v>5.6935445572704116E-5</v>
      </c>
      <c r="F1659">
        <f>E1659* VLOOKUP(A1659,Check!A$2:F$11,4,FALSE)</f>
        <v>129206.83977434975</v>
      </c>
    </row>
    <row r="1660" spans="1:6" x14ac:dyDescent="0.2">
      <c r="A1660">
        <v>2023</v>
      </c>
      <c r="B1660" s="1" t="s">
        <v>75</v>
      </c>
      <c r="C1660" s="7">
        <v>98146</v>
      </c>
      <c r="D1660" s="6">
        <v>4.0241999999999999E-5</v>
      </c>
      <c r="E1660" s="17">
        <v>5.7882600385111024E-4</v>
      </c>
      <c r="F1660">
        <f>E1660* VLOOKUP(A1660,Check!A$2:F$11,4,FALSE)</f>
        <v>1313562.7197527792</v>
      </c>
    </row>
    <row r="1661" spans="1:6" x14ac:dyDescent="0.2">
      <c r="A1661">
        <v>2023</v>
      </c>
      <c r="B1661" s="1" t="s">
        <v>76</v>
      </c>
      <c r="C1661" s="7">
        <v>144776</v>
      </c>
      <c r="D1661" s="6">
        <v>5.9361000000000003E-5</v>
      </c>
      <c r="E1661" s="17">
        <v>8.5383116513712564E-4</v>
      </c>
      <c r="F1661">
        <f>E1661* VLOOKUP(A1661,Check!A$2:F$11,4,FALSE)</f>
        <v>1937647.5487022228</v>
      </c>
    </row>
    <row r="1662" spans="1:6" x14ac:dyDescent="0.2">
      <c r="A1662">
        <v>2023</v>
      </c>
      <c r="B1662" s="1" t="s">
        <v>77</v>
      </c>
      <c r="C1662" s="7" t="s">
        <v>6</v>
      </c>
      <c r="D1662" s="6">
        <v>0</v>
      </c>
      <c r="F1662">
        <f>E1662* VLOOKUP(A1662,Check!A$2:F$11,4,FALSE)</f>
        <v>0</v>
      </c>
    </row>
    <row r="1663" spans="1:6" x14ac:dyDescent="0.2">
      <c r="A1663">
        <v>2023</v>
      </c>
      <c r="B1663" s="1" t="s">
        <v>78</v>
      </c>
      <c r="C1663" s="7">
        <v>5764435</v>
      </c>
      <c r="D1663" s="6">
        <v>2.3635219999999998E-3</v>
      </c>
      <c r="E1663" s="17">
        <v>3.3996340915671289E-2</v>
      </c>
      <c r="F1663">
        <f>E1663* VLOOKUP(A1663,Check!A$2:F$11,4,FALSE)</f>
        <v>77149826.956148088</v>
      </c>
    </row>
    <row r="1664" spans="1:6" x14ac:dyDescent="0.2">
      <c r="A1664">
        <v>2023</v>
      </c>
      <c r="B1664" s="1" t="s">
        <v>79</v>
      </c>
      <c r="C1664" s="7">
        <v>213657</v>
      </c>
      <c r="D1664" s="6">
        <v>8.7602999999999995E-5</v>
      </c>
      <c r="E1664" s="17">
        <v>1.2600638589939138E-3</v>
      </c>
      <c r="F1664">
        <f>E1664* VLOOKUP(A1664,Check!A$2:F$11,4,FALSE)</f>
        <v>2859534.4692011853</v>
      </c>
    </row>
    <row r="1665" spans="1:6" x14ac:dyDescent="0.2">
      <c r="A1665">
        <v>2023</v>
      </c>
      <c r="B1665" s="1" t="s">
        <v>80</v>
      </c>
      <c r="C1665" s="7">
        <v>145539</v>
      </c>
      <c r="D1665" s="6">
        <v>5.9673999999999998E-5</v>
      </c>
      <c r="E1665" s="17">
        <v>8.583310351362942E-4</v>
      </c>
      <c r="F1665">
        <f>E1665* VLOOKUP(A1665,Check!A$2:F$11,4,FALSE)</f>
        <v>1947859.3592209537</v>
      </c>
    </row>
    <row r="1666" spans="1:6" x14ac:dyDescent="0.2">
      <c r="A1666">
        <v>2023</v>
      </c>
      <c r="B1666" s="1" t="s">
        <v>81</v>
      </c>
      <c r="C1666" s="7">
        <v>215687</v>
      </c>
      <c r="D1666" s="6">
        <v>8.8436000000000005E-5</v>
      </c>
      <c r="E1666" s="17">
        <v>1.2720359901843622E-3</v>
      </c>
      <c r="F1666">
        <f>E1666* VLOOKUP(A1666,Check!A$2:F$11,4,FALSE)</f>
        <v>2886703.5063611115</v>
      </c>
    </row>
    <row r="1667" spans="1:6" x14ac:dyDescent="0.2">
      <c r="A1667">
        <v>2023</v>
      </c>
      <c r="B1667" s="1" t="s">
        <v>82</v>
      </c>
      <c r="C1667" s="7">
        <v>4462</v>
      </c>
      <c r="D1667" s="6">
        <v>1.8300000000000001E-6</v>
      </c>
      <c r="E1667" s="17">
        <v>2.6315098212699998E-5</v>
      </c>
      <c r="F1667">
        <f>E1667* VLOOKUP(A1667,Check!A$2:F$11,4,FALSE)</f>
        <v>59718.346703247211</v>
      </c>
    </row>
    <row r="1668" spans="1:6" x14ac:dyDescent="0.2">
      <c r="A1668">
        <v>2023</v>
      </c>
      <c r="B1668" s="1" t="s">
        <v>83</v>
      </c>
      <c r="C1668" s="7">
        <v>575415</v>
      </c>
      <c r="D1668" s="6">
        <v>2.3593E-4</v>
      </c>
      <c r="E1668" s="17">
        <v>3.3935684083506879E-3</v>
      </c>
      <c r="F1668">
        <f>E1668* VLOOKUP(A1668,Check!A$2:F$11,4,FALSE)</f>
        <v>7701217.4962458527</v>
      </c>
    </row>
    <row r="1669" spans="1:6" x14ac:dyDescent="0.2">
      <c r="A1669">
        <v>2023</v>
      </c>
      <c r="B1669" s="1" t="s">
        <v>84</v>
      </c>
      <c r="C1669" s="7">
        <v>28242</v>
      </c>
      <c r="D1669" s="6">
        <v>1.1579999999999999E-5</v>
      </c>
      <c r="E1669" s="17">
        <v>1.6656006358652472E-4</v>
      </c>
      <c r="F1669">
        <f>E1669* VLOOKUP(A1669,Check!A$2:F$11,4,FALSE)</f>
        <v>377984.21057667135</v>
      </c>
    </row>
    <row r="1670" spans="1:6" x14ac:dyDescent="0.2">
      <c r="A1670">
        <v>2023</v>
      </c>
      <c r="B1670" s="1" t="s">
        <v>85</v>
      </c>
      <c r="C1670" s="7">
        <v>417383</v>
      </c>
      <c r="D1670" s="6">
        <v>1.7113499999999999E-4</v>
      </c>
      <c r="E1670" s="17">
        <v>2.4615586367797765E-3</v>
      </c>
      <c r="F1670">
        <f>E1670* VLOOKUP(A1670,Check!A$2:F$11,4,FALSE)</f>
        <v>5586154.7965130946</v>
      </c>
    </row>
    <row r="1671" spans="1:6" x14ac:dyDescent="0.2">
      <c r="A1671">
        <v>2023</v>
      </c>
      <c r="B1671" s="1" t="s">
        <v>86</v>
      </c>
      <c r="C1671" s="7">
        <v>22252</v>
      </c>
      <c r="D1671" s="6">
        <v>9.1239999999999994E-6</v>
      </c>
      <c r="E1671" s="17">
        <v>1.312334301723443E-4</v>
      </c>
      <c r="F1671">
        <f>E1671* VLOOKUP(A1671,Check!A$2:F$11,4,FALSE)</f>
        <v>297815.47531166667</v>
      </c>
    </row>
    <row r="1672" spans="1:6" x14ac:dyDescent="0.2">
      <c r="A1672">
        <v>2023</v>
      </c>
      <c r="B1672" s="1" t="s">
        <v>87</v>
      </c>
      <c r="C1672" s="7" t="s">
        <v>6</v>
      </c>
      <c r="D1672" s="6">
        <v>0</v>
      </c>
      <c r="F1672">
        <f>E1672* VLOOKUP(A1672,Check!A$2:F$11,4,FALSE)</f>
        <v>0</v>
      </c>
    </row>
    <row r="1673" spans="1:6" x14ac:dyDescent="0.2">
      <c r="A1673">
        <v>2023</v>
      </c>
      <c r="B1673" s="1" t="s">
        <v>88</v>
      </c>
      <c r="C1673" s="7">
        <v>903305</v>
      </c>
      <c r="D1673" s="6">
        <v>3.7037099999999998E-4</v>
      </c>
      <c r="E1673" s="17">
        <v>5.3273329876788369E-3</v>
      </c>
      <c r="F1673">
        <f>E1673* VLOOKUP(A1673,Check!A$2:F$11,4,FALSE)</f>
        <v>12089619.266870623</v>
      </c>
    </row>
    <row r="1674" spans="1:6" x14ac:dyDescent="0.2">
      <c r="A1674">
        <v>2023</v>
      </c>
      <c r="B1674" s="1" t="s">
        <v>89</v>
      </c>
      <c r="C1674" s="7">
        <v>1288299</v>
      </c>
      <c r="D1674" s="6">
        <v>5.2822600000000002E-4</v>
      </c>
      <c r="E1674" s="17">
        <v>7.5978742071544586E-3</v>
      </c>
      <c r="F1674">
        <f>E1674* VLOOKUP(A1674,Check!A$2:F$11,4,FALSE)</f>
        <v>17242287.39118034</v>
      </c>
    </row>
    <row r="1675" spans="1:6" x14ac:dyDescent="0.2">
      <c r="A1675">
        <v>2023</v>
      </c>
      <c r="B1675" s="1" t="s">
        <v>90</v>
      </c>
      <c r="C1675" s="7">
        <v>66291</v>
      </c>
      <c r="D1675" s="6">
        <v>2.7180999999999999E-5</v>
      </c>
      <c r="E1675" s="17">
        <v>3.9095790578621593E-4</v>
      </c>
      <c r="F1675">
        <f>E1675* VLOOKUP(A1675,Check!A$2:F$11,4,FALSE)</f>
        <v>887222.97653629782</v>
      </c>
    </row>
    <row r="1676" spans="1:6" x14ac:dyDescent="0.2">
      <c r="A1676">
        <v>2023</v>
      </c>
      <c r="B1676" s="1" t="s">
        <v>91</v>
      </c>
      <c r="C1676" s="7">
        <v>242131</v>
      </c>
      <c r="D1676" s="6">
        <v>9.9277999999999994E-5</v>
      </c>
      <c r="E1676" s="17">
        <v>1.4279921661450611E-3</v>
      </c>
      <c r="F1676">
        <f>E1676* VLOOKUP(A1676,Check!A$2:F$11,4,FALSE)</f>
        <v>3240623.7125961338</v>
      </c>
    </row>
    <row r="1677" spans="1:6" x14ac:dyDescent="0.2">
      <c r="A1677">
        <v>2023</v>
      </c>
      <c r="B1677" s="1" t="s">
        <v>92</v>
      </c>
      <c r="C1677" s="7">
        <v>2256948</v>
      </c>
      <c r="D1677" s="6">
        <v>9.2538899999999999E-4</v>
      </c>
      <c r="E1677" s="17">
        <v>1.331058007193116E-2</v>
      </c>
      <c r="F1677">
        <f>E1677* VLOOKUP(A1677,Check!A$2:F$11,4,FALSE)</f>
        <v>30206455.211833347</v>
      </c>
    </row>
    <row r="1678" spans="1:6" x14ac:dyDescent="0.2">
      <c r="A1678">
        <v>2023</v>
      </c>
      <c r="B1678" s="1" t="s">
        <v>93</v>
      </c>
      <c r="C1678" s="7">
        <v>170884</v>
      </c>
      <c r="D1678" s="6">
        <v>7.0066000000000003E-5</v>
      </c>
      <c r="E1678" s="17">
        <v>1.0078057469697504E-3</v>
      </c>
      <c r="F1678">
        <f>E1678* VLOOKUP(A1678,Check!A$2:F$11,4,FALSE)</f>
        <v>2287070.8108556019</v>
      </c>
    </row>
    <row r="1679" spans="1:6" x14ac:dyDescent="0.2">
      <c r="A1679">
        <v>2023</v>
      </c>
      <c r="B1679" s="1" t="s">
        <v>94</v>
      </c>
      <c r="C1679" s="7">
        <v>3476891</v>
      </c>
      <c r="D1679" s="6">
        <v>1.425588E-3</v>
      </c>
      <c r="E1679" s="17">
        <v>2.0505317826053946E-2</v>
      </c>
      <c r="F1679">
        <f>E1679* VLOOKUP(A1679,Check!A$2:F$11,4,FALSE)</f>
        <v>46533882.15764229</v>
      </c>
    </row>
    <row r="1680" spans="1:6" x14ac:dyDescent="0.2">
      <c r="A1680">
        <v>2023</v>
      </c>
      <c r="B1680" s="1" t="s">
        <v>95</v>
      </c>
      <c r="C1680" s="7">
        <v>152972</v>
      </c>
      <c r="D1680" s="6">
        <v>6.2720999999999998E-5</v>
      </c>
      <c r="E1680" s="17">
        <v>9.0216790761836485E-4</v>
      </c>
      <c r="F1680">
        <f>E1680* VLOOKUP(A1680,Check!A$2:F$11,4,FALSE)</f>
        <v>2047340.8632651574</v>
      </c>
    </row>
    <row r="1681" spans="1:6" x14ac:dyDescent="0.2">
      <c r="A1681">
        <v>2023</v>
      </c>
      <c r="B1681" s="1" t="s">
        <v>96</v>
      </c>
      <c r="C1681" s="7">
        <v>8564361</v>
      </c>
      <c r="D1681" s="6">
        <v>3.5115419999999999E-3</v>
      </c>
      <c r="E1681" s="17">
        <v>5.0509188893773545E-2</v>
      </c>
      <c r="F1681">
        <f>E1681* VLOOKUP(A1681,Check!A$2:F$11,4,FALSE)</f>
        <v>114623370.57144083</v>
      </c>
    </row>
    <row r="1682" spans="1:6" x14ac:dyDescent="0.2">
      <c r="A1682">
        <v>2023</v>
      </c>
      <c r="B1682" s="1" t="s">
        <v>97</v>
      </c>
      <c r="C1682" s="7">
        <v>9864223</v>
      </c>
      <c r="D1682" s="6">
        <v>4.044509E-3</v>
      </c>
      <c r="E1682" s="17">
        <v>5.8175257067900984E-2</v>
      </c>
      <c r="F1682">
        <f>E1682* VLOOKUP(A1682,Check!A$2:F$11,4,FALSE)</f>
        <v>132020414.40433556</v>
      </c>
    </row>
    <row r="1683" spans="1:6" x14ac:dyDescent="0.2">
      <c r="A1683">
        <v>2023</v>
      </c>
      <c r="B1683" s="1" t="s">
        <v>98</v>
      </c>
      <c r="C1683" s="7">
        <v>238908</v>
      </c>
      <c r="D1683" s="6">
        <v>9.7956999999999997E-5</v>
      </c>
      <c r="E1683" s="17">
        <v>1.408984196279635E-3</v>
      </c>
      <c r="F1683">
        <f>E1683* VLOOKUP(A1683,Check!A$2:F$11,4,FALSE)</f>
        <v>3197487.8471939457</v>
      </c>
    </row>
    <row r="1684" spans="1:6" x14ac:dyDescent="0.2">
      <c r="A1684">
        <v>2023</v>
      </c>
      <c r="B1684" s="1" t="s">
        <v>99</v>
      </c>
      <c r="C1684" s="7">
        <v>21529</v>
      </c>
      <c r="D1684" s="6">
        <v>8.8270000000000004E-6</v>
      </c>
      <c r="E1684" s="17">
        <v>1.2696946423604175E-4</v>
      </c>
      <c r="F1684">
        <f>E1684* VLOOKUP(A1684,Check!A$2:F$11,4,FALSE)</f>
        <v>288139.01527884568</v>
      </c>
    </row>
    <row r="1685" spans="1:6" x14ac:dyDescent="0.2">
      <c r="A1685">
        <v>2023</v>
      </c>
      <c r="B1685" s="1" t="s">
        <v>100</v>
      </c>
      <c r="C1685" s="7">
        <v>343529</v>
      </c>
      <c r="D1685" s="6">
        <v>1.40853E-4</v>
      </c>
      <c r="E1685" s="17">
        <v>2.0259971703071753E-3</v>
      </c>
      <c r="F1685">
        <f>E1685* VLOOKUP(A1685,Check!A$2:F$11,4,FALSE)</f>
        <v>4597710.4268533858</v>
      </c>
    </row>
    <row r="1686" spans="1:6" x14ac:dyDescent="0.2">
      <c r="A1686">
        <v>2023</v>
      </c>
      <c r="B1686" s="1" t="s">
        <v>101</v>
      </c>
      <c r="C1686" s="7">
        <v>686458</v>
      </c>
      <c r="D1686" s="6">
        <v>2.8145999999999998E-4</v>
      </c>
      <c r="E1686" s="17">
        <v>4.0484557796713616E-3</v>
      </c>
      <c r="F1686">
        <f>E1686* VLOOKUP(A1686,Check!A$2:F$11,4,FALSE)</f>
        <v>9187390.5964181256</v>
      </c>
    </row>
    <row r="1687" spans="1:6" x14ac:dyDescent="0.2">
      <c r="A1687">
        <v>2023</v>
      </c>
      <c r="B1687" s="1" t="s">
        <v>102</v>
      </c>
      <c r="C1687" s="7">
        <v>64487</v>
      </c>
      <c r="D1687" s="6">
        <v>2.6441E-5</v>
      </c>
      <c r="E1687" s="17">
        <v>3.8031863255096027E-4</v>
      </c>
      <c r="F1687">
        <f>E1687* VLOOKUP(A1687,Check!A$2:F$11,4,FALSE)</f>
        <v>863078.66962176224</v>
      </c>
    </row>
    <row r="1688" spans="1:6" x14ac:dyDescent="0.2">
      <c r="A1688">
        <v>2023</v>
      </c>
      <c r="B1688" s="1" t="s">
        <v>103</v>
      </c>
      <c r="C1688" s="7">
        <v>6612638</v>
      </c>
      <c r="D1688" s="6">
        <v>2.7113010000000002E-3</v>
      </c>
      <c r="E1688" s="17">
        <v>3.8998704261549097E-2</v>
      </c>
      <c r="F1688">
        <f>E1688* VLOOKUP(A1688,Check!A$2:F$11,4,FALSE)</f>
        <v>88501974.161153555</v>
      </c>
    </row>
    <row r="1689" spans="1:6" x14ac:dyDescent="0.2">
      <c r="A1689">
        <v>2023</v>
      </c>
      <c r="B1689" s="1" t="s">
        <v>104</v>
      </c>
      <c r="C1689" s="7">
        <v>75079</v>
      </c>
      <c r="D1689" s="6">
        <v>3.0784000000000002E-5</v>
      </c>
      <c r="E1689" s="17">
        <v>4.4278602839787159E-4</v>
      </c>
      <c r="F1689">
        <f>E1689* VLOOKUP(A1689,Check!A$2:F$11,4,FALSE)</f>
        <v>1004839.4782906986</v>
      </c>
    </row>
    <row r="1690" spans="1:6" x14ac:dyDescent="0.2">
      <c r="A1690">
        <v>2023</v>
      </c>
      <c r="B1690" s="1" t="s">
        <v>105</v>
      </c>
      <c r="C1690" s="7">
        <v>105536</v>
      </c>
      <c r="D1690" s="6">
        <v>4.3271E-5</v>
      </c>
      <c r="E1690" s="17">
        <v>6.2240927946559995E-4</v>
      </c>
      <c r="F1690">
        <f>E1690* VLOOKUP(A1690,Check!A$2:F$11,4,FALSE)</f>
        <v>1412468.7220246296</v>
      </c>
    </row>
    <row r="1691" spans="1:6" x14ac:dyDescent="0.2">
      <c r="A1691">
        <v>2023</v>
      </c>
      <c r="B1691" s="1" t="s">
        <v>106</v>
      </c>
      <c r="C1691" s="7">
        <v>667803</v>
      </c>
      <c r="D1691" s="6">
        <v>2.73811E-4</v>
      </c>
      <c r="E1691" s="17">
        <v>3.9384360223522399E-3</v>
      </c>
      <c r="F1691">
        <f>E1691* VLOOKUP(A1691,Check!A$2:F$11,4,FALSE)</f>
        <v>8937716.5135519039</v>
      </c>
    </row>
    <row r="1692" spans="1:6" x14ac:dyDescent="0.2">
      <c r="A1692">
        <v>2023</v>
      </c>
      <c r="B1692" s="1" t="s">
        <v>107</v>
      </c>
      <c r="C1692" s="7">
        <v>1086797</v>
      </c>
      <c r="D1692" s="6">
        <v>4.4560699999999999E-4</v>
      </c>
      <c r="E1692" s="17">
        <v>6.4094956952639439E-3</v>
      </c>
      <c r="F1692">
        <f>E1692* VLOOKUP(A1692,Check!A$2:F$11,4,FALSE)</f>
        <v>14545432.55088502</v>
      </c>
    </row>
    <row r="1693" spans="1:6" x14ac:dyDescent="0.2">
      <c r="A1693">
        <v>2023</v>
      </c>
      <c r="B1693" s="1" t="s">
        <v>108</v>
      </c>
      <c r="C1693" s="7">
        <v>1140798</v>
      </c>
      <c r="D1693" s="6">
        <v>4.6774799999999998E-4</v>
      </c>
      <c r="E1693" s="17">
        <v>6.7279720777345875E-3</v>
      </c>
      <c r="F1693">
        <f>E1693* VLOOKUP(A1693,Check!A$2:F$11,4,FALSE)</f>
        <v>15268169.090625506</v>
      </c>
    </row>
    <row r="1694" spans="1:6" x14ac:dyDescent="0.2">
      <c r="A1694">
        <v>2023</v>
      </c>
      <c r="B1694" s="1" t="s">
        <v>109</v>
      </c>
      <c r="C1694" s="7">
        <v>590982</v>
      </c>
      <c r="D1694" s="6">
        <v>2.42313E-4</v>
      </c>
      <c r="E1694" s="17">
        <v>3.4853763720165552E-3</v>
      </c>
      <c r="F1694">
        <f>E1694* VLOOKUP(A1694,Check!A$2:F$11,4,FALSE)</f>
        <v>7909562.5215998301</v>
      </c>
    </row>
    <row r="1695" spans="1:6" x14ac:dyDescent="0.2">
      <c r="A1695">
        <v>2023</v>
      </c>
      <c r="B1695" s="1" t="s">
        <v>110</v>
      </c>
      <c r="C1695" s="7">
        <v>192595</v>
      </c>
      <c r="D1695" s="6">
        <v>7.8967000000000005E-5</v>
      </c>
      <c r="E1695" s="17">
        <v>1.1358485746918324E-3</v>
      </c>
      <c r="F1695">
        <f>E1695* VLOOKUP(A1695,Check!A$2:F$11,4,FALSE)</f>
        <v>2577645.6708453377</v>
      </c>
    </row>
    <row r="1696" spans="1:6" x14ac:dyDescent="0.2">
      <c r="A1696">
        <v>2023</v>
      </c>
      <c r="B1696" s="1" t="s">
        <v>111</v>
      </c>
      <c r="C1696" s="7">
        <v>14695</v>
      </c>
      <c r="D1696" s="6">
        <v>6.0249999999999999E-6</v>
      </c>
      <c r="E1696" s="17">
        <v>8.666525509538916E-5</v>
      </c>
      <c r="F1696">
        <f>E1696* VLOOKUP(A1696,Check!A$2:F$11,4,FALSE)</f>
        <v>196674.38476114246</v>
      </c>
    </row>
    <row r="1697" spans="1:6" x14ac:dyDescent="0.2">
      <c r="A1697">
        <v>2023</v>
      </c>
      <c r="B1697" s="1" t="s">
        <v>112</v>
      </c>
      <c r="C1697" s="7">
        <v>70046</v>
      </c>
      <c r="D1697" s="6">
        <v>2.8719999999999999E-5</v>
      </c>
      <c r="E1697" s="17">
        <v>4.1310339968775973E-4</v>
      </c>
      <c r="F1697">
        <f>E1697* VLOOKUP(A1697,Check!A$2:F$11,4,FALSE)</f>
        <v>937479.00340108783</v>
      </c>
    </row>
    <row r="1698" spans="1:6" x14ac:dyDescent="0.2">
      <c r="A1698">
        <v>2023</v>
      </c>
      <c r="B1698" s="1" t="s">
        <v>113</v>
      </c>
      <c r="C1698" s="7">
        <v>443023</v>
      </c>
      <c r="D1698" s="6">
        <v>1.8164799999999999E-4</v>
      </c>
      <c r="E1698" s="17">
        <v>2.6127731410768695E-3</v>
      </c>
      <c r="F1698">
        <f>E1698* VLOOKUP(A1698,Check!A$2:F$11,4,FALSE)</f>
        <v>5929314.4579813294</v>
      </c>
    </row>
    <row r="1699" spans="1:6" x14ac:dyDescent="0.2">
      <c r="A1699">
        <v>2023</v>
      </c>
      <c r="B1699" s="1" t="s">
        <v>114</v>
      </c>
      <c r="C1699" s="7" t="s">
        <v>6</v>
      </c>
      <c r="D1699" s="6">
        <v>0</v>
      </c>
      <c r="F1699">
        <f>E1699* VLOOKUP(A1699,Check!A$2:F$11,4,FALSE)</f>
        <v>0</v>
      </c>
    </row>
    <row r="1700" spans="1:6" x14ac:dyDescent="0.2">
      <c r="A1700">
        <v>2023</v>
      </c>
      <c r="B1700" s="1" t="s">
        <v>115</v>
      </c>
      <c r="C1700" s="7">
        <v>103732</v>
      </c>
      <c r="D1700" s="6">
        <v>4.2531999999999999E-5</v>
      </c>
      <c r="E1700" s="17">
        <v>6.1177000623034424E-4</v>
      </c>
      <c r="F1700">
        <f>E1700* VLOOKUP(A1700,Check!A$2:F$11,4,FALSE)</f>
        <v>1388324.415110094</v>
      </c>
    </row>
    <row r="1701" spans="1:6" x14ac:dyDescent="0.2">
      <c r="A1701">
        <v>2023</v>
      </c>
      <c r="B1701" s="1" t="s">
        <v>233</v>
      </c>
      <c r="C1701" s="7">
        <v>78542</v>
      </c>
      <c r="D1701" s="6">
        <v>3.2203999999999999E-5</v>
      </c>
      <c r="E1701" s="17">
        <v>4.6320942264049375E-4</v>
      </c>
      <c r="F1701">
        <f>E1701* VLOOKUP(A1701,Check!A$2:F$11,4,FALSE)</f>
        <v>1051187.4466083464</v>
      </c>
    </row>
    <row r="1702" spans="1:6" x14ac:dyDescent="0.2">
      <c r="A1702">
        <v>2023</v>
      </c>
      <c r="B1702" s="1" t="s">
        <v>116</v>
      </c>
      <c r="C1702" s="7">
        <v>219609</v>
      </c>
      <c r="D1702" s="6">
        <v>9.0043000000000005E-5</v>
      </c>
      <c r="E1702" s="17">
        <v>1.2951663835483714E-3</v>
      </c>
      <c r="F1702">
        <f>E1702* VLOOKUP(A1702,Check!A$2:F$11,4,FALSE)</f>
        <v>2939194.6215045755</v>
      </c>
    </row>
    <row r="1703" spans="1:6" x14ac:dyDescent="0.2">
      <c r="A1703">
        <v>2023</v>
      </c>
      <c r="B1703" s="1" t="s">
        <v>117</v>
      </c>
      <c r="C1703" s="7" t="s">
        <v>6</v>
      </c>
      <c r="D1703" s="6">
        <v>0</v>
      </c>
      <c r="F1703">
        <f>E1703* VLOOKUP(A1703,Check!A$2:F$11,4,FALSE)</f>
        <v>0</v>
      </c>
    </row>
    <row r="1704" spans="1:6" x14ac:dyDescent="0.2">
      <c r="A1704">
        <v>2023</v>
      </c>
      <c r="B1704" s="1" t="s">
        <v>118</v>
      </c>
      <c r="C1704" s="8">
        <v>85249</v>
      </c>
      <c r="D1704" s="6">
        <v>3.4953000000000002E-5</v>
      </c>
      <c r="E1704" s="17">
        <v>5.027646363815468E-4</v>
      </c>
      <c r="F1704">
        <f>E1704* VLOOKUP(A1704,Check!A$2:F$11,4,FALSE)</f>
        <v>1140952.3393332858</v>
      </c>
    </row>
    <row r="1705" spans="1:6" x14ac:dyDescent="0.2">
      <c r="A1705">
        <v>2023</v>
      </c>
      <c r="B1705" s="1" t="s">
        <v>119</v>
      </c>
      <c r="C1705" s="7">
        <v>102386</v>
      </c>
      <c r="D1705" s="6">
        <v>4.1980000000000001E-5</v>
      </c>
      <c r="E1705" s="17">
        <v>6.03831834514904E-4</v>
      </c>
      <c r="F1705">
        <f>E1705* VLOOKUP(A1705,Check!A$2:F$11,4,FALSE)</f>
        <v>1370309.8712592265</v>
      </c>
    </row>
    <row r="1706" spans="1:6" x14ac:dyDescent="0.2">
      <c r="A1706">
        <v>2023</v>
      </c>
      <c r="B1706" s="1" t="s">
        <v>120</v>
      </c>
      <c r="C1706" s="7">
        <v>629118</v>
      </c>
      <c r="D1706" s="6">
        <v>2.5795000000000001E-4</v>
      </c>
      <c r="E1706" s="17">
        <v>3.7102873055529801E-3</v>
      </c>
      <c r="F1706">
        <f>E1706* VLOOKUP(A1706,Check!A$2:F$11,4,FALSE)</f>
        <v>8419965.6748663113</v>
      </c>
    </row>
    <row r="1707" spans="1:6" x14ac:dyDescent="0.2">
      <c r="A1707">
        <v>2023</v>
      </c>
      <c r="B1707" s="1" t="s">
        <v>121</v>
      </c>
      <c r="C1707" s="7">
        <v>1814102</v>
      </c>
      <c r="D1707" s="6">
        <v>7.4381499999999999E-4</v>
      </c>
      <c r="E1707" s="17">
        <v>1.0698850806332472E-2</v>
      </c>
      <c r="F1707">
        <f>E1707* VLOOKUP(A1707,Check!A$2:F$11,4,FALSE)</f>
        <v>24279509.679752167</v>
      </c>
    </row>
    <row r="1708" spans="1:6" x14ac:dyDescent="0.2">
      <c r="A1708">
        <v>2023</v>
      </c>
      <c r="B1708" s="1" t="s">
        <v>122</v>
      </c>
      <c r="C1708" s="7" t="s">
        <v>6</v>
      </c>
      <c r="D1708" s="6">
        <v>0</v>
      </c>
      <c r="F1708">
        <f>E1708* VLOOKUP(A1708,Check!A$2:F$11,4,FALSE)</f>
        <v>0</v>
      </c>
    </row>
    <row r="1709" spans="1:6" x14ac:dyDescent="0.2">
      <c r="A1709">
        <v>2023</v>
      </c>
      <c r="B1709" s="1" t="s">
        <v>123</v>
      </c>
      <c r="C1709" s="7" t="s">
        <v>6</v>
      </c>
      <c r="D1709" s="6">
        <v>0</v>
      </c>
      <c r="F1709">
        <f>E1709* VLOOKUP(A1709,Check!A$2:F$11,4,FALSE)</f>
        <v>0</v>
      </c>
    </row>
    <row r="1710" spans="1:6" x14ac:dyDescent="0.2">
      <c r="A1710">
        <v>2023</v>
      </c>
      <c r="B1710" s="1" t="s">
        <v>124</v>
      </c>
      <c r="C1710" s="7" t="s">
        <v>6</v>
      </c>
      <c r="D1710" s="6">
        <v>0</v>
      </c>
      <c r="F1710">
        <f>E1710* VLOOKUP(A1710,Check!A$2:F$11,4,FALSE)</f>
        <v>0</v>
      </c>
    </row>
    <row r="1711" spans="1:6" x14ac:dyDescent="0.2">
      <c r="A1711">
        <v>2023</v>
      </c>
      <c r="B1711" s="1" t="s">
        <v>125</v>
      </c>
      <c r="C1711" s="7">
        <v>37511</v>
      </c>
      <c r="D1711" s="6">
        <v>1.5379999999999998E-5</v>
      </c>
      <c r="E1711" s="17">
        <v>2.2122493255414378E-4</v>
      </c>
      <c r="F1711">
        <f>E1711* VLOOKUP(A1711,Check!A$2:F$11,4,FALSE)</f>
        <v>502038.3019241385</v>
      </c>
    </row>
    <row r="1712" spans="1:6" x14ac:dyDescent="0.2">
      <c r="A1712">
        <v>2023</v>
      </c>
      <c r="B1712" s="1" t="s">
        <v>126</v>
      </c>
      <c r="C1712" s="7">
        <v>175515</v>
      </c>
      <c r="D1712" s="6">
        <v>7.1964000000000004E-5</v>
      </c>
      <c r="E1712" s="17">
        <v>1.0351175398480592E-3</v>
      </c>
      <c r="F1712">
        <f>E1712* VLOOKUP(A1712,Check!A$2:F$11,4,FALSE)</f>
        <v>2349051.0133618186</v>
      </c>
    </row>
    <row r="1713" spans="1:6" x14ac:dyDescent="0.2">
      <c r="A1713">
        <v>2023</v>
      </c>
      <c r="B1713" s="1" t="s">
        <v>234</v>
      </c>
      <c r="C1713" s="7">
        <v>84370</v>
      </c>
      <c r="D1713" s="6">
        <v>3.4592999999999999E-5</v>
      </c>
      <c r="E1713" s="17">
        <v>4.9758064460006697E-4</v>
      </c>
      <c r="F1713">
        <f>E1713* VLOOKUP(A1713,Check!A$2:F$11,4,FALSE)</f>
        <v>1129188.0124054162</v>
      </c>
    </row>
    <row r="1714" spans="1:6" x14ac:dyDescent="0.2">
      <c r="A1714">
        <v>2023</v>
      </c>
      <c r="B1714" s="1" t="s">
        <v>127</v>
      </c>
      <c r="C1714" s="7">
        <v>262916</v>
      </c>
      <c r="D1714" s="6">
        <v>1.078E-4</v>
      </c>
      <c r="E1714" s="17">
        <v>1.5505738148117957E-3</v>
      </c>
      <c r="F1714">
        <f>E1714* VLOOKUP(A1714,Check!A$2:F$11,4,FALSE)</f>
        <v>3518805.2088370561</v>
      </c>
    </row>
    <row r="1715" spans="1:6" x14ac:dyDescent="0.2">
      <c r="A1715">
        <v>2023</v>
      </c>
      <c r="B1715" s="1" t="s">
        <v>128</v>
      </c>
      <c r="C1715" s="7">
        <v>465616</v>
      </c>
      <c r="D1715" s="6">
        <v>1.9091099999999999E-4</v>
      </c>
      <c r="E1715" s="17">
        <v>2.7460176533851462E-3</v>
      </c>
      <c r="F1715">
        <f>E1715* VLOOKUP(A1715,Check!A$2:F$11,4,FALSE)</f>
        <v>6231693.7961853771</v>
      </c>
    </row>
    <row r="1716" spans="1:6" x14ac:dyDescent="0.2">
      <c r="A1716">
        <v>2023</v>
      </c>
      <c r="B1716" s="1" t="s">
        <v>129</v>
      </c>
      <c r="C1716" s="7">
        <v>57433</v>
      </c>
      <c r="D1716" s="6">
        <v>2.3547999999999999E-5</v>
      </c>
      <c r="E1716" s="17">
        <v>3.387169510645448E-4</v>
      </c>
      <c r="F1716">
        <f>E1716* VLOOKUP(A1716,Check!A$2:F$11,4,FALSE)</f>
        <v>768669.61143155466</v>
      </c>
    </row>
    <row r="1717" spans="1:6" x14ac:dyDescent="0.2">
      <c r="A1717">
        <v>2023</v>
      </c>
      <c r="B1717" s="1" t="s">
        <v>130</v>
      </c>
      <c r="C1717" s="7">
        <v>106152</v>
      </c>
      <c r="D1717" s="6">
        <v>4.3523999999999999E-5</v>
      </c>
      <c r="E1717" s="17">
        <v>6.2604220203373603E-4</v>
      </c>
      <c r="F1717">
        <f>E1717* VLOOKUP(A1717,Check!A$2:F$11,4,FALSE)</f>
        <v>1420713.1195076418</v>
      </c>
    </row>
    <row r="1718" spans="1:6" x14ac:dyDescent="0.2">
      <c r="A1718">
        <v>2023</v>
      </c>
      <c r="B1718" s="1" t="s">
        <v>131</v>
      </c>
      <c r="C1718" s="7">
        <v>105382</v>
      </c>
      <c r="D1718" s="6">
        <v>4.3207999999999997E-5</v>
      </c>
      <c r="E1718" s="17">
        <v>6.2150104882356585E-4</v>
      </c>
      <c r="F1718">
        <f>E1718* VLOOKUP(A1718,Check!A$2:F$11,4,FALSE)</f>
        <v>1410407.6226538764</v>
      </c>
    </row>
    <row r="1719" spans="1:6" x14ac:dyDescent="0.2">
      <c r="A1719">
        <v>2023</v>
      </c>
      <c r="B1719" s="1" t="s">
        <v>133</v>
      </c>
      <c r="C1719" s="7">
        <v>85200</v>
      </c>
      <c r="D1719" s="6">
        <v>3.4932999999999999E-5</v>
      </c>
      <c r="E1719" s="17">
        <v>5.0247565390453604E-4</v>
      </c>
      <c r="F1719">
        <f>E1719* VLOOKUP(A1719,Check!A$2:F$11,4,FALSE)</f>
        <v>1140296.5349880462</v>
      </c>
    </row>
    <row r="1720" spans="1:6" x14ac:dyDescent="0.2">
      <c r="A1720">
        <v>2023</v>
      </c>
      <c r="B1720" s="1" t="s">
        <v>134</v>
      </c>
      <c r="C1720" s="7">
        <v>231950</v>
      </c>
      <c r="D1720" s="6">
        <v>9.5104000000000003E-5</v>
      </c>
      <c r="E1720" s="17">
        <v>1.3679486845440977E-3</v>
      </c>
      <c r="F1720">
        <f>E1720* VLOOKUP(A1720,Check!A$2:F$11,4,FALSE)</f>
        <v>3104363.6301699216</v>
      </c>
    </row>
    <row r="1721" spans="1:6" x14ac:dyDescent="0.2">
      <c r="A1721">
        <v>2023</v>
      </c>
      <c r="B1721" s="1" t="s">
        <v>216</v>
      </c>
      <c r="C1721" s="7">
        <v>170608</v>
      </c>
      <c r="D1721" s="6">
        <v>6.9952999999999999E-5</v>
      </c>
      <c r="E1721" s="17">
        <v>1.0061780089359752E-3</v>
      </c>
      <c r="F1721">
        <f>E1721* VLOOKUP(A1721,Check!A$2:F$11,4,FALSE)</f>
        <v>2283376.8925028238</v>
      </c>
    </row>
    <row r="1722" spans="1:6" x14ac:dyDescent="0.2">
      <c r="A1722">
        <v>2023</v>
      </c>
      <c r="B1722" s="1" t="s">
        <v>135</v>
      </c>
      <c r="C1722" s="7">
        <v>17776</v>
      </c>
      <c r="D1722" s="6">
        <v>7.2880000000000004E-6</v>
      </c>
      <c r="E1722" s="17">
        <v>1.0483576553764122E-4</v>
      </c>
      <c r="F1722">
        <f>E1722* VLOOKUP(A1722,Check!A$2:F$11,4,FALSE)</f>
        <v>237909.75593835104</v>
      </c>
    </row>
    <row r="1723" spans="1:6" x14ac:dyDescent="0.2">
      <c r="A1723">
        <v>2023</v>
      </c>
      <c r="B1723" s="1" t="s">
        <v>136</v>
      </c>
      <c r="C1723" s="7">
        <v>395802</v>
      </c>
      <c r="D1723" s="6">
        <v>1.6228600000000001E-4</v>
      </c>
      <c r="E1723" s="17">
        <v>2.3342824972620089E-3</v>
      </c>
      <c r="F1723">
        <f>E1723* VLOOKUP(A1723,Check!A$2:F$11,4,FALSE)</f>
        <v>5297319.8256025668</v>
      </c>
    </row>
    <row r="1724" spans="1:6" x14ac:dyDescent="0.2">
      <c r="A1724">
        <v>2023</v>
      </c>
      <c r="B1724" s="1" t="s">
        <v>137</v>
      </c>
      <c r="C1724" s="7">
        <v>17224754</v>
      </c>
      <c r="D1724" s="6">
        <v>7.0624590000000001E-3</v>
      </c>
      <c r="E1724" s="17">
        <v>0.10158473626167573</v>
      </c>
      <c r="F1724">
        <f>E1724* VLOOKUP(A1724,Check!A$2:F$11,4,FALSE)</f>
        <v>230532010.58945408</v>
      </c>
    </row>
    <row r="1725" spans="1:6" x14ac:dyDescent="0.2">
      <c r="A1725">
        <v>2023</v>
      </c>
      <c r="B1725" s="1" t="s">
        <v>138</v>
      </c>
      <c r="C1725" s="7">
        <v>410211</v>
      </c>
      <c r="D1725" s="6">
        <v>1.6819400000000001E-4</v>
      </c>
      <c r="E1725" s="17">
        <v>2.4192610383079066E-3</v>
      </c>
      <c r="F1725">
        <f>E1725* VLOOKUP(A1725,Check!A$2:F$11,4,FALSE)</f>
        <v>5490166.4543894539</v>
      </c>
    </row>
    <row r="1726" spans="1:6" x14ac:dyDescent="0.2">
      <c r="A1726">
        <v>2023</v>
      </c>
      <c r="B1726" s="1" t="s">
        <v>139</v>
      </c>
      <c r="C1726" s="7">
        <v>23297903</v>
      </c>
      <c r="D1726" s="6">
        <v>9.5525599999999999E-3</v>
      </c>
      <c r="E1726" s="17">
        <v>0.13740174934893723</v>
      </c>
      <c r="F1726">
        <f>E1726* VLOOKUP(A1726,Check!A$2:F$11,4,FALSE)</f>
        <v>311813592.29328179</v>
      </c>
    </row>
    <row r="1727" spans="1:6" x14ac:dyDescent="0.2">
      <c r="A1727">
        <v>2023</v>
      </c>
      <c r="B1727" s="1" t="s">
        <v>140</v>
      </c>
      <c r="C1727" s="7">
        <v>32399</v>
      </c>
      <c r="D1727" s="6">
        <v>1.3284E-5</v>
      </c>
      <c r="E1727" s="17">
        <v>1.9107639331987164E-4</v>
      </c>
      <c r="F1727">
        <f>E1727* VLOOKUP(A1727,Check!A$2:F$11,4,FALSE)</f>
        <v>433620.50982485578</v>
      </c>
    </row>
    <row r="1728" spans="1:6" x14ac:dyDescent="0.2">
      <c r="A1728">
        <v>2023</v>
      </c>
      <c r="B1728" s="1" t="s">
        <v>141</v>
      </c>
      <c r="C1728" s="7">
        <v>78248</v>
      </c>
      <c r="D1728" s="6">
        <v>3.2082999999999998E-5</v>
      </c>
      <c r="E1728" s="17">
        <v>4.614755277784288E-4</v>
      </c>
      <c r="F1728">
        <f>E1728* VLOOKUP(A1728,Check!A$2:F$11,4,FALSE)</f>
        <v>1047252.6205369089</v>
      </c>
    </row>
    <row r="1729" spans="1:6" x14ac:dyDescent="0.2">
      <c r="A1729">
        <v>2023</v>
      </c>
      <c r="B1729" s="1" t="s">
        <v>142</v>
      </c>
      <c r="C1729" s="7">
        <v>93465</v>
      </c>
      <c r="D1729" s="6">
        <v>3.8322999999999999E-5</v>
      </c>
      <c r="E1729" s="17">
        <v>5.5121933089421896E-4</v>
      </c>
      <c r="F1729">
        <f>E1729* VLOOKUP(A1729,Check!A$2:F$11,4,FALSE)</f>
        <v>1250913.3291391754</v>
      </c>
    </row>
    <row r="1730" spans="1:6" x14ac:dyDescent="0.2">
      <c r="A1730">
        <v>2023</v>
      </c>
      <c r="B1730" s="1" t="s">
        <v>143</v>
      </c>
      <c r="C1730" s="7">
        <v>63766</v>
      </c>
      <c r="D1730" s="6">
        <v>2.6145000000000001E-5</v>
      </c>
      <c r="E1730" s="17">
        <v>3.76066461817801E-4</v>
      </c>
      <c r="F1730">
        <f>E1730* VLOOKUP(A1730,Check!A$2:F$11,4,FALSE)</f>
        <v>853428.97711323656</v>
      </c>
    </row>
    <row r="1731" spans="1:6" x14ac:dyDescent="0.2">
      <c r="A1731">
        <v>2023</v>
      </c>
      <c r="B1731" s="1" t="s">
        <v>144</v>
      </c>
      <c r="C1731" s="7">
        <v>160663</v>
      </c>
      <c r="D1731" s="6">
        <v>6.5875000000000002E-5</v>
      </c>
      <c r="E1731" s="17">
        <v>9.4752636130592102E-4</v>
      </c>
      <c r="F1731">
        <f>E1731* VLOOKUP(A1731,Check!A$2:F$11,4,FALSE)</f>
        <v>2150275.3779434799</v>
      </c>
    </row>
    <row r="1732" spans="1:6" x14ac:dyDescent="0.2">
      <c r="A1732">
        <v>2023</v>
      </c>
      <c r="B1732" s="1" t="s">
        <v>145</v>
      </c>
      <c r="C1732" s="7">
        <v>2837408</v>
      </c>
      <c r="D1732" s="6">
        <v>1.1633889999999999E-3</v>
      </c>
      <c r="E1732" s="17">
        <v>1.673390188021082E-2</v>
      </c>
      <c r="F1732">
        <f>E1732* VLOOKUP(A1732,Check!A$2:F$11,4,FALSE)</f>
        <v>37975193.788114585</v>
      </c>
    </row>
    <row r="1733" spans="1:6" x14ac:dyDescent="0.2">
      <c r="A1733">
        <v>2023</v>
      </c>
      <c r="B1733" s="1" t="s">
        <v>146</v>
      </c>
      <c r="C1733" s="7">
        <v>730514</v>
      </c>
      <c r="D1733" s="6">
        <v>2.9952400000000001E-4</v>
      </c>
      <c r="E1733" s="17">
        <v>4.3082805145119507E-3</v>
      </c>
      <c r="F1733">
        <f>E1733* VLOOKUP(A1733,Check!A$2:F$11,4,FALSE)</f>
        <v>9777025.6215992663</v>
      </c>
    </row>
    <row r="1734" spans="1:6" x14ac:dyDescent="0.2">
      <c r="A1734">
        <v>2023</v>
      </c>
      <c r="B1734" s="1" t="s">
        <v>147</v>
      </c>
      <c r="C1734" s="7">
        <v>41841</v>
      </c>
      <c r="D1734" s="6">
        <v>1.7156E-5</v>
      </c>
      <c r="E1734" s="17">
        <v>2.4676154735938602E-4</v>
      </c>
      <c r="F1734">
        <f>E1734* VLOOKUP(A1734,Check!A$2:F$11,4,FALSE)</f>
        <v>559989.99202388304</v>
      </c>
    </row>
    <row r="1735" spans="1:6" x14ac:dyDescent="0.2">
      <c r="A1735">
        <v>2023</v>
      </c>
      <c r="B1735" s="1" t="s">
        <v>148</v>
      </c>
      <c r="C1735" s="7">
        <v>1429341</v>
      </c>
      <c r="D1735" s="6">
        <v>5.8605599999999995E-4</v>
      </c>
      <c r="E1735" s="17">
        <v>8.4296837280230449E-3</v>
      </c>
      <c r="F1735">
        <f>E1735* VLOOKUP(A1735,Check!A$2:F$11,4,FALSE)</f>
        <v>19129959.972022876</v>
      </c>
    </row>
    <row r="1736" spans="1:6" x14ac:dyDescent="0.2">
      <c r="A1736">
        <v>2023</v>
      </c>
      <c r="B1736" s="1" t="s">
        <v>236</v>
      </c>
      <c r="C1736" s="7">
        <v>473765</v>
      </c>
      <c r="D1736" s="6">
        <v>1.9425200000000001E-4</v>
      </c>
      <c r="E1736" s="17">
        <v>2.7940772085925177E-3</v>
      </c>
      <c r="F1736">
        <f>E1736* VLOOKUP(A1736,Check!A$2:F$11,4,FALSE)</f>
        <v>6340758.0739273671</v>
      </c>
    </row>
    <row r="1737" spans="1:6" x14ac:dyDescent="0.2">
      <c r="A1737">
        <v>2023</v>
      </c>
      <c r="B1737" s="1" t="s">
        <v>149</v>
      </c>
      <c r="C1737" s="7">
        <v>23802</v>
      </c>
      <c r="D1737" s="6">
        <v>9.7589999999999992E-6</v>
      </c>
      <c r="E1737" s="17">
        <v>1.4037471260840102E-4</v>
      </c>
      <c r="F1737">
        <f>E1737* VLOOKUP(A1737,Check!A$2:F$11,4,FALSE)</f>
        <v>318560.30664067459</v>
      </c>
    </row>
    <row r="1738" spans="1:6" x14ac:dyDescent="0.2">
      <c r="A1738">
        <v>2023</v>
      </c>
      <c r="B1738" s="1" t="s">
        <v>150</v>
      </c>
      <c r="C1738" s="7">
        <v>54155</v>
      </c>
      <c r="D1738" s="6">
        <v>2.2204E-5</v>
      </c>
      <c r="E1738" s="17">
        <v>3.1938461311267779E-4</v>
      </c>
      <c r="F1738">
        <f>E1738* VLOOKUP(A1738,Check!A$2:F$11,4,FALSE)</f>
        <v>724797.63911123993</v>
      </c>
    </row>
    <row r="1739" spans="1:6" x14ac:dyDescent="0.2">
      <c r="A1739">
        <v>2023</v>
      </c>
      <c r="B1739" s="1" t="s">
        <v>151</v>
      </c>
      <c r="C1739" s="7">
        <v>42954</v>
      </c>
      <c r="D1739" s="6">
        <v>1.7612E-5</v>
      </c>
      <c r="E1739" s="17">
        <v>2.5332557790863191E-4</v>
      </c>
      <c r="F1739">
        <f>E1739* VLOOKUP(A1739,Check!A$2:F$11,4,FALSE)</f>
        <v>574886.11929432547</v>
      </c>
    </row>
    <row r="1740" spans="1:6" x14ac:dyDescent="0.2">
      <c r="A1740">
        <v>2023</v>
      </c>
      <c r="B1740" s="1" t="s">
        <v>152</v>
      </c>
      <c r="C1740" s="7">
        <v>1253320</v>
      </c>
      <c r="D1740" s="6">
        <v>5.1388400000000004E-4</v>
      </c>
      <c r="E1740" s="17">
        <v>7.3915820017797307E-3</v>
      </c>
      <c r="F1740">
        <f>E1740* VLOOKUP(A1740,Check!A$2:F$11,4,FALSE)</f>
        <v>16774136.775014296</v>
      </c>
    </row>
    <row r="1741" spans="1:6" x14ac:dyDescent="0.2">
      <c r="A1741">
        <v>2023</v>
      </c>
      <c r="B1741" s="1" t="s">
        <v>230</v>
      </c>
      <c r="C1741" s="7">
        <v>3660065</v>
      </c>
      <c r="D1741" s="6">
        <v>1.500693E-3</v>
      </c>
      <c r="E1741" s="17">
        <v>2.1585605096339267E-2</v>
      </c>
      <c r="F1741">
        <f>E1741* VLOOKUP(A1741,Check!A$2:F$11,4,FALSE)</f>
        <v>48985439.405293703</v>
      </c>
    </row>
    <row r="1742" spans="1:6" x14ac:dyDescent="0.2">
      <c r="A1742">
        <v>2023</v>
      </c>
      <c r="B1742" s="1" t="s">
        <v>154</v>
      </c>
      <c r="C1742" s="7">
        <v>824664</v>
      </c>
      <c r="D1742" s="6">
        <v>3.3812700000000002E-4</v>
      </c>
      <c r="E1742" s="17">
        <v>4.86353970248275E-3</v>
      </c>
      <c r="F1742">
        <f>E1742* VLOOKUP(A1742,Check!A$2:F$11,4,FALSE)</f>
        <v>11037106.82780965</v>
      </c>
    </row>
    <row r="1743" spans="1:6" x14ac:dyDescent="0.2">
      <c r="A1743">
        <v>2023</v>
      </c>
      <c r="B1743" s="1" t="s">
        <v>155</v>
      </c>
      <c r="C1743" s="7">
        <v>102858</v>
      </c>
      <c r="D1743" s="6">
        <v>4.2174E-5</v>
      </c>
      <c r="E1743" s="17">
        <v>6.0661550245672262E-4</v>
      </c>
      <c r="F1743">
        <f>E1743* VLOOKUP(A1743,Check!A$2:F$11,4,FALSE)</f>
        <v>1376627.0069929631</v>
      </c>
    </row>
    <row r="1744" spans="1:6" x14ac:dyDescent="0.2">
      <c r="A1744">
        <v>2023</v>
      </c>
      <c r="B1744" s="1" t="s">
        <v>156</v>
      </c>
      <c r="C1744" s="7">
        <v>861434</v>
      </c>
      <c r="D1744" s="6">
        <v>3.5320300000000001E-4</v>
      </c>
      <c r="E1744" s="17">
        <v>5.0803945122723012E-3</v>
      </c>
      <c r="F1744">
        <f>E1744* VLOOKUP(A1744,Check!A$2:F$11,4,FALSE)</f>
        <v>11529227.761982307</v>
      </c>
    </row>
    <row r="1745" spans="1:6" x14ac:dyDescent="0.2">
      <c r="A1745">
        <v>2023</v>
      </c>
      <c r="B1745" s="1" t="s">
        <v>240</v>
      </c>
      <c r="C1745" s="7">
        <v>308781</v>
      </c>
      <c r="D1745" s="6">
        <v>1.26606E-4</v>
      </c>
      <c r="E1745" s="17">
        <v>1.8210673108954992E-3</v>
      </c>
      <c r="F1745">
        <f>E1745* VLOOKUP(A1745,Check!A$2:F$11,4,FALSE)</f>
        <v>4132651.4597434727</v>
      </c>
    </row>
    <row r="1746" spans="1:6" x14ac:dyDescent="0.2">
      <c r="A1746">
        <v>2023</v>
      </c>
      <c r="B1746" s="1" t="s">
        <v>157</v>
      </c>
      <c r="C1746" s="7">
        <v>14418</v>
      </c>
      <c r="D1746" s="6">
        <v>5.9120000000000003E-6</v>
      </c>
      <c r="E1746" s="17">
        <v>8.5031619460042255E-5</v>
      </c>
      <c r="F1746">
        <f>E1746* VLOOKUP(A1746,Check!A$2:F$11,4,FALSE)</f>
        <v>192967.08264621656</v>
      </c>
    </row>
    <row r="1747" spans="1:6" x14ac:dyDescent="0.2">
      <c r="A1747">
        <v>2023</v>
      </c>
      <c r="B1747" s="1" t="s">
        <v>158</v>
      </c>
      <c r="C1747" s="7">
        <v>458110</v>
      </c>
      <c r="D1747" s="6">
        <v>1.8783299999999999E-4</v>
      </c>
      <c r="E1747" s="17">
        <v>2.7017502559883448E-3</v>
      </c>
      <c r="F1747">
        <f>E1747* VLOOKUP(A1747,Check!A$2:F$11,4,FALSE)</f>
        <v>6131235.2775043873</v>
      </c>
    </row>
    <row r="1748" spans="1:6" x14ac:dyDescent="0.2">
      <c r="A1748">
        <v>2023</v>
      </c>
      <c r="B1748" s="1" t="s">
        <v>159</v>
      </c>
      <c r="C1748" s="7">
        <v>123747</v>
      </c>
      <c r="D1748" s="6">
        <v>5.0738000000000001E-5</v>
      </c>
      <c r="E1748" s="17">
        <v>7.2981050168690871E-4</v>
      </c>
      <c r="F1748">
        <f>E1748* VLOOKUP(A1748,Check!A$2:F$11,4,FALSE)</f>
        <v>1656200.4144972507</v>
      </c>
    </row>
    <row r="1749" spans="1:6" x14ac:dyDescent="0.2">
      <c r="A1749">
        <v>2023</v>
      </c>
      <c r="B1749" s="1" t="s">
        <v>160</v>
      </c>
      <c r="C1749" s="7">
        <v>287520</v>
      </c>
      <c r="D1749" s="6">
        <v>1.1788799999999999E-4</v>
      </c>
      <c r="E1749" s="17">
        <v>1.6956784038806595E-3</v>
      </c>
      <c r="F1749">
        <f>E1749* VLOOKUP(A1749,Check!A$2:F$11,4,FALSE)</f>
        <v>3848099.2927202233</v>
      </c>
    </row>
    <row r="1750" spans="1:6" x14ac:dyDescent="0.2">
      <c r="A1750">
        <v>2023</v>
      </c>
      <c r="B1750" s="1" t="s">
        <v>161</v>
      </c>
      <c r="C1750" s="7">
        <v>665744</v>
      </c>
      <c r="D1750" s="6">
        <v>2.7296699999999999E-4</v>
      </c>
      <c r="E1750" s="17">
        <v>3.9262928607162141E-3</v>
      </c>
      <c r="F1750">
        <f>E1750* VLOOKUP(A1750,Check!A$2:F$11,4,FALSE)</f>
        <v>8910159.3472896926</v>
      </c>
    </row>
    <row r="1751" spans="1:6" x14ac:dyDescent="0.2">
      <c r="A1751">
        <v>2023</v>
      </c>
      <c r="B1751" s="1" t="s">
        <v>162</v>
      </c>
      <c r="C1751" s="7">
        <v>1855536</v>
      </c>
      <c r="D1751" s="6">
        <v>7.60803E-4</v>
      </c>
      <c r="E1751" s="17">
        <v>1.0943212029852196E-2</v>
      </c>
      <c r="F1751">
        <f>E1751* VLOOKUP(A1751,Check!A$2:F$11,4,FALSE)</f>
        <v>24834052.480581917</v>
      </c>
    </row>
    <row r="1752" spans="1:6" x14ac:dyDescent="0.2">
      <c r="A1752">
        <v>2023</v>
      </c>
      <c r="B1752" s="1" t="s">
        <v>163</v>
      </c>
      <c r="C1752" s="7">
        <v>3585106</v>
      </c>
      <c r="D1752" s="6">
        <v>1.4699579999999999E-3</v>
      </c>
      <c r="E1752" s="17">
        <v>2.1143526780129995E-2</v>
      </c>
      <c r="F1752">
        <f>E1752* VLOOKUP(A1752,Check!A$2:F$11,4,FALSE)</f>
        <v>47982205.978460737</v>
      </c>
    </row>
    <row r="1753" spans="1:6" x14ac:dyDescent="0.2">
      <c r="A1753">
        <v>2023</v>
      </c>
      <c r="B1753" s="1" t="s">
        <v>164</v>
      </c>
      <c r="C1753" s="7">
        <v>36073</v>
      </c>
      <c r="D1753" s="6">
        <v>1.4790000000000001E-5</v>
      </c>
      <c r="E1753" s="17">
        <v>2.1274418149411182E-4</v>
      </c>
      <c r="F1753">
        <f>E1753* VLOOKUP(A1753,Check!A$2:F$11,4,FALSE)</f>
        <v>482792.45195567829</v>
      </c>
    </row>
    <row r="1754" spans="1:6" x14ac:dyDescent="0.2">
      <c r="A1754">
        <v>2023</v>
      </c>
      <c r="B1754" s="1" t="s">
        <v>165</v>
      </c>
      <c r="C1754" s="7">
        <v>112702</v>
      </c>
      <c r="D1754" s="6">
        <v>4.621E-5</v>
      </c>
      <c r="E1754" s="17">
        <v>6.6467149232804013E-4</v>
      </c>
      <c r="F1754">
        <f>E1754* VLOOKUP(A1754,Check!A$2:F$11,4,FALSE)</f>
        <v>1508376.7615753848</v>
      </c>
    </row>
    <row r="1755" spans="1:6" x14ac:dyDescent="0.2">
      <c r="A1755">
        <v>2023</v>
      </c>
      <c r="B1755" s="1" t="s">
        <v>166</v>
      </c>
      <c r="C1755" s="7" t="s">
        <v>6</v>
      </c>
      <c r="D1755" s="6">
        <v>0</v>
      </c>
      <c r="F1755">
        <f>E1755* VLOOKUP(A1755,Check!A$2:F$11,4,FALSE)</f>
        <v>0</v>
      </c>
    </row>
    <row r="1756" spans="1:6" x14ac:dyDescent="0.2">
      <c r="A1756">
        <v>2023</v>
      </c>
      <c r="B1756" s="1" t="s">
        <v>167</v>
      </c>
      <c r="C1756" s="7">
        <v>66096</v>
      </c>
      <c r="D1756" s="6">
        <v>2.7101E-5</v>
      </c>
      <c r="E1756" s="17">
        <v>3.8980787347974425E-4</v>
      </c>
      <c r="F1756">
        <f>E1756* VLOOKUP(A1756,Check!A$2:F$11,4,FALSE)</f>
        <v>884613.14291748707</v>
      </c>
    </row>
    <row r="1757" spans="1:6" x14ac:dyDescent="0.2">
      <c r="A1757">
        <v>2023</v>
      </c>
      <c r="B1757" s="1" t="s">
        <v>237</v>
      </c>
      <c r="C1757" s="7">
        <v>189892</v>
      </c>
      <c r="D1757" s="6">
        <v>7.7859000000000001E-5</v>
      </c>
      <c r="E1757" s="17">
        <v>1.1199073576436639E-3</v>
      </c>
      <c r="F1757">
        <f>E1757* VLOOKUP(A1757,Check!A$2:F$11,4,FALSE)</f>
        <v>2541469.3617599774</v>
      </c>
    </row>
    <row r="1758" spans="1:6" x14ac:dyDescent="0.2">
      <c r="A1758">
        <v>2023</v>
      </c>
      <c r="B1758" s="1" t="s">
        <v>168</v>
      </c>
      <c r="C1758" s="7">
        <v>59405</v>
      </c>
      <c r="D1758" s="6">
        <v>2.4357000000000001E-5</v>
      </c>
      <c r="E1758" s="17">
        <v>3.503470213638376E-4</v>
      </c>
      <c r="F1758">
        <f>E1758* VLOOKUP(A1758,Check!A$2:F$11,4,FALSE)</f>
        <v>795062.39038691181</v>
      </c>
    </row>
    <row r="1759" spans="1:6" x14ac:dyDescent="0.2">
      <c r="A1759">
        <v>2023</v>
      </c>
      <c r="B1759" s="1" t="s">
        <v>235</v>
      </c>
      <c r="C1759" s="7">
        <v>94601</v>
      </c>
      <c r="D1759" s="6">
        <v>3.8788000000000002E-5</v>
      </c>
      <c r="E1759" s="17">
        <v>5.5791900627961283E-4</v>
      </c>
      <c r="F1759">
        <f>E1759* VLOOKUP(A1759,Check!A$2:F$11,4,FALSE)</f>
        <v>1266117.2829390159</v>
      </c>
    </row>
    <row r="1760" spans="1:6" x14ac:dyDescent="0.2">
      <c r="A1760">
        <v>2023</v>
      </c>
      <c r="B1760" s="1" t="s">
        <v>169</v>
      </c>
      <c r="C1760" s="7">
        <v>836215</v>
      </c>
      <c r="D1760" s="6">
        <v>3.42863E-4</v>
      </c>
      <c r="E1760" s="17">
        <v>4.9316628982368728E-3</v>
      </c>
      <c r="F1760">
        <f>E1760* VLOOKUP(A1760,Check!A$2:F$11,4,FALSE)</f>
        <v>11191702.664378274</v>
      </c>
    </row>
    <row r="1761" spans="1:6" x14ac:dyDescent="0.2">
      <c r="A1761">
        <v>2023</v>
      </c>
      <c r="B1761" s="1" t="s">
        <v>170</v>
      </c>
      <c r="C1761" s="8">
        <v>1495670</v>
      </c>
      <c r="D1761" s="6">
        <v>6.1325099999999999E-4</v>
      </c>
      <c r="E1761" s="17">
        <v>8.8208657426689843E-3</v>
      </c>
      <c r="F1761">
        <f>E1761* VLOOKUP(A1761,Check!A$2:F$11,4,FALSE)</f>
        <v>20017691.531520788</v>
      </c>
    </row>
    <row r="1762" spans="1:6" x14ac:dyDescent="0.2">
      <c r="A1762">
        <v>2023</v>
      </c>
      <c r="B1762" s="1" t="s">
        <v>241</v>
      </c>
      <c r="C1762" s="7">
        <v>742139</v>
      </c>
      <c r="D1762" s="6">
        <v>3.0429099999999999E-4</v>
      </c>
      <c r="E1762" s="17">
        <v>4.3768401327823761E-3</v>
      </c>
      <c r="F1762">
        <f>E1762* VLOOKUP(A1762,Check!A$2:F$11,4,FALSE)</f>
        <v>9932611.8565668259</v>
      </c>
    </row>
    <row r="1763" spans="1:6" x14ac:dyDescent="0.2">
      <c r="A1763">
        <v>2023</v>
      </c>
      <c r="B1763" s="1" t="s">
        <v>171</v>
      </c>
      <c r="C1763" s="7">
        <v>26691</v>
      </c>
      <c r="D1763" s="6">
        <v>1.0944000000000001E-5</v>
      </c>
      <c r="E1763" s="17">
        <v>1.5741288354889638E-4</v>
      </c>
      <c r="F1763">
        <f>E1763* VLOOKUP(A1763,Check!A$2:F$11,4,FALSE)</f>
        <v>357225.99548551574</v>
      </c>
    </row>
    <row r="1764" spans="1:6" x14ac:dyDescent="0.2">
      <c r="A1764">
        <v>2023</v>
      </c>
      <c r="B1764" s="1" t="s">
        <v>172</v>
      </c>
      <c r="C1764" s="7">
        <v>613986</v>
      </c>
      <c r="D1764" s="6">
        <v>2.51745E-4</v>
      </c>
      <c r="E1764" s="17">
        <v>3.6210447985707802E-3</v>
      </c>
      <c r="F1764">
        <f>E1764* VLOOKUP(A1764,Check!A$2:F$11,4,FALSE)</f>
        <v>8217442.5860466035</v>
      </c>
    </row>
    <row r="1765" spans="1:6" x14ac:dyDescent="0.2">
      <c r="A1765">
        <v>2023</v>
      </c>
      <c r="B1765" s="1" t="s">
        <v>173</v>
      </c>
      <c r="C1765" s="7">
        <v>128460</v>
      </c>
      <c r="D1765" s="6">
        <v>5.2670999999999998E-5</v>
      </c>
      <c r="E1765" s="17">
        <v>7.5760589789409269E-4</v>
      </c>
      <c r="F1765">
        <f>E1765* VLOOKUP(A1765,Check!A$2:F$11,4,FALSE)</f>
        <v>1719278.0854995823</v>
      </c>
    </row>
    <row r="1766" spans="1:6" x14ac:dyDescent="0.2">
      <c r="A1766">
        <v>2023</v>
      </c>
      <c r="B1766" s="1" t="s">
        <v>174</v>
      </c>
      <c r="C1766" s="7">
        <v>196245</v>
      </c>
      <c r="D1766" s="6">
        <v>8.0463999999999994E-5</v>
      </c>
      <c r="E1766" s="17">
        <v>1.1573748204283529E-3</v>
      </c>
      <c r="F1766">
        <f>E1766* VLOOKUP(A1766,Check!A$2:F$11,4,FALSE)</f>
        <v>2626496.4026846141</v>
      </c>
    </row>
    <row r="1767" spans="1:6" x14ac:dyDescent="0.2">
      <c r="A1767">
        <v>2023</v>
      </c>
      <c r="B1767" s="1" t="s">
        <v>175</v>
      </c>
      <c r="C1767" s="7">
        <v>407035</v>
      </c>
      <c r="D1767" s="6">
        <v>1.66892E-4</v>
      </c>
      <c r="E1767" s="17">
        <v>2.4005302557163475E-3</v>
      </c>
      <c r="F1767">
        <f>E1767* VLOOKUP(A1767,Check!A$2:F$11,4,FALSE)</f>
        <v>5447659.6258082082</v>
      </c>
    </row>
    <row r="1768" spans="1:6" x14ac:dyDescent="0.2">
      <c r="A1768">
        <v>2023</v>
      </c>
      <c r="B1768" s="1" t="s">
        <v>176</v>
      </c>
      <c r="C1768" s="7">
        <v>417290</v>
      </c>
      <c r="D1768" s="6">
        <v>1.7109699999999999E-4</v>
      </c>
      <c r="E1768" s="17">
        <v>2.4610101598336129E-3</v>
      </c>
      <c r="F1768">
        <f>E1768* VLOOKUP(A1768,Check!A$2:F$11,4,FALSE)</f>
        <v>5584910.106633354</v>
      </c>
    </row>
    <row r="1769" spans="1:6" x14ac:dyDescent="0.2">
      <c r="A1769">
        <v>2023</v>
      </c>
      <c r="B1769" s="1" t="s">
        <v>177</v>
      </c>
      <c r="C1769" s="7">
        <v>54256</v>
      </c>
      <c r="D1769" s="6">
        <v>2.2246E-5</v>
      </c>
      <c r="E1769" s="17">
        <v>3.1998027087141442E-4</v>
      </c>
      <c r="F1769">
        <f>E1769* VLOOKUP(A1769,Check!A$2:F$11,4,FALSE)</f>
        <v>726149.39908816246</v>
      </c>
    </row>
    <row r="1770" spans="1:6" x14ac:dyDescent="0.2">
      <c r="A1770">
        <v>2023</v>
      </c>
      <c r="B1770" s="1" t="s">
        <v>178</v>
      </c>
      <c r="C1770" s="7" t="s">
        <v>6</v>
      </c>
      <c r="D1770" s="6">
        <v>0</v>
      </c>
      <c r="F1770">
        <f>E1770* VLOOKUP(A1770,Check!A$2:F$11,4,FALSE)</f>
        <v>0</v>
      </c>
    </row>
    <row r="1771" spans="1:6" x14ac:dyDescent="0.2">
      <c r="A1771">
        <v>2023</v>
      </c>
      <c r="B1771" s="1" t="s">
        <v>179</v>
      </c>
      <c r="C1771" s="7" t="s">
        <v>6</v>
      </c>
      <c r="D1771" s="6">
        <v>0</v>
      </c>
      <c r="F1771">
        <f>E1771* VLOOKUP(A1771,Check!A$2:F$11,4,FALSE)</f>
        <v>0</v>
      </c>
    </row>
    <row r="1772" spans="1:6" x14ac:dyDescent="0.2">
      <c r="A1772">
        <v>2023</v>
      </c>
      <c r="B1772" s="1" t="s">
        <v>180</v>
      </c>
      <c r="C1772" s="7">
        <v>144214</v>
      </c>
      <c r="D1772" s="6">
        <v>5.9129999999999998E-5</v>
      </c>
      <c r="E1772" s="17">
        <v>8.5051671305385863E-4</v>
      </c>
      <c r="F1772">
        <f>E1772* VLOOKUP(A1772,Check!A$2:F$11,4,FALSE)</f>
        <v>1930125.874375189</v>
      </c>
    </row>
    <row r="1773" spans="1:6" x14ac:dyDescent="0.2">
      <c r="A1773">
        <v>2023</v>
      </c>
      <c r="B1773" s="1" t="s">
        <v>181</v>
      </c>
      <c r="C1773" s="7">
        <v>67409</v>
      </c>
      <c r="D1773" s="6">
        <v>2.7639000000000001E-5</v>
      </c>
      <c r="E1773" s="17">
        <v>3.9755142434332003E-4</v>
      </c>
      <c r="F1773">
        <f>E1773* VLOOKUP(A1773,Check!A$2:F$11,4,FALSE)</f>
        <v>902186.02261747885</v>
      </c>
    </row>
    <row r="1774" spans="1:6" x14ac:dyDescent="0.2">
      <c r="A1774">
        <v>2023</v>
      </c>
      <c r="B1774" s="1" t="s">
        <v>182</v>
      </c>
      <c r="C1774" s="7">
        <v>106550</v>
      </c>
      <c r="D1774" s="6">
        <v>4.3687999999999999E-5</v>
      </c>
      <c r="E1774" s="17">
        <v>6.2838944745925252E-4</v>
      </c>
      <c r="F1774">
        <f>E1774* VLOOKUP(A1774,Check!A$2:F$11,4,FALSE)</f>
        <v>1426039.8568424452</v>
      </c>
    </row>
    <row r="1775" spans="1:6" x14ac:dyDescent="0.2">
      <c r="A1775">
        <v>2023</v>
      </c>
      <c r="B1775" s="1" t="s">
        <v>183</v>
      </c>
      <c r="C1775" s="7">
        <v>2569261</v>
      </c>
      <c r="D1775" s="6">
        <v>1.053443E-3</v>
      </c>
      <c r="E1775" s="17">
        <v>1.5152477711577725E-2</v>
      </c>
      <c r="F1775">
        <f>E1775* VLOOKUP(A1775,Check!A$2:F$11,4,FALSE)</f>
        <v>34386378.119482659</v>
      </c>
    </row>
    <row r="1776" spans="1:6" x14ac:dyDescent="0.2">
      <c r="A1776">
        <v>2023</v>
      </c>
      <c r="B1776" s="1" t="s">
        <v>184</v>
      </c>
      <c r="C1776" s="7" t="s">
        <v>6</v>
      </c>
      <c r="D1776" s="6">
        <v>0</v>
      </c>
      <c r="F1776">
        <f>E1776* VLOOKUP(A1776,Check!A$2:F$11,4,FALSE)</f>
        <v>0</v>
      </c>
    </row>
    <row r="1777" spans="1:6" x14ac:dyDescent="0.2">
      <c r="A1777">
        <v>2023</v>
      </c>
      <c r="B1777" s="1" t="s">
        <v>185</v>
      </c>
      <c r="C1777" s="7">
        <v>14907</v>
      </c>
      <c r="D1777" s="6">
        <v>6.1120000000000001E-6</v>
      </c>
      <c r="E1777" s="17">
        <v>8.7915546628578855E-5</v>
      </c>
      <c r="F1777">
        <f>E1777* VLOOKUP(A1777,Check!A$2:F$11,4,FALSE)</f>
        <v>199511.74233646484</v>
      </c>
    </row>
    <row r="1778" spans="1:6" x14ac:dyDescent="0.2">
      <c r="A1778">
        <v>2023</v>
      </c>
      <c r="B1778" s="1" t="s">
        <v>186</v>
      </c>
      <c r="C1778" s="7" t="s">
        <v>6</v>
      </c>
      <c r="D1778" s="6">
        <v>0</v>
      </c>
      <c r="F1778">
        <f>E1778* VLOOKUP(A1778,Check!A$2:F$11,4,FALSE)</f>
        <v>0</v>
      </c>
    </row>
    <row r="1779" spans="1:6" x14ac:dyDescent="0.2">
      <c r="A1779">
        <v>2023</v>
      </c>
      <c r="B1779" s="1" t="s">
        <v>187</v>
      </c>
      <c r="C1779" s="7" t="s">
        <v>6</v>
      </c>
      <c r="D1779" s="6">
        <v>0</v>
      </c>
      <c r="F1779">
        <f>E1779* VLOOKUP(A1779,Check!A$2:F$11,4,FALSE)</f>
        <v>0</v>
      </c>
    </row>
    <row r="1780" spans="1:6" x14ac:dyDescent="0.2">
      <c r="A1780">
        <v>2023</v>
      </c>
      <c r="B1780" s="1" t="s">
        <v>188</v>
      </c>
      <c r="C1780" s="7" t="s">
        <v>6</v>
      </c>
      <c r="D1780" s="6">
        <v>0</v>
      </c>
      <c r="F1780">
        <f>E1780* VLOOKUP(A1780,Check!A$2:F$11,4,FALSE)</f>
        <v>0</v>
      </c>
    </row>
    <row r="1781" spans="1:6" x14ac:dyDescent="0.2">
      <c r="A1781">
        <v>2023</v>
      </c>
      <c r="B1781" s="1" t="s">
        <v>189</v>
      </c>
      <c r="C1781" s="7" t="s">
        <v>6</v>
      </c>
      <c r="D1781" s="6">
        <v>0</v>
      </c>
      <c r="F1781">
        <f>E1781* VLOOKUP(A1781,Check!A$2:F$11,4,FALSE)</f>
        <v>0</v>
      </c>
    </row>
    <row r="1782" spans="1:6" x14ac:dyDescent="0.2">
      <c r="A1782">
        <v>2023</v>
      </c>
      <c r="B1782" s="1" t="s">
        <v>190</v>
      </c>
      <c r="C1782" s="7">
        <v>7505</v>
      </c>
      <c r="D1782" s="6">
        <v>3.0769999999999999E-6</v>
      </c>
      <c r="E1782" s="17">
        <v>4.4261499795229375E-5</v>
      </c>
      <c r="F1782">
        <f>E1782* VLOOKUP(A1782,Check!A$2:F$11,4,FALSE)</f>
        <v>100445.13491884139</v>
      </c>
    </row>
    <row r="1783" spans="1:6" x14ac:dyDescent="0.2">
      <c r="A1783">
        <v>2023</v>
      </c>
      <c r="B1783" s="1" t="s">
        <v>191</v>
      </c>
      <c r="C1783" s="7">
        <v>652243</v>
      </c>
      <c r="D1783" s="6">
        <v>2.6743200000000001E-4</v>
      </c>
      <c r="E1783" s="17">
        <v>3.8466693418973742E-3</v>
      </c>
      <c r="F1783">
        <f>E1783* VLOOKUP(A1783,Check!A$2:F$11,4,FALSE)</f>
        <v>8729465.1745329611</v>
      </c>
    </row>
    <row r="1784" spans="1:6" x14ac:dyDescent="0.2">
      <c r="A1784">
        <v>2023</v>
      </c>
      <c r="B1784" s="1" t="s">
        <v>192</v>
      </c>
      <c r="C1784" s="7">
        <v>1103657</v>
      </c>
      <c r="D1784" s="6">
        <v>4.5251900000000002E-4</v>
      </c>
      <c r="E1784" s="17">
        <v>6.5089292577619542E-3</v>
      </c>
      <c r="F1784">
        <f>E1784* VLOOKUP(A1784,Check!A$2:F$11,4,FALSE)</f>
        <v>14771082.780696034</v>
      </c>
    </row>
    <row r="1785" spans="1:6" x14ac:dyDescent="0.2">
      <c r="A1785">
        <v>2023</v>
      </c>
      <c r="B1785" s="1" t="s">
        <v>193</v>
      </c>
      <c r="C1785" s="7" t="s">
        <v>6</v>
      </c>
      <c r="D1785" s="6">
        <v>0</v>
      </c>
      <c r="F1785">
        <f>E1785* VLOOKUP(A1785,Check!A$2:F$11,4,FALSE)</f>
        <v>0</v>
      </c>
    </row>
    <row r="1786" spans="1:6" x14ac:dyDescent="0.2">
      <c r="A1786">
        <v>2023</v>
      </c>
      <c r="B1786" s="1" t="s">
        <v>194</v>
      </c>
      <c r="C1786" s="7" t="s">
        <v>6</v>
      </c>
      <c r="D1786" s="6">
        <v>0</v>
      </c>
      <c r="F1786">
        <f>E1786* VLOOKUP(A1786,Check!A$2:F$11,4,FALSE)</f>
        <v>0</v>
      </c>
    </row>
    <row r="1787" spans="1:6" x14ac:dyDescent="0.2">
      <c r="A1787">
        <v>2023</v>
      </c>
      <c r="B1787" s="1" t="s">
        <v>195</v>
      </c>
      <c r="C1787" s="7">
        <v>1494624</v>
      </c>
      <c r="D1787" s="6">
        <v>6.1282299999999997E-4</v>
      </c>
      <c r="E1787" s="17">
        <v>8.8146968514250384E-3</v>
      </c>
      <c r="F1787">
        <f>E1787* VLOOKUP(A1787,Check!A$2:F$11,4,FALSE)</f>
        <v>20003692.116314244</v>
      </c>
    </row>
    <row r="1788" spans="1:6" x14ac:dyDescent="0.2">
      <c r="A1788">
        <v>2023</v>
      </c>
      <c r="B1788" s="1" t="s">
        <v>196</v>
      </c>
      <c r="C1788" s="7">
        <v>689669</v>
      </c>
      <c r="D1788" s="6">
        <v>2.8277700000000001E-4</v>
      </c>
      <c r="E1788" s="17">
        <v>4.0673929783179279E-3</v>
      </c>
      <c r="F1788">
        <f>E1788* VLOOKUP(A1788,Check!A$2:F$11,4,FALSE)</f>
        <v>9230365.8566745408</v>
      </c>
    </row>
    <row r="1789" spans="1:6" x14ac:dyDescent="0.2">
      <c r="A1789">
        <v>2023</v>
      </c>
      <c r="B1789" s="1" t="s">
        <v>197</v>
      </c>
      <c r="C1789" s="7">
        <v>644793</v>
      </c>
      <c r="D1789" s="6">
        <v>2.6437699999999999E-4</v>
      </c>
      <c r="E1789" s="17">
        <v>3.8027322101885858E-3</v>
      </c>
      <c r="F1789">
        <f>E1789* VLOOKUP(A1789,Check!A$2:F$11,4,FALSE)</f>
        <v>8629756.146532245</v>
      </c>
    </row>
    <row r="1790" spans="1:6" x14ac:dyDescent="0.2">
      <c r="A1790">
        <v>2023</v>
      </c>
      <c r="B1790" s="1" t="s">
        <v>198</v>
      </c>
      <c r="C1790" s="7">
        <v>3102</v>
      </c>
      <c r="D1790" s="6">
        <v>1.2720000000000001E-6</v>
      </c>
      <c r="E1790" s="17">
        <v>1.8294360075256698E-5</v>
      </c>
      <c r="F1790">
        <f>E1790* VLOOKUP(A1790,Check!A$2:F$11,4,FALSE)</f>
        <v>41516.430182311262</v>
      </c>
    </row>
    <row r="1791" spans="1:6" x14ac:dyDescent="0.2">
      <c r="A1791">
        <v>2023</v>
      </c>
      <c r="B1791" s="1" t="s">
        <v>199</v>
      </c>
      <c r="C1791" s="7">
        <v>2116767</v>
      </c>
      <c r="D1791" s="6">
        <v>8.67913E-4</v>
      </c>
      <c r="E1791" s="17">
        <v>1.2483848386015763E-2</v>
      </c>
      <c r="F1791">
        <f>E1791* VLOOKUP(A1791,Check!A$2:F$11,4,FALSE)</f>
        <v>28330306.050200019</v>
      </c>
    </row>
    <row r="1792" spans="1:6" x14ac:dyDescent="0.2">
      <c r="A1792">
        <v>2023</v>
      </c>
      <c r="B1792" s="1" t="s">
        <v>200</v>
      </c>
      <c r="C1792" s="7" t="s">
        <v>6</v>
      </c>
      <c r="D1792" s="6">
        <v>0</v>
      </c>
      <c r="F1792">
        <f>E1792* VLOOKUP(A1792,Check!A$2:F$11,4,FALSE)</f>
        <v>0</v>
      </c>
    </row>
    <row r="1793" spans="1:6" x14ac:dyDescent="0.2">
      <c r="A1793">
        <v>2023</v>
      </c>
      <c r="B1793" s="1" t="s">
        <v>201</v>
      </c>
      <c r="C1793" s="7">
        <v>3950</v>
      </c>
      <c r="D1793" s="6">
        <v>1.6199999999999999E-6</v>
      </c>
      <c r="E1793" s="17">
        <v>2.3295526208015461E-5</v>
      </c>
      <c r="F1793">
        <f>E1793* VLOOKUP(A1793,Check!A$2:F$11,4,FALSE)</f>
        <v>52865.860483600736</v>
      </c>
    </row>
    <row r="1794" spans="1:6" x14ac:dyDescent="0.2">
      <c r="A1794">
        <v>2023</v>
      </c>
      <c r="B1794" s="1" t="s">
        <v>202</v>
      </c>
      <c r="C1794" s="7">
        <v>123896</v>
      </c>
      <c r="D1794" s="6">
        <v>5.0800000000000002E-5</v>
      </c>
      <c r="E1794" s="17">
        <v>7.3068924432108449E-4</v>
      </c>
      <c r="F1794">
        <f>E1794* VLOOKUP(A1794,Check!A$2:F$11,4,FALSE)</f>
        <v>1658194.5950572651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28F2-EDD8-894C-B4E5-1BE33957A73F}">
  <dimension ref="A1:G11"/>
  <sheetViews>
    <sheetView workbookViewId="0">
      <selection activeCell="E32" sqref="E32"/>
    </sheetView>
  </sheetViews>
  <sheetFormatPr baseColWidth="10" defaultRowHeight="16" x14ac:dyDescent="0.2"/>
  <cols>
    <col min="1" max="1" width="5.1640625" style="9" bestFit="1" customWidth="1"/>
    <col min="2" max="2" width="17.6640625" bestFit="1" customWidth="1"/>
    <col min="3" max="3" width="17" bestFit="1" customWidth="1"/>
    <col min="4" max="4" width="16.83203125" customWidth="1"/>
    <col min="5" max="5" width="18.6640625" bestFit="1" customWidth="1"/>
    <col min="6" max="6" width="13.5" bestFit="1" customWidth="1"/>
    <col min="7" max="7" width="6.1640625" bestFit="1" customWidth="1"/>
  </cols>
  <sheetData>
    <row r="1" spans="1:7" x14ac:dyDescent="0.2">
      <c r="A1" s="24" t="s">
        <v>259</v>
      </c>
      <c r="B1" s="24"/>
      <c r="C1" s="24"/>
      <c r="D1" s="24"/>
      <c r="E1" s="24"/>
      <c r="F1" s="24"/>
      <c r="G1" s="24"/>
    </row>
    <row r="2" spans="1:7" x14ac:dyDescent="0.2">
      <c r="A2" s="9" t="s">
        <v>260</v>
      </c>
      <c r="B2" s="9" t="s">
        <v>261</v>
      </c>
      <c r="C2" s="9" t="s">
        <v>262</v>
      </c>
      <c r="D2" s="9" t="s">
        <v>265</v>
      </c>
      <c r="E2" s="9" t="s">
        <v>266</v>
      </c>
      <c r="F2" s="9" t="s">
        <v>263</v>
      </c>
      <c r="G2" s="9" t="s">
        <v>264</v>
      </c>
    </row>
    <row r="3" spans="1:7" x14ac:dyDescent="0.2">
      <c r="A3" s="9">
        <v>2015</v>
      </c>
      <c r="B3" s="13">
        <v>2107730000</v>
      </c>
      <c r="C3" s="13">
        <f>SUMIF('Final Data'!B:B,Check!A3,'Final Data'!E:E)</f>
        <v>134942780.13131958</v>
      </c>
      <c r="D3" s="13">
        <v>1981420707</v>
      </c>
      <c r="E3" s="13">
        <f>SUM(C3:D3)</f>
        <v>2116363487.1313195</v>
      </c>
      <c r="F3" s="14">
        <f>B3-E3</f>
        <v>-8633487.1313195229</v>
      </c>
    </row>
    <row r="4" spans="1:7" x14ac:dyDescent="0.2">
      <c r="A4" s="9">
        <v>2016</v>
      </c>
      <c r="B4" s="13">
        <v>1948083000</v>
      </c>
      <c r="C4" s="13">
        <f>SUMIF('Final Data'!B:B,Check!A4,'Final Data'!E:E)</f>
        <v>126036359.78982341</v>
      </c>
      <c r="D4" s="13">
        <v>1830791050</v>
      </c>
      <c r="E4" s="13">
        <f t="shared" ref="E4:E11" si="0">SUM(C4:D4)</f>
        <v>1956827409.7898235</v>
      </c>
      <c r="F4" s="14">
        <f t="shared" ref="F4:F11" si="1">B4-E4</f>
        <v>-8744409.7898235321</v>
      </c>
    </row>
    <row r="5" spans="1:7" x14ac:dyDescent="0.2">
      <c r="A5" s="9">
        <v>2017</v>
      </c>
      <c r="B5" s="13">
        <v>2035341000</v>
      </c>
      <c r="C5" s="13">
        <f>SUMIF('Final Data'!B:B,Check!A5,'Final Data'!E:E)</f>
        <v>124988301.39583398</v>
      </c>
      <c r="D5" s="13">
        <v>1919237489</v>
      </c>
      <c r="E5" s="13">
        <f t="shared" si="0"/>
        <v>2044225790.395834</v>
      </c>
      <c r="F5" s="14">
        <f t="shared" si="1"/>
        <v>-8884790.3958339691</v>
      </c>
    </row>
    <row r="6" spans="1:7" x14ac:dyDescent="0.2">
      <c r="A6" s="9">
        <v>2018</v>
      </c>
      <c r="B6" s="13">
        <v>1994076000</v>
      </c>
      <c r="C6" s="13">
        <f>SUMIF('Final Data'!B:B,Check!A6,'Final Data'!E:E)</f>
        <v>133293003</v>
      </c>
      <c r="D6" s="13">
        <v>1869805897</v>
      </c>
      <c r="E6" s="13">
        <f t="shared" si="0"/>
        <v>2003098900</v>
      </c>
      <c r="F6" s="14">
        <f t="shared" si="1"/>
        <v>-9022900</v>
      </c>
    </row>
    <row r="7" spans="1:7" x14ac:dyDescent="0.2">
      <c r="A7" s="9">
        <v>2019</v>
      </c>
      <c r="B7" s="13">
        <v>2053499000</v>
      </c>
      <c r="C7" s="13">
        <f>SUMIF('Final Data'!B:B,Check!A7,'Final Data'!E:E)</f>
        <v>143059945</v>
      </c>
      <c r="D7" s="13">
        <v>1920051952</v>
      </c>
      <c r="E7" s="13">
        <f t="shared" si="0"/>
        <v>2063111897</v>
      </c>
      <c r="F7" s="14">
        <f t="shared" si="1"/>
        <v>-9612897</v>
      </c>
    </row>
    <row r="8" spans="1:7" x14ac:dyDescent="0.2">
      <c r="A8" s="9">
        <v>2020</v>
      </c>
      <c r="B8" s="13">
        <v>2144063000</v>
      </c>
      <c r="C8" s="13">
        <f>SUMIF('Final Data'!B:B,Check!A8,'Final Data'!E:E)</f>
        <v>150991165</v>
      </c>
      <c r="D8" s="13">
        <v>2000928371</v>
      </c>
      <c r="E8" s="13">
        <f t="shared" si="0"/>
        <v>2151919536</v>
      </c>
      <c r="F8" s="14">
        <f t="shared" si="1"/>
        <v>-7856536</v>
      </c>
    </row>
    <row r="9" spans="1:7" x14ac:dyDescent="0.2">
      <c r="A9" s="9">
        <v>2021</v>
      </c>
      <c r="B9" s="13">
        <v>2203524000</v>
      </c>
      <c r="C9" s="13">
        <f>SUMIF('Final Data'!B:B,Check!A9,'Final Data'!E:E)</f>
        <v>165652348</v>
      </c>
      <c r="D9" s="13">
        <v>2046734024</v>
      </c>
      <c r="E9" s="13">
        <f t="shared" si="0"/>
        <v>2212386372</v>
      </c>
      <c r="F9" s="14">
        <f>B9-E9</f>
        <v>-8862372</v>
      </c>
    </row>
    <row r="10" spans="1:7" x14ac:dyDescent="0.2">
      <c r="A10" s="9">
        <v>2022</v>
      </c>
      <c r="B10" s="13">
        <v>2282303000</v>
      </c>
      <c r="C10" s="13">
        <f>SUMIF('Final Data'!B:B,Check!A10,'Final Data'!E:E)</f>
        <v>163998797</v>
      </c>
      <c r="D10" s="13">
        <v>2127544596</v>
      </c>
      <c r="E10" s="13">
        <f t="shared" si="0"/>
        <v>2291543393</v>
      </c>
      <c r="F10" s="14">
        <f t="shared" si="1"/>
        <v>-9240393</v>
      </c>
    </row>
    <row r="11" spans="1:7" x14ac:dyDescent="0.2">
      <c r="A11" s="9">
        <v>2023</v>
      </c>
      <c r="B11" s="13">
        <v>2438917249</v>
      </c>
      <c r="C11" s="13">
        <f>SUMIF('Final Data'!B:B,Check!A11,'Final Data'!E:E)</f>
        <v>179321017</v>
      </c>
      <c r="D11" s="13">
        <v>2269356786</v>
      </c>
      <c r="E11" s="13">
        <f t="shared" si="0"/>
        <v>2448677803</v>
      </c>
      <c r="F11" s="14">
        <f t="shared" si="1"/>
        <v>-9760554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A57F-DCF0-3A41-9976-4B1317CB087D}">
  <dimension ref="A1:F1769"/>
  <sheetViews>
    <sheetView zoomScale="136" workbookViewId="0">
      <selection activeCell="C15" sqref="C15"/>
    </sheetView>
  </sheetViews>
  <sheetFormatPr baseColWidth="10" defaultRowHeight="16" x14ac:dyDescent="0.2"/>
  <cols>
    <col min="1" max="1" width="5.1640625" bestFit="1" customWidth="1"/>
    <col min="2" max="2" width="46.6640625" style="1" bestFit="1" customWidth="1"/>
    <col min="3" max="3" width="20.5" style="7" bestFit="1" customWidth="1"/>
    <col min="4" max="4" width="17.83203125" style="5" bestFit="1" customWidth="1"/>
    <col min="5" max="5" width="13.1640625" bestFit="1" customWidth="1"/>
  </cols>
  <sheetData>
    <row r="1" spans="1:4" x14ac:dyDescent="0.2">
      <c r="A1" s="9" t="s">
        <v>0</v>
      </c>
      <c r="B1" s="10" t="s">
        <v>1</v>
      </c>
      <c r="C1" s="11" t="s">
        <v>2</v>
      </c>
      <c r="D1" s="12" t="s">
        <v>3</v>
      </c>
    </row>
    <row r="2" spans="1:4" x14ac:dyDescent="0.2">
      <c r="A2">
        <v>2015</v>
      </c>
      <c r="B2" s="1" t="s">
        <v>4</v>
      </c>
      <c r="C2" s="2">
        <v>1981420707</v>
      </c>
      <c r="D2" s="5">
        <v>0.94007330499999997</v>
      </c>
    </row>
    <row r="3" spans="1:4" x14ac:dyDescent="0.2">
      <c r="A3">
        <v>2015</v>
      </c>
      <c r="B3" s="1" t="s">
        <v>5</v>
      </c>
      <c r="C3" s="4">
        <v>22089</v>
      </c>
      <c r="D3" s="5">
        <v>1.048E-5</v>
      </c>
    </row>
    <row r="4" spans="1:4" x14ac:dyDescent="0.2">
      <c r="A4">
        <v>2015</v>
      </c>
      <c r="B4" s="1" t="s">
        <v>7</v>
      </c>
      <c r="C4" s="4">
        <v>81960</v>
      </c>
      <c r="D4" s="5">
        <v>3.8884999999999998E-5</v>
      </c>
    </row>
    <row r="5" spans="1:4" x14ac:dyDescent="0.2">
      <c r="A5">
        <v>2015</v>
      </c>
      <c r="B5" s="1" t="s">
        <v>8</v>
      </c>
      <c r="C5" s="4">
        <v>1356253</v>
      </c>
      <c r="D5" s="5">
        <v>6.4346599999999998E-4</v>
      </c>
    </row>
    <row r="6" spans="1:4" x14ac:dyDescent="0.2">
      <c r="A6">
        <v>2015</v>
      </c>
      <c r="B6" s="1" t="s">
        <v>9</v>
      </c>
      <c r="C6" s="4">
        <v>8755</v>
      </c>
      <c r="D6" s="5">
        <v>4.1540000000000004E-6</v>
      </c>
    </row>
    <row r="7" spans="1:4" x14ac:dyDescent="0.2">
      <c r="A7">
        <v>2015</v>
      </c>
      <c r="B7" s="1" t="s">
        <v>10</v>
      </c>
      <c r="C7" s="4">
        <v>27924</v>
      </c>
      <c r="D7" s="5">
        <v>1.3247999999999999E-5</v>
      </c>
    </row>
    <row r="8" spans="1:4" x14ac:dyDescent="0.2">
      <c r="A8">
        <v>2015</v>
      </c>
      <c r="B8" s="1" t="s">
        <v>11</v>
      </c>
      <c r="C8" s="4">
        <v>701600</v>
      </c>
      <c r="D8" s="5">
        <v>3.3286999999999998E-4</v>
      </c>
    </row>
    <row r="9" spans="1:4" x14ac:dyDescent="0.2">
      <c r="A9">
        <v>2015</v>
      </c>
      <c r="B9" s="1" t="s">
        <v>12</v>
      </c>
      <c r="C9" s="4">
        <v>56490</v>
      </c>
      <c r="D9" s="5">
        <v>2.6801E-5</v>
      </c>
    </row>
    <row r="10" spans="1:4" x14ac:dyDescent="0.2">
      <c r="A10">
        <v>2015</v>
      </c>
      <c r="B10" s="1" t="s">
        <v>13</v>
      </c>
      <c r="C10" s="4">
        <v>9379</v>
      </c>
      <c r="D10" s="5">
        <v>4.4499999999999997E-6</v>
      </c>
    </row>
    <row r="11" spans="1:4" x14ac:dyDescent="0.2">
      <c r="A11">
        <v>2015</v>
      </c>
      <c r="B11" s="1" t="s">
        <v>14</v>
      </c>
      <c r="C11" s="4">
        <v>30733</v>
      </c>
      <c r="D11" s="5">
        <v>1.4581E-5</v>
      </c>
    </row>
    <row r="12" spans="1:4" x14ac:dyDescent="0.2">
      <c r="A12">
        <v>2015</v>
      </c>
      <c r="B12" s="1" t="s">
        <v>15</v>
      </c>
      <c r="C12" s="4">
        <v>1655775</v>
      </c>
      <c r="D12" s="5">
        <v>7.8557300000000002E-4</v>
      </c>
    </row>
    <row r="13" spans="1:4" x14ac:dyDescent="0.2">
      <c r="A13">
        <v>2015</v>
      </c>
      <c r="B13" s="1" t="s">
        <v>242</v>
      </c>
      <c r="C13" s="4">
        <v>378329</v>
      </c>
      <c r="D13" s="5">
        <v>1.7949599999999999E-4</v>
      </c>
    </row>
    <row r="14" spans="1:4" x14ac:dyDescent="0.2">
      <c r="A14">
        <v>2015</v>
      </c>
      <c r="B14" s="1" t="s">
        <v>243</v>
      </c>
      <c r="C14" s="4">
        <v>114853</v>
      </c>
      <c r="D14" s="5">
        <v>5.4490999999999997E-5</v>
      </c>
    </row>
    <row r="15" spans="1:4" x14ac:dyDescent="0.2">
      <c r="A15">
        <v>2015</v>
      </c>
      <c r="B15" s="1" t="s">
        <v>18</v>
      </c>
      <c r="C15" s="4">
        <v>1854389</v>
      </c>
      <c r="D15" s="5">
        <v>8.7980399999999998E-4</v>
      </c>
    </row>
    <row r="16" spans="1:4" x14ac:dyDescent="0.2">
      <c r="A16">
        <v>2015</v>
      </c>
      <c r="B16" s="1" t="s">
        <v>19</v>
      </c>
      <c r="C16" s="4">
        <v>91912</v>
      </c>
      <c r="D16" s="5">
        <v>4.3606999999999998E-5</v>
      </c>
    </row>
    <row r="17" spans="1:4" x14ac:dyDescent="0.2">
      <c r="A17">
        <v>2015</v>
      </c>
      <c r="B17" s="1" t="s">
        <v>20</v>
      </c>
      <c r="C17" s="4">
        <v>19980</v>
      </c>
      <c r="D17" s="5">
        <v>9.4800000000000007E-6</v>
      </c>
    </row>
    <row r="18" spans="1:4" x14ac:dyDescent="0.2">
      <c r="A18">
        <v>2015</v>
      </c>
      <c r="B18" s="1" t="s">
        <v>21</v>
      </c>
      <c r="C18" s="4">
        <v>6294530</v>
      </c>
      <c r="D18" s="5">
        <v>2.9864029999999999E-3</v>
      </c>
    </row>
    <row r="19" spans="1:4" x14ac:dyDescent="0.2">
      <c r="A19">
        <v>2015</v>
      </c>
      <c r="B19" s="1" t="s">
        <v>22</v>
      </c>
      <c r="C19" s="4">
        <v>168864</v>
      </c>
      <c r="D19" s="5">
        <v>8.0116000000000003E-5</v>
      </c>
    </row>
    <row r="20" spans="1:4" x14ac:dyDescent="0.2">
      <c r="A20">
        <v>2015</v>
      </c>
      <c r="B20" s="1" t="s">
        <v>24</v>
      </c>
      <c r="C20" s="4">
        <v>466083</v>
      </c>
      <c r="D20" s="5">
        <v>2.2112999999999999E-4</v>
      </c>
    </row>
    <row r="21" spans="1:4" x14ac:dyDescent="0.2">
      <c r="A21">
        <v>2015</v>
      </c>
      <c r="B21" s="1" t="s">
        <v>23</v>
      </c>
      <c r="C21" s="4">
        <v>2391397</v>
      </c>
      <c r="D21" s="5">
        <v>1.1345839999999999E-3</v>
      </c>
    </row>
    <row r="22" spans="1:4" x14ac:dyDescent="0.2">
      <c r="A22">
        <v>2015</v>
      </c>
      <c r="B22" s="1" t="s">
        <v>25</v>
      </c>
      <c r="C22" s="4">
        <v>51892</v>
      </c>
      <c r="D22" s="5">
        <v>2.4620000000000001E-5</v>
      </c>
    </row>
    <row r="23" spans="1:4" x14ac:dyDescent="0.2">
      <c r="A23">
        <v>2015</v>
      </c>
      <c r="B23" s="1" t="s">
        <v>26</v>
      </c>
      <c r="C23" s="4">
        <v>45062</v>
      </c>
      <c r="D23" s="5">
        <v>2.1379999999999999E-5</v>
      </c>
    </row>
    <row r="24" spans="1:4" x14ac:dyDescent="0.2">
      <c r="A24">
        <v>2015</v>
      </c>
      <c r="B24" s="1" t="s">
        <v>27</v>
      </c>
      <c r="C24" s="4">
        <v>27949</v>
      </c>
      <c r="D24" s="5">
        <v>1.326E-5</v>
      </c>
    </row>
    <row r="25" spans="1:4" x14ac:dyDescent="0.2">
      <c r="A25">
        <v>2015</v>
      </c>
      <c r="B25" s="1" t="s">
        <v>28</v>
      </c>
      <c r="C25" s="4">
        <v>307322</v>
      </c>
      <c r="D25" s="5">
        <v>1.4580699999999999E-4</v>
      </c>
    </row>
    <row r="26" spans="1:4" x14ac:dyDescent="0.2">
      <c r="A26">
        <v>2015</v>
      </c>
      <c r="B26" s="1" t="s">
        <v>29</v>
      </c>
      <c r="C26" s="4">
        <v>95418</v>
      </c>
      <c r="D26" s="5">
        <v>4.5269999999999999E-5</v>
      </c>
    </row>
    <row r="27" spans="1:4" x14ac:dyDescent="0.2">
      <c r="A27">
        <v>2015</v>
      </c>
      <c r="B27" s="1" t="s">
        <v>30</v>
      </c>
      <c r="C27" s="4">
        <v>2183</v>
      </c>
      <c r="D27" s="5">
        <v>1.0359999999999999E-6</v>
      </c>
    </row>
    <row r="28" spans="1:4" x14ac:dyDescent="0.2">
      <c r="A28">
        <v>2015</v>
      </c>
      <c r="B28" s="1" t="s">
        <v>31</v>
      </c>
      <c r="C28" s="4">
        <v>196829</v>
      </c>
      <c r="D28" s="5">
        <v>9.3385000000000001E-5</v>
      </c>
    </row>
    <row r="29" spans="1:4" x14ac:dyDescent="0.2">
      <c r="A29">
        <v>2015</v>
      </c>
      <c r="B29" s="1" t="s">
        <v>32</v>
      </c>
      <c r="C29" s="4">
        <v>1028734</v>
      </c>
      <c r="D29" s="5">
        <v>4.8807700000000001E-4</v>
      </c>
    </row>
    <row r="30" spans="1:4" x14ac:dyDescent="0.2">
      <c r="A30">
        <v>2015</v>
      </c>
      <c r="B30" s="1" t="s">
        <v>33</v>
      </c>
      <c r="C30" s="4">
        <v>138013</v>
      </c>
      <c r="D30" s="5">
        <v>6.5479000000000001E-5</v>
      </c>
    </row>
    <row r="31" spans="1:4" x14ac:dyDescent="0.2">
      <c r="A31">
        <v>2015</v>
      </c>
      <c r="B31" s="1" t="s">
        <v>34</v>
      </c>
      <c r="C31" s="4">
        <v>1453338</v>
      </c>
      <c r="D31" s="5">
        <v>6.89527E-4</v>
      </c>
    </row>
    <row r="32" spans="1:4" x14ac:dyDescent="0.2">
      <c r="A32">
        <v>2015</v>
      </c>
      <c r="B32" s="1" t="s">
        <v>35</v>
      </c>
      <c r="C32" s="4">
        <v>325472</v>
      </c>
      <c r="D32" s="5">
        <v>1.54418E-4</v>
      </c>
    </row>
    <row r="33" spans="1:4" x14ac:dyDescent="0.2">
      <c r="A33">
        <v>2015</v>
      </c>
      <c r="B33" s="1" t="s">
        <v>36</v>
      </c>
      <c r="C33" s="4">
        <v>475136</v>
      </c>
      <c r="D33" s="5">
        <v>2.2542499999999999E-4</v>
      </c>
    </row>
    <row r="34" spans="1:4" x14ac:dyDescent="0.2">
      <c r="A34">
        <v>2015</v>
      </c>
      <c r="B34" s="1" t="s">
        <v>37</v>
      </c>
      <c r="C34" s="4">
        <v>39372</v>
      </c>
      <c r="D34" s="5">
        <v>1.8680000000000001E-5</v>
      </c>
    </row>
    <row r="35" spans="1:4" x14ac:dyDescent="0.2">
      <c r="A35">
        <v>2015</v>
      </c>
      <c r="B35" s="1" t="s">
        <v>38</v>
      </c>
      <c r="C35" s="4">
        <v>16376</v>
      </c>
      <c r="D35" s="5">
        <v>7.7689999999999996E-6</v>
      </c>
    </row>
    <row r="36" spans="1:4" x14ac:dyDescent="0.2">
      <c r="A36">
        <v>2015</v>
      </c>
      <c r="B36" s="1" t="s">
        <v>39</v>
      </c>
      <c r="C36" s="4">
        <v>422934</v>
      </c>
      <c r="D36" s="5">
        <v>2.0065799999999999E-4</v>
      </c>
    </row>
    <row r="37" spans="1:4" x14ac:dyDescent="0.2">
      <c r="A37">
        <v>2015</v>
      </c>
      <c r="B37" s="1" t="s">
        <v>40</v>
      </c>
      <c r="C37" s="4">
        <v>26620</v>
      </c>
      <c r="D37" s="5">
        <v>1.2629999999999999E-5</v>
      </c>
    </row>
    <row r="38" spans="1:4" x14ac:dyDescent="0.2">
      <c r="A38">
        <v>2015</v>
      </c>
      <c r="B38" s="1" t="s">
        <v>41</v>
      </c>
      <c r="C38" s="4">
        <v>380059</v>
      </c>
      <c r="D38" s="5">
        <v>1.8031699999999999E-4</v>
      </c>
    </row>
    <row r="39" spans="1:4" x14ac:dyDescent="0.2">
      <c r="A39">
        <v>2015</v>
      </c>
      <c r="B39" s="1" t="s">
        <v>42</v>
      </c>
      <c r="C39" s="4">
        <v>20469</v>
      </c>
      <c r="D39" s="5">
        <v>9.7119999999999995E-6</v>
      </c>
    </row>
    <row r="40" spans="1:4" x14ac:dyDescent="0.2">
      <c r="A40">
        <v>2015</v>
      </c>
      <c r="B40" s="1" t="s">
        <v>43</v>
      </c>
      <c r="C40" s="4">
        <v>58948</v>
      </c>
      <c r="D40" s="5">
        <v>2.7968000000000001E-5</v>
      </c>
    </row>
    <row r="41" spans="1:4" x14ac:dyDescent="0.2">
      <c r="A41">
        <v>2015</v>
      </c>
      <c r="B41" s="1" t="s">
        <v>44</v>
      </c>
      <c r="C41" s="4">
        <v>1812860</v>
      </c>
      <c r="D41" s="5">
        <v>8.6010000000000004E-4</v>
      </c>
    </row>
    <row r="42" spans="1:4" x14ac:dyDescent="0.2">
      <c r="A42">
        <v>2015</v>
      </c>
      <c r="B42" s="1" t="s">
        <v>45</v>
      </c>
      <c r="C42" s="4">
        <v>25744</v>
      </c>
      <c r="D42" s="5">
        <v>1.2214E-5</v>
      </c>
    </row>
    <row r="43" spans="1:4" x14ac:dyDescent="0.2">
      <c r="A43">
        <v>2015</v>
      </c>
      <c r="B43" s="1" t="s">
        <v>46</v>
      </c>
      <c r="C43" s="4">
        <v>39671</v>
      </c>
      <c r="D43" s="5">
        <v>1.8822E-5</v>
      </c>
    </row>
    <row r="44" spans="1:4" x14ac:dyDescent="0.2">
      <c r="A44">
        <v>2015</v>
      </c>
      <c r="B44" s="1" t="s">
        <v>47</v>
      </c>
      <c r="C44" s="4">
        <v>1490549</v>
      </c>
      <c r="D44" s="5">
        <v>7.0718199999999999E-4</v>
      </c>
    </row>
    <row r="45" spans="1:4" x14ac:dyDescent="0.2">
      <c r="A45">
        <v>2015</v>
      </c>
      <c r="B45" s="1" t="s">
        <v>48</v>
      </c>
      <c r="C45" s="4">
        <v>37691</v>
      </c>
      <c r="D45" s="5">
        <v>1.7881999999999999E-5</v>
      </c>
    </row>
    <row r="46" spans="1:4" x14ac:dyDescent="0.2">
      <c r="A46">
        <v>2015</v>
      </c>
      <c r="B46" s="1" t="s">
        <v>244</v>
      </c>
      <c r="C46" s="4">
        <v>19343</v>
      </c>
      <c r="D46" s="5">
        <v>9.1770000000000004E-6</v>
      </c>
    </row>
    <row r="47" spans="1:4" x14ac:dyDescent="0.2">
      <c r="A47">
        <v>2015</v>
      </c>
      <c r="B47" s="1" t="s">
        <v>50</v>
      </c>
      <c r="C47" s="4">
        <v>1097148</v>
      </c>
      <c r="D47" s="5">
        <v>5.2053500000000003E-4</v>
      </c>
    </row>
    <row r="48" spans="1:4" x14ac:dyDescent="0.2">
      <c r="A48">
        <v>2015</v>
      </c>
      <c r="B48" s="1" t="s">
        <v>51</v>
      </c>
      <c r="C48" s="4">
        <v>79812</v>
      </c>
      <c r="D48" s="5">
        <v>3.7866E-5</v>
      </c>
    </row>
    <row r="49" spans="1:4" x14ac:dyDescent="0.2">
      <c r="A49">
        <v>2015</v>
      </c>
      <c r="B49" s="1" t="s">
        <v>52</v>
      </c>
      <c r="C49" s="4">
        <v>28311</v>
      </c>
      <c r="D49" s="5">
        <v>1.3431999999999999E-5</v>
      </c>
    </row>
    <row r="50" spans="1:4" x14ac:dyDescent="0.2">
      <c r="A50">
        <v>2015</v>
      </c>
      <c r="B50" s="1" t="s">
        <v>245</v>
      </c>
      <c r="C50" t="s">
        <v>6</v>
      </c>
      <c r="D50" s="5">
        <v>0</v>
      </c>
    </row>
    <row r="51" spans="1:4" x14ac:dyDescent="0.2">
      <c r="A51">
        <v>2015</v>
      </c>
      <c r="B51" s="1" t="s">
        <v>54</v>
      </c>
      <c r="C51" s="4">
        <v>120353</v>
      </c>
      <c r="D51" s="5">
        <v>5.7101000000000001E-5</v>
      </c>
    </row>
    <row r="52" spans="1:4" x14ac:dyDescent="0.2">
      <c r="A52">
        <v>2015</v>
      </c>
      <c r="B52" s="1" t="s">
        <v>55</v>
      </c>
      <c r="C52" s="4">
        <v>97353</v>
      </c>
      <c r="D52" s="5">
        <v>4.6189000000000001E-5</v>
      </c>
    </row>
    <row r="53" spans="1:4" x14ac:dyDescent="0.2">
      <c r="A53">
        <v>2015</v>
      </c>
      <c r="B53" s="1" t="s">
        <v>56</v>
      </c>
      <c r="C53" s="4">
        <v>241826</v>
      </c>
      <c r="D53" s="5">
        <v>1.14733E-4</v>
      </c>
    </row>
    <row r="54" spans="1:4" x14ac:dyDescent="0.2">
      <c r="A54">
        <v>2015</v>
      </c>
      <c r="B54" s="1" t="s">
        <v>57</v>
      </c>
      <c r="C54" s="4">
        <v>4470</v>
      </c>
      <c r="D54" s="5">
        <v>2.1210000000000001E-6</v>
      </c>
    </row>
    <row r="55" spans="1:4" x14ac:dyDescent="0.2">
      <c r="A55">
        <v>2015</v>
      </c>
      <c r="B55" s="1" t="s">
        <v>58</v>
      </c>
      <c r="C55" s="4">
        <v>216576</v>
      </c>
      <c r="D55" s="5">
        <v>1.02753E-4</v>
      </c>
    </row>
    <row r="56" spans="1:4" x14ac:dyDescent="0.2">
      <c r="A56">
        <v>2015</v>
      </c>
      <c r="B56" s="1" t="s">
        <v>59</v>
      </c>
      <c r="C56" s="4">
        <v>519846</v>
      </c>
      <c r="D56" s="5">
        <v>2.4663799999999998E-4</v>
      </c>
    </row>
    <row r="57" spans="1:4" x14ac:dyDescent="0.2">
      <c r="A57">
        <v>2015</v>
      </c>
      <c r="B57" s="1" t="s">
        <v>60</v>
      </c>
      <c r="C57" s="4">
        <v>91939</v>
      </c>
      <c r="D57" s="5">
        <v>4.3619999999999999E-5</v>
      </c>
    </row>
    <row r="58" spans="1:4" x14ac:dyDescent="0.2">
      <c r="A58">
        <v>2015</v>
      </c>
      <c r="B58" s="1" t="s">
        <v>61</v>
      </c>
      <c r="C58" s="4">
        <v>44400</v>
      </c>
      <c r="D58" s="5">
        <v>2.1064999999999999E-5</v>
      </c>
    </row>
    <row r="59" spans="1:4" x14ac:dyDescent="0.2">
      <c r="A59">
        <v>2015</v>
      </c>
      <c r="B59" s="1" t="s">
        <v>62</v>
      </c>
      <c r="C59" s="4">
        <v>696348</v>
      </c>
      <c r="D59" s="5">
        <v>3.3037799999999999E-4</v>
      </c>
    </row>
    <row r="60" spans="1:4" x14ac:dyDescent="0.2">
      <c r="A60">
        <v>2015</v>
      </c>
      <c r="B60" s="1" t="s">
        <v>63</v>
      </c>
      <c r="C60" s="4">
        <v>1110294</v>
      </c>
      <c r="D60" s="5">
        <v>5.26772E-4</v>
      </c>
    </row>
    <row r="61" spans="1:4" x14ac:dyDescent="0.2">
      <c r="A61">
        <v>2015</v>
      </c>
      <c r="B61" s="1" t="s">
        <v>64</v>
      </c>
      <c r="C61" s="4">
        <v>233252</v>
      </c>
      <c r="D61" s="5">
        <v>1.10665E-4</v>
      </c>
    </row>
    <row r="62" spans="1:4" x14ac:dyDescent="0.2">
      <c r="A62">
        <v>2015</v>
      </c>
      <c r="B62" s="1" t="s">
        <v>65</v>
      </c>
      <c r="C62" s="4">
        <v>181389</v>
      </c>
      <c r="D62" s="5">
        <v>8.6058999999999997E-5</v>
      </c>
    </row>
    <row r="63" spans="1:4" x14ac:dyDescent="0.2">
      <c r="A63">
        <v>2015</v>
      </c>
      <c r="B63" s="1" t="s">
        <v>66</v>
      </c>
      <c r="C63" s="4">
        <v>744812</v>
      </c>
      <c r="D63" s="5">
        <v>3.5337200000000002E-4</v>
      </c>
    </row>
    <row r="64" spans="1:4" x14ac:dyDescent="0.2">
      <c r="A64">
        <v>2015</v>
      </c>
      <c r="B64" s="1" t="s">
        <v>67</v>
      </c>
      <c r="C64" s="4">
        <v>407940</v>
      </c>
      <c r="D64" s="5">
        <v>1.9354499999999999E-4</v>
      </c>
    </row>
    <row r="65" spans="1:4" x14ac:dyDescent="0.2">
      <c r="A65">
        <v>2015</v>
      </c>
      <c r="B65" s="1" t="s">
        <v>68</v>
      </c>
      <c r="C65" s="4">
        <v>16126</v>
      </c>
      <c r="D65" s="5">
        <v>7.6510000000000001E-6</v>
      </c>
    </row>
    <row r="66" spans="1:4" x14ac:dyDescent="0.2">
      <c r="A66">
        <v>2015</v>
      </c>
      <c r="B66" s="1" t="s">
        <v>69</v>
      </c>
      <c r="C66" s="4">
        <v>358266</v>
      </c>
      <c r="D66" s="5">
        <v>1.69977E-4</v>
      </c>
    </row>
    <row r="67" spans="1:4" x14ac:dyDescent="0.2">
      <c r="A67">
        <v>2015</v>
      </c>
      <c r="B67" s="1" t="s">
        <v>70</v>
      </c>
      <c r="C67" s="4">
        <v>159520</v>
      </c>
      <c r="D67" s="5">
        <v>7.5683E-5</v>
      </c>
    </row>
    <row r="68" spans="1:4" x14ac:dyDescent="0.2">
      <c r="A68">
        <v>2015</v>
      </c>
      <c r="B68" s="1" t="s">
        <v>71</v>
      </c>
      <c r="C68" t="s">
        <v>6</v>
      </c>
      <c r="D68" s="5">
        <v>0</v>
      </c>
    </row>
    <row r="69" spans="1:4" x14ac:dyDescent="0.2">
      <c r="A69">
        <v>2015</v>
      </c>
      <c r="B69" s="1" t="s">
        <v>72</v>
      </c>
      <c r="C69" s="4">
        <v>35511</v>
      </c>
      <c r="D69" s="5">
        <v>1.6847999999999999E-5</v>
      </c>
    </row>
    <row r="70" spans="1:4" x14ac:dyDescent="0.2">
      <c r="A70">
        <v>2015</v>
      </c>
      <c r="B70" s="1" t="s">
        <v>73</v>
      </c>
      <c r="C70" s="4">
        <v>17412</v>
      </c>
      <c r="D70" s="5">
        <v>8.2609999999999993E-6</v>
      </c>
    </row>
    <row r="71" spans="1:4" x14ac:dyDescent="0.2">
      <c r="A71">
        <v>2015</v>
      </c>
      <c r="B71" s="1" t="s">
        <v>74</v>
      </c>
      <c r="C71" s="4">
        <v>6354</v>
      </c>
      <c r="D71" s="5">
        <v>3.0139999999999999E-6</v>
      </c>
    </row>
    <row r="72" spans="1:4" x14ac:dyDescent="0.2">
      <c r="A72">
        <v>2015</v>
      </c>
      <c r="B72" s="1" t="s">
        <v>75</v>
      </c>
      <c r="C72" s="4">
        <v>60516</v>
      </c>
      <c r="D72" s="5">
        <v>2.8711999999999999E-5</v>
      </c>
    </row>
    <row r="73" spans="1:4" x14ac:dyDescent="0.2">
      <c r="A73">
        <v>2015</v>
      </c>
      <c r="B73" s="1" t="s">
        <v>76</v>
      </c>
      <c r="C73" s="4">
        <v>124854</v>
      </c>
      <c r="D73" s="5">
        <v>5.9236E-5</v>
      </c>
    </row>
    <row r="74" spans="1:4" x14ac:dyDescent="0.2">
      <c r="A74">
        <v>2015</v>
      </c>
      <c r="B74" s="1" t="s">
        <v>77</v>
      </c>
      <c r="C74" s="4">
        <v>9378</v>
      </c>
      <c r="D74" s="5">
        <v>4.4490000000000001E-6</v>
      </c>
    </row>
    <row r="75" spans="1:4" x14ac:dyDescent="0.2">
      <c r="A75">
        <v>2015</v>
      </c>
      <c r="B75" s="1" t="s">
        <v>78</v>
      </c>
      <c r="C75" s="4">
        <v>3982050</v>
      </c>
      <c r="D75" s="5">
        <v>1.88926E-3</v>
      </c>
    </row>
    <row r="76" spans="1:4" x14ac:dyDescent="0.2">
      <c r="A76">
        <v>2015</v>
      </c>
      <c r="B76" s="1" t="s">
        <v>79</v>
      </c>
      <c r="C76" s="4">
        <v>169575</v>
      </c>
      <c r="D76" s="5">
        <v>8.0453999999999999E-5</v>
      </c>
    </row>
    <row r="77" spans="1:4" x14ac:dyDescent="0.2">
      <c r="A77">
        <v>2015</v>
      </c>
      <c r="B77" s="1" t="s">
        <v>80</v>
      </c>
      <c r="C77" s="4">
        <v>79393</v>
      </c>
      <c r="D77" s="5">
        <v>3.7666999999999997E-5</v>
      </c>
    </row>
    <row r="78" spans="1:4" x14ac:dyDescent="0.2">
      <c r="A78">
        <v>2015</v>
      </c>
      <c r="B78" s="1" t="s">
        <v>81</v>
      </c>
      <c r="C78" s="4">
        <v>123683</v>
      </c>
      <c r="D78" s="5">
        <v>5.8681000000000003E-5</v>
      </c>
    </row>
    <row r="79" spans="1:4" x14ac:dyDescent="0.2">
      <c r="A79">
        <v>2015</v>
      </c>
      <c r="B79" s="1" t="s">
        <v>82</v>
      </c>
      <c r="C79" s="2">
        <v>3303</v>
      </c>
      <c r="D79" s="5">
        <v>1.567E-6</v>
      </c>
    </row>
    <row r="80" spans="1:4" x14ac:dyDescent="0.2">
      <c r="A80">
        <v>2015</v>
      </c>
      <c r="B80" s="1" t="s">
        <v>83</v>
      </c>
      <c r="C80" s="4">
        <v>358495</v>
      </c>
      <c r="D80" s="5">
        <v>1.7008600000000001E-4</v>
      </c>
    </row>
    <row r="81" spans="1:4" x14ac:dyDescent="0.2">
      <c r="A81">
        <v>2015</v>
      </c>
      <c r="B81" s="1" t="s">
        <v>84</v>
      </c>
      <c r="C81" s="4">
        <v>17541</v>
      </c>
      <c r="D81" s="5">
        <v>8.3219999999999993E-6</v>
      </c>
    </row>
    <row r="82" spans="1:4" x14ac:dyDescent="0.2">
      <c r="A82">
        <v>2015</v>
      </c>
      <c r="B82" s="1" t="s">
        <v>85</v>
      </c>
      <c r="C82" s="4">
        <v>329429</v>
      </c>
      <c r="D82" s="5">
        <v>1.56296E-4</v>
      </c>
    </row>
    <row r="83" spans="1:4" x14ac:dyDescent="0.2">
      <c r="A83">
        <v>2015</v>
      </c>
      <c r="B83" s="1" t="s">
        <v>86</v>
      </c>
      <c r="C83" s="4">
        <v>25810</v>
      </c>
      <c r="D83" s="5">
        <v>1.2245999999999999E-5</v>
      </c>
    </row>
    <row r="84" spans="1:4" x14ac:dyDescent="0.2">
      <c r="A84">
        <v>2015</v>
      </c>
      <c r="B84" s="1" t="s">
        <v>87</v>
      </c>
      <c r="C84" s="4">
        <v>9378</v>
      </c>
      <c r="D84" s="5">
        <v>4.4490000000000001E-6</v>
      </c>
    </row>
    <row r="85" spans="1:4" x14ac:dyDescent="0.2">
      <c r="A85">
        <v>2015</v>
      </c>
      <c r="B85" s="1" t="s">
        <v>88</v>
      </c>
      <c r="C85" s="4">
        <v>699067</v>
      </c>
      <c r="D85" s="5">
        <v>3.3166800000000002E-4</v>
      </c>
    </row>
    <row r="86" spans="1:4" x14ac:dyDescent="0.2">
      <c r="A86">
        <v>2015</v>
      </c>
      <c r="B86" s="1" t="s">
        <v>89</v>
      </c>
      <c r="C86" s="4">
        <v>867848</v>
      </c>
      <c r="D86" s="5">
        <v>4.11746E-4</v>
      </c>
    </row>
    <row r="87" spans="1:4" x14ac:dyDescent="0.2">
      <c r="A87">
        <v>2015</v>
      </c>
      <c r="B87" s="1" t="s">
        <v>90</v>
      </c>
      <c r="C87" s="4">
        <v>38928</v>
      </c>
      <c r="D87" s="5">
        <v>1.8468999999999999E-5</v>
      </c>
    </row>
    <row r="88" spans="1:4" x14ac:dyDescent="0.2">
      <c r="A88">
        <v>2015</v>
      </c>
      <c r="B88" s="1" t="s">
        <v>91</v>
      </c>
      <c r="C88" s="4">
        <v>155698</v>
      </c>
      <c r="D88" s="5">
        <v>7.3869999999999996E-5</v>
      </c>
    </row>
    <row r="89" spans="1:4" x14ac:dyDescent="0.2">
      <c r="A89">
        <v>2015</v>
      </c>
      <c r="B89" s="1" t="s">
        <v>92</v>
      </c>
      <c r="C89" s="4">
        <v>1824341</v>
      </c>
      <c r="D89" s="5">
        <v>8.6554799999999995E-4</v>
      </c>
    </row>
    <row r="90" spans="1:4" x14ac:dyDescent="0.2">
      <c r="A90">
        <v>2015</v>
      </c>
      <c r="B90" s="1" t="s">
        <v>93</v>
      </c>
      <c r="C90" s="4">
        <v>89015</v>
      </c>
      <c r="D90" s="5">
        <v>4.2233E-5</v>
      </c>
    </row>
    <row r="91" spans="1:4" x14ac:dyDescent="0.2">
      <c r="A91">
        <v>2015</v>
      </c>
      <c r="B91" s="1" t="s">
        <v>246</v>
      </c>
      <c r="C91" s="4">
        <v>5787</v>
      </c>
      <c r="D91" s="5">
        <v>2.745E-6</v>
      </c>
    </row>
    <row r="92" spans="1:4" x14ac:dyDescent="0.2">
      <c r="A92">
        <v>2015</v>
      </c>
      <c r="B92" s="1" t="s">
        <v>94</v>
      </c>
      <c r="C92" s="4">
        <v>2679603</v>
      </c>
      <c r="D92" s="5">
        <v>1.2713220000000001E-3</v>
      </c>
    </row>
    <row r="93" spans="1:4" x14ac:dyDescent="0.2">
      <c r="A93">
        <v>2015</v>
      </c>
      <c r="B93" s="1" t="s">
        <v>95</v>
      </c>
      <c r="C93" s="4">
        <v>116978</v>
      </c>
      <c r="D93" s="5">
        <v>5.5498999999999998E-5</v>
      </c>
    </row>
    <row r="94" spans="1:4" x14ac:dyDescent="0.2">
      <c r="A94">
        <v>2015</v>
      </c>
      <c r="B94" s="1" t="s">
        <v>96</v>
      </c>
      <c r="C94" s="4">
        <v>7263578</v>
      </c>
      <c r="D94" s="5">
        <v>3.4461610000000001E-3</v>
      </c>
    </row>
    <row r="95" spans="1:4" x14ac:dyDescent="0.2">
      <c r="A95">
        <v>2015</v>
      </c>
      <c r="B95" s="1" t="s">
        <v>97</v>
      </c>
      <c r="C95" s="4">
        <v>4441484</v>
      </c>
      <c r="D95" s="5">
        <v>2.1072360000000002E-3</v>
      </c>
    </row>
    <row r="96" spans="1:4" x14ac:dyDescent="0.2">
      <c r="A96">
        <v>2015</v>
      </c>
      <c r="B96" s="1" t="s">
        <v>98</v>
      </c>
      <c r="C96" s="4">
        <v>162715</v>
      </c>
      <c r="D96" s="5">
        <v>7.7199000000000004E-5</v>
      </c>
    </row>
    <row r="97" spans="1:4" x14ac:dyDescent="0.2">
      <c r="A97">
        <v>2015</v>
      </c>
      <c r="B97" s="1" t="s">
        <v>99</v>
      </c>
      <c r="C97" s="4">
        <v>5206</v>
      </c>
      <c r="D97" s="5">
        <v>2.4700000000000001E-6</v>
      </c>
    </row>
    <row r="98" spans="1:4" x14ac:dyDescent="0.2">
      <c r="A98">
        <v>2015</v>
      </c>
      <c r="B98" s="1" t="s">
        <v>99</v>
      </c>
      <c r="C98" s="4">
        <v>10372</v>
      </c>
      <c r="D98" s="5">
        <v>4.921E-6</v>
      </c>
    </row>
    <row r="99" spans="1:4" x14ac:dyDescent="0.2">
      <c r="A99">
        <v>2015</v>
      </c>
      <c r="B99" s="1" t="s">
        <v>100</v>
      </c>
      <c r="C99" s="4">
        <v>261657</v>
      </c>
      <c r="D99" s="5">
        <v>1.2414199999999999E-4</v>
      </c>
    </row>
    <row r="100" spans="1:4" x14ac:dyDescent="0.2">
      <c r="A100">
        <v>2015</v>
      </c>
      <c r="B100" s="1" t="s">
        <v>101</v>
      </c>
      <c r="C100" s="4">
        <v>205036</v>
      </c>
      <c r="D100" s="5">
        <v>9.7277999999999999E-5</v>
      </c>
    </row>
    <row r="101" spans="1:4" x14ac:dyDescent="0.2">
      <c r="A101">
        <v>2015</v>
      </c>
      <c r="B101" s="1" t="s">
        <v>102</v>
      </c>
      <c r="C101" s="4">
        <v>17160</v>
      </c>
      <c r="D101" s="5">
        <v>8.1410000000000005E-6</v>
      </c>
    </row>
    <row r="102" spans="1:4" x14ac:dyDescent="0.2">
      <c r="A102">
        <v>2015</v>
      </c>
      <c r="B102" s="1" t="s">
        <v>103</v>
      </c>
      <c r="C102" s="4">
        <v>4460545</v>
      </c>
      <c r="D102" s="5">
        <v>2.116279E-3</v>
      </c>
    </row>
    <row r="103" spans="1:4" x14ac:dyDescent="0.2">
      <c r="A103">
        <v>2015</v>
      </c>
      <c r="B103" s="1" t="s">
        <v>104</v>
      </c>
      <c r="C103" s="4">
        <v>56362</v>
      </c>
      <c r="D103" s="5">
        <v>2.6741E-5</v>
      </c>
    </row>
    <row r="104" spans="1:4" x14ac:dyDescent="0.2">
      <c r="A104">
        <v>2015</v>
      </c>
      <c r="B104" s="1" t="s">
        <v>105</v>
      </c>
      <c r="C104" s="4">
        <v>48374</v>
      </c>
      <c r="D104" s="5">
        <v>2.2951000000000001E-5</v>
      </c>
    </row>
    <row r="105" spans="1:4" x14ac:dyDescent="0.2">
      <c r="A105">
        <v>2015</v>
      </c>
      <c r="B105" s="1" t="s">
        <v>106</v>
      </c>
      <c r="C105" s="4">
        <v>294976</v>
      </c>
      <c r="D105" s="5">
        <v>1.3994999999999999E-4</v>
      </c>
    </row>
    <row r="106" spans="1:4" x14ac:dyDescent="0.2">
      <c r="A106">
        <v>2015</v>
      </c>
      <c r="B106" s="1" t="s">
        <v>107</v>
      </c>
      <c r="C106" s="4">
        <v>621855</v>
      </c>
      <c r="D106" s="5">
        <v>2.9503599999999999E-4</v>
      </c>
    </row>
    <row r="107" spans="1:4" x14ac:dyDescent="0.2">
      <c r="A107">
        <v>2015</v>
      </c>
      <c r="B107" s="1" t="s">
        <v>108</v>
      </c>
      <c r="C107" s="4">
        <v>688454</v>
      </c>
      <c r="D107" s="5">
        <v>3.26633E-4</v>
      </c>
    </row>
    <row r="108" spans="1:4" x14ac:dyDescent="0.2">
      <c r="A108">
        <v>2015</v>
      </c>
      <c r="B108" s="1" t="s">
        <v>109</v>
      </c>
      <c r="C108" s="4">
        <v>277991</v>
      </c>
      <c r="D108" s="5">
        <v>1.31891E-4</v>
      </c>
    </row>
    <row r="109" spans="1:4" x14ac:dyDescent="0.2">
      <c r="A109">
        <v>2015</v>
      </c>
      <c r="B109" s="1" t="s">
        <v>110</v>
      </c>
      <c r="C109" s="4">
        <v>257271</v>
      </c>
      <c r="D109" s="5">
        <v>1.22061E-4</v>
      </c>
    </row>
    <row r="110" spans="1:4" x14ac:dyDescent="0.2">
      <c r="A110">
        <v>2015</v>
      </c>
      <c r="B110" s="1" t="s">
        <v>111</v>
      </c>
      <c r="C110" s="4">
        <v>15160</v>
      </c>
      <c r="D110" s="5">
        <v>7.1919999999999999E-6</v>
      </c>
    </row>
    <row r="111" spans="1:4" x14ac:dyDescent="0.2">
      <c r="A111">
        <v>2015</v>
      </c>
      <c r="B111" s="1" t="s">
        <v>112</v>
      </c>
      <c r="C111" s="4">
        <v>54707</v>
      </c>
      <c r="D111" s="5">
        <v>2.5955000000000001E-5</v>
      </c>
    </row>
    <row r="112" spans="1:4" x14ac:dyDescent="0.2">
      <c r="A112">
        <v>2015</v>
      </c>
      <c r="B112" s="1" t="s">
        <v>113</v>
      </c>
      <c r="C112" s="4">
        <v>256876</v>
      </c>
      <c r="D112" s="5">
        <v>1.21873E-4</v>
      </c>
    </row>
    <row r="113" spans="1:4" x14ac:dyDescent="0.2">
      <c r="A113">
        <v>2015</v>
      </c>
      <c r="B113" s="1" t="s">
        <v>114</v>
      </c>
      <c r="C113" s="4">
        <v>75371</v>
      </c>
      <c r="D113" s="5">
        <v>3.5759000000000001E-5</v>
      </c>
    </row>
    <row r="114" spans="1:4" x14ac:dyDescent="0.2">
      <c r="A114">
        <v>2015</v>
      </c>
      <c r="B114" s="1" t="s">
        <v>115</v>
      </c>
      <c r="C114" s="4">
        <v>96577</v>
      </c>
      <c r="D114" s="5">
        <v>4.5819999999999998E-5</v>
      </c>
    </row>
    <row r="115" spans="1:4" x14ac:dyDescent="0.2">
      <c r="A115">
        <v>2015</v>
      </c>
      <c r="B115" s="1" t="s">
        <v>116</v>
      </c>
      <c r="C115" s="4">
        <v>300905</v>
      </c>
      <c r="D115" s="5">
        <v>1.4276299999999999E-4</v>
      </c>
    </row>
    <row r="116" spans="1:4" x14ac:dyDescent="0.2">
      <c r="A116">
        <v>2015</v>
      </c>
      <c r="B116" s="1" t="s">
        <v>247</v>
      </c>
      <c r="C116" s="4">
        <v>420448</v>
      </c>
      <c r="D116" s="5">
        <v>1.9947899999999999E-4</v>
      </c>
    </row>
    <row r="117" spans="1:4" x14ac:dyDescent="0.2">
      <c r="A117">
        <v>2015</v>
      </c>
      <c r="B117" s="1" t="s">
        <v>248</v>
      </c>
      <c r="C117" s="4">
        <v>58293</v>
      </c>
      <c r="D117" s="5">
        <v>2.7657E-5</v>
      </c>
    </row>
    <row r="118" spans="1:4" x14ac:dyDescent="0.2">
      <c r="A118">
        <v>2015</v>
      </c>
      <c r="B118" s="1" t="s">
        <v>119</v>
      </c>
      <c r="C118" s="4">
        <v>59461</v>
      </c>
      <c r="D118" s="5">
        <v>2.8211000000000001E-5</v>
      </c>
    </row>
    <row r="119" spans="1:4" x14ac:dyDescent="0.2">
      <c r="A119">
        <v>2015</v>
      </c>
      <c r="B119" s="1" t="s">
        <v>249</v>
      </c>
      <c r="C119" s="4">
        <v>1218636</v>
      </c>
      <c r="D119" s="5">
        <v>5.78175E-4</v>
      </c>
    </row>
    <row r="120" spans="1:4" x14ac:dyDescent="0.2">
      <c r="A120">
        <v>2015</v>
      </c>
      <c r="B120" s="1" t="s">
        <v>121</v>
      </c>
      <c r="C120" s="4">
        <v>1415565</v>
      </c>
      <c r="D120" s="5">
        <v>6.7160600000000005E-4</v>
      </c>
    </row>
    <row r="121" spans="1:4" x14ac:dyDescent="0.2">
      <c r="A121">
        <v>2015</v>
      </c>
      <c r="B121" s="1" t="s">
        <v>122</v>
      </c>
      <c r="C121" s="4">
        <v>561723</v>
      </c>
      <c r="D121" s="5">
        <v>2.6650600000000001E-4</v>
      </c>
    </row>
    <row r="122" spans="1:4" x14ac:dyDescent="0.2">
      <c r="A122">
        <v>2015</v>
      </c>
      <c r="B122" s="1" t="s">
        <v>123</v>
      </c>
      <c r="C122" s="4">
        <v>1247849</v>
      </c>
      <c r="D122" s="5">
        <v>5.9203499999999998E-4</v>
      </c>
    </row>
    <row r="123" spans="1:4" x14ac:dyDescent="0.2">
      <c r="A123">
        <v>2015</v>
      </c>
      <c r="B123" s="1" t="s">
        <v>124</v>
      </c>
      <c r="C123" s="4">
        <v>3754</v>
      </c>
      <c r="D123" s="5">
        <v>1.781E-6</v>
      </c>
    </row>
    <row r="124" spans="1:4" x14ac:dyDescent="0.2">
      <c r="A124">
        <v>2015</v>
      </c>
      <c r="B124" s="1" t="s">
        <v>125</v>
      </c>
      <c r="C124" s="4">
        <v>33104</v>
      </c>
      <c r="D124" s="5">
        <v>1.5705999999999998E-5</v>
      </c>
    </row>
    <row r="125" spans="1:4" x14ac:dyDescent="0.2">
      <c r="A125">
        <v>2015</v>
      </c>
      <c r="B125" s="1" t="s">
        <v>126</v>
      </c>
      <c r="C125" s="4">
        <v>122411</v>
      </c>
      <c r="D125" s="5">
        <v>5.8077E-5</v>
      </c>
    </row>
    <row r="126" spans="1:4" x14ac:dyDescent="0.2">
      <c r="A126">
        <v>2015</v>
      </c>
      <c r="B126" s="1" t="s">
        <v>127</v>
      </c>
      <c r="C126" s="4">
        <v>169093</v>
      </c>
      <c r="D126" s="5">
        <v>8.0224999999999998E-5</v>
      </c>
    </row>
    <row r="127" spans="1:4" x14ac:dyDescent="0.2">
      <c r="A127">
        <v>2015</v>
      </c>
      <c r="B127" s="1" t="s">
        <v>128</v>
      </c>
      <c r="C127" s="4">
        <v>262145</v>
      </c>
      <c r="D127" s="5">
        <v>1.24373E-4</v>
      </c>
    </row>
    <row r="128" spans="1:4" x14ac:dyDescent="0.2">
      <c r="A128">
        <v>2015</v>
      </c>
      <c r="B128" s="1" t="s">
        <v>129</v>
      </c>
      <c r="C128" s="4">
        <v>31452</v>
      </c>
      <c r="D128" s="5">
        <v>1.4922E-5</v>
      </c>
    </row>
    <row r="129" spans="1:4" x14ac:dyDescent="0.2">
      <c r="A129">
        <v>2015</v>
      </c>
      <c r="B129" s="1" t="s">
        <v>130</v>
      </c>
      <c r="C129" s="4">
        <v>83512</v>
      </c>
      <c r="D129" s="5">
        <v>3.9622000000000001E-5</v>
      </c>
    </row>
    <row r="130" spans="1:4" x14ac:dyDescent="0.2">
      <c r="A130">
        <v>2015</v>
      </c>
      <c r="B130" s="1" t="s">
        <v>131</v>
      </c>
      <c r="C130" s="4">
        <v>79726</v>
      </c>
      <c r="D130" s="5">
        <v>3.7824999999999998E-5</v>
      </c>
    </row>
    <row r="131" spans="1:4" x14ac:dyDescent="0.2">
      <c r="A131">
        <v>2015</v>
      </c>
      <c r="B131" s="1" t="s">
        <v>132</v>
      </c>
      <c r="C131" s="4">
        <v>22556</v>
      </c>
      <c r="D131" s="5">
        <v>1.0702E-5</v>
      </c>
    </row>
    <row r="132" spans="1:4" x14ac:dyDescent="0.2">
      <c r="A132">
        <v>2015</v>
      </c>
      <c r="B132" s="1" t="s">
        <v>133</v>
      </c>
      <c r="C132" s="4">
        <v>61710</v>
      </c>
      <c r="D132" s="5">
        <v>2.9278E-5</v>
      </c>
    </row>
    <row r="133" spans="1:4" x14ac:dyDescent="0.2">
      <c r="A133">
        <v>2015</v>
      </c>
      <c r="B133" s="1" t="s">
        <v>134</v>
      </c>
      <c r="C133" s="4">
        <v>204401</v>
      </c>
      <c r="D133" s="5">
        <v>9.6977000000000003E-5</v>
      </c>
    </row>
    <row r="134" spans="1:4" x14ac:dyDescent="0.2">
      <c r="A134">
        <v>2015</v>
      </c>
      <c r="B134" s="1" t="s">
        <v>135</v>
      </c>
      <c r="C134" s="4">
        <v>17354</v>
      </c>
      <c r="D134" s="5">
        <v>8.2339999999999994E-6</v>
      </c>
    </row>
    <row r="135" spans="1:4" x14ac:dyDescent="0.2">
      <c r="A135">
        <v>2015</v>
      </c>
      <c r="B135" s="1" t="s">
        <v>250</v>
      </c>
      <c r="C135" s="4">
        <v>439261</v>
      </c>
      <c r="D135" s="5">
        <v>2.0840499999999999E-4</v>
      </c>
    </row>
    <row r="136" spans="1:4" x14ac:dyDescent="0.2">
      <c r="A136">
        <v>2015</v>
      </c>
      <c r="B136" s="1" t="s">
        <v>251</v>
      </c>
      <c r="C136" s="4">
        <v>15211875</v>
      </c>
      <c r="D136" s="5">
        <v>7.2171839999999998E-3</v>
      </c>
    </row>
    <row r="137" spans="1:4" x14ac:dyDescent="0.2">
      <c r="A137">
        <v>2015</v>
      </c>
      <c r="B137" s="1" t="s">
        <v>252</v>
      </c>
      <c r="C137" s="4">
        <v>224456</v>
      </c>
      <c r="D137" s="5">
        <v>1.06492E-4</v>
      </c>
    </row>
    <row r="138" spans="1:4" x14ac:dyDescent="0.2">
      <c r="A138">
        <v>2015</v>
      </c>
      <c r="B138" s="1" t="s">
        <v>253</v>
      </c>
      <c r="C138" s="4">
        <v>18599969</v>
      </c>
      <c r="D138" s="5">
        <v>8.8246450000000008E-3</v>
      </c>
    </row>
    <row r="139" spans="1:4" x14ac:dyDescent="0.2">
      <c r="A139">
        <v>2015</v>
      </c>
      <c r="B139" s="1" t="s">
        <v>140</v>
      </c>
      <c r="C139" s="4">
        <v>18583</v>
      </c>
      <c r="D139" s="5">
        <v>8.8170000000000005E-6</v>
      </c>
    </row>
    <row r="140" spans="1:4" x14ac:dyDescent="0.2">
      <c r="A140">
        <v>2015</v>
      </c>
      <c r="B140" s="1" t="s">
        <v>254</v>
      </c>
      <c r="C140" s="4">
        <v>74744</v>
      </c>
      <c r="D140" s="5">
        <v>3.5462E-5</v>
      </c>
    </row>
    <row r="141" spans="1:4" x14ac:dyDescent="0.2">
      <c r="A141">
        <v>2015</v>
      </c>
      <c r="B141" s="1" t="s">
        <v>142</v>
      </c>
      <c r="C141" s="4">
        <v>58497</v>
      </c>
      <c r="D141" s="5">
        <v>2.7753999999999999E-5</v>
      </c>
    </row>
    <row r="142" spans="1:4" x14ac:dyDescent="0.2">
      <c r="A142">
        <v>2015</v>
      </c>
      <c r="B142" s="1" t="s">
        <v>143</v>
      </c>
      <c r="C142" s="4">
        <v>45819</v>
      </c>
      <c r="D142" s="5">
        <v>2.1739E-5</v>
      </c>
    </row>
    <row r="143" spans="1:4" x14ac:dyDescent="0.2">
      <c r="A143">
        <v>2015</v>
      </c>
      <c r="B143" s="1" t="s">
        <v>144</v>
      </c>
      <c r="C143" s="4">
        <v>115785</v>
      </c>
      <c r="D143" s="5">
        <v>5.4932999999999997E-5</v>
      </c>
    </row>
    <row r="144" spans="1:4" x14ac:dyDescent="0.2">
      <c r="A144">
        <v>2015</v>
      </c>
      <c r="B144" s="1" t="s">
        <v>255</v>
      </c>
      <c r="C144" s="4">
        <v>1761155</v>
      </c>
      <c r="D144" s="5">
        <v>8.3556899999999998E-4</v>
      </c>
    </row>
    <row r="145" spans="1:4" x14ac:dyDescent="0.2">
      <c r="A145">
        <v>2015</v>
      </c>
      <c r="B145" s="1" t="s">
        <v>256</v>
      </c>
      <c r="C145" s="4">
        <v>461154</v>
      </c>
      <c r="D145" s="5">
        <v>2.1879199999999999E-4</v>
      </c>
    </row>
    <row r="146" spans="1:4" x14ac:dyDescent="0.2">
      <c r="A146">
        <v>2015</v>
      </c>
      <c r="B146" s="1" t="s">
        <v>147</v>
      </c>
      <c r="C146" s="4">
        <v>22813</v>
      </c>
      <c r="D146" s="5">
        <v>1.0824E-5</v>
      </c>
    </row>
    <row r="147" spans="1:4" x14ac:dyDescent="0.2">
      <c r="A147">
        <v>2015</v>
      </c>
      <c r="B147" s="1" t="s">
        <v>148</v>
      </c>
      <c r="C147" s="4">
        <v>723319</v>
      </c>
      <c r="D147" s="5">
        <v>3.4317400000000002E-4</v>
      </c>
    </row>
    <row r="148" spans="1:4" x14ac:dyDescent="0.2">
      <c r="A148">
        <v>2015</v>
      </c>
      <c r="B148" s="1" t="s">
        <v>149</v>
      </c>
      <c r="C148" s="4">
        <v>13866</v>
      </c>
      <c r="D148" s="5">
        <v>6.579E-6</v>
      </c>
    </row>
    <row r="149" spans="1:4" x14ac:dyDescent="0.2">
      <c r="A149">
        <v>2015</v>
      </c>
      <c r="B149" s="1" t="s">
        <v>150</v>
      </c>
      <c r="C149" s="4">
        <v>37145</v>
      </c>
      <c r="D149" s="5">
        <v>1.7623000000000001E-5</v>
      </c>
    </row>
    <row r="150" spans="1:4" x14ac:dyDescent="0.2">
      <c r="A150">
        <v>2015</v>
      </c>
      <c r="B150" s="1" t="s">
        <v>151</v>
      </c>
      <c r="C150" s="4">
        <v>43320</v>
      </c>
      <c r="D150" s="5">
        <v>2.0553000000000001E-5</v>
      </c>
    </row>
    <row r="151" spans="1:4" x14ac:dyDescent="0.2">
      <c r="A151">
        <v>2015</v>
      </c>
      <c r="B151" s="1" t="s">
        <v>152</v>
      </c>
      <c r="C151" s="4">
        <v>924868</v>
      </c>
      <c r="D151" s="5">
        <v>4.3879800000000001E-4</v>
      </c>
    </row>
    <row r="152" spans="1:4" x14ac:dyDescent="0.2">
      <c r="A152">
        <v>2015</v>
      </c>
      <c r="B152" s="1" t="s">
        <v>153</v>
      </c>
      <c r="C152" s="4">
        <v>2066875</v>
      </c>
      <c r="D152" s="5">
        <v>9.8061700000000003E-4</v>
      </c>
    </row>
    <row r="153" spans="1:4" x14ac:dyDescent="0.2">
      <c r="A153">
        <v>2015</v>
      </c>
      <c r="B153" s="1" t="s">
        <v>154</v>
      </c>
      <c r="C153" s="4">
        <v>677119</v>
      </c>
      <c r="D153" s="5">
        <v>3.21255E-4</v>
      </c>
    </row>
    <row r="154" spans="1:4" x14ac:dyDescent="0.2">
      <c r="A154">
        <v>2015</v>
      </c>
      <c r="B154" s="1" t="s">
        <v>155</v>
      </c>
      <c r="C154" s="4">
        <v>118985</v>
      </c>
      <c r="D154" s="5">
        <v>5.6452000000000001E-5</v>
      </c>
    </row>
    <row r="155" spans="1:4" x14ac:dyDescent="0.2">
      <c r="A155">
        <v>2015</v>
      </c>
      <c r="B155" s="1" t="s">
        <v>156</v>
      </c>
      <c r="C155" s="2">
        <v>747191</v>
      </c>
      <c r="D155" s="5">
        <v>3.545E-4</v>
      </c>
    </row>
    <row r="156" spans="1:4" x14ac:dyDescent="0.2">
      <c r="A156">
        <v>2015</v>
      </c>
      <c r="B156" s="1" t="s">
        <v>157</v>
      </c>
      <c r="C156" s="4">
        <v>8492</v>
      </c>
      <c r="D156" s="5">
        <v>4.0289999999999999E-6</v>
      </c>
    </row>
    <row r="157" spans="1:4" x14ac:dyDescent="0.2">
      <c r="A157">
        <v>2015</v>
      </c>
      <c r="B157" s="1" t="s">
        <v>158</v>
      </c>
      <c r="C157" s="4">
        <v>178293</v>
      </c>
      <c r="D157" s="5">
        <v>8.4590000000000002E-5</v>
      </c>
    </row>
    <row r="158" spans="1:4" x14ac:dyDescent="0.2">
      <c r="A158">
        <v>2015</v>
      </c>
      <c r="B158" s="1" t="s">
        <v>159</v>
      </c>
      <c r="C158" s="4">
        <v>83927</v>
      </c>
      <c r="D158" s="5">
        <v>3.9818999999999999E-5</v>
      </c>
    </row>
    <row r="159" spans="1:4" x14ac:dyDescent="0.2">
      <c r="A159">
        <v>2015</v>
      </c>
      <c r="B159" s="1" t="s">
        <v>257</v>
      </c>
      <c r="C159" s="4">
        <v>282039</v>
      </c>
      <c r="D159" s="5">
        <v>1.33812E-4</v>
      </c>
    </row>
    <row r="160" spans="1:4" x14ac:dyDescent="0.2">
      <c r="A160">
        <v>2015</v>
      </c>
      <c r="B160" s="1" t="s">
        <v>258</v>
      </c>
      <c r="C160" s="4">
        <v>445652</v>
      </c>
      <c r="D160" s="5">
        <v>2.11437E-4</v>
      </c>
    </row>
    <row r="161" spans="1:4" x14ac:dyDescent="0.2">
      <c r="A161">
        <v>2015</v>
      </c>
      <c r="B161" s="1" t="s">
        <v>162</v>
      </c>
      <c r="C161" s="4">
        <v>1269261</v>
      </c>
      <c r="D161" s="5">
        <v>6.02193E-4</v>
      </c>
    </row>
    <row r="162" spans="1:4" x14ac:dyDescent="0.2">
      <c r="A162">
        <v>2015</v>
      </c>
      <c r="B162" s="1" t="s">
        <v>163</v>
      </c>
      <c r="C162" s="4">
        <v>2187861</v>
      </c>
      <c r="D162" s="5">
        <v>1.0380179999999999E-3</v>
      </c>
    </row>
    <row r="163" spans="1:4" x14ac:dyDescent="0.2">
      <c r="A163">
        <v>2015</v>
      </c>
      <c r="B163" s="1" t="s">
        <v>164</v>
      </c>
      <c r="C163" s="4">
        <v>17786</v>
      </c>
      <c r="D163" s="5">
        <v>8.4379999999999995E-6</v>
      </c>
    </row>
    <row r="164" spans="1:4" x14ac:dyDescent="0.2">
      <c r="A164">
        <v>2015</v>
      </c>
      <c r="B164" s="1" t="s">
        <v>165</v>
      </c>
      <c r="C164" s="4">
        <v>50620</v>
      </c>
      <c r="D164" s="5">
        <v>2.4015999999999998E-5</v>
      </c>
    </row>
    <row r="165" spans="1:4" x14ac:dyDescent="0.2">
      <c r="A165">
        <v>2015</v>
      </c>
      <c r="B165" s="1" t="s">
        <v>166</v>
      </c>
      <c r="C165" s="4">
        <v>98837</v>
      </c>
      <c r="D165" s="5">
        <v>4.6893E-5</v>
      </c>
    </row>
    <row r="166" spans="1:4" x14ac:dyDescent="0.2">
      <c r="A166">
        <v>2015</v>
      </c>
      <c r="B166" s="1" t="s">
        <v>167</v>
      </c>
      <c r="C166" s="4">
        <v>98254</v>
      </c>
      <c r="D166" s="5">
        <v>4.6616000000000002E-5</v>
      </c>
    </row>
    <row r="167" spans="1:4" x14ac:dyDescent="0.2">
      <c r="A167">
        <v>2015</v>
      </c>
      <c r="B167" s="1" t="s">
        <v>168</v>
      </c>
      <c r="C167" s="4">
        <v>33898</v>
      </c>
      <c r="D167" s="5">
        <v>1.6082999999999998E-5</v>
      </c>
    </row>
    <row r="168" spans="1:4" x14ac:dyDescent="0.2">
      <c r="A168">
        <v>2015</v>
      </c>
      <c r="B168" s="1" t="s">
        <v>169</v>
      </c>
      <c r="C168" s="4">
        <v>596531</v>
      </c>
      <c r="D168" s="5">
        <v>2.83021E-4</v>
      </c>
    </row>
    <row r="169" spans="1:4" x14ac:dyDescent="0.2">
      <c r="A169">
        <v>2015</v>
      </c>
      <c r="B169" s="1" t="s">
        <v>170</v>
      </c>
      <c r="C169" s="4">
        <v>1066694</v>
      </c>
      <c r="D169" s="5">
        <v>5.0608700000000001E-4</v>
      </c>
    </row>
    <row r="170" spans="1:4" x14ac:dyDescent="0.2">
      <c r="A170">
        <v>2015</v>
      </c>
      <c r="B170" s="1" t="s">
        <v>171</v>
      </c>
      <c r="C170" s="4">
        <v>28736</v>
      </c>
      <c r="D170" s="5">
        <v>1.3634E-5</v>
      </c>
    </row>
    <row r="171" spans="1:4" x14ac:dyDescent="0.2">
      <c r="A171">
        <v>2015</v>
      </c>
      <c r="B171" s="1" t="s">
        <v>172</v>
      </c>
      <c r="C171" s="4">
        <v>512633</v>
      </c>
      <c r="D171" s="5">
        <v>2.4321600000000001E-4</v>
      </c>
    </row>
    <row r="172" spans="1:4" x14ac:dyDescent="0.2">
      <c r="A172">
        <v>2015</v>
      </c>
      <c r="B172" s="1" t="s">
        <v>173</v>
      </c>
      <c r="C172" s="4">
        <v>75383</v>
      </c>
      <c r="D172" s="5">
        <v>3.5765000000000001E-5</v>
      </c>
    </row>
    <row r="173" spans="1:4" x14ac:dyDescent="0.2">
      <c r="A173">
        <v>2015</v>
      </c>
      <c r="B173" s="1" t="s">
        <v>174</v>
      </c>
      <c r="C173" s="4">
        <v>156950</v>
      </c>
      <c r="D173" s="5">
        <v>7.4463999999999997E-5</v>
      </c>
    </row>
    <row r="174" spans="1:4" x14ac:dyDescent="0.2">
      <c r="A174">
        <v>2015</v>
      </c>
      <c r="B174" s="1" t="s">
        <v>175</v>
      </c>
      <c r="C174" s="4">
        <v>400457</v>
      </c>
      <c r="D174" s="5">
        <v>1.89994E-4</v>
      </c>
    </row>
    <row r="175" spans="1:4" x14ac:dyDescent="0.2">
      <c r="A175">
        <v>2015</v>
      </c>
      <c r="B175" s="1" t="s">
        <v>176</v>
      </c>
      <c r="C175" s="4">
        <v>338851</v>
      </c>
      <c r="D175" s="5">
        <v>1.6076600000000001E-4</v>
      </c>
    </row>
    <row r="176" spans="1:4" x14ac:dyDescent="0.2">
      <c r="A176">
        <v>2015</v>
      </c>
      <c r="B176" s="1" t="s">
        <v>177</v>
      </c>
      <c r="C176" s="4">
        <v>27717</v>
      </c>
      <c r="D176" s="5">
        <v>1.3149999999999999E-5</v>
      </c>
    </row>
    <row r="177" spans="1:4" x14ac:dyDescent="0.2">
      <c r="A177">
        <v>2015</v>
      </c>
      <c r="B177" s="1" t="s">
        <v>178</v>
      </c>
      <c r="C177" s="4">
        <v>13034</v>
      </c>
      <c r="D177" s="5">
        <v>6.1840000000000004E-6</v>
      </c>
    </row>
    <row r="178" spans="1:4" x14ac:dyDescent="0.2">
      <c r="A178">
        <v>2015</v>
      </c>
      <c r="B178" s="1" t="s">
        <v>179</v>
      </c>
      <c r="C178" s="4">
        <v>799995</v>
      </c>
      <c r="D178" s="5">
        <v>3.7955299999999998E-4</v>
      </c>
    </row>
    <row r="179" spans="1:4" x14ac:dyDescent="0.2">
      <c r="A179">
        <v>2015</v>
      </c>
      <c r="B179" s="1" t="s">
        <v>180</v>
      </c>
      <c r="C179" s="4">
        <v>109723</v>
      </c>
      <c r="D179" s="5">
        <v>5.2057E-5</v>
      </c>
    </row>
    <row r="180" spans="1:4" x14ac:dyDescent="0.2">
      <c r="A180">
        <v>2015</v>
      </c>
      <c r="B180" s="1" t="s">
        <v>181</v>
      </c>
      <c r="C180" s="4">
        <v>29841</v>
      </c>
      <c r="D180" s="5">
        <v>1.4158000000000001E-5</v>
      </c>
    </row>
    <row r="181" spans="1:4" x14ac:dyDescent="0.2">
      <c r="A181">
        <v>2015</v>
      </c>
      <c r="B181" s="1" t="s">
        <v>182</v>
      </c>
      <c r="C181" s="4">
        <v>67976</v>
      </c>
      <c r="D181" s="5">
        <v>3.2251E-5</v>
      </c>
    </row>
    <row r="182" spans="1:4" x14ac:dyDescent="0.2">
      <c r="A182">
        <v>2015</v>
      </c>
      <c r="B182" s="1" t="s">
        <v>183</v>
      </c>
      <c r="C182" s="4">
        <v>1864791</v>
      </c>
      <c r="D182" s="5">
        <v>8.8473899999999995E-4</v>
      </c>
    </row>
    <row r="183" spans="1:4" x14ac:dyDescent="0.2">
      <c r="A183">
        <v>2015</v>
      </c>
      <c r="B183" s="1" t="s">
        <v>184</v>
      </c>
      <c r="C183" s="4">
        <v>73529</v>
      </c>
      <c r="D183" s="5">
        <v>3.4885000000000002E-5</v>
      </c>
    </row>
    <row r="184" spans="1:4" x14ac:dyDescent="0.2">
      <c r="A184">
        <v>2015</v>
      </c>
      <c r="B184" s="1" t="s">
        <v>185</v>
      </c>
      <c r="C184" s="4">
        <v>9535</v>
      </c>
      <c r="D184" s="5">
        <v>4.5240000000000002E-6</v>
      </c>
    </row>
    <row r="185" spans="1:4" x14ac:dyDescent="0.2">
      <c r="A185">
        <v>2015</v>
      </c>
      <c r="B185" s="1" t="s">
        <v>186</v>
      </c>
      <c r="C185">
        <v>446</v>
      </c>
      <c r="D185" s="5">
        <v>2.1199999999999999E-7</v>
      </c>
    </row>
    <row r="186" spans="1:4" x14ac:dyDescent="0.2">
      <c r="A186">
        <v>2015</v>
      </c>
      <c r="B186" s="1" t="s">
        <v>187</v>
      </c>
      <c r="C186" s="4">
        <v>59332</v>
      </c>
      <c r="D186" s="5">
        <v>2.815E-5</v>
      </c>
    </row>
    <row r="187" spans="1:4" x14ac:dyDescent="0.2">
      <c r="A187">
        <v>2015</v>
      </c>
      <c r="B187" s="1" t="s">
        <v>188</v>
      </c>
      <c r="C187" s="4">
        <v>17909</v>
      </c>
      <c r="D187" s="5">
        <v>8.4970000000000001E-6</v>
      </c>
    </row>
    <row r="188" spans="1:4" x14ac:dyDescent="0.2">
      <c r="A188">
        <v>2015</v>
      </c>
      <c r="B188" s="1" t="s">
        <v>189</v>
      </c>
      <c r="C188" s="4">
        <v>9379</v>
      </c>
      <c r="D188" s="5">
        <v>4.4499999999999997E-6</v>
      </c>
    </row>
    <row r="189" spans="1:4" x14ac:dyDescent="0.2">
      <c r="A189">
        <v>2015</v>
      </c>
      <c r="B189" s="1" t="s">
        <v>190</v>
      </c>
      <c r="C189" s="4">
        <v>8305</v>
      </c>
      <c r="D189" s="5">
        <v>3.9400000000000004E-6</v>
      </c>
    </row>
    <row r="190" spans="1:4" x14ac:dyDescent="0.2">
      <c r="A190">
        <v>2015</v>
      </c>
      <c r="B190" s="1" t="s">
        <v>191</v>
      </c>
      <c r="C190" s="4">
        <v>440932</v>
      </c>
      <c r="D190" s="5">
        <v>2.0919800000000001E-4</v>
      </c>
    </row>
    <row r="191" spans="1:4" x14ac:dyDescent="0.2">
      <c r="A191">
        <v>2015</v>
      </c>
      <c r="B191" s="1" t="s">
        <v>192</v>
      </c>
      <c r="C191" s="4">
        <v>547440</v>
      </c>
      <c r="D191" s="5">
        <v>2.5973000000000001E-4</v>
      </c>
    </row>
    <row r="192" spans="1:4" x14ac:dyDescent="0.2">
      <c r="A192">
        <v>2015</v>
      </c>
      <c r="B192" s="1" t="s">
        <v>193</v>
      </c>
      <c r="C192" s="4">
        <v>45938</v>
      </c>
      <c r="D192" s="5">
        <v>2.1795000000000001E-5</v>
      </c>
    </row>
    <row r="193" spans="1:4" x14ac:dyDescent="0.2">
      <c r="A193">
        <v>2015</v>
      </c>
      <c r="B193" s="1" t="s">
        <v>194</v>
      </c>
      <c r="C193" s="4">
        <v>4612</v>
      </c>
      <c r="D193" s="5">
        <v>2.1880000000000001E-6</v>
      </c>
    </row>
    <row r="194" spans="1:4" x14ac:dyDescent="0.2">
      <c r="A194">
        <v>2015</v>
      </c>
      <c r="B194" s="1" t="s">
        <v>195</v>
      </c>
      <c r="C194" s="4">
        <v>703944</v>
      </c>
      <c r="D194" s="5">
        <v>3.3398199999999997E-4</v>
      </c>
    </row>
    <row r="195" spans="1:4" x14ac:dyDescent="0.2">
      <c r="A195">
        <v>2015</v>
      </c>
      <c r="B195" s="1" t="s">
        <v>196</v>
      </c>
      <c r="C195" s="4">
        <v>498769</v>
      </c>
      <c r="D195" s="5">
        <v>2.3663800000000001E-4</v>
      </c>
    </row>
    <row r="196" spans="1:4" x14ac:dyDescent="0.2">
      <c r="A196">
        <v>2015</v>
      </c>
      <c r="B196" s="1" t="s">
        <v>197</v>
      </c>
      <c r="C196" s="4">
        <v>543160</v>
      </c>
      <c r="D196" s="5">
        <v>2.5769900000000001E-4</v>
      </c>
    </row>
    <row r="197" spans="1:4" x14ac:dyDescent="0.2">
      <c r="A197">
        <v>2015</v>
      </c>
      <c r="B197" s="1" t="s">
        <v>198</v>
      </c>
      <c r="C197">
        <v>559</v>
      </c>
      <c r="D197" s="5">
        <v>2.65E-7</v>
      </c>
    </row>
    <row r="198" spans="1:4" x14ac:dyDescent="0.2">
      <c r="A198">
        <v>2015</v>
      </c>
      <c r="B198" s="1" t="s">
        <v>199</v>
      </c>
      <c r="C198" s="4">
        <v>1408564</v>
      </c>
      <c r="D198" s="5">
        <v>6.6828500000000002E-4</v>
      </c>
    </row>
    <row r="199" spans="1:4" x14ac:dyDescent="0.2">
      <c r="A199">
        <v>2015</v>
      </c>
      <c r="B199" s="1" t="s">
        <v>200</v>
      </c>
      <c r="C199" s="4">
        <v>98619</v>
      </c>
      <c r="D199" s="5">
        <v>4.6789000000000002E-5</v>
      </c>
    </row>
    <row r="200" spans="1:4" x14ac:dyDescent="0.2">
      <c r="A200">
        <v>2015</v>
      </c>
      <c r="B200" s="1" t="s">
        <v>201</v>
      </c>
      <c r="C200" s="4">
        <v>20613</v>
      </c>
      <c r="D200" s="5">
        <v>9.7790000000000007E-6</v>
      </c>
    </row>
    <row r="201" spans="1:4" x14ac:dyDescent="0.2">
      <c r="A201">
        <v>2015</v>
      </c>
      <c r="B201" s="1" t="s">
        <v>202</v>
      </c>
      <c r="C201" s="4">
        <v>91647</v>
      </c>
      <c r="D201" s="5">
        <v>4.3480999999999999E-5</v>
      </c>
    </row>
    <row r="202" spans="1:4" x14ac:dyDescent="0.2">
      <c r="A202">
        <v>2016</v>
      </c>
      <c r="B202" s="1" t="s">
        <v>4</v>
      </c>
      <c r="C202" s="7">
        <v>1830791050</v>
      </c>
      <c r="D202" s="5">
        <v>0.93979109199999999</v>
      </c>
    </row>
    <row r="203" spans="1:4" x14ac:dyDescent="0.2">
      <c r="A203">
        <v>2016</v>
      </c>
      <c r="B203" s="1" t="s">
        <v>5</v>
      </c>
      <c r="C203" s="7">
        <v>24601</v>
      </c>
      <c r="D203" s="5">
        <v>1.2628E-5</v>
      </c>
    </row>
    <row r="204" spans="1:4" x14ac:dyDescent="0.2">
      <c r="A204">
        <v>2016</v>
      </c>
      <c r="B204" s="1" t="s">
        <v>7</v>
      </c>
      <c r="C204" s="7">
        <v>75011</v>
      </c>
      <c r="D204" s="5">
        <v>3.8504999999999998E-5</v>
      </c>
    </row>
    <row r="205" spans="1:4" x14ac:dyDescent="0.2">
      <c r="A205">
        <v>2016</v>
      </c>
      <c r="B205" s="1" t="s">
        <v>8</v>
      </c>
      <c r="C205" s="7">
        <v>1216982</v>
      </c>
      <c r="D205" s="5">
        <v>6.2470799999999997E-4</v>
      </c>
    </row>
    <row r="206" spans="1:4" x14ac:dyDescent="0.2">
      <c r="A206">
        <v>2016</v>
      </c>
      <c r="B206" s="1" t="s">
        <v>9</v>
      </c>
      <c r="C206" s="7">
        <v>7676</v>
      </c>
      <c r="D206" s="5">
        <v>3.9400000000000004E-6</v>
      </c>
    </row>
    <row r="207" spans="1:4" x14ac:dyDescent="0.2">
      <c r="A207">
        <v>2016</v>
      </c>
      <c r="B207" s="1" t="s">
        <v>10</v>
      </c>
      <c r="C207" s="7">
        <v>36935</v>
      </c>
      <c r="D207" s="5">
        <v>1.8960000000000001E-5</v>
      </c>
    </row>
    <row r="208" spans="1:4" x14ac:dyDescent="0.2">
      <c r="A208">
        <v>2016</v>
      </c>
      <c r="B208" s="1" t="s">
        <v>11</v>
      </c>
      <c r="C208" s="7">
        <v>572404</v>
      </c>
      <c r="D208" s="5">
        <v>2.9382900000000001E-4</v>
      </c>
    </row>
    <row r="209" spans="1:4" x14ac:dyDescent="0.2">
      <c r="A209">
        <v>2016</v>
      </c>
      <c r="B209" s="1" t="s">
        <v>12</v>
      </c>
      <c r="C209" s="7">
        <v>45933</v>
      </c>
      <c r="D209" s="5">
        <v>2.3578999999999999E-5</v>
      </c>
    </row>
    <row r="210" spans="1:4" x14ac:dyDescent="0.2">
      <c r="A210">
        <v>2016</v>
      </c>
      <c r="B210" s="1" t="s">
        <v>13</v>
      </c>
      <c r="C210" s="7">
        <v>9847</v>
      </c>
      <c r="D210" s="5">
        <v>5.0549999999999999E-6</v>
      </c>
    </row>
    <row r="211" spans="1:4" x14ac:dyDescent="0.2">
      <c r="A211">
        <v>2016</v>
      </c>
      <c r="B211" s="1" t="s">
        <v>14</v>
      </c>
      <c r="C211" s="7">
        <v>30069</v>
      </c>
      <c r="D211" s="5">
        <v>1.5435E-5</v>
      </c>
    </row>
    <row r="212" spans="1:4" x14ac:dyDescent="0.2">
      <c r="A212">
        <v>2016</v>
      </c>
      <c r="B212" s="1" t="s">
        <v>15</v>
      </c>
      <c r="C212" s="7">
        <v>1462128</v>
      </c>
      <c r="D212" s="5">
        <v>7.5054699999999995E-4</v>
      </c>
    </row>
    <row r="213" spans="1:4" x14ac:dyDescent="0.2">
      <c r="A213">
        <v>2016</v>
      </c>
      <c r="B213" s="1" t="s">
        <v>16</v>
      </c>
      <c r="C213" s="7">
        <v>345140</v>
      </c>
      <c r="D213" s="5">
        <v>1.77169E-4</v>
      </c>
    </row>
    <row r="214" spans="1:4" x14ac:dyDescent="0.2">
      <c r="A214">
        <v>2016</v>
      </c>
      <c r="B214" s="1" t="s">
        <v>17</v>
      </c>
      <c r="C214" s="7">
        <v>89187</v>
      </c>
      <c r="D214" s="5">
        <v>4.5782000000000003E-5</v>
      </c>
    </row>
    <row r="215" spans="1:4" x14ac:dyDescent="0.2">
      <c r="A215">
        <v>2016</v>
      </c>
      <c r="B215" s="1" t="s">
        <v>18</v>
      </c>
      <c r="C215" s="7">
        <v>1947108</v>
      </c>
      <c r="D215" s="5">
        <v>9.9949999999999995E-4</v>
      </c>
    </row>
    <row r="216" spans="1:4" x14ac:dyDescent="0.2">
      <c r="A216">
        <v>2016</v>
      </c>
      <c r="B216" s="1" t="s">
        <v>19</v>
      </c>
      <c r="C216" s="7">
        <v>57716</v>
      </c>
      <c r="D216" s="5">
        <v>2.9626999999999999E-5</v>
      </c>
    </row>
    <row r="217" spans="1:4" x14ac:dyDescent="0.2">
      <c r="A217">
        <v>2016</v>
      </c>
      <c r="B217" s="1" t="s">
        <v>20</v>
      </c>
      <c r="C217" s="7">
        <v>21785</v>
      </c>
      <c r="D217" s="5">
        <v>1.1182999999999999E-5</v>
      </c>
    </row>
    <row r="218" spans="1:4" x14ac:dyDescent="0.2">
      <c r="A218">
        <v>2016</v>
      </c>
      <c r="B218" s="1" t="s">
        <v>21</v>
      </c>
      <c r="C218" s="7">
        <v>5577576</v>
      </c>
      <c r="D218" s="5">
        <v>2.8631099999999999E-3</v>
      </c>
    </row>
    <row r="219" spans="1:4" x14ac:dyDescent="0.2">
      <c r="A219">
        <v>2016</v>
      </c>
      <c r="B219" s="1" t="s">
        <v>22</v>
      </c>
      <c r="C219" s="7">
        <v>51917</v>
      </c>
      <c r="D219" s="5">
        <v>2.6650000000000001E-5</v>
      </c>
    </row>
    <row r="220" spans="1:4" x14ac:dyDescent="0.2">
      <c r="A220">
        <v>2016</v>
      </c>
      <c r="B220" s="1" t="s">
        <v>23</v>
      </c>
      <c r="C220" s="7">
        <v>486666</v>
      </c>
      <c r="D220" s="5">
        <v>2.4981800000000001E-4</v>
      </c>
    </row>
    <row r="221" spans="1:4" x14ac:dyDescent="0.2">
      <c r="A221">
        <v>2016</v>
      </c>
      <c r="B221" s="1" t="s">
        <v>24</v>
      </c>
      <c r="C221" s="7">
        <v>2497181</v>
      </c>
      <c r="D221" s="5">
        <v>1.281866E-3</v>
      </c>
    </row>
    <row r="222" spans="1:4" x14ac:dyDescent="0.2">
      <c r="A222">
        <v>2016</v>
      </c>
      <c r="B222" s="1" t="s">
        <v>25</v>
      </c>
      <c r="C222" s="7">
        <v>50898</v>
      </c>
      <c r="D222" s="5">
        <v>2.6126999999999999E-5</v>
      </c>
    </row>
    <row r="223" spans="1:4" x14ac:dyDescent="0.2">
      <c r="A223">
        <v>2016</v>
      </c>
      <c r="B223" s="1" t="s">
        <v>26</v>
      </c>
      <c r="C223" s="7">
        <v>47857</v>
      </c>
      <c r="D223" s="5">
        <v>2.4566000000000002E-5</v>
      </c>
    </row>
    <row r="224" spans="1:4" x14ac:dyDescent="0.2">
      <c r="A224">
        <v>2016</v>
      </c>
      <c r="B224" s="1" t="s">
        <v>27</v>
      </c>
      <c r="C224" s="7">
        <v>24425</v>
      </c>
      <c r="D224" s="5">
        <v>1.2537999999999999E-5</v>
      </c>
    </row>
    <row r="225" spans="1:4" x14ac:dyDescent="0.2">
      <c r="A225">
        <v>2016</v>
      </c>
      <c r="B225" s="1" t="s">
        <v>28</v>
      </c>
      <c r="C225" s="7">
        <v>301310</v>
      </c>
      <c r="D225" s="5">
        <v>1.5467000000000001E-4</v>
      </c>
    </row>
    <row r="226" spans="1:4" x14ac:dyDescent="0.2">
      <c r="A226">
        <v>2016</v>
      </c>
      <c r="B226" s="1" t="s">
        <v>29</v>
      </c>
      <c r="C226" s="7">
        <v>87696</v>
      </c>
      <c r="D226" s="5">
        <v>4.5016999999999999E-5</v>
      </c>
    </row>
    <row r="227" spans="1:4" x14ac:dyDescent="0.2">
      <c r="A227">
        <v>2016</v>
      </c>
      <c r="B227" s="1" t="s">
        <v>30</v>
      </c>
      <c r="C227" s="7">
        <v>2183</v>
      </c>
      <c r="D227" s="5">
        <v>1.1209999999999999E-6</v>
      </c>
    </row>
    <row r="228" spans="1:4" x14ac:dyDescent="0.2">
      <c r="A228">
        <v>2016</v>
      </c>
      <c r="B228" s="1" t="s">
        <v>31</v>
      </c>
      <c r="C228" s="7">
        <v>175319</v>
      </c>
      <c r="D228" s="5">
        <v>8.9995999999999997E-5</v>
      </c>
    </row>
    <row r="229" spans="1:4" x14ac:dyDescent="0.2">
      <c r="A229">
        <v>2016</v>
      </c>
      <c r="B229" s="1" t="s">
        <v>32</v>
      </c>
      <c r="C229" s="7">
        <v>1202283</v>
      </c>
      <c r="D229" s="5">
        <v>6.1716199999999998E-4</v>
      </c>
    </row>
    <row r="230" spans="1:4" x14ac:dyDescent="0.2">
      <c r="A230">
        <v>2016</v>
      </c>
      <c r="B230" s="1" t="s">
        <v>33</v>
      </c>
      <c r="C230" s="7">
        <v>115190</v>
      </c>
      <c r="D230" s="5">
        <v>5.9129999999999998E-5</v>
      </c>
    </row>
    <row r="231" spans="1:4" x14ac:dyDescent="0.2">
      <c r="A231">
        <v>2016</v>
      </c>
      <c r="B231" s="1" t="s">
        <v>34</v>
      </c>
      <c r="C231" s="7">
        <v>1303584</v>
      </c>
      <c r="D231" s="5">
        <v>6.6916299999999996E-4</v>
      </c>
    </row>
    <row r="232" spans="1:4" x14ac:dyDescent="0.2">
      <c r="A232">
        <v>2016</v>
      </c>
      <c r="B232" s="1" t="s">
        <v>35</v>
      </c>
      <c r="C232" s="7">
        <v>311347</v>
      </c>
      <c r="D232" s="5">
        <v>1.59822E-4</v>
      </c>
    </row>
    <row r="233" spans="1:4" x14ac:dyDescent="0.2">
      <c r="A233">
        <v>2016</v>
      </c>
      <c r="B233" s="1" t="s">
        <v>36</v>
      </c>
      <c r="C233" s="7">
        <v>517293</v>
      </c>
      <c r="D233" s="5">
        <v>2.6553999999999998E-4</v>
      </c>
    </row>
    <row r="234" spans="1:4" x14ac:dyDescent="0.2">
      <c r="A234">
        <v>2016</v>
      </c>
      <c r="B234" s="1" t="s">
        <v>37</v>
      </c>
      <c r="C234" s="7">
        <v>27466</v>
      </c>
      <c r="D234" s="5">
        <v>1.4099E-5</v>
      </c>
    </row>
    <row r="235" spans="1:4" x14ac:dyDescent="0.2">
      <c r="A235">
        <v>2016</v>
      </c>
      <c r="B235" s="1" t="s">
        <v>38</v>
      </c>
      <c r="C235" s="7">
        <v>17887</v>
      </c>
      <c r="D235" s="5">
        <v>9.1819999999999995E-6</v>
      </c>
    </row>
    <row r="236" spans="1:4" x14ac:dyDescent="0.2">
      <c r="A236">
        <v>2016</v>
      </c>
      <c r="B236" s="1" t="s">
        <v>39</v>
      </c>
      <c r="C236" s="7">
        <v>387508</v>
      </c>
      <c r="D236" s="5">
        <v>1.98918E-4</v>
      </c>
    </row>
    <row r="237" spans="1:4" x14ac:dyDescent="0.2">
      <c r="A237">
        <v>2016</v>
      </c>
      <c r="B237" s="1" t="s">
        <v>40</v>
      </c>
      <c r="C237" s="7">
        <v>26620</v>
      </c>
      <c r="D237" s="5">
        <v>1.3665E-5</v>
      </c>
    </row>
    <row r="238" spans="1:4" x14ac:dyDescent="0.2">
      <c r="A238">
        <v>2016</v>
      </c>
      <c r="B238" s="1" t="s">
        <v>41</v>
      </c>
      <c r="C238" s="7">
        <v>427497</v>
      </c>
      <c r="D238" s="5">
        <v>2.19445E-4</v>
      </c>
    </row>
    <row r="239" spans="1:4" x14ac:dyDescent="0.2">
      <c r="A239">
        <v>2016</v>
      </c>
      <c r="B239" s="1" t="s">
        <v>42</v>
      </c>
      <c r="C239" s="7">
        <v>23047</v>
      </c>
      <c r="D239" s="5">
        <v>1.1831000000000001E-5</v>
      </c>
    </row>
    <row r="240" spans="1:4" x14ac:dyDescent="0.2">
      <c r="A240">
        <v>2016</v>
      </c>
      <c r="B240" s="1" t="s">
        <v>43</v>
      </c>
      <c r="C240" s="7">
        <v>56065</v>
      </c>
      <c r="D240" s="5">
        <v>2.8779999999999999E-5</v>
      </c>
    </row>
    <row r="241" spans="1:4" x14ac:dyDescent="0.2">
      <c r="A241">
        <v>2016</v>
      </c>
      <c r="B241" s="1" t="s">
        <v>44</v>
      </c>
      <c r="C241" s="7">
        <v>1578985</v>
      </c>
      <c r="D241" s="5">
        <v>8.10533E-4</v>
      </c>
    </row>
    <row r="242" spans="1:4" x14ac:dyDescent="0.2">
      <c r="A242">
        <v>2016</v>
      </c>
      <c r="B242" s="1" t="s">
        <v>45</v>
      </c>
      <c r="C242" s="7">
        <v>19607</v>
      </c>
      <c r="D242" s="5">
        <v>1.0064999999999999E-5</v>
      </c>
    </row>
    <row r="243" spans="1:4" x14ac:dyDescent="0.2">
      <c r="A243">
        <v>2016</v>
      </c>
      <c r="B243" s="1" t="s">
        <v>46</v>
      </c>
      <c r="C243" s="7">
        <v>33942</v>
      </c>
      <c r="D243" s="5">
        <v>1.7422999999999999E-5</v>
      </c>
    </row>
    <row r="244" spans="1:4" x14ac:dyDescent="0.2">
      <c r="A244">
        <v>2016</v>
      </c>
      <c r="B244" s="1" t="s">
        <v>47</v>
      </c>
      <c r="C244" s="7">
        <v>1398061</v>
      </c>
      <c r="D244" s="5">
        <v>7.1765999999999996E-4</v>
      </c>
    </row>
    <row r="245" spans="1:4" x14ac:dyDescent="0.2">
      <c r="A245">
        <v>2016</v>
      </c>
      <c r="B245" s="1" t="s">
        <v>48</v>
      </c>
      <c r="C245" s="7">
        <v>36121</v>
      </c>
      <c r="D245" s="5">
        <v>1.8542E-5</v>
      </c>
    </row>
    <row r="246" spans="1:4" x14ac:dyDescent="0.2">
      <c r="A246">
        <v>2016</v>
      </c>
      <c r="B246" s="1" t="s">
        <v>49</v>
      </c>
      <c r="C246" s="7">
        <v>21241</v>
      </c>
      <c r="D246" s="5">
        <v>1.0903E-5</v>
      </c>
    </row>
    <row r="247" spans="1:4" x14ac:dyDescent="0.2">
      <c r="A247">
        <v>2016</v>
      </c>
      <c r="B247" s="1" t="s">
        <v>50</v>
      </c>
      <c r="C247" s="7">
        <v>953101</v>
      </c>
      <c r="D247" s="5">
        <v>4.8925100000000001E-4</v>
      </c>
    </row>
    <row r="248" spans="1:4" x14ac:dyDescent="0.2">
      <c r="A248">
        <v>2016</v>
      </c>
      <c r="B248" s="1" t="s">
        <v>51</v>
      </c>
      <c r="C248" s="7">
        <v>70145</v>
      </c>
      <c r="D248" s="5">
        <v>3.6007000000000003E-5</v>
      </c>
    </row>
    <row r="249" spans="1:4" x14ac:dyDescent="0.2">
      <c r="A249">
        <v>2016</v>
      </c>
      <c r="B249" s="1" t="s">
        <v>52</v>
      </c>
      <c r="C249" s="7">
        <v>25315</v>
      </c>
      <c r="D249" s="5">
        <v>1.2995E-5</v>
      </c>
    </row>
    <row r="250" spans="1:4" x14ac:dyDescent="0.2">
      <c r="A250">
        <v>2016</v>
      </c>
      <c r="B250" s="1" t="s">
        <v>53</v>
      </c>
      <c r="C250" s="7">
        <v>881013</v>
      </c>
      <c r="D250" s="5">
        <v>4.5224600000000001E-4</v>
      </c>
    </row>
    <row r="251" spans="1:4" x14ac:dyDescent="0.2">
      <c r="A251">
        <v>2016</v>
      </c>
      <c r="B251" s="1" t="s">
        <v>54</v>
      </c>
      <c r="C251" s="7">
        <v>110206</v>
      </c>
      <c r="D251" s="5">
        <v>5.6570999999999998E-5</v>
      </c>
    </row>
    <row r="252" spans="1:4" x14ac:dyDescent="0.2">
      <c r="A252">
        <v>2016</v>
      </c>
      <c r="B252" s="1" t="s">
        <v>55</v>
      </c>
      <c r="C252" s="7">
        <v>124001</v>
      </c>
      <c r="D252" s="5">
        <v>6.3652999999999995E-5</v>
      </c>
    </row>
    <row r="253" spans="1:4" x14ac:dyDescent="0.2">
      <c r="A253">
        <v>2016</v>
      </c>
      <c r="B253" s="1" t="s">
        <v>56</v>
      </c>
      <c r="C253" s="7">
        <v>199688</v>
      </c>
      <c r="D253" s="5">
        <v>1.02505E-4</v>
      </c>
    </row>
    <row r="254" spans="1:4" x14ac:dyDescent="0.2">
      <c r="A254">
        <v>2016</v>
      </c>
      <c r="B254" s="1" t="s">
        <v>57</v>
      </c>
      <c r="C254" s="7">
        <v>4470</v>
      </c>
      <c r="D254" s="5">
        <v>2.295E-6</v>
      </c>
    </row>
    <row r="255" spans="1:4" x14ac:dyDescent="0.2">
      <c r="A255">
        <v>2016</v>
      </c>
      <c r="B255" s="1" t="s">
        <v>58</v>
      </c>
      <c r="C255" s="7">
        <v>195250</v>
      </c>
      <c r="D255" s="5">
        <v>1.00227E-4</v>
      </c>
    </row>
    <row r="256" spans="1:4" x14ac:dyDescent="0.2">
      <c r="A256">
        <v>2016</v>
      </c>
      <c r="B256" s="1" t="s">
        <v>59</v>
      </c>
      <c r="C256" s="7">
        <v>251775</v>
      </c>
      <c r="D256" s="5">
        <v>1.29243E-4</v>
      </c>
    </row>
    <row r="257" spans="1:4" x14ac:dyDescent="0.2">
      <c r="A257">
        <v>2016</v>
      </c>
      <c r="B257" s="1" t="s">
        <v>60</v>
      </c>
      <c r="C257" s="7">
        <v>77155</v>
      </c>
      <c r="D257" s="5">
        <v>3.9604999999999998E-5</v>
      </c>
    </row>
    <row r="258" spans="1:4" x14ac:dyDescent="0.2">
      <c r="A258">
        <v>2016</v>
      </c>
      <c r="B258" s="1" t="s">
        <v>61</v>
      </c>
      <c r="C258" s="7">
        <v>34110</v>
      </c>
      <c r="D258" s="5">
        <v>1.751E-5</v>
      </c>
    </row>
    <row r="259" spans="1:4" x14ac:dyDescent="0.2">
      <c r="A259">
        <v>2016</v>
      </c>
      <c r="B259" s="1" t="s">
        <v>62</v>
      </c>
      <c r="C259" s="7">
        <v>741405</v>
      </c>
      <c r="D259" s="5">
        <v>3.8058200000000002E-4</v>
      </c>
    </row>
    <row r="260" spans="1:4" x14ac:dyDescent="0.2">
      <c r="A260">
        <v>2016</v>
      </c>
      <c r="B260" s="1" t="s">
        <v>63</v>
      </c>
      <c r="C260" s="7">
        <v>1075328</v>
      </c>
      <c r="D260" s="5">
        <v>5.5199299999999997E-4</v>
      </c>
    </row>
    <row r="261" spans="1:4" x14ac:dyDescent="0.2">
      <c r="A261">
        <v>2016</v>
      </c>
      <c r="B261" s="1" t="s">
        <v>64</v>
      </c>
      <c r="C261" s="7">
        <v>221337</v>
      </c>
      <c r="D261" s="5">
        <v>1.13618E-4</v>
      </c>
    </row>
    <row r="262" spans="1:4" x14ac:dyDescent="0.2">
      <c r="A262">
        <v>2016</v>
      </c>
      <c r="B262" s="1" t="s">
        <v>65</v>
      </c>
      <c r="C262" s="7">
        <v>162944</v>
      </c>
      <c r="D262" s="5">
        <v>8.3642999999999999E-5</v>
      </c>
    </row>
    <row r="263" spans="1:4" x14ac:dyDescent="0.2">
      <c r="A263">
        <v>2016</v>
      </c>
      <c r="B263" s="1" t="s">
        <v>66</v>
      </c>
      <c r="C263" s="7">
        <v>644215</v>
      </c>
      <c r="D263" s="5">
        <v>3.30692E-4</v>
      </c>
    </row>
    <row r="264" spans="1:4" x14ac:dyDescent="0.2">
      <c r="A264">
        <v>2016</v>
      </c>
      <c r="B264" s="1" t="s">
        <v>67</v>
      </c>
      <c r="C264" s="7">
        <v>398428</v>
      </c>
      <c r="D264" s="5">
        <v>2.0452299999999999E-4</v>
      </c>
    </row>
    <row r="265" spans="1:4" x14ac:dyDescent="0.2">
      <c r="A265">
        <v>2016</v>
      </c>
      <c r="B265" s="1" t="s">
        <v>68</v>
      </c>
      <c r="C265" s="7">
        <v>17887</v>
      </c>
      <c r="D265" s="5">
        <v>9.1819999999999995E-6</v>
      </c>
    </row>
    <row r="266" spans="1:4" x14ac:dyDescent="0.2">
      <c r="A266">
        <v>2016</v>
      </c>
      <c r="B266" s="1" t="s">
        <v>69</v>
      </c>
      <c r="C266" s="7">
        <v>326656</v>
      </c>
      <c r="D266" s="5">
        <v>1.6768100000000001E-4</v>
      </c>
    </row>
    <row r="267" spans="1:4" x14ac:dyDescent="0.2">
      <c r="A267">
        <v>2016</v>
      </c>
      <c r="B267" s="1" t="s">
        <v>70</v>
      </c>
      <c r="C267" s="7">
        <v>134336</v>
      </c>
      <c r="D267" s="5">
        <v>6.8957999999999999E-5</v>
      </c>
    </row>
    <row r="268" spans="1:4" x14ac:dyDescent="0.2">
      <c r="A268">
        <v>2016</v>
      </c>
      <c r="B268" s="1" t="s">
        <v>71</v>
      </c>
      <c r="C268" s="7">
        <v>3080</v>
      </c>
      <c r="D268" s="5">
        <v>1.581E-6</v>
      </c>
    </row>
    <row r="269" spans="1:4" x14ac:dyDescent="0.2">
      <c r="A269">
        <v>2016</v>
      </c>
      <c r="B269" s="1" t="s">
        <v>72</v>
      </c>
      <c r="C269" s="7">
        <v>31851</v>
      </c>
      <c r="D269" s="5">
        <v>1.6350000000000001E-5</v>
      </c>
    </row>
    <row r="270" spans="1:4" x14ac:dyDescent="0.2">
      <c r="A270">
        <v>2016</v>
      </c>
      <c r="B270" s="1" t="s">
        <v>73</v>
      </c>
      <c r="C270" s="7">
        <v>12927</v>
      </c>
      <c r="D270" s="5">
        <v>6.6359999999999997E-6</v>
      </c>
    </row>
    <row r="271" spans="1:4" x14ac:dyDescent="0.2">
      <c r="A271">
        <v>2016</v>
      </c>
      <c r="B271" s="1" t="s">
        <v>74</v>
      </c>
      <c r="C271" s="7">
        <v>5291</v>
      </c>
      <c r="D271" s="5">
        <v>2.7159999999999999E-6</v>
      </c>
    </row>
    <row r="272" spans="1:4" x14ac:dyDescent="0.2">
      <c r="A272">
        <v>2016</v>
      </c>
      <c r="B272" s="1" t="s">
        <v>75</v>
      </c>
      <c r="C272" s="7">
        <v>54470</v>
      </c>
      <c r="D272" s="5">
        <v>2.7960999999999999E-5</v>
      </c>
    </row>
    <row r="273" spans="1:4" x14ac:dyDescent="0.2">
      <c r="A273">
        <v>2016</v>
      </c>
      <c r="B273" s="1" t="s">
        <v>76</v>
      </c>
      <c r="C273" s="7">
        <v>105928</v>
      </c>
      <c r="D273" s="5">
        <v>5.4376000000000003E-5</v>
      </c>
    </row>
    <row r="274" spans="1:4" x14ac:dyDescent="0.2">
      <c r="A274">
        <v>2016</v>
      </c>
      <c r="B274" s="1" t="s">
        <v>77</v>
      </c>
      <c r="C274" s="7">
        <v>9848</v>
      </c>
      <c r="D274" s="5">
        <v>5.0549999999999999E-6</v>
      </c>
    </row>
    <row r="275" spans="1:4" x14ac:dyDescent="0.2">
      <c r="A275">
        <v>2016</v>
      </c>
      <c r="B275" s="1" t="s">
        <v>78</v>
      </c>
      <c r="C275" s="7">
        <v>3495459</v>
      </c>
      <c r="D275" s="5">
        <v>1.794307E-3</v>
      </c>
    </row>
    <row r="276" spans="1:4" x14ac:dyDescent="0.2">
      <c r="A276">
        <v>2016</v>
      </c>
      <c r="B276" s="1" t="s">
        <v>79</v>
      </c>
      <c r="C276" s="7">
        <v>135991</v>
      </c>
      <c r="D276" s="5">
        <v>6.9808000000000007E-5</v>
      </c>
    </row>
    <row r="277" spans="1:4" x14ac:dyDescent="0.2">
      <c r="A277">
        <v>2016</v>
      </c>
      <c r="B277" s="1" t="s">
        <v>80</v>
      </c>
      <c r="C277" s="7">
        <v>62069</v>
      </c>
      <c r="D277" s="5">
        <v>3.1860999999999999E-5</v>
      </c>
    </row>
    <row r="278" spans="1:4" x14ac:dyDescent="0.2">
      <c r="A278">
        <v>2016</v>
      </c>
      <c r="B278" s="1" t="s">
        <v>81</v>
      </c>
      <c r="C278" s="7">
        <v>129152</v>
      </c>
      <c r="D278" s="5">
        <v>6.6297000000000006E-5</v>
      </c>
    </row>
    <row r="279" spans="1:4" x14ac:dyDescent="0.2">
      <c r="A279">
        <v>2016</v>
      </c>
      <c r="B279" s="1" t="s">
        <v>82</v>
      </c>
      <c r="C279" s="7">
        <v>2704</v>
      </c>
      <c r="D279" s="5">
        <v>1.3880000000000001E-6</v>
      </c>
    </row>
    <row r="280" spans="1:4" x14ac:dyDescent="0.2">
      <c r="A280">
        <v>2016</v>
      </c>
      <c r="B280" s="1" t="s">
        <v>83</v>
      </c>
      <c r="C280" s="7">
        <v>329793</v>
      </c>
      <c r="D280" s="5">
        <v>1.6929099999999999E-4</v>
      </c>
    </row>
    <row r="281" spans="1:4" x14ac:dyDescent="0.2">
      <c r="A281">
        <v>2016</v>
      </c>
      <c r="B281" s="1" t="s">
        <v>84</v>
      </c>
      <c r="C281" s="7">
        <v>19115</v>
      </c>
      <c r="D281" s="5">
        <v>9.8120000000000002E-6</v>
      </c>
    </row>
    <row r="282" spans="1:4" x14ac:dyDescent="0.2">
      <c r="A282">
        <v>2016</v>
      </c>
      <c r="B282" s="1" t="s">
        <v>85</v>
      </c>
      <c r="C282" s="7">
        <v>316062</v>
      </c>
      <c r="D282" s="5">
        <v>1.6224300000000001E-4</v>
      </c>
    </row>
    <row r="283" spans="1:4" x14ac:dyDescent="0.2">
      <c r="A283">
        <v>2016</v>
      </c>
      <c r="B283" s="1" t="s">
        <v>86</v>
      </c>
      <c r="C283" s="7">
        <v>22009</v>
      </c>
      <c r="D283" s="5">
        <v>1.1297999999999999E-5</v>
      </c>
    </row>
    <row r="284" spans="1:4" x14ac:dyDescent="0.2">
      <c r="A284">
        <v>2016</v>
      </c>
      <c r="B284" s="1" t="s">
        <v>87</v>
      </c>
      <c r="C284" s="7">
        <v>9848</v>
      </c>
      <c r="D284" s="5">
        <v>5.0549999999999999E-6</v>
      </c>
    </row>
    <row r="285" spans="1:4" x14ac:dyDescent="0.2">
      <c r="A285">
        <v>2016</v>
      </c>
      <c r="B285" s="1" t="s">
        <v>88</v>
      </c>
      <c r="C285" s="7">
        <v>599428</v>
      </c>
      <c r="D285" s="5">
        <v>3.0770199999999998E-4</v>
      </c>
    </row>
    <row r="286" spans="1:4" x14ac:dyDescent="0.2">
      <c r="A286">
        <v>2016</v>
      </c>
      <c r="B286" s="1" t="s">
        <v>89</v>
      </c>
      <c r="C286" s="7">
        <v>974784</v>
      </c>
      <c r="D286" s="5">
        <v>5.0038100000000005E-4</v>
      </c>
    </row>
    <row r="287" spans="1:4" x14ac:dyDescent="0.2">
      <c r="A287">
        <v>2016</v>
      </c>
      <c r="B287" s="1" t="s">
        <v>90</v>
      </c>
      <c r="C287" s="7">
        <v>35566</v>
      </c>
      <c r="D287" s="5">
        <v>1.8257000000000002E-5</v>
      </c>
    </row>
    <row r="288" spans="1:4" x14ac:dyDescent="0.2">
      <c r="A288">
        <v>2016</v>
      </c>
      <c r="B288" s="1" t="s">
        <v>91</v>
      </c>
      <c r="C288" s="7">
        <v>152439</v>
      </c>
      <c r="D288" s="5">
        <v>7.8250999999999993E-5</v>
      </c>
    </row>
    <row r="289" spans="1:4" x14ac:dyDescent="0.2">
      <c r="A289">
        <v>2016</v>
      </c>
      <c r="B289" s="1" t="s">
        <v>92</v>
      </c>
      <c r="C289" s="7">
        <v>1668108</v>
      </c>
      <c r="D289" s="5">
        <v>8.5628199999999998E-4</v>
      </c>
    </row>
    <row r="290" spans="1:4" x14ac:dyDescent="0.2">
      <c r="A290">
        <v>2016</v>
      </c>
      <c r="B290" s="1" t="s">
        <v>93</v>
      </c>
      <c r="C290" s="7">
        <v>85631</v>
      </c>
      <c r="D290" s="5">
        <v>4.3955999999999997E-5</v>
      </c>
    </row>
    <row r="291" spans="1:4" x14ac:dyDescent="0.2">
      <c r="A291">
        <v>2016</v>
      </c>
      <c r="B291" s="1" t="s">
        <v>94</v>
      </c>
      <c r="C291" s="7">
        <v>2283877</v>
      </c>
      <c r="D291" s="5">
        <v>1.1723720000000001E-3</v>
      </c>
    </row>
    <row r="292" spans="1:4" x14ac:dyDescent="0.2">
      <c r="A292">
        <v>2016</v>
      </c>
      <c r="B292" s="1" t="s">
        <v>95</v>
      </c>
      <c r="C292" s="7">
        <v>109885</v>
      </c>
      <c r="D292" s="5">
        <v>5.6406999999999997E-5</v>
      </c>
    </row>
    <row r="293" spans="1:4" x14ac:dyDescent="0.2">
      <c r="A293">
        <v>2016</v>
      </c>
      <c r="B293" s="1" t="s">
        <v>96</v>
      </c>
      <c r="C293" s="7">
        <v>6051009</v>
      </c>
      <c r="D293" s="5">
        <v>3.1061349999999999E-3</v>
      </c>
    </row>
    <row r="294" spans="1:4" x14ac:dyDescent="0.2">
      <c r="A294">
        <v>2016</v>
      </c>
      <c r="B294" s="1" t="s">
        <v>97</v>
      </c>
      <c r="C294" s="7">
        <v>4740567</v>
      </c>
      <c r="D294" s="5">
        <v>2.433452E-3</v>
      </c>
    </row>
    <row r="295" spans="1:4" x14ac:dyDescent="0.2">
      <c r="A295">
        <v>2016</v>
      </c>
      <c r="B295" s="1" t="s">
        <v>98</v>
      </c>
      <c r="C295" s="7">
        <v>129274</v>
      </c>
      <c r="D295" s="5">
        <v>6.6359000000000006E-5</v>
      </c>
    </row>
    <row r="296" spans="1:4" x14ac:dyDescent="0.2">
      <c r="A296">
        <v>2016</v>
      </c>
      <c r="B296" s="1" t="s">
        <v>99</v>
      </c>
      <c r="C296" s="7">
        <v>4564</v>
      </c>
      <c r="D296" s="5">
        <v>2.3429999999999998E-6</v>
      </c>
    </row>
    <row r="297" spans="1:4" x14ac:dyDescent="0.2">
      <c r="A297">
        <v>2016</v>
      </c>
      <c r="B297" s="1" t="s">
        <v>99</v>
      </c>
      <c r="C297" s="7">
        <v>10372</v>
      </c>
      <c r="D297" s="5">
        <v>5.3240000000000002E-6</v>
      </c>
    </row>
    <row r="298" spans="1:4" x14ac:dyDescent="0.2">
      <c r="A298">
        <v>2016</v>
      </c>
      <c r="B298" s="1" t="s">
        <v>100</v>
      </c>
      <c r="C298" s="7">
        <v>227640</v>
      </c>
      <c r="D298" s="5">
        <v>1.16853E-4</v>
      </c>
    </row>
    <row r="299" spans="1:4" x14ac:dyDescent="0.2">
      <c r="A299">
        <v>2016</v>
      </c>
      <c r="B299" s="1" t="s">
        <v>101</v>
      </c>
      <c r="C299" s="7">
        <v>213331</v>
      </c>
      <c r="D299" s="5">
        <v>1.09508E-4</v>
      </c>
    </row>
    <row r="300" spans="1:4" x14ac:dyDescent="0.2">
      <c r="A300">
        <v>2016</v>
      </c>
      <c r="B300" s="1" t="s">
        <v>102</v>
      </c>
      <c r="C300" s="7">
        <v>19574</v>
      </c>
      <c r="D300" s="5">
        <v>1.0047999999999999E-5</v>
      </c>
    </row>
    <row r="301" spans="1:4" x14ac:dyDescent="0.2">
      <c r="A301">
        <v>2016</v>
      </c>
      <c r="B301" s="1" t="s">
        <v>103</v>
      </c>
      <c r="C301" s="7">
        <v>4220168</v>
      </c>
      <c r="D301" s="5">
        <v>2.166318E-3</v>
      </c>
    </row>
    <row r="302" spans="1:4" x14ac:dyDescent="0.2">
      <c r="A302">
        <v>2016</v>
      </c>
      <c r="B302" s="1" t="s">
        <v>104</v>
      </c>
      <c r="C302" s="7">
        <v>43068</v>
      </c>
      <c r="D302" s="5">
        <v>2.2107999999999999E-5</v>
      </c>
    </row>
    <row r="303" spans="1:4" x14ac:dyDescent="0.2">
      <c r="A303">
        <v>2016</v>
      </c>
      <c r="B303" s="1" t="s">
        <v>105</v>
      </c>
      <c r="C303" s="7">
        <v>54599</v>
      </c>
      <c r="D303" s="5">
        <v>2.8027000000000001E-5</v>
      </c>
    </row>
    <row r="304" spans="1:4" x14ac:dyDescent="0.2">
      <c r="A304">
        <v>2016</v>
      </c>
      <c r="B304" s="1" t="s">
        <v>106</v>
      </c>
      <c r="C304" s="7">
        <v>289901</v>
      </c>
      <c r="D304" s="5">
        <v>1.48813E-4</v>
      </c>
    </row>
    <row r="305" spans="1:4" x14ac:dyDescent="0.2">
      <c r="A305">
        <v>2016</v>
      </c>
      <c r="B305" s="1" t="s">
        <v>107</v>
      </c>
      <c r="C305" s="7">
        <v>616531</v>
      </c>
      <c r="D305" s="5">
        <v>3.1648100000000002E-4</v>
      </c>
    </row>
    <row r="306" spans="1:4" x14ac:dyDescent="0.2">
      <c r="A306">
        <v>2016</v>
      </c>
      <c r="B306" s="1" t="s">
        <v>108</v>
      </c>
      <c r="C306" s="7">
        <v>628636</v>
      </c>
      <c r="D306" s="5">
        <v>3.2269500000000001E-4</v>
      </c>
    </row>
    <row r="307" spans="1:4" x14ac:dyDescent="0.2">
      <c r="A307">
        <v>2016</v>
      </c>
      <c r="B307" s="1" t="s">
        <v>109</v>
      </c>
      <c r="C307" s="7">
        <v>306357</v>
      </c>
      <c r="D307" s="5">
        <v>1.5726100000000001E-4</v>
      </c>
    </row>
    <row r="308" spans="1:4" x14ac:dyDescent="0.2">
      <c r="A308">
        <v>2016</v>
      </c>
      <c r="B308" s="1" t="s">
        <v>110</v>
      </c>
      <c r="C308" s="7">
        <v>242658</v>
      </c>
      <c r="D308" s="5">
        <v>1.2456300000000001E-4</v>
      </c>
    </row>
    <row r="309" spans="1:4" x14ac:dyDescent="0.2">
      <c r="A309">
        <v>2016</v>
      </c>
      <c r="B309" s="1" t="s">
        <v>111</v>
      </c>
      <c r="C309" s="7">
        <v>15879</v>
      </c>
      <c r="D309" s="5">
        <v>8.1510000000000004E-6</v>
      </c>
    </row>
    <row r="310" spans="1:4" x14ac:dyDescent="0.2">
      <c r="A310">
        <v>2016</v>
      </c>
      <c r="B310" s="1" t="s">
        <v>112</v>
      </c>
      <c r="C310" s="7">
        <v>49809</v>
      </c>
      <c r="D310" s="5">
        <v>2.5568E-5</v>
      </c>
    </row>
    <row r="311" spans="1:4" x14ac:dyDescent="0.2">
      <c r="A311">
        <v>2016</v>
      </c>
      <c r="B311" s="1" t="s">
        <v>113</v>
      </c>
      <c r="C311" s="7">
        <v>239542</v>
      </c>
      <c r="D311" s="5">
        <v>1.2296299999999999E-4</v>
      </c>
    </row>
    <row r="312" spans="1:4" x14ac:dyDescent="0.2">
      <c r="A312">
        <v>2016</v>
      </c>
      <c r="B312" s="1" t="s">
        <v>114</v>
      </c>
      <c r="C312" s="7">
        <v>79140</v>
      </c>
      <c r="D312" s="5">
        <v>4.0624999999999998E-5</v>
      </c>
    </row>
    <row r="313" spans="1:4" x14ac:dyDescent="0.2">
      <c r="A313">
        <v>2016</v>
      </c>
      <c r="B313" s="1" t="s">
        <v>115</v>
      </c>
      <c r="C313" s="7">
        <v>86925</v>
      </c>
      <c r="D313" s="5">
        <v>4.4620999999999999E-5</v>
      </c>
    </row>
    <row r="314" spans="1:4" x14ac:dyDescent="0.2">
      <c r="A314">
        <v>2016</v>
      </c>
      <c r="B314" s="1" t="s">
        <v>116</v>
      </c>
      <c r="C314" s="7">
        <v>322957</v>
      </c>
      <c r="D314" s="5">
        <v>1.6578200000000001E-4</v>
      </c>
    </row>
    <row r="315" spans="1:4" x14ac:dyDescent="0.2">
      <c r="A315">
        <v>2016</v>
      </c>
      <c r="B315" s="1" t="s">
        <v>117</v>
      </c>
      <c r="C315" s="7">
        <v>441470</v>
      </c>
      <c r="D315" s="5">
        <v>2.2661799999999999E-4</v>
      </c>
    </row>
    <row r="316" spans="1:4" x14ac:dyDescent="0.2">
      <c r="A316">
        <v>2016</v>
      </c>
      <c r="B316" s="1" t="s">
        <v>118</v>
      </c>
      <c r="C316" s="7">
        <v>49191</v>
      </c>
      <c r="D316" s="5">
        <v>2.5250999999999999E-5</v>
      </c>
    </row>
    <row r="317" spans="1:4" x14ac:dyDescent="0.2">
      <c r="A317">
        <v>2016</v>
      </c>
      <c r="B317" s="1" t="s">
        <v>119</v>
      </c>
      <c r="C317" s="7">
        <v>52596</v>
      </c>
      <c r="D317" s="5">
        <v>2.6999E-5</v>
      </c>
    </row>
    <row r="318" spans="1:4" x14ac:dyDescent="0.2">
      <c r="A318">
        <v>2016</v>
      </c>
      <c r="B318" s="1" t="s">
        <v>120</v>
      </c>
      <c r="C318" s="7">
        <v>1165241</v>
      </c>
      <c r="D318" s="5">
        <v>5.9814799999999995E-4</v>
      </c>
    </row>
    <row r="319" spans="1:4" x14ac:dyDescent="0.2">
      <c r="A319">
        <v>2016</v>
      </c>
      <c r="B319" s="1" t="s">
        <v>121</v>
      </c>
      <c r="C319" s="7">
        <v>1375069</v>
      </c>
      <c r="D319" s="5">
        <v>7.0585799999999996E-4</v>
      </c>
    </row>
    <row r="320" spans="1:4" x14ac:dyDescent="0.2">
      <c r="A320">
        <v>2016</v>
      </c>
      <c r="B320" s="1" t="s">
        <v>122</v>
      </c>
      <c r="C320" s="7">
        <v>589809</v>
      </c>
      <c r="D320" s="5">
        <v>3.0276400000000002E-4</v>
      </c>
    </row>
    <row r="321" spans="1:4" x14ac:dyDescent="0.2">
      <c r="A321">
        <v>2016</v>
      </c>
      <c r="B321" s="1" t="s">
        <v>123</v>
      </c>
      <c r="C321" s="7">
        <v>1310241</v>
      </c>
      <c r="D321" s="5">
        <v>6.7257999999999999E-4</v>
      </c>
    </row>
    <row r="322" spans="1:4" x14ac:dyDescent="0.2">
      <c r="A322">
        <v>2016</v>
      </c>
      <c r="B322" s="1" t="s">
        <v>124</v>
      </c>
      <c r="C322" s="7">
        <v>3754</v>
      </c>
      <c r="D322" s="5">
        <v>1.9269999999999999E-6</v>
      </c>
    </row>
    <row r="323" spans="1:4" x14ac:dyDescent="0.2">
      <c r="A323">
        <v>2016</v>
      </c>
      <c r="B323" s="1" t="s">
        <v>125</v>
      </c>
      <c r="C323" s="7">
        <v>26845</v>
      </c>
      <c r="D323" s="5">
        <v>1.378E-5</v>
      </c>
    </row>
    <row r="324" spans="1:4" x14ac:dyDescent="0.2">
      <c r="A324">
        <v>2016</v>
      </c>
      <c r="B324" s="1" t="s">
        <v>126</v>
      </c>
      <c r="C324" s="7">
        <v>110039</v>
      </c>
      <c r="D324" s="5">
        <v>5.6486000000000001E-5</v>
      </c>
    </row>
    <row r="325" spans="1:4" x14ac:dyDescent="0.2">
      <c r="A325">
        <v>2016</v>
      </c>
      <c r="B325" s="1" t="s">
        <v>127</v>
      </c>
      <c r="C325" s="7">
        <v>163814</v>
      </c>
      <c r="D325" s="5">
        <v>8.4090000000000003E-5</v>
      </c>
    </row>
    <row r="326" spans="1:4" x14ac:dyDescent="0.2">
      <c r="A326">
        <v>2016</v>
      </c>
      <c r="B326" s="1" t="s">
        <v>128</v>
      </c>
      <c r="C326" s="7">
        <v>227559</v>
      </c>
      <c r="D326" s="5">
        <v>1.1681200000000001E-4</v>
      </c>
    </row>
    <row r="327" spans="1:4" x14ac:dyDescent="0.2">
      <c r="A327">
        <v>2016</v>
      </c>
      <c r="B327" s="1" t="s">
        <v>129</v>
      </c>
      <c r="C327" s="7">
        <v>25305</v>
      </c>
      <c r="D327" s="5">
        <v>1.2989999999999999E-5</v>
      </c>
    </row>
    <row r="328" spans="1:4" x14ac:dyDescent="0.2">
      <c r="A328">
        <v>2016</v>
      </c>
      <c r="B328" s="1" t="s">
        <v>130</v>
      </c>
      <c r="C328" s="7">
        <v>76105</v>
      </c>
      <c r="D328" s="5">
        <v>3.9066999999999997E-5</v>
      </c>
    </row>
    <row r="329" spans="1:4" x14ac:dyDescent="0.2">
      <c r="A329">
        <v>2016</v>
      </c>
      <c r="B329" s="1" t="s">
        <v>131</v>
      </c>
      <c r="C329" s="7">
        <v>69139</v>
      </c>
      <c r="D329" s="5">
        <v>3.5491000000000003E-5</v>
      </c>
    </row>
    <row r="330" spans="1:4" x14ac:dyDescent="0.2">
      <c r="A330">
        <v>2016</v>
      </c>
      <c r="B330" s="1" t="s">
        <v>132</v>
      </c>
      <c r="C330" s="7">
        <v>13939</v>
      </c>
      <c r="D330" s="5">
        <v>7.1550000000000001E-6</v>
      </c>
    </row>
    <row r="331" spans="1:4" x14ac:dyDescent="0.2">
      <c r="A331">
        <v>2016</v>
      </c>
      <c r="B331" s="1" t="s">
        <v>133</v>
      </c>
      <c r="C331" s="7">
        <v>58281</v>
      </c>
      <c r="D331" s="5">
        <v>2.9916999999999998E-5</v>
      </c>
    </row>
    <row r="332" spans="1:4" x14ac:dyDescent="0.2">
      <c r="A332">
        <v>2016</v>
      </c>
      <c r="B332" s="1" t="s">
        <v>134</v>
      </c>
      <c r="C332" s="7">
        <v>177406</v>
      </c>
      <c r="D332" s="5">
        <v>9.1067000000000001E-5</v>
      </c>
    </row>
    <row r="333" spans="1:4" x14ac:dyDescent="0.2">
      <c r="A333">
        <v>2016</v>
      </c>
      <c r="B333" s="1" t="s">
        <v>135</v>
      </c>
      <c r="C333" s="7">
        <v>15255</v>
      </c>
      <c r="D333" s="5">
        <v>7.8310000000000001E-6</v>
      </c>
    </row>
    <row r="334" spans="1:4" x14ac:dyDescent="0.2">
      <c r="A334">
        <v>2016</v>
      </c>
      <c r="B334" s="1" t="s">
        <v>136</v>
      </c>
      <c r="C334" s="7">
        <v>375761</v>
      </c>
      <c r="D334" s="5">
        <v>1.92888E-4</v>
      </c>
    </row>
    <row r="335" spans="1:4" x14ac:dyDescent="0.2">
      <c r="A335">
        <v>2016</v>
      </c>
      <c r="B335" s="1" t="s">
        <v>137</v>
      </c>
      <c r="C335" s="7">
        <v>13220699</v>
      </c>
      <c r="D335" s="5">
        <v>6.7865169999999997E-3</v>
      </c>
    </row>
    <row r="336" spans="1:4" x14ac:dyDescent="0.2">
      <c r="A336">
        <v>2016</v>
      </c>
      <c r="B336" s="1" t="s">
        <v>138</v>
      </c>
      <c r="C336" s="7">
        <v>205149</v>
      </c>
      <c r="D336" s="5">
        <v>1.05308E-4</v>
      </c>
    </row>
    <row r="337" spans="1:4" x14ac:dyDescent="0.2">
      <c r="A337">
        <v>2016</v>
      </c>
      <c r="B337" s="1" t="s">
        <v>139</v>
      </c>
      <c r="C337" s="7">
        <v>17033693</v>
      </c>
      <c r="D337" s="5">
        <v>8.7438229999999995E-3</v>
      </c>
    </row>
    <row r="338" spans="1:4" x14ac:dyDescent="0.2">
      <c r="A338">
        <v>2016</v>
      </c>
      <c r="B338" s="1" t="s">
        <v>140</v>
      </c>
      <c r="C338" s="7">
        <v>20009</v>
      </c>
      <c r="D338" s="5">
        <v>1.0271E-5</v>
      </c>
    </row>
    <row r="339" spans="1:4" x14ac:dyDescent="0.2">
      <c r="A339">
        <v>2016</v>
      </c>
      <c r="B339" s="1" t="s">
        <v>141</v>
      </c>
      <c r="C339" s="7">
        <v>58294</v>
      </c>
      <c r="D339" s="5">
        <v>2.9924E-5</v>
      </c>
    </row>
    <row r="340" spans="1:4" x14ac:dyDescent="0.2">
      <c r="A340">
        <v>2016</v>
      </c>
      <c r="B340" s="1" t="s">
        <v>142</v>
      </c>
      <c r="C340" s="7">
        <v>67025</v>
      </c>
      <c r="D340" s="5">
        <v>3.4405E-5</v>
      </c>
    </row>
    <row r="341" spans="1:4" x14ac:dyDescent="0.2">
      <c r="A341">
        <v>2016</v>
      </c>
      <c r="B341" s="1" t="s">
        <v>143</v>
      </c>
      <c r="C341" s="7">
        <v>27860</v>
      </c>
      <c r="D341" s="5">
        <v>1.4301000000000001E-5</v>
      </c>
    </row>
    <row r="342" spans="1:4" x14ac:dyDescent="0.2">
      <c r="A342">
        <v>2016</v>
      </c>
      <c r="B342" s="1" t="s">
        <v>144</v>
      </c>
      <c r="C342" s="7">
        <v>105917</v>
      </c>
      <c r="D342" s="5">
        <v>5.4370000000000003E-5</v>
      </c>
    </row>
    <row r="343" spans="1:4" x14ac:dyDescent="0.2">
      <c r="A343">
        <v>2016</v>
      </c>
      <c r="B343" s="1" t="s">
        <v>145</v>
      </c>
      <c r="C343" s="7">
        <v>1716142</v>
      </c>
      <c r="D343" s="5">
        <v>8.8093899999999996E-4</v>
      </c>
    </row>
    <row r="344" spans="1:4" x14ac:dyDescent="0.2">
      <c r="A344">
        <v>2016</v>
      </c>
      <c r="B344" s="1" t="s">
        <v>146</v>
      </c>
      <c r="C344" s="7">
        <v>424398</v>
      </c>
      <c r="D344" s="5">
        <v>2.1785399999999999E-4</v>
      </c>
    </row>
    <row r="345" spans="1:4" x14ac:dyDescent="0.2">
      <c r="A345">
        <v>2016</v>
      </c>
      <c r="B345" s="1" t="s">
        <v>147</v>
      </c>
      <c r="C345" s="7">
        <v>26608</v>
      </c>
      <c r="D345" s="5">
        <v>1.3658999999999999E-5</v>
      </c>
    </row>
    <row r="346" spans="1:4" x14ac:dyDescent="0.2">
      <c r="A346">
        <v>2016</v>
      </c>
      <c r="B346" s="1" t="s">
        <v>148</v>
      </c>
      <c r="C346" s="7">
        <v>734259</v>
      </c>
      <c r="D346" s="5">
        <v>3.76914E-4</v>
      </c>
    </row>
    <row r="347" spans="1:4" x14ac:dyDescent="0.2">
      <c r="A347">
        <v>2016</v>
      </c>
      <c r="B347" s="1" t="s">
        <v>149</v>
      </c>
      <c r="C347" s="7">
        <v>12881</v>
      </c>
      <c r="D347" s="5">
        <v>6.6120000000000004E-6</v>
      </c>
    </row>
    <row r="348" spans="1:4" x14ac:dyDescent="0.2">
      <c r="A348">
        <v>2016</v>
      </c>
      <c r="B348" s="1" t="s">
        <v>150</v>
      </c>
      <c r="C348" s="7">
        <v>32171</v>
      </c>
      <c r="D348" s="5">
        <v>1.6514000000000001E-5</v>
      </c>
    </row>
    <row r="349" spans="1:4" x14ac:dyDescent="0.2">
      <c r="A349">
        <v>2016</v>
      </c>
      <c r="B349" s="1" t="s">
        <v>151</v>
      </c>
      <c r="C349" s="7">
        <v>38111</v>
      </c>
      <c r="D349" s="5">
        <v>1.9564000000000001E-5</v>
      </c>
    </row>
    <row r="350" spans="1:4" x14ac:dyDescent="0.2">
      <c r="A350">
        <v>2016</v>
      </c>
      <c r="B350" s="1" t="s">
        <v>152</v>
      </c>
      <c r="C350" s="7">
        <v>853547</v>
      </c>
      <c r="D350" s="5">
        <v>4.38147E-4</v>
      </c>
    </row>
    <row r="351" spans="1:4" x14ac:dyDescent="0.2">
      <c r="A351">
        <v>2016</v>
      </c>
      <c r="B351" s="1" t="s">
        <v>153</v>
      </c>
      <c r="C351" s="7">
        <v>2232222</v>
      </c>
      <c r="D351" s="5">
        <v>1.145856E-3</v>
      </c>
    </row>
    <row r="352" spans="1:4" x14ac:dyDescent="0.2">
      <c r="A352">
        <v>2016</v>
      </c>
      <c r="B352" s="1" t="s">
        <v>154</v>
      </c>
      <c r="C352" s="7">
        <v>642913</v>
      </c>
      <c r="D352" s="5">
        <v>3.3002299999999998E-4</v>
      </c>
    </row>
    <row r="353" spans="1:4" x14ac:dyDescent="0.2">
      <c r="A353">
        <v>2016</v>
      </c>
      <c r="B353" s="1" t="s">
        <v>155</v>
      </c>
      <c r="C353" s="7">
        <v>110784</v>
      </c>
      <c r="D353" s="5">
        <v>5.6867999999999998E-5</v>
      </c>
    </row>
    <row r="354" spans="1:4" x14ac:dyDescent="0.2">
      <c r="A354">
        <v>2016</v>
      </c>
      <c r="B354" s="1" t="s">
        <v>156</v>
      </c>
      <c r="C354" s="7">
        <v>625725</v>
      </c>
      <c r="D354" s="5">
        <v>3.212E-4</v>
      </c>
    </row>
    <row r="355" spans="1:4" x14ac:dyDescent="0.2">
      <c r="A355">
        <v>2016</v>
      </c>
      <c r="B355" s="1" t="s">
        <v>157</v>
      </c>
      <c r="C355" s="7">
        <v>9083</v>
      </c>
      <c r="D355" s="5">
        <v>4.6619999999999996E-6</v>
      </c>
    </row>
    <row r="356" spans="1:4" x14ac:dyDescent="0.2">
      <c r="A356">
        <v>2016</v>
      </c>
      <c r="B356" s="1" t="s">
        <v>158</v>
      </c>
      <c r="C356" s="7">
        <v>167908</v>
      </c>
      <c r="D356" s="5">
        <v>8.6191000000000002E-5</v>
      </c>
    </row>
    <row r="357" spans="1:4" x14ac:dyDescent="0.2">
      <c r="A357">
        <v>2016</v>
      </c>
      <c r="B357" s="1" t="s">
        <v>159</v>
      </c>
      <c r="C357" s="7">
        <v>64824</v>
      </c>
      <c r="D357" s="5">
        <v>3.3275999999999998E-5</v>
      </c>
    </row>
    <row r="358" spans="1:4" x14ac:dyDescent="0.2">
      <c r="A358">
        <v>2016</v>
      </c>
      <c r="B358" s="1" t="s">
        <v>160</v>
      </c>
      <c r="C358" s="7">
        <v>245741</v>
      </c>
      <c r="D358" s="5">
        <v>1.2614500000000001E-4</v>
      </c>
    </row>
    <row r="359" spans="1:4" x14ac:dyDescent="0.2">
      <c r="A359">
        <v>2016</v>
      </c>
      <c r="B359" s="1" t="s">
        <v>161</v>
      </c>
      <c r="C359" s="7">
        <v>419241</v>
      </c>
      <c r="D359" s="5">
        <v>2.15207E-4</v>
      </c>
    </row>
    <row r="360" spans="1:4" x14ac:dyDescent="0.2">
      <c r="A360">
        <v>2016</v>
      </c>
      <c r="B360" s="1" t="s">
        <v>162</v>
      </c>
      <c r="C360" s="7">
        <v>1092326</v>
      </c>
      <c r="D360" s="5">
        <v>5.60719E-4</v>
      </c>
    </row>
    <row r="361" spans="1:4" x14ac:dyDescent="0.2">
      <c r="A361">
        <v>2016</v>
      </c>
      <c r="B361" s="1" t="s">
        <v>163</v>
      </c>
      <c r="C361" s="7">
        <v>1953519</v>
      </c>
      <c r="D361" s="5">
        <v>1.0027899999999999E-3</v>
      </c>
    </row>
    <row r="362" spans="1:4" x14ac:dyDescent="0.2">
      <c r="A362">
        <v>2016</v>
      </c>
      <c r="B362" s="1" t="s">
        <v>164</v>
      </c>
      <c r="C362" s="7">
        <v>20123</v>
      </c>
      <c r="D362" s="5">
        <v>1.0329999999999999E-5</v>
      </c>
    </row>
    <row r="363" spans="1:4" x14ac:dyDescent="0.2">
      <c r="A363">
        <v>2016</v>
      </c>
      <c r="B363" s="1" t="s">
        <v>165</v>
      </c>
      <c r="C363" s="7">
        <v>44394</v>
      </c>
      <c r="D363" s="5">
        <v>2.2789000000000002E-5</v>
      </c>
    </row>
    <row r="364" spans="1:4" x14ac:dyDescent="0.2">
      <c r="A364">
        <v>2016</v>
      </c>
      <c r="B364" s="1" t="s">
        <v>166</v>
      </c>
      <c r="C364" s="7">
        <v>103779</v>
      </c>
      <c r="D364" s="5">
        <v>5.3272000000000001E-5</v>
      </c>
    </row>
    <row r="365" spans="1:4" x14ac:dyDescent="0.2">
      <c r="A365">
        <v>2016</v>
      </c>
      <c r="B365" s="1" t="s">
        <v>167</v>
      </c>
      <c r="C365" s="7">
        <v>86845</v>
      </c>
      <c r="D365" s="5">
        <v>4.4579000000000001E-5</v>
      </c>
    </row>
    <row r="366" spans="1:4" x14ac:dyDescent="0.2">
      <c r="A366">
        <v>2016</v>
      </c>
      <c r="B366" s="1" t="s">
        <v>168</v>
      </c>
      <c r="C366" s="7">
        <v>38676</v>
      </c>
      <c r="D366" s="5">
        <v>1.9853000000000001E-5</v>
      </c>
    </row>
    <row r="367" spans="1:4" x14ac:dyDescent="0.2">
      <c r="A367">
        <v>2016</v>
      </c>
      <c r="B367" s="1" t="s">
        <v>169</v>
      </c>
      <c r="C367" s="7">
        <v>566946</v>
      </c>
      <c r="D367" s="5">
        <v>2.9102700000000002E-4</v>
      </c>
    </row>
    <row r="368" spans="1:4" x14ac:dyDescent="0.2">
      <c r="A368">
        <v>2016</v>
      </c>
      <c r="B368" s="1" t="s">
        <v>170</v>
      </c>
      <c r="C368" s="7">
        <v>1003807</v>
      </c>
      <c r="D368" s="5">
        <v>5.15279E-4</v>
      </c>
    </row>
    <row r="369" spans="1:4" x14ac:dyDescent="0.2">
      <c r="A369">
        <v>2016</v>
      </c>
      <c r="B369" s="1" t="s">
        <v>171</v>
      </c>
      <c r="C369" s="7">
        <v>17887</v>
      </c>
      <c r="D369" s="5">
        <v>9.1819999999999995E-6</v>
      </c>
    </row>
    <row r="370" spans="1:4" x14ac:dyDescent="0.2">
      <c r="A370">
        <v>2016</v>
      </c>
      <c r="B370" s="1" t="s">
        <v>172</v>
      </c>
      <c r="C370" s="7">
        <v>429946</v>
      </c>
      <c r="D370" s="5">
        <v>2.20702E-4</v>
      </c>
    </row>
    <row r="371" spans="1:4" x14ac:dyDescent="0.2">
      <c r="A371">
        <v>2016</v>
      </c>
      <c r="B371" s="1" t="s">
        <v>173</v>
      </c>
      <c r="C371" s="7">
        <v>63824</v>
      </c>
      <c r="D371" s="5">
        <v>3.2762999999999998E-5</v>
      </c>
    </row>
    <row r="372" spans="1:4" x14ac:dyDescent="0.2">
      <c r="A372">
        <v>2016</v>
      </c>
      <c r="B372" s="1" t="s">
        <v>174</v>
      </c>
      <c r="C372" s="7">
        <v>166921</v>
      </c>
      <c r="D372" s="5">
        <v>8.5685000000000004E-5</v>
      </c>
    </row>
    <row r="373" spans="1:4" x14ac:dyDescent="0.2">
      <c r="A373">
        <v>2016</v>
      </c>
      <c r="B373" s="1" t="s">
        <v>175</v>
      </c>
      <c r="C373" s="7">
        <v>384349</v>
      </c>
      <c r="D373" s="5">
        <v>1.9729599999999999E-4</v>
      </c>
    </row>
    <row r="374" spans="1:4" x14ac:dyDescent="0.2">
      <c r="A374">
        <v>2016</v>
      </c>
      <c r="B374" s="1" t="s">
        <v>176</v>
      </c>
      <c r="C374" s="7">
        <v>285290</v>
      </c>
      <c r="D374" s="5">
        <v>1.4644699999999999E-4</v>
      </c>
    </row>
    <row r="375" spans="1:4" x14ac:dyDescent="0.2">
      <c r="A375">
        <v>2016</v>
      </c>
      <c r="B375" s="1" t="s">
        <v>177</v>
      </c>
      <c r="C375" s="7">
        <v>25513</v>
      </c>
      <c r="D375" s="5">
        <v>1.3096E-5</v>
      </c>
    </row>
    <row r="376" spans="1:4" x14ac:dyDescent="0.2">
      <c r="A376">
        <v>2016</v>
      </c>
      <c r="B376" s="1" t="s">
        <v>178</v>
      </c>
      <c r="C376" s="7">
        <v>10696</v>
      </c>
      <c r="D376" s="5">
        <v>5.4909999999999996E-6</v>
      </c>
    </row>
    <row r="377" spans="1:4" x14ac:dyDescent="0.2">
      <c r="A377">
        <v>2016</v>
      </c>
      <c r="B377" s="1" t="s">
        <v>179</v>
      </c>
      <c r="C377" s="7">
        <v>693629</v>
      </c>
      <c r="D377" s="5">
        <v>3.5605700000000001E-4</v>
      </c>
    </row>
    <row r="378" spans="1:4" x14ac:dyDescent="0.2">
      <c r="A378">
        <v>2016</v>
      </c>
      <c r="B378" s="1" t="s">
        <v>180</v>
      </c>
      <c r="C378" s="7">
        <v>101809</v>
      </c>
      <c r="D378" s="5">
        <v>5.2261E-5</v>
      </c>
    </row>
    <row r="379" spans="1:4" x14ac:dyDescent="0.2">
      <c r="A379">
        <v>2016</v>
      </c>
      <c r="B379" s="1" t="s">
        <v>181</v>
      </c>
      <c r="C379" s="7">
        <v>24313</v>
      </c>
      <c r="D379" s="5">
        <v>1.2481E-5</v>
      </c>
    </row>
    <row r="380" spans="1:4" x14ac:dyDescent="0.2">
      <c r="A380">
        <v>2016</v>
      </c>
      <c r="B380" s="1" t="s">
        <v>182</v>
      </c>
      <c r="C380" s="7">
        <v>59755</v>
      </c>
      <c r="D380" s="5">
        <v>3.0673999999999998E-5</v>
      </c>
    </row>
    <row r="381" spans="1:4" x14ac:dyDescent="0.2">
      <c r="A381">
        <v>2016</v>
      </c>
      <c r="B381" s="1" t="s">
        <v>183</v>
      </c>
      <c r="C381" s="7">
        <v>1651954</v>
      </c>
      <c r="D381" s="5">
        <v>8.4798899999999995E-4</v>
      </c>
    </row>
    <row r="382" spans="1:4" x14ac:dyDescent="0.2">
      <c r="A382">
        <v>2016</v>
      </c>
      <c r="B382" s="1" t="s">
        <v>184</v>
      </c>
      <c r="C382" s="7">
        <v>77205</v>
      </c>
      <c r="D382" s="5">
        <v>3.9631000000000001E-5</v>
      </c>
    </row>
    <row r="383" spans="1:4" x14ac:dyDescent="0.2">
      <c r="A383">
        <v>2016</v>
      </c>
      <c r="B383" s="1" t="s">
        <v>185</v>
      </c>
      <c r="C383" s="7">
        <v>9573</v>
      </c>
      <c r="D383" s="5">
        <v>4.9139999999999999E-6</v>
      </c>
    </row>
    <row r="384" spans="1:4" x14ac:dyDescent="0.2">
      <c r="A384">
        <v>2016</v>
      </c>
      <c r="B384" s="1" t="s">
        <v>186</v>
      </c>
      <c r="C384" s="7">
        <v>468</v>
      </c>
      <c r="D384" s="5">
        <v>2.3999999999999998E-7</v>
      </c>
    </row>
    <row r="385" spans="1:4" x14ac:dyDescent="0.2">
      <c r="A385">
        <v>2016</v>
      </c>
      <c r="B385" s="1" t="s">
        <v>187</v>
      </c>
      <c r="C385" s="7">
        <v>62299</v>
      </c>
      <c r="D385" s="5">
        <v>3.1980000000000002E-5</v>
      </c>
    </row>
    <row r="386" spans="1:4" x14ac:dyDescent="0.2">
      <c r="A386">
        <v>2016</v>
      </c>
      <c r="B386" s="1" t="s">
        <v>188</v>
      </c>
      <c r="C386" s="7">
        <v>18804</v>
      </c>
      <c r="D386" s="5">
        <v>9.6530000000000006E-6</v>
      </c>
    </row>
    <row r="387" spans="1:4" x14ac:dyDescent="0.2">
      <c r="A387">
        <v>2016</v>
      </c>
      <c r="B387" s="1" t="s">
        <v>189</v>
      </c>
      <c r="C387" s="7">
        <v>9847</v>
      </c>
      <c r="D387" s="5">
        <v>5.0549999999999999E-6</v>
      </c>
    </row>
    <row r="388" spans="1:4" x14ac:dyDescent="0.2">
      <c r="A388">
        <v>2016</v>
      </c>
      <c r="B388" s="1" t="s">
        <v>190</v>
      </c>
      <c r="C388" s="7">
        <v>6573</v>
      </c>
      <c r="D388" s="5">
        <v>3.3739999999999998E-6</v>
      </c>
    </row>
    <row r="389" spans="1:4" x14ac:dyDescent="0.2">
      <c r="A389">
        <v>2016</v>
      </c>
      <c r="B389" s="1" t="s">
        <v>191</v>
      </c>
      <c r="C389" s="7">
        <v>387173</v>
      </c>
      <c r="D389" s="5">
        <v>1.9874500000000001E-4</v>
      </c>
    </row>
    <row r="390" spans="1:4" x14ac:dyDescent="0.2">
      <c r="A390">
        <v>2016</v>
      </c>
      <c r="B390" s="1" t="s">
        <v>192</v>
      </c>
      <c r="C390" s="7">
        <v>563099</v>
      </c>
      <c r="D390" s="5">
        <v>2.89053E-4</v>
      </c>
    </row>
    <row r="391" spans="1:4" x14ac:dyDescent="0.2">
      <c r="A391">
        <v>2016</v>
      </c>
      <c r="B391" s="1" t="s">
        <v>193</v>
      </c>
      <c r="C391" s="7">
        <v>48235</v>
      </c>
      <c r="D391" s="5">
        <v>2.476E-5</v>
      </c>
    </row>
    <row r="392" spans="1:4" x14ac:dyDescent="0.2">
      <c r="A392">
        <v>2016</v>
      </c>
      <c r="B392" s="1" t="s">
        <v>194</v>
      </c>
      <c r="C392" s="7">
        <v>4612</v>
      </c>
      <c r="D392" s="5">
        <v>2.367E-6</v>
      </c>
    </row>
    <row r="393" spans="1:4" x14ac:dyDescent="0.2">
      <c r="A393">
        <v>2016</v>
      </c>
      <c r="B393" s="1" t="s">
        <v>195</v>
      </c>
      <c r="C393" s="7">
        <v>782764</v>
      </c>
      <c r="D393" s="5">
        <v>4.0181199999999998E-4</v>
      </c>
    </row>
    <row r="394" spans="1:4" x14ac:dyDescent="0.2">
      <c r="A394">
        <v>2016</v>
      </c>
      <c r="B394" s="1" t="s">
        <v>196</v>
      </c>
      <c r="C394" s="7">
        <v>463577</v>
      </c>
      <c r="D394" s="5">
        <v>2.3796599999999999E-4</v>
      </c>
    </row>
    <row r="395" spans="1:4" x14ac:dyDescent="0.2">
      <c r="A395">
        <v>2016</v>
      </c>
      <c r="B395" s="1" t="s">
        <v>197</v>
      </c>
      <c r="C395" s="7">
        <v>510036</v>
      </c>
      <c r="D395" s="5">
        <v>2.6181499999999999E-4</v>
      </c>
    </row>
    <row r="396" spans="1:4" x14ac:dyDescent="0.2">
      <c r="A396">
        <v>2016</v>
      </c>
      <c r="B396" s="1" t="s">
        <v>198</v>
      </c>
      <c r="C396" s="7">
        <v>590</v>
      </c>
      <c r="D396" s="5">
        <v>3.03E-7</v>
      </c>
    </row>
    <row r="397" spans="1:4" x14ac:dyDescent="0.2">
      <c r="A397">
        <v>2016</v>
      </c>
      <c r="B397" s="1" t="s">
        <v>199</v>
      </c>
      <c r="C397" s="7">
        <v>1281871</v>
      </c>
      <c r="D397" s="5">
        <v>6.58017E-4</v>
      </c>
    </row>
    <row r="398" spans="1:4" x14ac:dyDescent="0.2">
      <c r="A398">
        <v>2016</v>
      </c>
      <c r="B398" s="1" t="s">
        <v>200</v>
      </c>
      <c r="C398" s="7">
        <v>63185</v>
      </c>
      <c r="D398" s="5">
        <v>3.2434000000000002E-5</v>
      </c>
    </row>
    <row r="399" spans="1:4" x14ac:dyDescent="0.2">
      <c r="A399">
        <v>2016</v>
      </c>
      <c r="B399" s="1" t="s">
        <v>201</v>
      </c>
      <c r="C399" s="7">
        <v>22904</v>
      </c>
      <c r="D399" s="5">
        <v>1.1756999999999999E-5</v>
      </c>
    </row>
    <row r="400" spans="1:4" x14ac:dyDescent="0.2">
      <c r="A400">
        <v>2016</v>
      </c>
      <c r="B400" s="1" t="s">
        <v>202</v>
      </c>
      <c r="C400" s="7">
        <v>84937</v>
      </c>
      <c r="D400" s="5">
        <v>4.3600000000000003E-5</v>
      </c>
    </row>
    <row r="401" spans="1:4" x14ac:dyDescent="0.2">
      <c r="A401">
        <v>2017</v>
      </c>
      <c r="B401" s="1" t="s">
        <v>4</v>
      </c>
      <c r="C401" s="7">
        <v>1919237489</v>
      </c>
      <c r="D401" s="5">
        <v>0.942956236</v>
      </c>
    </row>
    <row r="402" spans="1:4" x14ac:dyDescent="0.2">
      <c r="A402">
        <v>2017</v>
      </c>
      <c r="B402" s="1" t="s">
        <v>5</v>
      </c>
      <c r="C402" s="7" t="s">
        <v>6</v>
      </c>
      <c r="D402" s="5">
        <v>0</v>
      </c>
    </row>
    <row r="403" spans="1:4" x14ac:dyDescent="0.2">
      <c r="A403">
        <v>2017</v>
      </c>
      <c r="B403" s="1" t="s">
        <v>7</v>
      </c>
      <c r="C403" s="7">
        <v>77433</v>
      </c>
      <c r="D403" s="5">
        <v>3.8043999999999997E-5</v>
      </c>
    </row>
    <row r="404" spans="1:4" x14ac:dyDescent="0.2">
      <c r="A404">
        <v>2017</v>
      </c>
      <c r="B404" s="1" t="s">
        <v>8</v>
      </c>
      <c r="C404" s="7">
        <v>1200638</v>
      </c>
      <c r="D404" s="5">
        <v>5.89895E-4</v>
      </c>
    </row>
    <row r="405" spans="1:4" x14ac:dyDescent="0.2">
      <c r="A405">
        <v>2017</v>
      </c>
      <c r="B405" s="1" t="s">
        <v>9</v>
      </c>
      <c r="C405" s="7">
        <v>7571</v>
      </c>
      <c r="D405" s="5">
        <v>3.72E-6</v>
      </c>
    </row>
    <row r="406" spans="1:4" x14ac:dyDescent="0.2">
      <c r="A406">
        <v>2017</v>
      </c>
      <c r="B406" s="1" t="s">
        <v>10</v>
      </c>
      <c r="C406" s="7">
        <v>41809</v>
      </c>
      <c r="D406" s="5">
        <v>2.0542000000000001E-5</v>
      </c>
    </row>
    <row r="407" spans="1:4" x14ac:dyDescent="0.2">
      <c r="A407">
        <v>2017</v>
      </c>
      <c r="B407" s="1" t="s">
        <v>11</v>
      </c>
      <c r="C407" s="7">
        <v>532468</v>
      </c>
      <c r="D407" s="5">
        <v>2.6161100000000003E-4</v>
      </c>
    </row>
    <row r="408" spans="1:4" x14ac:dyDescent="0.2">
      <c r="A408">
        <v>2017</v>
      </c>
      <c r="B408" s="1" t="s">
        <v>12</v>
      </c>
      <c r="C408" s="7">
        <v>43786</v>
      </c>
      <c r="D408" s="5">
        <v>2.1512999999999999E-5</v>
      </c>
    </row>
    <row r="409" spans="1:4" x14ac:dyDescent="0.2">
      <c r="A409">
        <v>2017</v>
      </c>
      <c r="B409" s="1" t="s">
        <v>13</v>
      </c>
      <c r="C409" s="7">
        <v>10339</v>
      </c>
      <c r="D409" s="5">
        <v>5.0799999999999996E-6</v>
      </c>
    </row>
    <row r="410" spans="1:4" x14ac:dyDescent="0.2">
      <c r="A410">
        <v>2017</v>
      </c>
      <c r="B410" s="1" t="s">
        <v>14</v>
      </c>
      <c r="C410" s="7">
        <v>30234</v>
      </c>
      <c r="D410" s="5">
        <v>1.4854E-5</v>
      </c>
    </row>
    <row r="411" spans="1:4" x14ac:dyDescent="0.2">
      <c r="A411">
        <v>2017</v>
      </c>
      <c r="B411" s="1" t="s">
        <v>15</v>
      </c>
      <c r="C411" s="7">
        <v>1445385</v>
      </c>
      <c r="D411" s="5">
        <v>7.1014400000000001E-4</v>
      </c>
    </row>
    <row r="412" spans="1:4" x14ac:dyDescent="0.2">
      <c r="A412">
        <v>2017</v>
      </c>
      <c r="B412" s="1" t="s">
        <v>16</v>
      </c>
      <c r="C412" s="7">
        <v>312775</v>
      </c>
      <c r="D412" s="5">
        <v>1.5367199999999999E-4</v>
      </c>
    </row>
    <row r="413" spans="1:4" x14ac:dyDescent="0.2">
      <c r="A413">
        <v>2017</v>
      </c>
      <c r="B413" s="1" t="s">
        <v>17</v>
      </c>
      <c r="C413" s="7">
        <v>79412</v>
      </c>
      <c r="D413" s="5">
        <v>3.9017000000000003E-5</v>
      </c>
    </row>
    <row r="414" spans="1:4" x14ac:dyDescent="0.2">
      <c r="A414">
        <v>2017</v>
      </c>
      <c r="B414" s="1" t="s">
        <v>18</v>
      </c>
      <c r="C414" s="7">
        <v>2044463</v>
      </c>
      <c r="D414" s="5">
        <v>1.0044819999999999E-3</v>
      </c>
    </row>
    <row r="415" spans="1:4" x14ac:dyDescent="0.2">
      <c r="A415">
        <v>2017</v>
      </c>
      <c r="B415" s="1" t="s">
        <v>19</v>
      </c>
      <c r="C415" s="7">
        <v>67347</v>
      </c>
      <c r="D415" s="5">
        <v>3.3089000000000001E-5</v>
      </c>
    </row>
    <row r="416" spans="1:4" x14ac:dyDescent="0.2">
      <c r="A416">
        <v>2017</v>
      </c>
      <c r="B416" s="1" t="s">
        <v>20</v>
      </c>
      <c r="C416" s="7">
        <v>24312</v>
      </c>
      <c r="D416" s="5">
        <v>1.1945E-5</v>
      </c>
    </row>
    <row r="417" spans="1:4" x14ac:dyDescent="0.2">
      <c r="A417">
        <v>2017</v>
      </c>
      <c r="B417" s="1" t="s">
        <v>21</v>
      </c>
      <c r="C417" s="7">
        <v>5481563</v>
      </c>
      <c r="D417" s="5">
        <v>2.6931910000000002E-3</v>
      </c>
    </row>
    <row r="418" spans="1:4" x14ac:dyDescent="0.2">
      <c r="A418">
        <v>2017</v>
      </c>
      <c r="B418" s="1" t="s">
        <v>22</v>
      </c>
      <c r="C418" s="7" t="s">
        <v>6</v>
      </c>
      <c r="D418" s="5">
        <v>0</v>
      </c>
    </row>
    <row r="419" spans="1:4" x14ac:dyDescent="0.2">
      <c r="A419">
        <v>2017</v>
      </c>
      <c r="B419" s="1" t="s">
        <v>23</v>
      </c>
      <c r="C419" s="7">
        <v>658992</v>
      </c>
      <c r="D419" s="5">
        <v>3.23775E-4</v>
      </c>
    </row>
    <row r="420" spans="1:4" x14ac:dyDescent="0.2">
      <c r="A420">
        <v>2017</v>
      </c>
      <c r="B420" s="1" t="s">
        <v>24</v>
      </c>
      <c r="C420" s="7">
        <v>2684397</v>
      </c>
      <c r="D420" s="5">
        <v>1.318893E-3</v>
      </c>
    </row>
    <row r="421" spans="1:4" x14ac:dyDescent="0.2">
      <c r="A421">
        <v>2017</v>
      </c>
      <c r="B421" s="1" t="s">
        <v>25</v>
      </c>
      <c r="C421" s="7">
        <v>59973</v>
      </c>
      <c r="D421" s="5">
        <v>2.9465999999999999E-5</v>
      </c>
    </row>
    <row r="422" spans="1:4" x14ac:dyDescent="0.2">
      <c r="A422">
        <v>2017</v>
      </c>
      <c r="B422" s="1" t="s">
        <v>26</v>
      </c>
      <c r="C422" s="7">
        <v>53777</v>
      </c>
      <c r="D422" s="5">
        <v>2.6421999999999999E-5</v>
      </c>
    </row>
    <row r="423" spans="1:4" x14ac:dyDescent="0.2">
      <c r="A423">
        <v>2017</v>
      </c>
      <c r="B423" s="1" t="s">
        <v>27</v>
      </c>
      <c r="C423" s="7">
        <v>23665</v>
      </c>
      <c r="D423" s="5">
        <v>1.1627000000000001E-5</v>
      </c>
    </row>
    <row r="424" spans="1:4" x14ac:dyDescent="0.2">
      <c r="A424">
        <v>2017</v>
      </c>
      <c r="B424" s="1" t="s">
        <v>28</v>
      </c>
      <c r="C424" s="7">
        <v>298871</v>
      </c>
      <c r="D424" s="5">
        <v>1.4684100000000001E-4</v>
      </c>
    </row>
    <row r="425" spans="1:4" x14ac:dyDescent="0.2">
      <c r="A425">
        <v>2017</v>
      </c>
      <c r="B425" s="1" t="s">
        <v>29</v>
      </c>
      <c r="C425" s="7">
        <v>81584</v>
      </c>
      <c r="D425" s="5">
        <v>4.0083999999999998E-5</v>
      </c>
    </row>
    <row r="426" spans="1:4" x14ac:dyDescent="0.2">
      <c r="A426">
        <v>2017</v>
      </c>
      <c r="B426" s="1" t="s">
        <v>30</v>
      </c>
      <c r="C426" s="7">
        <v>2183</v>
      </c>
      <c r="D426" s="5">
        <v>1.0729999999999999E-6</v>
      </c>
    </row>
    <row r="427" spans="1:4" x14ac:dyDescent="0.2">
      <c r="A427">
        <v>2017</v>
      </c>
      <c r="B427" s="1" t="s">
        <v>31</v>
      </c>
      <c r="C427" s="7">
        <v>175127</v>
      </c>
      <c r="D427" s="5">
        <v>8.6043000000000003E-5</v>
      </c>
    </row>
    <row r="428" spans="1:4" x14ac:dyDescent="0.2">
      <c r="A428">
        <v>2017</v>
      </c>
      <c r="B428" s="1" t="s">
        <v>32</v>
      </c>
      <c r="C428" s="7">
        <v>1262660</v>
      </c>
      <c r="D428" s="5">
        <v>6.2036800000000005E-4</v>
      </c>
    </row>
    <row r="429" spans="1:4" x14ac:dyDescent="0.2">
      <c r="A429">
        <v>2017</v>
      </c>
      <c r="B429" s="1" t="s">
        <v>33</v>
      </c>
      <c r="C429" s="7">
        <v>108053</v>
      </c>
      <c r="D429" s="5">
        <v>5.3087999999999997E-5</v>
      </c>
    </row>
    <row r="430" spans="1:4" x14ac:dyDescent="0.2">
      <c r="A430">
        <v>2017</v>
      </c>
      <c r="B430" s="1" t="s">
        <v>34</v>
      </c>
      <c r="C430" s="7">
        <v>1175347</v>
      </c>
      <c r="D430" s="5">
        <v>5.7746900000000005E-4</v>
      </c>
    </row>
    <row r="431" spans="1:4" x14ac:dyDescent="0.2">
      <c r="A431">
        <v>2017</v>
      </c>
      <c r="B431" s="1" t="s">
        <v>35</v>
      </c>
      <c r="C431" s="7">
        <v>322464</v>
      </c>
      <c r="D431" s="5">
        <v>1.5843300000000001E-4</v>
      </c>
    </row>
    <row r="432" spans="1:4" x14ac:dyDescent="0.2">
      <c r="A432">
        <v>2017</v>
      </c>
      <c r="B432" s="1" t="s">
        <v>36</v>
      </c>
      <c r="C432" s="7">
        <v>582459</v>
      </c>
      <c r="D432" s="5">
        <v>2.8617300000000003E-4</v>
      </c>
    </row>
    <row r="433" spans="1:4" x14ac:dyDescent="0.2">
      <c r="A433">
        <v>2017</v>
      </c>
      <c r="B433" s="1" t="s">
        <v>37</v>
      </c>
      <c r="C433" s="7">
        <v>26307</v>
      </c>
      <c r="D433" s="5">
        <v>1.2925000000000001E-5</v>
      </c>
    </row>
    <row r="434" spans="1:4" x14ac:dyDescent="0.2">
      <c r="A434">
        <v>2017</v>
      </c>
      <c r="B434" s="1" t="s">
        <v>38</v>
      </c>
      <c r="C434" s="7">
        <v>20668</v>
      </c>
      <c r="D434" s="5">
        <v>1.0155E-5</v>
      </c>
    </row>
    <row r="435" spans="1:4" x14ac:dyDescent="0.2">
      <c r="A435">
        <v>2017</v>
      </c>
      <c r="B435" s="1" t="s">
        <v>39</v>
      </c>
      <c r="C435" s="7">
        <v>391479</v>
      </c>
      <c r="D435" s="5">
        <v>1.9234100000000001E-4</v>
      </c>
    </row>
    <row r="436" spans="1:4" x14ac:dyDescent="0.2">
      <c r="A436">
        <v>2017</v>
      </c>
      <c r="B436" s="1" t="s">
        <v>40</v>
      </c>
      <c r="C436" s="7">
        <v>26620</v>
      </c>
      <c r="D436" s="5">
        <v>1.3079E-5</v>
      </c>
    </row>
    <row r="437" spans="1:4" x14ac:dyDescent="0.2">
      <c r="A437">
        <v>2017</v>
      </c>
      <c r="B437" s="1" t="s">
        <v>41</v>
      </c>
      <c r="C437" s="7">
        <v>438387</v>
      </c>
      <c r="D437" s="5">
        <v>2.1538699999999999E-4</v>
      </c>
    </row>
    <row r="438" spans="1:4" x14ac:dyDescent="0.2">
      <c r="A438">
        <v>2017</v>
      </c>
      <c r="B438" s="1" t="s">
        <v>42</v>
      </c>
      <c r="C438" s="7">
        <v>26427</v>
      </c>
      <c r="D438" s="5">
        <v>1.2984E-5</v>
      </c>
    </row>
    <row r="439" spans="1:4" x14ac:dyDescent="0.2">
      <c r="A439">
        <v>2017</v>
      </c>
      <c r="B439" s="1" t="s">
        <v>43</v>
      </c>
      <c r="C439" s="7">
        <v>55927</v>
      </c>
      <c r="D439" s="5">
        <v>2.7478E-5</v>
      </c>
    </row>
    <row r="440" spans="1:4" x14ac:dyDescent="0.2">
      <c r="A440">
        <v>2017</v>
      </c>
      <c r="B440" s="1" t="s">
        <v>44</v>
      </c>
      <c r="C440" s="7">
        <v>1483376</v>
      </c>
      <c r="D440" s="5">
        <v>7.2880899999999997E-4</v>
      </c>
    </row>
    <row r="441" spans="1:4" x14ac:dyDescent="0.2">
      <c r="A441">
        <v>2017</v>
      </c>
      <c r="B441" s="1" t="s">
        <v>45</v>
      </c>
      <c r="C441" s="7">
        <v>21748</v>
      </c>
      <c r="D441" s="5">
        <v>1.0685E-5</v>
      </c>
    </row>
    <row r="442" spans="1:4" x14ac:dyDescent="0.2">
      <c r="A442">
        <v>2017</v>
      </c>
      <c r="B442" s="1" t="s">
        <v>46</v>
      </c>
      <c r="C442" s="7">
        <v>32593</v>
      </c>
      <c r="D442" s="5">
        <v>1.6013000000000001E-5</v>
      </c>
    </row>
    <row r="443" spans="1:4" x14ac:dyDescent="0.2">
      <c r="A443">
        <v>2017</v>
      </c>
      <c r="B443" s="1" t="s">
        <v>47</v>
      </c>
      <c r="C443" s="7">
        <v>1332139</v>
      </c>
      <c r="D443" s="5">
        <v>6.5450399999999998E-4</v>
      </c>
    </row>
    <row r="444" spans="1:4" x14ac:dyDescent="0.2">
      <c r="A444">
        <v>2017</v>
      </c>
      <c r="B444" s="1" t="s">
        <v>48</v>
      </c>
      <c r="C444" s="7">
        <v>39159</v>
      </c>
      <c r="D444" s="5">
        <v>1.9239999999999999E-5</v>
      </c>
    </row>
    <row r="445" spans="1:4" x14ac:dyDescent="0.2">
      <c r="A445">
        <v>2017</v>
      </c>
      <c r="B445" s="1" t="s">
        <v>49</v>
      </c>
      <c r="C445" s="7">
        <v>24544</v>
      </c>
      <c r="D445" s="5">
        <v>1.2058999999999999E-5</v>
      </c>
    </row>
    <row r="446" spans="1:4" x14ac:dyDescent="0.2">
      <c r="A446">
        <v>2017</v>
      </c>
      <c r="B446" s="1" t="s">
        <v>50</v>
      </c>
      <c r="C446" s="7">
        <v>951632</v>
      </c>
      <c r="D446" s="5">
        <v>4.6755400000000002E-4</v>
      </c>
    </row>
    <row r="447" spans="1:4" x14ac:dyDescent="0.2">
      <c r="A447">
        <v>2017</v>
      </c>
      <c r="B447" s="1" t="s">
        <v>51</v>
      </c>
      <c r="C447" s="7">
        <v>68834</v>
      </c>
      <c r="D447" s="5">
        <v>3.3819999999999998E-5</v>
      </c>
    </row>
    <row r="448" spans="1:4" x14ac:dyDescent="0.2">
      <c r="A448">
        <v>2017</v>
      </c>
      <c r="B448" s="1" t="s">
        <v>52</v>
      </c>
      <c r="C448" s="7">
        <v>24733</v>
      </c>
      <c r="D448" s="5">
        <v>1.2152E-5</v>
      </c>
    </row>
    <row r="449" spans="1:4" x14ac:dyDescent="0.2">
      <c r="A449">
        <v>2017</v>
      </c>
      <c r="B449" s="1" t="s">
        <v>53</v>
      </c>
      <c r="C449" s="7">
        <v>765881</v>
      </c>
      <c r="D449" s="5">
        <v>3.7629100000000001E-4</v>
      </c>
    </row>
    <row r="450" spans="1:4" x14ac:dyDescent="0.2">
      <c r="A450">
        <v>2017</v>
      </c>
      <c r="B450" s="1" t="s">
        <v>54</v>
      </c>
      <c r="C450" s="7">
        <v>109661</v>
      </c>
      <c r="D450" s="5">
        <v>5.3878000000000002E-5</v>
      </c>
    </row>
    <row r="451" spans="1:4" x14ac:dyDescent="0.2">
      <c r="A451">
        <v>2017</v>
      </c>
      <c r="B451" s="1" t="s">
        <v>55</v>
      </c>
      <c r="C451" s="7">
        <v>125372</v>
      </c>
      <c r="D451" s="5">
        <v>6.1597E-5</v>
      </c>
    </row>
    <row r="452" spans="1:4" x14ac:dyDescent="0.2">
      <c r="A452">
        <v>2017</v>
      </c>
      <c r="B452" s="1" t="s">
        <v>56</v>
      </c>
      <c r="C452" s="7">
        <v>200413</v>
      </c>
      <c r="D452" s="5">
        <v>9.8466000000000002E-5</v>
      </c>
    </row>
    <row r="453" spans="1:4" x14ac:dyDescent="0.2">
      <c r="A453">
        <v>2017</v>
      </c>
      <c r="B453" s="1" t="s">
        <v>57</v>
      </c>
      <c r="C453" s="7">
        <v>4470</v>
      </c>
      <c r="D453" s="5">
        <v>2.1959999999999998E-6</v>
      </c>
    </row>
    <row r="454" spans="1:4" x14ac:dyDescent="0.2">
      <c r="A454">
        <v>2017</v>
      </c>
      <c r="B454" s="1" t="s">
        <v>58</v>
      </c>
      <c r="C454" s="7">
        <v>195606</v>
      </c>
      <c r="D454" s="5">
        <v>9.6105000000000002E-5</v>
      </c>
    </row>
    <row r="455" spans="1:4" x14ac:dyDescent="0.2">
      <c r="A455">
        <v>2017</v>
      </c>
      <c r="B455" s="1" t="s">
        <v>59</v>
      </c>
      <c r="C455" s="7">
        <v>252345</v>
      </c>
      <c r="D455" s="5">
        <v>1.2398199999999999E-4</v>
      </c>
    </row>
    <row r="456" spans="1:4" x14ac:dyDescent="0.2">
      <c r="A456">
        <v>2017</v>
      </c>
      <c r="B456" s="1" t="s">
        <v>60</v>
      </c>
      <c r="C456" s="7">
        <v>70489</v>
      </c>
      <c r="D456" s="5">
        <v>3.4632000000000003E-5</v>
      </c>
    </row>
    <row r="457" spans="1:4" x14ac:dyDescent="0.2">
      <c r="A457">
        <v>2017</v>
      </c>
      <c r="B457" s="1" t="s">
        <v>61</v>
      </c>
      <c r="C457" s="7">
        <v>33090</v>
      </c>
      <c r="D457" s="5">
        <v>1.6257999999999999E-5</v>
      </c>
    </row>
    <row r="458" spans="1:4" x14ac:dyDescent="0.2">
      <c r="A458">
        <v>2017</v>
      </c>
      <c r="B458" s="1" t="s">
        <v>62</v>
      </c>
      <c r="C458" s="7">
        <v>733042</v>
      </c>
      <c r="D458" s="5">
        <v>3.60157E-4</v>
      </c>
    </row>
    <row r="459" spans="1:4" x14ac:dyDescent="0.2">
      <c r="A459">
        <v>2017</v>
      </c>
      <c r="B459" s="1" t="s">
        <v>63</v>
      </c>
      <c r="C459" s="7">
        <v>1051784</v>
      </c>
      <c r="D459" s="5">
        <v>5.1676000000000001E-4</v>
      </c>
    </row>
    <row r="460" spans="1:4" x14ac:dyDescent="0.2">
      <c r="A460">
        <v>2017</v>
      </c>
      <c r="B460" s="1" t="s">
        <v>64</v>
      </c>
      <c r="C460" s="7">
        <v>221704</v>
      </c>
      <c r="D460" s="5">
        <v>1.08927E-4</v>
      </c>
    </row>
    <row r="461" spans="1:4" x14ac:dyDescent="0.2">
      <c r="A461">
        <v>2017</v>
      </c>
      <c r="B461" s="1" t="s">
        <v>65</v>
      </c>
      <c r="C461" s="7">
        <v>151643</v>
      </c>
      <c r="D461" s="5">
        <v>7.4505000000000006E-5</v>
      </c>
    </row>
    <row r="462" spans="1:4" x14ac:dyDescent="0.2">
      <c r="A462">
        <v>2017</v>
      </c>
      <c r="B462" s="1" t="s">
        <v>66</v>
      </c>
      <c r="C462" s="7">
        <v>658849</v>
      </c>
      <c r="D462" s="5">
        <v>3.2370400000000002E-4</v>
      </c>
    </row>
    <row r="463" spans="1:4" x14ac:dyDescent="0.2">
      <c r="A463">
        <v>2017</v>
      </c>
      <c r="B463" s="1" t="s">
        <v>67</v>
      </c>
      <c r="C463" s="7">
        <v>426474</v>
      </c>
      <c r="D463" s="5">
        <v>2.0953399999999999E-4</v>
      </c>
    </row>
    <row r="464" spans="1:4" x14ac:dyDescent="0.2">
      <c r="A464">
        <v>2017</v>
      </c>
      <c r="B464" s="1" t="s">
        <v>68</v>
      </c>
      <c r="C464" s="7">
        <v>20668</v>
      </c>
      <c r="D464" s="5">
        <v>1.0155E-5</v>
      </c>
    </row>
    <row r="465" spans="1:4" x14ac:dyDescent="0.2">
      <c r="A465">
        <v>2017</v>
      </c>
      <c r="B465" s="1" t="s">
        <v>69</v>
      </c>
      <c r="C465" s="7">
        <v>343396</v>
      </c>
      <c r="D465" s="5">
        <v>1.6871599999999999E-4</v>
      </c>
    </row>
    <row r="466" spans="1:4" x14ac:dyDescent="0.2">
      <c r="A466">
        <v>2017</v>
      </c>
      <c r="B466" s="1" t="s">
        <v>70</v>
      </c>
      <c r="C466" s="7">
        <v>124782</v>
      </c>
      <c r="D466" s="5">
        <v>6.1308000000000003E-5</v>
      </c>
    </row>
    <row r="467" spans="1:4" x14ac:dyDescent="0.2">
      <c r="A467">
        <v>2017</v>
      </c>
      <c r="B467" s="1" t="s">
        <v>71</v>
      </c>
      <c r="C467" s="7">
        <v>8475</v>
      </c>
      <c r="D467" s="5">
        <v>4.1640000000000003E-6</v>
      </c>
    </row>
    <row r="468" spans="1:4" x14ac:dyDescent="0.2">
      <c r="A468">
        <v>2017</v>
      </c>
      <c r="B468" s="1" t="s">
        <v>72</v>
      </c>
      <c r="C468" s="7">
        <v>29824</v>
      </c>
      <c r="D468" s="5">
        <v>1.4653E-5</v>
      </c>
    </row>
    <row r="469" spans="1:4" x14ac:dyDescent="0.2">
      <c r="A469">
        <v>2017</v>
      </c>
      <c r="B469" s="1" t="s">
        <v>73</v>
      </c>
      <c r="C469" s="7">
        <v>12128</v>
      </c>
      <c r="D469" s="5">
        <v>5.959E-6</v>
      </c>
    </row>
    <row r="470" spans="1:4" x14ac:dyDescent="0.2">
      <c r="A470">
        <v>2017</v>
      </c>
      <c r="B470" s="1" t="s">
        <v>74</v>
      </c>
      <c r="C470" s="7">
        <v>5156</v>
      </c>
      <c r="D470" s="5">
        <v>2.5330000000000001E-6</v>
      </c>
    </row>
    <row r="471" spans="1:4" x14ac:dyDescent="0.2">
      <c r="A471">
        <v>2017</v>
      </c>
      <c r="B471" s="1" t="s">
        <v>75</v>
      </c>
      <c r="C471" s="7">
        <v>47822</v>
      </c>
      <c r="D471" s="5">
        <v>2.3496E-5</v>
      </c>
    </row>
    <row r="472" spans="1:4" x14ac:dyDescent="0.2">
      <c r="A472">
        <v>2017</v>
      </c>
      <c r="B472" s="1" t="s">
        <v>76</v>
      </c>
      <c r="C472" s="7">
        <v>107453</v>
      </c>
      <c r="D472" s="5">
        <v>5.2794000000000003E-5</v>
      </c>
    </row>
    <row r="473" spans="1:4" x14ac:dyDescent="0.2">
      <c r="A473">
        <v>2017</v>
      </c>
      <c r="B473" s="1" t="s">
        <v>77</v>
      </c>
      <c r="C473" s="7">
        <v>10340</v>
      </c>
      <c r="D473" s="5">
        <v>5.0799999999999996E-6</v>
      </c>
    </row>
    <row r="474" spans="1:4" x14ac:dyDescent="0.2">
      <c r="A474">
        <v>2017</v>
      </c>
      <c r="B474" s="1" t="s">
        <v>78</v>
      </c>
      <c r="C474" s="7">
        <v>3465570</v>
      </c>
      <c r="D474" s="5">
        <v>1.702697E-3</v>
      </c>
    </row>
    <row r="475" spans="1:4" x14ac:dyDescent="0.2">
      <c r="A475">
        <v>2017</v>
      </c>
      <c r="B475" s="1" t="s">
        <v>79</v>
      </c>
      <c r="C475" s="7">
        <v>128933</v>
      </c>
      <c r="D475" s="5">
        <v>6.3347000000000002E-5</v>
      </c>
    </row>
    <row r="476" spans="1:4" x14ac:dyDescent="0.2">
      <c r="A476">
        <v>2017</v>
      </c>
      <c r="B476" s="1" t="s">
        <v>80</v>
      </c>
      <c r="C476" s="7">
        <v>78699</v>
      </c>
      <c r="D476" s="5">
        <v>3.8665999999999999E-5</v>
      </c>
    </row>
    <row r="477" spans="1:4" x14ac:dyDescent="0.2">
      <c r="A477">
        <v>2017</v>
      </c>
      <c r="B477" s="1" t="s">
        <v>81</v>
      </c>
      <c r="C477" s="7">
        <v>99509</v>
      </c>
      <c r="D477" s="5">
        <v>4.8890000000000001E-5</v>
      </c>
    </row>
    <row r="478" spans="1:4" x14ac:dyDescent="0.2">
      <c r="A478">
        <v>2017</v>
      </c>
      <c r="B478" s="1" t="s">
        <v>82</v>
      </c>
      <c r="C478" s="7">
        <v>2559</v>
      </c>
      <c r="D478" s="5">
        <v>1.257E-6</v>
      </c>
    </row>
    <row r="479" spans="1:4" x14ac:dyDescent="0.2">
      <c r="A479">
        <v>2017</v>
      </c>
      <c r="B479" s="1" t="s">
        <v>83</v>
      </c>
      <c r="C479" s="7">
        <v>343635</v>
      </c>
      <c r="D479" s="5">
        <v>1.68834E-4</v>
      </c>
    </row>
    <row r="480" spans="1:4" x14ac:dyDescent="0.2">
      <c r="A480">
        <v>2017</v>
      </c>
      <c r="B480" s="1" t="s">
        <v>84</v>
      </c>
      <c r="C480" s="7">
        <v>21582</v>
      </c>
      <c r="D480" s="5">
        <v>1.0604E-5</v>
      </c>
    </row>
    <row r="481" spans="1:4" x14ac:dyDescent="0.2">
      <c r="A481">
        <v>2017</v>
      </c>
      <c r="B481" s="1" t="s">
        <v>85</v>
      </c>
      <c r="C481" s="7">
        <v>312321</v>
      </c>
      <c r="D481" s="5">
        <v>1.53449E-4</v>
      </c>
    </row>
    <row r="482" spans="1:4" x14ac:dyDescent="0.2">
      <c r="A482">
        <v>2017</v>
      </c>
      <c r="B482" s="1" t="s">
        <v>86</v>
      </c>
      <c r="C482" s="7">
        <v>16919</v>
      </c>
      <c r="D482" s="5">
        <v>8.3129999999999999E-6</v>
      </c>
    </row>
    <row r="483" spans="1:4" x14ac:dyDescent="0.2">
      <c r="A483">
        <v>2017</v>
      </c>
      <c r="B483" s="1" t="s">
        <v>87</v>
      </c>
      <c r="C483" s="7">
        <v>10340</v>
      </c>
      <c r="D483" s="5">
        <v>5.0799999999999996E-6</v>
      </c>
    </row>
    <row r="484" spans="1:4" x14ac:dyDescent="0.2">
      <c r="A484">
        <v>2017</v>
      </c>
      <c r="B484" s="1" t="s">
        <v>88</v>
      </c>
      <c r="C484" s="7">
        <v>587085</v>
      </c>
      <c r="D484" s="5">
        <v>2.8844500000000002E-4</v>
      </c>
    </row>
    <row r="485" spans="1:4" x14ac:dyDescent="0.2">
      <c r="A485">
        <v>2017</v>
      </c>
      <c r="B485" s="1" t="s">
        <v>89</v>
      </c>
      <c r="C485" s="7">
        <v>977174</v>
      </c>
      <c r="D485" s="5">
        <v>4.8010400000000002E-4</v>
      </c>
    </row>
    <row r="486" spans="1:4" x14ac:dyDescent="0.2">
      <c r="A486">
        <v>2017</v>
      </c>
      <c r="B486" s="1" t="s">
        <v>90</v>
      </c>
      <c r="C486" s="7">
        <v>34868</v>
      </c>
      <c r="D486" s="5">
        <v>1.7130999999999999E-5</v>
      </c>
    </row>
    <row r="487" spans="1:4" x14ac:dyDescent="0.2">
      <c r="A487">
        <v>2017</v>
      </c>
      <c r="B487" s="1" t="s">
        <v>91</v>
      </c>
      <c r="C487" s="7">
        <v>157699</v>
      </c>
      <c r="D487" s="5">
        <v>7.7480999999999999E-5</v>
      </c>
    </row>
    <row r="488" spans="1:4" x14ac:dyDescent="0.2">
      <c r="A488">
        <v>2017</v>
      </c>
      <c r="B488" s="1" t="s">
        <v>92</v>
      </c>
      <c r="C488" s="7">
        <v>1669720</v>
      </c>
      <c r="D488" s="5">
        <v>8.2036399999999997E-4</v>
      </c>
    </row>
    <row r="489" spans="1:4" x14ac:dyDescent="0.2">
      <c r="A489">
        <v>2017</v>
      </c>
      <c r="B489" s="1" t="s">
        <v>93</v>
      </c>
      <c r="C489" s="7">
        <v>108162</v>
      </c>
      <c r="D489" s="5">
        <v>5.3142E-5</v>
      </c>
    </row>
    <row r="490" spans="1:4" x14ac:dyDescent="0.2">
      <c r="A490">
        <v>2017</v>
      </c>
      <c r="B490" s="1" t="s">
        <v>94</v>
      </c>
      <c r="C490" s="7">
        <v>2216064</v>
      </c>
      <c r="D490" s="5">
        <v>1.0887920000000001E-3</v>
      </c>
    </row>
    <row r="491" spans="1:4" x14ac:dyDescent="0.2">
      <c r="A491">
        <v>2017</v>
      </c>
      <c r="B491" s="1" t="s">
        <v>95</v>
      </c>
      <c r="C491" s="7">
        <v>104518</v>
      </c>
      <c r="D491" s="5">
        <v>5.1351999999999999E-5</v>
      </c>
    </row>
    <row r="492" spans="1:4" x14ac:dyDescent="0.2">
      <c r="A492">
        <v>2017</v>
      </c>
      <c r="B492" s="1" t="s">
        <v>96</v>
      </c>
      <c r="C492" s="7">
        <v>5813442</v>
      </c>
      <c r="D492" s="5">
        <v>2.8562489999999999E-3</v>
      </c>
    </row>
    <row r="493" spans="1:4" x14ac:dyDescent="0.2">
      <c r="A493">
        <v>2017</v>
      </c>
      <c r="B493" s="1" t="s">
        <v>97</v>
      </c>
      <c r="C493" s="7">
        <v>5467062</v>
      </c>
      <c r="D493" s="5">
        <v>2.6860669999999999E-3</v>
      </c>
    </row>
    <row r="494" spans="1:4" x14ac:dyDescent="0.2">
      <c r="A494">
        <v>2017</v>
      </c>
      <c r="B494" s="1" t="s">
        <v>98</v>
      </c>
      <c r="C494" s="7">
        <v>127364</v>
      </c>
      <c r="D494" s="5">
        <v>6.2576000000000005E-5</v>
      </c>
    </row>
    <row r="495" spans="1:4" x14ac:dyDescent="0.2">
      <c r="A495">
        <v>2017</v>
      </c>
      <c r="B495" s="1" t="s">
        <v>99</v>
      </c>
      <c r="C495" s="7" t="s">
        <v>6</v>
      </c>
      <c r="D495" s="5">
        <v>0</v>
      </c>
    </row>
    <row r="496" spans="1:4" x14ac:dyDescent="0.2">
      <c r="A496">
        <v>2017</v>
      </c>
      <c r="B496" s="1" t="s">
        <v>99</v>
      </c>
      <c r="C496" s="7">
        <v>10372</v>
      </c>
      <c r="D496" s="5">
        <v>5.096E-6</v>
      </c>
    </row>
    <row r="497" spans="1:4" x14ac:dyDescent="0.2">
      <c r="A497">
        <v>2017</v>
      </c>
      <c r="B497" s="1" t="s">
        <v>100</v>
      </c>
      <c r="C497" s="7">
        <v>216075</v>
      </c>
      <c r="D497" s="5">
        <v>1.06161E-4</v>
      </c>
    </row>
    <row r="498" spans="1:4" x14ac:dyDescent="0.2">
      <c r="A498">
        <v>2017</v>
      </c>
      <c r="B498" s="1" t="s">
        <v>101</v>
      </c>
      <c r="C498" s="7">
        <v>250284</v>
      </c>
      <c r="D498" s="5">
        <v>1.2296900000000001E-4</v>
      </c>
    </row>
    <row r="499" spans="1:4" x14ac:dyDescent="0.2">
      <c r="A499">
        <v>2017</v>
      </c>
      <c r="B499" s="1" t="s">
        <v>102</v>
      </c>
      <c r="C499" s="7">
        <v>22393</v>
      </c>
      <c r="D499" s="5">
        <v>1.1002000000000001E-5</v>
      </c>
    </row>
    <row r="500" spans="1:4" x14ac:dyDescent="0.2">
      <c r="A500">
        <v>2017</v>
      </c>
      <c r="B500" s="1" t="s">
        <v>103</v>
      </c>
      <c r="C500" s="7">
        <v>4156709</v>
      </c>
      <c r="D500" s="5">
        <v>2.042267E-3</v>
      </c>
    </row>
    <row r="501" spans="1:4" x14ac:dyDescent="0.2">
      <c r="A501">
        <v>2017</v>
      </c>
      <c r="B501" s="1" t="s">
        <v>104</v>
      </c>
      <c r="C501" s="7">
        <v>46122</v>
      </c>
      <c r="D501" s="5">
        <v>2.2660999999999999E-5</v>
      </c>
    </row>
    <row r="502" spans="1:4" x14ac:dyDescent="0.2">
      <c r="A502">
        <v>2017</v>
      </c>
      <c r="B502" s="1" t="s">
        <v>105</v>
      </c>
      <c r="C502" s="7">
        <v>69825</v>
      </c>
      <c r="D502" s="5">
        <v>3.4306E-5</v>
      </c>
    </row>
    <row r="503" spans="1:4" x14ac:dyDescent="0.2">
      <c r="A503">
        <v>2017</v>
      </c>
      <c r="B503" s="1" t="s">
        <v>106</v>
      </c>
      <c r="C503" s="7">
        <v>305190</v>
      </c>
      <c r="D503" s="5">
        <v>1.4994499999999999E-4</v>
      </c>
    </row>
    <row r="504" spans="1:4" x14ac:dyDescent="0.2">
      <c r="A504">
        <v>2017</v>
      </c>
      <c r="B504" s="1" t="s">
        <v>107</v>
      </c>
      <c r="C504" s="7">
        <v>573560</v>
      </c>
      <c r="D504" s="5">
        <v>2.8180099999999998E-4</v>
      </c>
    </row>
    <row r="505" spans="1:4" x14ac:dyDescent="0.2">
      <c r="A505">
        <v>2017</v>
      </c>
      <c r="B505" s="1" t="s">
        <v>108</v>
      </c>
      <c r="C505" s="7">
        <v>672832</v>
      </c>
      <c r="D505" s="5">
        <v>3.30575E-4</v>
      </c>
    </row>
    <row r="506" spans="1:4" x14ac:dyDescent="0.2">
      <c r="A506">
        <v>2017</v>
      </c>
      <c r="B506" s="1" t="s">
        <v>109</v>
      </c>
      <c r="C506" s="7">
        <v>289819</v>
      </c>
      <c r="D506" s="5">
        <v>1.4239400000000001E-4</v>
      </c>
    </row>
    <row r="507" spans="1:4" x14ac:dyDescent="0.2">
      <c r="A507">
        <v>2017</v>
      </c>
      <c r="B507" s="1" t="s">
        <v>110</v>
      </c>
      <c r="C507" s="7">
        <v>247202</v>
      </c>
      <c r="D507" s="5">
        <v>1.21455E-4</v>
      </c>
    </row>
    <row r="508" spans="1:4" x14ac:dyDescent="0.2">
      <c r="A508">
        <v>2017</v>
      </c>
      <c r="B508" s="1" t="s">
        <v>111</v>
      </c>
      <c r="C508" s="7">
        <v>15825</v>
      </c>
      <c r="D508" s="5">
        <v>7.7749999999999993E-6</v>
      </c>
    </row>
    <row r="509" spans="1:4" x14ac:dyDescent="0.2">
      <c r="A509">
        <v>2017</v>
      </c>
      <c r="B509" s="1" t="s">
        <v>112</v>
      </c>
      <c r="C509" s="7">
        <v>46149</v>
      </c>
      <c r="D509" s="5">
        <v>2.2674E-5</v>
      </c>
    </row>
    <row r="510" spans="1:4" x14ac:dyDescent="0.2">
      <c r="A510">
        <v>2017</v>
      </c>
      <c r="B510" s="1" t="s">
        <v>113</v>
      </c>
      <c r="C510" s="7">
        <v>243932</v>
      </c>
      <c r="D510" s="5">
        <v>1.19848E-4</v>
      </c>
    </row>
    <row r="511" spans="1:4" x14ac:dyDescent="0.2">
      <c r="A511">
        <v>2017</v>
      </c>
      <c r="B511" s="1" t="s">
        <v>114</v>
      </c>
      <c r="C511" s="7">
        <v>83097</v>
      </c>
      <c r="D511" s="5">
        <v>4.0827000000000001E-5</v>
      </c>
    </row>
    <row r="512" spans="1:4" x14ac:dyDescent="0.2">
      <c r="A512">
        <v>2017</v>
      </c>
      <c r="B512" s="1" t="s">
        <v>115</v>
      </c>
      <c r="C512" s="7">
        <v>88112</v>
      </c>
      <c r="D512" s="5">
        <v>4.3291000000000003E-5</v>
      </c>
    </row>
    <row r="513" spans="1:4" x14ac:dyDescent="0.2">
      <c r="A513">
        <v>2017</v>
      </c>
      <c r="B513" s="1" t="s">
        <v>116</v>
      </c>
      <c r="C513" s="7">
        <v>321637</v>
      </c>
      <c r="D513" s="5">
        <v>1.5802599999999999E-4</v>
      </c>
    </row>
    <row r="514" spans="1:4" x14ac:dyDescent="0.2">
      <c r="A514">
        <v>2017</v>
      </c>
      <c r="B514" s="1" t="s">
        <v>117</v>
      </c>
      <c r="C514" s="7">
        <v>463544</v>
      </c>
      <c r="D514" s="5">
        <v>2.27748E-4</v>
      </c>
    </row>
    <row r="515" spans="1:4" x14ac:dyDescent="0.2">
      <c r="A515">
        <v>2017</v>
      </c>
      <c r="B515" s="1" t="s">
        <v>118</v>
      </c>
      <c r="C515" s="7">
        <v>47939</v>
      </c>
      <c r="D515" s="5">
        <v>2.3553E-5</v>
      </c>
    </row>
    <row r="516" spans="1:4" x14ac:dyDescent="0.2">
      <c r="A516">
        <v>2017</v>
      </c>
      <c r="B516" s="1" t="s">
        <v>119</v>
      </c>
      <c r="C516" s="7">
        <v>60224</v>
      </c>
      <c r="D516" s="5">
        <v>2.9589000000000001E-5</v>
      </c>
    </row>
    <row r="517" spans="1:4" x14ac:dyDescent="0.2">
      <c r="A517">
        <v>2017</v>
      </c>
      <c r="B517" s="1" t="s">
        <v>120</v>
      </c>
      <c r="C517" s="7">
        <v>1206977</v>
      </c>
      <c r="D517" s="5">
        <v>5.9301000000000004E-4</v>
      </c>
    </row>
    <row r="518" spans="1:4" x14ac:dyDescent="0.2">
      <c r="A518">
        <v>2017</v>
      </c>
      <c r="B518" s="1" t="s">
        <v>121</v>
      </c>
      <c r="C518" s="7">
        <v>1365929</v>
      </c>
      <c r="D518" s="5">
        <v>6.7110599999999998E-4</v>
      </c>
    </row>
    <row r="519" spans="1:4" x14ac:dyDescent="0.2">
      <c r="A519">
        <v>2017</v>
      </c>
      <c r="B519" s="1" t="s">
        <v>122</v>
      </c>
      <c r="C519" s="7">
        <v>619299</v>
      </c>
      <c r="D519" s="5">
        <v>3.0427299999999998E-4</v>
      </c>
    </row>
    <row r="520" spans="1:4" x14ac:dyDescent="0.2">
      <c r="A520">
        <v>2017</v>
      </c>
      <c r="B520" s="1" t="s">
        <v>123</v>
      </c>
      <c r="C520" s="7">
        <v>1375753</v>
      </c>
      <c r="D520" s="5">
        <v>6.7593199999999997E-4</v>
      </c>
    </row>
    <row r="521" spans="1:4" x14ac:dyDescent="0.2">
      <c r="A521">
        <v>2017</v>
      </c>
      <c r="B521" s="1" t="s">
        <v>124</v>
      </c>
      <c r="C521" s="7">
        <v>3754</v>
      </c>
      <c r="D521" s="5">
        <v>1.844E-6</v>
      </c>
    </row>
    <row r="522" spans="1:4" x14ac:dyDescent="0.2">
      <c r="A522">
        <v>2017</v>
      </c>
      <c r="B522" s="1" t="s">
        <v>125</v>
      </c>
      <c r="C522" s="7">
        <v>24154</v>
      </c>
      <c r="D522" s="5">
        <v>1.1867E-5</v>
      </c>
    </row>
    <row r="523" spans="1:4" x14ac:dyDescent="0.2">
      <c r="A523">
        <v>2017</v>
      </c>
      <c r="B523" s="1" t="s">
        <v>126</v>
      </c>
      <c r="C523" s="7">
        <v>106811</v>
      </c>
      <c r="D523" s="5">
        <v>5.2478000000000001E-5</v>
      </c>
    </row>
    <row r="524" spans="1:4" x14ac:dyDescent="0.2">
      <c r="A524">
        <v>2017</v>
      </c>
      <c r="B524" s="1" t="s">
        <v>127</v>
      </c>
      <c r="C524" s="7">
        <v>153431</v>
      </c>
      <c r="D524" s="5">
        <v>7.5383000000000007E-5</v>
      </c>
    </row>
    <row r="525" spans="1:4" x14ac:dyDescent="0.2">
      <c r="A525">
        <v>2017</v>
      </c>
      <c r="B525" s="1" t="s">
        <v>128</v>
      </c>
      <c r="C525" s="7">
        <v>221194</v>
      </c>
      <c r="D525" s="5">
        <v>1.08677E-4</v>
      </c>
    </row>
    <row r="526" spans="1:4" x14ac:dyDescent="0.2">
      <c r="A526">
        <v>2017</v>
      </c>
      <c r="B526" s="1" t="s">
        <v>129</v>
      </c>
      <c r="C526" s="7">
        <v>29720</v>
      </c>
      <c r="D526" s="5">
        <v>1.4602E-5</v>
      </c>
    </row>
    <row r="527" spans="1:4" x14ac:dyDescent="0.2">
      <c r="A527">
        <v>2017</v>
      </c>
      <c r="B527" s="1" t="s">
        <v>130</v>
      </c>
      <c r="C527" s="7">
        <v>71544</v>
      </c>
      <c r="D527" s="5">
        <v>3.5151000000000003E-5</v>
      </c>
    </row>
    <row r="528" spans="1:4" x14ac:dyDescent="0.2">
      <c r="A528">
        <v>2017</v>
      </c>
      <c r="B528" s="1" t="s">
        <v>131</v>
      </c>
      <c r="C528" s="7">
        <v>72170</v>
      </c>
      <c r="D528" s="5">
        <v>3.5457999999999998E-5</v>
      </c>
    </row>
    <row r="529" spans="1:4" x14ac:dyDescent="0.2">
      <c r="A529">
        <v>2017</v>
      </c>
      <c r="B529" s="1" t="s">
        <v>132</v>
      </c>
      <c r="C529" s="7" t="s">
        <v>6</v>
      </c>
      <c r="D529" s="5">
        <v>0</v>
      </c>
    </row>
    <row r="530" spans="1:4" x14ac:dyDescent="0.2">
      <c r="A530">
        <v>2017</v>
      </c>
      <c r="B530" s="1" t="s">
        <v>133</v>
      </c>
      <c r="C530" s="7">
        <v>64311</v>
      </c>
      <c r="D530" s="5">
        <v>3.1597000000000003E-5</v>
      </c>
    </row>
    <row r="531" spans="1:4" x14ac:dyDescent="0.2">
      <c r="A531">
        <v>2017</v>
      </c>
      <c r="B531" s="1" t="s">
        <v>134</v>
      </c>
      <c r="C531" s="7">
        <v>160472</v>
      </c>
      <c r="D531" s="5">
        <v>7.8843000000000004E-5</v>
      </c>
    </row>
    <row r="532" spans="1:4" x14ac:dyDescent="0.2">
      <c r="A532">
        <v>2017</v>
      </c>
      <c r="B532" s="1" t="s">
        <v>135</v>
      </c>
      <c r="C532" s="7">
        <v>17126</v>
      </c>
      <c r="D532" s="5">
        <v>8.4139999999999994E-6</v>
      </c>
    </row>
    <row r="533" spans="1:4" x14ac:dyDescent="0.2">
      <c r="A533">
        <v>2017</v>
      </c>
      <c r="B533" s="1" t="s">
        <v>136</v>
      </c>
      <c r="C533" s="7">
        <v>353280</v>
      </c>
      <c r="D533" s="5">
        <v>1.73573E-4</v>
      </c>
    </row>
    <row r="534" spans="1:4" x14ac:dyDescent="0.2">
      <c r="A534">
        <v>2017</v>
      </c>
      <c r="B534" s="1" t="s">
        <v>137</v>
      </c>
      <c r="C534" s="7">
        <v>12442017</v>
      </c>
      <c r="D534" s="5">
        <v>6.1129890000000001E-3</v>
      </c>
    </row>
    <row r="535" spans="1:4" x14ac:dyDescent="0.2">
      <c r="A535">
        <v>2017</v>
      </c>
      <c r="B535" s="1" t="s">
        <v>138</v>
      </c>
      <c r="C535" s="7">
        <v>193572</v>
      </c>
      <c r="D535" s="5">
        <v>9.5105000000000005E-5</v>
      </c>
    </row>
    <row r="536" spans="1:4" x14ac:dyDescent="0.2">
      <c r="A536">
        <v>2017</v>
      </c>
      <c r="B536" s="1" t="s">
        <v>139</v>
      </c>
      <c r="C536" s="7">
        <v>16609195</v>
      </c>
      <c r="D536" s="5">
        <v>8.1603990000000005E-3</v>
      </c>
    </row>
    <row r="537" spans="1:4" x14ac:dyDescent="0.2">
      <c r="A537">
        <v>2017</v>
      </c>
      <c r="B537" s="1" t="s">
        <v>140</v>
      </c>
      <c r="C537" s="7">
        <v>22311</v>
      </c>
      <c r="D537" s="5">
        <v>1.0961999999999999E-5</v>
      </c>
    </row>
    <row r="538" spans="1:4" x14ac:dyDescent="0.2">
      <c r="A538">
        <v>2017</v>
      </c>
      <c r="B538" s="1" t="s">
        <v>141</v>
      </c>
      <c r="C538" s="7">
        <v>47777</v>
      </c>
      <c r="D538" s="5">
        <v>2.3473999999999999E-5</v>
      </c>
    </row>
    <row r="539" spans="1:4" x14ac:dyDescent="0.2">
      <c r="A539">
        <v>2017</v>
      </c>
      <c r="B539" s="1" t="s">
        <v>142</v>
      </c>
      <c r="C539" s="7">
        <v>96118</v>
      </c>
      <c r="D539" s="5">
        <v>4.7224000000000001E-5</v>
      </c>
    </row>
    <row r="540" spans="1:4" x14ac:dyDescent="0.2">
      <c r="A540">
        <v>2017</v>
      </c>
      <c r="B540" s="1" t="s">
        <v>143</v>
      </c>
      <c r="C540" s="7">
        <v>29325</v>
      </c>
      <c r="D540" s="5">
        <v>1.4408E-5</v>
      </c>
    </row>
    <row r="541" spans="1:4" x14ac:dyDescent="0.2">
      <c r="A541">
        <v>2017</v>
      </c>
      <c r="B541" s="1" t="s">
        <v>144</v>
      </c>
      <c r="C541" s="7">
        <v>128470</v>
      </c>
      <c r="D541" s="5">
        <v>6.3120000000000006E-5</v>
      </c>
    </row>
    <row r="542" spans="1:4" x14ac:dyDescent="0.2">
      <c r="A542">
        <v>2017</v>
      </c>
      <c r="B542" s="1" t="s">
        <v>145</v>
      </c>
      <c r="C542" s="7">
        <v>1769615</v>
      </c>
      <c r="D542" s="5">
        <v>8.6944400000000003E-4</v>
      </c>
    </row>
    <row r="543" spans="1:4" x14ac:dyDescent="0.2">
      <c r="A543">
        <v>2017</v>
      </c>
      <c r="B543" s="1" t="s">
        <v>146</v>
      </c>
      <c r="C543" s="7">
        <v>414088</v>
      </c>
      <c r="D543" s="5">
        <v>2.03449E-4</v>
      </c>
    </row>
    <row r="544" spans="1:4" x14ac:dyDescent="0.2">
      <c r="A544">
        <v>2017</v>
      </c>
      <c r="B544" s="1" t="s">
        <v>147</v>
      </c>
      <c r="C544" s="7">
        <v>29695</v>
      </c>
      <c r="D544" s="5">
        <v>1.4589999999999999E-5</v>
      </c>
    </row>
    <row r="545" spans="1:4" x14ac:dyDescent="0.2">
      <c r="A545">
        <v>2017</v>
      </c>
      <c r="B545" s="1" t="s">
        <v>148</v>
      </c>
      <c r="C545" s="7">
        <v>710241</v>
      </c>
      <c r="D545" s="5">
        <v>3.4895400000000001E-4</v>
      </c>
    </row>
    <row r="546" spans="1:4" x14ac:dyDescent="0.2">
      <c r="A546">
        <v>2017</v>
      </c>
      <c r="B546" s="1" t="s">
        <v>149</v>
      </c>
      <c r="C546" s="7">
        <v>12868</v>
      </c>
      <c r="D546" s="5">
        <v>6.3219999999999998E-6</v>
      </c>
    </row>
    <row r="547" spans="1:4" x14ac:dyDescent="0.2">
      <c r="A547">
        <v>2017</v>
      </c>
      <c r="B547" s="1" t="s">
        <v>150</v>
      </c>
      <c r="C547" s="7">
        <v>27305</v>
      </c>
      <c r="D547" s="5">
        <v>1.3416E-5</v>
      </c>
    </row>
    <row r="548" spans="1:4" x14ac:dyDescent="0.2">
      <c r="A548">
        <v>2017</v>
      </c>
      <c r="B548" s="1" t="s">
        <v>151</v>
      </c>
      <c r="C548" s="7">
        <v>38799</v>
      </c>
      <c r="D548" s="5">
        <v>1.9062000000000001E-5</v>
      </c>
    </row>
    <row r="549" spans="1:4" x14ac:dyDescent="0.2">
      <c r="A549">
        <v>2017</v>
      </c>
      <c r="B549" s="1" t="s">
        <v>152</v>
      </c>
      <c r="C549" s="7">
        <v>829995</v>
      </c>
      <c r="D549" s="5">
        <v>4.0779199999999997E-4</v>
      </c>
    </row>
    <row r="550" spans="1:4" x14ac:dyDescent="0.2">
      <c r="A550">
        <v>2017</v>
      </c>
      <c r="B550" s="1" t="s">
        <v>153</v>
      </c>
      <c r="C550" s="7">
        <v>2220500</v>
      </c>
      <c r="D550" s="5">
        <v>1.0909719999999999E-3</v>
      </c>
    </row>
    <row r="551" spans="1:4" x14ac:dyDescent="0.2">
      <c r="A551">
        <v>2017</v>
      </c>
      <c r="B551" s="1" t="s">
        <v>154</v>
      </c>
      <c r="C551" s="7">
        <v>630949</v>
      </c>
      <c r="D551" s="5">
        <v>3.0999599999999999E-4</v>
      </c>
    </row>
    <row r="552" spans="1:4" x14ac:dyDescent="0.2">
      <c r="A552">
        <v>2017</v>
      </c>
      <c r="B552" s="1" t="s">
        <v>155</v>
      </c>
      <c r="C552" s="7">
        <v>109453</v>
      </c>
      <c r="D552" s="5">
        <v>5.3776000000000001E-5</v>
      </c>
    </row>
    <row r="553" spans="1:4" x14ac:dyDescent="0.2">
      <c r="A553">
        <v>2017</v>
      </c>
      <c r="B553" s="1" t="s">
        <v>156</v>
      </c>
      <c r="C553" s="7">
        <v>622810</v>
      </c>
      <c r="D553" s="5">
        <v>3.0599799999999998E-4</v>
      </c>
    </row>
    <row r="554" spans="1:4" x14ac:dyDescent="0.2">
      <c r="A554">
        <v>2017</v>
      </c>
      <c r="B554" s="1" t="s">
        <v>157</v>
      </c>
      <c r="C554" s="7">
        <v>8894</v>
      </c>
      <c r="D554" s="5">
        <v>4.3699999999999997E-6</v>
      </c>
    </row>
    <row r="555" spans="1:4" x14ac:dyDescent="0.2">
      <c r="A555">
        <v>2017</v>
      </c>
      <c r="B555" s="1" t="s">
        <v>158</v>
      </c>
      <c r="C555" s="7">
        <v>167735</v>
      </c>
      <c r="D555" s="5">
        <v>8.2410999999999994E-5</v>
      </c>
    </row>
    <row r="556" spans="1:4" x14ac:dyDescent="0.2">
      <c r="A556">
        <v>2017</v>
      </c>
      <c r="B556" s="1" t="s">
        <v>159</v>
      </c>
      <c r="C556" s="7">
        <v>67597</v>
      </c>
      <c r="D556" s="5">
        <v>3.3210999999999998E-5</v>
      </c>
    </row>
    <row r="557" spans="1:4" x14ac:dyDescent="0.2">
      <c r="A557">
        <v>2017</v>
      </c>
      <c r="B557" s="1" t="s">
        <v>160</v>
      </c>
      <c r="C557" s="7">
        <v>240818</v>
      </c>
      <c r="D557" s="5">
        <v>1.18318E-4</v>
      </c>
    </row>
    <row r="558" spans="1:4" x14ac:dyDescent="0.2">
      <c r="A558">
        <v>2017</v>
      </c>
      <c r="B558" s="1" t="s">
        <v>161</v>
      </c>
      <c r="C558" s="7">
        <v>429057</v>
      </c>
      <c r="D558" s="5">
        <v>2.1080400000000001E-4</v>
      </c>
    </row>
    <row r="559" spans="1:4" x14ac:dyDescent="0.2">
      <c r="A559">
        <v>2017</v>
      </c>
      <c r="B559" s="1" t="s">
        <v>162</v>
      </c>
      <c r="C559" s="7">
        <v>1098303</v>
      </c>
      <c r="D559" s="5">
        <v>5.3961600000000003E-4</v>
      </c>
    </row>
    <row r="560" spans="1:4" x14ac:dyDescent="0.2">
      <c r="A560">
        <v>2017</v>
      </c>
      <c r="B560" s="1" t="s">
        <v>163</v>
      </c>
      <c r="C560" s="7">
        <v>1989232</v>
      </c>
      <c r="D560" s="5">
        <v>9.7734600000000003E-4</v>
      </c>
    </row>
    <row r="561" spans="1:4" x14ac:dyDescent="0.2">
      <c r="A561">
        <v>2017</v>
      </c>
      <c r="B561" s="1" t="s">
        <v>164</v>
      </c>
      <c r="C561" s="7">
        <v>23252</v>
      </c>
      <c r="D561" s="5">
        <v>1.1423999999999999E-5</v>
      </c>
    </row>
    <row r="562" spans="1:4" x14ac:dyDescent="0.2">
      <c r="A562">
        <v>2017</v>
      </c>
      <c r="B562" s="1" t="s">
        <v>165</v>
      </c>
      <c r="C562" s="7">
        <v>41021</v>
      </c>
      <c r="D562" s="5">
        <v>2.0154000000000001E-5</v>
      </c>
    </row>
    <row r="563" spans="1:4" x14ac:dyDescent="0.2">
      <c r="A563">
        <v>2017</v>
      </c>
      <c r="B563" s="1" t="s">
        <v>166</v>
      </c>
      <c r="C563" s="7">
        <v>108968</v>
      </c>
      <c r="D563" s="5">
        <v>5.3538000000000001E-5</v>
      </c>
    </row>
    <row r="564" spans="1:4" x14ac:dyDescent="0.2">
      <c r="A564">
        <v>2017</v>
      </c>
      <c r="B564" s="1" t="s">
        <v>167</v>
      </c>
      <c r="C564" s="7">
        <v>82855</v>
      </c>
      <c r="D564" s="5">
        <v>4.0707999999999997E-5</v>
      </c>
    </row>
    <row r="565" spans="1:4" x14ac:dyDescent="0.2">
      <c r="A565">
        <v>2017</v>
      </c>
      <c r="B565" s="1" t="s">
        <v>168</v>
      </c>
      <c r="C565" s="7">
        <v>38025</v>
      </c>
      <c r="D565" s="5">
        <v>1.8683000000000001E-5</v>
      </c>
    </row>
    <row r="566" spans="1:4" x14ac:dyDescent="0.2">
      <c r="A566">
        <v>2017</v>
      </c>
      <c r="B566" s="1" t="s">
        <v>169</v>
      </c>
      <c r="C566" s="7">
        <v>560772</v>
      </c>
      <c r="D566" s="5">
        <v>2.7551700000000003E-4</v>
      </c>
    </row>
    <row r="567" spans="1:4" x14ac:dyDescent="0.2">
      <c r="A567">
        <v>2017</v>
      </c>
      <c r="B567" s="1" t="s">
        <v>170</v>
      </c>
      <c r="C567" s="7">
        <v>982515</v>
      </c>
      <c r="D567" s="5">
        <v>4.8272700000000002E-4</v>
      </c>
    </row>
    <row r="568" spans="1:4" x14ac:dyDescent="0.2">
      <c r="A568">
        <v>2017</v>
      </c>
      <c r="B568" s="1" t="s">
        <v>171</v>
      </c>
      <c r="C568" s="7">
        <v>20668</v>
      </c>
      <c r="D568" s="5">
        <v>1.0155E-5</v>
      </c>
    </row>
    <row r="569" spans="1:4" x14ac:dyDescent="0.2">
      <c r="A569">
        <v>2017</v>
      </c>
      <c r="B569" s="1" t="s">
        <v>172</v>
      </c>
      <c r="C569" s="7">
        <v>377541</v>
      </c>
      <c r="D569" s="5">
        <v>1.8549300000000001E-4</v>
      </c>
    </row>
    <row r="570" spans="1:4" x14ac:dyDescent="0.2">
      <c r="A570">
        <v>2017</v>
      </c>
      <c r="B570" s="1" t="s">
        <v>173</v>
      </c>
      <c r="C570" s="7">
        <v>64487</v>
      </c>
      <c r="D570" s="5">
        <v>3.1683999999999997E-5</v>
      </c>
    </row>
    <row r="571" spans="1:4" x14ac:dyDescent="0.2">
      <c r="A571">
        <v>2017</v>
      </c>
      <c r="B571" s="1" t="s">
        <v>174</v>
      </c>
      <c r="C571" s="7">
        <v>169718</v>
      </c>
      <c r="D571" s="5">
        <v>8.3385000000000002E-5</v>
      </c>
    </row>
    <row r="572" spans="1:4" x14ac:dyDescent="0.2">
      <c r="A572">
        <v>2017</v>
      </c>
      <c r="B572" s="1" t="s">
        <v>175</v>
      </c>
      <c r="C572" s="7">
        <v>382765</v>
      </c>
      <c r="D572" s="5">
        <v>1.88059E-4</v>
      </c>
    </row>
    <row r="573" spans="1:4" x14ac:dyDescent="0.2">
      <c r="A573">
        <v>2017</v>
      </c>
      <c r="B573" s="1" t="s">
        <v>176</v>
      </c>
      <c r="C573" s="7">
        <v>293753</v>
      </c>
      <c r="D573" s="5">
        <v>1.4432599999999999E-4</v>
      </c>
    </row>
    <row r="574" spans="1:4" x14ac:dyDescent="0.2">
      <c r="A574">
        <v>2017</v>
      </c>
      <c r="B574" s="1" t="s">
        <v>177</v>
      </c>
      <c r="C574" s="7">
        <v>24498</v>
      </c>
      <c r="D574" s="5">
        <v>1.2036E-5</v>
      </c>
    </row>
    <row r="575" spans="1:4" x14ac:dyDescent="0.2">
      <c r="A575">
        <v>2017</v>
      </c>
      <c r="B575" s="1" t="s">
        <v>178</v>
      </c>
      <c r="C575" s="7">
        <v>9936</v>
      </c>
      <c r="D575" s="5">
        <v>4.882E-6</v>
      </c>
    </row>
    <row r="576" spans="1:4" x14ac:dyDescent="0.2">
      <c r="A576">
        <v>2017</v>
      </c>
      <c r="B576" s="1" t="s">
        <v>179</v>
      </c>
      <c r="C576" s="7">
        <v>611489</v>
      </c>
      <c r="D576" s="5">
        <v>3.0043600000000001E-4</v>
      </c>
    </row>
    <row r="577" spans="1:4" x14ac:dyDescent="0.2">
      <c r="A577">
        <v>2017</v>
      </c>
      <c r="B577" s="1" t="s">
        <v>180</v>
      </c>
      <c r="C577" s="7">
        <v>96882</v>
      </c>
      <c r="D577" s="5">
        <v>4.7599999999999998E-5</v>
      </c>
    </row>
    <row r="578" spans="1:4" x14ac:dyDescent="0.2">
      <c r="A578">
        <v>2017</v>
      </c>
      <c r="B578" s="1" t="s">
        <v>181</v>
      </c>
      <c r="C578" s="7">
        <v>30129</v>
      </c>
      <c r="D578" s="5">
        <v>1.4803E-5</v>
      </c>
    </row>
    <row r="579" spans="1:4" x14ac:dyDescent="0.2">
      <c r="A579">
        <v>2017</v>
      </c>
      <c r="B579" s="1" t="s">
        <v>182</v>
      </c>
      <c r="C579" s="7">
        <v>61670</v>
      </c>
      <c r="D579" s="5">
        <v>3.0298999999999999E-5</v>
      </c>
    </row>
    <row r="580" spans="1:4" x14ac:dyDescent="0.2">
      <c r="A580">
        <v>2017</v>
      </c>
      <c r="B580" s="1" t="s">
        <v>183</v>
      </c>
      <c r="C580" s="7">
        <v>1501485</v>
      </c>
      <c r="D580" s="5">
        <v>7.3770699999999999E-4</v>
      </c>
    </row>
    <row r="581" spans="1:4" x14ac:dyDescent="0.2">
      <c r="A581">
        <v>2017</v>
      </c>
      <c r="B581" s="1" t="s">
        <v>184</v>
      </c>
      <c r="C581" s="7">
        <v>81065</v>
      </c>
      <c r="D581" s="5">
        <v>3.9829000000000001E-5</v>
      </c>
    </row>
    <row r="582" spans="1:4" x14ac:dyDescent="0.2">
      <c r="A582">
        <v>2017</v>
      </c>
      <c r="B582" s="1" t="s">
        <v>185</v>
      </c>
      <c r="C582" s="7">
        <v>9329</v>
      </c>
      <c r="D582" s="5">
        <v>4.5839999999999996E-6</v>
      </c>
    </row>
    <row r="583" spans="1:4" x14ac:dyDescent="0.2">
      <c r="A583">
        <v>2017</v>
      </c>
      <c r="B583" s="1" t="s">
        <v>186</v>
      </c>
      <c r="C583" s="7">
        <v>491</v>
      </c>
      <c r="D583" s="5">
        <v>2.41E-7</v>
      </c>
    </row>
    <row r="584" spans="1:4" x14ac:dyDescent="0.2">
      <c r="A584">
        <v>2017</v>
      </c>
      <c r="B584" s="1" t="s">
        <v>187</v>
      </c>
      <c r="C584" s="7">
        <v>65414</v>
      </c>
      <c r="D584" s="5">
        <v>3.2138999999999998E-5</v>
      </c>
    </row>
    <row r="585" spans="1:4" x14ac:dyDescent="0.2">
      <c r="A585">
        <v>2017</v>
      </c>
      <c r="B585" s="1" t="s">
        <v>188</v>
      </c>
      <c r="C585" s="7">
        <v>19744</v>
      </c>
      <c r="D585" s="5">
        <v>9.7010000000000008E-6</v>
      </c>
    </row>
    <row r="586" spans="1:4" x14ac:dyDescent="0.2">
      <c r="A586">
        <v>2017</v>
      </c>
      <c r="B586" s="1" t="s">
        <v>189</v>
      </c>
      <c r="C586" s="7">
        <v>10339</v>
      </c>
      <c r="D586" s="5">
        <v>5.0799999999999996E-6</v>
      </c>
    </row>
    <row r="587" spans="1:4" x14ac:dyDescent="0.2">
      <c r="A587">
        <v>2017</v>
      </c>
      <c r="B587" s="1" t="s">
        <v>190</v>
      </c>
      <c r="C587" s="7">
        <v>8012</v>
      </c>
      <c r="D587" s="5">
        <v>3.9360000000000001E-6</v>
      </c>
    </row>
    <row r="588" spans="1:4" x14ac:dyDescent="0.2">
      <c r="A588">
        <v>2017</v>
      </c>
      <c r="B588" s="1" t="s">
        <v>191</v>
      </c>
      <c r="C588" s="7">
        <v>383806</v>
      </c>
      <c r="D588" s="5">
        <v>1.8857100000000001E-4</v>
      </c>
    </row>
    <row r="589" spans="1:4" x14ac:dyDescent="0.2">
      <c r="A589">
        <v>2017</v>
      </c>
      <c r="B589" s="1" t="s">
        <v>192</v>
      </c>
      <c r="C589" s="7">
        <v>598069</v>
      </c>
      <c r="D589" s="5">
        <v>2.93842E-4</v>
      </c>
    </row>
    <row r="590" spans="1:4" x14ac:dyDescent="0.2">
      <c r="A590">
        <v>2017</v>
      </c>
      <c r="B590" s="1" t="s">
        <v>193</v>
      </c>
      <c r="C590" s="7">
        <v>50647</v>
      </c>
      <c r="D590" s="5">
        <v>2.4884000000000001E-5</v>
      </c>
    </row>
    <row r="591" spans="1:4" x14ac:dyDescent="0.2">
      <c r="A591">
        <v>2017</v>
      </c>
      <c r="B591" s="1" t="s">
        <v>194</v>
      </c>
      <c r="C591" s="7">
        <v>4612</v>
      </c>
      <c r="D591" s="5">
        <v>2.266E-6</v>
      </c>
    </row>
    <row r="592" spans="1:4" x14ac:dyDescent="0.2">
      <c r="A592">
        <v>2017</v>
      </c>
      <c r="B592" s="1" t="s">
        <v>195</v>
      </c>
      <c r="C592" s="7">
        <v>721863</v>
      </c>
      <c r="D592" s="5">
        <v>3.5466399999999998E-4</v>
      </c>
    </row>
    <row r="593" spans="1:5" x14ac:dyDescent="0.2">
      <c r="A593">
        <v>2017</v>
      </c>
      <c r="B593" s="1" t="s">
        <v>196</v>
      </c>
      <c r="C593" s="7">
        <v>439282</v>
      </c>
      <c r="D593" s="5">
        <v>2.1582700000000001E-4</v>
      </c>
    </row>
    <row r="594" spans="1:5" x14ac:dyDescent="0.2">
      <c r="A594">
        <v>2017</v>
      </c>
      <c r="B594" s="1" t="s">
        <v>197</v>
      </c>
      <c r="C594" s="7">
        <v>477730</v>
      </c>
      <c r="D594" s="5">
        <v>2.34718E-4</v>
      </c>
    </row>
    <row r="595" spans="1:5" x14ac:dyDescent="0.2">
      <c r="A595">
        <v>2017</v>
      </c>
      <c r="B595" s="1" t="s">
        <v>198</v>
      </c>
      <c r="C595" s="7">
        <v>2742</v>
      </c>
      <c r="D595" s="5">
        <v>1.347E-6</v>
      </c>
    </row>
    <row r="596" spans="1:5" x14ac:dyDescent="0.2">
      <c r="A596">
        <v>2017</v>
      </c>
      <c r="B596" s="1" t="s">
        <v>199</v>
      </c>
      <c r="C596" s="7">
        <v>1226557</v>
      </c>
      <c r="D596" s="5">
        <v>6.0263000000000005E-4</v>
      </c>
    </row>
    <row r="597" spans="1:5" x14ac:dyDescent="0.2">
      <c r="A597">
        <v>2017</v>
      </c>
      <c r="B597" s="1" t="s">
        <v>200</v>
      </c>
      <c r="C597" s="7">
        <v>44394</v>
      </c>
      <c r="D597" s="5">
        <v>2.1812000000000001E-5</v>
      </c>
    </row>
    <row r="598" spans="1:5" x14ac:dyDescent="0.2">
      <c r="A598">
        <v>2017</v>
      </c>
      <c r="B598" s="1" t="s">
        <v>201</v>
      </c>
      <c r="C598" s="7">
        <v>26332</v>
      </c>
      <c r="D598" s="5">
        <v>1.2938E-5</v>
      </c>
    </row>
    <row r="599" spans="1:5" x14ac:dyDescent="0.2">
      <c r="A599">
        <v>2017</v>
      </c>
      <c r="B599" s="1" t="s">
        <v>202</v>
      </c>
      <c r="C599" s="7">
        <v>79401</v>
      </c>
      <c r="D599" s="5">
        <v>3.9011000000000003E-5</v>
      </c>
    </row>
    <row r="600" spans="1:5" x14ac:dyDescent="0.2">
      <c r="A600">
        <v>2018</v>
      </c>
      <c r="B600" s="1" t="s">
        <v>4</v>
      </c>
      <c r="C600" s="7">
        <v>1869805897</v>
      </c>
      <c r="D600" s="5">
        <v>0.93768035800000005</v>
      </c>
      <c r="E600" s="4"/>
    </row>
    <row r="601" spans="1:5" x14ac:dyDescent="0.2">
      <c r="A601">
        <v>2018</v>
      </c>
      <c r="B601" s="1" t="s">
        <v>5</v>
      </c>
      <c r="C601" s="7">
        <v>28753</v>
      </c>
      <c r="D601" s="5">
        <v>1.4419E-5</v>
      </c>
      <c r="E601" s="4"/>
    </row>
    <row r="602" spans="1:5" x14ac:dyDescent="0.2">
      <c r="A602">
        <v>2018</v>
      </c>
      <c r="B602" s="1" t="s">
        <v>7</v>
      </c>
      <c r="C602" s="7">
        <v>75345</v>
      </c>
      <c r="D602" s="5">
        <v>3.7784999999999998E-5</v>
      </c>
      <c r="E602" s="4"/>
    </row>
    <row r="603" spans="1:5" x14ac:dyDescent="0.2">
      <c r="A603">
        <v>2018</v>
      </c>
      <c r="B603" s="1" t="s">
        <v>8</v>
      </c>
      <c r="C603" s="7">
        <v>1187705</v>
      </c>
      <c r="D603" s="5">
        <v>5.95617E-4</v>
      </c>
      <c r="E603" s="4"/>
    </row>
    <row r="604" spans="1:5" x14ac:dyDescent="0.2">
      <c r="A604">
        <v>2018</v>
      </c>
      <c r="B604" s="1" t="s">
        <v>203</v>
      </c>
      <c r="C604" s="7">
        <v>364035</v>
      </c>
      <c r="D604" s="5">
        <v>1.8255800000000001E-4</v>
      </c>
      <c r="E604" s="4"/>
    </row>
    <row r="605" spans="1:5" x14ac:dyDescent="0.2">
      <c r="A605">
        <v>2018</v>
      </c>
      <c r="B605" s="1" t="s">
        <v>9</v>
      </c>
      <c r="C605" s="7">
        <v>6201</v>
      </c>
      <c r="D605" s="5">
        <v>3.1089999999999998E-6</v>
      </c>
      <c r="E605" s="4"/>
    </row>
    <row r="606" spans="1:5" x14ac:dyDescent="0.2">
      <c r="A606">
        <v>2018</v>
      </c>
      <c r="B606" s="1" t="s">
        <v>10</v>
      </c>
      <c r="C606" s="7">
        <v>29068</v>
      </c>
      <c r="D606" s="5">
        <v>1.4577E-5</v>
      </c>
      <c r="E606" s="4"/>
    </row>
    <row r="607" spans="1:5" x14ac:dyDescent="0.2">
      <c r="A607">
        <v>2018</v>
      </c>
      <c r="B607" s="1" t="s">
        <v>11</v>
      </c>
      <c r="C607" s="7">
        <v>555671</v>
      </c>
      <c r="D607" s="5">
        <v>2.7866099999999998E-4</v>
      </c>
      <c r="E607" s="4"/>
    </row>
    <row r="608" spans="1:5" x14ac:dyDescent="0.2">
      <c r="A608">
        <v>2018</v>
      </c>
      <c r="B608" s="1" t="s">
        <v>12</v>
      </c>
      <c r="C608" s="7">
        <v>44982</v>
      </c>
      <c r="D608" s="5">
        <v>2.2558E-5</v>
      </c>
      <c r="E608" s="4"/>
    </row>
    <row r="609" spans="1:5" x14ac:dyDescent="0.2">
      <c r="A609">
        <v>2018</v>
      </c>
      <c r="B609" s="1" t="s">
        <v>13</v>
      </c>
      <c r="C609" s="7">
        <v>10857</v>
      </c>
      <c r="D609" s="5">
        <v>5.4450000000000004E-6</v>
      </c>
      <c r="E609" s="4"/>
    </row>
    <row r="610" spans="1:5" x14ac:dyDescent="0.2">
      <c r="A610">
        <v>2018</v>
      </c>
      <c r="B610" s="1" t="s">
        <v>14</v>
      </c>
      <c r="C610" s="7">
        <v>30900</v>
      </c>
      <c r="D610" s="5">
        <v>1.5495999999999999E-5</v>
      </c>
      <c r="E610" s="4"/>
    </row>
    <row r="611" spans="1:5" x14ac:dyDescent="0.2">
      <c r="A611">
        <v>2018</v>
      </c>
      <c r="B611" s="1" t="s">
        <v>15</v>
      </c>
      <c r="C611" s="7">
        <v>1481009</v>
      </c>
      <c r="D611" s="5">
        <v>7.4270399999999996E-4</v>
      </c>
      <c r="E611" s="4"/>
    </row>
    <row r="612" spans="1:5" x14ac:dyDescent="0.2">
      <c r="A612">
        <v>2018</v>
      </c>
      <c r="B612" s="1" t="s">
        <v>16</v>
      </c>
      <c r="C612" s="7">
        <v>304070</v>
      </c>
      <c r="D612" s="5">
        <v>1.5248599999999999E-4</v>
      </c>
      <c r="E612" s="4"/>
    </row>
    <row r="613" spans="1:5" x14ac:dyDescent="0.2">
      <c r="A613">
        <v>2018</v>
      </c>
      <c r="B613" s="1" t="s">
        <v>204</v>
      </c>
      <c r="C613" s="7">
        <v>47734</v>
      </c>
      <c r="D613" s="5">
        <v>2.3938E-5</v>
      </c>
      <c r="E613" s="4"/>
    </row>
    <row r="614" spans="1:5" x14ac:dyDescent="0.2">
      <c r="A614">
        <v>2018</v>
      </c>
      <c r="B614" s="1" t="s">
        <v>18</v>
      </c>
      <c r="C614" s="7">
        <v>2146686</v>
      </c>
      <c r="D614" s="5">
        <v>1.0765320000000001E-3</v>
      </c>
      <c r="E614" s="4"/>
    </row>
    <row r="615" spans="1:5" x14ac:dyDescent="0.2">
      <c r="A615">
        <v>2018</v>
      </c>
      <c r="B615" s="1" t="s">
        <v>19</v>
      </c>
      <c r="C615" s="7">
        <v>67188</v>
      </c>
      <c r="D615" s="5">
        <v>3.3694E-5</v>
      </c>
      <c r="E615" s="4"/>
    </row>
    <row r="616" spans="1:5" x14ac:dyDescent="0.2">
      <c r="A616">
        <v>2018</v>
      </c>
      <c r="B616" s="1" t="s">
        <v>20</v>
      </c>
      <c r="C616" s="7">
        <v>24685</v>
      </c>
      <c r="D616" s="5">
        <v>1.2379E-5</v>
      </c>
      <c r="E616" s="4"/>
    </row>
    <row r="617" spans="1:5" x14ac:dyDescent="0.2">
      <c r="A617">
        <v>2018</v>
      </c>
      <c r="B617" s="1" t="s">
        <v>21</v>
      </c>
      <c r="C617" s="7">
        <v>5937118</v>
      </c>
      <c r="D617" s="5">
        <v>2.9773780000000001E-3</v>
      </c>
      <c r="E617" s="4"/>
    </row>
    <row r="618" spans="1:5" x14ac:dyDescent="0.2">
      <c r="A618">
        <v>2018</v>
      </c>
      <c r="B618" s="1" t="s">
        <v>205</v>
      </c>
      <c r="C618" s="7">
        <v>659056</v>
      </c>
      <c r="D618" s="5">
        <v>3.3050700000000001E-4</v>
      </c>
      <c r="E618" s="4"/>
    </row>
    <row r="619" spans="1:5" x14ac:dyDescent="0.2">
      <c r="A619">
        <v>2018</v>
      </c>
      <c r="B619" s="1" t="s">
        <v>206</v>
      </c>
      <c r="C619" s="7">
        <v>2711295</v>
      </c>
      <c r="D619" s="5">
        <v>1.3596750000000001E-3</v>
      </c>
      <c r="E619" s="4"/>
    </row>
    <row r="620" spans="1:5" x14ac:dyDescent="0.2">
      <c r="A620">
        <v>2018</v>
      </c>
      <c r="B620" s="1" t="s">
        <v>25</v>
      </c>
      <c r="C620" s="7">
        <v>64690</v>
      </c>
      <c r="D620" s="5">
        <v>3.2441000000000003E-5</v>
      </c>
      <c r="E620" s="4"/>
    </row>
    <row r="621" spans="1:5" x14ac:dyDescent="0.2">
      <c r="A621">
        <v>2018</v>
      </c>
      <c r="B621" s="1" t="s">
        <v>26</v>
      </c>
      <c r="C621" s="7">
        <v>54980</v>
      </c>
      <c r="D621" s="5">
        <v>2.7572E-5</v>
      </c>
      <c r="E621" s="4"/>
    </row>
    <row r="622" spans="1:5" x14ac:dyDescent="0.2">
      <c r="A622">
        <v>2018</v>
      </c>
      <c r="B622" s="1" t="s">
        <v>27</v>
      </c>
      <c r="C622" s="7">
        <v>18508</v>
      </c>
      <c r="D622" s="5">
        <v>9.2809999999999997E-6</v>
      </c>
      <c r="E622" s="4"/>
    </row>
    <row r="623" spans="1:5" x14ac:dyDescent="0.2">
      <c r="A623">
        <v>2018</v>
      </c>
      <c r="B623" s="1" t="s">
        <v>28</v>
      </c>
      <c r="C623" s="7">
        <v>320331</v>
      </c>
      <c r="D623" s="5">
        <v>1.60641E-4</v>
      </c>
      <c r="E623" s="4"/>
    </row>
    <row r="624" spans="1:5" x14ac:dyDescent="0.2">
      <c r="A624">
        <v>2018</v>
      </c>
      <c r="B624" s="1" t="s">
        <v>29</v>
      </c>
      <c r="C624" s="7">
        <v>99318</v>
      </c>
      <c r="D624" s="5">
        <v>4.9806999999999999E-5</v>
      </c>
      <c r="E624" s="4"/>
    </row>
    <row r="625" spans="1:5" x14ac:dyDescent="0.2">
      <c r="A625">
        <v>2018</v>
      </c>
      <c r="B625" s="1" t="s">
        <v>30</v>
      </c>
      <c r="C625" s="7">
        <v>2183</v>
      </c>
      <c r="D625" s="5">
        <v>1.0950000000000001E-6</v>
      </c>
      <c r="E625" s="4"/>
    </row>
    <row r="626" spans="1:5" x14ac:dyDescent="0.2">
      <c r="A626">
        <v>2018</v>
      </c>
      <c r="B626" s="1" t="s">
        <v>31</v>
      </c>
      <c r="C626" s="7">
        <v>178900</v>
      </c>
      <c r="D626" s="5">
        <v>8.9716000000000006E-5</v>
      </c>
      <c r="E626" s="4"/>
    </row>
    <row r="627" spans="1:5" x14ac:dyDescent="0.2">
      <c r="A627">
        <v>2018</v>
      </c>
      <c r="B627" s="1" t="s">
        <v>32</v>
      </c>
      <c r="C627" s="7">
        <v>1333252</v>
      </c>
      <c r="D627" s="5">
        <v>6.6860699999999999E-4</v>
      </c>
      <c r="E627" s="4"/>
    </row>
    <row r="628" spans="1:5" x14ac:dyDescent="0.2">
      <c r="A628">
        <v>2018</v>
      </c>
      <c r="B628" s="1" t="s">
        <v>33</v>
      </c>
      <c r="C628" s="7">
        <v>121337</v>
      </c>
      <c r="D628" s="5">
        <v>6.0849E-5</v>
      </c>
      <c r="E628" s="4"/>
    </row>
    <row r="629" spans="1:5" x14ac:dyDescent="0.2">
      <c r="A629">
        <v>2018</v>
      </c>
      <c r="B629" s="1" t="s">
        <v>34</v>
      </c>
      <c r="C629" s="7">
        <v>1274850</v>
      </c>
      <c r="D629" s="5">
        <v>6.3931899999999996E-4</v>
      </c>
      <c r="E629" s="4"/>
    </row>
    <row r="630" spans="1:5" x14ac:dyDescent="0.2">
      <c r="A630">
        <v>2018</v>
      </c>
      <c r="B630" s="1" t="s">
        <v>35</v>
      </c>
      <c r="C630" s="7">
        <v>316558</v>
      </c>
      <c r="D630" s="5">
        <v>1.5874899999999999E-4</v>
      </c>
      <c r="E630" s="4"/>
    </row>
    <row r="631" spans="1:5" x14ac:dyDescent="0.2">
      <c r="A631">
        <v>2018</v>
      </c>
      <c r="B631" s="1" t="s">
        <v>36</v>
      </c>
      <c r="C631" s="7">
        <v>553734</v>
      </c>
      <c r="D631" s="5">
        <v>2.7768900000000002E-4</v>
      </c>
      <c r="E631" s="4"/>
    </row>
    <row r="632" spans="1:5" x14ac:dyDescent="0.2">
      <c r="A632">
        <v>2018</v>
      </c>
      <c r="B632" s="1" t="s">
        <v>37</v>
      </c>
      <c r="C632" s="7">
        <v>20972</v>
      </c>
      <c r="D632" s="5">
        <v>1.0516999999999999E-5</v>
      </c>
      <c r="E632" s="4"/>
    </row>
    <row r="633" spans="1:5" x14ac:dyDescent="0.2">
      <c r="A633">
        <v>2018</v>
      </c>
      <c r="B633" s="1" t="s">
        <v>38</v>
      </c>
      <c r="C633" s="7">
        <v>20985</v>
      </c>
      <c r="D633" s="5">
        <v>1.0524E-5</v>
      </c>
      <c r="E633" s="4"/>
    </row>
    <row r="634" spans="1:5" x14ac:dyDescent="0.2">
      <c r="A634">
        <v>2018</v>
      </c>
      <c r="B634" s="1" t="s">
        <v>39</v>
      </c>
      <c r="C634" s="7">
        <v>462805</v>
      </c>
      <c r="D634" s="5">
        <v>2.3209000000000001E-4</v>
      </c>
      <c r="E634" s="4"/>
    </row>
    <row r="635" spans="1:5" x14ac:dyDescent="0.2">
      <c r="A635">
        <v>2018</v>
      </c>
      <c r="B635" s="1" t="s">
        <v>40</v>
      </c>
      <c r="C635" s="7">
        <v>26620</v>
      </c>
      <c r="D635" s="5">
        <v>1.3349999999999999E-5</v>
      </c>
      <c r="E635" s="4"/>
    </row>
    <row r="636" spans="1:5" x14ac:dyDescent="0.2">
      <c r="A636">
        <v>2018</v>
      </c>
      <c r="B636" s="1" t="s">
        <v>207</v>
      </c>
      <c r="C636" s="7">
        <v>437317</v>
      </c>
      <c r="D636" s="5">
        <v>2.1930800000000001E-4</v>
      </c>
      <c r="E636" s="4"/>
    </row>
    <row r="637" spans="1:5" x14ac:dyDescent="0.2">
      <c r="A637">
        <v>2018</v>
      </c>
      <c r="B637" s="1" t="s">
        <v>42</v>
      </c>
      <c r="C637" s="7">
        <v>29616</v>
      </c>
      <c r="D637" s="5">
        <v>1.4851999999999999E-5</v>
      </c>
      <c r="E637" s="4"/>
    </row>
    <row r="638" spans="1:5" x14ac:dyDescent="0.2">
      <c r="A638">
        <v>2018</v>
      </c>
      <c r="B638" s="1" t="s">
        <v>43</v>
      </c>
      <c r="C638" s="7">
        <v>68290</v>
      </c>
      <c r="D638" s="5">
        <v>3.4245999999999997E-5</v>
      </c>
      <c r="E638" s="4"/>
    </row>
    <row r="639" spans="1:5" x14ac:dyDescent="0.2">
      <c r="A639">
        <v>2018</v>
      </c>
      <c r="B639" s="1" t="s">
        <v>44</v>
      </c>
      <c r="C639" s="7">
        <v>1648440</v>
      </c>
      <c r="D639" s="5">
        <v>8.2666900000000004E-4</v>
      </c>
      <c r="E639" s="4"/>
    </row>
    <row r="640" spans="1:5" x14ac:dyDescent="0.2">
      <c r="A640">
        <v>2018</v>
      </c>
      <c r="B640" s="1" t="s">
        <v>45</v>
      </c>
      <c r="C640" s="7">
        <v>23459</v>
      </c>
      <c r="D640" s="5">
        <v>1.1765E-5</v>
      </c>
      <c r="E640" s="4"/>
    </row>
    <row r="641" spans="1:5" x14ac:dyDescent="0.2">
      <c r="A641">
        <v>2018</v>
      </c>
      <c r="B641" s="1" t="s">
        <v>208</v>
      </c>
      <c r="C641" s="7">
        <v>39568</v>
      </c>
      <c r="D641" s="5">
        <v>1.9843E-5</v>
      </c>
      <c r="E641" s="4"/>
    </row>
    <row r="642" spans="1:5" x14ac:dyDescent="0.2">
      <c r="A642">
        <v>2018</v>
      </c>
      <c r="B642" s="1" t="s">
        <v>47</v>
      </c>
      <c r="C642" s="7">
        <v>1477699</v>
      </c>
      <c r="D642" s="5">
        <v>7.4104399999999995E-4</v>
      </c>
      <c r="E642" s="4"/>
    </row>
    <row r="643" spans="1:5" x14ac:dyDescent="0.2">
      <c r="A643">
        <v>2018</v>
      </c>
      <c r="B643" s="1" t="s">
        <v>48</v>
      </c>
      <c r="C643" s="7">
        <v>46644</v>
      </c>
      <c r="D643" s="5">
        <v>2.3391E-5</v>
      </c>
      <c r="E643" s="4"/>
    </row>
    <row r="644" spans="1:5" x14ac:dyDescent="0.2">
      <c r="A644">
        <v>2018</v>
      </c>
      <c r="B644" s="1" t="s">
        <v>49</v>
      </c>
      <c r="C644" s="7">
        <v>24920</v>
      </c>
      <c r="D644" s="5">
        <v>1.2497000000000001E-5</v>
      </c>
      <c r="E644" s="4"/>
    </row>
    <row r="645" spans="1:5" x14ac:dyDescent="0.2">
      <c r="A645">
        <v>2018</v>
      </c>
      <c r="B645" s="1" t="s">
        <v>50</v>
      </c>
      <c r="C645" s="7">
        <v>1033503</v>
      </c>
      <c r="D645" s="5">
        <v>5.1828699999999998E-4</v>
      </c>
      <c r="E645" s="4"/>
    </row>
    <row r="646" spans="1:5" x14ac:dyDescent="0.2">
      <c r="A646">
        <v>2018</v>
      </c>
      <c r="B646" s="1" t="s">
        <v>51</v>
      </c>
      <c r="C646" s="7">
        <v>58058</v>
      </c>
      <c r="D646" s="5">
        <v>2.9115000000000002E-5</v>
      </c>
      <c r="E646" s="4"/>
    </row>
    <row r="647" spans="1:5" x14ac:dyDescent="0.2">
      <c r="A647">
        <v>2018</v>
      </c>
      <c r="B647" s="1" t="s">
        <v>52</v>
      </c>
      <c r="C647" s="7">
        <v>19485</v>
      </c>
      <c r="D647" s="5">
        <v>9.7710000000000001E-6</v>
      </c>
      <c r="E647" s="4"/>
    </row>
    <row r="648" spans="1:5" x14ac:dyDescent="0.2">
      <c r="A648">
        <v>2018</v>
      </c>
      <c r="B648" s="1" t="s">
        <v>53</v>
      </c>
      <c r="C648" s="7">
        <v>713135</v>
      </c>
      <c r="D648" s="5">
        <v>3.5762700000000001E-4</v>
      </c>
      <c r="E648" s="4"/>
    </row>
    <row r="649" spans="1:5" x14ac:dyDescent="0.2">
      <c r="A649">
        <v>2018</v>
      </c>
      <c r="B649" s="1" t="s">
        <v>54</v>
      </c>
      <c r="C649" s="7">
        <v>116722</v>
      </c>
      <c r="D649" s="5">
        <v>5.8533999999999999E-5</v>
      </c>
      <c r="E649" s="4"/>
    </row>
    <row r="650" spans="1:5" x14ac:dyDescent="0.2">
      <c r="A650">
        <v>2018</v>
      </c>
      <c r="B650" s="1" t="s">
        <v>55</v>
      </c>
      <c r="C650" s="7">
        <v>92911</v>
      </c>
      <c r="D650" s="5">
        <v>4.6594000000000001E-5</v>
      </c>
      <c r="E650" s="4"/>
    </row>
    <row r="651" spans="1:5" x14ac:dyDescent="0.2">
      <c r="A651">
        <v>2018</v>
      </c>
      <c r="B651" s="1" t="s">
        <v>56</v>
      </c>
      <c r="C651" s="7">
        <v>229843</v>
      </c>
      <c r="D651" s="5">
        <v>1.15263E-4</v>
      </c>
      <c r="E651" s="4"/>
    </row>
    <row r="652" spans="1:5" x14ac:dyDescent="0.2">
      <c r="A652">
        <v>2018</v>
      </c>
      <c r="B652" s="1" t="s">
        <v>57</v>
      </c>
      <c r="C652" s="7">
        <v>4470</v>
      </c>
      <c r="D652" s="5">
        <v>2.2419999999999999E-6</v>
      </c>
      <c r="E652" s="4"/>
    </row>
    <row r="653" spans="1:5" x14ac:dyDescent="0.2">
      <c r="A653">
        <v>2018</v>
      </c>
      <c r="B653" s="1" t="s">
        <v>58</v>
      </c>
      <c r="C653" s="7">
        <v>232009</v>
      </c>
      <c r="D653" s="5">
        <v>1.1634899999999999E-4</v>
      </c>
      <c r="E653" s="4"/>
    </row>
    <row r="654" spans="1:5" x14ac:dyDescent="0.2">
      <c r="A654">
        <v>2018</v>
      </c>
      <c r="B654" s="1" t="s">
        <v>59</v>
      </c>
      <c r="C654" s="7">
        <v>284604</v>
      </c>
      <c r="D654" s="5">
        <v>1.4272500000000001E-4</v>
      </c>
      <c r="E654" s="4"/>
    </row>
    <row r="655" spans="1:5" x14ac:dyDescent="0.2">
      <c r="A655">
        <v>2018</v>
      </c>
      <c r="B655" s="1" t="s">
        <v>60</v>
      </c>
      <c r="C655" s="7">
        <v>74486</v>
      </c>
      <c r="D655" s="5">
        <v>3.7353E-5</v>
      </c>
      <c r="E655" s="4"/>
    </row>
    <row r="656" spans="1:5" x14ac:dyDescent="0.2">
      <c r="A656">
        <v>2018</v>
      </c>
      <c r="B656" s="1" t="s">
        <v>61</v>
      </c>
      <c r="C656" s="7">
        <v>31913</v>
      </c>
      <c r="D656" s="5">
        <v>1.6004000000000001E-5</v>
      </c>
      <c r="E656" s="4"/>
    </row>
    <row r="657" spans="1:5" x14ac:dyDescent="0.2">
      <c r="A657">
        <v>2018</v>
      </c>
      <c r="B657" s="1" t="s">
        <v>209</v>
      </c>
      <c r="C657" s="7">
        <v>700320</v>
      </c>
      <c r="D657" s="5">
        <v>3.5120000000000003E-4</v>
      </c>
      <c r="E657" s="4"/>
    </row>
    <row r="658" spans="1:5" x14ac:dyDescent="0.2">
      <c r="A658">
        <v>2018</v>
      </c>
      <c r="B658" s="1" t="s">
        <v>63</v>
      </c>
      <c r="C658" s="7">
        <v>1089771</v>
      </c>
      <c r="D658" s="5">
        <v>5.4650399999999996E-4</v>
      </c>
      <c r="E658" s="4"/>
    </row>
    <row r="659" spans="1:5" x14ac:dyDescent="0.2">
      <c r="A659">
        <v>2018</v>
      </c>
      <c r="B659" s="1" t="s">
        <v>64</v>
      </c>
      <c r="C659" s="7">
        <v>243137</v>
      </c>
      <c r="D659" s="5">
        <v>1.2193000000000001E-4</v>
      </c>
      <c r="E659" s="4"/>
    </row>
    <row r="660" spans="1:5" x14ac:dyDescent="0.2">
      <c r="A660">
        <v>2018</v>
      </c>
      <c r="B660" s="1" t="s">
        <v>65</v>
      </c>
      <c r="C660" s="7">
        <v>171357</v>
      </c>
      <c r="D660" s="5">
        <v>8.5933000000000005E-5</v>
      </c>
      <c r="E660" s="4"/>
    </row>
    <row r="661" spans="1:5" x14ac:dyDescent="0.2">
      <c r="A661">
        <v>2018</v>
      </c>
      <c r="B661" s="1" t="s">
        <v>66</v>
      </c>
      <c r="C661" s="7">
        <v>688604</v>
      </c>
      <c r="D661" s="5">
        <v>3.45325E-4</v>
      </c>
      <c r="E661" s="4"/>
    </row>
    <row r="662" spans="1:5" x14ac:dyDescent="0.2">
      <c r="A662">
        <v>2018</v>
      </c>
      <c r="B662" s="1" t="s">
        <v>67</v>
      </c>
      <c r="C662" s="7">
        <v>533998</v>
      </c>
      <c r="D662" s="5">
        <v>2.6779199999999999E-4</v>
      </c>
      <c r="E662" s="4"/>
    </row>
    <row r="663" spans="1:5" x14ac:dyDescent="0.2">
      <c r="A663">
        <v>2018</v>
      </c>
      <c r="B663" s="1" t="s">
        <v>68</v>
      </c>
      <c r="C663" s="7">
        <v>20985</v>
      </c>
      <c r="D663" s="5">
        <v>1.0524E-5</v>
      </c>
      <c r="E663" s="4"/>
    </row>
    <row r="664" spans="1:5" x14ac:dyDescent="0.2">
      <c r="A664">
        <v>2018</v>
      </c>
      <c r="B664" s="1" t="s">
        <v>69</v>
      </c>
      <c r="C664" s="7">
        <v>364598</v>
      </c>
      <c r="D664" s="5">
        <v>1.8284099999999999E-4</v>
      </c>
      <c r="E664" s="4"/>
    </row>
    <row r="665" spans="1:5" x14ac:dyDescent="0.2">
      <c r="A665">
        <v>2018</v>
      </c>
      <c r="B665" s="1" t="s">
        <v>70</v>
      </c>
      <c r="C665" s="7">
        <v>142776</v>
      </c>
      <c r="D665" s="5">
        <v>7.1600000000000006E-5</v>
      </c>
      <c r="E665" s="4"/>
    </row>
    <row r="666" spans="1:5" x14ac:dyDescent="0.2">
      <c r="A666">
        <v>2018</v>
      </c>
      <c r="B666" s="1" t="s">
        <v>71</v>
      </c>
      <c r="C666" s="7">
        <v>9069</v>
      </c>
      <c r="D666" s="5">
        <v>4.5480000000000003E-6</v>
      </c>
      <c r="E666" s="4"/>
    </row>
    <row r="667" spans="1:5" x14ac:dyDescent="0.2">
      <c r="A667">
        <v>2018</v>
      </c>
      <c r="B667" s="1" t="s">
        <v>72</v>
      </c>
      <c r="C667" s="7">
        <v>29219</v>
      </c>
      <c r="D667" s="5">
        <v>1.4653E-5</v>
      </c>
      <c r="E667" s="4"/>
    </row>
    <row r="668" spans="1:5" x14ac:dyDescent="0.2">
      <c r="A668">
        <v>2018</v>
      </c>
      <c r="B668" s="1" t="s">
        <v>73</v>
      </c>
      <c r="C668" s="7">
        <v>16838</v>
      </c>
      <c r="D668" s="5">
        <v>8.4440000000000008E-6</v>
      </c>
      <c r="E668" s="4"/>
    </row>
    <row r="669" spans="1:5" x14ac:dyDescent="0.2">
      <c r="A669">
        <v>2018</v>
      </c>
      <c r="B669" s="1" t="s">
        <v>74</v>
      </c>
      <c r="C669" s="7">
        <v>5757</v>
      </c>
      <c r="D669" s="5">
        <v>2.8870000000000001E-6</v>
      </c>
      <c r="E669" s="4"/>
    </row>
    <row r="670" spans="1:5" x14ac:dyDescent="0.2">
      <c r="A670">
        <v>2018</v>
      </c>
      <c r="B670" s="1" t="s">
        <v>75</v>
      </c>
      <c r="C670" s="7">
        <v>56004</v>
      </c>
      <c r="D670" s="5">
        <v>2.8085E-5</v>
      </c>
      <c r="E670" s="4"/>
    </row>
    <row r="671" spans="1:5" x14ac:dyDescent="0.2">
      <c r="A671">
        <v>2018</v>
      </c>
      <c r="B671" s="1" t="s">
        <v>76</v>
      </c>
      <c r="C671" s="7">
        <v>108304</v>
      </c>
      <c r="D671" s="5">
        <v>5.4313E-5</v>
      </c>
      <c r="E671" s="4"/>
    </row>
    <row r="672" spans="1:5" x14ac:dyDescent="0.2">
      <c r="A672">
        <v>2018</v>
      </c>
      <c r="B672" s="1" t="s">
        <v>77</v>
      </c>
      <c r="C672" s="7">
        <v>10856</v>
      </c>
      <c r="D672" s="5">
        <v>5.4439999999999999E-6</v>
      </c>
      <c r="E672" s="4"/>
    </row>
    <row r="673" spans="1:5" x14ac:dyDescent="0.2">
      <c r="A673">
        <v>2018</v>
      </c>
      <c r="B673" s="1" t="s">
        <v>78</v>
      </c>
      <c r="C673" s="7">
        <v>3725167</v>
      </c>
      <c r="D673" s="5">
        <v>1.8681170000000001E-3</v>
      </c>
      <c r="E673" s="4"/>
    </row>
    <row r="674" spans="1:5" x14ac:dyDescent="0.2">
      <c r="A674">
        <v>2018</v>
      </c>
      <c r="B674" s="1" t="s">
        <v>79</v>
      </c>
      <c r="C674" s="7">
        <v>143793</v>
      </c>
      <c r="D674" s="5">
        <v>7.2109999999999999E-5</v>
      </c>
      <c r="E674" s="4"/>
    </row>
    <row r="675" spans="1:5" x14ac:dyDescent="0.2">
      <c r="A675">
        <v>2018</v>
      </c>
      <c r="B675" s="1" t="s">
        <v>80</v>
      </c>
      <c r="C675" s="7">
        <v>92125</v>
      </c>
      <c r="D675" s="5">
        <v>4.6199000000000003E-5</v>
      </c>
      <c r="E675" s="4"/>
    </row>
    <row r="676" spans="1:5" x14ac:dyDescent="0.2">
      <c r="A676">
        <v>2018</v>
      </c>
      <c r="B676" s="1" t="s">
        <v>81</v>
      </c>
      <c r="C676" s="7">
        <v>141544</v>
      </c>
      <c r="D676" s="5">
        <v>7.0982000000000006E-5</v>
      </c>
      <c r="E676" s="4"/>
    </row>
    <row r="677" spans="1:5" x14ac:dyDescent="0.2">
      <c r="A677">
        <v>2018</v>
      </c>
      <c r="B677" s="1" t="s">
        <v>82</v>
      </c>
      <c r="C677" s="7">
        <v>2774</v>
      </c>
      <c r="D677" s="5">
        <v>1.3909999999999999E-6</v>
      </c>
      <c r="E677" s="4"/>
    </row>
    <row r="678" spans="1:5" x14ac:dyDescent="0.2">
      <c r="A678">
        <v>2018</v>
      </c>
      <c r="B678" s="1" t="s">
        <v>210</v>
      </c>
      <c r="C678" s="7">
        <v>385300</v>
      </c>
      <c r="D678" s="5">
        <v>1.93222E-4</v>
      </c>
      <c r="E678" s="4"/>
    </row>
    <row r="679" spans="1:5" x14ac:dyDescent="0.2">
      <c r="A679">
        <v>2018</v>
      </c>
      <c r="B679" s="1" t="s">
        <v>84</v>
      </c>
      <c r="C679" s="7">
        <v>22377</v>
      </c>
      <c r="D679" s="5">
        <v>1.1222E-5</v>
      </c>
      <c r="E679" s="4"/>
    </row>
    <row r="680" spans="1:5" x14ac:dyDescent="0.2">
      <c r="A680">
        <v>2018</v>
      </c>
      <c r="B680" s="1" t="s">
        <v>85</v>
      </c>
      <c r="C680" s="7">
        <v>328540</v>
      </c>
      <c r="D680" s="5">
        <v>1.6475800000000001E-4</v>
      </c>
      <c r="E680" s="4"/>
    </row>
    <row r="681" spans="1:5" x14ac:dyDescent="0.2">
      <c r="A681">
        <v>2018</v>
      </c>
      <c r="B681" s="1" t="s">
        <v>86</v>
      </c>
      <c r="C681" s="7">
        <v>18136</v>
      </c>
      <c r="D681" s="5">
        <v>9.0950000000000002E-6</v>
      </c>
      <c r="E681" s="4"/>
    </row>
    <row r="682" spans="1:5" x14ac:dyDescent="0.2">
      <c r="A682">
        <v>2018</v>
      </c>
      <c r="B682" s="1" t="s">
        <v>87</v>
      </c>
      <c r="C682" s="7">
        <v>10856</v>
      </c>
      <c r="D682" s="5">
        <v>5.4439999999999999E-6</v>
      </c>
      <c r="E682" s="4"/>
    </row>
    <row r="683" spans="1:5" x14ac:dyDescent="0.2">
      <c r="A683">
        <v>2018</v>
      </c>
      <c r="B683" s="1" t="s">
        <v>88</v>
      </c>
      <c r="C683" s="7">
        <v>664573</v>
      </c>
      <c r="D683" s="5">
        <v>3.3327299999999998E-4</v>
      </c>
      <c r="E683" s="4"/>
    </row>
    <row r="684" spans="1:5" x14ac:dyDescent="0.2">
      <c r="A684">
        <v>2018</v>
      </c>
      <c r="B684" s="1" t="s">
        <v>89</v>
      </c>
      <c r="C684" s="7">
        <v>984906</v>
      </c>
      <c r="D684" s="5">
        <v>4.9391599999999995E-4</v>
      </c>
      <c r="E684" s="4"/>
    </row>
    <row r="685" spans="1:5" x14ac:dyDescent="0.2">
      <c r="A685">
        <v>2018</v>
      </c>
      <c r="B685" s="1" t="s">
        <v>90</v>
      </c>
      <c r="C685" s="7">
        <v>34564</v>
      </c>
      <c r="D685" s="5">
        <v>1.7333000000000002E-5</v>
      </c>
      <c r="E685" s="4"/>
    </row>
    <row r="686" spans="1:5" x14ac:dyDescent="0.2">
      <c r="A686">
        <v>2018</v>
      </c>
      <c r="B686" s="1" t="s">
        <v>91</v>
      </c>
      <c r="C686" s="7">
        <v>176364</v>
      </c>
      <c r="D686" s="5">
        <v>8.8443999999999995E-5</v>
      </c>
      <c r="E686" s="4"/>
    </row>
    <row r="687" spans="1:5" x14ac:dyDescent="0.2">
      <c r="A687">
        <v>2018</v>
      </c>
      <c r="B687" s="1" t="s">
        <v>92</v>
      </c>
      <c r="C687" s="7">
        <v>1745574</v>
      </c>
      <c r="D687" s="5">
        <v>8.7538000000000004E-4</v>
      </c>
      <c r="E687" s="4"/>
    </row>
    <row r="688" spans="1:5" x14ac:dyDescent="0.2">
      <c r="A688">
        <v>2018</v>
      </c>
      <c r="B688" s="1" t="s">
        <v>93</v>
      </c>
      <c r="C688" s="7">
        <v>96578</v>
      </c>
      <c r="D688" s="5">
        <v>4.8432E-5</v>
      </c>
      <c r="E688" s="4"/>
    </row>
    <row r="689" spans="1:5" x14ac:dyDescent="0.2">
      <c r="A689">
        <v>2018</v>
      </c>
      <c r="B689" s="1" t="s">
        <v>94</v>
      </c>
      <c r="C689" s="7">
        <v>2353181</v>
      </c>
      <c r="D689" s="5">
        <v>1.1800859999999999E-3</v>
      </c>
      <c r="E689" s="4"/>
    </row>
    <row r="690" spans="1:5" x14ac:dyDescent="0.2">
      <c r="A690">
        <v>2018</v>
      </c>
      <c r="B690" s="1" t="s">
        <v>95</v>
      </c>
      <c r="C690" s="7">
        <v>120048</v>
      </c>
      <c r="D690" s="5">
        <v>6.0202999999999999E-5</v>
      </c>
      <c r="E690" s="4"/>
    </row>
    <row r="691" spans="1:5" x14ac:dyDescent="0.2">
      <c r="A691">
        <v>2018</v>
      </c>
      <c r="B691" s="1" t="s">
        <v>96</v>
      </c>
      <c r="C691" s="7">
        <v>6401947</v>
      </c>
      <c r="D691" s="5">
        <v>3.2104830000000001E-3</v>
      </c>
      <c r="E691" s="4"/>
    </row>
    <row r="692" spans="1:5" x14ac:dyDescent="0.2">
      <c r="A692">
        <v>2018</v>
      </c>
      <c r="B692" s="1" t="s">
        <v>97</v>
      </c>
      <c r="C692" s="7">
        <v>5855584</v>
      </c>
      <c r="D692" s="5">
        <v>2.9364899999999999E-3</v>
      </c>
      <c r="E692" s="4"/>
    </row>
    <row r="693" spans="1:5" x14ac:dyDescent="0.2">
      <c r="A693">
        <v>2018</v>
      </c>
      <c r="B693" s="1" t="s">
        <v>98</v>
      </c>
      <c r="C693" s="7">
        <v>150664</v>
      </c>
      <c r="D693" s="5">
        <v>7.5556000000000006E-5</v>
      </c>
      <c r="E693" s="4"/>
    </row>
    <row r="694" spans="1:5" x14ac:dyDescent="0.2">
      <c r="A694">
        <v>2018</v>
      </c>
      <c r="B694" s="1" t="s">
        <v>99</v>
      </c>
      <c r="C694" s="7">
        <v>10372</v>
      </c>
      <c r="D694" s="5">
        <v>5.2009999999999998E-6</v>
      </c>
      <c r="E694" s="4"/>
    </row>
    <row r="695" spans="1:5" x14ac:dyDescent="0.2">
      <c r="A695">
        <v>2018</v>
      </c>
      <c r="B695" s="1" t="s">
        <v>100</v>
      </c>
      <c r="C695" s="7">
        <v>241992</v>
      </c>
      <c r="D695" s="5">
        <v>1.2135500000000001E-4</v>
      </c>
      <c r="E695" s="4"/>
    </row>
    <row r="696" spans="1:5" x14ac:dyDescent="0.2">
      <c r="A696">
        <v>2018</v>
      </c>
      <c r="B696" s="1" t="s">
        <v>211</v>
      </c>
      <c r="C696" s="7">
        <v>360271</v>
      </c>
      <c r="D696" s="5">
        <v>1.8066999999999999E-4</v>
      </c>
      <c r="E696" s="4"/>
    </row>
    <row r="697" spans="1:5" x14ac:dyDescent="0.2">
      <c r="A697">
        <v>2018</v>
      </c>
      <c r="B697" s="1" t="s">
        <v>102</v>
      </c>
      <c r="C697" s="7">
        <v>23293</v>
      </c>
      <c r="D697" s="5">
        <v>1.1681E-5</v>
      </c>
      <c r="E697" s="4"/>
    </row>
    <row r="698" spans="1:5" x14ac:dyDescent="0.2">
      <c r="A698">
        <v>2018</v>
      </c>
      <c r="B698" s="1" t="s">
        <v>103</v>
      </c>
      <c r="C698" s="7">
        <v>4583972</v>
      </c>
      <c r="D698" s="5">
        <v>2.2987950000000002E-3</v>
      </c>
      <c r="E698" s="4"/>
    </row>
    <row r="699" spans="1:5" x14ac:dyDescent="0.2">
      <c r="A699">
        <v>2018</v>
      </c>
      <c r="B699" s="1" t="s">
        <v>104</v>
      </c>
      <c r="C699" s="7">
        <v>52410</v>
      </c>
      <c r="D699" s="5">
        <v>2.6282999999999999E-5</v>
      </c>
      <c r="E699" s="4"/>
    </row>
    <row r="700" spans="1:5" x14ac:dyDescent="0.2">
      <c r="A700">
        <v>2018</v>
      </c>
      <c r="B700" s="1" t="s">
        <v>105</v>
      </c>
      <c r="C700" s="7">
        <v>27042</v>
      </c>
      <c r="D700" s="5">
        <v>1.3560999999999999E-5</v>
      </c>
      <c r="E700" s="4"/>
    </row>
    <row r="701" spans="1:5" x14ac:dyDescent="0.2">
      <c r="A701">
        <v>2018</v>
      </c>
      <c r="B701" s="1" t="s">
        <v>106</v>
      </c>
      <c r="C701" s="7">
        <v>333482</v>
      </c>
      <c r="D701" s="5">
        <v>1.67236E-4</v>
      </c>
      <c r="E701" s="4"/>
    </row>
    <row r="702" spans="1:5" x14ac:dyDescent="0.2">
      <c r="A702">
        <v>2018</v>
      </c>
      <c r="B702" s="1" t="s">
        <v>107</v>
      </c>
      <c r="C702" s="7">
        <v>671610</v>
      </c>
      <c r="D702" s="5">
        <v>3.3680199999999998E-4</v>
      </c>
      <c r="E702" s="4"/>
    </row>
    <row r="703" spans="1:5" x14ac:dyDescent="0.2">
      <c r="A703">
        <v>2018</v>
      </c>
      <c r="B703" s="1" t="s">
        <v>108</v>
      </c>
      <c r="C703" s="7">
        <v>750624</v>
      </c>
      <c r="D703" s="5">
        <v>3.7642699999999998E-4</v>
      </c>
      <c r="E703" s="4"/>
    </row>
    <row r="704" spans="1:5" x14ac:dyDescent="0.2">
      <c r="A704">
        <v>2018</v>
      </c>
      <c r="B704" s="1" t="s">
        <v>109</v>
      </c>
      <c r="C704" s="7">
        <v>336355</v>
      </c>
      <c r="D704" s="5">
        <v>1.68677E-4</v>
      </c>
      <c r="E704" s="4"/>
    </row>
    <row r="705" spans="1:5" x14ac:dyDescent="0.2">
      <c r="A705">
        <v>2018</v>
      </c>
      <c r="B705" s="1" t="s">
        <v>110</v>
      </c>
      <c r="C705" s="7">
        <v>242074</v>
      </c>
      <c r="D705" s="5">
        <v>1.21397E-4</v>
      </c>
      <c r="E705" s="4"/>
    </row>
    <row r="706" spans="1:5" x14ac:dyDescent="0.2">
      <c r="A706">
        <v>2018</v>
      </c>
      <c r="B706" s="1" t="s">
        <v>111</v>
      </c>
      <c r="C706" s="7">
        <v>16993</v>
      </c>
      <c r="D706" s="5">
        <v>8.5220000000000007E-6</v>
      </c>
      <c r="E706" s="4"/>
    </row>
    <row r="707" spans="1:5" x14ac:dyDescent="0.2">
      <c r="A707">
        <v>2018</v>
      </c>
      <c r="B707" s="1" t="s">
        <v>112</v>
      </c>
      <c r="C707" s="7">
        <v>50913</v>
      </c>
      <c r="D707" s="5">
        <v>2.5531999999999999E-5</v>
      </c>
      <c r="E707" s="4"/>
    </row>
    <row r="708" spans="1:5" x14ac:dyDescent="0.2">
      <c r="A708">
        <v>2018</v>
      </c>
      <c r="B708" s="1" t="s">
        <v>113</v>
      </c>
      <c r="C708" s="7">
        <v>269145</v>
      </c>
      <c r="D708" s="5">
        <v>1.3497199999999999E-4</v>
      </c>
      <c r="E708" s="4"/>
    </row>
    <row r="709" spans="1:5" x14ac:dyDescent="0.2">
      <c r="A709">
        <v>2018</v>
      </c>
      <c r="B709" s="1" t="s">
        <v>114</v>
      </c>
      <c r="C709" s="7">
        <v>87252</v>
      </c>
      <c r="D709" s="5">
        <v>4.3755999999999999E-5</v>
      </c>
      <c r="E709" s="4"/>
    </row>
    <row r="710" spans="1:5" x14ac:dyDescent="0.2">
      <c r="A710">
        <v>2018</v>
      </c>
      <c r="B710" s="1" t="s">
        <v>115</v>
      </c>
      <c r="C710" s="7">
        <v>96262</v>
      </c>
      <c r="D710" s="5">
        <v>4.8273999999999999E-5</v>
      </c>
      <c r="E710" s="4"/>
    </row>
    <row r="711" spans="1:5" x14ac:dyDescent="0.2">
      <c r="A711">
        <v>2018</v>
      </c>
      <c r="B711" s="1" t="s">
        <v>116</v>
      </c>
      <c r="C711" s="7">
        <v>299763</v>
      </c>
      <c r="D711" s="5">
        <v>1.5032700000000001E-4</v>
      </c>
      <c r="E711" s="4"/>
    </row>
    <row r="712" spans="1:5" x14ac:dyDescent="0.2">
      <c r="A712">
        <v>2018</v>
      </c>
      <c r="B712" s="1" t="s">
        <v>212</v>
      </c>
      <c r="C712" s="7">
        <v>486721</v>
      </c>
      <c r="D712" s="5">
        <v>2.44083E-4</v>
      </c>
      <c r="E712" s="4"/>
    </row>
    <row r="713" spans="1:5" x14ac:dyDescent="0.2">
      <c r="A713">
        <v>2018</v>
      </c>
      <c r="B713" s="1" t="s">
        <v>213</v>
      </c>
      <c r="C713" s="7">
        <v>48030</v>
      </c>
      <c r="D713" s="5">
        <v>2.4085999999999999E-5</v>
      </c>
      <c r="E713" s="4"/>
    </row>
    <row r="714" spans="1:5" x14ac:dyDescent="0.2">
      <c r="A714">
        <v>2018</v>
      </c>
      <c r="B714" s="1" t="s">
        <v>119</v>
      </c>
      <c r="C714" s="7">
        <v>61177</v>
      </c>
      <c r="D714" s="5">
        <v>3.0679000000000002E-5</v>
      </c>
      <c r="E714" s="4"/>
    </row>
    <row r="715" spans="1:5" x14ac:dyDescent="0.2">
      <c r="A715">
        <v>2018</v>
      </c>
      <c r="B715" s="1" t="s">
        <v>214</v>
      </c>
      <c r="C715" s="7">
        <v>1113557</v>
      </c>
      <c r="D715" s="5">
        <v>5.58433E-4</v>
      </c>
      <c r="E715" s="4"/>
    </row>
    <row r="716" spans="1:5" x14ac:dyDescent="0.2">
      <c r="A716">
        <v>2018</v>
      </c>
      <c r="B716" s="1" t="s">
        <v>121</v>
      </c>
      <c r="C716" s="7">
        <v>1512925</v>
      </c>
      <c r="D716" s="5">
        <v>7.5871000000000001E-4</v>
      </c>
      <c r="E716" s="4"/>
    </row>
    <row r="717" spans="1:5" x14ac:dyDescent="0.2">
      <c r="A717">
        <v>2018</v>
      </c>
      <c r="B717" s="1" t="s">
        <v>122</v>
      </c>
      <c r="C717" s="7">
        <v>650264</v>
      </c>
      <c r="D717" s="5">
        <v>3.2609799999999998E-4</v>
      </c>
      <c r="E717" s="4"/>
    </row>
    <row r="718" spans="1:5" x14ac:dyDescent="0.2">
      <c r="A718">
        <v>2018</v>
      </c>
      <c r="B718" s="1" t="s">
        <v>123</v>
      </c>
      <c r="C718" s="7">
        <v>1444541</v>
      </c>
      <c r="D718" s="5">
        <v>7.2441599999999997E-4</v>
      </c>
      <c r="E718" s="4"/>
    </row>
    <row r="719" spans="1:5" x14ac:dyDescent="0.2">
      <c r="A719">
        <v>2018</v>
      </c>
      <c r="B719" s="1" t="s">
        <v>124</v>
      </c>
      <c r="C719" s="7">
        <v>3754</v>
      </c>
      <c r="D719" s="5">
        <v>1.883E-6</v>
      </c>
      <c r="E719" s="4"/>
    </row>
    <row r="720" spans="1:5" x14ac:dyDescent="0.2">
      <c r="A720">
        <v>2018</v>
      </c>
      <c r="B720" s="1" t="s">
        <v>125</v>
      </c>
      <c r="C720" s="7">
        <v>28921</v>
      </c>
      <c r="D720" s="5">
        <v>1.4504E-5</v>
      </c>
      <c r="E720" s="4"/>
    </row>
    <row r="721" spans="1:5" x14ac:dyDescent="0.2">
      <c r="A721">
        <v>2018</v>
      </c>
      <c r="B721" s="1" t="s">
        <v>126</v>
      </c>
      <c r="C721" s="7">
        <v>130764</v>
      </c>
      <c r="D721" s="5">
        <v>6.5575999999999997E-5</v>
      </c>
      <c r="E721" s="4"/>
    </row>
    <row r="722" spans="1:5" x14ac:dyDescent="0.2">
      <c r="A722">
        <v>2018</v>
      </c>
      <c r="B722" s="1" t="s">
        <v>127</v>
      </c>
      <c r="C722" s="7">
        <v>157926</v>
      </c>
      <c r="D722" s="5">
        <v>7.9196999999999994E-5</v>
      </c>
      <c r="E722" s="4"/>
    </row>
    <row r="723" spans="1:5" x14ac:dyDescent="0.2">
      <c r="A723">
        <v>2018</v>
      </c>
      <c r="B723" s="1" t="s">
        <v>128</v>
      </c>
      <c r="C723" s="7">
        <v>252311</v>
      </c>
      <c r="D723" s="5">
        <v>1.2653E-4</v>
      </c>
      <c r="E723" s="4"/>
    </row>
    <row r="724" spans="1:5" x14ac:dyDescent="0.2">
      <c r="A724">
        <v>2018</v>
      </c>
      <c r="B724" s="1" t="s">
        <v>129</v>
      </c>
      <c r="C724" s="7">
        <v>37230</v>
      </c>
      <c r="D724" s="5">
        <v>1.8669999999999999E-5</v>
      </c>
      <c r="E724" s="4"/>
    </row>
    <row r="725" spans="1:5" x14ac:dyDescent="0.2">
      <c r="A725">
        <v>2018</v>
      </c>
      <c r="B725" s="1" t="s">
        <v>215</v>
      </c>
      <c r="C725" s="7">
        <v>82378</v>
      </c>
      <c r="D725" s="5">
        <v>4.1312E-5</v>
      </c>
      <c r="E725" s="4"/>
    </row>
    <row r="726" spans="1:5" x14ac:dyDescent="0.2">
      <c r="A726">
        <v>2018</v>
      </c>
      <c r="B726" s="1" t="s">
        <v>131</v>
      </c>
      <c r="C726" s="7">
        <v>73122</v>
      </c>
      <c r="D726" s="5">
        <v>3.6668999999999997E-5</v>
      </c>
      <c r="E726" s="4"/>
    </row>
    <row r="727" spans="1:5" x14ac:dyDescent="0.2">
      <c r="A727">
        <v>2018</v>
      </c>
      <c r="B727" s="1" t="s">
        <v>133</v>
      </c>
      <c r="C727" s="7">
        <v>66711</v>
      </c>
      <c r="D727" s="5">
        <v>3.3454999999999997E-5</v>
      </c>
      <c r="E727" s="4"/>
    </row>
    <row r="728" spans="1:5" x14ac:dyDescent="0.2">
      <c r="A728">
        <v>2018</v>
      </c>
      <c r="B728" s="1" t="s">
        <v>134</v>
      </c>
      <c r="C728" s="7">
        <v>116297</v>
      </c>
      <c r="D728" s="5">
        <v>5.8320999999999999E-5</v>
      </c>
      <c r="E728" s="4"/>
    </row>
    <row r="729" spans="1:5" x14ac:dyDescent="0.2">
      <c r="A729">
        <v>2018</v>
      </c>
      <c r="B729" s="1" t="s">
        <v>216</v>
      </c>
      <c r="C729" s="7">
        <v>95740</v>
      </c>
      <c r="D729" s="5">
        <v>4.8012E-5</v>
      </c>
      <c r="E729" s="4"/>
    </row>
    <row r="730" spans="1:5" x14ac:dyDescent="0.2">
      <c r="A730">
        <v>2018</v>
      </c>
      <c r="B730" s="1" t="s">
        <v>135</v>
      </c>
      <c r="C730" s="7">
        <v>18974</v>
      </c>
      <c r="D730" s="5">
        <v>9.5149999999999995E-6</v>
      </c>
      <c r="E730" s="4"/>
    </row>
    <row r="731" spans="1:5" x14ac:dyDescent="0.2">
      <c r="A731">
        <v>2018</v>
      </c>
      <c r="B731" s="1" t="s">
        <v>136</v>
      </c>
      <c r="C731" s="7">
        <v>347705</v>
      </c>
      <c r="D731" s="5">
        <v>1.7436900000000001E-4</v>
      </c>
      <c r="E731" s="4"/>
    </row>
    <row r="732" spans="1:5" x14ac:dyDescent="0.2">
      <c r="A732">
        <v>2018</v>
      </c>
      <c r="B732" s="1" t="s">
        <v>137</v>
      </c>
      <c r="C732" s="7">
        <v>13629583</v>
      </c>
      <c r="D732" s="5">
        <v>6.8350370000000004E-3</v>
      </c>
      <c r="E732" s="4"/>
    </row>
    <row r="733" spans="1:5" x14ac:dyDescent="0.2">
      <c r="A733">
        <v>2018</v>
      </c>
      <c r="B733" s="1" t="s">
        <v>138</v>
      </c>
      <c r="C733" s="7">
        <v>241870</v>
      </c>
      <c r="D733" s="5">
        <v>1.2129399999999999E-4</v>
      </c>
      <c r="E733" s="4"/>
    </row>
    <row r="734" spans="1:5" x14ac:dyDescent="0.2">
      <c r="A734">
        <v>2018</v>
      </c>
      <c r="B734" s="1" t="s">
        <v>139</v>
      </c>
      <c r="C734" s="7">
        <v>17344515</v>
      </c>
      <c r="D734" s="5">
        <v>8.6980210000000002E-3</v>
      </c>
      <c r="E734" s="4"/>
    </row>
    <row r="735" spans="1:5" x14ac:dyDescent="0.2">
      <c r="A735">
        <v>2018</v>
      </c>
      <c r="B735" s="1" t="s">
        <v>140</v>
      </c>
      <c r="C735" s="7">
        <v>23337</v>
      </c>
      <c r="D735" s="5">
        <v>1.1703E-5</v>
      </c>
      <c r="E735" s="4"/>
    </row>
    <row r="736" spans="1:5" x14ac:dyDescent="0.2">
      <c r="A736">
        <v>2018</v>
      </c>
      <c r="B736" s="1" t="s">
        <v>141</v>
      </c>
      <c r="C736" s="7">
        <v>46533</v>
      </c>
      <c r="D736" s="5">
        <v>2.3336000000000002E-5</v>
      </c>
      <c r="E736" s="4"/>
    </row>
    <row r="737" spans="1:5" x14ac:dyDescent="0.2">
      <c r="A737">
        <v>2018</v>
      </c>
      <c r="B737" s="1" t="s">
        <v>142</v>
      </c>
      <c r="C737" s="7">
        <v>74153</v>
      </c>
      <c r="D737" s="5">
        <v>3.7185999999999999E-5</v>
      </c>
      <c r="E737" s="4"/>
    </row>
    <row r="738" spans="1:5" x14ac:dyDescent="0.2">
      <c r="A738">
        <v>2018</v>
      </c>
      <c r="B738" s="1" t="s">
        <v>143</v>
      </c>
      <c r="C738" s="7">
        <v>32764</v>
      </c>
      <c r="D738" s="5">
        <v>1.643E-5</v>
      </c>
      <c r="E738" s="4"/>
    </row>
    <row r="739" spans="1:5" x14ac:dyDescent="0.2">
      <c r="A739">
        <v>2018</v>
      </c>
      <c r="B739" s="1" t="s">
        <v>144</v>
      </c>
      <c r="C739" s="7">
        <v>126459</v>
      </c>
      <c r="D739" s="5">
        <v>6.3417000000000006E-5</v>
      </c>
      <c r="E739" s="4"/>
    </row>
    <row r="740" spans="1:5" x14ac:dyDescent="0.2">
      <c r="A740">
        <v>2018</v>
      </c>
      <c r="B740" s="1" t="s">
        <v>145</v>
      </c>
      <c r="C740" s="7">
        <v>1950935</v>
      </c>
      <c r="D740" s="5">
        <v>9.7836499999999992E-4</v>
      </c>
      <c r="E740" s="4"/>
    </row>
    <row r="741" spans="1:5" x14ac:dyDescent="0.2">
      <c r="A741">
        <v>2018</v>
      </c>
      <c r="B741" s="1" t="s">
        <v>146</v>
      </c>
      <c r="C741" s="7">
        <v>459900</v>
      </c>
      <c r="D741" s="5">
        <v>2.30633E-4</v>
      </c>
      <c r="E741" s="4"/>
    </row>
    <row r="742" spans="1:5" x14ac:dyDescent="0.2">
      <c r="A742">
        <v>2018</v>
      </c>
      <c r="B742" s="1" t="s">
        <v>147</v>
      </c>
      <c r="C742" s="7">
        <v>30150</v>
      </c>
      <c r="D742" s="5">
        <v>1.5119999999999999E-5</v>
      </c>
      <c r="E742" s="4"/>
    </row>
    <row r="743" spans="1:5" x14ac:dyDescent="0.2">
      <c r="A743">
        <v>2018</v>
      </c>
      <c r="B743" s="1" t="s">
        <v>148</v>
      </c>
      <c r="C743" s="7">
        <v>778614</v>
      </c>
      <c r="D743" s="5">
        <v>3.9046300000000002E-4</v>
      </c>
      <c r="E743" s="4"/>
    </row>
    <row r="744" spans="1:5" x14ac:dyDescent="0.2">
      <c r="A744">
        <v>2018</v>
      </c>
      <c r="B744" s="1" t="s">
        <v>149</v>
      </c>
      <c r="C744" s="7">
        <v>13644</v>
      </c>
      <c r="D744" s="5">
        <v>6.8419999999999999E-6</v>
      </c>
      <c r="E744" s="4"/>
    </row>
    <row r="745" spans="1:5" x14ac:dyDescent="0.2">
      <c r="A745">
        <v>2018</v>
      </c>
      <c r="B745" s="1" t="s">
        <v>150</v>
      </c>
      <c r="C745" s="7">
        <v>30907</v>
      </c>
      <c r="D745" s="5">
        <v>1.5500000000000001E-5</v>
      </c>
      <c r="E745" s="4"/>
    </row>
    <row r="746" spans="1:5" x14ac:dyDescent="0.2">
      <c r="A746">
        <v>2018</v>
      </c>
      <c r="B746" s="1" t="s">
        <v>151</v>
      </c>
      <c r="C746" s="7">
        <v>41351</v>
      </c>
      <c r="D746" s="5">
        <v>2.0737000000000002E-5</v>
      </c>
      <c r="E746" s="4"/>
    </row>
    <row r="747" spans="1:5" x14ac:dyDescent="0.2">
      <c r="A747">
        <v>2018</v>
      </c>
      <c r="B747" s="1" t="s">
        <v>152</v>
      </c>
      <c r="C747" s="7">
        <v>871477</v>
      </c>
      <c r="D747" s="5">
        <v>4.3703299999999997E-4</v>
      </c>
      <c r="E747" s="4"/>
    </row>
    <row r="748" spans="1:5" x14ac:dyDescent="0.2">
      <c r="A748">
        <v>2018</v>
      </c>
      <c r="B748" s="1" t="s">
        <v>217</v>
      </c>
      <c r="C748" s="7">
        <v>2316726</v>
      </c>
      <c r="D748" s="5">
        <v>1.161804E-3</v>
      </c>
      <c r="E748" s="4"/>
    </row>
    <row r="749" spans="1:5" x14ac:dyDescent="0.2">
      <c r="A749">
        <v>2018</v>
      </c>
      <c r="B749" s="1" t="s">
        <v>154</v>
      </c>
      <c r="C749" s="7">
        <v>577478</v>
      </c>
      <c r="D749" s="5">
        <v>2.89597E-4</v>
      </c>
      <c r="E749" s="4"/>
    </row>
    <row r="750" spans="1:5" x14ac:dyDescent="0.2">
      <c r="A750">
        <v>2018</v>
      </c>
      <c r="B750" s="1" t="s">
        <v>155</v>
      </c>
      <c r="C750" s="7">
        <v>113035</v>
      </c>
      <c r="D750" s="5">
        <v>5.6684999999999997E-5</v>
      </c>
      <c r="E750" s="4"/>
    </row>
    <row r="751" spans="1:5" x14ac:dyDescent="0.2">
      <c r="A751">
        <v>2018</v>
      </c>
      <c r="B751" s="1" t="s">
        <v>156</v>
      </c>
      <c r="C751" s="7">
        <v>692380</v>
      </c>
      <c r="D751" s="5">
        <v>3.4721799999999999E-4</v>
      </c>
      <c r="E751" s="4"/>
    </row>
    <row r="752" spans="1:5" x14ac:dyDescent="0.2">
      <c r="A752">
        <v>2018</v>
      </c>
      <c r="B752" s="1" t="s">
        <v>157</v>
      </c>
      <c r="C752" s="7">
        <v>9752</v>
      </c>
      <c r="D752" s="5">
        <v>4.8899999999999998E-6</v>
      </c>
      <c r="E752" s="4"/>
    </row>
    <row r="753" spans="1:5" x14ac:dyDescent="0.2">
      <c r="A753">
        <v>2018</v>
      </c>
      <c r="B753" s="1" t="s">
        <v>158</v>
      </c>
      <c r="C753" s="7">
        <v>203500</v>
      </c>
      <c r="D753" s="5">
        <v>1.02052E-4</v>
      </c>
      <c r="E753" s="4"/>
    </row>
    <row r="754" spans="1:5" x14ac:dyDescent="0.2">
      <c r="A754">
        <v>2018</v>
      </c>
      <c r="B754" s="1" t="s">
        <v>159</v>
      </c>
      <c r="C754" s="7">
        <v>70221</v>
      </c>
      <c r="D754" s="5">
        <v>3.5215000000000001E-5</v>
      </c>
      <c r="E754" s="4"/>
    </row>
    <row r="755" spans="1:5" x14ac:dyDescent="0.2">
      <c r="A755">
        <v>2018</v>
      </c>
      <c r="B755" s="1" t="s">
        <v>218</v>
      </c>
      <c r="C755" s="7">
        <v>247223</v>
      </c>
      <c r="D755" s="5">
        <v>1.23979E-4</v>
      </c>
      <c r="E755" s="4"/>
    </row>
    <row r="756" spans="1:5" x14ac:dyDescent="0.2">
      <c r="A756">
        <v>2018</v>
      </c>
      <c r="B756" s="1" t="s">
        <v>219</v>
      </c>
      <c r="C756" s="7">
        <v>430870</v>
      </c>
      <c r="D756" s="5">
        <v>2.1607500000000001E-4</v>
      </c>
      <c r="E756" s="4"/>
    </row>
    <row r="757" spans="1:5" x14ac:dyDescent="0.2">
      <c r="A757">
        <v>2018</v>
      </c>
      <c r="B757" s="1" t="s">
        <v>220</v>
      </c>
      <c r="C757" s="7">
        <v>1227914</v>
      </c>
      <c r="D757" s="5">
        <v>6.1578100000000003E-4</v>
      </c>
      <c r="E757" s="4"/>
    </row>
    <row r="758" spans="1:5" x14ac:dyDescent="0.2">
      <c r="A758">
        <v>2018</v>
      </c>
      <c r="B758" s="1" t="s">
        <v>221</v>
      </c>
      <c r="C758" s="7">
        <v>2050820</v>
      </c>
      <c r="D758" s="5">
        <v>1.0284560000000001E-3</v>
      </c>
      <c r="E758" s="4"/>
    </row>
    <row r="759" spans="1:5" x14ac:dyDescent="0.2">
      <c r="A759">
        <v>2018</v>
      </c>
      <c r="B759" s="1" t="s">
        <v>222</v>
      </c>
      <c r="C759" s="7">
        <v>23608</v>
      </c>
      <c r="D759" s="5">
        <v>1.1839E-5</v>
      </c>
      <c r="E759" s="4"/>
    </row>
    <row r="760" spans="1:5" x14ac:dyDescent="0.2">
      <c r="A760">
        <v>2018</v>
      </c>
      <c r="B760" s="1" t="s">
        <v>223</v>
      </c>
      <c r="C760" s="7">
        <v>45940</v>
      </c>
      <c r="D760" s="5">
        <v>2.3037999999999999E-5</v>
      </c>
      <c r="E760" s="4"/>
    </row>
    <row r="761" spans="1:5" x14ac:dyDescent="0.2">
      <c r="A761">
        <v>2018</v>
      </c>
      <c r="B761" s="1" t="s">
        <v>224</v>
      </c>
      <c r="C761" s="7">
        <v>114416</v>
      </c>
      <c r="D761" s="5">
        <v>5.7377999999999999E-5</v>
      </c>
      <c r="E761" s="4"/>
    </row>
    <row r="762" spans="1:5" x14ac:dyDescent="0.2">
      <c r="A762">
        <v>2018</v>
      </c>
      <c r="B762" s="1" t="s">
        <v>225</v>
      </c>
      <c r="C762" s="7">
        <v>81595</v>
      </c>
      <c r="D762" s="5">
        <v>4.0918999999999999E-5</v>
      </c>
      <c r="E762" s="4"/>
    </row>
    <row r="763" spans="1:5" x14ac:dyDescent="0.2">
      <c r="A763">
        <v>2018</v>
      </c>
      <c r="B763" s="1" t="s">
        <v>168</v>
      </c>
      <c r="C763" s="7">
        <v>42980</v>
      </c>
      <c r="D763" s="5">
        <v>2.1554000000000001E-5</v>
      </c>
      <c r="E763" s="4"/>
    </row>
    <row r="764" spans="1:5" x14ac:dyDescent="0.2">
      <c r="A764">
        <v>2018</v>
      </c>
      <c r="B764" s="1" t="s">
        <v>169</v>
      </c>
      <c r="C764" s="7">
        <v>605034</v>
      </c>
      <c r="D764" s="5">
        <v>3.0341599999999998E-4</v>
      </c>
      <c r="E764" s="4"/>
    </row>
    <row r="765" spans="1:5" x14ac:dyDescent="0.2">
      <c r="A765">
        <v>2018</v>
      </c>
      <c r="B765" s="1" t="s">
        <v>170</v>
      </c>
      <c r="C765" s="7">
        <v>1084960</v>
      </c>
      <c r="D765" s="5">
        <v>5.4409200000000003E-4</v>
      </c>
      <c r="E765" s="4"/>
    </row>
    <row r="766" spans="1:5" x14ac:dyDescent="0.2">
      <c r="A766">
        <v>2018</v>
      </c>
      <c r="B766" s="1" t="s">
        <v>171</v>
      </c>
      <c r="C766" s="7">
        <v>20985</v>
      </c>
      <c r="D766" s="5">
        <v>1.0524E-5</v>
      </c>
      <c r="E766" s="4"/>
    </row>
    <row r="767" spans="1:5" x14ac:dyDescent="0.2">
      <c r="A767">
        <v>2018</v>
      </c>
      <c r="B767" s="1" t="s">
        <v>172</v>
      </c>
      <c r="C767" s="7">
        <v>396514</v>
      </c>
      <c r="D767" s="5">
        <v>1.98846E-4</v>
      </c>
      <c r="E767" s="4"/>
    </row>
    <row r="768" spans="1:5" x14ac:dyDescent="0.2">
      <c r="A768">
        <v>2018</v>
      </c>
      <c r="B768" s="1" t="s">
        <v>173</v>
      </c>
      <c r="C768" s="7">
        <v>69008</v>
      </c>
      <c r="D768" s="5">
        <v>3.4607000000000003E-5</v>
      </c>
      <c r="E768" s="4"/>
    </row>
    <row r="769" spans="1:5" x14ac:dyDescent="0.2">
      <c r="A769">
        <v>2018</v>
      </c>
      <c r="B769" s="1" t="s">
        <v>174</v>
      </c>
      <c r="C769" s="7">
        <v>169921</v>
      </c>
      <c r="D769" s="5">
        <v>8.5212999999999999E-5</v>
      </c>
      <c r="E769" s="4"/>
    </row>
    <row r="770" spans="1:5" x14ac:dyDescent="0.2">
      <c r="A770">
        <v>2018</v>
      </c>
      <c r="B770" s="1" t="s">
        <v>175</v>
      </c>
      <c r="C770" s="7">
        <v>400502</v>
      </c>
      <c r="D770" s="5">
        <v>2.0084599999999999E-4</v>
      </c>
      <c r="E770" s="4"/>
    </row>
    <row r="771" spans="1:5" x14ac:dyDescent="0.2">
      <c r="A771">
        <v>2018</v>
      </c>
      <c r="B771" s="1" t="s">
        <v>176</v>
      </c>
      <c r="C771" s="7">
        <v>305745</v>
      </c>
      <c r="D771" s="5">
        <v>1.53327E-4</v>
      </c>
      <c r="E771" s="4"/>
    </row>
    <row r="772" spans="1:5" x14ac:dyDescent="0.2">
      <c r="A772">
        <v>2018</v>
      </c>
      <c r="B772" s="1" t="s">
        <v>177</v>
      </c>
      <c r="C772" s="7">
        <v>27306</v>
      </c>
      <c r="D772" s="5">
        <v>1.3694E-5</v>
      </c>
      <c r="E772" s="4"/>
    </row>
    <row r="773" spans="1:5" x14ac:dyDescent="0.2">
      <c r="A773">
        <v>2018</v>
      </c>
      <c r="B773" s="1" t="s">
        <v>178</v>
      </c>
      <c r="C773" s="7">
        <v>1502</v>
      </c>
      <c r="D773" s="5">
        <v>7.5300000000000003E-7</v>
      </c>
      <c r="E773" s="4"/>
    </row>
    <row r="774" spans="1:5" x14ac:dyDescent="0.2">
      <c r="A774">
        <v>2018</v>
      </c>
      <c r="B774" s="1" t="s">
        <v>179</v>
      </c>
      <c r="C774" s="7">
        <v>532497</v>
      </c>
      <c r="D774" s="5">
        <v>2.67039E-4</v>
      </c>
      <c r="E774" s="4"/>
    </row>
    <row r="775" spans="1:5" x14ac:dyDescent="0.2">
      <c r="A775">
        <v>2018</v>
      </c>
      <c r="B775" s="1" t="s">
        <v>180</v>
      </c>
      <c r="C775" s="7">
        <v>110916</v>
      </c>
      <c r="D775" s="5">
        <v>5.5622999999999999E-5</v>
      </c>
      <c r="E775" s="4"/>
    </row>
    <row r="776" spans="1:5" x14ac:dyDescent="0.2">
      <c r="A776">
        <v>2018</v>
      </c>
      <c r="B776" s="1" t="s">
        <v>181</v>
      </c>
      <c r="C776" s="7">
        <v>32659</v>
      </c>
      <c r="D776" s="5">
        <v>1.6378000000000001E-5</v>
      </c>
      <c r="E776" s="4"/>
    </row>
    <row r="777" spans="1:5" x14ac:dyDescent="0.2">
      <c r="A777">
        <v>2018</v>
      </c>
      <c r="B777" s="1" t="s">
        <v>182</v>
      </c>
      <c r="C777" s="7">
        <v>67011</v>
      </c>
      <c r="D777" s="5">
        <v>3.3605000000000001E-5</v>
      </c>
      <c r="E777" s="4"/>
    </row>
    <row r="778" spans="1:5" x14ac:dyDescent="0.2">
      <c r="A778">
        <v>2018</v>
      </c>
      <c r="B778" s="1" t="s">
        <v>183</v>
      </c>
      <c r="C778" s="7">
        <v>1745013</v>
      </c>
      <c r="D778" s="5">
        <v>8.7509899999999995E-4</v>
      </c>
      <c r="E778" s="4"/>
    </row>
    <row r="779" spans="1:5" x14ac:dyDescent="0.2">
      <c r="A779">
        <v>2018</v>
      </c>
      <c r="B779" s="1" t="s">
        <v>184</v>
      </c>
      <c r="C779" s="7">
        <v>85118</v>
      </c>
      <c r="D779" s="5">
        <v>4.2685000000000002E-5</v>
      </c>
      <c r="E779" s="4"/>
    </row>
    <row r="780" spans="1:5" x14ac:dyDescent="0.2">
      <c r="A780">
        <v>2018</v>
      </c>
      <c r="B780" s="1" t="s">
        <v>185</v>
      </c>
      <c r="C780" s="7">
        <v>9970</v>
      </c>
      <c r="D780" s="5">
        <v>5.0000000000000004E-6</v>
      </c>
      <c r="E780" s="4"/>
    </row>
    <row r="781" spans="1:5" x14ac:dyDescent="0.2">
      <c r="A781">
        <v>2018</v>
      </c>
      <c r="B781" s="1" t="s">
        <v>186</v>
      </c>
      <c r="C781" s="7">
        <v>516</v>
      </c>
      <c r="D781" s="5">
        <v>2.5899999999999998E-7</v>
      </c>
    </row>
    <row r="782" spans="1:5" x14ac:dyDescent="0.2">
      <c r="A782">
        <v>2018</v>
      </c>
      <c r="B782" s="1" t="s">
        <v>187</v>
      </c>
      <c r="C782" s="7">
        <v>68685</v>
      </c>
      <c r="D782" s="5">
        <v>3.4445E-5</v>
      </c>
      <c r="E782" s="4"/>
    </row>
    <row r="783" spans="1:5" x14ac:dyDescent="0.2">
      <c r="A783">
        <v>2018</v>
      </c>
      <c r="B783" s="1" t="s">
        <v>188</v>
      </c>
      <c r="C783" s="7">
        <v>20731</v>
      </c>
      <c r="D783" s="5">
        <v>1.0396E-5</v>
      </c>
      <c r="E783" s="4"/>
    </row>
    <row r="784" spans="1:5" x14ac:dyDescent="0.2">
      <c r="A784">
        <v>2018</v>
      </c>
      <c r="B784" s="1" t="s">
        <v>189</v>
      </c>
      <c r="C784" s="7">
        <v>10857</v>
      </c>
      <c r="D784" s="5">
        <v>5.4450000000000004E-6</v>
      </c>
      <c r="E784" s="4"/>
    </row>
    <row r="785" spans="1:5" x14ac:dyDescent="0.2">
      <c r="A785">
        <v>2018</v>
      </c>
      <c r="B785" s="1" t="s">
        <v>226</v>
      </c>
      <c r="C785" s="7">
        <v>7796</v>
      </c>
      <c r="D785" s="5">
        <v>3.9090000000000002E-6</v>
      </c>
      <c r="E785" s="4"/>
    </row>
    <row r="786" spans="1:5" x14ac:dyDescent="0.2">
      <c r="A786">
        <v>2018</v>
      </c>
      <c r="B786" s="1" t="s">
        <v>191</v>
      </c>
      <c r="C786" s="7">
        <v>431864</v>
      </c>
      <c r="D786" s="5">
        <v>2.1657299999999999E-4</v>
      </c>
      <c r="E786" s="4"/>
    </row>
    <row r="787" spans="1:5" x14ac:dyDescent="0.2">
      <c r="A787">
        <v>2018</v>
      </c>
      <c r="B787" s="1" t="s">
        <v>192</v>
      </c>
      <c r="C787" s="7">
        <v>636487</v>
      </c>
      <c r="D787" s="5">
        <v>3.19189E-4</v>
      </c>
      <c r="E787" s="4"/>
    </row>
    <row r="788" spans="1:5" x14ac:dyDescent="0.2">
      <c r="A788">
        <v>2018</v>
      </c>
      <c r="B788" s="1" t="s">
        <v>227</v>
      </c>
      <c r="C788" s="7">
        <v>53179</v>
      </c>
      <c r="D788" s="5">
        <v>2.6667999999999999E-5</v>
      </c>
      <c r="E788" s="4"/>
    </row>
    <row r="789" spans="1:5" x14ac:dyDescent="0.2">
      <c r="A789">
        <v>2018</v>
      </c>
      <c r="B789" s="1" t="s">
        <v>194</v>
      </c>
      <c r="C789" s="7">
        <v>4612</v>
      </c>
      <c r="D789" s="5">
        <v>2.3130000000000001E-6</v>
      </c>
      <c r="E789" s="4"/>
    </row>
    <row r="790" spans="1:5" x14ac:dyDescent="0.2">
      <c r="A790">
        <v>2018</v>
      </c>
      <c r="B790" s="1" t="s">
        <v>195</v>
      </c>
      <c r="C790" s="7">
        <v>867180</v>
      </c>
      <c r="D790" s="5">
        <v>4.3487799999999998E-4</v>
      </c>
      <c r="E790" s="4"/>
    </row>
    <row r="791" spans="1:5" x14ac:dyDescent="0.2">
      <c r="A791">
        <v>2018</v>
      </c>
      <c r="B791" s="1" t="s">
        <v>196</v>
      </c>
      <c r="C791" s="7">
        <v>482365</v>
      </c>
      <c r="D791" s="5">
        <v>2.4189900000000001E-4</v>
      </c>
      <c r="E791" s="4"/>
    </row>
    <row r="792" spans="1:5" x14ac:dyDescent="0.2">
      <c r="A792">
        <v>2018</v>
      </c>
      <c r="B792" s="1" t="s">
        <v>197</v>
      </c>
      <c r="C792" s="7">
        <v>501423</v>
      </c>
      <c r="D792" s="5">
        <v>2.51456E-4</v>
      </c>
      <c r="E792" s="4"/>
    </row>
    <row r="793" spans="1:5" x14ac:dyDescent="0.2">
      <c r="A793">
        <v>2018</v>
      </c>
      <c r="B793" s="1" t="s">
        <v>198</v>
      </c>
      <c r="C793" s="7">
        <v>2784</v>
      </c>
      <c r="D793" s="5">
        <v>1.3960000000000001E-6</v>
      </c>
      <c r="E793" s="4"/>
    </row>
    <row r="794" spans="1:5" x14ac:dyDescent="0.2">
      <c r="A794">
        <v>2018</v>
      </c>
      <c r="B794" s="1" t="s">
        <v>199</v>
      </c>
      <c r="C794" s="7">
        <v>1320592</v>
      </c>
      <c r="D794" s="5">
        <v>6.6225699999999997E-4</v>
      </c>
      <c r="E794" s="4"/>
    </row>
    <row r="795" spans="1:5" x14ac:dyDescent="0.2">
      <c r="A795">
        <v>2018</v>
      </c>
      <c r="B795" s="1" t="s">
        <v>200</v>
      </c>
      <c r="C795" s="7">
        <v>42665</v>
      </c>
      <c r="D795" s="5">
        <v>2.1396E-5</v>
      </c>
      <c r="E795" s="4"/>
    </row>
    <row r="796" spans="1:5" x14ac:dyDescent="0.2">
      <c r="A796">
        <v>2018</v>
      </c>
      <c r="B796" s="1" t="s">
        <v>201</v>
      </c>
      <c r="C796" s="7">
        <v>27645</v>
      </c>
      <c r="D796" s="5">
        <v>1.3864E-5</v>
      </c>
      <c r="E796" s="4"/>
    </row>
    <row r="797" spans="1:5" x14ac:dyDescent="0.2">
      <c r="A797">
        <v>2018</v>
      </c>
      <c r="B797" s="1" t="s">
        <v>202</v>
      </c>
      <c r="C797" s="7">
        <v>82879</v>
      </c>
      <c r="D797" s="5">
        <v>4.1563000000000002E-5</v>
      </c>
      <c r="E797" s="4"/>
    </row>
    <row r="798" spans="1:5" x14ac:dyDescent="0.2">
      <c r="A798">
        <v>2019</v>
      </c>
      <c r="B798" s="1" t="s">
        <v>228</v>
      </c>
      <c r="C798" s="7">
        <v>1920051952</v>
      </c>
      <c r="D798" s="5">
        <v>0.93501479799999998</v>
      </c>
    </row>
    <row r="799" spans="1:5" x14ac:dyDescent="0.2">
      <c r="A799">
        <v>2019</v>
      </c>
      <c r="B799" s="1" t="s">
        <v>5</v>
      </c>
      <c r="C799" s="7">
        <v>29314</v>
      </c>
      <c r="D799" s="5">
        <v>1.4275E-5</v>
      </c>
    </row>
    <row r="800" spans="1:5" x14ac:dyDescent="0.2">
      <c r="A800">
        <v>2019</v>
      </c>
      <c r="B800" s="1" t="s">
        <v>7</v>
      </c>
      <c r="C800" s="7">
        <v>74423</v>
      </c>
      <c r="D800" s="5">
        <v>3.6242000000000003E-5</v>
      </c>
    </row>
    <row r="801" spans="1:4" x14ac:dyDescent="0.2">
      <c r="A801">
        <v>2019</v>
      </c>
      <c r="B801" s="1" t="s">
        <v>8</v>
      </c>
      <c r="C801" s="7">
        <v>1335768</v>
      </c>
      <c r="D801" s="5">
        <v>6.50484E-4</v>
      </c>
    </row>
    <row r="802" spans="1:4" x14ac:dyDescent="0.2">
      <c r="A802">
        <v>2019</v>
      </c>
      <c r="B802" s="1" t="s">
        <v>203</v>
      </c>
      <c r="C802" s="7">
        <v>330533</v>
      </c>
      <c r="D802" s="5">
        <v>1.6096099999999999E-4</v>
      </c>
    </row>
    <row r="803" spans="1:4" x14ac:dyDescent="0.2">
      <c r="A803">
        <v>2019</v>
      </c>
      <c r="B803" s="1" t="s">
        <v>9</v>
      </c>
      <c r="C803" s="7">
        <v>6822</v>
      </c>
      <c r="D803" s="5">
        <v>3.3220000000000001E-6</v>
      </c>
    </row>
    <row r="804" spans="1:4" x14ac:dyDescent="0.2">
      <c r="A804">
        <v>2019</v>
      </c>
      <c r="B804" s="1" t="s">
        <v>10</v>
      </c>
      <c r="C804" s="7">
        <v>29099</v>
      </c>
      <c r="D804" s="5">
        <v>1.417E-5</v>
      </c>
    </row>
    <row r="805" spans="1:4" x14ac:dyDescent="0.2">
      <c r="A805">
        <v>2019</v>
      </c>
      <c r="B805" s="1" t="s">
        <v>11</v>
      </c>
      <c r="C805" s="7">
        <v>570493</v>
      </c>
      <c r="D805" s="5">
        <v>2.77815E-4</v>
      </c>
    </row>
    <row r="806" spans="1:4" x14ac:dyDescent="0.2">
      <c r="A806">
        <v>2019</v>
      </c>
      <c r="B806" s="1" t="s">
        <v>12</v>
      </c>
      <c r="C806" s="7">
        <v>45620</v>
      </c>
      <c r="D806" s="5">
        <v>2.2215999999999999E-5</v>
      </c>
    </row>
    <row r="807" spans="1:4" x14ac:dyDescent="0.2">
      <c r="A807">
        <v>2019</v>
      </c>
      <c r="B807" s="1" t="s">
        <v>13</v>
      </c>
      <c r="C807" s="7">
        <v>11399</v>
      </c>
      <c r="D807" s="5">
        <v>5.5509999999999999E-6</v>
      </c>
    </row>
    <row r="808" spans="1:4" x14ac:dyDescent="0.2">
      <c r="A808">
        <v>2019</v>
      </c>
      <c r="B808" s="1" t="s">
        <v>14</v>
      </c>
      <c r="C808" s="7">
        <v>33310</v>
      </c>
      <c r="D808" s="5">
        <v>1.6220999999999999E-5</v>
      </c>
    </row>
    <row r="809" spans="1:4" x14ac:dyDescent="0.2">
      <c r="A809">
        <v>2019</v>
      </c>
      <c r="B809" s="1" t="s">
        <v>15</v>
      </c>
      <c r="C809" s="7">
        <v>1557162</v>
      </c>
      <c r="D809" s="5">
        <v>7.5829700000000001E-4</v>
      </c>
    </row>
    <row r="810" spans="1:4" x14ac:dyDescent="0.2">
      <c r="A810">
        <v>2019</v>
      </c>
      <c r="B810" s="1" t="s">
        <v>16</v>
      </c>
      <c r="C810" s="7">
        <v>315548</v>
      </c>
      <c r="D810" s="5">
        <v>1.53664E-4</v>
      </c>
    </row>
    <row r="811" spans="1:4" x14ac:dyDescent="0.2">
      <c r="A811">
        <v>2019</v>
      </c>
      <c r="B811" s="1" t="s">
        <v>17</v>
      </c>
      <c r="C811" s="7">
        <v>44194</v>
      </c>
      <c r="D811" s="5">
        <v>2.1520999999999999E-5</v>
      </c>
    </row>
    <row r="812" spans="1:4" x14ac:dyDescent="0.2">
      <c r="A812">
        <v>2019</v>
      </c>
      <c r="B812" s="1" t="s">
        <v>18</v>
      </c>
      <c r="C812" s="7">
        <v>2254020</v>
      </c>
      <c r="D812" s="5">
        <v>1.0976479999999999E-3</v>
      </c>
    </row>
    <row r="813" spans="1:4" x14ac:dyDescent="0.2">
      <c r="A813">
        <v>2019</v>
      </c>
      <c r="B813" s="1" t="s">
        <v>19</v>
      </c>
      <c r="C813" s="7">
        <v>68275</v>
      </c>
      <c r="D813" s="5">
        <v>3.3247999999999997E-5</v>
      </c>
    </row>
    <row r="814" spans="1:4" x14ac:dyDescent="0.2">
      <c r="A814">
        <v>2019</v>
      </c>
      <c r="B814" s="1" t="s">
        <v>20</v>
      </c>
      <c r="C814" s="7">
        <v>24711</v>
      </c>
      <c r="D814" s="5">
        <v>1.2034E-5</v>
      </c>
    </row>
    <row r="815" spans="1:4" x14ac:dyDescent="0.2">
      <c r="A815">
        <v>2019</v>
      </c>
      <c r="B815" s="1" t="s">
        <v>21</v>
      </c>
      <c r="C815" s="7">
        <v>6396136</v>
      </c>
      <c r="D815" s="5">
        <v>3.1147499999999999E-3</v>
      </c>
    </row>
    <row r="816" spans="1:4" x14ac:dyDescent="0.2">
      <c r="A816">
        <v>2019</v>
      </c>
      <c r="B816" s="1" t="s">
        <v>205</v>
      </c>
      <c r="C816" s="7">
        <v>690900</v>
      </c>
      <c r="D816" s="5">
        <v>3.3645000000000002E-4</v>
      </c>
    </row>
    <row r="817" spans="1:4" x14ac:dyDescent="0.2">
      <c r="A817">
        <v>2019</v>
      </c>
      <c r="B817" s="1" t="s">
        <v>206</v>
      </c>
      <c r="C817" s="7">
        <v>2591780</v>
      </c>
      <c r="D817" s="5">
        <v>1.2621290000000001E-3</v>
      </c>
    </row>
    <row r="818" spans="1:4" x14ac:dyDescent="0.2">
      <c r="A818">
        <v>2019</v>
      </c>
      <c r="B818" s="1" t="s">
        <v>25</v>
      </c>
      <c r="C818" s="7">
        <v>63208</v>
      </c>
      <c r="D818" s="5">
        <v>3.0781000000000002E-5</v>
      </c>
    </row>
    <row r="819" spans="1:4" x14ac:dyDescent="0.2">
      <c r="A819">
        <v>2019</v>
      </c>
      <c r="B819" s="1" t="s">
        <v>26</v>
      </c>
      <c r="C819" s="7">
        <v>55039</v>
      </c>
      <c r="D819" s="5">
        <v>2.6803000000000001E-5</v>
      </c>
    </row>
    <row r="820" spans="1:4" x14ac:dyDescent="0.2">
      <c r="A820">
        <v>2019</v>
      </c>
      <c r="B820" s="1" t="s">
        <v>27</v>
      </c>
      <c r="C820" s="7">
        <v>20030</v>
      </c>
      <c r="D820" s="5">
        <v>9.7540000000000001E-6</v>
      </c>
    </row>
    <row r="821" spans="1:4" x14ac:dyDescent="0.2">
      <c r="A821">
        <v>2019</v>
      </c>
      <c r="B821" s="1" t="s">
        <v>28</v>
      </c>
      <c r="C821" s="7">
        <v>339058</v>
      </c>
      <c r="D821" s="5">
        <v>1.65112E-4</v>
      </c>
    </row>
    <row r="822" spans="1:4" x14ac:dyDescent="0.2">
      <c r="A822">
        <v>2019</v>
      </c>
      <c r="B822" s="1" t="s">
        <v>29</v>
      </c>
      <c r="C822" s="7">
        <v>103740</v>
      </c>
      <c r="D822" s="5">
        <v>5.0519000000000002E-5</v>
      </c>
    </row>
    <row r="823" spans="1:4" x14ac:dyDescent="0.2">
      <c r="A823">
        <v>2019</v>
      </c>
      <c r="B823" s="1" t="s">
        <v>229</v>
      </c>
      <c r="C823" s="7">
        <v>2183</v>
      </c>
      <c r="D823" s="5">
        <v>1.063E-6</v>
      </c>
    </row>
    <row r="824" spans="1:4" x14ac:dyDescent="0.2">
      <c r="A824">
        <v>2019</v>
      </c>
      <c r="B824" s="1" t="s">
        <v>31</v>
      </c>
      <c r="C824" s="7">
        <v>200013</v>
      </c>
      <c r="D824" s="5">
        <v>9.7400999999999998E-5</v>
      </c>
    </row>
    <row r="825" spans="1:4" x14ac:dyDescent="0.2">
      <c r="A825">
        <v>2019</v>
      </c>
      <c r="B825" s="1" t="s">
        <v>32</v>
      </c>
      <c r="C825" s="7">
        <v>1429684</v>
      </c>
      <c r="D825" s="5">
        <v>6.9621899999999998E-4</v>
      </c>
    </row>
    <row r="826" spans="1:4" x14ac:dyDescent="0.2">
      <c r="A826">
        <v>2019</v>
      </c>
      <c r="B826" s="1" t="s">
        <v>33</v>
      </c>
      <c r="C826" s="7">
        <v>146026</v>
      </c>
      <c r="D826" s="5">
        <v>7.1111000000000004E-5</v>
      </c>
    </row>
    <row r="827" spans="1:4" x14ac:dyDescent="0.2">
      <c r="A827">
        <v>2019</v>
      </c>
      <c r="B827" s="1" t="s">
        <v>34</v>
      </c>
      <c r="C827" s="7">
        <v>1377248</v>
      </c>
      <c r="D827" s="5">
        <v>6.7068399999999995E-4</v>
      </c>
    </row>
    <row r="828" spans="1:4" x14ac:dyDescent="0.2">
      <c r="A828">
        <v>2019</v>
      </c>
      <c r="B828" s="1" t="s">
        <v>35</v>
      </c>
      <c r="C828" s="7">
        <v>340971</v>
      </c>
      <c r="D828" s="5">
        <v>1.6604400000000001E-4</v>
      </c>
    </row>
    <row r="829" spans="1:4" x14ac:dyDescent="0.2">
      <c r="A829">
        <v>2019</v>
      </c>
      <c r="B829" s="1" t="s">
        <v>36</v>
      </c>
      <c r="C829" s="7">
        <v>575347</v>
      </c>
      <c r="D829" s="5">
        <v>2.8017899999999997E-4</v>
      </c>
    </row>
    <row r="830" spans="1:4" x14ac:dyDescent="0.2">
      <c r="A830">
        <v>2019</v>
      </c>
      <c r="B830" s="1" t="s">
        <v>37</v>
      </c>
      <c r="C830" s="7">
        <v>22050</v>
      </c>
      <c r="D830" s="5">
        <v>1.0738E-5</v>
      </c>
    </row>
    <row r="831" spans="1:4" x14ac:dyDescent="0.2">
      <c r="A831">
        <v>2019</v>
      </c>
      <c r="B831" s="1" t="s">
        <v>38</v>
      </c>
      <c r="C831" s="7">
        <v>21008</v>
      </c>
      <c r="D831" s="5">
        <v>1.023E-5</v>
      </c>
    </row>
    <row r="832" spans="1:4" x14ac:dyDescent="0.2">
      <c r="A832">
        <v>2019</v>
      </c>
      <c r="B832" s="1" t="s">
        <v>39</v>
      </c>
      <c r="C832" s="7">
        <v>504483</v>
      </c>
      <c r="D832" s="5">
        <v>2.4567000000000002E-4</v>
      </c>
    </row>
    <row r="833" spans="1:4" x14ac:dyDescent="0.2">
      <c r="A833">
        <v>2019</v>
      </c>
      <c r="B833" s="1" t="s">
        <v>40</v>
      </c>
      <c r="C833" s="7">
        <v>26620</v>
      </c>
      <c r="D833" s="5">
        <v>1.2962999999999999E-5</v>
      </c>
    </row>
    <row r="834" spans="1:4" x14ac:dyDescent="0.2">
      <c r="A834">
        <v>2019</v>
      </c>
      <c r="B834" s="1" t="s">
        <v>207</v>
      </c>
      <c r="C834" s="7">
        <v>519376</v>
      </c>
      <c r="D834" s="5">
        <v>2.5292199999999999E-4</v>
      </c>
    </row>
    <row r="835" spans="1:4" x14ac:dyDescent="0.2">
      <c r="A835">
        <v>2019</v>
      </c>
      <c r="B835" s="1" t="s">
        <v>42</v>
      </c>
      <c r="C835" s="7">
        <v>29648</v>
      </c>
      <c r="D835" s="5">
        <v>1.4438E-5</v>
      </c>
    </row>
    <row r="836" spans="1:4" x14ac:dyDescent="0.2">
      <c r="A836">
        <v>2019</v>
      </c>
      <c r="B836" s="1" t="s">
        <v>43</v>
      </c>
      <c r="C836" s="7">
        <v>74815</v>
      </c>
      <c r="D836" s="5">
        <v>3.6433000000000002E-5</v>
      </c>
    </row>
    <row r="837" spans="1:4" x14ac:dyDescent="0.2">
      <c r="A837">
        <v>2019</v>
      </c>
      <c r="B837" s="1" t="s">
        <v>44</v>
      </c>
      <c r="C837" s="7">
        <v>1768908</v>
      </c>
      <c r="D837" s="5">
        <v>8.6141199999999999E-4</v>
      </c>
    </row>
    <row r="838" spans="1:4" x14ac:dyDescent="0.2">
      <c r="A838">
        <v>2019</v>
      </c>
      <c r="B838" s="1" t="s">
        <v>45</v>
      </c>
      <c r="C838" s="7">
        <v>25566</v>
      </c>
      <c r="D838" s="5">
        <v>1.2449999999999999E-5</v>
      </c>
    </row>
    <row r="839" spans="1:4" x14ac:dyDescent="0.2">
      <c r="A839">
        <v>2019</v>
      </c>
      <c r="B839" s="1" t="s">
        <v>46</v>
      </c>
      <c r="C839" s="7">
        <v>42198</v>
      </c>
      <c r="D839" s="5">
        <v>2.0548999999999999E-5</v>
      </c>
    </row>
    <row r="840" spans="1:4" x14ac:dyDescent="0.2">
      <c r="A840">
        <v>2019</v>
      </c>
      <c r="B840" s="1" t="s">
        <v>47</v>
      </c>
      <c r="C840" s="7">
        <v>1630954</v>
      </c>
      <c r="D840" s="5">
        <v>7.9423199999999997E-4</v>
      </c>
    </row>
    <row r="841" spans="1:4" x14ac:dyDescent="0.2">
      <c r="A841">
        <v>2019</v>
      </c>
      <c r="B841" s="1" t="s">
        <v>48</v>
      </c>
      <c r="C841" s="7">
        <v>46755</v>
      </c>
      <c r="D841" s="5">
        <v>2.2768E-5</v>
      </c>
    </row>
    <row r="842" spans="1:4" x14ac:dyDescent="0.2">
      <c r="A842">
        <v>2019</v>
      </c>
      <c r="B842" s="1" t="s">
        <v>49</v>
      </c>
      <c r="C842" s="7">
        <v>24947</v>
      </c>
      <c r="D842" s="5">
        <v>1.2149E-5</v>
      </c>
    </row>
    <row r="843" spans="1:4" x14ac:dyDescent="0.2">
      <c r="A843">
        <v>2019</v>
      </c>
      <c r="B843" s="1" t="s">
        <v>50</v>
      </c>
      <c r="C843" s="7">
        <v>1109837</v>
      </c>
      <c r="D843" s="5">
        <v>5.40461E-4</v>
      </c>
    </row>
    <row r="844" spans="1:4" x14ac:dyDescent="0.2">
      <c r="A844">
        <v>2019</v>
      </c>
      <c r="B844" s="1" t="s">
        <v>51</v>
      </c>
      <c r="C844" s="7">
        <v>75178</v>
      </c>
      <c r="D844" s="5">
        <v>3.6609999999999997E-5</v>
      </c>
    </row>
    <row r="845" spans="1:4" x14ac:dyDescent="0.2">
      <c r="A845">
        <v>2019</v>
      </c>
      <c r="B845" s="1" t="s">
        <v>52</v>
      </c>
      <c r="C845" s="7">
        <v>21368</v>
      </c>
      <c r="D845" s="5">
        <v>1.0406E-5</v>
      </c>
    </row>
    <row r="846" spans="1:4" x14ac:dyDescent="0.2">
      <c r="A846">
        <v>2019</v>
      </c>
      <c r="B846" s="1" t="s">
        <v>53</v>
      </c>
      <c r="C846" s="7">
        <v>662554</v>
      </c>
      <c r="D846" s="5">
        <v>3.22646E-4</v>
      </c>
    </row>
    <row r="847" spans="1:4" x14ac:dyDescent="0.2">
      <c r="A847">
        <v>2019</v>
      </c>
      <c r="B847" s="1" t="s">
        <v>54</v>
      </c>
      <c r="C847" s="7">
        <v>124167</v>
      </c>
      <c r="D847" s="5">
        <v>6.0466E-5</v>
      </c>
    </row>
    <row r="848" spans="1:4" x14ac:dyDescent="0.2">
      <c r="A848">
        <v>2019</v>
      </c>
      <c r="B848" s="1" t="s">
        <v>55</v>
      </c>
      <c r="C848" s="7">
        <v>129176</v>
      </c>
      <c r="D848" s="5">
        <v>6.2904999999999995E-5</v>
      </c>
    </row>
    <row r="849" spans="1:4" x14ac:dyDescent="0.2">
      <c r="A849">
        <v>2019</v>
      </c>
      <c r="B849" s="1" t="s">
        <v>56</v>
      </c>
      <c r="C849" s="7">
        <v>167971</v>
      </c>
      <c r="D849" s="5">
        <v>8.1797000000000003E-5</v>
      </c>
    </row>
    <row r="850" spans="1:4" x14ac:dyDescent="0.2">
      <c r="A850">
        <v>2019</v>
      </c>
      <c r="B850" s="1" t="s">
        <v>57</v>
      </c>
      <c r="C850" s="7">
        <v>4470</v>
      </c>
      <c r="D850" s="5">
        <v>2.1770000000000001E-6</v>
      </c>
    </row>
    <row r="851" spans="1:4" x14ac:dyDescent="0.2">
      <c r="A851">
        <v>2019</v>
      </c>
      <c r="B851" s="1" t="s">
        <v>58</v>
      </c>
      <c r="C851" s="7">
        <v>247253</v>
      </c>
      <c r="D851" s="5">
        <v>1.20406E-4</v>
      </c>
    </row>
    <row r="852" spans="1:4" x14ac:dyDescent="0.2">
      <c r="A852">
        <v>2019</v>
      </c>
      <c r="B852" s="1" t="s">
        <v>59</v>
      </c>
      <c r="C852" s="7">
        <v>326745</v>
      </c>
      <c r="D852" s="5">
        <v>1.59116E-4</v>
      </c>
    </row>
    <row r="853" spans="1:4" x14ac:dyDescent="0.2">
      <c r="A853">
        <v>2019</v>
      </c>
      <c r="B853" s="1" t="s">
        <v>60</v>
      </c>
      <c r="C853" s="7">
        <v>79424</v>
      </c>
      <c r="D853" s="5">
        <v>3.8677000000000003E-5</v>
      </c>
    </row>
    <row r="854" spans="1:4" x14ac:dyDescent="0.2">
      <c r="A854">
        <v>2019</v>
      </c>
      <c r="B854" s="1" t="s">
        <v>61</v>
      </c>
      <c r="C854" s="7">
        <v>36039</v>
      </c>
      <c r="D854" s="5">
        <v>1.755E-5</v>
      </c>
    </row>
    <row r="855" spans="1:4" x14ac:dyDescent="0.2">
      <c r="A855">
        <v>2019</v>
      </c>
      <c r="B855" s="1" t="s">
        <v>209</v>
      </c>
      <c r="C855" s="7">
        <v>693778</v>
      </c>
      <c r="D855" s="5">
        <v>3.3785199999999998E-4</v>
      </c>
    </row>
    <row r="856" spans="1:4" x14ac:dyDescent="0.2">
      <c r="A856">
        <v>2019</v>
      </c>
      <c r="B856" s="1" t="s">
        <v>63</v>
      </c>
      <c r="C856" s="7">
        <v>1160395</v>
      </c>
      <c r="D856" s="5">
        <v>5.6508199999999995E-4</v>
      </c>
    </row>
    <row r="857" spans="1:4" x14ac:dyDescent="0.2">
      <c r="A857">
        <v>2019</v>
      </c>
      <c r="B857" s="1" t="s">
        <v>64</v>
      </c>
      <c r="C857" s="7">
        <v>262444</v>
      </c>
      <c r="D857" s="5">
        <v>1.2780300000000001E-4</v>
      </c>
    </row>
    <row r="858" spans="1:4" x14ac:dyDescent="0.2">
      <c r="A858">
        <v>2019</v>
      </c>
      <c r="B858" s="1" t="s">
        <v>65</v>
      </c>
      <c r="C858" s="7">
        <v>190073</v>
      </c>
      <c r="D858" s="5">
        <v>9.2560999999999997E-5</v>
      </c>
    </row>
    <row r="859" spans="1:4" x14ac:dyDescent="0.2">
      <c r="A859">
        <v>2019</v>
      </c>
      <c r="B859" s="1" t="s">
        <v>66</v>
      </c>
      <c r="C859" s="7">
        <v>790578</v>
      </c>
      <c r="D859" s="5">
        <v>3.84991E-4</v>
      </c>
    </row>
    <row r="860" spans="1:4" x14ac:dyDescent="0.2">
      <c r="A860">
        <v>2019</v>
      </c>
      <c r="B860" s="1" t="s">
        <v>67</v>
      </c>
      <c r="C860" s="7">
        <v>591425</v>
      </c>
      <c r="D860" s="5">
        <v>2.8800800000000002E-4</v>
      </c>
    </row>
    <row r="861" spans="1:4" x14ac:dyDescent="0.2">
      <c r="A861">
        <v>2019</v>
      </c>
      <c r="B861" s="1" t="s">
        <v>68</v>
      </c>
      <c r="C861" s="7">
        <v>21008</v>
      </c>
      <c r="D861" s="5">
        <v>1.023E-5</v>
      </c>
    </row>
    <row r="862" spans="1:4" x14ac:dyDescent="0.2">
      <c r="A862">
        <v>2019</v>
      </c>
      <c r="B862" s="1" t="s">
        <v>69</v>
      </c>
      <c r="C862" s="7">
        <v>398388</v>
      </c>
      <c r="D862" s="5">
        <v>1.9400400000000001E-4</v>
      </c>
    </row>
    <row r="863" spans="1:4" x14ac:dyDescent="0.2">
      <c r="A863">
        <v>2019</v>
      </c>
      <c r="B863" s="1" t="s">
        <v>70</v>
      </c>
      <c r="C863" s="7">
        <v>155163</v>
      </c>
      <c r="D863" s="5">
        <v>7.5560000000000002E-5</v>
      </c>
    </row>
    <row r="864" spans="1:4" x14ac:dyDescent="0.2">
      <c r="A864">
        <v>2019</v>
      </c>
      <c r="B864" s="1" t="s">
        <v>71</v>
      </c>
      <c r="C864" s="7">
        <v>6929</v>
      </c>
      <c r="D864" s="5">
        <v>3.3739999999999998E-6</v>
      </c>
    </row>
    <row r="865" spans="1:4" x14ac:dyDescent="0.2">
      <c r="A865">
        <v>2019</v>
      </c>
      <c r="B865" s="1" t="s">
        <v>72</v>
      </c>
      <c r="C865" s="7">
        <v>39722</v>
      </c>
      <c r="D865" s="5">
        <v>1.9344E-5</v>
      </c>
    </row>
    <row r="866" spans="1:4" x14ac:dyDescent="0.2">
      <c r="A866">
        <v>2019</v>
      </c>
      <c r="B866" s="1" t="s">
        <v>73</v>
      </c>
      <c r="C866" s="7">
        <v>17663</v>
      </c>
      <c r="D866" s="5">
        <v>8.6009999999999995E-6</v>
      </c>
    </row>
    <row r="867" spans="1:4" x14ac:dyDescent="0.2">
      <c r="A867">
        <v>2019</v>
      </c>
      <c r="B867" s="1" t="s">
        <v>74</v>
      </c>
      <c r="C867" s="7">
        <v>6261</v>
      </c>
      <c r="D867" s="5">
        <v>3.0489999999999999E-6</v>
      </c>
    </row>
    <row r="868" spans="1:4" x14ac:dyDescent="0.2">
      <c r="A868">
        <v>2019</v>
      </c>
      <c r="B868" s="1" t="s">
        <v>75</v>
      </c>
      <c r="C868" s="7">
        <v>59312</v>
      </c>
      <c r="D868" s="5">
        <v>2.8883000000000001E-5</v>
      </c>
    </row>
    <row r="869" spans="1:4" x14ac:dyDescent="0.2">
      <c r="A869">
        <v>2019</v>
      </c>
      <c r="B869" s="1" t="s">
        <v>76</v>
      </c>
      <c r="C869" s="7">
        <v>112534</v>
      </c>
      <c r="D869" s="5">
        <v>5.4800999999999999E-5</v>
      </c>
    </row>
    <row r="870" spans="1:4" x14ac:dyDescent="0.2">
      <c r="A870">
        <v>2019</v>
      </c>
      <c r="B870" s="1" t="s">
        <v>77</v>
      </c>
      <c r="C870" s="7">
        <v>11400</v>
      </c>
      <c r="D870" s="5">
        <v>5.5520000000000004E-6</v>
      </c>
    </row>
    <row r="871" spans="1:4" x14ac:dyDescent="0.2">
      <c r="A871">
        <v>2019</v>
      </c>
      <c r="B871" s="1" t="s">
        <v>78</v>
      </c>
      <c r="C871" s="7">
        <v>4102821</v>
      </c>
      <c r="D871" s="5">
        <v>1.9979659999999999E-3</v>
      </c>
    </row>
    <row r="872" spans="1:4" x14ac:dyDescent="0.2">
      <c r="A872">
        <v>2019</v>
      </c>
      <c r="B872" s="1" t="s">
        <v>79</v>
      </c>
      <c r="C872" s="7">
        <v>152255</v>
      </c>
      <c r="D872" s="5">
        <v>7.4144E-5</v>
      </c>
    </row>
    <row r="873" spans="1:4" x14ac:dyDescent="0.2">
      <c r="A873">
        <v>2019</v>
      </c>
      <c r="B873" s="1" t="s">
        <v>80</v>
      </c>
      <c r="C873" s="7">
        <v>99789</v>
      </c>
      <c r="D873" s="5">
        <v>4.8594999999999998E-5</v>
      </c>
    </row>
    <row r="874" spans="1:4" x14ac:dyDescent="0.2">
      <c r="A874">
        <v>2019</v>
      </c>
      <c r="B874" s="1" t="s">
        <v>81</v>
      </c>
      <c r="C874" s="7">
        <v>145927</v>
      </c>
      <c r="D874" s="5">
        <v>7.1062999999999994E-5</v>
      </c>
    </row>
    <row r="875" spans="1:4" x14ac:dyDescent="0.2">
      <c r="A875">
        <v>2019</v>
      </c>
      <c r="B875" s="1" t="s">
        <v>82</v>
      </c>
      <c r="C875" s="7">
        <v>3047</v>
      </c>
      <c r="D875" s="5">
        <v>1.4839999999999999E-6</v>
      </c>
    </row>
    <row r="876" spans="1:4" x14ac:dyDescent="0.2">
      <c r="A876">
        <v>2019</v>
      </c>
      <c r="B876" s="1" t="s">
        <v>83</v>
      </c>
      <c r="C876" s="7">
        <v>383230</v>
      </c>
      <c r="D876" s="5">
        <v>1.8662299999999999E-4</v>
      </c>
    </row>
    <row r="877" spans="1:4" x14ac:dyDescent="0.2">
      <c r="A877">
        <v>2019</v>
      </c>
      <c r="B877" s="1" t="s">
        <v>84</v>
      </c>
      <c r="C877" s="7">
        <v>22401</v>
      </c>
      <c r="D877" s="5">
        <v>1.0909E-5</v>
      </c>
    </row>
    <row r="878" spans="1:4" x14ac:dyDescent="0.2">
      <c r="A878">
        <v>2019</v>
      </c>
      <c r="B878" s="1" t="s">
        <v>85</v>
      </c>
      <c r="C878" s="7">
        <v>347147</v>
      </c>
      <c r="D878" s="5">
        <v>1.69051E-4</v>
      </c>
    </row>
    <row r="879" spans="1:4" x14ac:dyDescent="0.2">
      <c r="A879">
        <v>2019</v>
      </c>
      <c r="B879" s="1" t="s">
        <v>86</v>
      </c>
      <c r="C879" s="7">
        <v>19704</v>
      </c>
      <c r="D879" s="5">
        <v>9.5950000000000005E-6</v>
      </c>
    </row>
    <row r="880" spans="1:4" x14ac:dyDescent="0.2">
      <c r="A880">
        <v>2019</v>
      </c>
      <c r="B880" s="1" t="s">
        <v>87</v>
      </c>
      <c r="C880" s="7">
        <v>11400</v>
      </c>
      <c r="D880" s="5">
        <v>5.5520000000000004E-6</v>
      </c>
    </row>
    <row r="881" spans="1:4" x14ac:dyDescent="0.2">
      <c r="A881">
        <v>2019</v>
      </c>
      <c r="B881" s="1" t="s">
        <v>88</v>
      </c>
      <c r="C881" s="7">
        <v>694883</v>
      </c>
      <c r="D881" s="5">
        <v>3.3838999999999999E-4</v>
      </c>
    </row>
    <row r="882" spans="1:4" x14ac:dyDescent="0.2">
      <c r="A882">
        <v>2019</v>
      </c>
      <c r="B882" s="1" t="s">
        <v>89</v>
      </c>
      <c r="C882" s="7">
        <v>1061954</v>
      </c>
      <c r="D882" s="5">
        <v>5.1714399999999998E-4</v>
      </c>
    </row>
    <row r="883" spans="1:4" x14ac:dyDescent="0.2">
      <c r="A883">
        <v>2019</v>
      </c>
      <c r="B883" s="1" t="s">
        <v>90</v>
      </c>
      <c r="C883" s="7">
        <v>44267</v>
      </c>
      <c r="D883" s="5">
        <v>2.1557E-5</v>
      </c>
    </row>
    <row r="884" spans="1:4" x14ac:dyDescent="0.2">
      <c r="A884">
        <v>2019</v>
      </c>
      <c r="B884" s="1" t="s">
        <v>91</v>
      </c>
      <c r="C884" s="7">
        <v>195525</v>
      </c>
      <c r="D884" s="5">
        <v>9.5216000000000005E-5</v>
      </c>
    </row>
    <row r="885" spans="1:4" x14ac:dyDescent="0.2">
      <c r="A885">
        <v>2019</v>
      </c>
      <c r="B885" s="1" t="s">
        <v>92</v>
      </c>
      <c r="C885" s="7">
        <v>1858224</v>
      </c>
      <c r="D885" s="5">
        <v>9.0490600000000003E-4</v>
      </c>
    </row>
    <row r="886" spans="1:4" x14ac:dyDescent="0.2">
      <c r="A886">
        <v>2019</v>
      </c>
      <c r="B886" s="1" t="s">
        <v>93</v>
      </c>
      <c r="C886" s="7">
        <v>72215</v>
      </c>
      <c r="D886" s="5">
        <v>3.5166999999999997E-5</v>
      </c>
    </row>
    <row r="887" spans="1:4" x14ac:dyDescent="0.2">
      <c r="A887">
        <v>2019</v>
      </c>
      <c r="B887" s="1" t="s">
        <v>94</v>
      </c>
      <c r="C887" s="7">
        <v>2588988</v>
      </c>
      <c r="D887" s="5">
        <v>1.2607689999999999E-3</v>
      </c>
    </row>
    <row r="888" spans="1:4" x14ac:dyDescent="0.2">
      <c r="A888">
        <v>2019</v>
      </c>
      <c r="B888" s="1" t="s">
        <v>95</v>
      </c>
      <c r="C888" s="7">
        <v>128409</v>
      </c>
      <c r="D888" s="5">
        <v>6.2532000000000004E-5</v>
      </c>
    </row>
    <row r="889" spans="1:4" x14ac:dyDescent="0.2">
      <c r="A889">
        <v>2019</v>
      </c>
      <c r="B889" s="1" t="s">
        <v>96</v>
      </c>
      <c r="C889" s="7">
        <v>6911952</v>
      </c>
      <c r="D889" s="5">
        <v>3.3659390000000001E-3</v>
      </c>
    </row>
    <row r="890" spans="1:4" x14ac:dyDescent="0.2">
      <c r="A890">
        <v>2019</v>
      </c>
      <c r="B890" s="1" t="s">
        <v>97</v>
      </c>
      <c r="C890" s="7">
        <v>6254551</v>
      </c>
      <c r="D890" s="5">
        <v>3.0458019999999998E-3</v>
      </c>
    </row>
    <row r="891" spans="1:4" x14ac:dyDescent="0.2">
      <c r="A891">
        <v>2019</v>
      </c>
      <c r="B891" s="1" t="s">
        <v>98</v>
      </c>
      <c r="C891" s="7">
        <v>164253</v>
      </c>
      <c r="D891" s="5">
        <v>7.9987000000000005E-5</v>
      </c>
    </row>
    <row r="892" spans="1:4" x14ac:dyDescent="0.2">
      <c r="A892">
        <v>2019</v>
      </c>
      <c r="B892" s="1" t="s">
        <v>99</v>
      </c>
      <c r="C892" s="7">
        <v>19839</v>
      </c>
      <c r="D892" s="5">
        <v>9.6609999999999995E-6</v>
      </c>
    </row>
    <row r="893" spans="1:4" x14ac:dyDescent="0.2">
      <c r="A893">
        <v>2019</v>
      </c>
      <c r="B893" s="1" t="s">
        <v>100</v>
      </c>
      <c r="C893" s="7">
        <v>274358</v>
      </c>
      <c r="D893" s="5">
        <v>1.3360499999999999E-4</v>
      </c>
    </row>
    <row r="894" spans="1:4" x14ac:dyDescent="0.2">
      <c r="A894">
        <v>2019</v>
      </c>
      <c r="B894" s="1" t="s">
        <v>101</v>
      </c>
      <c r="C894" s="7">
        <v>390964</v>
      </c>
      <c r="D894" s="5">
        <v>1.9038900000000001E-4</v>
      </c>
    </row>
    <row r="895" spans="1:4" x14ac:dyDescent="0.2">
      <c r="A895">
        <v>2019</v>
      </c>
      <c r="B895" s="1" t="s">
        <v>102</v>
      </c>
      <c r="C895" s="7">
        <v>28091</v>
      </c>
      <c r="D895" s="5">
        <v>1.3679999999999999E-5</v>
      </c>
    </row>
    <row r="896" spans="1:4" x14ac:dyDescent="0.2">
      <c r="A896">
        <v>2019</v>
      </c>
      <c r="B896" s="1" t="s">
        <v>103</v>
      </c>
      <c r="C896" s="7">
        <v>5044399</v>
      </c>
      <c r="D896" s="5">
        <v>2.45649E-3</v>
      </c>
    </row>
    <row r="897" spans="1:4" x14ac:dyDescent="0.2">
      <c r="A897">
        <v>2019</v>
      </c>
      <c r="B897" s="1" t="s">
        <v>104</v>
      </c>
      <c r="C897" s="7">
        <v>55104</v>
      </c>
      <c r="D897" s="5">
        <v>2.6834000000000001E-5</v>
      </c>
    </row>
    <row r="898" spans="1:4" x14ac:dyDescent="0.2">
      <c r="A898">
        <v>2019</v>
      </c>
      <c r="B898" s="1" t="s">
        <v>105</v>
      </c>
      <c r="C898" s="7">
        <v>48351</v>
      </c>
      <c r="D898" s="5">
        <v>2.3546000000000001E-5</v>
      </c>
    </row>
    <row r="899" spans="1:4" x14ac:dyDescent="0.2">
      <c r="A899">
        <v>2019</v>
      </c>
      <c r="B899" s="1" t="s">
        <v>106</v>
      </c>
      <c r="C899" s="7">
        <v>377455</v>
      </c>
      <c r="D899" s="5">
        <v>1.8381100000000001E-4</v>
      </c>
    </row>
    <row r="900" spans="1:4" x14ac:dyDescent="0.2">
      <c r="A900">
        <v>2019</v>
      </c>
      <c r="B900" s="1" t="s">
        <v>107</v>
      </c>
      <c r="C900" s="7">
        <v>726420</v>
      </c>
      <c r="D900" s="5">
        <v>3.5374700000000001E-4</v>
      </c>
    </row>
    <row r="901" spans="1:4" x14ac:dyDescent="0.2">
      <c r="A901">
        <v>2019</v>
      </c>
      <c r="B901" s="1" t="s">
        <v>108</v>
      </c>
      <c r="C901" s="7">
        <v>821287</v>
      </c>
      <c r="D901" s="5">
        <v>3.9994500000000002E-4</v>
      </c>
    </row>
    <row r="902" spans="1:4" x14ac:dyDescent="0.2">
      <c r="A902">
        <v>2019</v>
      </c>
      <c r="B902" s="1" t="s">
        <v>109</v>
      </c>
      <c r="C902" s="7">
        <v>355146</v>
      </c>
      <c r="D902" s="5">
        <v>1.7294700000000001E-4</v>
      </c>
    </row>
    <row r="903" spans="1:4" x14ac:dyDescent="0.2">
      <c r="A903">
        <v>2019</v>
      </c>
      <c r="B903" s="1" t="s">
        <v>110</v>
      </c>
      <c r="C903" s="7">
        <v>268975</v>
      </c>
      <c r="D903" s="5">
        <v>1.30984E-4</v>
      </c>
    </row>
    <row r="904" spans="1:4" x14ac:dyDescent="0.2">
      <c r="A904">
        <v>2019</v>
      </c>
      <c r="B904" s="1" t="s">
        <v>111</v>
      </c>
      <c r="C904" s="7">
        <v>18281</v>
      </c>
      <c r="D904" s="5">
        <v>8.9020000000000005E-6</v>
      </c>
    </row>
    <row r="905" spans="1:4" x14ac:dyDescent="0.2">
      <c r="A905">
        <v>2019</v>
      </c>
      <c r="B905" s="1" t="s">
        <v>112</v>
      </c>
      <c r="C905" s="7">
        <v>43189</v>
      </c>
      <c r="D905" s="5">
        <v>2.1032000000000001E-5</v>
      </c>
    </row>
    <row r="906" spans="1:4" x14ac:dyDescent="0.2">
      <c r="A906">
        <v>2019</v>
      </c>
      <c r="B906" s="1" t="s">
        <v>113</v>
      </c>
      <c r="C906" s="7">
        <v>302182</v>
      </c>
      <c r="D906" s="5">
        <v>1.47155E-4</v>
      </c>
    </row>
    <row r="907" spans="1:4" x14ac:dyDescent="0.2">
      <c r="A907">
        <v>2019</v>
      </c>
      <c r="B907" s="1" t="s">
        <v>114</v>
      </c>
      <c r="C907" s="7">
        <v>91615</v>
      </c>
      <c r="D907" s="5">
        <v>4.4613999999999997E-5</v>
      </c>
    </row>
    <row r="908" spans="1:4" x14ac:dyDescent="0.2">
      <c r="A908">
        <v>2019</v>
      </c>
      <c r="B908" s="1" t="s">
        <v>115</v>
      </c>
      <c r="C908" s="7">
        <v>112092</v>
      </c>
      <c r="D908" s="5">
        <v>5.4586000000000002E-5</v>
      </c>
    </row>
    <row r="909" spans="1:4" x14ac:dyDescent="0.2">
      <c r="A909">
        <v>2019</v>
      </c>
      <c r="B909" s="1" t="s">
        <v>116</v>
      </c>
      <c r="C909" s="7">
        <v>253625</v>
      </c>
      <c r="D909" s="5">
        <v>1.23509E-4</v>
      </c>
    </row>
    <row r="910" spans="1:4" x14ac:dyDescent="0.2">
      <c r="A910">
        <v>2019</v>
      </c>
      <c r="B910" s="1" t="s">
        <v>117</v>
      </c>
      <c r="C910" s="7">
        <v>511057</v>
      </c>
      <c r="D910" s="5">
        <v>2.4887100000000001E-4</v>
      </c>
    </row>
    <row r="911" spans="1:4" x14ac:dyDescent="0.2">
      <c r="A911">
        <v>2019</v>
      </c>
      <c r="B911" s="1" t="s">
        <v>118</v>
      </c>
      <c r="C911" s="7">
        <v>44865</v>
      </c>
      <c r="D911" s="5">
        <v>2.1848000000000002E-5</v>
      </c>
    </row>
    <row r="912" spans="1:4" x14ac:dyDescent="0.2">
      <c r="A912">
        <v>2019</v>
      </c>
      <c r="B912" s="1" t="s">
        <v>119</v>
      </c>
      <c r="C912" s="7">
        <v>70141</v>
      </c>
      <c r="D912" s="5">
        <v>3.4156999999999998E-5</v>
      </c>
    </row>
    <row r="913" spans="1:4" x14ac:dyDescent="0.2">
      <c r="A913">
        <v>2019</v>
      </c>
      <c r="B913" s="1" t="s">
        <v>120</v>
      </c>
      <c r="C913" s="7">
        <v>1035692</v>
      </c>
      <c r="D913" s="5">
        <v>5.0435499999999995E-4</v>
      </c>
    </row>
    <row r="914" spans="1:4" x14ac:dyDescent="0.2">
      <c r="A914">
        <v>2019</v>
      </c>
      <c r="B914" s="1" t="s">
        <v>121</v>
      </c>
      <c r="C914" s="7">
        <v>1596391</v>
      </c>
      <c r="D914" s="5">
        <v>7.7740000000000003E-4</v>
      </c>
    </row>
    <row r="915" spans="1:4" x14ac:dyDescent="0.2">
      <c r="A915">
        <v>2019</v>
      </c>
      <c r="B915" s="1" t="s">
        <v>122</v>
      </c>
      <c r="C915" s="7">
        <v>682777</v>
      </c>
      <c r="D915" s="5">
        <v>3.3249400000000002E-4</v>
      </c>
    </row>
    <row r="916" spans="1:4" x14ac:dyDescent="0.2">
      <c r="A916">
        <v>2019</v>
      </c>
      <c r="B916" s="1" t="s">
        <v>123</v>
      </c>
      <c r="C916" s="7">
        <v>1516768</v>
      </c>
      <c r="D916" s="5">
        <v>7.3862600000000004E-4</v>
      </c>
    </row>
    <row r="917" spans="1:4" x14ac:dyDescent="0.2">
      <c r="A917">
        <v>2019</v>
      </c>
      <c r="B917" s="1" t="s">
        <v>124</v>
      </c>
      <c r="C917" s="7">
        <v>3754</v>
      </c>
      <c r="D917" s="5">
        <v>1.8279999999999999E-6</v>
      </c>
    </row>
    <row r="918" spans="1:4" x14ac:dyDescent="0.2">
      <c r="A918">
        <v>2019</v>
      </c>
      <c r="B918" s="1" t="s">
        <v>125</v>
      </c>
      <c r="C918" s="7">
        <v>31365</v>
      </c>
      <c r="D918" s="5">
        <v>1.5274E-5</v>
      </c>
    </row>
    <row r="919" spans="1:4" x14ac:dyDescent="0.2">
      <c r="A919">
        <v>2019</v>
      </c>
      <c r="B919" s="1" t="s">
        <v>126</v>
      </c>
      <c r="C919" s="7">
        <v>164356</v>
      </c>
      <c r="D919" s="5">
        <v>8.0037000000000006E-5</v>
      </c>
    </row>
    <row r="920" spans="1:4" x14ac:dyDescent="0.2">
      <c r="A920">
        <v>2019</v>
      </c>
      <c r="B920" s="1" t="s">
        <v>127</v>
      </c>
      <c r="C920" s="7">
        <v>188469</v>
      </c>
      <c r="D920" s="5">
        <v>9.1779000000000003E-5</v>
      </c>
    </row>
    <row r="921" spans="1:4" x14ac:dyDescent="0.2">
      <c r="A921">
        <v>2019</v>
      </c>
      <c r="B921" s="1" t="s">
        <v>128</v>
      </c>
      <c r="C921" s="7">
        <v>322973</v>
      </c>
      <c r="D921" s="5">
        <v>1.57279E-4</v>
      </c>
    </row>
    <row r="922" spans="1:4" x14ac:dyDescent="0.2">
      <c r="A922">
        <v>2019</v>
      </c>
      <c r="B922" s="1" t="s">
        <v>129</v>
      </c>
      <c r="C922" s="7">
        <v>44120</v>
      </c>
      <c r="D922" s="5">
        <v>2.1484999999999998E-5</v>
      </c>
    </row>
    <row r="923" spans="1:4" x14ac:dyDescent="0.2">
      <c r="A923">
        <v>2019</v>
      </c>
      <c r="B923" s="1" t="s">
        <v>130</v>
      </c>
      <c r="C923" s="7">
        <v>83200</v>
      </c>
      <c r="D923" s="5">
        <v>4.0516000000000003E-5</v>
      </c>
    </row>
    <row r="924" spans="1:4" x14ac:dyDescent="0.2">
      <c r="A924">
        <v>2019</v>
      </c>
      <c r="B924" s="1" t="s">
        <v>131</v>
      </c>
      <c r="C924" s="7">
        <v>82362</v>
      </c>
      <c r="D924" s="5">
        <v>4.0108000000000003E-5</v>
      </c>
    </row>
    <row r="925" spans="1:4" x14ac:dyDescent="0.2">
      <c r="A925">
        <v>2019</v>
      </c>
      <c r="B925" s="1" t="s">
        <v>133</v>
      </c>
      <c r="C925" s="7">
        <v>68234</v>
      </c>
      <c r="D925" s="5">
        <v>3.3228000000000001E-5</v>
      </c>
    </row>
    <row r="926" spans="1:4" x14ac:dyDescent="0.2">
      <c r="A926">
        <v>2019</v>
      </c>
      <c r="B926" s="1" t="s">
        <v>134</v>
      </c>
      <c r="C926" s="7">
        <v>125605</v>
      </c>
      <c r="D926" s="5">
        <v>6.1166000000000004E-5</v>
      </c>
    </row>
    <row r="927" spans="1:4" x14ac:dyDescent="0.2">
      <c r="A927">
        <v>2019</v>
      </c>
      <c r="B927" s="1" t="s">
        <v>216</v>
      </c>
      <c r="C927" s="7">
        <v>126914</v>
      </c>
      <c r="D927" s="5">
        <v>6.1804000000000007E-5</v>
      </c>
    </row>
    <row r="928" spans="1:4" x14ac:dyDescent="0.2">
      <c r="A928">
        <v>2019</v>
      </c>
      <c r="B928" s="1" t="s">
        <v>135</v>
      </c>
      <c r="C928" s="7">
        <v>20745</v>
      </c>
      <c r="D928" s="5">
        <v>1.0101999999999999E-5</v>
      </c>
    </row>
    <row r="929" spans="1:4" x14ac:dyDescent="0.2">
      <c r="A929">
        <v>2019</v>
      </c>
      <c r="B929" s="1" t="s">
        <v>136</v>
      </c>
      <c r="C929" s="7">
        <v>366554</v>
      </c>
      <c r="D929" s="5">
        <v>1.7850200000000001E-4</v>
      </c>
    </row>
    <row r="930" spans="1:4" x14ac:dyDescent="0.2">
      <c r="A930">
        <v>2019</v>
      </c>
      <c r="B930" s="1" t="s">
        <v>137</v>
      </c>
      <c r="C930" s="7">
        <v>15237753</v>
      </c>
      <c r="D930" s="5">
        <v>7.4203849999999998E-3</v>
      </c>
    </row>
    <row r="931" spans="1:4" x14ac:dyDescent="0.2">
      <c r="A931">
        <v>2019</v>
      </c>
      <c r="B931" s="1" t="s">
        <v>138</v>
      </c>
      <c r="C931" s="7">
        <v>274034</v>
      </c>
      <c r="D931" s="5">
        <v>1.33447E-4</v>
      </c>
    </row>
    <row r="932" spans="1:4" x14ac:dyDescent="0.2">
      <c r="A932">
        <v>2019</v>
      </c>
      <c r="B932" s="1" t="s">
        <v>139</v>
      </c>
      <c r="C932" s="7">
        <v>18606967</v>
      </c>
      <c r="D932" s="5">
        <v>9.0611040000000004E-3</v>
      </c>
    </row>
    <row r="933" spans="1:4" x14ac:dyDescent="0.2">
      <c r="A933">
        <v>2019</v>
      </c>
      <c r="B933" s="1" t="s">
        <v>140</v>
      </c>
      <c r="C933" s="7">
        <v>23615</v>
      </c>
      <c r="D933" s="5">
        <v>1.15E-5</v>
      </c>
    </row>
    <row r="934" spans="1:4" x14ac:dyDescent="0.2">
      <c r="A934">
        <v>2019</v>
      </c>
      <c r="B934" s="1" t="s">
        <v>141</v>
      </c>
      <c r="C934" s="7">
        <v>51799</v>
      </c>
      <c r="D934" s="5">
        <v>2.5225E-5</v>
      </c>
    </row>
    <row r="935" spans="1:4" x14ac:dyDescent="0.2">
      <c r="A935">
        <v>2019</v>
      </c>
      <c r="B935" s="1" t="s">
        <v>142</v>
      </c>
      <c r="C935" s="7">
        <v>76353</v>
      </c>
      <c r="D935" s="5">
        <v>3.7181999999999997E-5</v>
      </c>
    </row>
    <row r="936" spans="1:4" x14ac:dyDescent="0.2">
      <c r="A936">
        <v>2019</v>
      </c>
      <c r="B936" s="1" t="s">
        <v>143</v>
      </c>
      <c r="C936" s="7">
        <v>37877</v>
      </c>
      <c r="D936" s="5">
        <v>1.8445E-5</v>
      </c>
    </row>
    <row r="937" spans="1:4" x14ac:dyDescent="0.2">
      <c r="A937">
        <v>2019</v>
      </c>
      <c r="B937" s="1" t="s">
        <v>144</v>
      </c>
      <c r="C937" s="7">
        <v>135438</v>
      </c>
      <c r="D937" s="5">
        <v>6.5955000000000001E-5</v>
      </c>
    </row>
    <row r="938" spans="1:4" x14ac:dyDescent="0.2">
      <c r="A938">
        <v>2019</v>
      </c>
      <c r="B938" s="1" t="s">
        <v>145</v>
      </c>
      <c r="C938" s="7">
        <v>2041765</v>
      </c>
      <c r="D938" s="5">
        <v>9.9428600000000004E-4</v>
      </c>
    </row>
    <row r="939" spans="1:4" x14ac:dyDescent="0.2">
      <c r="A939">
        <v>2019</v>
      </c>
      <c r="B939" s="1" t="s">
        <v>146</v>
      </c>
      <c r="C939" s="7">
        <v>518683</v>
      </c>
      <c r="D939" s="5">
        <v>2.5258499999999999E-4</v>
      </c>
    </row>
    <row r="940" spans="1:4" x14ac:dyDescent="0.2">
      <c r="A940">
        <v>2019</v>
      </c>
      <c r="B940" s="1" t="s">
        <v>147</v>
      </c>
      <c r="C940" s="7">
        <v>30182</v>
      </c>
      <c r="D940" s="5">
        <v>1.4698000000000001E-5</v>
      </c>
    </row>
    <row r="941" spans="1:4" x14ac:dyDescent="0.2">
      <c r="A941">
        <v>2019</v>
      </c>
      <c r="B941" s="1" t="s">
        <v>148</v>
      </c>
      <c r="C941" s="7">
        <v>863431</v>
      </c>
      <c r="D941" s="5">
        <v>4.2046800000000001E-4</v>
      </c>
    </row>
    <row r="942" spans="1:4" x14ac:dyDescent="0.2">
      <c r="A942">
        <v>2019</v>
      </c>
      <c r="B942" s="1" t="s">
        <v>149</v>
      </c>
      <c r="C942" s="7">
        <v>11401</v>
      </c>
      <c r="D942" s="5">
        <v>5.5520000000000004E-6</v>
      </c>
    </row>
    <row r="943" spans="1:4" x14ac:dyDescent="0.2">
      <c r="A943">
        <v>2019</v>
      </c>
      <c r="B943" s="1" t="s">
        <v>150</v>
      </c>
      <c r="C943" s="7">
        <v>32496</v>
      </c>
      <c r="D943" s="5">
        <v>1.5824999999999998E-5</v>
      </c>
    </row>
    <row r="944" spans="1:4" x14ac:dyDescent="0.2">
      <c r="A944">
        <v>2019</v>
      </c>
      <c r="B944" s="1" t="s">
        <v>151</v>
      </c>
      <c r="C944" s="7">
        <v>39197</v>
      </c>
      <c r="D944" s="5">
        <v>1.9088000000000001E-5</v>
      </c>
    </row>
    <row r="945" spans="1:4" x14ac:dyDescent="0.2">
      <c r="A945">
        <v>2019</v>
      </c>
      <c r="B945" s="1" t="s">
        <v>152</v>
      </c>
      <c r="C945" s="7">
        <v>974969</v>
      </c>
      <c r="D945" s="5">
        <v>4.7478400000000001E-4</v>
      </c>
    </row>
    <row r="946" spans="1:4" x14ac:dyDescent="0.2">
      <c r="A946">
        <v>2019</v>
      </c>
      <c r="B946" s="1" t="s">
        <v>230</v>
      </c>
      <c r="C946" s="7">
        <v>2443797</v>
      </c>
      <c r="D946" s="5">
        <v>1.1900649999999999E-3</v>
      </c>
    </row>
    <row r="947" spans="1:4" x14ac:dyDescent="0.2">
      <c r="A947">
        <v>2019</v>
      </c>
      <c r="B947" s="1" t="s">
        <v>154</v>
      </c>
      <c r="C947" s="7">
        <v>666063</v>
      </c>
      <c r="D947" s="5">
        <v>3.2435500000000002E-4</v>
      </c>
    </row>
    <row r="948" spans="1:4" x14ac:dyDescent="0.2">
      <c r="A948">
        <v>2019</v>
      </c>
      <c r="B948" s="1" t="s">
        <v>155</v>
      </c>
      <c r="C948" s="7">
        <v>107922</v>
      </c>
      <c r="D948" s="5">
        <v>5.2555000000000001E-5</v>
      </c>
    </row>
    <row r="949" spans="1:4" x14ac:dyDescent="0.2">
      <c r="A949">
        <v>2019</v>
      </c>
      <c r="B949" s="1" t="s">
        <v>156</v>
      </c>
      <c r="C949" s="7">
        <v>771875</v>
      </c>
      <c r="D949" s="5">
        <v>3.7588299999999998E-4</v>
      </c>
    </row>
    <row r="950" spans="1:4" x14ac:dyDescent="0.2">
      <c r="A950">
        <v>2019</v>
      </c>
      <c r="B950" s="1" t="s">
        <v>157</v>
      </c>
      <c r="C950" s="7">
        <v>10551</v>
      </c>
      <c r="D950" s="5">
        <v>5.1379999999999998E-6</v>
      </c>
    </row>
    <row r="951" spans="1:4" x14ac:dyDescent="0.2">
      <c r="A951">
        <v>2019</v>
      </c>
      <c r="B951" s="1" t="s">
        <v>158</v>
      </c>
      <c r="C951" s="7">
        <v>233820</v>
      </c>
      <c r="D951" s="5">
        <v>1.1386400000000001E-4</v>
      </c>
    </row>
    <row r="952" spans="1:4" x14ac:dyDescent="0.2">
      <c r="A952">
        <v>2019</v>
      </c>
      <c r="B952" s="1" t="s">
        <v>159</v>
      </c>
      <c r="C952" s="7">
        <v>86060</v>
      </c>
      <c r="D952" s="5">
        <v>4.1909000000000001E-5</v>
      </c>
    </row>
    <row r="953" spans="1:4" x14ac:dyDescent="0.2">
      <c r="A953">
        <v>2019</v>
      </c>
      <c r="B953" s="1" t="s">
        <v>160</v>
      </c>
      <c r="C953" s="7">
        <v>278481</v>
      </c>
      <c r="D953" s="5">
        <v>1.35613E-4</v>
      </c>
    </row>
    <row r="954" spans="1:4" x14ac:dyDescent="0.2">
      <c r="A954">
        <v>2019</v>
      </c>
      <c r="B954" s="1" t="s">
        <v>161</v>
      </c>
      <c r="C954" s="7">
        <v>487479</v>
      </c>
      <c r="D954" s="5">
        <v>2.3738899999999999E-4</v>
      </c>
    </row>
    <row r="955" spans="1:4" x14ac:dyDescent="0.2">
      <c r="A955">
        <v>2019</v>
      </c>
      <c r="B955" s="1" t="s">
        <v>162</v>
      </c>
      <c r="C955" s="7">
        <v>1319557</v>
      </c>
      <c r="D955" s="5">
        <v>6.4258999999999996E-4</v>
      </c>
    </row>
    <row r="956" spans="1:4" x14ac:dyDescent="0.2">
      <c r="A956">
        <v>2019</v>
      </c>
      <c r="B956" s="1" t="s">
        <v>163</v>
      </c>
      <c r="C956" s="7">
        <v>2156799</v>
      </c>
      <c r="D956" s="5">
        <v>1.050304E-3</v>
      </c>
    </row>
    <row r="957" spans="1:4" x14ac:dyDescent="0.2">
      <c r="A957">
        <v>2019</v>
      </c>
      <c r="B957" s="1" t="s">
        <v>164</v>
      </c>
      <c r="C957" s="7">
        <v>23634</v>
      </c>
      <c r="D957" s="5">
        <v>1.1508999999999999E-5</v>
      </c>
    </row>
    <row r="958" spans="1:4" x14ac:dyDescent="0.2">
      <c r="A958">
        <v>2019</v>
      </c>
      <c r="B958" s="1" t="s">
        <v>165</v>
      </c>
      <c r="C958" s="7">
        <v>54440</v>
      </c>
      <c r="D958" s="5">
        <v>2.6511000000000001E-5</v>
      </c>
    </row>
    <row r="959" spans="1:4" x14ac:dyDescent="0.2">
      <c r="A959">
        <v>2019</v>
      </c>
      <c r="B959" s="1" t="s">
        <v>166</v>
      </c>
      <c r="C959" s="7">
        <v>120137</v>
      </c>
      <c r="D959" s="5">
        <v>5.8504000000000001E-5</v>
      </c>
    </row>
    <row r="960" spans="1:4" x14ac:dyDescent="0.2">
      <c r="A960">
        <v>2019</v>
      </c>
      <c r="B960" s="1" t="s">
        <v>167</v>
      </c>
      <c r="C960" s="7">
        <v>99861</v>
      </c>
      <c r="D960" s="5">
        <v>4.863E-5</v>
      </c>
    </row>
    <row r="961" spans="1:4" x14ac:dyDescent="0.2">
      <c r="A961">
        <v>2019</v>
      </c>
      <c r="B961" s="1" t="s">
        <v>168</v>
      </c>
      <c r="C961" s="7">
        <v>48956</v>
      </c>
      <c r="D961" s="5">
        <v>2.3839999999999999E-5</v>
      </c>
    </row>
    <row r="962" spans="1:4" x14ac:dyDescent="0.2">
      <c r="A962">
        <v>2019</v>
      </c>
      <c r="B962" s="1" t="s">
        <v>169</v>
      </c>
      <c r="C962" s="7">
        <v>634587</v>
      </c>
      <c r="D962" s="5">
        <v>3.0902700000000002E-4</v>
      </c>
    </row>
    <row r="963" spans="1:4" x14ac:dyDescent="0.2">
      <c r="A963">
        <v>2019</v>
      </c>
      <c r="B963" s="1" t="s">
        <v>170</v>
      </c>
      <c r="C963" s="7">
        <v>1169154</v>
      </c>
      <c r="D963" s="5">
        <v>5.69347E-4</v>
      </c>
    </row>
    <row r="964" spans="1:4" x14ac:dyDescent="0.2">
      <c r="A964">
        <v>2019</v>
      </c>
      <c r="B964" s="1" t="s">
        <v>171</v>
      </c>
      <c r="C964" s="7">
        <v>21008</v>
      </c>
      <c r="D964" s="5">
        <v>1.023E-5</v>
      </c>
    </row>
    <row r="965" spans="1:4" x14ac:dyDescent="0.2">
      <c r="A965">
        <v>2019</v>
      </c>
      <c r="B965" s="1" t="s">
        <v>172</v>
      </c>
      <c r="C965" s="7">
        <v>424706</v>
      </c>
      <c r="D965" s="5">
        <v>2.0682099999999999E-4</v>
      </c>
    </row>
    <row r="966" spans="1:4" x14ac:dyDescent="0.2">
      <c r="A966">
        <v>2019</v>
      </c>
      <c r="B966" s="1" t="s">
        <v>173</v>
      </c>
      <c r="C966" s="7">
        <v>70952</v>
      </c>
      <c r="D966" s="5">
        <v>3.4551999999999997E-5</v>
      </c>
    </row>
    <row r="967" spans="1:4" x14ac:dyDescent="0.2">
      <c r="A967">
        <v>2019</v>
      </c>
      <c r="B967" s="1" t="s">
        <v>174</v>
      </c>
      <c r="C967" s="7">
        <v>182613</v>
      </c>
      <c r="D967" s="5">
        <v>8.8928E-5</v>
      </c>
    </row>
    <row r="968" spans="1:4" x14ac:dyDescent="0.2">
      <c r="A968">
        <v>2019</v>
      </c>
      <c r="B968" s="1" t="s">
        <v>175</v>
      </c>
      <c r="C968" s="7">
        <v>401711</v>
      </c>
      <c r="D968" s="5">
        <v>1.9562299999999999E-4</v>
      </c>
    </row>
    <row r="969" spans="1:4" x14ac:dyDescent="0.2">
      <c r="A969">
        <v>2019</v>
      </c>
      <c r="B969" s="1" t="s">
        <v>176</v>
      </c>
      <c r="C969" s="7">
        <v>339139</v>
      </c>
      <c r="D969" s="5">
        <v>1.6515200000000001E-4</v>
      </c>
    </row>
    <row r="970" spans="1:4" x14ac:dyDescent="0.2">
      <c r="A970">
        <v>2019</v>
      </c>
      <c r="B970" s="1" t="s">
        <v>177</v>
      </c>
      <c r="C970" s="7">
        <v>34760</v>
      </c>
      <c r="D970" s="5">
        <v>1.6926999999999999E-5</v>
      </c>
    </row>
    <row r="971" spans="1:4" x14ac:dyDescent="0.2">
      <c r="A971">
        <v>2019</v>
      </c>
      <c r="B971" s="1" t="s">
        <v>231</v>
      </c>
      <c r="C971" s="7">
        <v>1882</v>
      </c>
      <c r="D971" s="5">
        <v>9.16E-7</v>
      </c>
    </row>
    <row r="972" spans="1:4" x14ac:dyDescent="0.2">
      <c r="A972">
        <v>2019</v>
      </c>
      <c r="B972" s="1" t="s">
        <v>179</v>
      </c>
      <c r="C972" s="7">
        <v>457777</v>
      </c>
      <c r="D972" s="5">
        <v>2.2292500000000001E-4</v>
      </c>
    </row>
    <row r="973" spans="1:4" x14ac:dyDescent="0.2">
      <c r="A973">
        <v>2019</v>
      </c>
      <c r="B973" s="1" t="s">
        <v>180</v>
      </c>
      <c r="C973" s="7">
        <v>120210</v>
      </c>
      <c r="D973" s="5">
        <v>5.8539000000000003E-5</v>
      </c>
    </row>
    <row r="974" spans="1:4" x14ac:dyDescent="0.2">
      <c r="A974">
        <v>2019</v>
      </c>
      <c r="B974" s="1" t="s">
        <v>181</v>
      </c>
      <c r="C974" s="7">
        <v>43206</v>
      </c>
      <c r="D974" s="5">
        <v>2.1039999999999998E-5</v>
      </c>
    </row>
    <row r="975" spans="1:4" x14ac:dyDescent="0.2">
      <c r="A975">
        <v>2019</v>
      </c>
      <c r="B975" s="1" t="s">
        <v>182</v>
      </c>
      <c r="C975" s="7">
        <v>74759</v>
      </c>
      <c r="D975" s="5">
        <v>3.6405999999999997E-5</v>
      </c>
    </row>
    <row r="976" spans="1:4" x14ac:dyDescent="0.2">
      <c r="A976">
        <v>2019</v>
      </c>
      <c r="B976" s="1" t="s">
        <v>183</v>
      </c>
      <c r="C976" s="7">
        <v>1844557</v>
      </c>
      <c r="D976" s="5">
        <v>8.9825099999999998E-4</v>
      </c>
    </row>
    <row r="977" spans="1:4" x14ac:dyDescent="0.2">
      <c r="A977">
        <v>2019</v>
      </c>
      <c r="B977" s="1" t="s">
        <v>184</v>
      </c>
      <c r="C977" s="7">
        <v>89374</v>
      </c>
      <c r="D977" s="5">
        <v>4.3523000000000003E-5</v>
      </c>
    </row>
    <row r="978" spans="1:4" x14ac:dyDescent="0.2">
      <c r="A978">
        <v>2019</v>
      </c>
      <c r="B978" s="1" t="s">
        <v>185</v>
      </c>
      <c r="C978" s="7">
        <v>11794</v>
      </c>
      <c r="D978" s="5">
        <v>5.7429999999999999E-6</v>
      </c>
    </row>
    <row r="979" spans="1:4" x14ac:dyDescent="0.2">
      <c r="A979">
        <v>2019</v>
      </c>
      <c r="B979" s="1" t="s">
        <v>186</v>
      </c>
      <c r="C979" s="7">
        <v>542</v>
      </c>
      <c r="D979" s="5">
        <v>2.6399999999999998E-7</v>
      </c>
    </row>
    <row r="980" spans="1:4" x14ac:dyDescent="0.2">
      <c r="A980">
        <v>2019</v>
      </c>
      <c r="B980" s="1" t="s">
        <v>187</v>
      </c>
      <c r="C980" s="7">
        <v>72119</v>
      </c>
      <c r="D980" s="5">
        <v>3.5120000000000003E-5</v>
      </c>
    </row>
    <row r="981" spans="1:4" x14ac:dyDescent="0.2">
      <c r="A981">
        <v>2019</v>
      </c>
      <c r="B981" s="1" t="s">
        <v>188</v>
      </c>
      <c r="C981" s="7">
        <v>21768</v>
      </c>
      <c r="D981" s="5">
        <v>1.06E-5</v>
      </c>
    </row>
    <row r="982" spans="1:4" x14ac:dyDescent="0.2">
      <c r="A982">
        <v>2019</v>
      </c>
      <c r="B982" s="1" t="s">
        <v>189</v>
      </c>
      <c r="C982" s="7">
        <v>11399</v>
      </c>
      <c r="D982" s="5">
        <v>5.5509999999999999E-6</v>
      </c>
    </row>
    <row r="983" spans="1:4" x14ac:dyDescent="0.2">
      <c r="A983">
        <v>2019</v>
      </c>
      <c r="B983" s="1" t="s">
        <v>190</v>
      </c>
      <c r="C983" s="7">
        <v>7502</v>
      </c>
      <c r="D983" s="5">
        <v>3.653E-6</v>
      </c>
    </row>
    <row r="984" spans="1:4" x14ac:dyDescent="0.2">
      <c r="A984">
        <v>2019</v>
      </c>
      <c r="B984" s="1" t="s">
        <v>191</v>
      </c>
      <c r="C984" s="7">
        <v>485324</v>
      </c>
      <c r="D984" s="5">
        <v>2.3634E-4</v>
      </c>
    </row>
    <row r="985" spans="1:4" x14ac:dyDescent="0.2">
      <c r="A985">
        <v>2019</v>
      </c>
      <c r="B985" s="1" t="s">
        <v>192</v>
      </c>
      <c r="C985" s="7">
        <v>626065</v>
      </c>
      <c r="D985" s="5">
        <v>3.04877E-4</v>
      </c>
    </row>
    <row r="986" spans="1:4" x14ac:dyDescent="0.2">
      <c r="A986">
        <v>2019</v>
      </c>
      <c r="B986" s="1" t="s">
        <v>193</v>
      </c>
      <c r="C986" s="7">
        <v>55838</v>
      </c>
      <c r="D986" s="5">
        <v>2.7192E-5</v>
      </c>
    </row>
    <row r="987" spans="1:4" x14ac:dyDescent="0.2">
      <c r="A987">
        <v>2019</v>
      </c>
      <c r="B987" s="1" t="s">
        <v>194</v>
      </c>
      <c r="C987" s="7">
        <v>4612</v>
      </c>
      <c r="D987" s="5">
        <v>2.2460000000000002E-6</v>
      </c>
    </row>
    <row r="988" spans="1:4" x14ac:dyDescent="0.2">
      <c r="A988">
        <v>2019</v>
      </c>
      <c r="B988" s="1" t="s">
        <v>195</v>
      </c>
      <c r="C988" s="7">
        <v>856341</v>
      </c>
      <c r="D988" s="5">
        <v>4.1701599999999998E-4</v>
      </c>
    </row>
    <row r="989" spans="1:4" x14ac:dyDescent="0.2">
      <c r="A989">
        <v>2019</v>
      </c>
      <c r="B989" s="1" t="s">
        <v>196</v>
      </c>
      <c r="C989" s="7">
        <v>530857</v>
      </c>
      <c r="D989" s="5">
        <v>2.5851299999999998E-4</v>
      </c>
    </row>
    <row r="990" spans="1:4" x14ac:dyDescent="0.2">
      <c r="A990">
        <v>2019</v>
      </c>
      <c r="B990" s="1" t="s">
        <v>197</v>
      </c>
      <c r="C990" s="7">
        <v>541517</v>
      </c>
      <c r="D990" s="5">
        <v>2.6370499999999998E-4</v>
      </c>
    </row>
    <row r="991" spans="1:4" x14ac:dyDescent="0.2">
      <c r="A991">
        <v>2019</v>
      </c>
      <c r="B991" s="1" t="s">
        <v>198</v>
      </c>
      <c r="C991" s="7">
        <v>2787</v>
      </c>
      <c r="D991" s="5">
        <v>1.3570000000000001E-6</v>
      </c>
    </row>
    <row r="992" spans="1:4" x14ac:dyDescent="0.2">
      <c r="A992">
        <v>2019</v>
      </c>
      <c r="B992" s="1" t="s">
        <v>199</v>
      </c>
      <c r="C992" s="7">
        <v>1448264</v>
      </c>
      <c r="D992" s="5">
        <v>7.0526599999999997E-4</v>
      </c>
    </row>
    <row r="993" spans="1:4" x14ac:dyDescent="0.2">
      <c r="A993">
        <v>2019</v>
      </c>
      <c r="B993" s="1" t="s">
        <v>200</v>
      </c>
      <c r="C993" s="7">
        <v>9419</v>
      </c>
      <c r="D993" s="5">
        <v>4.5870000000000003E-6</v>
      </c>
    </row>
    <row r="994" spans="1:4" x14ac:dyDescent="0.2">
      <c r="A994">
        <v>2019</v>
      </c>
      <c r="B994" s="1" t="s">
        <v>201</v>
      </c>
      <c r="C994" s="7">
        <v>4849</v>
      </c>
      <c r="D994" s="5">
        <v>2.3609999999999999E-6</v>
      </c>
    </row>
    <row r="995" spans="1:4" x14ac:dyDescent="0.2">
      <c r="A995">
        <v>2019</v>
      </c>
      <c r="B995" s="1" t="s">
        <v>202</v>
      </c>
      <c r="C995" s="7">
        <v>98970</v>
      </c>
      <c r="D995" s="5">
        <v>4.8195999999999997E-5</v>
      </c>
    </row>
    <row r="996" spans="1:4" x14ac:dyDescent="0.2">
      <c r="A996">
        <v>2020</v>
      </c>
      <c r="B996" s="1" t="s">
        <v>228</v>
      </c>
      <c r="C996" s="7">
        <v>2000928371</v>
      </c>
      <c r="D996" s="5">
        <v>0.93324140700000002</v>
      </c>
    </row>
    <row r="997" spans="1:4" x14ac:dyDescent="0.2">
      <c r="A997">
        <v>2020</v>
      </c>
      <c r="B997" s="1" t="s">
        <v>5</v>
      </c>
      <c r="C997" s="7">
        <v>33987</v>
      </c>
      <c r="D997" s="5">
        <v>1.5852E-5</v>
      </c>
    </row>
    <row r="998" spans="1:4" x14ac:dyDescent="0.2">
      <c r="A998">
        <v>2020</v>
      </c>
      <c r="B998" s="1" t="s">
        <v>7</v>
      </c>
      <c r="C998" s="7">
        <v>82099</v>
      </c>
      <c r="D998" s="5">
        <v>3.8291000000000003E-5</v>
      </c>
    </row>
    <row r="999" spans="1:4" x14ac:dyDescent="0.2">
      <c r="A999">
        <v>2020</v>
      </c>
      <c r="B999" s="1" t="s">
        <v>8</v>
      </c>
      <c r="C999" s="7">
        <v>1476726</v>
      </c>
      <c r="D999" s="5">
        <v>6.8875100000000003E-4</v>
      </c>
    </row>
    <row r="1000" spans="1:4" x14ac:dyDescent="0.2">
      <c r="A1000">
        <v>2020</v>
      </c>
      <c r="B1000" s="1" t="s">
        <v>203</v>
      </c>
      <c r="C1000" s="7">
        <v>340843</v>
      </c>
      <c r="D1000" s="5">
        <v>1.5897099999999999E-4</v>
      </c>
    </row>
    <row r="1001" spans="1:4" x14ac:dyDescent="0.2">
      <c r="A1001">
        <v>2020</v>
      </c>
      <c r="B1001" s="1" t="s">
        <v>9</v>
      </c>
      <c r="C1001" s="7">
        <v>2953</v>
      </c>
      <c r="D1001" s="5">
        <v>1.3769999999999999E-6</v>
      </c>
    </row>
    <row r="1002" spans="1:4" x14ac:dyDescent="0.2">
      <c r="A1002">
        <v>2020</v>
      </c>
      <c r="B1002" s="1" t="s">
        <v>10</v>
      </c>
      <c r="C1002" s="7">
        <v>38945</v>
      </c>
      <c r="D1002" s="5">
        <v>1.8164000000000001E-5</v>
      </c>
    </row>
    <row r="1003" spans="1:4" x14ac:dyDescent="0.2">
      <c r="A1003">
        <v>2020</v>
      </c>
      <c r="B1003" s="1" t="s">
        <v>11</v>
      </c>
      <c r="C1003" s="7">
        <v>582676</v>
      </c>
      <c r="D1003" s="5">
        <v>2.7176300000000001E-4</v>
      </c>
    </row>
    <row r="1004" spans="1:4" x14ac:dyDescent="0.2">
      <c r="A1004">
        <v>2020</v>
      </c>
      <c r="B1004" s="1" t="s">
        <v>12</v>
      </c>
      <c r="C1004" s="7">
        <v>59185</v>
      </c>
      <c r="D1004" s="5">
        <v>2.7603999999999999E-5</v>
      </c>
    </row>
    <row r="1005" spans="1:4" x14ac:dyDescent="0.2">
      <c r="A1005">
        <v>2020</v>
      </c>
      <c r="B1005" s="1" t="s">
        <v>13</v>
      </c>
      <c r="C1005" s="7">
        <v>11970</v>
      </c>
      <c r="D1005" s="5">
        <v>5.5829999999999997E-6</v>
      </c>
    </row>
    <row r="1006" spans="1:4" x14ac:dyDescent="0.2">
      <c r="A1006">
        <v>2020</v>
      </c>
      <c r="B1006" s="1" t="s">
        <v>14</v>
      </c>
      <c r="C1006" s="7">
        <v>27517</v>
      </c>
      <c r="D1006" s="5">
        <v>1.2833999999999999E-5</v>
      </c>
    </row>
    <row r="1007" spans="1:4" x14ac:dyDescent="0.2">
      <c r="A1007">
        <v>2020</v>
      </c>
      <c r="B1007" s="1" t="s">
        <v>15</v>
      </c>
      <c r="C1007" s="7">
        <v>1663063</v>
      </c>
      <c r="D1007" s="5">
        <v>7.7565999999999996E-4</v>
      </c>
    </row>
    <row r="1008" spans="1:4" x14ac:dyDescent="0.2">
      <c r="A1008">
        <v>2020</v>
      </c>
      <c r="B1008" s="1" t="s">
        <v>16</v>
      </c>
      <c r="C1008" s="7">
        <v>341931</v>
      </c>
      <c r="D1008" s="5">
        <v>1.5947800000000001E-4</v>
      </c>
    </row>
    <row r="1009" spans="1:4" x14ac:dyDescent="0.2">
      <c r="A1009">
        <v>2020</v>
      </c>
      <c r="B1009" s="1" t="s">
        <v>17</v>
      </c>
      <c r="C1009" s="7">
        <v>41853</v>
      </c>
      <c r="D1009" s="5">
        <v>1.9521000000000002E-5</v>
      </c>
    </row>
    <row r="1010" spans="1:4" x14ac:dyDescent="0.2">
      <c r="A1010">
        <v>2020</v>
      </c>
      <c r="B1010" s="1" t="s">
        <v>18</v>
      </c>
      <c r="C1010" s="7">
        <v>2366721</v>
      </c>
      <c r="D1010" s="5">
        <v>1.1038490000000001E-3</v>
      </c>
    </row>
    <row r="1011" spans="1:4" x14ac:dyDescent="0.2">
      <c r="A1011">
        <v>2020</v>
      </c>
      <c r="B1011" s="1" t="s">
        <v>19</v>
      </c>
      <c r="C1011" s="7">
        <v>70863</v>
      </c>
      <c r="D1011" s="5">
        <v>3.3050999999999999E-5</v>
      </c>
    </row>
    <row r="1012" spans="1:4" x14ac:dyDescent="0.2">
      <c r="A1012">
        <v>2020</v>
      </c>
      <c r="B1012" s="1" t="s">
        <v>20</v>
      </c>
      <c r="C1012" s="7">
        <v>26015</v>
      </c>
      <c r="D1012" s="5">
        <v>1.2133000000000001E-5</v>
      </c>
    </row>
    <row r="1013" spans="1:4" x14ac:dyDescent="0.2">
      <c r="A1013">
        <v>2020</v>
      </c>
      <c r="B1013" s="1" t="s">
        <v>21</v>
      </c>
      <c r="C1013" s="7">
        <v>7277321</v>
      </c>
      <c r="D1013" s="5">
        <v>3.3941729999999999E-3</v>
      </c>
    </row>
    <row r="1014" spans="1:4" x14ac:dyDescent="0.2">
      <c r="A1014">
        <v>2020</v>
      </c>
      <c r="B1014" s="1" t="s">
        <v>205</v>
      </c>
      <c r="C1014" s="7">
        <v>694585</v>
      </c>
      <c r="D1014" s="5">
        <v>3.2395699999999999E-4</v>
      </c>
    </row>
    <row r="1015" spans="1:4" x14ac:dyDescent="0.2">
      <c r="A1015">
        <v>2020</v>
      </c>
      <c r="B1015" s="1" t="s">
        <v>206</v>
      </c>
      <c r="C1015" s="7">
        <v>2640694</v>
      </c>
      <c r="D1015" s="5">
        <v>1.231631E-3</v>
      </c>
    </row>
    <row r="1016" spans="1:4" x14ac:dyDescent="0.2">
      <c r="A1016">
        <v>2020</v>
      </c>
      <c r="B1016" s="1" t="s">
        <v>25</v>
      </c>
      <c r="C1016" s="7">
        <v>65022</v>
      </c>
      <c r="D1016" s="5">
        <v>3.0326999999999999E-5</v>
      </c>
    </row>
    <row r="1017" spans="1:4" x14ac:dyDescent="0.2">
      <c r="A1017">
        <v>2020</v>
      </c>
      <c r="B1017" s="1" t="s">
        <v>26</v>
      </c>
      <c r="C1017" s="7">
        <v>58753</v>
      </c>
      <c r="D1017" s="5">
        <v>2.7402999999999998E-5</v>
      </c>
    </row>
    <row r="1018" spans="1:4" x14ac:dyDescent="0.2">
      <c r="A1018">
        <v>2020</v>
      </c>
      <c r="B1018" s="1" t="s">
        <v>27</v>
      </c>
      <c r="C1018" s="7">
        <v>12249</v>
      </c>
      <c r="D1018" s="5">
        <v>5.7130000000000002E-6</v>
      </c>
    </row>
    <row r="1019" spans="1:4" x14ac:dyDescent="0.2">
      <c r="A1019">
        <v>2020</v>
      </c>
      <c r="B1019" s="1" t="s">
        <v>28</v>
      </c>
      <c r="C1019" s="7">
        <v>369184</v>
      </c>
      <c r="D1019" s="5">
        <v>1.72189E-4</v>
      </c>
    </row>
    <row r="1020" spans="1:4" x14ac:dyDescent="0.2">
      <c r="A1020">
        <v>2020</v>
      </c>
      <c r="B1020" s="1" t="s">
        <v>29</v>
      </c>
      <c r="C1020" s="7">
        <v>97414</v>
      </c>
      <c r="D1020" s="5">
        <v>4.5433999999999999E-5</v>
      </c>
    </row>
    <row r="1021" spans="1:4" x14ac:dyDescent="0.2">
      <c r="A1021">
        <v>2020</v>
      </c>
      <c r="B1021" s="1" t="s">
        <v>229</v>
      </c>
      <c r="C1021" s="7">
        <v>2183</v>
      </c>
      <c r="D1021" s="5">
        <v>1.018E-6</v>
      </c>
    </row>
    <row r="1022" spans="1:4" x14ac:dyDescent="0.2">
      <c r="A1022">
        <v>2020</v>
      </c>
      <c r="B1022" s="1" t="s">
        <v>31</v>
      </c>
      <c r="C1022" s="7">
        <v>240723</v>
      </c>
      <c r="D1022" s="5">
        <v>1.12274E-4</v>
      </c>
    </row>
    <row r="1023" spans="1:4" x14ac:dyDescent="0.2">
      <c r="A1023">
        <v>2020</v>
      </c>
      <c r="B1023" s="1" t="s">
        <v>32</v>
      </c>
      <c r="C1023" s="7">
        <v>1472957</v>
      </c>
      <c r="D1023" s="5">
        <v>6.86993E-4</v>
      </c>
    </row>
    <row r="1024" spans="1:4" x14ac:dyDescent="0.2">
      <c r="A1024">
        <v>2020</v>
      </c>
      <c r="B1024" s="1" t="s">
        <v>33</v>
      </c>
      <c r="C1024" s="7">
        <v>186108</v>
      </c>
      <c r="D1024" s="5">
        <v>8.6800999999999998E-5</v>
      </c>
    </row>
    <row r="1025" spans="1:4" x14ac:dyDescent="0.2">
      <c r="A1025">
        <v>2020</v>
      </c>
      <c r="B1025" s="1" t="s">
        <v>34</v>
      </c>
      <c r="C1025" s="7">
        <v>1503572</v>
      </c>
      <c r="D1025" s="5">
        <v>7.0127199999999996E-4</v>
      </c>
    </row>
    <row r="1026" spans="1:4" x14ac:dyDescent="0.2">
      <c r="A1026">
        <v>2020</v>
      </c>
      <c r="B1026" s="1" t="s">
        <v>35</v>
      </c>
      <c r="C1026" s="7">
        <v>343476</v>
      </c>
      <c r="D1026" s="5">
        <v>1.6019799999999999E-4</v>
      </c>
    </row>
    <row r="1027" spans="1:4" x14ac:dyDescent="0.2">
      <c r="A1027">
        <v>2020</v>
      </c>
      <c r="B1027" s="1" t="s">
        <v>36</v>
      </c>
      <c r="C1027" s="7">
        <v>568094</v>
      </c>
      <c r="D1027" s="5">
        <v>2.6496100000000003E-4</v>
      </c>
    </row>
    <row r="1028" spans="1:4" x14ac:dyDescent="0.2">
      <c r="A1028">
        <v>2020</v>
      </c>
      <c r="B1028" s="1" t="s">
        <v>37</v>
      </c>
      <c r="C1028" s="7" t="s">
        <v>6</v>
      </c>
      <c r="D1028" s="5">
        <v>0</v>
      </c>
    </row>
    <row r="1029" spans="1:4" x14ac:dyDescent="0.2">
      <c r="A1029">
        <v>2020</v>
      </c>
      <c r="B1029" s="1" t="s">
        <v>38</v>
      </c>
      <c r="C1029" s="7">
        <v>22898</v>
      </c>
      <c r="D1029" s="5">
        <v>1.0679999999999999E-5</v>
      </c>
    </row>
    <row r="1030" spans="1:4" x14ac:dyDescent="0.2">
      <c r="A1030">
        <v>2020</v>
      </c>
      <c r="B1030" s="1" t="s">
        <v>39</v>
      </c>
      <c r="C1030" s="7">
        <v>548891</v>
      </c>
      <c r="D1030" s="5">
        <v>2.5600500000000001E-4</v>
      </c>
    </row>
    <row r="1031" spans="1:4" x14ac:dyDescent="0.2">
      <c r="A1031">
        <v>2020</v>
      </c>
      <c r="B1031" s="1" t="s">
        <v>40</v>
      </c>
      <c r="C1031" s="7">
        <v>26620</v>
      </c>
      <c r="D1031" s="5">
        <v>1.2415999999999999E-5</v>
      </c>
    </row>
    <row r="1032" spans="1:4" x14ac:dyDescent="0.2">
      <c r="A1032">
        <v>2020</v>
      </c>
      <c r="B1032" s="1" t="s">
        <v>207</v>
      </c>
      <c r="C1032" s="7">
        <v>532072</v>
      </c>
      <c r="D1032" s="5">
        <v>2.48161E-4</v>
      </c>
    </row>
    <row r="1033" spans="1:4" x14ac:dyDescent="0.2">
      <c r="A1033">
        <v>2020</v>
      </c>
      <c r="B1033" s="1" t="s">
        <v>42</v>
      </c>
      <c r="C1033" s="7">
        <v>31922</v>
      </c>
      <c r="D1033" s="5">
        <v>1.4888999999999999E-5</v>
      </c>
    </row>
    <row r="1034" spans="1:4" x14ac:dyDescent="0.2">
      <c r="A1034">
        <v>2020</v>
      </c>
      <c r="B1034" s="1" t="s">
        <v>43</v>
      </c>
      <c r="C1034" s="7">
        <v>82858</v>
      </c>
      <c r="D1034" s="5">
        <v>3.8645E-5</v>
      </c>
    </row>
    <row r="1035" spans="1:4" x14ac:dyDescent="0.2">
      <c r="A1035">
        <v>2020</v>
      </c>
      <c r="B1035" s="1" t="s">
        <v>44</v>
      </c>
      <c r="C1035" s="7">
        <v>1900389</v>
      </c>
      <c r="D1035" s="5">
        <v>8.8635000000000005E-4</v>
      </c>
    </row>
    <row r="1036" spans="1:4" x14ac:dyDescent="0.2">
      <c r="A1036">
        <v>2020</v>
      </c>
      <c r="B1036" s="1" t="s">
        <v>45</v>
      </c>
      <c r="C1036" s="7">
        <v>27566</v>
      </c>
      <c r="D1036" s="5">
        <v>1.2857000000000001E-5</v>
      </c>
    </row>
    <row r="1037" spans="1:4" x14ac:dyDescent="0.2">
      <c r="A1037">
        <v>2020</v>
      </c>
      <c r="B1037" s="1" t="s">
        <v>46</v>
      </c>
      <c r="C1037" s="7">
        <v>39623</v>
      </c>
      <c r="D1037" s="5">
        <v>1.8479999999999999E-5</v>
      </c>
    </row>
    <row r="1038" spans="1:4" x14ac:dyDescent="0.2">
      <c r="A1038">
        <v>2020</v>
      </c>
      <c r="B1038" s="1" t="s">
        <v>47</v>
      </c>
      <c r="C1038" s="7">
        <v>1795296</v>
      </c>
      <c r="D1038" s="5">
        <v>8.3733400000000002E-4</v>
      </c>
    </row>
    <row r="1039" spans="1:4" x14ac:dyDescent="0.2">
      <c r="A1039">
        <v>2020</v>
      </c>
      <c r="B1039" s="1" t="s">
        <v>48</v>
      </c>
      <c r="C1039" s="7">
        <v>48237</v>
      </c>
      <c r="D1039" s="5">
        <v>2.2498E-5</v>
      </c>
    </row>
    <row r="1040" spans="1:4" x14ac:dyDescent="0.2">
      <c r="A1040">
        <v>2020</v>
      </c>
      <c r="B1040" s="1" t="s">
        <v>49</v>
      </c>
      <c r="C1040" s="7">
        <v>27192</v>
      </c>
      <c r="D1040" s="5">
        <v>1.2682E-5</v>
      </c>
    </row>
    <row r="1041" spans="1:4" x14ac:dyDescent="0.2">
      <c r="A1041">
        <v>2020</v>
      </c>
      <c r="B1041" s="1" t="s">
        <v>50</v>
      </c>
      <c r="C1041" s="7">
        <v>1167926</v>
      </c>
      <c r="D1041" s="5">
        <v>5.4472600000000004E-4</v>
      </c>
    </row>
    <row r="1042" spans="1:4" x14ac:dyDescent="0.2">
      <c r="A1042">
        <v>2020</v>
      </c>
      <c r="B1042" s="1" t="s">
        <v>51</v>
      </c>
      <c r="C1042" s="7">
        <v>92189</v>
      </c>
      <c r="D1042" s="5">
        <v>4.2997000000000002E-5</v>
      </c>
    </row>
    <row r="1043" spans="1:4" x14ac:dyDescent="0.2">
      <c r="A1043">
        <v>2020</v>
      </c>
      <c r="B1043" s="1" t="s">
        <v>52</v>
      </c>
      <c r="C1043" s="7">
        <v>22668</v>
      </c>
      <c r="D1043" s="5">
        <v>1.0572E-5</v>
      </c>
    </row>
    <row r="1044" spans="1:4" x14ac:dyDescent="0.2">
      <c r="A1044">
        <v>2020</v>
      </c>
      <c r="B1044" s="1" t="s">
        <v>53</v>
      </c>
      <c r="C1044" s="7" t="s">
        <v>6</v>
      </c>
      <c r="D1044" s="5">
        <v>0</v>
      </c>
    </row>
    <row r="1045" spans="1:4" x14ac:dyDescent="0.2">
      <c r="A1045">
        <v>2020</v>
      </c>
      <c r="B1045" s="1" t="s">
        <v>54</v>
      </c>
      <c r="C1045" s="7">
        <v>140650</v>
      </c>
      <c r="D1045" s="5">
        <v>6.5599999999999995E-5</v>
      </c>
    </row>
    <row r="1046" spans="1:4" x14ac:dyDescent="0.2">
      <c r="A1046">
        <v>2020</v>
      </c>
      <c r="B1046" s="1" t="s">
        <v>55</v>
      </c>
      <c r="C1046" s="7">
        <v>104890</v>
      </c>
      <c r="D1046" s="5">
        <v>4.8921000000000001E-5</v>
      </c>
    </row>
    <row r="1047" spans="1:4" x14ac:dyDescent="0.2">
      <c r="A1047">
        <v>2020</v>
      </c>
      <c r="B1047" s="1" t="s">
        <v>56</v>
      </c>
      <c r="C1047" s="7">
        <v>173996</v>
      </c>
      <c r="D1047" s="5">
        <v>8.1153E-5</v>
      </c>
    </row>
    <row r="1048" spans="1:4" x14ac:dyDescent="0.2">
      <c r="A1048">
        <v>2020</v>
      </c>
      <c r="B1048" s="1" t="s">
        <v>232</v>
      </c>
      <c r="C1048" s="7">
        <v>145125</v>
      </c>
      <c r="D1048" s="5">
        <v>6.7687000000000004E-5</v>
      </c>
    </row>
    <row r="1049" spans="1:4" x14ac:dyDescent="0.2">
      <c r="A1049">
        <v>2020</v>
      </c>
      <c r="B1049" s="1" t="s">
        <v>57</v>
      </c>
      <c r="C1049" s="7">
        <v>4470</v>
      </c>
      <c r="D1049" s="5">
        <v>2.0849999999999999E-6</v>
      </c>
    </row>
    <row r="1050" spans="1:4" x14ac:dyDescent="0.2">
      <c r="A1050">
        <v>2020</v>
      </c>
      <c r="B1050" s="1" t="s">
        <v>58</v>
      </c>
      <c r="C1050" s="7">
        <v>246373</v>
      </c>
      <c r="D1050" s="5">
        <v>1.1490899999999999E-4</v>
      </c>
    </row>
    <row r="1051" spans="1:4" x14ac:dyDescent="0.2">
      <c r="A1051">
        <v>2020</v>
      </c>
      <c r="B1051" s="1" t="s">
        <v>59</v>
      </c>
      <c r="C1051" s="7">
        <v>370183</v>
      </c>
      <c r="D1051" s="5">
        <v>1.7265499999999999E-4</v>
      </c>
    </row>
    <row r="1052" spans="1:4" x14ac:dyDescent="0.2">
      <c r="A1052">
        <v>2020</v>
      </c>
      <c r="B1052" s="1" t="s">
        <v>60</v>
      </c>
      <c r="C1052" s="7">
        <v>75405</v>
      </c>
      <c r="D1052" s="5">
        <v>3.5169000000000002E-5</v>
      </c>
    </row>
    <row r="1053" spans="1:4" x14ac:dyDescent="0.2">
      <c r="A1053">
        <v>2020</v>
      </c>
      <c r="B1053" s="1" t="s">
        <v>61</v>
      </c>
      <c r="C1053" s="7">
        <v>40496</v>
      </c>
      <c r="D1053" s="5">
        <v>1.8887000000000001E-5</v>
      </c>
    </row>
    <row r="1054" spans="1:4" x14ac:dyDescent="0.2">
      <c r="A1054">
        <v>2020</v>
      </c>
      <c r="B1054" s="1" t="s">
        <v>209</v>
      </c>
      <c r="C1054" s="7">
        <v>709744</v>
      </c>
      <c r="D1054" s="5">
        <v>3.3102799999999998E-4</v>
      </c>
    </row>
    <row r="1055" spans="1:4" x14ac:dyDescent="0.2">
      <c r="A1055">
        <v>2020</v>
      </c>
      <c r="B1055" s="1" t="s">
        <v>63</v>
      </c>
      <c r="C1055" s="7">
        <v>1186772</v>
      </c>
      <c r="D1055" s="5">
        <v>5.5351599999999999E-4</v>
      </c>
    </row>
    <row r="1056" spans="1:4" x14ac:dyDescent="0.2">
      <c r="A1056">
        <v>2020</v>
      </c>
      <c r="B1056" s="1" t="s">
        <v>64</v>
      </c>
      <c r="C1056" s="7">
        <v>292726</v>
      </c>
      <c r="D1056" s="5">
        <v>1.3652900000000001E-4</v>
      </c>
    </row>
    <row r="1057" spans="1:4" x14ac:dyDescent="0.2">
      <c r="A1057">
        <v>2020</v>
      </c>
      <c r="B1057" s="1" t="s">
        <v>65</v>
      </c>
      <c r="C1057" s="7">
        <v>194689</v>
      </c>
      <c r="D1057" s="5">
        <v>9.0803999999999993E-5</v>
      </c>
    </row>
    <row r="1058" spans="1:4" x14ac:dyDescent="0.2">
      <c r="A1058">
        <v>2020</v>
      </c>
      <c r="B1058" s="1" t="s">
        <v>66</v>
      </c>
      <c r="C1058" s="7">
        <v>791207</v>
      </c>
      <c r="D1058" s="5">
        <v>3.6902199999999999E-4</v>
      </c>
    </row>
    <row r="1059" spans="1:4" x14ac:dyDescent="0.2">
      <c r="A1059">
        <v>2020</v>
      </c>
      <c r="B1059" s="1" t="s">
        <v>67</v>
      </c>
      <c r="C1059" s="7">
        <v>569778</v>
      </c>
      <c r="D1059" s="5">
        <v>2.6574699999999999E-4</v>
      </c>
    </row>
    <row r="1060" spans="1:4" x14ac:dyDescent="0.2">
      <c r="A1060">
        <v>2020</v>
      </c>
      <c r="B1060" s="1" t="s">
        <v>68</v>
      </c>
      <c r="C1060" s="7">
        <v>28777</v>
      </c>
      <c r="D1060" s="5">
        <v>1.3422E-5</v>
      </c>
    </row>
    <row r="1061" spans="1:4" x14ac:dyDescent="0.2">
      <c r="A1061">
        <v>2020</v>
      </c>
      <c r="B1061" s="1" t="s">
        <v>69</v>
      </c>
      <c r="C1061" s="7">
        <v>433918</v>
      </c>
      <c r="D1061" s="5">
        <v>2.0238100000000001E-4</v>
      </c>
    </row>
    <row r="1062" spans="1:4" x14ac:dyDescent="0.2">
      <c r="A1062">
        <v>2020</v>
      </c>
      <c r="B1062" s="1" t="s">
        <v>70</v>
      </c>
      <c r="C1062" s="7">
        <v>160497</v>
      </c>
      <c r="D1062" s="5">
        <v>7.4856000000000003E-5</v>
      </c>
    </row>
    <row r="1063" spans="1:4" x14ac:dyDescent="0.2">
      <c r="A1063">
        <v>2020</v>
      </c>
      <c r="B1063" s="1" t="s">
        <v>71</v>
      </c>
      <c r="C1063" s="7">
        <v>10541</v>
      </c>
      <c r="D1063" s="5">
        <v>4.916E-6</v>
      </c>
    </row>
    <row r="1064" spans="1:4" x14ac:dyDescent="0.2">
      <c r="A1064">
        <v>2020</v>
      </c>
      <c r="B1064" s="1" t="s">
        <v>72</v>
      </c>
      <c r="C1064" s="7">
        <v>40289</v>
      </c>
      <c r="D1064" s="5">
        <v>1.8791E-5</v>
      </c>
    </row>
    <row r="1065" spans="1:4" x14ac:dyDescent="0.2">
      <c r="A1065">
        <v>2020</v>
      </c>
      <c r="B1065" s="1" t="s">
        <v>73</v>
      </c>
      <c r="C1065" s="7">
        <v>18860</v>
      </c>
      <c r="D1065" s="5">
        <v>8.7960000000000001E-6</v>
      </c>
    </row>
    <row r="1066" spans="1:4" x14ac:dyDescent="0.2">
      <c r="A1066">
        <v>2020</v>
      </c>
      <c r="B1066" s="1" t="s">
        <v>74</v>
      </c>
      <c r="C1066" s="7">
        <v>7030</v>
      </c>
      <c r="D1066" s="5">
        <v>3.2789999999999999E-6</v>
      </c>
    </row>
    <row r="1067" spans="1:4" x14ac:dyDescent="0.2">
      <c r="A1067">
        <v>2020</v>
      </c>
      <c r="B1067" s="1" t="s">
        <v>75</v>
      </c>
      <c r="C1067" s="7">
        <v>65277</v>
      </c>
      <c r="D1067" s="5">
        <v>3.0446E-5</v>
      </c>
    </row>
    <row r="1068" spans="1:4" x14ac:dyDescent="0.2">
      <c r="A1068">
        <v>2020</v>
      </c>
      <c r="B1068" s="1" t="s">
        <v>76</v>
      </c>
      <c r="C1068" s="7">
        <v>102095</v>
      </c>
      <c r="D1068" s="5">
        <v>4.7617999999999997E-5</v>
      </c>
    </row>
    <row r="1069" spans="1:4" x14ac:dyDescent="0.2">
      <c r="A1069">
        <v>2020</v>
      </c>
      <c r="B1069" s="1" t="s">
        <v>77</v>
      </c>
      <c r="C1069" s="7">
        <v>11969</v>
      </c>
      <c r="D1069" s="5">
        <v>5.5820000000000001E-6</v>
      </c>
    </row>
    <row r="1070" spans="1:4" x14ac:dyDescent="0.2">
      <c r="A1070">
        <v>2020</v>
      </c>
      <c r="B1070" s="1" t="s">
        <v>78</v>
      </c>
      <c r="C1070" s="7">
        <v>4429239</v>
      </c>
      <c r="D1070" s="5">
        <v>2.0658159999999998E-3</v>
      </c>
    </row>
    <row r="1071" spans="1:4" x14ac:dyDescent="0.2">
      <c r="A1071">
        <v>2020</v>
      </c>
      <c r="B1071" s="1" t="s">
        <v>79</v>
      </c>
      <c r="C1071" s="7">
        <v>168757</v>
      </c>
      <c r="D1071" s="5">
        <v>7.8708999999999995E-5</v>
      </c>
    </row>
    <row r="1072" spans="1:4" x14ac:dyDescent="0.2">
      <c r="A1072">
        <v>2020</v>
      </c>
      <c r="B1072" s="1" t="s">
        <v>80</v>
      </c>
      <c r="C1072" s="7">
        <v>108500</v>
      </c>
      <c r="D1072" s="5">
        <v>5.0605000000000001E-5</v>
      </c>
    </row>
    <row r="1073" spans="1:4" x14ac:dyDescent="0.2">
      <c r="A1073">
        <v>2020</v>
      </c>
      <c r="B1073" s="1" t="s">
        <v>81</v>
      </c>
      <c r="C1073" s="7">
        <v>146512</v>
      </c>
      <c r="D1073" s="5">
        <v>6.8334E-5</v>
      </c>
    </row>
    <row r="1074" spans="1:4" x14ac:dyDescent="0.2">
      <c r="A1074">
        <v>2020</v>
      </c>
      <c r="B1074" s="1" t="s">
        <v>82</v>
      </c>
      <c r="C1074" s="7">
        <v>3324</v>
      </c>
      <c r="D1074" s="5">
        <v>1.55E-6</v>
      </c>
    </row>
    <row r="1075" spans="1:4" x14ac:dyDescent="0.2">
      <c r="A1075">
        <v>2020</v>
      </c>
      <c r="B1075" s="1" t="s">
        <v>83</v>
      </c>
      <c r="C1075" s="7">
        <v>420881</v>
      </c>
      <c r="D1075" s="5">
        <v>1.9630099999999999E-4</v>
      </c>
    </row>
    <row r="1076" spans="1:4" x14ac:dyDescent="0.2">
      <c r="A1076">
        <v>2020</v>
      </c>
      <c r="B1076" s="1" t="s">
        <v>84</v>
      </c>
      <c r="C1076" s="7">
        <v>24365</v>
      </c>
      <c r="D1076" s="5">
        <v>1.1364E-5</v>
      </c>
    </row>
    <row r="1077" spans="1:4" x14ac:dyDescent="0.2">
      <c r="A1077">
        <v>2020</v>
      </c>
      <c r="B1077" s="1" t="s">
        <v>85</v>
      </c>
      <c r="C1077" s="7">
        <v>352126</v>
      </c>
      <c r="D1077" s="5">
        <v>1.6423300000000001E-4</v>
      </c>
    </row>
    <row r="1078" spans="1:4" x14ac:dyDescent="0.2">
      <c r="A1078">
        <v>2020</v>
      </c>
      <c r="B1078" s="1" t="s">
        <v>86</v>
      </c>
      <c r="C1078" s="7">
        <v>15983</v>
      </c>
      <c r="D1078" s="5">
        <v>7.4549999999999998E-6</v>
      </c>
    </row>
    <row r="1079" spans="1:4" x14ac:dyDescent="0.2">
      <c r="A1079">
        <v>2020</v>
      </c>
      <c r="B1079" s="1" t="s">
        <v>87</v>
      </c>
      <c r="C1079" s="7">
        <v>11969</v>
      </c>
      <c r="D1079" s="5">
        <v>5.5820000000000001E-6</v>
      </c>
    </row>
    <row r="1080" spans="1:4" x14ac:dyDescent="0.2">
      <c r="A1080">
        <v>2020</v>
      </c>
      <c r="B1080" s="1" t="s">
        <v>88</v>
      </c>
      <c r="C1080" s="7">
        <v>768515</v>
      </c>
      <c r="D1080" s="5">
        <v>3.58439E-4</v>
      </c>
    </row>
    <row r="1081" spans="1:4" x14ac:dyDescent="0.2">
      <c r="A1081">
        <v>2020</v>
      </c>
      <c r="B1081" s="1" t="s">
        <v>89</v>
      </c>
      <c r="C1081" s="7">
        <v>1068664</v>
      </c>
      <c r="D1081" s="5">
        <v>4.9842899999999999E-4</v>
      </c>
    </row>
    <row r="1082" spans="1:4" x14ac:dyDescent="0.2">
      <c r="A1082">
        <v>2020</v>
      </c>
      <c r="B1082" s="1" t="s">
        <v>90</v>
      </c>
      <c r="C1082" s="7">
        <v>58399</v>
      </c>
      <c r="D1082" s="5">
        <v>2.7237E-5</v>
      </c>
    </row>
    <row r="1083" spans="1:4" x14ac:dyDescent="0.2">
      <c r="A1083">
        <v>2020</v>
      </c>
      <c r="B1083" s="1" t="s">
        <v>91</v>
      </c>
      <c r="C1083" s="7">
        <v>202395</v>
      </c>
      <c r="D1083" s="5">
        <v>9.4398E-5</v>
      </c>
    </row>
    <row r="1084" spans="1:4" x14ac:dyDescent="0.2">
      <c r="A1084">
        <v>2020</v>
      </c>
      <c r="B1084" s="1" t="s">
        <v>92</v>
      </c>
      <c r="C1084" s="7">
        <v>1960442</v>
      </c>
      <c r="D1084" s="5">
        <v>9.1435799999999999E-4</v>
      </c>
    </row>
    <row r="1085" spans="1:4" x14ac:dyDescent="0.2">
      <c r="A1085">
        <v>2020</v>
      </c>
      <c r="B1085" s="1" t="s">
        <v>93</v>
      </c>
      <c r="C1085" s="7">
        <v>90596</v>
      </c>
      <c r="D1085" s="5">
        <v>4.2253999999999999E-5</v>
      </c>
    </row>
    <row r="1086" spans="1:4" x14ac:dyDescent="0.2">
      <c r="A1086">
        <v>2020</v>
      </c>
      <c r="B1086" s="1" t="s">
        <v>94</v>
      </c>
      <c r="C1086" s="7">
        <v>2726056</v>
      </c>
      <c r="D1086" s="5">
        <v>1.271444E-3</v>
      </c>
    </row>
    <row r="1087" spans="1:4" x14ac:dyDescent="0.2">
      <c r="A1087">
        <v>2020</v>
      </c>
      <c r="B1087" s="1" t="s">
        <v>95</v>
      </c>
      <c r="C1087" s="7">
        <v>128893</v>
      </c>
      <c r="D1087" s="5">
        <v>6.0115999999999998E-5</v>
      </c>
    </row>
    <row r="1088" spans="1:4" x14ac:dyDescent="0.2">
      <c r="A1088">
        <v>2020</v>
      </c>
      <c r="B1088" s="1" t="s">
        <v>96</v>
      </c>
      <c r="C1088" s="7">
        <v>7226102</v>
      </c>
      <c r="D1088" s="5">
        <v>3.3702839999999999E-3</v>
      </c>
    </row>
    <row r="1089" spans="1:4" x14ac:dyDescent="0.2">
      <c r="A1089">
        <v>2020</v>
      </c>
      <c r="B1089" s="1" t="s">
        <v>97</v>
      </c>
      <c r="C1089" s="7">
        <v>7106753</v>
      </c>
      <c r="D1089" s="5">
        <v>3.3146199999999999E-3</v>
      </c>
    </row>
    <row r="1090" spans="1:4" x14ac:dyDescent="0.2">
      <c r="A1090">
        <v>2020</v>
      </c>
      <c r="B1090" s="1" t="s">
        <v>98</v>
      </c>
      <c r="C1090" s="7">
        <v>161573</v>
      </c>
      <c r="D1090" s="5">
        <v>7.5358000000000006E-5</v>
      </c>
    </row>
    <row r="1091" spans="1:4" x14ac:dyDescent="0.2">
      <c r="A1091">
        <v>2020</v>
      </c>
      <c r="B1091" s="1" t="s">
        <v>99</v>
      </c>
      <c r="C1091" s="7">
        <v>37286</v>
      </c>
      <c r="D1091" s="5">
        <v>1.7390000000000001E-5</v>
      </c>
    </row>
    <row r="1092" spans="1:4" x14ac:dyDescent="0.2">
      <c r="A1092">
        <v>2020</v>
      </c>
      <c r="B1092" s="1" t="s">
        <v>100</v>
      </c>
      <c r="C1092" s="7">
        <v>268025</v>
      </c>
      <c r="D1092" s="5">
        <v>1.2500799999999999E-4</v>
      </c>
    </row>
    <row r="1093" spans="1:4" x14ac:dyDescent="0.2">
      <c r="A1093">
        <v>2020</v>
      </c>
      <c r="B1093" s="1" t="s">
        <v>101</v>
      </c>
      <c r="C1093" s="7">
        <v>402751</v>
      </c>
      <c r="D1093" s="5">
        <v>1.8784499999999999E-4</v>
      </c>
    </row>
    <row r="1094" spans="1:4" x14ac:dyDescent="0.2">
      <c r="A1094">
        <v>2020</v>
      </c>
      <c r="B1094" s="1" t="s">
        <v>102</v>
      </c>
      <c r="C1094" s="7">
        <v>53366</v>
      </c>
      <c r="D1094" s="5">
        <v>2.4890000000000001E-5</v>
      </c>
    </row>
    <row r="1095" spans="1:4" x14ac:dyDescent="0.2">
      <c r="A1095">
        <v>2020</v>
      </c>
      <c r="B1095" s="1" t="s">
        <v>103</v>
      </c>
      <c r="C1095" s="7">
        <v>5301428</v>
      </c>
      <c r="D1095" s="5">
        <v>2.4726079999999998E-3</v>
      </c>
    </row>
    <row r="1096" spans="1:4" x14ac:dyDescent="0.2">
      <c r="A1096">
        <v>2020</v>
      </c>
      <c r="B1096" s="1" t="s">
        <v>104</v>
      </c>
      <c r="C1096" s="7">
        <v>58730</v>
      </c>
      <c r="D1096" s="5">
        <v>2.7392000000000001E-5</v>
      </c>
    </row>
    <row r="1097" spans="1:4" x14ac:dyDescent="0.2">
      <c r="A1097">
        <v>2020</v>
      </c>
      <c r="B1097" s="1" t="s">
        <v>105</v>
      </c>
      <c r="C1097" s="7">
        <v>37569</v>
      </c>
      <c r="D1097" s="5">
        <v>1.7521999999999999E-5</v>
      </c>
    </row>
    <row r="1098" spans="1:4" x14ac:dyDescent="0.2">
      <c r="A1098">
        <v>2020</v>
      </c>
      <c r="B1098" s="1" t="s">
        <v>106</v>
      </c>
      <c r="C1098" s="7">
        <v>409475</v>
      </c>
      <c r="D1098" s="5">
        <v>1.9098100000000001E-4</v>
      </c>
    </row>
    <row r="1099" spans="1:4" x14ac:dyDescent="0.2">
      <c r="A1099">
        <v>2020</v>
      </c>
      <c r="B1099" s="1" t="s">
        <v>107</v>
      </c>
      <c r="C1099" s="7">
        <v>716974</v>
      </c>
      <c r="D1099" s="5">
        <v>3.344E-4</v>
      </c>
    </row>
    <row r="1100" spans="1:4" x14ac:dyDescent="0.2">
      <c r="A1100">
        <v>2020</v>
      </c>
      <c r="B1100" s="1" t="s">
        <v>108</v>
      </c>
      <c r="C1100" s="7">
        <v>886882</v>
      </c>
      <c r="D1100" s="5">
        <v>4.1364499999999997E-4</v>
      </c>
    </row>
    <row r="1101" spans="1:4" x14ac:dyDescent="0.2">
      <c r="A1101">
        <v>2020</v>
      </c>
      <c r="B1101" s="1" t="s">
        <v>109</v>
      </c>
      <c r="C1101" s="7">
        <v>394228</v>
      </c>
      <c r="D1101" s="5">
        <v>1.8387000000000001E-4</v>
      </c>
    </row>
    <row r="1102" spans="1:4" x14ac:dyDescent="0.2">
      <c r="A1102">
        <v>2020</v>
      </c>
      <c r="B1102" s="1" t="s">
        <v>110</v>
      </c>
      <c r="C1102" s="7">
        <v>285987</v>
      </c>
      <c r="D1102" s="5">
        <v>1.3338600000000001E-4</v>
      </c>
    </row>
    <row r="1103" spans="1:4" x14ac:dyDescent="0.2">
      <c r="A1103">
        <v>2020</v>
      </c>
      <c r="B1103" s="1" t="s">
        <v>111</v>
      </c>
      <c r="C1103" s="7">
        <v>13068</v>
      </c>
      <c r="D1103" s="5">
        <v>6.0950000000000001E-6</v>
      </c>
    </row>
    <row r="1104" spans="1:4" x14ac:dyDescent="0.2">
      <c r="A1104">
        <v>2020</v>
      </c>
      <c r="B1104" s="1" t="s">
        <v>112</v>
      </c>
      <c r="C1104" s="7">
        <v>56707</v>
      </c>
      <c r="D1104" s="5">
        <v>2.6448000000000002E-5</v>
      </c>
    </row>
    <row r="1105" spans="1:4" x14ac:dyDescent="0.2">
      <c r="A1105">
        <v>2020</v>
      </c>
      <c r="B1105" s="1" t="s">
        <v>113</v>
      </c>
      <c r="C1105" s="7">
        <v>319564</v>
      </c>
      <c r="D1105" s="5">
        <v>1.4904600000000001E-4</v>
      </c>
    </row>
    <row r="1106" spans="1:4" x14ac:dyDescent="0.2">
      <c r="A1106">
        <v>2020</v>
      </c>
      <c r="B1106" s="1" t="s">
        <v>114</v>
      </c>
      <c r="C1106" s="7">
        <v>96196</v>
      </c>
      <c r="D1106" s="5">
        <v>4.4866E-5</v>
      </c>
    </row>
    <row r="1107" spans="1:4" x14ac:dyDescent="0.2">
      <c r="A1107">
        <v>2020</v>
      </c>
      <c r="B1107" s="1" t="s">
        <v>115</v>
      </c>
      <c r="C1107" s="7">
        <v>88318</v>
      </c>
      <c r="D1107" s="5">
        <v>4.1192000000000001E-5</v>
      </c>
    </row>
    <row r="1108" spans="1:4" x14ac:dyDescent="0.2">
      <c r="A1108">
        <v>2020</v>
      </c>
      <c r="B1108" s="1" t="s">
        <v>233</v>
      </c>
      <c r="C1108" s="7">
        <v>43139</v>
      </c>
      <c r="D1108" s="5">
        <v>2.012E-5</v>
      </c>
    </row>
    <row r="1109" spans="1:4" x14ac:dyDescent="0.2">
      <c r="A1109">
        <v>2020</v>
      </c>
      <c r="B1109" s="1" t="s">
        <v>116</v>
      </c>
      <c r="C1109" s="7">
        <v>267172</v>
      </c>
      <c r="D1109" s="5">
        <v>1.2460999999999999E-4</v>
      </c>
    </row>
    <row r="1110" spans="1:4" x14ac:dyDescent="0.2">
      <c r="A1110">
        <v>2020</v>
      </c>
      <c r="B1110" s="1" t="s">
        <v>117</v>
      </c>
      <c r="C1110" s="7">
        <v>536610</v>
      </c>
      <c r="D1110" s="5">
        <v>2.5027699999999998E-4</v>
      </c>
    </row>
    <row r="1111" spans="1:4" x14ac:dyDescent="0.2">
      <c r="A1111">
        <v>2020</v>
      </c>
      <c r="B1111" s="1" t="s">
        <v>118</v>
      </c>
      <c r="C1111" s="7">
        <v>74410</v>
      </c>
      <c r="D1111" s="5">
        <v>3.4705000000000001E-5</v>
      </c>
    </row>
    <row r="1112" spans="1:4" x14ac:dyDescent="0.2">
      <c r="A1112">
        <v>2020</v>
      </c>
      <c r="B1112" s="1" t="s">
        <v>119</v>
      </c>
      <c r="C1112" s="7">
        <v>73492</v>
      </c>
      <c r="D1112" s="5">
        <v>3.4276999999999997E-5</v>
      </c>
    </row>
    <row r="1113" spans="1:4" x14ac:dyDescent="0.2">
      <c r="A1113">
        <v>2020</v>
      </c>
      <c r="B1113" s="1" t="s">
        <v>120</v>
      </c>
      <c r="C1113" s="7">
        <v>1033617</v>
      </c>
      <c r="D1113" s="5">
        <v>4.8208300000000001E-4</v>
      </c>
    </row>
    <row r="1114" spans="1:4" x14ac:dyDescent="0.2">
      <c r="A1114">
        <v>2020</v>
      </c>
      <c r="B1114" s="1" t="s">
        <v>121</v>
      </c>
      <c r="C1114" s="7">
        <v>1701799</v>
      </c>
      <c r="D1114" s="5">
        <v>7.9372600000000002E-4</v>
      </c>
    </row>
    <row r="1115" spans="1:4" x14ac:dyDescent="0.2">
      <c r="A1115">
        <v>2020</v>
      </c>
      <c r="B1115" s="1" t="s">
        <v>122</v>
      </c>
      <c r="C1115" s="7">
        <v>716916</v>
      </c>
      <c r="D1115" s="5">
        <v>3.3437300000000001E-4</v>
      </c>
    </row>
    <row r="1116" spans="1:4" x14ac:dyDescent="0.2">
      <c r="A1116">
        <v>2020</v>
      </c>
      <c r="B1116" s="1" t="s">
        <v>123</v>
      </c>
      <c r="C1116" s="7">
        <v>1592606</v>
      </c>
      <c r="D1116" s="5">
        <v>7.4279800000000003E-4</v>
      </c>
    </row>
    <row r="1117" spans="1:4" x14ac:dyDescent="0.2">
      <c r="A1117">
        <v>2020</v>
      </c>
      <c r="B1117" s="1" t="s">
        <v>124</v>
      </c>
      <c r="C1117" s="7">
        <v>3754</v>
      </c>
      <c r="D1117" s="5">
        <v>1.751E-6</v>
      </c>
    </row>
    <row r="1118" spans="1:4" x14ac:dyDescent="0.2">
      <c r="A1118">
        <v>2020</v>
      </c>
      <c r="B1118" s="1" t="s">
        <v>125</v>
      </c>
      <c r="C1118" s="7">
        <v>33772</v>
      </c>
      <c r="D1118" s="5">
        <v>1.5750999999999999E-5</v>
      </c>
    </row>
    <row r="1119" spans="1:4" x14ac:dyDescent="0.2">
      <c r="A1119">
        <v>2020</v>
      </c>
      <c r="B1119" s="1" t="s">
        <v>126</v>
      </c>
      <c r="C1119" s="7">
        <v>148658</v>
      </c>
      <c r="D1119" s="5">
        <v>6.9334999999999999E-5</v>
      </c>
    </row>
    <row r="1120" spans="1:4" x14ac:dyDescent="0.2">
      <c r="A1120">
        <v>2020</v>
      </c>
      <c r="B1120" s="1" t="s">
        <v>234</v>
      </c>
      <c r="C1120" s="7">
        <v>79104</v>
      </c>
      <c r="D1120" s="5">
        <v>3.6894000000000003E-5</v>
      </c>
    </row>
    <row r="1121" spans="1:4" x14ac:dyDescent="0.2">
      <c r="A1121">
        <v>2020</v>
      </c>
      <c r="B1121" s="1" t="s">
        <v>127</v>
      </c>
      <c r="C1121" s="7">
        <v>201847</v>
      </c>
      <c r="D1121" s="5">
        <v>9.4141999999999994E-5</v>
      </c>
    </row>
    <row r="1122" spans="1:4" x14ac:dyDescent="0.2">
      <c r="A1122">
        <v>2020</v>
      </c>
      <c r="B1122" s="1" t="s">
        <v>128</v>
      </c>
      <c r="C1122" s="7">
        <v>331640</v>
      </c>
      <c r="D1122" s="5">
        <v>1.54678E-4</v>
      </c>
    </row>
    <row r="1123" spans="1:4" x14ac:dyDescent="0.2">
      <c r="A1123">
        <v>2020</v>
      </c>
      <c r="B1123" s="1" t="s">
        <v>129</v>
      </c>
      <c r="C1123" s="7">
        <v>47941</v>
      </c>
      <c r="D1123" s="5">
        <v>2.2359999999999999E-5</v>
      </c>
    </row>
    <row r="1124" spans="1:4" x14ac:dyDescent="0.2">
      <c r="A1124">
        <v>2020</v>
      </c>
      <c r="B1124" s="1" t="s">
        <v>130</v>
      </c>
      <c r="C1124" s="7">
        <v>91823</v>
      </c>
      <c r="D1124" s="5">
        <v>4.2826E-5</v>
      </c>
    </row>
    <row r="1125" spans="1:4" x14ac:dyDescent="0.2">
      <c r="A1125">
        <v>2020</v>
      </c>
      <c r="B1125" s="1" t="s">
        <v>131</v>
      </c>
      <c r="C1125" s="7">
        <v>92215</v>
      </c>
      <c r="D1125" s="5">
        <v>4.3009000000000001E-5</v>
      </c>
    </row>
    <row r="1126" spans="1:4" x14ac:dyDescent="0.2">
      <c r="A1126">
        <v>2020</v>
      </c>
      <c r="B1126" s="1" t="s">
        <v>133</v>
      </c>
      <c r="C1126" s="7">
        <v>69831</v>
      </c>
      <c r="D1126" s="5">
        <v>3.2568999999999999E-5</v>
      </c>
    </row>
    <row r="1127" spans="1:4" x14ac:dyDescent="0.2">
      <c r="A1127">
        <v>2020</v>
      </c>
      <c r="B1127" s="1" t="s">
        <v>134</v>
      </c>
      <c r="C1127" s="7">
        <v>150868</v>
      </c>
      <c r="D1127" s="5">
        <v>7.0365999999999997E-5</v>
      </c>
    </row>
    <row r="1128" spans="1:4" x14ac:dyDescent="0.2">
      <c r="A1128">
        <v>2020</v>
      </c>
      <c r="B1128" s="1" t="s">
        <v>216</v>
      </c>
      <c r="C1128" s="7">
        <v>134908</v>
      </c>
      <c r="D1128" s="5">
        <v>6.2921000000000003E-5</v>
      </c>
    </row>
    <row r="1129" spans="1:4" x14ac:dyDescent="0.2">
      <c r="A1129">
        <v>2020</v>
      </c>
      <c r="B1129" s="1" t="s">
        <v>135</v>
      </c>
      <c r="C1129" s="7">
        <v>22120</v>
      </c>
      <c r="D1129" s="5">
        <v>1.0317E-5</v>
      </c>
    </row>
    <row r="1130" spans="1:4" x14ac:dyDescent="0.2">
      <c r="A1130">
        <v>2020</v>
      </c>
      <c r="B1130" s="1" t="s">
        <v>136</v>
      </c>
      <c r="C1130" s="7">
        <v>367946</v>
      </c>
      <c r="D1130" s="5">
        <v>1.71612E-4</v>
      </c>
    </row>
    <row r="1131" spans="1:4" x14ac:dyDescent="0.2">
      <c r="A1131">
        <v>2020</v>
      </c>
      <c r="B1131" s="1" t="s">
        <v>137</v>
      </c>
      <c r="C1131" s="7">
        <v>17140130</v>
      </c>
      <c r="D1131" s="5">
        <v>7.9942290000000003E-3</v>
      </c>
    </row>
    <row r="1132" spans="1:4" x14ac:dyDescent="0.2">
      <c r="A1132">
        <v>2020</v>
      </c>
      <c r="B1132" s="1" t="s">
        <v>138</v>
      </c>
      <c r="C1132" s="7">
        <v>320411</v>
      </c>
      <c r="D1132" s="5">
        <v>1.4944099999999999E-4</v>
      </c>
    </row>
    <row r="1133" spans="1:4" x14ac:dyDescent="0.2">
      <c r="A1133">
        <v>2020</v>
      </c>
      <c r="B1133" s="1" t="s">
        <v>139</v>
      </c>
      <c r="C1133" s="7">
        <v>19701282</v>
      </c>
      <c r="D1133" s="5">
        <v>9.1887610000000002E-3</v>
      </c>
    </row>
    <row r="1134" spans="1:4" x14ac:dyDescent="0.2">
      <c r="A1134">
        <v>2020</v>
      </c>
      <c r="B1134" s="1" t="s">
        <v>140</v>
      </c>
      <c r="C1134" s="7">
        <v>26270</v>
      </c>
      <c r="D1134" s="5">
        <v>1.2252000000000001E-5</v>
      </c>
    </row>
    <row r="1135" spans="1:4" x14ac:dyDescent="0.2">
      <c r="A1135">
        <v>2020</v>
      </c>
      <c r="B1135" s="1" t="s">
        <v>141</v>
      </c>
      <c r="C1135" s="7">
        <v>69554</v>
      </c>
      <c r="D1135" s="5">
        <v>3.2440000000000001E-5</v>
      </c>
    </row>
    <row r="1136" spans="1:4" x14ac:dyDescent="0.2">
      <c r="A1136">
        <v>2020</v>
      </c>
      <c r="B1136" s="1" t="s">
        <v>142</v>
      </c>
      <c r="C1136" s="7">
        <v>81454</v>
      </c>
      <c r="D1136" s="5">
        <v>3.7991000000000003E-5</v>
      </c>
    </row>
    <row r="1137" spans="1:4" x14ac:dyDescent="0.2">
      <c r="A1137">
        <v>2020</v>
      </c>
      <c r="B1137" s="1" t="s">
        <v>143</v>
      </c>
      <c r="C1137" s="7">
        <v>41141</v>
      </c>
      <c r="D1137" s="5">
        <v>1.9188999999999999E-5</v>
      </c>
    </row>
    <row r="1138" spans="1:4" x14ac:dyDescent="0.2">
      <c r="A1138">
        <v>2020</v>
      </c>
      <c r="B1138" s="1" t="s">
        <v>144</v>
      </c>
      <c r="C1138" s="7">
        <v>147640</v>
      </c>
      <c r="D1138" s="5">
        <v>6.8860000000000001E-5</v>
      </c>
    </row>
    <row r="1139" spans="1:4" x14ac:dyDescent="0.2">
      <c r="A1139">
        <v>2020</v>
      </c>
      <c r="B1139" s="1" t="s">
        <v>145</v>
      </c>
      <c r="C1139" s="7">
        <v>2242110</v>
      </c>
      <c r="D1139" s="5">
        <v>1.045729E-3</v>
      </c>
    </row>
    <row r="1140" spans="1:4" x14ac:dyDescent="0.2">
      <c r="A1140">
        <v>2020</v>
      </c>
      <c r="B1140" s="1" t="s">
        <v>146</v>
      </c>
      <c r="C1140" s="7">
        <v>549684</v>
      </c>
      <c r="D1140" s="5">
        <v>2.5637499999999998E-4</v>
      </c>
    </row>
    <row r="1141" spans="1:4" x14ac:dyDescent="0.2">
      <c r="A1141">
        <v>2020</v>
      </c>
      <c r="B1141" s="1" t="s">
        <v>147</v>
      </c>
      <c r="C1141" s="7">
        <v>35663</v>
      </c>
      <c r="D1141" s="5">
        <v>1.6633000000000002E-5</v>
      </c>
    </row>
    <row r="1142" spans="1:4" x14ac:dyDescent="0.2">
      <c r="A1142">
        <v>2020</v>
      </c>
      <c r="B1142" s="1" t="s">
        <v>148</v>
      </c>
      <c r="C1142" s="7">
        <v>969449</v>
      </c>
      <c r="D1142" s="5">
        <v>4.5215499999999998E-4</v>
      </c>
    </row>
    <row r="1143" spans="1:4" x14ac:dyDescent="0.2">
      <c r="A1143">
        <v>2020</v>
      </c>
      <c r="B1143" s="1" t="s">
        <v>149</v>
      </c>
      <c r="C1143" s="7">
        <v>12645</v>
      </c>
      <c r="D1143" s="5">
        <v>5.8980000000000001E-6</v>
      </c>
    </row>
    <row r="1144" spans="1:4" x14ac:dyDescent="0.2">
      <c r="A1144">
        <v>2020</v>
      </c>
      <c r="B1144" s="1" t="s">
        <v>150</v>
      </c>
      <c r="C1144" s="7">
        <v>44162</v>
      </c>
      <c r="D1144" s="5">
        <v>2.0596999999999999E-5</v>
      </c>
    </row>
    <row r="1145" spans="1:4" x14ac:dyDescent="0.2">
      <c r="A1145">
        <v>2020</v>
      </c>
      <c r="B1145" s="1" t="s">
        <v>151</v>
      </c>
      <c r="C1145" s="7">
        <v>32537</v>
      </c>
      <c r="D1145" s="5">
        <v>1.5175E-5</v>
      </c>
    </row>
    <row r="1146" spans="1:4" x14ac:dyDescent="0.2">
      <c r="A1146">
        <v>2020</v>
      </c>
      <c r="B1146" s="1" t="s">
        <v>152</v>
      </c>
      <c r="C1146" s="7">
        <v>1045629</v>
      </c>
      <c r="D1146" s="5">
        <v>4.8768599999999998E-4</v>
      </c>
    </row>
    <row r="1147" spans="1:4" x14ac:dyDescent="0.2">
      <c r="A1147">
        <v>2020</v>
      </c>
      <c r="B1147" s="1" t="s">
        <v>230</v>
      </c>
      <c r="C1147" s="7">
        <v>2774665</v>
      </c>
      <c r="D1147" s="5">
        <v>1.2941160000000001E-3</v>
      </c>
    </row>
    <row r="1148" spans="1:4" x14ac:dyDescent="0.2">
      <c r="A1148">
        <v>2020</v>
      </c>
      <c r="B1148" s="1" t="s">
        <v>154</v>
      </c>
      <c r="C1148" s="7">
        <v>697972</v>
      </c>
      <c r="D1148" s="5">
        <v>3.2553699999999998E-4</v>
      </c>
    </row>
    <row r="1149" spans="1:4" x14ac:dyDescent="0.2">
      <c r="A1149">
        <v>2020</v>
      </c>
      <c r="B1149" s="1" t="s">
        <v>155</v>
      </c>
      <c r="C1149" s="7">
        <v>85344</v>
      </c>
      <c r="D1149" s="5">
        <v>3.9805000000000003E-5</v>
      </c>
    </row>
    <row r="1150" spans="1:4" x14ac:dyDescent="0.2">
      <c r="A1150">
        <v>2020</v>
      </c>
      <c r="B1150" s="1" t="s">
        <v>156</v>
      </c>
      <c r="C1150" s="7">
        <v>776869</v>
      </c>
      <c r="D1150" s="5">
        <v>3.6233499999999998E-4</v>
      </c>
    </row>
    <row r="1151" spans="1:4" x14ac:dyDescent="0.2">
      <c r="A1151">
        <v>2020</v>
      </c>
      <c r="B1151" s="1" t="s">
        <v>157</v>
      </c>
      <c r="C1151" s="7">
        <v>11482</v>
      </c>
      <c r="D1151" s="5">
        <v>5.3550000000000004E-6</v>
      </c>
    </row>
    <row r="1152" spans="1:4" x14ac:dyDescent="0.2">
      <c r="A1152">
        <v>2020</v>
      </c>
      <c r="B1152" s="1" t="s">
        <v>158</v>
      </c>
      <c r="C1152" s="7">
        <v>256636</v>
      </c>
      <c r="D1152" s="5">
        <v>1.19696E-4</v>
      </c>
    </row>
    <row r="1153" spans="1:4" x14ac:dyDescent="0.2">
      <c r="A1153">
        <v>2020</v>
      </c>
      <c r="B1153" s="1" t="s">
        <v>159</v>
      </c>
      <c r="C1153" s="7">
        <v>94255</v>
      </c>
      <c r="D1153" s="5">
        <v>4.3961000000000001E-5</v>
      </c>
    </row>
    <row r="1154" spans="1:4" x14ac:dyDescent="0.2">
      <c r="A1154">
        <v>2020</v>
      </c>
      <c r="B1154" s="1" t="s">
        <v>160</v>
      </c>
      <c r="C1154" s="7">
        <v>330216</v>
      </c>
      <c r="D1154" s="5">
        <v>1.5401400000000001E-4</v>
      </c>
    </row>
    <row r="1155" spans="1:4" x14ac:dyDescent="0.2">
      <c r="A1155">
        <v>2020</v>
      </c>
      <c r="B1155" s="1" t="s">
        <v>161</v>
      </c>
      <c r="C1155" s="7">
        <v>529249</v>
      </c>
      <c r="D1155" s="5">
        <v>2.4684400000000002E-4</v>
      </c>
    </row>
    <row r="1156" spans="1:4" x14ac:dyDescent="0.2">
      <c r="A1156">
        <v>2020</v>
      </c>
      <c r="B1156" s="1" t="s">
        <v>162</v>
      </c>
      <c r="C1156" s="7">
        <v>1428552</v>
      </c>
      <c r="D1156" s="5">
        <v>6.6628300000000004E-4</v>
      </c>
    </row>
    <row r="1157" spans="1:4" x14ac:dyDescent="0.2">
      <c r="A1157">
        <v>2020</v>
      </c>
      <c r="B1157" s="1" t="s">
        <v>163</v>
      </c>
      <c r="C1157" s="7">
        <v>2419045</v>
      </c>
      <c r="D1157" s="5">
        <v>1.1282530000000001E-3</v>
      </c>
    </row>
    <row r="1158" spans="1:4" x14ac:dyDescent="0.2">
      <c r="A1158">
        <v>2020</v>
      </c>
      <c r="B1158" s="1" t="s">
        <v>164</v>
      </c>
      <c r="C1158" s="7">
        <v>31185</v>
      </c>
      <c r="D1158" s="5">
        <v>1.4545000000000001E-5</v>
      </c>
    </row>
    <row r="1159" spans="1:4" x14ac:dyDescent="0.2">
      <c r="A1159">
        <v>2020</v>
      </c>
      <c r="B1159" s="1" t="s">
        <v>165</v>
      </c>
      <c r="C1159" s="7">
        <v>60642</v>
      </c>
      <c r="D1159" s="5">
        <v>2.8283999999999999E-5</v>
      </c>
    </row>
    <row r="1160" spans="1:4" x14ac:dyDescent="0.2">
      <c r="A1160">
        <v>2020</v>
      </c>
      <c r="B1160" s="1" t="s">
        <v>166</v>
      </c>
      <c r="C1160" s="7">
        <v>126144</v>
      </c>
      <c r="D1160" s="5">
        <v>5.8833999999999999E-5</v>
      </c>
    </row>
    <row r="1161" spans="1:4" x14ac:dyDescent="0.2">
      <c r="A1161">
        <v>2020</v>
      </c>
      <c r="B1161" s="1" t="s">
        <v>167</v>
      </c>
      <c r="C1161" s="7">
        <v>99951</v>
      </c>
      <c r="D1161" s="5">
        <v>4.6618E-5</v>
      </c>
    </row>
    <row r="1162" spans="1:4" x14ac:dyDescent="0.2">
      <c r="A1162">
        <v>2020</v>
      </c>
      <c r="B1162" s="1" t="s">
        <v>168</v>
      </c>
      <c r="C1162" s="7">
        <v>32852</v>
      </c>
      <c r="D1162" s="5">
        <v>1.5322999999999999E-5</v>
      </c>
    </row>
    <row r="1163" spans="1:4" x14ac:dyDescent="0.2">
      <c r="A1163">
        <v>2020</v>
      </c>
      <c r="B1163" s="1" t="s">
        <v>235</v>
      </c>
      <c r="C1163" s="7">
        <v>47221</v>
      </c>
      <c r="D1163" s="5">
        <v>2.2024000000000001E-5</v>
      </c>
    </row>
    <row r="1164" spans="1:4" x14ac:dyDescent="0.2">
      <c r="A1164">
        <v>2020</v>
      </c>
      <c r="B1164" s="1" t="s">
        <v>169</v>
      </c>
      <c r="C1164" s="7">
        <v>695060</v>
      </c>
      <c r="D1164" s="5">
        <v>3.2417900000000001E-4</v>
      </c>
    </row>
    <row r="1165" spans="1:4" x14ac:dyDescent="0.2">
      <c r="A1165">
        <v>2020</v>
      </c>
      <c r="B1165" s="1" t="s">
        <v>170</v>
      </c>
      <c r="C1165" s="7">
        <v>1323132</v>
      </c>
      <c r="D1165" s="5">
        <v>6.1711399999999999E-4</v>
      </c>
    </row>
    <row r="1166" spans="1:4" x14ac:dyDescent="0.2">
      <c r="A1166">
        <v>2020</v>
      </c>
      <c r="B1166" s="1" t="s">
        <v>171</v>
      </c>
      <c r="C1166" s="7">
        <v>22898</v>
      </c>
      <c r="D1166" s="5">
        <v>1.0679999999999999E-5</v>
      </c>
    </row>
    <row r="1167" spans="1:4" x14ac:dyDescent="0.2">
      <c r="A1167">
        <v>2020</v>
      </c>
      <c r="B1167" s="1" t="s">
        <v>172</v>
      </c>
      <c r="C1167" s="7">
        <v>452005</v>
      </c>
      <c r="D1167" s="5">
        <v>2.10817E-4</v>
      </c>
    </row>
    <row r="1168" spans="1:4" x14ac:dyDescent="0.2">
      <c r="A1168">
        <v>2020</v>
      </c>
      <c r="B1168" s="1" t="s">
        <v>173</v>
      </c>
      <c r="C1168" s="7">
        <v>79987</v>
      </c>
      <c r="D1168" s="5">
        <v>3.7305999999999998E-5</v>
      </c>
    </row>
    <row r="1169" spans="1:4" x14ac:dyDescent="0.2">
      <c r="A1169">
        <v>2020</v>
      </c>
      <c r="B1169" s="1" t="s">
        <v>174</v>
      </c>
      <c r="C1169" s="7">
        <v>166115</v>
      </c>
      <c r="D1169" s="5">
        <v>7.7477000000000004E-5</v>
      </c>
    </row>
    <row r="1170" spans="1:4" x14ac:dyDescent="0.2">
      <c r="A1170">
        <v>2020</v>
      </c>
      <c r="B1170" s="1" t="s">
        <v>175</v>
      </c>
      <c r="C1170" s="7">
        <v>409503</v>
      </c>
      <c r="D1170" s="5">
        <v>1.9099399999999999E-4</v>
      </c>
    </row>
    <row r="1171" spans="1:4" x14ac:dyDescent="0.2">
      <c r="A1171">
        <v>2020</v>
      </c>
      <c r="B1171" s="1" t="s">
        <v>176</v>
      </c>
      <c r="C1171" s="7">
        <v>369196</v>
      </c>
      <c r="D1171" s="5">
        <v>1.7219499999999999E-4</v>
      </c>
    </row>
    <row r="1172" spans="1:4" x14ac:dyDescent="0.2">
      <c r="A1172">
        <v>2020</v>
      </c>
      <c r="B1172" s="1" t="s">
        <v>177</v>
      </c>
      <c r="C1172" s="7">
        <v>37315</v>
      </c>
      <c r="D1172" s="5">
        <v>1.7404000000000001E-5</v>
      </c>
    </row>
    <row r="1173" spans="1:4" x14ac:dyDescent="0.2">
      <c r="A1173">
        <v>2020</v>
      </c>
      <c r="B1173" s="1" t="s">
        <v>231</v>
      </c>
      <c r="C1173" s="7">
        <v>2013</v>
      </c>
      <c r="D1173" s="5">
        <v>9.3900000000000003E-7</v>
      </c>
    </row>
    <row r="1174" spans="1:4" x14ac:dyDescent="0.2">
      <c r="A1174">
        <v>2020</v>
      </c>
      <c r="B1174" s="1" t="s">
        <v>179</v>
      </c>
      <c r="C1174" s="7">
        <v>387221</v>
      </c>
      <c r="D1174" s="5">
        <v>1.80602E-4</v>
      </c>
    </row>
    <row r="1175" spans="1:4" x14ac:dyDescent="0.2">
      <c r="A1175">
        <v>2020</v>
      </c>
      <c r="B1175" s="1" t="s">
        <v>180</v>
      </c>
      <c r="C1175" s="7">
        <v>125930</v>
      </c>
      <c r="D1175" s="5">
        <v>5.8733999999999997E-5</v>
      </c>
    </row>
    <row r="1176" spans="1:4" x14ac:dyDescent="0.2">
      <c r="A1176">
        <v>2020</v>
      </c>
      <c r="B1176" s="1" t="s">
        <v>181</v>
      </c>
      <c r="C1176" s="7">
        <v>54018</v>
      </c>
      <c r="D1176" s="5">
        <v>2.5194E-5</v>
      </c>
    </row>
    <row r="1177" spans="1:4" x14ac:dyDescent="0.2">
      <c r="A1177">
        <v>2020</v>
      </c>
      <c r="B1177" s="1" t="s">
        <v>182</v>
      </c>
      <c r="C1177" s="7">
        <v>83946</v>
      </c>
      <c r="D1177" s="5">
        <v>3.9153000000000003E-5</v>
      </c>
    </row>
    <row r="1178" spans="1:4" x14ac:dyDescent="0.2">
      <c r="A1178">
        <v>2020</v>
      </c>
      <c r="B1178" s="1" t="s">
        <v>183</v>
      </c>
      <c r="C1178" s="7">
        <v>1978818</v>
      </c>
      <c r="D1178" s="5">
        <v>9.2292899999999996E-4</v>
      </c>
    </row>
    <row r="1179" spans="1:4" x14ac:dyDescent="0.2">
      <c r="A1179">
        <v>2020</v>
      </c>
      <c r="B1179" s="1" t="s">
        <v>184</v>
      </c>
      <c r="C1179" s="7">
        <v>93843</v>
      </c>
      <c r="D1179" s="5">
        <v>4.3769000000000001E-5</v>
      </c>
    </row>
    <row r="1180" spans="1:4" x14ac:dyDescent="0.2">
      <c r="A1180">
        <v>2020</v>
      </c>
      <c r="B1180" s="1" t="s">
        <v>185</v>
      </c>
      <c r="C1180" s="7">
        <v>12761</v>
      </c>
      <c r="D1180" s="5">
        <v>5.9519999999999999E-6</v>
      </c>
    </row>
    <row r="1181" spans="1:4" x14ac:dyDescent="0.2">
      <c r="A1181">
        <v>2020</v>
      </c>
      <c r="B1181" s="1" t="s">
        <v>186</v>
      </c>
      <c r="C1181" s="7">
        <v>569</v>
      </c>
      <c r="D1181" s="5">
        <v>2.65E-7</v>
      </c>
    </row>
    <row r="1182" spans="1:4" x14ac:dyDescent="0.2">
      <c r="A1182">
        <v>2020</v>
      </c>
      <c r="B1182" s="1" t="s">
        <v>187</v>
      </c>
      <c r="C1182" s="7">
        <v>75725</v>
      </c>
      <c r="D1182" s="5">
        <v>3.5318000000000003E-5</v>
      </c>
    </row>
    <row r="1183" spans="1:4" x14ac:dyDescent="0.2">
      <c r="A1183">
        <v>2020</v>
      </c>
      <c r="B1183" s="1" t="s">
        <v>188</v>
      </c>
      <c r="C1183" s="7">
        <v>22856</v>
      </c>
      <c r="D1183" s="5">
        <v>1.066E-5</v>
      </c>
    </row>
    <row r="1184" spans="1:4" x14ac:dyDescent="0.2">
      <c r="A1184">
        <v>2020</v>
      </c>
      <c r="B1184" s="1" t="s">
        <v>189</v>
      </c>
      <c r="C1184" s="7">
        <v>11970</v>
      </c>
      <c r="D1184" s="5">
        <v>5.5829999999999997E-6</v>
      </c>
    </row>
    <row r="1185" spans="1:4" x14ac:dyDescent="0.2">
      <c r="A1185">
        <v>2020</v>
      </c>
      <c r="B1185" s="1" t="s">
        <v>190</v>
      </c>
      <c r="C1185" s="7">
        <v>8949</v>
      </c>
      <c r="D1185" s="5">
        <v>4.1740000000000002E-6</v>
      </c>
    </row>
    <row r="1186" spans="1:4" x14ac:dyDescent="0.2">
      <c r="A1186">
        <v>2020</v>
      </c>
      <c r="B1186" s="1" t="s">
        <v>191</v>
      </c>
      <c r="C1186" s="7">
        <v>518454</v>
      </c>
      <c r="D1186" s="5">
        <v>2.41809E-4</v>
      </c>
    </row>
    <row r="1187" spans="1:4" x14ac:dyDescent="0.2">
      <c r="A1187">
        <v>2020</v>
      </c>
      <c r="B1187" s="1" t="s">
        <v>192</v>
      </c>
      <c r="C1187" s="7">
        <v>724830</v>
      </c>
      <c r="D1187" s="5">
        <v>3.3806400000000001E-4</v>
      </c>
    </row>
    <row r="1188" spans="1:4" x14ac:dyDescent="0.2">
      <c r="A1188">
        <v>2020</v>
      </c>
      <c r="B1188" s="1" t="s">
        <v>193</v>
      </c>
      <c r="C1188" s="7">
        <v>58630</v>
      </c>
      <c r="D1188" s="5">
        <v>2.7345E-5</v>
      </c>
    </row>
    <row r="1189" spans="1:4" x14ac:dyDescent="0.2">
      <c r="A1189">
        <v>2020</v>
      </c>
      <c r="B1189" s="1" t="s">
        <v>194</v>
      </c>
      <c r="C1189" s="7">
        <v>4612</v>
      </c>
      <c r="D1189" s="5">
        <v>2.1509999999999998E-6</v>
      </c>
    </row>
    <row r="1190" spans="1:4" x14ac:dyDescent="0.2">
      <c r="A1190">
        <v>2020</v>
      </c>
      <c r="B1190" s="1" t="s">
        <v>195</v>
      </c>
      <c r="C1190" s="7">
        <v>943051</v>
      </c>
      <c r="D1190" s="5">
        <v>4.3984299999999998E-4</v>
      </c>
    </row>
    <row r="1191" spans="1:4" x14ac:dyDescent="0.2">
      <c r="A1191">
        <v>2020</v>
      </c>
      <c r="B1191" s="1" t="s">
        <v>196</v>
      </c>
      <c r="C1191" s="7">
        <v>554583</v>
      </c>
      <c r="D1191" s="5">
        <v>2.5866000000000002E-4</v>
      </c>
    </row>
    <row r="1192" spans="1:4" x14ac:dyDescent="0.2">
      <c r="A1192">
        <v>2020</v>
      </c>
      <c r="B1192" s="1" t="s">
        <v>197</v>
      </c>
      <c r="C1192" s="7">
        <v>572844</v>
      </c>
      <c r="D1192" s="5">
        <v>2.6717700000000001E-4</v>
      </c>
    </row>
    <row r="1193" spans="1:4" x14ac:dyDescent="0.2">
      <c r="A1193">
        <v>2020</v>
      </c>
      <c r="B1193" s="1" t="s">
        <v>198</v>
      </c>
      <c r="C1193" s="7">
        <v>2934</v>
      </c>
      <c r="D1193" s="5">
        <v>1.3680000000000001E-6</v>
      </c>
    </row>
    <row r="1194" spans="1:4" x14ac:dyDescent="0.2">
      <c r="A1194">
        <v>2020</v>
      </c>
      <c r="B1194" s="1" t="s">
        <v>199</v>
      </c>
      <c r="C1194" s="7">
        <v>1543775</v>
      </c>
      <c r="D1194" s="5">
        <v>7.2002299999999997E-4</v>
      </c>
    </row>
    <row r="1195" spans="1:4" x14ac:dyDescent="0.2">
      <c r="A1195">
        <v>2020</v>
      </c>
      <c r="B1195" s="1" t="s">
        <v>200</v>
      </c>
      <c r="C1195" s="7">
        <v>7253</v>
      </c>
      <c r="D1195" s="5">
        <v>3.3830000000000001E-6</v>
      </c>
    </row>
    <row r="1196" spans="1:4" x14ac:dyDescent="0.2">
      <c r="A1196">
        <v>2020</v>
      </c>
      <c r="B1196" s="1" t="s">
        <v>201</v>
      </c>
      <c r="C1196" s="7">
        <v>3736</v>
      </c>
      <c r="D1196" s="5">
        <v>1.742E-6</v>
      </c>
    </row>
    <row r="1197" spans="1:4" x14ac:dyDescent="0.2">
      <c r="A1197">
        <v>2020</v>
      </c>
      <c r="B1197" s="1" t="s">
        <v>202</v>
      </c>
      <c r="C1197" s="7">
        <v>109486</v>
      </c>
      <c r="D1197" s="5">
        <v>5.1065E-5</v>
      </c>
    </row>
    <row r="1198" spans="1:4" x14ac:dyDescent="0.2">
      <c r="A1198">
        <v>2021</v>
      </c>
      <c r="B1198" s="1" t="s">
        <v>4</v>
      </c>
      <c r="C1198" s="7">
        <v>2046734024</v>
      </c>
      <c r="D1198" s="5">
        <v>0.92884580500000002</v>
      </c>
    </row>
    <row r="1199" spans="1:4" x14ac:dyDescent="0.2">
      <c r="A1199">
        <v>2021</v>
      </c>
      <c r="B1199" s="1" t="s">
        <v>5</v>
      </c>
      <c r="C1199" s="7">
        <v>34959</v>
      </c>
      <c r="D1199" s="5">
        <v>1.5865000000000001E-5</v>
      </c>
    </row>
    <row r="1200" spans="1:4" x14ac:dyDescent="0.2">
      <c r="A1200">
        <v>2021</v>
      </c>
      <c r="B1200" s="1" t="s">
        <v>7</v>
      </c>
      <c r="C1200" s="7">
        <v>92968</v>
      </c>
      <c r="D1200" s="5">
        <v>4.2191000000000003E-5</v>
      </c>
    </row>
    <row r="1201" spans="1:4" x14ac:dyDescent="0.2">
      <c r="A1201">
        <v>2021</v>
      </c>
      <c r="B1201" s="1" t="s">
        <v>8</v>
      </c>
      <c r="C1201" s="7">
        <v>1653862</v>
      </c>
      <c r="D1201" s="5">
        <v>7.5055300000000005E-4</v>
      </c>
    </row>
    <row r="1202" spans="1:4" x14ac:dyDescent="0.2">
      <c r="A1202">
        <v>2021</v>
      </c>
      <c r="B1202" s="1" t="s">
        <v>203</v>
      </c>
      <c r="C1202" s="7">
        <v>394923</v>
      </c>
      <c r="D1202" s="5">
        <v>1.79223E-4</v>
      </c>
    </row>
    <row r="1203" spans="1:4" x14ac:dyDescent="0.2">
      <c r="A1203">
        <v>2021</v>
      </c>
      <c r="B1203" s="1" t="s">
        <v>9</v>
      </c>
      <c r="C1203" s="7">
        <v>3321</v>
      </c>
      <c r="D1203" s="5">
        <v>1.5069999999999999E-6</v>
      </c>
    </row>
    <row r="1204" spans="1:4" x14ac:dyDescent="0.2">
      <c r="A1204">
        <v>2021</v>
      </c>
      <c r="B1204" s="1" t="s">
        <v>10</v>
      </c>
      <c r="C1204" s="7">
        <v>42373</v>
      </c>
      <c r="D1204" s="5">
        <v>1.9230000000000001E-5</v>
      </c>
    </row>
    <row r="1205" spans="1:4" x14ac:dyDescent="0.2">
      <c r="A1205">
        <v>2021</v>
      </c>
      <c r="B1205" s="1" t="s">
        <v>11</v>
      </c>
      <c r="C1205" s="7">
        <v>657502</v>
      </c>
      <c r="D1205" s="5">
        <v>2.98387E-4</v>
      </c>
    </row>
    <row r="1206" spans="1:4" x14ac:dyDescent="0.2">
      <c r="A1206">
        <v>2021</v>
      </c>
      <c r="B1206" s="1" t="s">
        <v>12</v>
      </c>
      <c r="C1206" s="7">
        <v>78296</v>
      </c>
      <c r="D1206" s="5">
        <v>3.5531999999999998E-5</v>
      </c>
    </row>
    <row r="1207" spans="1:4" x14ac:dyDescent="0.2">
      <c r="A1207">
        <v>2021</v>
      </c>
      <c r="B1207" s="1" t="s">
        <v>13</v>
      </c>
      <c r="C1207" s="7" t="s">
        <v>6</v>
      </c>
      <c r="D1207" s="5">
        <v>0</v>
      </c>
    </row>
    <row r="1208" spans="1:4" x14ac:dyDescent="0.2">
      <c r="A1208">
        <v>2021</v>
      </c>
      <c r="B1208" s="1" t="s">
        <v>14</v>
      </c>
      <c r="C1208" s="7">
        <v>26836</v>
      </c>
      <c r="D1208" s="5">
        <v>1.2179E-5</v>
      </c>
    </row>
    <row r="1209" spans="1:4" x14ac:dyDescent="0.2">
      <c r="A1209">
        <v>2021</v>
      </c>
      <c r="B1209" s="1" t="s">
        <v>15</v>
      </c>
      <c r="C1209" s="7">
        <v>1994682</v>
      </c>
      <c r="D1209" s="5">
        <v>9.0522400000000005E-4</v>
      </c>
    </row>
    <row r="1210" spans="1:4" x14ac:dyDescent="0.2">
      <c r="A1210">
        <v>2021</v>
      </c>
      <c r="B1210" s="1" t="s">
        <v>16</v>
      </c>
      <c r="C1210" s="7">
        <v>451393</v>
      </c>
      <c r="D1210" s="5">
        <v>2.0485100000000001E-4</v>
      </c>
    </row>
    <row r="1211" spans="1:4" x14ac:dyDescent="0.2">
      <c r="A1211">
        <v>2021</v>
      </c>
      <c r="B1211" s="1" t="s">
        <v>17</v>
      </c>
      <c r="C1211" s="7">
        <v>38879</v>
      </c>
      <c r="D1211" s="5">
        <v>1.7643999999999999E-5</v>
      </c>
    </row>
    <row r="1212" spans="1:4" x14ac:dyDescent="0.2">
      <c r="A1212">
        <v>2021</v>
      </c>
      <c r="B1212" s="1" t="s">
        <v>18</v>
      </c>
      <c r="C1212" s="7" t="s">
        <v>6</v>
      </c>
      <c r="D1212" s="5">
        <v>0</v>
      </c>
    </row>
    <row r="1213" spans="1:4" x14ac:dyDescent="0.2">
      <c r="A1213">
        <v>2021</v>
      </c>
      <c r="B1213" s="1" t="s">
        <v>19</v>
      </c>
      <c r="C1213" s="7">
        <v>65498</v>
      </c>
      <c r="D1213" s="5">
        <v>2.9723999999999999E-5</v>
      </c>
    </row>
    <row r="1214" spans="1:4" x14ac:dyDescent="0.2">
      <c r="A1214">
        <v>2021</v>
      </c>
      <c r="B1214" s="1" t="s">
        <v>20</v>
      </c>
      <c r="C1214" s="7">
        <v>27544</v>
      </c>
      <c r="D1214" s="5">
        <v>1.2500000000000001E-5</v>
      </c>
    </row>
    <row r="1215" spans="1:4" x14ac:dyDescent="0.2">
      <c r="A1215">
        <v>2021</v>
      </c>
      <c r="B1215" s="1" t="s">
        <v>21</v>
      </c>
      <c r="C1215" s="7">
        <v>8772222</v>
      </c>
      <c r="D1215" s="5">
        <v>3.980997E-3</v>
      </c>
    </row>
    <row r="1216" spans="1:4" x14ac:dyDescent="0.2">
      <c r="A1216">
        <v>2021</v>
      </c>
      <c r="B1216" s="1" t="s">
        <v>205</v>
      </c>
      <c r="C1216" s="7">
        <v>720524</v>
      </c>
      <c r="D1216" s="5">
        <v>3.2698699999999999E-4</v>
      </c>
    </row>
    <row r="1217" spans="1:4" x14ac:dyDescent="0.2">
      <c r="A1217">
        <v>2021</v>
      </c>
      <c r="B1217" s="1" t="s">
        <v>206</v>
      </c>
      <c r="C1217" s="7">
        <v>2946381</v>
      </c>
      <c r="D1217" s="5">
        <v>1.3371220000000001E-3</v>
      </c>
    </row>
    <row r="1218" spans="1:4" x14ac:dyDescent="0.2">
      <c r="A1218">
        <v>2021</v>
      </c>
      <c r="B1218" s="1" t="s">
        <v>25</v>
      </c>
      <c r="C1218" s="7">
        <v>58921</v>
      </c>
      <c r="D1218" s="5">
        <v>2.6738999999999999E-5</v>
      </c>
    </row>
    <row r="1219" spans="1:4" x14ac:dyDescent="0.2">
      <c r="A1219">
        <v>2021</v>
      </c>
      <c r="B1219" s="1" t="s">
        <v>26</v>
      </c>
      <c r="C1219" s="7">
        <v>62207</v>
      </c>
      <c r="D1219" s="5">
        <v>2.8231000000000001E-5</v>
      </c>
    </row>
    <row r="1220" spans="1:4" x14ac:dyDescent="0.2">
      <c r="A1220">
        <v>2021</v>
      </c>
      <c r="B1220" s="1" t="s">
        <v>27</v>
      </c>
      <c r="C1220" s="7">
        <v>13832</v>
      </c>
      <c r="D1220" s="5">
        <v>6.2770000000000002E-6</v>
      </c>
    </row>
    <row r="1221" spans="1:4" x14ac:dyDescent="0.2">
      <c r="A1221">
        <v>2021</v>
      </c>
      <c r="B1221" s="1" t="s">
        <v>28</v>
      </c>
      <c r="C1221" s="7">
        <v>394254</v>
      </c>
      <c r="D1221" s="5">
        <v>1.7892E-4</v>
      </c>
    </row>
    <row r="1222" spans="1:4" x14ac:dyDescent="0.2">
      <c r="A1222">
        <v>2021</v>
      </c>
      <c r="B1222" s="1" t="s">
        <v>29</v>
      </c>
      <c r="C1222" s="7">
        <v>122540</v>
      </c>
      <c r="D1222" s="5">
        <v>5.5611E-5</v>
      </c>
    </row>
    <row r="1223" spans="1:4" x14ac:dyDescent="0.2">
      <c r="A1223">
        <v>2021</v>
      </c>
      <c r="B1223" s="1" t="s">
        <v>30</v>
      </c>
      <c r="C1223" s="7" t="s">
        <v>6</v>
      </c>
      <c r="D1223" s="5">
        <v>0</v>
      </c>
    </row>
    <row r="1224" spans="1:4" x14ac:dyDescent="0.2">
      <c r="A1224">
        <v>2021</v>
      </c>
      <c r="B1224" s="1" t="s">
        <v>31</v>
      </c>
      <c r="C1224" s="7">
        <v>249949</v>
      </c>
      <c r="D1224" s="5">
        <v>1.1343100000000001E-4</v>
      </c>
    </row>
    <row r="1225" spans="1:4" x14ac:dyDescent="0.2">
      <c r="A1225">
        <v>2021</v>
      </c>
      <c r="B1225" s="1" t="s">
        <v>32</v>
      </c>
      <c r="C1225" s="7">
        <v>1680128</v>
      </c>
      <c r="D1225" s="5">
        <v>7.6247299999999995E-4</v>
      </c>
    </row>
    <row r="1226" spans="1:4" x14ac:dyDescent="0.2">
      <c r="A1226">
        <v>2021</v>
      </c>
      <c r="B1226" s="1" t="s">
        <v>33</v>
      </c>
      <c r="C1226" s="7">
        <v>215548</v>
      </c>
      <c r="D1226" s="5">
        <v>9.7819999999999995E-5</v>
      </c>
    </row>
    <row r="1227" spans="1:4" x14ac:dyDescent="0.2">
      <c r="A1227">
        <v>2021</v>
      </c>
      <c r="B1227" s="1" t="s">
        <v>34</v>
      </c>
      <c r="C1227" s="7">
        <v>1652773</v>
      </c>
      <c r="D1227" s="5">
        <v>7.5005899999999997E-4</v>
      </c>
    </row>
    <row r="1228" spans="1:4" x14ac:dyDescent="0.2">
      <c r="A1228">
        <v>2021</v>
      </c>
      <c r="B1228" s="1" t="s">
        <v>35</v>
      </c>
      <c r="C1228" s="7">
        <v>370521</v>
      </c>
      <c r="D1228" s="5">
        <v>1.6814900000000001E-4</v>
      </c>
    </row>
    <row r="1229" spans="1:4" x14ac:dyDescent="0.2">
      <c r="A1229">
        <v>2021</v>
      </c>
      <c r="B1229" s="1" t="s">
        <v>36</v>
      </c>
      <c r="C1229" s="7">
        <v>685828</v>
      </c>
      <c r="D1229" s="5">
        <v>3.1124100000000002E-4</v>
      </c>
    </row>
    <row r="1230" spans="1:4" x14ac:dyDescent="0.2">
      <c r="A1230">
        <v>2021</v>
      </c>
      <c r="B1230" s="1" t="s">
        <v>38</v>
      </c>
      <c r="C1230" s="7">
        <v>25073</v>
      </c>
      <c r="D1230" s="5">
        <v>1.1379000000000001E-5</v>
      </c>
    </row>
    <row r="1231" spans="1:4" x14ac:dyDescent="0.2">
      <c r="A1231">
        <v>2021</v>
      </c>
      <c r="B1231" s="1" t="s">
        <v>39</v>
      </c>
      <c r="C1231" s="7">
        <v>672288</v>
      </c>
      <c r="D1231" s="5">
        <v>3.05097E-4</v>
      </c>
    </row>
    <row r="1232" spans="1:4" x14ac:dyDescent="0.2">
      <c r="A1232">
        <v>2021</v>
      </c>
      <c r="B1232" s="1" t="s">
        <v>40</v>
      </c>
      <c r="C1232" s="7" t="s">
        <v>6</v>
      </c>
      <c r="D1232" s="5">
        <v>0</v>
      </c>
    </row>
    <row r="1233" spans="1:4" x14ac:dyDescent="0.2">
      <c r="A1233">
        <v>2021</v>
      </c>
      <c r="B1233" s="1" t="s">
        <v>207</v>
      </c>
      <c r="C1233" s="7">
        <v>655558</v>
      </c>
      <c r="D1233" s="5">
        <v>2.9750399999999998E-4</v>
      </c>
    </row>
    <row r="1234" spans="1:4" x14ac:dyDescent="0.2">
      <c r="A1234">
        <v>2021</v>
      </c>
      <c r="B1234" s="1" t="s">
        <v>42</v>
      </c>
      <c r="C1234" s="7">
        <v>37865</v>
      </c>
      <c r="D1234" s="5">
        <v>1.7184E-5</v>
      </c>
    </row>
    <row r="1235" spans="1:4" x14ac:dyDescent="0.2">
      <c r="A1235">
        <v>2021</v>
      </c>
      <c r="B1235" s="1" t="s">
        <v>43</v>
      </c>
      <c r="C1235" s="7">
        <v>93177</v>
      </c>
      <c r="D1235" s="5">
        <v>4.2284999999999999E-5</v>
      </c>
    </row>
    <row r="1236" spans="1:4" x14ac:dyDescent="0.2">
      <c r="A1236">
        <v>2021</v>
      </c>
      <c r="B1236" s="1" t="s">
        <v>44</v>
      </c>
      <c r="C1236" s="7">
        <v>2091882</v>
      </c>
      <c r="D1236" s="5">
        <v>9.4933500000000004E-4</v>
      </c>
    </row>
    <row r="1237" spans="1:4" x14ac:dyDescent="0.2">
      <c r="A1237">
        <v>2021</v>
      </c>
      <c r="B1237" s="1" t="s">
        <v>45</v>
      </c>
      <c r="C1237" s="7">
        <v>30496</v>
      </c>
      <c r="D1237" s="5">
        <v>1.384E-5</v>
      </c>
    </row>
    <row r="1238" spans="1:4" x14ac:dyDescent="0.2">
      <c r="A1238">
        <v>2021</v>
      </c>
      <c r="B1238" s="1" t="s">
        <v>46</v>
      </c>
      <c r="C1238" s="7">
        <v>43098</v>
      </c>
      <c r="D1238" s="5">
        <v>1.9559E-5</v>
      </c>
    </row>
    <row r="1239" spans="1:4" x14ac:dyDescent="0.2">
      <c r="A1239">
        <v>2021</v>
      </c>
      <c r="B1239" s="1" t="s">
        <v>47</v>
      </c>
      <c r="C1239" s="7">
        <v>2048039</v>
      </c>
      <c r="D1239" s="5">
        <v>9.2943799999999999E-4</v>
      </c>
    </row>
    <row r="1240" spans="1:4" x14ac:dyDescent="0.2">
      <c r="A1240">
        <v>2021</v>
      </c>
      <c r="B1240" s="1" t="s">
        <v>48</v>
      </c>
      <c r="C1240" s="7">
        <v>57638</v>
      </c>
      <c r="D1240" s="5">
        <v>2.6157E-5</v>
      </c>
    </row>
    <row r="1241" spans="1:4" x14ac:dyDescent="0.2">
      <c r="A1241">
        <v>2021</v>
      </c>
      <c r="B1241" s="1" t="s">
        <v>49</v>
      </c>
      <c r="C1241" s="7">
        <v>29774</v>
      </c>
      <c r="D1241" s="5">
        <v>1.3512E-5</v>
      </c>
    </row>
    <row r="1242" spans="1:4" x14ac:dyDescent="0.2">
      <c r="A1242">
        <v>2021</v>
      </c>
      <c r="B1242" s="1" t="s">
        <v>50</v>
      </c>
      <c r="C1242" s="7">
        <v>1304242</v>
      </c>
      <c r="D1242" s="5">
        <v>5.9188899999999996E-4</v>
      </c>
    </row>
    <row r="1243" spans="1:4" x14ac:dyDescent="0.2">
      <c r="A1243">
        <v>2021</v>
      </c>
      <c r="B1243" s="1" t="s">
        <v>51</v>
      </c>
      <c r="C1243" s="7">
        <v>106185</v>
      </c>
      <c r="D1243" s="5">
        <v>4.8189000000000002E-5</v>
      </c>
    </row>
    <row r="1244" spans="1:4" x14ac:dyDescent="0.2">
      <c r="A1244">
        <v>2021</v>
      </c>
      <c r="B1244" s="1" t="s">
        <v>52</v>
      </c>
      <c r="C1244" s="7">
        <v>25488</v>
      </c>
      <c r="D1244" s="5">
        <v>1.1567E-5</v>
      </c>
    </row>
    <row r="1245" spans="1:4" x14ac:dyDescent="0.2">
      <c r="A1245">
        <v>2021</v>
      </c>
      <c r="B1245" s="1" t="s">
        <v>54</v>
      </c>
      <c r="C1245" s="7">
        <v>139190</v>
      </c>
      <c r="D1245" s="5">
        <v>6.3167E-5</v>
      </c>
    </row>
    <row r="1246" spans="1:4" x14ac:dyDescent="0.2">
      <c r="A1246">
        <v>2021</v>
      </c>
      <c r="B1246" s="1" t="s">
        <v>55</v>
      </c>
      <c r="C1246" s="7">
        <v>84391</v>
      </c>
      <c r="D1246" s="5">
        <v>3.8297999999999998E-5</v>
      </c>
    </row>
    <row r="1247" spans="1:4" x14ac:dyDescent="0.2">
      <c r="A1247">
        <v>2021</v>
      </c>
      <c r="B1247" s="1" t="s">
        <v>56</v>
      </c>
      <c r="C1247" s="7">
        <v>188536</v>
      </c>
      <c r="D1247" s="5">
        <v>8.5561000000000003E-5</v>
      </c>
    </row>
    <row r="1248" spans="1:4" x14ac:dyDescent="0.2">
      <c r="A1248">
        <v>2021</v>
      </c>
      <c r="B1248" s="1" t="s">
        <v>232</v>
      </c>
      <c r="C1248" s="7">
        <v>179705</v>
      </c>
      <c r="D1248" s="5">
        <v>8.1552999999999997E-5</v>
      </c>
    </row>
    <row r="1249" spans="1:6" x14ac:dyDescent="0.2">
      <c r="A1249">
        <v>2021</v>
      </c>
      <c r="B1249" s="1" t="s">
        <v>57</v>
      </c>
      <c r="C1249" s="7" t="s">
        <v>6</v>
      </c>
      <c r="D1249" s="5">
        <v>0</v>
      </c>
    </row>
    <row r="1250" spans="1:6" x14ac:dyDescent="0.2">
      <c r="A1250">
        <v>2021</v>
      </c>
      <c r="B1250" s="1" t="s">
        <v>58</v>
      </c>
      <c r="C1250" s="7">
        <v>279060</v>
      </c>
      <c r="D1250" s="5">
        <v>1.2664299999999999E-4</v>
      </c>
    </row>
    <row r="1251" spans="1:6" x14ac:dyDescent="0.2">
      <c r="A1251">
        <v>2021</v>
      </c>
      <c r="B1251" s="1" t="s">
        <v>59</v>
      </c>
      <c r="C1251" s="7">
        <v>436599</v>
      </c>
      <c r="D1251" s="5">
        <v>1.98137E-4</v>
      </c>
    </row>
    <row r="1252" spans="1:6" x14ac:dyDescent="0.2">
      <c r="A1252">
        <v>2021</v>
      </c>
      <c r="B1252" s="1" t="s">
        <v>60</v>
      </c>
      <c r="C1252" s="7">
        <v>71100</v>
      </c>
      <c r="D1252" s="5">
        <v>3.2265999999999999E-5</v>
      </c>
    </row>
    <row r="1253" spans="1:6" x14ac:dyDescent="0.2">
      <c r="A1253">
        <v>2021</v>
      </c>
      <c r="B1253" s="1" t="s">
        <v>61</v>
      </c>
      <c r="C1253" s="7">
        <v>35123</v>
      </c>
      <c r="D1253" s="5">
        <v>1.5939000000000001E-5</v>
      </c>
      <c r="F1253" s="3"/>
    </row>
    <row r="1254" spans="1:6" x14ac:dyDescent="0.2">
      <c r="A1254">
        <v>2021</v>
      </c>
      <c r="B1254" s="1" t="s">
        <v>209</v>
      </c>
      <c r="C1254" s="7">
        <v>780766</v>
      </c>
      <c r="D1254" s="5">
        <v>3.5432600000000002E-4</v>
      </c>
      <c r="F1254" s="3"/>
    </row>
    <row r="1255" spans="1:6" x14ac:dyDescent="0.2">
      <c r="A1255">
        <v>2021</v>
      </c>
      <c r="B1255" s="1" t="s">
        <v>63</v>
      </c>
      <c r="C1255" s="7">
        <v>1311211</v>
      </c>
      <c r="D1255" s="5">
        <v>5.9505199999999999E-4</v>
      </c>
      <c r="F1255" s="3"/>
    </row>
    <row r="1256" spans="1:6" x14ac:dyDescent="0.2">
      <c r="A1256">
        <v>2021</v>
      </c>
      <c r="B1256" s="1" t="s">
        <v>64</v>
      </c>
      <c r="C1256" s="7">
        <v>201130</v>
      </c>
      <c r="D1256" s="5">
        <v>9.1277E-5</v>
      </c>
      <c r="F1256" s="3"/>
    </row>
    <row r="1257" spans="1:6" x14ac:dyDescent="0.2">
      <c r="A1257">
        <v>2021</v>
      </c>
      <c r="B1257" s="1" t="s">
        <v>65</v>
      </c>
      <c r="C1257" s="7">
        <v>214584</v>
      </c>
      <c r="D1257" s="5">
        <v>9.7381999999999997E-5</v>
      </c>
      <c r="F1257" s="3"/>
    </row>
    <row r="1258" spans="1:6" x14ac:dyDescent="0.2">
      <c r="A1258">
        <v>2021</v>
      </c>
      <c r="B1258" s="1" t="s">
        <v>66</v>
      </c>
      <c r="C1258" s="7">
        <v>906093</v>
      </c>
      <c r="D1258" s="5">
        <v>4.11202E-4</v>
      </c>
      <c r="F1258" s="3"/>
    </row>
    <row r="1259" spans="1:6" x14ac:dyDescent="0.2">
      <c r="A1259">
        <v>2021</v>
      </c>
      <c r="B1259" s="1" t="s">
        <v>67</v>
      </c>
      <c r="C1259" s="7">
        <v>617813</v>
      </c>
      <c r="D1259" s="5">
        <v>2.8037500000000003E-4</v>
      </c>
      <c r="F1259" s="3"/>
    </row>
    <row r="1260" spans="1:6" x14ac:dyDescent="0.2">
      <c r="A1260">
        <v>2021</v>
      </c>
      <c r="B1260" s="1" t="s">
        <v>68</v>
      </c>
      <c r="C1260" s="7">
        <v>30921</v>
      </c>
      <c r="D1260" s="5">
        <v>1.4032999999999999E-5</v>
      </c>
      <c r="F1260" s="3"/>
    </row>
    <row r="1261" spans="1:6" x14ac:dyDescent="0.2">
      <c r="A1261">
        <v>2021</v>
      </c>
      <c r="B1261" s="1" t="s">
        <v>69</v>
      </c>
      <c r="C1261" s="7">
        <v>461237</v>
      </c>
      <c r="D1261" s="5">
        <v>2.09318E-4</v>
      </c>
      <c r="F1261" s="3"/>
    </row>
    <row r="1262" spans="1:6" x14ac:dyDescent="0.2">
      <c r="A1262">
        <v>2021</v>
      </c>
      <c r="B1262" s="1" t="s">
        <v>70</v>
      </c>
      <c r="C1262" s="7">
        <v>132410</v>
      </c>
      <c r="D1262" s="5">
        <v>6.0090000000000002E-5</v>
      </c>
      <c r="F1262" s="3"/>
    </row>
    <row r="1263" spans="1:6" x14ac:dyDescent="0.2">
      <c r="A1263">
        <v>2021</v>
      </c>
      <c r="B1263" s="1" t="s">
        <v>71</v>
      </c>
      <c r="C1263" s="7">
        <v>11972</v>
      </c>
      <c r="D1263" s="5">
        <v>5.4330000000000003E-6</v>
      </c>
      <c r="F1263" s="3"/>
    </row>
    <row r="1264" spans="1:6" x14ac:dyDescent="0.2">
      <c r="A1264">
        <v>2021</v>
      </c>
      <c r="B1264" s="1" t="s">
        <v>72</v>
      </c>
      <c r="C1264" s="7">
        <v>16347</v>
      </c>
      <c r="D1264" s="5">
        <v>7.4189999999999996E-6</v>
      </c>
      <c r="F1264" s="3"/>
    </row>
    <row r="1265" spans="1:6" x14ac:dyDescent="0.2">
      <c r="A1265">
        <v>2021</v>
      </c>
      <c r="B1265" s="1" t="s">
        <v>73</v>
      </c>
      <c r="C1265" s="7">
        <v>33976</v>
      </c>
      <c r="D1265" s="5">
        <v>1.5418999999999999E-5</v>
      </c>
      <c r="F1265" s="3"/>
    </row>
    <row r="1266" spans="1:6" x14ac:dyDescent="0.2">
      <c r="A1266">
        <v>2021</v>
      </c>
      <c r="B1266" s="1" t="s">
        <v>74</v>
      </c>
      <c r="C1266" s="7">
        <v>8104</v>
      </c>
      <c r="D1266" s="5">
        <v>3.6780000000000002E-6</v>
      </c>
      <c r="F1266" s="3"/>
    </row>
    <row r="1267" spans="1:6" x14ac:dyDescent="0.2">
      <c r="A1267">
        <v>2021</v>
      </c>
      <c r="B1267" s="1" t="s">
        <v>75</v>
      </c>
      <c r="C1267" s="7">
        <v>74958</v>
      </c>
      <c r="D1267" s="5">
        <v>3.4017000000000003E-5</v>
      </c>
      <c r="F1267" s="3"/>
    </row>
    <row r="1268" spans="1:6" x14ac:dyDescent="0.2">
      <c r="A1268">
        <v>2021</v>
      </c>
      <c r="B1268" s="1" t="s">
        <v>76</v>
      </c>
      <c r="C1268" s="7">
        <v>118686</v>
      </c>
      <c r="D1268" s="5">
        <v>5.3862E-5</v>
      </c>
      <c r="F1268" s="3"/>
    </row>
    <row r="1269" spans="1:6" x14ac:dyDescent="0.2">
      <c r="A1269">
        <v>2021</v>
      </c>
      <c r="B1269" s="1" t="s">
        <v>77</v>
      </c>
      <c r="C1269" s="7" t="s">
        <v>6</v>
      </c>
      <c r="D1269" s="5">
        <v>0</v>
      </c>
      <c r="F1269" s="3"/>
    </row>
    <row r="1270" spans="1:6" x14ac:dyDescent="0.2">
      <c r="A1270">
        <v>2021</v>
      </c>
      <c r="B1270" s="1" t="s">
        <v>78</v>
      </c>
      <c r="C1270" s="7">
        <v>5002218</v>
      </c>
      <c r="D1270" s="5">
        <v>2.2700989999999998E-3</v>
      </c>
      <c r="F1270" s="3"/>
    </row>
    <row r="1271" spans="1:6" x14ac:dyDescent="0.2">
      <c r="A1271">
        <v>2021</v>
      </c>
      <c r="B1271" s="1" t="s">
        <v>79</v>
      </c>
      <c r="C1271" s="7">
        <v>198365</v>
      </c>
      <c r="D1271" s="5">
        <v>9.0022E-5</v>
      </c>
      <c r="F1271" s="3"/>
    </row>
    <row r="1272" spans="1:6" x14ac:dyDescent="0.2">
      <c r="A1272">
        <v>2021</v>
      </c>
      <c r="B1272" s="1" t="s">
        <v>80</v>
      </c>
      <c r="C1272" s="7">
        <v>119071</v>
      </c>
      <c r="D1272" s="5">
        <v>5.4036999999999998E-5</v>
      </c>
      <c r="F1272" s="3"/>
    </row>
    <row r="1273" spans="1:6" x14ac:dyDescent="0.2">
      <c r="A1273">
        <v>2021</v>
      </c>
      <c r="B1273" s="1" t="s">
        <v>81</v>
      </c>
      <c r="C1273" s="7">
        <v>196384</v>
      </c>
      <c r="D1273" s="5">
        <v>8.9122999999999994E-5</v>
      </c>
      <c r="F1273" s="3"/>
    </row>
    <row r="1274" spans="1:6" x14ac:dyDescent="0.2">
      <c r="A1274">
        <v>2021</v>
      </c>
      <c r="B1274" s="1" t="s">
        <v>82</v>
      </c>
      <c r="C1274" s="7">
        <v>3889</v>
      </c>
      <c r="D1274" s="5">
        <v>1.765E-6</v>
      </c>
      <c r="F1274" s="3"/>
    </row>
    <row r="1275" spans="1:6" x14ac:dyDescent="0.2">
      <c r="A1275">
        <v>2021</v>
      </c>
      <c r="B1275" s="1" t="s">
        <v>83</v>
      </c>
      <c r="C1275" s="7">
        <v>481304</v>
      </c>
      <c r="D1275" s="5">
        <v>2.1842500000000001E-4</v>
      </c>
      <c r="F1275" s="3"/>
    </row>
    <row r="1276" spans="1:6" x14ac:dyDescent="0.2">
      <c r="A1276">
        <v>2021</v>
      </c>
      <c r="B1276" s="1" t="s">
        <v>84</v>
      </c>
      <c r="C1276" s="7">
        <v>26626</v>
      </c>
      <c r="D1276" s="5">
        <v>1.2082999999999999E-5</v>
      </c>
      <c r="F1276" s="3"/>
    </row>
    <row r="1277" spans="1:6" x14ac:dyDescent="0.2">
      <c r="A1277">
        <v>2021</v>
      </c>
      <c r="B1277" s="1" t="s">
        <v>85</v>
      </c>
      <c r="C1277" s="7">
        <v>411250</v>
      </c>
      <c r="D1277" s="5">
        <v>1.8663299999999999E-4</v>
      </c>
      <c r="F1277" s="3"/>
    </row>
    <row r="1278" spans="1:6" x14ac:dyDescent="0.2">
      <c r="A1278">
        <v>2021</v>
      </c>
      <c r="B1278" s="1" t="s">
        <v>86</v>
      </c>
      <c r="C1278" s="7">
        <v>18935</v>
      </c>
      <c r="D1278" s="5">
        <v>8.5930000000000006E-6</v>
      </c>
      <c r="F1278" s="3"/>
    </row>
    <row r="1279" spans="1:6" x14ac:dyDescent="0.2">
      <c r="A1279">
        <v>2021</v>
      </c>
      <c r="B1279" s="1" t="s">
        <v>87</v>
      </c>
      <c r="C1279" s="7" t="s">
        <v>6</v>
      </c>
      <c r="D1279" s="5">
        <v>0</v>
      </c>
      <c r="F1279" s="3"/>
    </row>
    <row r="1280" spans="1:6" x14ac:dyDescent="0.2">
      <c r="A1280">
        <v>2021</v>
      </c>
      <c r="B1280" s="1" t="s">
        <v>88</v>
      </c>
      <c r="C1280" s="7">
        <v>863670</v>
      </c>
      <c r="D1280" s="5">
        <v>3.91949E-4</v>
      </c>
      <c r="F1280" s="3"/>
    </row>
    <row r="1281" spans="1:6" x14ac:dyDescent="0.2">
      <c r="A1281">
        <v>2021</v>
      </c>
      <c r="B1281" s="1" t="s">
        <v>89</v>
      </c>
      <c r="C1281" s="7">
        <v>1167113</v>
      </c>
      <c r="D1281" s="5">
        <v>5.29657E-4</v>
      </c>
      <c r="F1281" s="3"/>
    </row>
    <row r="1282" spans="1:6" x14ac:dyDescent="0.2">
      <c r="A1282">
        <v>2021</v>
      </c>
      <c r="B1282" s="1" t="s">
        <v>90</v>
      </c>
      <c r="C1282" s="7">
        <v>54357</v>
      </c>
      <c r="D1282" s="5">
        <v>2.4668000000000002E-5</v>
      </c>
      <c r="F1282" s="3"/>
    </row>
    <row r="1283" spans="1:6" x14ac:dyDescent="0.2">
      <c r="A1283">
        <v>2021</v>
      </c>
      <c r="B1283" s="1" t="s">
        <v>91</v>
      </c>
      <c r="C1283" s="7">
        <v>192827</v>
      </c>
      <c r="D1283" s="5">
        <v>8.7508000000000003E-5</v>
      </c>
      <c r="F1283" s="3"/>
    </row>
    <row r="1284" spans="1:6" x14ac:dyDescent="0.2">
      <c r="A1284">
        <v>2021</v>
      </c>
      <c r="B1284" s="1" t="s">
        <v>92</v>
      </c>
      <c r="C1284" s="7">
        <v>2124501</v>
      </c>
      <c r="D1284" s="5">
        <v>9.6413800000000002E-4</v>
      </c>
      <c r="F1284" s="3"/>
    </row>
    <row r="1285" spans="1:6" x14ac:dyDescent="0.2">
      <c r="A1285">
        <v>2021</v>
      </c>
      <c r="B1285" s="1" t="s">
        <v>93</v>
      </c>
      <c r="C1285" s="7">
        <v>142814</v>
      </c>
      <c r="D1285" s="5">
        <v>6.4812000000000002E-5</v>
      </c>
      <c r="F1285" s="3"/>
    </row>
    <row r="1286" spans="1:6" x14ac:dyDescent="0.2">
      <c r="A1286">
        <v>2021</v>
      </c>
      <c r="B1286" s="1" t="s">
        <v>94</v>
      </c>
      <c r="C1286" s="7">
        <v>3049206</v>
      </c>
      <c r="D1286" s="5">
        <v>1.3837859999999999E-3</v>
      </c>
      <c r="F1286" s="3"/>
    </row>
    <row r="1287" spans="1:6" x14ac:dyDescent="0.2">
      <c r="A1287">
        <v>2021</v>
      </c>
      <c r="B1287" s="1" t="s">
        <v>95</v>
      </c>
      <c r="C1287" s="7">
        <v>131965</v>
      </c>
      <c r="D1287" s="5">
        <v>5.9888E-5</v>
      </c>
      <c r="F1287" s="3"/>
    </row>
    <row r="1288" spans="1:6" x14ac:dyDescent="0.2">
      <c r="A1288">
        <v>2021</v>
      </c>
      <c r="B1288" s="1" t="s">
        <v>96</v>
      </c>
      <c r="C1288" s="7">
        <v>8131668</v>
      </c>
      <c r="D1288" s="5">
        <v>3.6903019999999999E-3</v>
      </c>
      <c r="F1288" s="3"/>
    </row>
    <row r="1289" spans="1:6" x14ac:dyDescent="0.2">
      <c r="A1289">
        <v>2021</v>
      </c>
      <c r="B1289" s="1" t="s">
        <v>97</v>
      </c>
      <c r="C1289" s="7">
        <v>8478591</v>
      </c>
      <c r="D1289" s="5">
        <v>3.8477419999999999E-3</v>
      </c>
      <c r="F1289" s="3"/>
    </row>
    <row r="1290" spans="1:6" x14ac:dyDescent="0.2">
      <c r="A1290">
        <v>2021</v>
      </c>
      <c r="B1290" s="1" t="s">
        <v>98</v>
      </c>
      <c r="C1290" s="7">
        <v>190834</v>
      </c>
      <c r="D1290" s="5">
        <v>8.6604E-5</v>
      </c>
      <c r="F1290" s="3"/>
    </row>
    <row r="1291" spans="1:6" x14ac:dyDescent="0.2">
      <c r="A1291">
        <v>2021</v>
      </c>
      <c r="B1291" s="1" t="s">
        <v>99</v>
      </c>
      <c r="C1291" s="7">
        <v>25378</v>
      </c>
      <c r="D1291" s="5">
        <v>1.1517E-5</v>
      </c>
      <c r="F1291" s="3"/>
    </row>
    <row r="1292" spans="1:6" x14ac:dyDescent="0.2">
      <c r="A1292">
        <v>2021</v>
      </c>
      <c r="B1292" s="1" t="s">
        <v>100</v>
      </c>
      <c r="C1292" s="7">
        <v>308867</v>
      </c>
      <c r="D1292" s="5">
        <v>1.4017000000000001E-4</v>
      </c>
      <c r="F1292" s="3"/>
    </row>
    <row r="1293" spans="1:6" x14ac:dyDescent="0.2">
      <c r="A1293">
        <v>2021</v>
      </c>
      <c r="B1293" s="1" t="s">
        <v>101</v>
      </c>
      <c r="C1293" s="7">
        <v>494345</v>
      </c>
      <c r="D1293" s="5">
        <v>2.24343E-4</v>
      </c>
      <c r="F1293" s="3"/>
    </row>
    <row r="1294" spans="1:6" x14ac:dyDescent="0.2">
      <c r="A1294">
        <v>2021</v>
      </c>
      <c r="B1294" s="1" t="s">
        <v>102</v>
      </c>
      <c r="C1294" s="7">
        <v>59196</v>
      </c>
      <c r="D1294" s="5">
        <v>2.6863999999999999E-5</v>
      </c>
      <c r="F1294" s="3"/>
    </row>
    <row r="1295" spans="1:6" x14ac:dyDescent="0.2">
      <c r="A1295">
        <v>2021</v>
      </c>
      <c r="B1295" s="1" t="s">
        <v>103</v>
      </c>
      <c r="C1295" s="7">
        <v>6002597</v>
      </c>
      <c r="D1295" s="5">
        <v>2.7240900000000002E-3</v>
      </c>
      <c r="F1295" s="3"/>
    </row>
    <row r="1296" spans="1:6" x14ac:dyDescent="0.2">
      <c r="A1296">
        <v>2021</v>
      </c>
      <c r="B1296" s="1" t="s">
        <v>104</v>
      </c>
      <c r="C1296" s="7">
        <v>65509</v>
      </c>
      <c r="D1296" s="5">
        <v>2.9728999999999999E-5</v>
      </c>
      <c r="F1296" s="3"/>
    </row>
    <row r="1297" spans="1:6" x14ac:dyDescent="0.2">
      <c r="A1297">
        <v>2021</v>
      </c>
      <c r="B1297" s="1" t="s">
        <v>105</v>
      </c>
      <c r="C1297" s="7">
        <v>75604</v>
      </c>
      <c r="D1297" s="5">
        <v>3.4310000000000002E-5</v>
      </c>
      <c r="F1297" s="3"/>
    </row>
    <row r="1298" spans="1:6" x14ac:dyDescent="0.2">
      <c r="A1298">
        <v>2021</v>
      </c>
      <c r="B1298" s="1" t="s">
        <v>106</v>
      </c>
      <c r="C1298" s="7">
        <v>537246</v>
      </c>
      <c r="D1298" s="5">
        <v>2.4381199999999999E-4</v>
      </c>
      <c r="F1298" s="3"/>
    </row>
    <row r="1299" spans="1:6" x14ac:dyDescent="0.2">
      <c r="A1299">
        <v>2021</v>
      </c>
      <c r="B1299" s="1" t="s">
        <v>107</v>
      </c>
      <c r="C1299" s="7">
        <v>1002028</v>
      </c>
      <c r="D1299" s="5">
        <v>4.5473900000000001E-4</v>
      </c>
      <c r="F1299" s="3"/>
    </row>
    <row r="1300" spans="1:6" x14ac:dyDescent="0.2">
      <c r="A1300">
        <v>2021</v>
      </c>
      <c r="B1300" s="1" t="s">
        <v>108</v>
      </c>
      <c r="C1300" s="7">
        <v>986224</v>
      </c>
      <c r="D1300" s="5">
        <v>4.4756700000000001E-4</v>
      </c>
      <c r="F1300" s="3"/>
    </row>
    <row r="1301" spans="1:6" x14ac:dyDescent="0.2">
      <c r="A1301">
        <v>2021</v>
      </c>
      <c r="B1301" s="1" t="s">
        <v>109</v>
      </c>
      <c r="C1301" s="7">
        <v>422352</v>
      </c>
      <c r="D1301" s="5">
        <v>1.91671E-4</v>
      </c>
      <c r="F1301" s="3"/>
    </row>
    <row r="1302" spans="1:6" x14ac:dyDescent="0.2">
      <c r="A1302">
        <v>2021</v>
      </c>
      <c r="B1302" s="1" t="s">
        <v>110</v>
      </c>
      <c r="C1302" s="7">
        <v>158700</v>
      </c>
      <c r="D1302" s="5">
        <v>7.2020999999999994E-5</v>
      </c>
      <c r="F1302" s="3"/>
    </row>
    <row r="1303" spans="1:6" x14ac:dyDescent="0.2">
      <c r="A1303">
        <v>2021</v>
      </c>
      <c r="B1303" s="1" t="s">
        <v>111</v>
      </c>
      <c r="C1303" s="7">
        <v>11246</v>
      </c>
      <c r="D1303" s="5">
        <v>5.1039999999999998E-6</v>
      </c>
      <c r="F1303" s="3"/>
    </row>
    <row r="1304" spans="1:6" x14ac:dyDescent="0.2">
      <c r="A1304">
        <v>2021</v>
      </c>
      <c r="B1304" s="1" t="s">
        <v>112</v>
      </c>
      <c r="C1304" s="7">
        <v>60990</v>
      </c>
      <c r="D1304" s="5">
        <v>2.7678000000000002E-5</v>
      </c>
      <c r="F1304" s="3"/>
    </row>
    <row r="1305" spans="1:6" x14ac:dyDescent="0.2">
      <c r="A1305">
        <v>2021</v>
      </c>
      <c r="B1305" s="1" t="s">
        <v>113</v>
      </c>
      <c r="C1305" s="7">
        <v>393620</v>
      </c>
      <c r="D1305" s="5">
        <v>1.7863199999999999E-4</v>
      </c>
      <c r="F1305" s="3"/>
    </row>
    <row r="1306" spans="1:6" x14ac:dyDescent="0.2">
      <c r="A1306">
        <v>2021</v>
      </c>
      <c r="B1306" s="1" t="s">
        <v>114</v>
      </c>
      <c r="C1306" s="7" t="s">
        <v>6</v>
      </c>
      <c r="D1306" s="5">
        <v>0</v>
      </c>
      <c r="F1306" s="3"/>
    </row>
    <row r="1307" spans="1:6" x14ac:dyDescent="0.2">
      <c r="A1307">
        <v>2021</v>
      </c>
      <c r="B1307" s="1" t="s">
        <v>115</v>
      </c>
      <c r="C1307" s="7">
        <v>96727</v>
      </c>
      <c r="D1307" s="5">
        <v>4.3896999999999997E-5</v>
      </c>
      <c r="F1307" s="3"/>
    </row>
    <row r="1308" spans="1:6" x14ac:dyDescent="0.2">
      <c r="A1308">
        <v>2021</v>
      </c>
      <c r="B1308" s="1" t="s">
        <v>233</v>
      </c>
      <c r="C1308" s="7">
        <v>53213</v>
      </c>
      <c r="D1308" s="5">
        <v>2.4148999999999999E-5</v>
      </c>
      <c r="F1308" s="3"/>
    </row>
    <row r="1309" spans="1:6" x14ac:dyDescent="0.2">
      <c r="A1309">
        <v>2021</v>
      </c>
      <c r="B1309" t="s">
        <v>116</v>
      </c>
      <c r="C1309" s="7">
        <v>231769</v>
      </c>
      <c r="D1309" s="5">
        <v>1.0518099999999999E-4</v>
      </c>
      <c r="F1309" s="3"/>
    </row>
    <row r="1310" spans="1:6" x14ac:dyDescent="0.2">
      <c r="A1310">
        <v>2021</v>
      </c>
      <c r="B1310" t="s">
        <v>117</v>
      </c>
      <c r="C1310" s="7" t="s">
        <v>6</v>
      </c>
      <c r="D1310" s="5">
        <v>0</v>
      </c>
      <c r="F1310" s="3"/>
    </row>
    <row r="1311" spans="1:6" x14ac:dyDescent="0.2">
      <c r="A1311">
        <v>2021</v>
      </c>
      <c r="B1311" t="s">
        <v>118</v>
      </c>
      <c r="C1311" s="7">
        <v>67425</v>
      </c>
      <c r="D1311" s="5">
        <v>3.0599000000000003E-5</v>
      </c>
      <c r="F1311" s="3"/>
    </row>
    <row r="1312" spans="1:6" x14ac:dyDescent="0.2">
      <c r="A1312">
        <v>2021</v>
      </c>
      <c r="B1312" t="s">
        <v>119</v>
      </c>
      <c r="C1312" s="7">
        <v>86398</v>
      </c>
      <c r="D1312" s="5">
        <v>3.9208999999999997E-5</v>
      </c>
      <c r="F1312" s="3"/>
    </row>
    <row r="1313" spans="1:6" x14ac:dyDescent="0.2">
      <c r="A1313">
        <v>2021</v>
      </c>
      <c r="B1313" t="s">
        <v>120</v>
      </c>
      <c r="C1313" s="7">
        <v>905142</v>
      </c>
      <c r="D1313" s="5">
        <v>4.1077000000000003E-4</v>
      </c>
      <c r="F1313" s="3"/>
    </row>
    <row r="1314" spans="1:6" x14ac:dyDescent="0.2">
      <c r="A1314">
        <v>2021</v>
      </c>
      <c r="B1314" t="s">
        <v>121</v>
      </c>
      <c r="C1314" s="7">
        <v>1812618</v>
      </c>
      <c r="D1314" s="5">
        <v>8.2260000000000005E-4</v>
      </c>
      <c r="F1314" s="3"/>
    </row>
    <row r="1315" spans="1:6" x14ac:dyDescent="0.2">
      <c r="A1315">
        <v>2021</v>
      </c>
      <c r="B1315" t="s">
        <v>122</v>
      </c>
      <c r="C1315" s="7" t="s">
        <v>6</v>
      </c>
      <c r="D1315" s="5">
        <v>0</v>
      </c>
      <c r="F1315" s="3"/>
    </row>
    <row r="1316" spans="1:6" x14ac:dyDescent="0.2">
      <c r="A1316">
        <v>2021</v>
      </c>
      <c r="B1316" t="s">
        <v>123</v>
      </c>
      <c r="C1316" s="7" t="s">
        <v>6</v>
      </c>
      <c r="D1316" s="5">
        <v>0</v>
      </c>
      <c r="F1316" s="3"/>
    </row>
    <row r="1317" spans="1:6" x14ac:dyDescent="0.2">
      <c r="A1317">
        <v>2021</v>
      </c>
      <c r="B1317" t="s">
        <v>124</v>
      </c>
      <c r="C1317" s="7" t="s">
        <v>6</v>
      </c>
      <c r="D1317" s="5">
        <v>0</v>
      </c>
      <c r="F1317" s="3"/>
    </row>
    <row r="1318" spans="1:6" x14ac:dyDescent="0.2">
      <c r="A1318">
        <v>2021</v>
      </c>
      <c r="B1318" t="s">
        <v>125</v>
      </c>
      <c r="C1318" s="7">
        <v>39942</v>
      </c>
      <c r="D1318" s="5">
        <v>1.8125999999999999E-5</v>
      </c>
      <c r="F1318" s="3"/>
    </row>
    <row r="1319" spans="1:6" x14ac:dyDescent="0.2">
      <c r="A1319">
        <v>2021</v>
      </c>
      <c r="B1319" t="s">
        <v>126</v>
      </c>
      <c r="C1319" s="7">
        <v>155930</v>
      </c>
      <c r="D1319" s="5">
        <v>7.0764000000000002E-5</v>
      </c>
      <c r="F1319" s="3"/>
    </row>
    <row r="1320" spans="1:6" x14ac:dyDescent="0.2">
      <c r="A1320">
        <v>2021</v>
      </c>
      <c r="B1320" t="s">
        <v>234</v>
      </c>
      <c r="C1320" s="7">
        <v>100205</v>
      </c>
      <c r="D1320" s="5">
        <v>4.5475000000000001E-5</v>
      </c>
      <c r="F1320" s="3"/>
    </row>
    <row r="1321" spans="1:6" x14ac:dyDescent="0.2">
      <c r="A1321">
        <v>2021</v>
      </c>
      <c r="B1321" t="s">
        <v>127</v>
      </c>
      <c r="C1321" s="7">
        <v>257722</v>
      </c>
      <c r="D1321" s="5">
        <v>1.16959E-4</v>
      </c>
      <c r="F1321" s="3"/>
    </row>
    <row r="1322" spans="1:6" x14ac:dyDescent="0.2">
      <c r="A1322">
        <v>2021</v>
      </c>
      <c r="B1322" t="s">
        <v>128</v>
      </c>
      <c r="C1322" s="7">
        <v>372994</v>
      </c>
      <c r="D1322" s="5">
        <v>1.6927199999999999E-4</v>
      </c>
      <c r="F1322" s="3"/>
    </row>
    <row r="1323" spans="1:6" x14ac:dyDescent="0.2">
      <c r="A1323">
        <v>2021</v>
      </c>
      <c r="B1323" t="s">
        <v>129</v>
      </c>
      <c r="C1323" s="7">
        <v>54988</v>
      </c>
      <c r="D1323" s="5">
        <v>2.4955000000000001E-5</v>
      </c>
      <c r="F1323" s="3"/>
    </row>
    <row r="1324" spans="1:6" x14ac:dyDescent="0.2">
      <c r="A1324">
        <v>2021</v>
      </c>
      <c r="B1324" t="s">
        <v>130</v>
      </c>
      <c r="C1324" s="7">
        <v>99081</v>
      </c>
      <c r="D1324" s="5">
        <v>4.4965000000000001E-5</v>
      </c>
      <c r="F1324" s="3"/>
    </row>
    <row r="1325" spans="1:6" x14ac:dyDescent="0.2">
      <c r="A1325">
        <v>2021</v>
      </c>
      <c r="B1325" t="s">
        <v>131</v>
      </c>
      <c r="C1325" s="7">
        <v>103785</v>
      </c>
      <c r="D1325" s="5">
        <v>4.71E-5</v>
      </c>
      <c r="F1325" s="3"/>
    </row>
    <row r="1326" spans="1:6" x14ac:dyDescent="0.2">
      <c r="A1326">
        <v>2021</v>
      </c>
      <c r="B1326" t="s">
        <v>133</v>
      </c>
      <c r="C1326" s="7">
        <v>74665</v>
      </c>
      <c r="D1326" s="5">
        <v>3.3884000000000003E-5</v>
      </c>
      <c r="F1326" s="3"/>
    </row>
    <row r="1327" spans="1:6" x14ac:dyDescent="0.2">
      <c r="A1327">
        <v>2021</v>
      </c>
      <c r="B1327" t="s">
        <v>134</v>
      </c>
      <c r="C1327" s="7">
        <v>168752</v>
      </c>
      <c r="D1327" s="5">
        <v>7.6582999999999995E-5</v>
      </c>
      <c r="F1327" s="3"/>
    </row>
    <row r="1328" spans="1:6" x14ac:dyDescent="0.2">
      <c r="A1328">
        <v>2021</v>
      </c>
      <c r="B1328" t="s">
        <v>216</v>
      </c>
      <c r="C1328" s="7">
        <v>172025</v>
      </c>
      <c r="D1328" s="5">
        <v>7.8067999999999999E-5</v>
      </c>
      <c r="F1328" s="3"/>
    </row>
    <row r="1329" spans="1:6" x14ac:dyDescent="0.2">
      <c r="A1329">
        <v>2021</v>
      </c>
      <c r="B1329" t="s">
        <v>135</v>
      </c>
      <c r="C1329" s="7">
        <v>15298</v>
      </c>
      <c r="D1329" s="5">
        <v>6.9430000000000003E-6</v>
      </c>
      <c r="F1329" s="3"/>
    </row>
    <row r="1330" spans="1:6" x14ac:dyDescent="0.2">
      <c r="A1330">
        <v>2021</v>
      </c>
      <c r="B1330" t="s">
        <v>136</v>
      </c>
      <c r="C1330" s="7">
        <v>469033</v>
      </c>
      <c r="D1330" s="5">
        <v>2.1285600000000001E-4</v>
      </c>
      <c r="F1330" s="3"/>
    </row>
    <row r="1331" spans="1:6" x14ac:dyDescent="0.2">
      <c r="A1331">
        <v>2021</v>
      </c>
      <c r="B1331" t="s">
        <v>137</v>
      </c>
      <c r="C1331" s="7">
        <v>20395258</v>
      </c>
      <c r="D1331" s="5">
        <v>9.2557460000000005E-3</v>
      </c>
      <c r="F1331" s="3"/>
    </row>
    <row r="1332" spans="1:6" x14ac:dyDescent="0.2">
      <c r="A1332">
        <v>2021</v>
      </c>
      <c r="B1332" t="s">
        <v>138</v>
      </c>
      <c r="C1332" s="7">
        <v>373827</v>
      </c>
      <c r="D1332" s="5">
        <v>1.6965E-4</v>
      </c>
      <c r="F1332" s="3"/>
    </row>
    <row r="1333" spans="1:6" x14ac:dyDescent="0.2">
      <c r="A1333">
        <v>2021</v>
      </c>
      <c r="B1333" t="s">
        <v>139</v>
      </c>
      <c r="C1333" s="7">
        <v>22772302</v>
      </c>
      <c r="D1333" s="5">
        <v>1.0334492000000001E-2</v>
      </c>
      <c r="F1333" s="3"/>
    </row>
    <row r="1334" spans="1:6" x14ac:dyDescent="0.2">
      <c r="A1334">
        <v>2021</v>
      </c>
      <c r="B1334" t="s">
        <v>140</v>
      </c>
      <c r="C1334" s="7">
        <v>29258</v>
      </c>
      <c r="D1334" s="5">
        <v>1.3278000000000001E-5</v>
      </c>
      <c r="F1334" s="3"/>
    </row>
    <row r="1335" spans="1:6" x14ac:dyDescent="0.2">
      <c r="A1335">
        <v>2021</v>
      </c>
      <c r="B1335" t="s">
        <v>141</v>
      </c>
      <c r="C1335" s="7">
        <v>59267</v>
      </c>
      <c r="D1335" s="5">
        <v>2.6896000000000001E-5</v>
      </c>
      <c r="F1335" s="3"/>
    </row>
    <row r="1336" spans="1:6" x14ac:dyDescent="0.2">
      <c r="A1336">
        <v>2021</v>
      </c>
      <c r="B1336" t="s">
        <v>142</v>
      </c>
      <c r="C1336" s="7">
        <v>87427</v>
      </c>
      <c r="D1336" s="5">
        <v>3.9675999999999998E-5</v>
      </c>
      <c r="F1336" s="3"/>
    </row>
    <row r="1337" spans="1:6" x14ac:dyDescent="0.2">
      <c r="A1337">
        <v>2021</v>
      </c>
      <c r="B1337" t="s">
        <v>143</v>
      </c>
      <c r="C1337" s="7">
        <v>34567</v>
      </c>
      <c r="D1337" s="5">
        <v>1.5687000000000001E-5</v>
      </c>
      <c r="F1337" s="3"/>
    </row>
    <row r="1338" spans="1:6" x14ac:dyDescent="0.2">
      <c r="A1338">
        <v>2021</v>
      </c>
      <c r="B1338" t="s">
        <v>144</v>
      </c>
      <c r="C1338" s="7">
        <v>143063</v>
      </c>
      <c r="D1338" s="5">
        <v>6.4925000000000006E-5</v>
      </c>
      <c r="F1338" s="3"/>
    </row>
    <row r="1339" spans="1:6" x14ac:dyDescent="0.2">
      <c r="A1339">
        <v>2021</v>
      </c>
      <c r="B1339" t="s">
        <v>145</v>
      </c>
      <c r="C1339" s="7">
        <v>2618687</v>
      </c>
      <c r="D1339" s="5">
        <v>1.1884090000000001E-3</v>
      </c>
      <c r="F1339" s="3"/>
    </row>
    <row r="1340" spans="1:6" x14ac:dyDescent="0.2">
      <c r="A1340">
        <v>2021</v>
      </c>
      <c r="B1340" t="s">
        <v>146</v>
      </c>
      <c r="C1340" s="7">
        <v>632990</v>
      </c>
      <c r="D1340" s="5">
        <v>2.87263E-4</v>
      </c>
      <c r="F1340" s="3"/>
    </row>
    <row r="1341" spans="1:6" x14ac:dyDescent="0.2">
      <c r="A1341">
        <v>2021</v>
      </c>
      <c r="B1341" t="s">
        <v>147</v>
      </c>
      <c r="C1341" s="7">
        <v>39831</v>
      </c>
      <c r="D1341" s="5">
        <v>1.8076000000000001E-5</v>
      </c>
      <c r="F1341" s="3"/>
    </row>
    <row r="1342" spans="1:6" x14ac:dyDescent="0.2">
      <c r="A1342">
        <v>2021</v>
      </c>
      <c r="B1342" t="s">
        <v>148</v>
      </c>
      <c r="C1342" s="7">
        <v>1187375</v>
      </c>
      <c r="D1342" s="5">
        <v>5.3885300000000005E-4</v>
      </c>
      <c r="F1342" s="3"/>
    </row>
    <row r="1343" spans="1:6" x14ac:dyDescent="0.2">
      <c r="A1343">
        <v>2021</v>
      </c>
      <c r="B1343" t="s">
        <v>149</v>
      </c>
      <c r="C1343" s="7">
        <v>17517</v>
      </c>
      <c r="D1343" s="5">
        <v>7.9500000000000001E-6</v>
      </c>
      <c r="F1343" s="3"/>
    </row>
    <row r="1344" spans="1:6" x14ac:dyDescent="0.2">
      <c r="A1344">
        <v>2021</v>
      </c>
      <c r="B1344" t="s">
        <v>150</v>
      </c>
      <c r="C1344" s="7">
        <v>44817</v>
      </c>
      <c r="D1344" s="5">
        <v>2.0339E-5</v>
      </c>
      <c r="F1344" s="3"/>
    </row>
    <row r="1345" spans="1:6" x14ac:dyDescent="0.2">
      <c r="A1345">
        <v>2021</v>
      </c>
      <c r="B1345" t="s">
        <v>151</v>
      </c>
      <c r="C1345" s="7">
        <v>43000</v>
      </c>
      <c r="D1345" s="5">
        <v>1.9514E-5</v>
      </c>
      <c r="F1345" s="3"/>
    </row>
    <row r="1346" spans="1:6" x14ac:dyDescent="0.2">
      <c r="A1346">
        <v>2021</v>
      </c>
      <c r="B1346" t="s">
        <v>152</v>
      </c>
      <c r="C1346" s="7">
        <v>1167784</v>
      </c>
      <c r="D1346" s="5">
        <v>5.2996200000000003E-4</v>
      </c>
      <c r="F1346" s="3"/>
    </row>
    <row r="1347" spans="1:6" x14ac:dyDescent="0.2">
      <c r="A1347">
        <v>2021</v>
      </c>
      <c r="B1347" t="s">
        <v>230</v>
      </c>
      <c r="C1347" s="7">
        <v>3124595</v>
      </c>
      <c r="D1347" s="5">
        <v>1.4179990000000001E-3</v>
      </c>
      <c r="F1347" s="3"/>
    </row>
    <row r="1348" spans="1:6" x14ac:dyDescent="0.2">
      <c r="A1348">
        <v>2021</v>
      </c>
      <c r="B1348" t="s">
        <v>154</v>
      </c>
      <c r="C1348" s="7">
        <v>704938</v>
      </c>
      <c r="D1348" s="5">
        <v>3.1991399999999997E-4</v>
      </c>
      <c r="F1348" s="3"/>
    </row>
    <row r="1349" spans="1:6" x14ac:dyDescent="0.2">
      <c r="A1349">
        <v>2021</v>
      </c>
      <c r="B1349" t="s">
        <v>155</v>
      </c>
      <c r="C1349" s="7">
        <v>93489</v>
      </c>
      <c r="D1349" s="5">
        <v>4.2426999999999999E-5</v>
      </c>
      <c r="F1349" s="3"/>
    </row>
    <row r="1350" spans="1:6" x14ac:dyDescent="0.2">
      <c r="A1350">
        <v>2021</v>
      </c>
      <c r="B1350" t="s">
        <v>156</v>
      </c>
      <c r="C1350" s="7">
        <v>842491</v>
      </c>
      <c r="D1350" s="5">
        <v>3.8233800000000002E-4</v>
      </c>
      <c r="F1350" s="3"/>
    </row>
    <row r="1351" spans="1:6" x14ac:dyDescent="0.2">
      <c r="A1351">
        <v>2021</v>
      </c>
      <c r="B1351" t="s">
        <v>157</v>
      </c>
      <c r="C1351" s="7">
        <v>13069</v>
      </c>
      <c r="D1351" s="5">
        <v>5.9309999999999996E-6</v>
      </c>
      <c r="F1351" s="3"/>
    </row>
    <row r="1352" spans="1:6" x14ac:dyDescent="0.2">
      <c r="A1352">
        <v>2021</v>
      </c>
      <c r="B1352" t="s">
        <v>158</v>
      </c>
      <c r="C1352" s="7">
        <v>323965</v>
      </c>
      <c r="D1352" s="5">
        <v>1.47021E-4</v>
      </c>
      <c r="F1352" s="3"/>
    </row>
    <row r="1353" spans="1:6" x14ac:dyDescent="0.2">
      <c r="A1353">
        <v>2021</v>
      </c>
      <c r="B1353" t="s">
        <v>159</v>
      </c>
      <c r="C1353" s="7">
        <v>95732</v>
      </c>
      <c r="D1353" s="5">
        <v>4.3445000000000002E-5</v>
      </c>
      <c r="F1353" s="3"/>
    </row>
    <row r="1354" spans="1:6" x14ac:dyDescent="0.2">
      <c r="A1354">
        <v>2021</v>
      </c>
      <c r="B1354" t="s">
        <v>160</v>
      </c>
      <c r="C1354" s="7">
        <v>235574</v>
      </c>
      <c r="D1354" s="5">
        <v>1.06908E-4</v>
      </c>
      <c r="F1354" s="3"/>
    </row>
    <row r="1355" spans="1:6" x14ac:dyDescent="0.2">
      <c r="A1355">
        <v>2021</v>
      </c>
      <c r="B1355" t="s">
        <v>161</v>
      </c>
      <c r="C1355" s="7">
        <v>616924</v>
      </c>
      <c r="D1355" s="5">
        <v>2.7997200000000002E-4</v>
      </c>
      <c r="F1355" s="3"/>
    </row>
    <row r="1356" spans="1:6" x14ac:dyDescent="0.2">
      <c r="A1356">
        <v>2021</v>
      </c>
      <c r="B1356" t="s">
        <v>162</v>
      </c>
      <c r="C1356" s="7">
        <v>1619548</v>
      </c>
      <c r="D1356" s="5">
        <v>7.34981E-4</v>
      </c>
      <c r="F1356" s="3"/>
    </row>
    <row r="1357" spans="1:6" x14ac:dyDescent="0.2">
      <c r="A1357">
        <v>2021</v>
      </c>
      <c r="B1357" t="s">
        <v>163</v>
      </c>
      <c r="C1357" s="7">
        <v>2903407</v>
      </c>
      <c r="D1357" s="5">
        <v>1.31762E-3</v>
      </c>
      <c r="F1357" s="3"/>
    </row>
    <row r="1358" spans="1:6" x14ac:dyDescent="0.2">
      <c r="A1358">
        <v>2021</v>
      </c>
      <c r="B1358" t="s">
        <v>164</v>
      </c>
      <c r="C1358" s="7">
        <v>34054</v>
      </c>
      <c r="D1358" s="5">
        <v>1.5454000000000001E-5</v>
      </c>
      <c r="F1358" s="3"/>
    </row>
    <row r="1359" spans="1:6" x14ac:dyDescent="0.2">
      <c r="A1359">
        <v>2021</v>
      </c>
      <c r="B1359" t="s">
        <v>165</v>
      </c>
      <c r="C1359" s="7">
        <v>64957</v>
      </c>
      <c r="D1359" s="5">
        <v>2.9479E-5</v>
      </c>
      <c r="F1359" s="3"/>
    </row>
    <row r="1360" spans="1:6" x14ac:dyDescent="0.2">
      <c r="A1360">
        <v>2021</v>
      </c>
      <c r="B1360" t="s">
        <v>166</v>
      </c>
      <c r="C1360" s="7" t="s">
        <v>6</v>
      </c>
      <c r="D1360" s="5">
        <v>0</v>
      </c>
      <c r="F1360" s="3"/>
    </row>
    <row r="1361" spans="1:6" x14ac:dyDescent="0.2">
      <c r="A1361">
        <v>2021</v>
      </c>
      <c r="B1361" t="s">
        <v>167</v>
      </c>
      <c r="C1361" s="7">
        <v>213162</v>
      </c>
      <c r="D1361" s="5">
        <v>9.6737000000000006E-5</v>
      </c>
      <c r="F1361" s="3"/>
    </row>
    <row r="1362" spans="1:6" x14ac:dyDescent="0.2">
      <c r="A1362">
        <v>2021</v>
      </c>
      <c r="B1362" t="s">
        <v>168</v>
      </c>
      <c r="C1362" s="7">
        <v>46624</v>
      </c>
      <c r="D1362" s="5">
        <v>2.1158999999999999E-5</v>
      </c>
      <c r="F1362" s="3"/>
    </row>
    <row r="1363" spans="1:6" x14ac:dyDescent="0.2">
      <c r="A1363">
        <v>2021</v>
      </c>
      <c r="B1363" t="s">
        <v>235</v>
      </c>
      <c r="C1363" s="7">
        <v>78889</v>
      </c>
      <c r="D1363" s="5">
        <v>3.5800999999999998E-5</v>
      </c>
      <c r="F1363" s="3"/>
    </row>
    <row r="1364" spans="1:6" x14ac:dyDescent="0.2">
      <c r="A1364">
        <v>2022</v>
      </c>
      <c r="B1364" s="1" t="s">
        <v>4</v>
      </c>
      <c r="C1364" s="8">
        <v>2127544596</v>
      </c>
      <c r="D1364" s="5">
        <v>0.93219199900000005</v>
      </c>
      <c r="F1364" s="3"/>
    </row>
    <row r="1365" spans="1:6" x14ac:dyDescent="0.2">
      <c r="A1365">
        <v>2022</v>
      </c>
      <c r="B1365" s="1" t="s">
        <v>5</v>
      </c>
      <c r="C1365" s="7">
        <v>35315</v>
      </c>
      <c r="D1365" s="5">
        <v>1.5472999999999999E-5</v>
      </c>
      <c r="F1365" s="3"/>
    </row>
    <row r="1366" spans="1:6" x14ac:dyDescent="0.2">
      <c r="A1366">
        <v>2022</v>
      </c>
      <c r="B1366" s="1" t="s">
        <v>7</v>
      </c>
      <c r="C1366" s="7">
        <v>93825</v>
      </c>
      <c r="D1366" s="5">
        <v>4.1109999999999998E-5</v>
      </c>
      <c r="F1366" s="3"/>
    </row>
    <row r="1367" spans="1:6" x14ac:dyDescent="0.2">
      <c r="A1367">
        <v>2022</v>
      </c>
      <c r="B1367" s="1" t="s">
        <v>8</v>
      </c>
      <c r="C1367" s="7">
        <v>1763613</v>
      </c>
      <c r="D1367" s="5">
        <v>7.7273399999999996E-4</v>
      </c>
      <c r="F1367" s="3"/>
    </row>
    <row r="1368" spans="1:6" x14ac:dyDescent="0.2">
      <c r="A1368">
        <v>2022</v>
      </c>
      <c r="B1368" s="1" t="s">
        <v>203</v>
      </c>
      <c r="C1368" s="7">
        <v>408409</v>
      </c>
      <c r="D1368" s="5">
        <v>1.78946E-4</v>
      </c>
      <c r="F1368" s="3"/>
    </row>
    <row r="1369" spans="1:6" x14ac:dyDescent="0.2">
      <c r="A1369">
        <v>2022</v>
      </c>
      <c r="B1369" s="1" t="s">
        <v>9</v>
      </c>
      <c r="C1369" s="7">
        <v>3479</v>
      </c>
      <c r="D1369" s="5">
        <v>1.5239999999999999E-6</v>
      </c>
      <c r="F1369" s="3"/>
    </row>
    <row r="1370" spans="1:6" x14ac:dyDescent="0.2">
      <c r="A1370">
        <v>2022</v>
      </c>
      <c r="B1370" s="1" t="s">
        <v>10</v>
      </c>
      <c r="C1370" s="7">
        <v>43071</v>
      </c>
      <c r="D1370" s="5">
        <v>1.8872000000000002E-5</v>
      </c>
      <c r="F1370" s="3"/>
    </row>
    <row r="1371" spans="1:6" x14ac:dyDescent="0.2">
      <c r="A1371">
        <v>2022</v>
      </c>
      <c r="B1371" s="1" t="s">
        <v>11</v>
      </c>
      <c r="C1371" s="7">
        <v>707323</v>
      </c>
      <c r="D1371" s="5">
        <v>3.0991599999999998E-4</v>
      </c>
      <c r="F1371" s="3"/>
    </row>
    <row r="1372" spans="1:6" x14ac:dyDescent="0.2">
      <c r="A1372">
        <v>2022</v>
      </c>
      <c r="B1372" s="1" t="s">
        <v>12</v>
      </c>
      <c r="C1372" s="7">
        <v>88453</v>
      </c>
      <c r="D1372" s="5">
        <v>3.8756E-5</v>
      </c>
      <c r="F1372" s="3"/>
    </row>
    <row r="1373" spans="1:6" x14ac:dyDescent="0.2">
      <c r="A1373">
        <v>2022</v>
      </c>
      <c r="B1373" s="1" t="s">
        <v>13</v>
      </c>
      <c r="C1373" s="7" t="s">
        <v>6</v>
      </c>
      <c r="D1373" s="5">
        <v>0</v>
      </c>
      <c r="F1373" s="3"/>
    </row>
    <row r="1374" spans="1:6" x14ac:dyDescent="0.2">
      <c r="A1374">
        <v>2022</v>
      </c>
      <c r="B1374" s="1" t="s">
        <v>14</v>
      </c>
      <c r="C1374" s="7">
        <v>28788</v>
      </c>
      <c r="D1374" s="5">
        <v>1.2614E-5</v>
      </c>
      <c r="F1374" s="3"/>
    </row>
    <row r="1375" spans="1:6" x14ac:dyDescent="0.2">
      <c r="A1375">
        <v>2022</v>
      </c>
      <c r="B1375" s="1" t="s">
        <v>15</v>
      </c>
      <c r="C1375" s="7">
        <v>2185333</v>
      </c>
      <c r="D1375" s="5">
        <v>9.5751199999999999E-4</v>
      </c>
      <c r="F1375" s="3"/>
    </row>
    <row r="1376" spans="1:6" x14ac:dyDescent="0.2">
      <c r="A1376">
        <v>2022</v>
      </c>
      <c r="B1376" s="1" t="s">
        <v>16</v>
      </c>
      <c r="C1376" s="7">
        <v>446925</v>
      </c>
      <c r="D1376" s="5">
        <v>1.9582200000000001E-4</v>
      </c>
      <c r="F1376" s="3"/>
    </row>
    <row r="1377" spans="1:6" x14ac:dyDescent="0.2">
      <c r="A1377">
        <v>2022</v>
      </c>
      <c r="B1377" s="1" t="s">
        <v>17</v>
      </c>
      <c r="C1377" s="7">
        <v>38967</v>
      </c>
      <c r="D1377" s="5">
        <v>1.7073999999999999E-5</v>
      </c>
      <c r="F1377" s="3"/>
    </row>
    <row r="1378" spans="1:6" x14ac:dyDescent="0.2">
      <c r="A1378">
        <v>2022</v>
      </c>
      <c r="B1378" s="1" t="s">
        <v>18</v>
      </c>
      <c r="C1378" s="7" t="s">
        <v>6</v>
      </c>
      <c r="D1378" s="5">
        <v>0</v>
      </c>
      <c r="F1378" s="3"/>
    </row>
    <row r="1379" spans="1:6" x14ac:dyDescent="0.2">
      <c r="A1379">
        <v>2022</v>
      </c>
      <c r="B1379" s="1" t="s">
        <v>19</v>
      </c>
      <c r="C1379" s="7">
        <v>68181</v>
      </c>
      <c r="D1379" s="5">
        <v>2.9873999999999999E-5</v>
      </c>
      <c r="F1379" s="3"/>
    </row>
    <row r="1380" spans="1:6" x14ac:dyDescent="0.2">
      <c r="A1380">
        <v>2022</v>
      </c>
      <c r="B1380" s="1" t="s">
        <v>20</v>
      </c>
      <c r="C1380" s="7">
        <v>27265</v>
      </c>
      <c r="D1380" s="5">
        <v>1.1946E-5</v>
      </c>
      <c r="F1380" s="3"/>
    </row>
    <row r="1381" spans="1:6" x14ac:dyDescent="0.2">
      <c r="A1381">
        <v>2022</v>
      </c>
      <c r="B1381" s="1" t="s">
        <v>21</v>
      </c>
      <c r="C1381" s="7">
        <v>9114191</v>
      </c>
      <c r="D1381" s="5">
        <v>3.9934180000000003E-3</v>
      </c>
      <c r="F1381" s="3"/>
    </row>
    <row r="1382" spans="1:6" x14ac:dyDescent="0.2">
      <c r="A1382">
        <v>2022</v>
      </c>
      <c r="B1382" s="1" t="s">
        <v>205</v>
      </c>
      <c r="C1382" s="7">
        <v>739168</v>
      </c>
      <c r="D1382" s="5">
        <v>3.2386900000000001E-4</v>
      </c>
      <c r="F1382" s="3"/>
    </row>
    <row r="1383" spans="1:6" x14ac:dyDescent="0.2">
      <c r="A1383">
        <v>2022</v>
      </c>
      <c r="B1383" s="1" t="s">
        <v>206</v>
      </c>
      <c r="C1383" s="7">
        <v>2707597</v>
      </c>
      <c r="D1383" s="5">
        <v>1.186344E-3</v>
      </c>
      <c r="F1383" s="3"/>
    </row>
    <row r="1384" spans="1:6" x14ac:dyDescent="0.2">
      <c r="A1384">
        <v>2022</v>
      </c>
      <c r="B1384" s="1" t="s">
        <v>25</v>
      </c>
      <c r="C1384" s="7" t="s">
        <v>6</v>
      </c>
      <c r="D1384" s="5">
        <v>0</v>
      </c>
      <c r="F1384" s="3"/>
    </row>
    <row r="1385" spans="1:6" x14ac:dyDescent="0.2">
      <c r="A1385">
        <v>2022</v>
      </c>
      <c r="B1385" s="1" t="s">
        <v>26</v>
      </c>
      <c r="C1385" s="7">
        <v>62444</v>
      </c>
      <c r="D1385" s="5">
        <v>2.7359999999999999E-5</v>
      </c>
      <c r="F1385" s="3"/>
    </row>
    <row r="1386" spans="1:6" x14ac:dyDescent="0.2">
      <c r="A1386">
        <v>2022</v>
      </c>
      <c r="B1386" s="1" t="s">
        <v>27</v>
      </c>
      <c r="C1386" s="7">
        <v>14346</v>
      </c>
      <c r="D1386" s="5">
        <v>6.2859999999999996E-6</v>
      </c>
      <c r="F1386" s="3"/>
    </row>
    <row r="1387" spans="1:6" x14ac:dyDescent="0.2">
      <c r="A1387">
        <v>2022</v>
      </c>
      <c r="B1387" s="1" t="s">
        <v>28</v>
      </c>
      <c r="C1387" s="7">
        <v>391003</v>
      </c>
      <c r="D1387" s="5">
        <v>1.7131899999999999E-4</v>
      </c>
      <c r="F1387" s="3"/>
    </row>
    <row r="1388" spans="1:6" x14ac:dyDescent="0.2">
      <c r="A1388">
        <v>2022</v>
      </c>
      <c r="B1388" s="1" t="s">
        <v>29</v>
      </c>
      <c r="C1388" s="7">
        <v>115234</v>
      </c>
      <c r="D1388" s="5">
        <v>5.0489999999999999E-5</v>
      </c>
      <c r="F1388" s="3"/>
    </row>
    <row r="1389" spans="1:6" x14ac:dyDescent="0.2">
      <c r="A1389">
        <v>2022</v>
      </c>
      <c r="B1389" s="1" t="s">
        <v>30</v>
      </c>
      <c r="C1389" s="7" t="s">
        <v>6</v>
      </c>
      <c r="D1389" s="5">
        <v>0</v>
      </c>
      <c r="F1389" s="3"/>
    </row>
    <row r="1390" spans="1:6" x14ac:dyDescent="0.2">
      <c r="A1390">
        <v>2022</v>
      </c>
      <c r="B1390" s="1" t="s">
        <v>31</v>
      </c>
      <c r="C1390" s="7">
        <v>281014</v>
      </c>
      <c r="D1390" s="5">
        <v>1.23127E-4</v>
      </c>
      <c r="F1390" s="3"/>
    </row>
    <row r="1391" spans="1:6" x14ac:dyDescent="0.2">
      <c r="A1391">
        <v>2022</v>
      </c>
      <c r="B1391" s="1" t="s">
        <v>32</v>
      </c>
      <c r="C1391" s="7">
        <v>1757832</v>
      </c>
      <c r="D1391" s="5">
        <v>7.7020099999999998E-4</v>
      </c>
      <c r="F1391" s="3"/>
    </row>
    <row r="1392" spans="1:6" x14ac:dyDescent="0.2">
      <c r="A1392">
        <v>2022</v>
      </c>
      <c r="B1392" s="1" t="s">
        <v>33</v>
      </c>
      <c r="C1392" s="7">
        <v>339523</v>
      </c>
      <c r="D1392" s="5">
        <v>1.48763E-4</v>
      </c>
      <c r="F1392" s="3"/>
    </row>
    <row r="1393" spans="1:6" x14ac:dyDescent="0.2">
      <c r="A1393">
        <v>2022</v>
      </c>
      <c r="B1393" s="1" t="s">
        <v>34</v>
      </c>
      <c r="C1393" s="7">
        <v>1793426</v>
      </c>
      <c r="D1393" s="5">
        <v>7.8579699999999997E-4</v>
      </c>
      <c r="F1393" s="3"/>
    </row>
    <row r="1394" spans="1:6" x14ac:dyDescent="0.2">
      <c r="A1394">
        <v>2022</v>
      </c>
      <c r="B1394" s="1" t="s">
        <v>35</v>
      </c>
      <c r="C1394" s="7">
        <v>276177</v>
      </c>
      <c r="D1394" s="5">
        <v>1.21008E-4</v>
      </c>
      <c r="F1394" s="3"/>
    </row>
    <row r="1395" spans="1:6" x14ac:dyDescent="0.2">
      <c r="A1395">
        <v>2022</v>
      </c>
      <c r="B1395" s="1" t="s">
        <v>36</v>
      </c>
      <c r="C1395" s="7">
        <v>615457</v>
      </c>
      <c r="D1395" s="5">
        <v>2.6966499999999999E-4</v>
      </c>
      <c r="F1395" s="3"/>
    </row>
    <row r="1396" spans="1:6" x14ac:dyDescent="0.2">
      <c r="A1396">
        <v>2022</v>
      </c>
      <c r="B1396" s="1" t="s">
        <v>37</v>
      </c>
      <c r="C1396" s="7" t="s">
        <v>6</v>
      </c>
      <c r="D1396" s="5">
        <v>0</v>
      </c>
    </row>
    <row r="1397" spans="1:6" x14ac:dyDescent="0.2">
      <c r="A1397">
        <v>2022</v>
      </c>
      <c r="B1397" s="1" t="s">
        <v>38</v>
      </c>
      <c r="C1397" s="7">
        <v>25639</v>
      </c>
      <c r="D1397" s="5">
        <v>1.1234E-5</v>
      </c>
    </row>
    <row r="1398" spans="1:6" x14ac:dyDescent="0.2">
      <c r="A1398">
        <v>2022</v>
      </c>
      <c r="B1398" s="1" t="s">
        <v>39</v>
      </c>
      <c r="C1398" s="7">
        <v>763243</v>
      </c>
      <c r="D1398" s="5">
        <v>3.3441800000000001E-4</v>
      </c>
    </row>
    <row r="1399" spans="1:6" x14ac:dyDescent="0.2">
      <c r="A1399">
        <v>2022</v>
      </c>
      <c r="B1399" s="1" t="s">
        <v>40</v>
      </c>
      <c r="C1399" s="7" t="s">
        <v>6</v>
      </c>
      <c r="D1399" s="5">
        <v>0</v>
      </c>
    </row>
    <row r="1400" spans="1:6" x14ac:dyDescent="0.2">
      <c r="A1400">
        <v>2022</v>
      </c>
      <c r="B1400" s="1" t="s">
        <v>207</v>
      </c>
      <c r="C1400" s="7">
        <v>693660</v>
      </c>
      <c r="D1400" s="5">
        <v>3.0393E-4</v>
      </c>
    </row>
    <row r="1401" spans="1:6" x14ac:dyDescent="0.2">
      <c r="A1401">
        <v>2022</v>
      </c>
      <c r="B1401" s="1" t="s">
        <v>42</v>
      </c>
      <c r="C1401" s="7">
        <v>38506</v>
      </c>
      <c r="D1401" s="5">
        <v>1.6872E-5</v>
      </c>
    </row>
    <row r="1402" spans="1:6" x14ac:dyDescent="0.2">
      <c r="A1402">
        <v>2022</v>
      </c>
      <c r="B1402" s="1" t="s">
        <v>43</v>
      </c>
      <c r="C1402" s="7">
        <v>93879</v>
      </c>
      <c r="D1402" s="5">
        <v>4.1133000000000001E-5</v>
      </c>
    </row>
    <row r="1403" spans="1:6" x14ac:dyDescent="0.2">
      <c r="A1403">
        <v>2022</v>
      </c>
      <c r="B1403" s="1" t="s">
        <v>44</v>
      </c>
      <c r="C1403" s="7">
        <v>2220611</v>
      </c>
      <c r="D1403" s="5">
        <v>9.7296899999999996E-4</v>
      </c>
    </row>
    <row r="1404" spans="1:6" x14ac:dyDescent="0.2">
      <c r="A1404">
        <v>2022</v>
      </c>
      <c r="B1404" s="1" t="s">
        <v>45</v>
      </c>
      <c r="C1404" s="7">
        <v>31479</v>
      </c>
      <c r="D1404" s="5">
        <v>1.3793E-5</v>
      </c>
    </row>
    <row r="1405" spans="1:6" x14ac:dyDescent="0.2">
      <c r="A1405">
        <v>2022</v>
      </c>
      <c r="B1405" s="1" t="s">
        <v>46</v>
      </c>
      <c r="C1405" s="7">
        <v>46640</v>
      </c>
      <c r="D1405" s="5">
        <v>2.0435999999999999E-5</v>
      </c>
    </row>
    <row r="1406" spans="1:6" x14ac:dyDescent="0.2">
      <c r="A1406">
        <v>2022</v>
      </c>
      <c r="B1406" s="1" t="s">
        <v>47</v>
      </c>
      <c r="C1406" s="7">
        <v>2166187</v>
      </c>
      <c r="D1406" s="5">
        <v>9.4912299999999996E-4</v>
      </c>
    </row>
    <row r="1407" spans="1:6" x14ac:dyDescent="0.2">
      <c r="A1407">
        <v>2022</v>
      </c>
      <c r="B1407" s="1" t="s">
        <v>48</v>
      </c>
      <c r="C1407" s="7">
        <v>65365</v>
      </c>
      <c r="D1407" s="5">
        <v>2.864E-5</v>
      </c>
    </row>
    <row r="1408" spans="1:6" x14ac:dyDescent="0.2">
      <c r="A1408">
        <v>2022</v>
      </c>
      <c r="B1408" s="1" t="s">
        <v>49</v>
      </c>
      <c r="C1408" s="7">
        <v>30446</v>
      </c>
      <c r="D1408" s="5">
        <v>1.3339999999999999E-5</v>
      </c>
    </row>
    <row r="1409" spans="1:4" x14ac:dyDescent="0.2">
      <c r="A1409">
        <v>2022</v>
      </c>
      <c r="B1409" s="1" t="s">
        <v>50</v>
      </c>
      <c r="C1409" s="7">
        <v>1356401</v>
      </c>
      <c r="D1409" s="5">
        <v>5.9431200000000005E-4</v>
      </c>
    </row>
    <row r="1410" spans="1:4" x14ac:dyDescent="0.2">
      <c r="A1410">
        <v>2022</v>
      </c>
      <c r="B1410" s="1" t="s">
        <v>51</v>
      </c>
      <c r="C1410" s="7">
        <v>103892</v>
      </c>
      <c r="D1410" s="5">
        <v>4.5519999999999998E-5</v>
      </c>
    </row>
    <row r="1411" spans="1:4" x14ac:dyDescent="0.2">
      <c r="A1411">
        <v>2022</v>
      </c>
      <c r="B1411" s="1" t="s">
        <v>52</v>
      </c>
      <c r="C1411" s="7">
        <v>26815</v>
      </c>
      <c r="D1411" s="5">
        <v>1.1749000000000001E-5</v>
      </c>
    </row>
    <row r="1412" spans="1:4" x14ac:dyDescent="0.2">
      <c r="A1412">
        <v>2022</v>
      </c>
      <c r="B1412" s="1" t="s">
        <v>53</v>
      </c>
      <c r="C1412" s="7" t="s">
        <v>6</v>
      </c>
      <c r="D1412" s="5">
        <v>0</v>
      </c>
    </row>
    <row r="1413" spans="1:4" x14ac:dyDescent="0.2">
      <c r="A1413">
        <v>2022</v>
      </c>
      <c r="B1413" s="1" t="s">
        <v>54</v>
      </c>
      <c r="C1413" s="7">
        <v>134602</v>
      </c>
      <c r="D1413" s="5">
        <v>5.8975999999999999E-5</v>
      </c>
    </row>
    <row r="1414" spans="1:4" x14ac:dyDescent="0.2">
      <c r="A1414">
        <v>2022</v>
      </c>
      <c r="B1414" s="1" t="s">
        <v>55</v>
      </c>
      <c r="C1414" s="7">
        <v>116032</v>
      </c>
      <c r="D1414" s="5">
        <v>5.0840000000000001E-5</v>
      </c>
    </row>
    <row r="1415" spans="1:4" x14ac:dyDescent="0.2">
      <c r="A1415">
        <v>2022</v>
      </c>
      <c r="B1415" s="1" t="s">
        <v>56</v>
      </c>
      <c r="C1415" s="7">
        <v>146014</v>
      </c>
      <c r="D1415" s="5">
        <v>6.3977000000000001E-5</v>
      </c>
    </row>
    <row r="1416" spans="1:4" x14ac:dyDescent="0.2">
      <c r="A1416">
        <v>2022</v>
      </c>
      <c r="B1416" s="1" t="s">
        <v>232</v>
      </c>
      <c r="C1416" s="7">
        <v>93606</v>
      </c>
      <c r="D1416" s="5">
        <v>4.1013999999999997E-5</v>
      </c>
    </row>
    <row r="1417" spans="1:4" x14ac:dyDescent="0.2">
      <c r="A1417">
        <v>2022</v>
      </c>
      <c r="B1417" s="1" t="s">
        <v>57</v>
      </c>
      <c r="C1417" s="7" t="s">
        <v>6</v>
      </c>
      <c r="D1417" s="5">
        <v>0</v>
      </c>
    </row>
    <row r="1418" spans="1:4" x14ac:dyDescent="0.2">
      <c r="A1418">
        <v>2022</v>
      </c>
      <c r="B1418" s="1" t="s">
        <v>58</v>
      </c>
      <c r="C1418" s="7">
        <v>208533</v>
      </c>
      <c r="D1418" s="5">
        <v>9.1368999999999999E-5</v>
      </c>
    </row>
    <row r="1419" spans="1:4" x14ac:dyDescent="0.2">
      <c r="A1419">
        <v>2022</v>
      </c>
      <c r="B1419" s="1" t="s">
        <v>59</v>
      </c>
      <c r="C1419" s="7">
        <v>466180</v>
      </c>
      <c r="D1419" s="5">
        <v>2.0425900000000001E-4</v>
      </c>
    </row>
    <row r="1420" spans="1:4" x14ac:dyDescent="0.2">
      <c r="A1420">
        <v>2022</v>
      </c>
      <c r="B1420" s="1" t="s">
        <v>60</v>
      </c>
      <c r="C1420" s="7">
        <v>77285</v>
      </c>
      <c r="D1420" s="5">
        <v>3.3862999999999997E-5</v>
      </c>
    </row>
    <row r="1421" spans="1:4" x14ac:dyDescent="0.2">
      <c r="A1421">
        <v>2022</v>
      </c>
      <c r="B1421" s="1" t="s">
        <v>61</v>
      </c>
      <c r="C1421" s="8">
        <v>35036</v>
      </c>
      <c r="D1421" s="5">
        <v>1.5350999999999999E-5</v>
      </c>
    </row>
    <row r="1422" spans="1:4" x14ac:dyDescent="0.2">
      <c r="A1422">
        <v>2022</v>
      </c>
      <c r="B1422" s="1" t="s">
        <v>209</v>
      </c>
      <c r="C1422" s="7">
        <v>813202</v>
      </c>
      <c r="D1422" s="5">
        <v>3.56308E-4</v>
      </c>
    </row>
    <row r="1423" spans="1:4" x14ac:dyDescent="0.2">
      <c r="A1423">
        <v>2022</v>
      </c>
      <c r="B1423" s="1" t="s">
        <v>63</v>
      </c>
      <c r="C1423" s="7">
        <v>1267759</v>
      </c>
      <c r="D1423" s="5">
        <v>5.5547300000000001E-4</v>
      </c>
    </row>
    <row r="1424" spans="1:4" x14ac:dyDescent="0.2">
      <c r="A1424">
        <v>2022</v>
      </c>
      <c r="B1424" s="1" t="s">
        <v>64</v>
      </c>
      <c r="C1424" s="7">
        <v>188155</v>
      </c>
      <c r="D1424" s="5">
        <v>8.2441000000000006E-5</v>
      </c>
    </row>
    <row r="1425" spans="1:4" x14ac:dyDescent="0.2">
      <c r="A1425">
        <v>2022</v>
      </c>
      <c r="B1425" s="1" t="s">
        <v>65</v>
      </c>
      <c r="C1425" s="7">
        <v>220744</v>
      </c>
      <c r="D1425" s="5">
        <v>9.6719999999999996E-5</v>
      </c>
    </row>
    <row r="1426" spans="1:4" x14ac:dyDescent="0.2">
      <c r="A1426">
        <v>2022</v>
      </c>
      <c r="B1426" s="1" t="s">
        <v>66</v>
      </c>
      <c r="C1426" s="7">
        <v>932762</v>
      </c>
      <c r="D1426" s="5">
        <v>4.0869300000000001E-4</v>
      </c>
    </row>
    <row r="1427" spans="1:4" x14ac:dyDescent="0.2">
      <c r="A1427">
        <v>2022</v>
      </c>
      <c r="B1427" s="1" t="s">
        <v>67</v>
      </c>
      <c r="C1427" s="7">
        <v>606087</v>
      </c>
      <c r="D1427" s="5">
        <v>2.6556000000000003E-4</v>
      </c>
    </row>
    <row r="1428" spans="1:4" x14ac:dyDescent="0.2">
      <c r="A1428">
        <v>2022</v>
      </c>
      <c r="B1428" s="1" t="s">
        <v>68</v>
      </c>
      <c r="C1428" s="7">
        <v>48816</v>
      </c>
      <c r="D1428" s="5">
        <v>2.1389000000000001E-5</v>
      </c>
    </row>
    <row r="1429" spans="1:4" x14ac:dyDescent="0.2">
      <c r="A1429">
        <v>2022</v>
      </c>
      <c r="B1429" s="1" t="s">
        <v>69</v>
      </c>
      <c r="C1429" s="7">
        <v>442187</v>
      </c>
      <c r="D1429" s="5">
        <v>1.9374600000000001E-4</v>
      </c>
    </row>
    <row r="1430" spans="1:4" x14ac:dyDescent="0.2">
      <c r="A1430">
        <v>2022</v>
      </c>
      <c r="B1430" s="1" t="s">
        <v>70</v>
      </c>
      <c r="C1430" s="7">
        <v>119248</v>
      </c>
      <c r="D1430" s="5">
        <v>5.2249000000000001E-5</v>
      </c>
    </row>
    <row r="1431" spans="1:4" x14ac:dyDescent="0.2">
      <c r="A1431">
        <v>2022</v>
      </c>
      <c r="B1431" s="1" t="s">
        <v>71</v>
      </c>
      <c r="C1431" s="7">
        <v>12754</v>
      </c>
      <c r="D1431" s="5">
        <v>5.5879999999999997E-6</v>
      </c>
    </row>
    <row r="1432" spans="1:4" x14ac:dyDescent="0.2">
      <c r="A1432">
        <v>2022</v>
      </c>
      <c r="B1432" s="1" t="s">
        <v>72</v>
      </c>
      <c r="C1432" s="7">
        <v>11529</v>
      </c>
      <c r="D1432" s="5">
        <v>5.0520000000000001E-6</v>
      </c>
    </row>
    <row r="1433" spans="1:4" x14ac:dyDescent="0.2">
      <c r="A1433">
        <v>2022</v>
      </c>
      <c r="B1433" s="1" t="s">
        <v>73</v>
      </c>
      <c r="C1433" s="7">
        <v>35093</v>
      </c>
      <c r="D1433" s="5">
        <v>1.5376E-5</v>
      </c>
    </row>
    <row r="1434" spans="1:4" x14ac:dyDescent="0.2">
      <c r="A1434">
        <v>2022</v>
      </c>
      <c r="B1434" s="1" t="s">
        <v>74</v>
      </c>
      <c r="C1434" s="7">
        <v>8917</v>
      </c>
      <c r="D1434" s="5">
        <v>3.907E-6</v>
      </c>
    </row>
    <row r="1435" spans="1:4" x14ac:dyDescent="0.2">
      <c r="A1435">
        <v>2022</v>
      </c>
      <c r="B1435" s="1" t="s">
        <v>75</v>
      </c>
      <c r="C1435" s="7">
        <v>89539</v>
      </c>
      <c r="D1435" s="5">
        <v>3.9232E-5</v>
      </c>
    </row>
    <row r="1436" spans="1:4" x14ac:dyDescent="0.2">
      <c r="A1436">
        <v>2022</v>
      </c>
      <c r="B1436" s="1" t="s">
        <v>76</v>
      </c>
      <c r="C1436" s="7">
        <v>138076</v>
      </c>
      <c r="D1436" s="5">
        <v>6.0498000000000003E-5</v>
      </c>
    </row>
    <row r="1437" spans="1:4" x14ac:dyDescent="0.2">
      <c r="A1437">
        <v>2022</v>
      </c>
      <c r="B1437" s="1" t="s">
        <v>78</v>
      </c>
      <c r="C1437" s="7">
        <v>5258842</v>
      </c>
      <c r="D1437" s="5">
        <v>2.3041820000000001E-3</v>
      </c>
    </row>
    <row r="1438" spans="1:4" x14ac:dyDescent="0.2">
      <c r="A1438">
        <v>2022</v>
      </c>
      <c r="B1438" s="1" t="s">
        <v>79</v>
      </c>
      <c r="C1438" s="7">
        <v>199806</v>
      </c>
      <c r="D1438" s="5">
        <v>8.7546000000000005E-5</v>
      </c>
    </row>
    <row r="1439" spans="1:4" x14ac:dyDescent="0.2">
      <c r="A1439">
        <v>2022</v>
      </c>
      <c r="B1439" s="1" t="s">
        <v>80</v>
      </c>
      <c r="C1439" s="7">
        <v>125290</v>
      </c>
      <c r="D1439" s="5">
        <v>5.4895999999999998E-5</v>
      </c>
    </row>
    <row r="1440" spans="1:4" x14ac:dyDescent="0.2">
      <c r="A1440">
        <v>2022</v>
      </c>
      <c r="B1440" s="1" t="s">
        <v>81</v>
      </c>
      <c r="C1440" s="7">
        <v>204334</v>
      </c>
      <c r="D1440" s="5">
        <v>8.9530000000000005E-5</v>
      </c>
    </row>
    <row r="1441" spans="1:4" x14ac:dyDescent="0.2">
      <c r="A1441">
        <v>2022</v>
      </c>
      <c r="B1441" s="1" t="s">
        <v>82</v>
      </c>
      <c r="C1441" s="7">
        <v>4162</v>
      </c>
      <c r="D1441" s="5">
        <v>1.824E-6</v>
      </c>
    </row>
    <row r="1442" spans="1:4" x14ac:dyDescent="0.2">
      <c r="A1442">
        <v>2022</v>
      </c>
      <c r="B1442" s="1" t="s">
        <v>83</v>
      </c>
      <c r="C1442" s="7">
        <v>518302</v>
      </c>
      <c r="D1442" s="5">
        <v>2.2709600000000001E-4</v>
      </c>
    </row>
    <row r="1443" spans="1:4" x14ac:dyDescent="0.2">
      <c r="A1443">
        <v>2022</v>
      </c>
      <c r="B1443" s="1" t="s">
        <v>84</v>
      </c>
      <c r="C1443" s="7">
        <v>27176</v>
      </c>
      <c r="D1443" s="5">
        <v>1.1907E-5</v>
      </c>
    </row>
    <row r="1444" spans="1:4" x14ac:dyDescent="0.2">
      <c r="A1444">
        <v>2022</v>
      </c>
      <c r="B1444" s="1" t="s">
        <v>85</v>
      </c>
      <c r="C1444" s="7">
        <v>370263</v>
      </c>
      <c r="D1444" s="5">
        <v>1.62232E-4</v>
      </c>
    </row>
    <row r="1445" spans="1:4" x14ac:dyDescent="0.2">
      <c r="A1445">
        <v>2022</v>
      </c>
      <c r="B1445" s="1" t="s">
        <v>86</v>
      </c>
      <c r="C1445" s="7">
        <v>20755</v>
      </c>
      <c r="D1445" s="5">
        <v>9.0939999999999997E-6</v>
      </c>
    </row>
    <row r="1446" spans="1:4" x14ac:dyDescent="0.2">
      <c r="A1446">
        <v>2022</v>
      </c>
      <c r="B1446" s="1" t="s">
        <v>87</v>
      </c>
      <c r="C1446" s="7" t="s">
        <v>6</v>
      </c>
      <c r="D1446" s="5">
        <v>0</v>
      </c>
    </row>
    <row r="1447" spans="1:4" x14ac:dyDescent="0.2">
      <c r="A1447">
        <v>2022</v>
      </c>
      <c r="B1447" s="1" t="s">
        <v>88</v>
      </c>
      <c r="C1447" s="7">
        <v>884081</v>
      </c>
      <c r="D1447" s="5">
        <v>3.8736400000000001E-4</v>
      </c>
    </row>
    <row r="1448" spans="1:4" x14ac:dyDescent="0.2">
      <c r="A1448">
        <v>2022</v>
      </c>
      <c r="B1448" s="1" t="s">
        <v>89</v>
      </c>
      <c r="C1448" s="7">
        <v>1160405</v>
      </c>
      <c r="D1448" s="5">
        <v>5.0843600000000002E-4</v>
      </c>
    </row>
    <row r="1449" spans="1:4" x14ac:dyDescent="0.2">
      <c r="A1449">
        <v>2022</v>
      </c>
      <c r="B1449" s="1" t="s">
        <v>90</v>
      </c>
      <c r="C1449" s="7">
        <v>55599</v>
      </c>
      <c r="D1449" s="5">
        <v>2.4360999999999999E-5</v>
      </c>
    </row>
    <row r="1450" spans="1:4" x14ac:dyDescent="0.2">
      <c r="A1450">
        <v>2022</v>
      </c>
      <c r="B1450" s="1" t="s">
        <v>91</v>
      </c>
      <c r="C1450" s="7">
        <v>196841</v>
      </c>
      <c r="D1450" s="5">
        <v>8.6247000000000003E-5</v>
      </c>
    </row>
    <row r="1451" spans="1:4" x14ac:dyDescent="0.2">
      <c r="A1451">
        <v>2022</v>
      </c>
      <c r="B1451" s="1" t="s">
        <v>92</v>
      </c>
      <c r="C1451" s="7">
        <v>2164277</v>
      </c>
      <c r="D1451" s="5">
        <v>9.4828700000000002E-4</v>
      </c>
    </row>
    <row r="1452" spans="1:4" x14ac:dyDescent="0.2">
      <c r="A1452">
        <v>2022</v>
      </c>
      <c r="B1452" s="1" t="s">
        <v>93</v>
      </c>
      <c r="C1452" s="7">
        <v>123657</v>
      </c>
      <c r="D1452" s="5">
        <v>5.4181000000000002E-5</v>
      </c>
    </row>
    <row r="1453" spans="1:4" x14ac:dyDescent="0.2">
      <c r="A1453">
        <v>2022</v>
      </c>
      <c r="B1453" s="1" t="s">
        <v>94</v>
      </c>
      <c r="C1453" s="7">
        <v>3257995</v>
      </c>
      <c r="D1453" s="5">
        <v>1.4275030000000001E-3</v>
      </c>
    </row>
    <row r="1454" spans="1:4" x14ac:dyDescent="0.2">
      <c r="A1454">
        <v>2022</v>
      </c>
      <c r="B1454" s="1" t="s">
        <v>95</v>
      </c>
      <c r="C1454" s="7">
        <v>131047</v>
      </c>
      <c r="D1454" s="5">
        <v>5.7419E-5</v>
      </c>
    </row>
    <row r="1455" spans="1:4" x14ac:dyDescent="0.2">
      <c r="A1455">
        <v>2022</v>
      </c>
      <c r="B1455" s="1" t="s">
        <v>96</v>
      </c>
      <c r="C1455" s="7">
        <v>7584975</v>
      </c>
      <c r="D1455" s="5">
        <v>3.3233859999999998E-3</v>
      </c>
    </row>
    <row r="1456" spans="1:4" x14ac:dyDescent="0.2">
      <c r="A1456">
        <v>2022</v>
      </c>
      <c r="B1456" s="1" t="s">
        <v>97</v>
      </c>
      <c r="C1456" s="7">
        <v>8673117</v>
      </c>
      <c r="D1456" s="5">
        <v>3.8001599999999999E-3</v>
      </c>
    </row>
    <row r="1457" spans="1:4" x14ac:dyDescent="0.2">
      <c r="A1457">
        <v>2022</v>
      </c>
      <c r="B1457" s="1" t="s">
        <v>98</v>
      </c>
      <c r="C1457" s="7">
        <v>212222</v>
      </c>
      <c r="D1457" s="5">
        <v>9.2985999999999994E-5</v>
      </c>
    </row>
    <row r="1458" spans="1:4" x14ac:dyDescent="0.2">
      <c r="A1458">
        <v>2022</v>
      </c>
      <c r="B1458" s="1" t="s">
        <v>99</v>
      </c>
      <c r="C1458" s="7">
        <v>19219</v>
      </c>
      <c r="D1458" s="5">
        <v>8.4209999999999995E-6</v>
      </c>
    </row>
    <row r="1459" spans="1:4" x14ac:dyDescent="0.2">
      <c r="A1459">
        <v>2022</v>
      </c>
      <c r="B1459" s="1" t="s">
        <v>100</v>
      </c>
      <c r="C1459" s="7">
        <v>329816</v>
      </c>
      <c r="D1459" s="5">
        <v>1.4451000000000001E-4</v>
      </c>
    </row>
    <row r="1460" spans="1:4" x14ac:dyDescent="0.2">
      <c r="A1460">
        <v>2022</v>
      </c>
      <c r="B1460" s="1" t="s">
        <v>101</v>
      </c>
      <c r="C1460" s="7">
        <v>591942</v>
      </c>
      <c r="D1460" s="5">
        <v>2.5936200000000001E-4</v>
      </c>
    </row>
    <row r="1461" spans="1:4" x14ac:dyDescent="0.2">
      <c r="A1461">
        <v>2022</v>
      </c>
      <c r="B1461" s="1" t="s">
        <v>102</v>
      </c>
      <c r="C1461" s="7">
        <v>61261</v>
      </c>
      <c r="D1461" s="5">
        <v>2.6842000000000002E-5</v>
      </c>
    </row>
    <row r="1462" spans="1:4" x14ac:dyDescent="0.2">
      <c r="A1462">
        <v>2022</v>
      </c>
      <c r="B1462" s="1" t="s">
        <v>103</v>
      </c>
      <c r="C1462" s="7">
        <v>6264996</v>
      </c>
      <c r="D1462" s="5">
        <v>2.745033E-3</v>
      </c>
    </row>
    <row r="1463" spans="1:4" x14ac:dyDescent="0.2">
      <c r="A1463">
        <v>2022</v>
      </c>
      <c r="B1463" s="1" t="s">
        <v>104</v>
      </c>
      <c r="C1463" s="7">
        <v>72508</v>
      </c>
      <c r="D1463" s="5">
        <v>3.1770000000000002E-5</v>
      </c>
    </row>
    <row r="1464" spans="1:4" x14ac:dyDescent="0.2">
      <c r="A1464">
        <v>2022</v>
      </c>
      <c r="B1464" s="1" t="s">
        <v>105</v>
      </c>
      <c r="C1464" s="7">
        <v>74441</v>
      </c>
      <c r="D1464" s="5">
        <v>3.2617000000000003E-5</v>
      </c>
    </row>
    <row r="1465" spans="1:4" x14ac:dyDescent="0.2">
      <c r="A1465">
        <v>2022</v>
      </c>
      <c r="B1465" s="1" t="s">
        <v>106</v>
      </c>
      <c r="C1465" s="7">
        <v>589560</v>
      </c>
      <c r="D1465" s="5">
        <v>2.58318E-4</v>
      </c>
    </row>
    <row r="1466" spans="1:4" x14ac:dyDescent="0.2">
      <c r="A1466">
        <v>2022</v>
      </c>
      <c r="B1466" s="1" t="s">
        <v>107</v>
      </c>
      <c r="C1466" s="7">
        <v>944845</v>
      </c>
      <c r="D1466" s="5">
        <v>4.1398800000000001E-4</v>
      </c>
    </row>
    <row r="1467" spans="1:4" x14ac:dyDescent="0.2">
      <c r="A1467">
        <v>2022</v>
      </c>
      <c r="B1467" s="1" t="s">
        <v>108</v>
      </c>
      <c r="C1467" s="7">
        <v>964279</v>
      </c>
      <c r="D1467" s="5">
        <v>4.2250300000000002E-4</v>
      </c>
    </row>
    <row r="1468" spans="1:4" x14ac:dyDescent="0.2">
      <c r="A1468">
        <v>2022</v>
      </c>
      <c r="B1468" s="1" t="s">
        <v>109</v>
      </c>
      <c r="C1468" s="7">
        <v>458903</v>
      </c>
      <c r="D1468" s="5">
        <v>2.0107E-4</v>
      </c>
    </row>
    <row r="1469" spans="1:4" x14ac:dyDescent="0.2">
      <c r="A1469">
        <v>2022</v>
      </c>
      <c r="B1469" s="1" t="s">
        <v>110</v>
      </c>
      <c r="C1469" s="7">
        <v>170839</v>
      </c>
      <c r="D1469" s="5">
        <v>7.4853999999999999E-5</v>
      </c>
    </row>
    <row r="1470" spans="1:4" x14ac:dyDescent="0.2">
      <c r="A1470">
        <v>2022</v>
      </c>
      <c r="B1470" s="1" t="s">
        <v>111</v>
      </c>
      <c r="C1470" s="7">
        <v>11722</v>
      </c>
      <c r="D1470" s="5">
        <v>5.1359999999999996E-6</v>
      </c>
    </row>
    <row r="1471" spans="1:4" x14ac:dyDescent="0.2">
      <c r="A1471">
        <v>2022</v>
      </c>
      <c r="B1471" s="1" t="s">
        <v>112</v>
      </c>
      <c r="C1471" s="7">
        <v>74008</v>
      </c>
      <c r="D1471" s="5">
        <v>3.2427E-5</v>
      </c>
    </row>
    <row r="1472" spans="1:4" x14ac:dyDescent="0.2">
      <c r="A1472">
        <v>2022</v>
      </c>
      <c r="B1472" s="1" t="s">
        <v>113</v>
      </c>
      <c r="C1472" s="7">
        <v>409365</v>
      </c>
      <c r="D1472" s="5">
        <v>1.7936499999999999E-4</v>
      </c>
    </row>
    <row r="1473" spans="1:4" x14ac:dyDescent="0.2">
      <c r="A1473">
        <v>2022</v>
      </c>
      <c r="B1473" s="1" t="s">
        <v>114</v>
      </c>
      <c r="C1473" s="7" t="s">
        <v>6</v>
      </c>
      <c r="D1473" s="5">
        <v>0</v>
      </c>
    </row>
    <row r="1474" spans="1:4" x14ac:dyDescent="0.2">
      <c r="A1474">
        <v>2022</v>
      </c>
      <c r="B1474" s="1" t="s">
        <v>115</v>
      </c>
      <c r="C1474" s="7">
        <v>105274</v>
      </c>
      <c r="D1474" s="5">
        <v>4.6125999999999998E-5</v>
      </c>
    </row>
    <row r="1475" spans="1:4" x14ac:dyDescent="0.2">
      <c r="A1475">
        <v>2022</v>
      </c>
      <c r="B1475" s="1" t="s">
        <v>233</v>
      </c>
      <c r="C1475" s="7">
        <v>52216</v>
      </c>
      <c r="D1475" s="5">
        <v>2.2878E-5</v>
      </c>
    </row>
    <row r="1476" spans="1:4" x14ac:dyDescent="0.2">
      <c r="A1476">
        <v>2022</v>
      </c>
      <c r="B1476" s="1" t="s">
        <v>116</v>
      </c>
      <c r="C1476" s="8">
        <v>222420</v>
      </c>
      <c r="D1476" s="5">
        <v>9.7454000000000006E-5</v>
      </c>
    </row>
    <row r="1477" spans="1:4" x14ac:dyDescent="0.2">
      <c r="A1477">
        <v>2022</v>
      </c>
      <c r="B1477" s="1" t="s">
        <v>118</v>
      </c>
      <c r="C1477" s="7">
        <v>80246</v>
      </c>
      <c r="D1477" s="5">
        <v>3.5160000000000002E-5</v>
      </c>
    </row>
    <row r="1478" spans="1:4" x14ac:dyDescent="0.2">
      <c r="A1478">
        <v>2022</v>
      </c>
      <c r="B1478" s="1" t="s">
        <v>119</v>
      </c>
      <c r="C1478" s="7">
        <v>93394</v>
      </c>
      <c r="D1478" s="5">
        <v>4.0920999999999997E-5</v>
      </c>
    </row>
    <row r="1479" spans="1:4" x14ac:dyDescent="0.2">
      <c r="A1479">
        <v>2022</v>
      </c>
      <c r="B1479" s="1" t="s">
        <v>120</v>
      </c>
      <c r="C1479" s="7">
        <v>679834</v>
      </c>
      <c r="D1479" s="5">
        <v>2.9787200000000002E-4</v>
      </c>
    </row>
    <row r="1480" spans="1:4" x14ac:dyDescent="0.2">
      <c r="A1480">
        <v>2022</v>
      </c>
      <c r="B1480" s="1" t="s">
        <v>121</v>
      </c>
      <c r="C1480" s="7">
        <v>1879449</v>
      </c>
      <c r="D1480" s="5">
        <v>8.2348800000000004E-4</v>
      </c>
    </row>
    <row r="1481" spans="1:4" x14ac:dyDescent="0.2">
      <c r="A1481">
        <v>2022</v>
      </c>
      <c r="B1481" s="1" t="s">
        <v>122</v>
      </c>
      <c r="C1481" s="7" t="s">
        <v>6</v>
      </c>
      <c r="D1481" s="5">
        <v>0</v>
      </c>
    </row>
    <row r="1482" spans="1:4" x14ac:dyDescent="0.2">
      <c r="A1482">
        <v>2022</v>
      </c>
      <c r="B1482" s="1" t="s">
        <v>123</v>
      </c>
      <c r="C1482" s="7" t="s">
        <v>6</v>
      </c>
      <c r="D1482" s="5">
        <v>0</v>
      </c>
    </row>
    <row r="1483" spans="1:4" x14ac:dyDescent="0.2">
      <c r="A1483">
        <v>2022</v>
      </c>
      <c r="B1483" s="1" t="s">
        <v>124</v>
      </c>
      <c r="C1483" s="7" t="s">
        <v>6</v>
      </c>
      <c r="D1483" s="5">
        <v>0</v>
      </c>
    </row>
    <row r="1484" spans="1:4" x14ac:dyDescent="0.2">
      <c r="A1484">
        <v>2022</v>
      </c>
      <c r="B1484" s="1" t="s">
        <v>125</v>
      </c>
      <c r="C1484" s="7">
        <v>44756</v>
      </c>
      <c r="D1484" s="5">
        <v>1.961E-5</v>
      </c>
    </row>
    <row r="1485" spans="1:4" x14ac:dyDescent="0.2">
      <c r="A1485">
        <v>2022</v>
      </c>
      <c r="B1485" s="1" t="s">
        <v>126</v>
      </c>
      <c r="C1485" s="7">
        <v>160430</v>
      </c>
      <c r="D1485" s="5">
        <v>7.0292999999999999E-5</v>
      </c>
    </row>
    <row r="1486" spans="1:4" x14ac:dyDescent="0.2">
      <c r="A1486">
        <v>2022</v>
      </c>
      <c r="B1486" s="1" t="s">
        <v>234</v>
      </c>
      <c r="C1486" s="7">
        <v>114637</v>
      </c>
      <c r="D1486" s="5">
        <v>5.0229000000000003E-5</v>
      </c>
    </row>
    <row r="1487" spans="1:4" x14ac:dyDescent="0.2">
      <c r="A1487">
        <v>2022</v>
      </c>
      <c r="B1487" s="1" t="s">
        <v>127</v>
      </c>
      <c r="C1487" s="7">
        <v>253967</v>
      </c>
      <c r="D1487" s="5">
        <v>1.11277E-4</v>
      </c>
    </row>
    <row r="1488" spans="1:4" x14ac:dyDescent="0.2">
      <c r="A1488">
        <v>2022</v>
      </c>
      <c r="B1488" s="1" t="s">
        <v>128</v>
      </c>
      <c r="C1488" s="7">
        <v>456692</v>
      </c>
      <c r="D1488" s="5">
        <v>2.00101E-4</v>
      </c>
    </row>
    <row r="1489" spans="1:4" x14ac:dyDescent="0.2">
      <c r="A1489">
        <v>2022</v>
      </c>
      <c r="B1489" s="1" t="s">
        <v>129</v>
      </c>
      <c r="C1489" s="7">
        <v>51475</v>
      </c>
      <c r="D1489" s="5">
        <v>2.2554000000000001E-5</v>
      </c>
    </row>
    <row r="1490" spans="1:4" x14ac:dyDescent="0.2">
      <c r="A1490">
        <v>2022</v>
      </c>
      <c r="B1490" s="1" t="s">
        <v>130</v>
      </c>
      <c r="C1490" s="7">
        <v>111837</v>
      </c>
      <c r="D1490" s="5">
        <v>4.9002000000000003E-5</v>
      </c>
    </row>
    <row r="1491" spans="1:4" x14ac:dyDescent="0.2">
      <c r="A1491">
        <v>2022</v>
      </c>
      <c r="B1491" s="1" t="s">
        <v>131</v>
      </c>
      <c r="C1491" s="7">
        <v>98736</v>
      </c>
      <c r="D1491" s="5">
        <v>4.3262E-5</v>
      </c>
    </row>
    <row r="1492" spans="1:4" x14ac:dyDescent="0.2">
      <c r="A1492">
        <v>2022</v>
      </c>
      <c r="B1492" s="1" t="s">
        <v>133</v>
      </c>
      <c r="C1492" s="7">
        <v>76373</v>
      </c>
      <c r="D1492" s="5">
        <v>3.3463000000000001E-5</v>
      </c>
    </row>
    <row r="1493" spans="1:4" x14ac:dyDescent="0.2">
      <c r="A1493">
        <v>2022</v>
      </c>
      <c r="B1493" s="1" t="s">
        <v>134</v>
      </c>
      <c r="C1493" s="7">
        <v>217849</v>
      </c>
      <c r="D1493" s="5">
        <v>9.5451000000000005E-5</v>
      </c>
    </row>
    <row r="1494" spans="1:4" x14ac:dyDescent="0.2">
      <c r="A1494">
        <v>2022</v>
      </c>
      <c r="B1494" s="1" t="s">
        <v>216</v>
      </c>
      <c r="C1494" s="7">
        <v>86240</v>
      </c>
      <c r="D1494" s="5">
        <v>3.7786E-5</v>
      </c>
    </row>
    <row r="1495" spans="1:4" x14ac:dyDescent="0.2">
      <c r="A1495">
        <v>2022</v>
      </c>
      <c r="B1495" s="1" t="s">
        <v>135</v>
      </c>
      <c r="C1495" s="7">
        <v>16315</v>
      </c>
      <c r="D1495" s="5">
        <v>7.148E-6</v>
      </c>
    </row>
    <row r="1496" spans="1:4" x14ac:dyDescent="0.2">
      <c r="A1496">
        <v>2022</v>
      </c>
      <c r="B1496" s="1" t="s">
        <v>136</v>
      </c>
      <c r="C1496" s="7">
        <v>407440</v>
      </c>
      <c r="D1496" s="5">
        <v>1.7852100000000001E-4</v>
      </c>
    </row>
    <row r="1497" spans="1:4" x14ac:dyDescent="0.2">
      <c r="A1497">
        <v>2022</v>
      </c>
      <c r="B1497" s="1" t="s">
        <v>137</v>
      </c>
      <c r="C1497" s="7">
        <v>16189374</v>
      </c>
      <c r="D1497" s="5">
        <v>7.0934379999999997E-3</v>
      </c>
    </row>
    <row r="1498" spans="1:4" x14ac:dyDescent="0.2">
      <c r="A1498">
        <v>2022</v>
      </c>
      <c r="B1498" s="1" t="s">
        <v>138</v>
      </c>
      <c r="C1498" s="7">
        <v>413491</v>
      </c>
      <c r="D1498" s="5">
        <v>1.8117299999999999E-4</v>
      </c>
    </row>
    <row r="1499" spans="1:4" x14ac:dyDescent="0.2">
      <c r="A1499">
        <v>2022</v>
      </c>
      <c r="B1499" s="1" t="s">
        <v>139</v>
      </c>
      <c r="C1499" s="7">
        <v>22109883</v>
      </c>
      <c r="D1499" s="5">
        <v>9.6875320000000004E-3</v>
      </c>
    </row>
    <row r="1500" spans="1:4" x14ac:dyDescent="0.2">
      <c r="A1500">
        <v>2022</v>
      </c>
      <c r="B1500" s="1" t="s">
        <v>140</v>
      </c>
      <c r="C1500" s="7">
        <v>29986</v>
      </c>
      <c r="D1500" s="5">
        <v>1.3139000000000001E-5</v>
      </c>
    </row>
    <row r="1501" spans="1:4" x14ac:dyDescent="0.2">
      <c r="A1501">
        <v>2022</v>
      </c>
      <c r="B1501" s="1" t="s">
        <v>141</v>
      </c>
      <c r="C1501" s="7">
        <v>73979</v>
      </c>
      <c r="D1501" s="5">
        <v>3.2413999999999998E-5</v>
      </c>
    </row>
    <row r="1502" spans="1:4" x14ac:dyDescent="0.2">
      <c r="A1502">
        <v>2022</v>
      </c>
      <c r="B1502" s="1" t="s">
        <v>142</v>
      </c>
      <c r="C1502" s="7">
        <v>87596</v>
      </c>
      <c r="D1502" s="5">
        <v>3.8380999999999997E-5</v>
      </c>
    </row>
    <row r="1503" spans="1:4" x14ac:dyDescent="0.2">
      <c r="A1503">
        <v>2022</v>
      </c>
      <c r="B1503" s="1" t="s">
        <v>143</v>
      </c>
      <c r="C1503" s="7">
        <v>50654</v>
      </c>
      <c r="D1503" s="5">
        <v>2.2194000000000001E-5</v>
      </c>
    </row>
    <row r="1504" spans="1:4" x14ac:dyDescent="0.2">
      <c r="A1504">
        <v>2022</v>
      </c>
      <c r="B1504" s="1" t="s">
        <v>144</v>
      </c>
      <c r="C1504" s="7">
        <v>154449</v>
      </c>
      <c r="D1504" s="5">
        <v>6.7671999999999999E-5</v>
      </c>
    </row>
    <row r="1505" spans="1:4" x14ac:dyDescent="0.2">
      <c r="A1505">
        <v>2022</v>
      </c>
      <c r="B1505" s="1" t="s">
        <v>145</v>
      </c>
      <c r="C1505" s="7">
        <v>2451340</v>
      </c>
      <c r="D1505" s="5">
        <v>1.074064E-3</v>
      </c>
    </row>
    <row r="1506" spans="1:4" x14ac:dyDescent="0.2">
      <c r="A1506">
        <v>2022</v>
      </c>
      <c r="B1506" s="1" t="s">
        <v>146</v>
      </c>
      <c r="C1506" s="7">
        <v>672111</v>
      </c>
      <c r="D1506" s="5">
        <v>2.9448799999999998E-4</v>
      </c>
    </row>
    <row r="1507" spans="1:4" x14ac:dyDescent="0.2">
      <c r="A1507">
        <v>2022</v>
      </c>
      <c r="B1507" s="1" t="s">
        <v>147</v>
      </c>
      <c r="C1507" s="7">
        <v>40452</v>
      </c>
      <c r="D1507" s="5">
        <v>1.7723999999999998E-5</v>
      </c>
    </row>
    <row r="1508" spans="1:4" x14ac:dyDescent="0.2">
      <c r="A1508">
        <v>2022</v>
      </c>
      <c r="B1508" s="1" t="s">
        <v>148</v>
      </c>
      <c r="C1508" s="7">
        <v>1126114</v>
      </c>
      <c r="D1508" s="5">
        <v>4.9341100000000002E-4</v>
      </c>
    </row>
    <row r="1509" spans="1:4" x14ac:dyDescent="0.2">
      <c r="A1509">
        <v>2022</v>
      </c>
      <c r="B1509" s="1" t="s">
        <v>236</v>
      </c>
      <c r="C1509" s="7">
        <v>404193</v>
      </c>
      <c r="D1509" s="5">
        <v>1.7709900000000001E-4</v>
      </c>
    </row>
    <row r="1510" spans="1:4" x14ac:dyDescent="0.2">
      <c r="A1510">
        <v>2022</v>
      </c>
      <c r="B1510" s="1" t="s">
        <v>149</v>
      </c>
      <c r="C1510" s="7">
        <v>18867</v>
      </c>
      <c r="D1510" s="5">
        <v>8.2670000000000006E-6</v>
      </c>
    </row>
    <row r="1511" spans="1:4" x14ac:dyDescent="0.2">
      <c r="A1511">
        <v>2022</v>
      </c>
      <c r="B1511" s="1" t="s">
        <v>150</v>
      </c>
      <c r="C1511" s="7">
        <v>57326</v>
      </c>
      <c r="D1511" s="5">
        <v>2.5117999999999999E-5</v>
      </c>
    </row>
    <row r="1512" spans="1:4" x14ac:dyDescent="0.2">
      <c r="A1512">
        <v>2022</v>
      </c>
      <c r="B1512" s="1" t="s">
        <v>151</v>
      </c>
      <c r="C1512" s="7">
        <v>40612</v>
      </c>
      <c r="D1512" s="5">
        <v>1.7793999999999999E-5</v>
      </c>
    </row>
    <row r="1513" spans="1:4" x14ac:dyDescent="0.2">
      <c r="A1513">
        <v>2022</v>
      </c>
      <c r="B1513" s="1" t="s">
        <v>152</v>
      </c>
      <c r="C1513" s="7">
        <v>1171926</v>
      </c>
      <c r="D1513" s="5">
        <v>5.1348400000000003E-4</v>
      </c>
    </row>
    <row r="1514" spans="1:4" x14ac:dyDescent="0.2">
      <c r="A1514">
        <v>2022</v>
      </c>
      <c r="B1514" s="1" t="s">
        <v>230</v>
      </c>
      <c r="C1514" s="7">
        <v>3169591</v>
      </c>
      <c r="D1514" s="5">
        <v>1.388769E-3</v>
      </c>
    </row>
    <row r="1515" spans="1:4" x14ac:dyDescent="0.2">
      <c r="A1515">
        <v>2022</v>
      </c>
      <c r="B1515" s="1" t="s">
        <v>154</v>
      </c>
      <c r="C1515" s="7">
        <v>715013</v>
      </c>
      <c r="D1515" s="5">
        <v>3.1328600000000002E-4</v>
      </c>
    </row>
    <row r="1516" spans="1:4" x14ac:dyDescent="0.2">
      <c r="A1516">
        <v>2022</v>
      </c>
      <c r="B1516" s="1" t="s">
        <v>155</v>
      </c>
      <c r="C1516" s="7">
        <v>90696</v>
      </c>
      <c r="D1516" s="5">
        <v>3.9739E-5</v>
      </c>
    </row>
    <row r="1517" spans="1:4" x14ac:dyDescent="0.2">
      <c r="A1517">
        <v>2022</v>
      </c>
      <c r="B1517" s="1" t="s">
        <v>156</v>
      </c>
      <c r="C1517" s="7">
        <v>898509</v>
      </c>
      <c r="D1517" s="5">
        <v>3.9368500000000001E-4</v>
      </c>
    </row>
    <row r="1518" spans="1:4" x14ac:dyDescent="0.2">
      <c r="A1518">
        <v>2022</v>
      </c>
      <c r="B1518" s="1" t="s">
        <v>157</v>
      </c>
      <c r="C1518" s="7">
        <v>13531</v>
      </c>
      <c r="D1518" s="5">
        <v>5.9290000000000003E-6</v>
      </c>
    </row>
    <row r="1519" spans="1:4" x14ac:dyDescent="0.2">
      <c r="A1519">
        <v>2022</v>
      </c>
      <c r="B1519" s="1" t="s">
        <v>158</v>
      </c>
      <c r="C1519" s="7">
        <v>384107</v>
      </c>
      <c r="D1519" s="5">
        <v>1.6829799999999999E-4</v>
      </c>
    </row>
    <row r="1520" spans="1:4" x14ac:dyDescent="0.2">
      <c r="A1520">
        <v>2022</v>
      </c>
      <c r="B1520" s="1" t="s">
        <v>159</v>
      </c>
      <c r="C1520" s="7">
        <v>114237</v>
      </c>
      <c r="D1520" s="5">
        <v>5.0052999999999997E-5</v>
      </c>
    </row>
    <row r="1521" spans="1:4" x14ac:dyDescent="0.2">
      <c r="A1521">
        <v>2022</v>
      </c>
      <c r="B1521" s="1" t="s">
        <v>160</v>
      </c>
      <c r="C1521" s="7">
        <v>235153</v>
      </c>
      <c r="D1521" s="5">
        <v>1.03033E-4</v>
      </c>
    </row>
    <row r="1522" spans="1:4" x14ac:dyDescent="0.2">
      <c r="A1522">
        <v>2022</v>
      </c>
      <c r="B1522" s="1" t="s">
        <v>161</v>
      </c>
      <c r="C1522" s="7">
        <v>646370</v>
      </c>
      <c r="D1522" s="5">
        <v>2.8320899999999998E-4</v>
      </c>
    </row>
    <row r="1523" spans="1:4" x14ac:dyDescent="0.2">
      <c r="A1523">
        <v>2022</v>
      </c>
      <c r="B1523" s="1" t="s">
        <v>162</v>
      </c>
      <c r="C1523" s="7">
        <v>1719726</v>
      </c>
      <c r="D1523" s="5">
        <v>7.5350500000000002E-4</v>
      </c>
    </row>
    <row r="1524" spans="1:4" x14ac:dyDescent="0.2">
      <c r="A1524">
        <v>2022</v>
      </c>
      <c r="B1524" s="1" t="s">
        <v>163</v>
      </c>
      <c r="C1524" s="7">
        <v>3175169</v>
      </c>
      <c r="D1524" s="5">
        <v>1.3912130000000001E-3</v>
      </c>
    </row>
    <row r="1525" spans="1:4" x14ac:dyDescent="0.2">
      <c r="A1525">
        <v>2022</v>
      </c>
      <c r="B1525" s="1" t="s">
        <v>164</v>
      </c>
      <c r="C1525" s="7">
        <v>34736</v>
      </c>
      <c r="D1525" s="5">
        <v>1.522E-5</v>
      </c>
    </row>
    <row r="1526" spans="1:4" x14ac:dyDescent="0.2">
      <c r="A1526">
        <v>2022</v>
      </c>
      <c r="B1526" s="1" t="s">
        <v>165</v>
      </c>
      <c r="C1526" s="7">
        <v>91380</v>
      </c>
      <c r="D1526" s="5">
        <v>4.0037999999999999E-5</v>
      </c>
    </row>
    <row r="1527" spans="1:4" x14ac:dyDescent="0.2">
      <c r="A1527">
        <v>2022</v>
      </c>
      <c r="B1527" s="1" t="s">
        <v>166</v>
      </c>
      <c r="C1527" s="7" t="s">
        <v>6</v>
      </c>
      <c r="D1527" s="5">
        <v>0</v>
      </c>
    </row>
    <row r="1528" spans="1:4" x14ac:dyDescent="0.2">
      <c r="A1528">
        <v>2022</v>
      </c>
      <c r="B1528" s="1" t="s">
        <v>167</v>
      </c>
      <c r="C1528" s="7">
        <v>73437</v>
      </c>
      <c r="D1528" s="5">
        <v>3.2177E-5</v>
      </c>
    </row>
    <row r="1529" spans="1:4" x14ac:dyDescent="0.2">
      <c r="A1529">
        <v>2022</v>
      </c>
      <c r="B1529" s="1" t="s">
        <v>237</v>
      </c>
      <c r="C1529" s="7">
        <v>122690</v>
      </c>
      <c r="D1529" s="5">
        <v>5.3757E-5</v>
      </c>
    </row>
    <row r="1530" spans="1:4" x14ac:dyDescent="0.2">
      <c r="A1530">
        <v>2022</v>
      </c>
      <c r="B1530" s="1" t="s">
        <v>168</v>
      </c>
      <c r="C1530" s="7">
        <v>46391</v>
      </c>
      <c r="D1530" s="5">
        <v>2.0327E-5</v>
      </c>
    </row>
    <row r="1531" spans="1:4" x14ac:dyDescent="0.2">
      <c r="A1531">
        <v>2022</v>
      </c>
      <c r="B1531" s="1" t="s">
        <v>235</v>
      </c>
      <c r="C1531" s="7">
        <v>62733</v>
      </c>
      <c r="D1531" s="5">
        <v>2.7487E-5</v>
      </c>
    </row>
    <row r="1532" spans="1:4" x14ac:dyDescent="0.2">
      <c r="A1532">
        <v>2022</v>
      </c>
      <c r="B1532" s="1" t="s">
        <v>169</v>
      </c>
      <c r="C1532" s="8">
        <v>777372</v>
      </c>
      <c r="D1532" s="5">
        <v>3.40608E-4</v>
      </c>
    </row>
    <row r="1533" spans="1:4" x14ac:dyDescent="0.2">
      <c r="A1533">
        <v>2022</v>
      </c>
      <c r="B1533" s="1" t="s">
        <v>170</v>
      </c>
      <c r="C1533" s="7">
        <v>1545735</v>
      </c>
      <c r="D1533" s="5">
        <v>6.7727E-4</v>
      </c>
    </row>
    <row r="1534" spans="1:4" x14ac:dyDescent="0.2">
      <c r="A1534">
        <v>2022</v>
      </c>
      <c r="B1534" s="1" t="s">
        <v>171</v>
      </c>
      <c r="C1534" s="7">
        <v>25639</v>
      </c>
      <c r="D1534" s="5">
        <v>1.1234E-5</v>
      </c>
    </row>
    <row r="1535" spans="1:4" x14ac:dyDescent="0.2">
      <c r="A1535">
        <v>2022</v>
      </c>
      <c r="B1535" s="1" t="s">
        <v>172</v>
      </c>
      <c r="C1535" s="7">
        <v>572686</v>
      </c>
      <c r="D1535" s="5">
        <v>2.5092400000000003E-4</v>
      </c>
    </row>
    <row r="1536" spans="1:4" x14ac:dyDescent="0.2">
      <c r="A1536">
        <v>2022</v>
      </c>
      <c r="B1536" s="1" t="s">
        <v>173</v>
      </c>
      <c r="C1536" s="7">
        <v>111585</v>
      </c>
      <c r="D1536" s="5">
        <v>4.8891000000000003E-5</v>
      </c>
    </row>
    <row r="1537" spans="1:4" x14ac:dyDescent="0.2">
      <c r="A1537">
        <v>2022</v>
      </c>
      <c r="B1537" s="1" t="s">
        <v>174</v>
      </c>
      <c r="C1537" s="7">
        <v>229529</v>
      </c>
      <c r="D1537" s="5">
        <v>1.0056900000000001E-4</v>
      </c>
    </row>
    <row r="1538" spans="1:4" x14ac:dyDescent="0.2">
      <c r="A1538">
        <v>2022</v>
      </c>
      <c r="B1538" s="1" t="s">
        <v>175</v>
      </c>
      <c r="C1538" s="7">
        <v>468976</v>
      </c>
      <c r="D1538" s="5">
        <v>2.05484E-4</v>
      </c>
    </row>
    <row r="1539" spans="1:4" x14ac:dyDescent="0.2">
      <c r="A1539">
        <v>2022</v>
      </c>
      <c r="B1539" s="1" t="s">
        <v>176</v>
      </c>
      <c r="C1539" s="7">
        <v>374482</v>
      </c>
      <c r="D1539" s="5">
        <v>1.64081E-4</v>
      </c>
    </row>
    <row r="1540" spans="1:4" x14ac:dyDescent="0.2">
      <c r="A1540">
        <v>2022</v>
      </c>
      <c r="B1540" s="1" t="s">
        <v>177</v>
      </c>
      <c r="C1540" s="7">
        <v>48976</v>
      </c>
      <c r="D1540" s="5">
        <v>2.1458999999999999E-5</v>
      </c>
    </row>
    <row r="1541" spans="1:4" x14ac:dyDescent="0.2">
      <c r="A1541">
        <v>2022</v>
      </c>
      <c r="B1541" s="1" t="s">
        <v>180</v>
      </c>
      <c r="C1541" s="7">
        <v>127077</v>
      </c>
      <c r="D1541" s="5">
        <v>5.5679E-5</v>
      </c>
    </row>
    <row r="1542" spans="1:4" x14ac:dyDescent="0.2">
      <c r="A1542">
        <v>2022</v>
      </c>
      <c r="B1542" s="1" t="s">
        <v>181</v>
      </c>
      <c r="C1542" s="7">
        <v>62889</v>
      </c>
      <c r="D1542" s="5">
        <v>2.7555E-5</v>
      </c>
    </row>
    <row r="1543" spans="1:4" x14ac:dyDescent="0.2">
      <c r="A1543">
        <v>2022</v>
      </c>
      <c r="B1543" s="1" t="s">
        <v>182</v>
      </c>
      <c r="C1543" s="7">
        <v>100690</v>
      </c>
      <c r="D1543" s="5">
        <v>4.4118E-5</v>
      </c>
    </row>
    <row r="1544" spans="1:4" x14ac:dyDescent="0.2">
      <c r="A1544">
        <v>2022</v>
      </c>
      <c r="B1544" s="1" t="s">
        <v>183</v>
      </c>
      <c r="C1544" s="7">
        <v>2255527</v>
      </c>
      <c r="D1544" s="5">
        <v>9.8826800000000005E-4</v>
      </c>
    </row>
    <row r="1545" spans="1:4" x14ac:dyDescent="0.2">
      <c r="A1545">
        <v>2022</v>
      </c>
      <c r="B1545" s="1" t="s">
        <v>184</v>
      </c>
      <c r="C1545" s="7" t="s">
        <v>6</v>
      </c>
      <c r="D1545" s="5">
        <v>0</v>
      </c>
    </row>
    <row r="1546" spans="1:4" x14ac:dyDescent="0.2">
      <c r="A1546">
        <v>2022</v>
      </c>
      <c r="B1546" s="1" t="s">
        <v>185</v>
      </c>
      <c r="C1546" s="7">
        <v>14573</v>
      </c>
      <c r="D1546" s="5">
        <v>6.3849999999999999E-6</v>
      </c>
    </row>
    <row r="1547" spans="1:4" x14ac:dyDescent="0.2">
      <c r="A1547">
        <v>2022</v>
      </c>
      <c r="B1547" s="1" t="s">
        <v>186</v>
      </c>
      <c r="C1547" s="7" t="s">
        <v>6</v>
      </c>
      <c r="D1547" s="5">
        <v>0</v>
      </c>
    </row>
    <row r="1548" spans="1:4" x14ac:dyDescent="0.2">
      <c r="A1548">
        <v>2022</v>
      </c>
      <c r="B1548" s="1" t="s">
        <v>187</v>
      </c>
      <c r="C1548" s="7" t="s">
        <v>6</v>
      </c>
      <c r="D1548" s="5">
        <v>0</v>
      </c>
    </row>
    <row r="1549" spans="1:4" x14ac:dyDescent="0.2">
      <c r="A1549">
        <v>2022</v>
      </c>
      <c r="B1549" s="1" t="s">
        <v>188</v>
      </c>
      <c r="C1549" s="7" t="s">
        <v>6</v>
      </c>
      <c r="D1549" s="5">
        <v>0</v>
      </c>
    </row>
    <row r="1550" spans="1:4" x14ac:dyDescent="0.2">
      <c r="A1550">
        <v>2022</v>
      </c>
      <c r="B1550" s="1" t="s">
        <v>189</v>
      </c>
      <c r="C1550" s="7" t="s">
        <v>6</v>
      </c>
      <c r="D1550" s="5">
        <v>0</v>
      </c>
    </row>
    <row r="1551" spans="1:4" x14ac:dyDescent="0.2">
      <c r="A1551">
        <v>2022</v>
      </c>
      <c r="B1551" s="1" t="s">
        <v>190</v>
      </c>
      <c r="C1551" s="7">
        <v>9336</v>
      </c>
      <c r="D1551" s="5">
        <v>4.0910000000000003E-6</v>
      </c>
    </row>
    <row r="1552" spans="1:4" x14ac:dyDescent="0.2">
      <c r="A1552">
        <v>2022</v>
      </c>
      <c r="B1552" s="1" t="s">
        <v>191</v>
      </c>
      <c r="C1552" s="7">
        <v>583061</v>
      </c>
      <c r="D1552" s="5">
        <v>2.5547100000000001E-4</v>
      </c>
    </row>
    <row r="1553" spans="1:4" x14ac:dyDescent="0.2">
      <c r="A1553">
        <v>2022</v>
      </c>
      <c r="B1553" s="1" t="s">
        <v>192</v>
      </c>
      <c r="C1553" s="7">
        <v>867858</v>
      </c>
      <c r="D1553" s="5">
        <v>3.8025500000000002E-4</v>
      </c>
    </row>
    <row r="1554" spans="1:4" x14ac:dyDescent="0.2">
      <c r="A1554">
        <v>2022</v>
      </c>
      <c r="B1554" s="1" t="s">
        <v>193</v>
      </c>
      <c r="C1554" s="7" t="s">
        <v>6</v>
      </c>
      <c r="D1554" s="5">
        <v>0</v>
      </c>
    </row>
    <row r="1555" spans="1:4" x14ac:dyDescent="0.2">
      <c r="A1555">
        <v>2022</v>
      </c>
      <c r="B1555" s="1" t="s">
        <v>194</v>
      </c>
      <c r="C1555" s="7" t="s">
        <v>6</v>
      </c>
      <c r="D1555" s="5">
        <v>0</v>
      </c>
    </row>
    <row r="1556" spans="1:4" x14ac:dyDescent="0.2">
      <c r="A1556">
        <v>2022</v>
      </c>
      <c r="B1556" s="1" t="s">
        <v>195</v>
      </c>
      <c r="C1556" s="7">
        <v>1149060</v>
      </c>
      <c r="D1556" s="5">
        <v>5.0346500000000003E-4</v>
      </c>
    </row>
    <row r="1557" spans="1:4" x14ac:dyDescent="0.2">
      <c r="A1557">
        <v>2022</v>
      </c>
      <c r="B1557" s="1" t="s">
        <v>196</v>
      </c>
      <c r="C1557" s="7">
        <v>648942</v>
      </c>
      <c r="D1557" s="5">
        <v>2.8433700000000001E-4</v>
      </c>
    </row>
    <row r="1558" spans="1:4" x14ac:dyDescent="0.2">
      <c r="A1558">
        <v>2022</v>
      </c>
      <c r="B1558" s="1" t="s">
        <v>197</v>
      </c>
      <c r="C1558" s="7">
        <v>616246</v>
      </c>
      <c r="D1558" s="5">
        <v>2.7001100000000001E-4</v>
      </c>
    </row>
    <row r="1559" spans="1:4" x14ac:dyDescent="0.2">
      <c r="A1559">
        <v>2022</v>
      </c>
      <c r="B1559" s="1" t="s">
        <v>198</v>
      </c>
      <c r="C1559" s="7">
        <v>3075</v>
      </c>
      <c r="D1559" s="5">
        <v>1.347E-6</v>
      </c>
    </row>
    <row r="1560" spans="1:4" x14ac:dyDescent="0.2">
      <c r="A1560">
        <v>2022</v>
      </c>
      <c r="B1560" s="1" t="s">
        <v>199</v>
      </c>
      <c r="C1560" s="7">
        <v>1913745</v>
      </c>
      <c r="D1560" s="5">
        <v>8.3851499999999996E-4</v>
      </c>
    </row>
    <row r="1561" spans="1:4" x14ac:dyDescent="0.2">
      <c r="A1561">
        <v>2022</v>
      </c>
      <c r="B1561" s="1" t="s">
        <v>200</v>
      </c>
      <c r="C1561" s="7" t="s">
        <v>6</v>
      </c>
      <c r="D1561" s="5">
        <v>0</v>
      </c>
    </row>
    <row r="1562" spans="1:4" x14ac:dyDescent="0.2">
      <c r="A1562">
        <v>2022</v>
      </c>
      <c r="B1562" s="1" t="s">
        <v>201</v>
      </c>
      <c r="C1562" s="7">
        <v>3916</v>
      </c>
      <c r="D1562" s="5">
        <v>1.716E-6</v>
      </c>
    </row>
    <row r="1563" spans="1:4" x14ac:dyDescent="0.2">
      <c r="A1563">
        <v>2022</v>
      </c>
      <c r="B1563" s="1" t="s">
        <v>202</v>
      </c>
      <c r="C1563" s="7">
        <v>119900</v>
      </c>
      <c r="D1563" s="5">
        <v>5.2534999999999998E-5</v>
      </c>
    </row>
    <row r="1564" spans="1:4" x14ac:dyDescent="0.2">
      <c r="A1564">
        <v>2023</v>
      </c>
      <c r="B1564" s="1" t="s">
        <v>4</v>
      </c>
      <c r="C1564" s="8">
        <v>2269356786</v>
      </c>
      <c r="D1564" s="5">
        <v>0.93047715600000003</v>
      </c>
    </row>
    <row r="1565" spans="1:4" x14ac:dyDescent="0.2">
      <c r="A1565">
        <v>2023</v>
      </c>
      <c r="B1565" s="1" t="s">
        <v>5</v>
      </c>
      <c r="C1565" s="7">
        <v>49332</v>
      </c>
      <c r="D1565" s="5">
        <v>2.0227000000000001E-5</v>
      </c>
    </row>
    <row r="1566" spans="1:4" x14ac:dyDescent="0.2">
      <c r="A1566">
        <v>2023</v>
      </c>
      <c r="B1566" s="1" t="s">
        <v>7</v>
      </c>
      <c r="C1566" s="7">
        <v>94072</v>
      </c>
      <c r="D1566" s="5">
        <v>3.8571000000000001E-5</v>
      </c>
    </row>
    <row r="1567" spans="1:4" x14ac:dyDescent="0.2">
      <c r="A1567">
        <v>2023</v>
      </c>
      <c r="B1567" s="1" t="s">
        <v>8</v>
      </c>
      <c r="C1567" s="7">
        <v>2047561</v>
      </c>
      <c r="D1567" s="5">
        <v>8.3953700000000001E-4</v>
      </c>
    </row>
    <row r="1568" spans="1:4" x14ac:dyDescent="0.2">
      <c r="A1568">
        <v>2023</v>
      </c>
      <c r="B1568" s="1" t="s">
        <v>203</v>
      </c>
      <c r="C1568" s="7">
        <v>545812</v>
      </c>
      <c r="D1568" s="5">
        <v>2.2379299999999999E-4</v>
      </c>
    </row>
    <row r="1569" spans="1:4" x14ac:dyDescent="0.2">
      <c r="A1569">
        <v>2023</v>
      </c>
      <c r="B1569" s="1" t="s">
        <v>9</v>
      </c>
      <c r="C1569" s="7" t="s">
        <v>6</v>
      </c>
      <c r="D1569" s="5">
        <v>0</v>
      </c>
    </row>
    <row r="1570" spans="1:4" x14ac:dyDescent="0.2">
      <c r="A1570">
        <v>2023</v>
      </c>
      <c r="B1570" s="1" t="s">
        <v>10</v>
      </c>
      <c r="C1570" s="7">
        <v>44587</v>
      </c>
      <c r="D1570" s="5">
        <v>1.8281E-5</v>
      </c>
    </row>
    <row r="1571" spans="1:4" x14ac:dyDescent="0.2">
      <c r="A1571">
        <v>2023</v>
      </c>
      <c r="B1571" s="1" t="s">
        <v>11</v>
      </c>
      <c r="C1571" s="7">
        <v>801251</v>
      </c>
      <c r="D1571" s="5">
        <v>3.2852700000000001E-4</v>
      </c>
    </row>
    <row r="1572" spans="1:4" x14ac:dyDescent="0.2">
      <c r="A1572">
        <v>2023</v>
      </c>
      <c r="B1572" s="1" t="s">
        <v>12</v>
      </c>
      <c r="C1572" s="7">
        <v>104573</v>
      </c>
      <c r="D1572" s="5">
        <v>4.2877000000000003E-5</v>
      </c>
    </row>
    <row r="1573" spans="1:4" x14ac:dyDescent="0.2">
      <c r="A1573">
        <v>2023</v>
      </c>
      <c r="B1573" s="1" t="s">
        <v>13</v>
      </c>
      <c r="C1573" s="7" t="s">
        <v>6</v>
      </c>
      <c r="D1573" s="5">
        <v>0</v>
      </c>
    </row>
    <row r="1574" spans="1:4" x14ac:dyDescent="0.2">
      <c r="A1574">
        <v>2023</v>
      </c>
      <c r="B1574" s="1" t="s">
        <v>14</v>
      </c>
      <c r="C1574" s="7">
        <v>24559</v>
      </c>
      <c r="D1574" s="5">
        <v>1.0069E-5</v>
      </c>
    </row>
    <row r="1575" spans="1:4" x14ac:dyDescent="0.2">
      <c r="A1575">
        <v>2023</v>
      </c>
      <c r="B1575" s="1" t="s">
        <v>15</v>
      </c>
      <c r="C1575" s="7">
        <v>2415767</v>
      </c>
      <c r="D1575" s="5">
        <v>9.9050799999999997E-4</v>
      </c>
    </row>
    <row r="1576" spans="1:4" x14ac:dyDescent="0.2">
      <c r="A1576">
        <v>2023</v>
      </c>
      <c r="B1576" s="1" t="s">
        <v>16</v>
      </c>
      <c r="C1576" s="7">
        <v>514561</v>
      </c>
      <c r="D1576" s="5">
        <v>2.10979E-4</v>
      </c>
    </row>
    <row r="1577" spans="1:4" x14ac:dyDescent="0.2">
      <c r="A1577">
        <v>2023</v>
      </c>
      <c r="B1577" s="1" t="s">
        <v>17</v>
      </c>
      <c r="C1577" s="7">
        <v>39207</v>
      </c>
      <c r="D1577" s="5">
        <v>1.6075000000000001E-5</v>
      </c>
    </row>
    <row r="1578" spans="1:4" x14ac:dyDescent="0.2">
      <c r="A1578">
        <v>2023</v>
      </c>
      <c r="B1578" s="1" t="s">
        <v>18</v>
      </c>
      <c r="C1578" s="7" t="s">
        <v>6</v>
      </c>
      <c r="D1578" s="5">
        <v>0</v>
      </c>
    </row>
    <row r="1579" spans="1:4" x14ac:dyDescent="0.2">
      <c r="A1579">
        <v>2023</v>
      </c>
      <c r="B1579" s="1" t="s">
        <v>19</v>
      </c>
      <c r="C1579" s="7">
        <v>66067</v>
      </c>
      <c r="D1579" s="5">
        <v>2.7089000000000001E-5</v>
      </c>
    </row>
    <row r="1580" spans="1:4" x14ac:dyDescent="0.2">
      <c r="A1580">
        <v>2023</v>
      </c>
      <c r="B1580" s="1" t="s">
        <v>20</v>
      </c>
      <c r="C1580" s="7">
        <v>27504</v>
      </c>
      <c r="D1580" s="5">
        <v>1.1277000000000001E-5</v>
      </c>
    </row>
    <row r="1581" spans="1:4" x14ac:dyDescent="0.2">
      <c r="A1581">
        <v>2023</v>
      </c>
      <c r="B1581" s="1" t="s">
        <v>21</v>
      </c>
      <c r="C1581" s="7">
        <v>9927244</v>
      </c>
      <c r="D1581" s="5">
        <v>4.070349E-3</v>
      </c>
    </row>
    <row r="1582" spans="1:4" x14ac:dyDescent="0.2">
      <c r="A1582">
        <v>2023</v>
      </c>
      <c r="B1582" s="1" t="s">
        <v>205</v>
      </c>
      <c r="C1582" s="7">
        <v>748045</v>
      </c>
      <c r="D1582" s="5">
        <v>3.06712E-4</v>
      </c>
    </row>
    <row r="1583" spans="1:4" x14ac:dyDescent="0.2">
      <c r="A1583">
        <v>2023</v>
      </c>
      <c r="B1583" s="1" t="s">
        <v>206</v>
      </c>
      <c r="C1583" s="7">
        <v>2450036</v>
      </c>
      <c r="D1583" s="5">
        <v>1.0045589999999999E-3</v>
      </c>
    </row>
    <row r="1584" spans="1:4" x14ac:dyDescent="0.2">
      <c r="A1584">
        <v>2023</v>
      </c>
      <c r="B1584" s="1" t="s">
        <v>25</v>
      </c>
      <c r="C1584" s="7" t="s">
        <v>6</v>
      </c>
      <c r="D1584" s="5">
        <v>0</v>
      </c>
    </row>
    <row r="1585" spans="1:4" x14ac:dyDescent="0.2">
      <c r="A1585">
        <v>2023</v>
      </c>
      <c r="B1585" s="1" t="s">
        <v>26</v>
      </c>
      <c r="C1585" s="7">
        <v>63436</v>
      </c>
      <c r="D1585" s="5">
        <v>2.601E-5</v>
      </c>
    </row>
    <row r="1586" spans="1:4" x14ac:dyDescent="0.2">
      <c r="A1586">
        <v>2023</v>
      </c>
      <c r="B1586" s="1" t="s">
        <v>27</v>
      </c>
      <c r="C1586" s="7">
        <v>17517</v>
      </c>
      <c r="D1586" s="5">
        <v>7.182E-6</v>
      </c>
    </row>
    <row r="1587" spans="1:4" x14ac:dyDescent="0.2">
      <c r="A1587">
        <v>2023</v>
      </c>
      <c r="B1587" s="1" t="s">
        <v>28</v>
      </c>
      <c r="C1587" s="7">
        <v>384580</v>
      </c>
      <c r="D1587" s="5">
        <v>1.5768499999999999E-4</v>
      </c>
    </row>
    <row r="1588" spans="1:4" x14ac:dyDescent="0.2">
      <c r="A1588">
        <v>2023</v>
      </c>
      <c r="B1588" s="1" t="s">
        <v>29</v>
      </c>
      <c r="C1588" s="7">
        <v>130984</v>
      </c>
      <c r="D1588" s="5">
        <v>5.3705999999999997E-5</v>
      </c>
    </row>
    <row r="1589" spans="1:4" x14ac:dyDescent="0.2">
      <c r="A1589">
        <v>2023</v>
      </c>
      <c r="B1589" s="1" t="s">
        <v>30</v>
      </c>
      <c r="C1589" s="7" t="s">
        <v>6</v>
      </c>
      <c r="D1589" s="5">
        <v>0</v>
      </c>
    </row>
    <row r="1590" spans="1:4" x14ac:dyDescent="0.2">
      <c r="A1590">
        <v>2023</v>
      </c>
      <c r="B1590" s="1" t="s">
        <v>31</v>
      </c>
      <c r="C1590" s="7">
        <v>306342</v>
      </c>
      <c r="D1590" s="5">
        <v>1.25606E-4</v>
      </c>
    </row>
    <row r="1591" spans="1:4" x14ac:dyDescent="0.2">
      <c r="A1591">
        <v>2023</v>
      </c>
      <c r="B1591" s="1" t="s">
        <v>32</v>
      </c>
      <c r="C1591" s="7">
        <v>1855697</v>
      </c>
      <c r="D1591" s="5">
        <v>7.6086899999999996E-4</v>
      </c>
    </row>
    <row r="1592" spans="1:4" x14ac:dyDescent="0.2">
      <c r="A1592">
        <v>2023</v>
      </c>
      <c r="B1592" s="1" t="s">
        <v>238</v>
      </c>
      <c r="C1592" s="7">
        <v>76130</v>
      </c>
      <c r="D1592" s="5">
        <v>3.1214999999999998E-5</v>
      </c>
    </row>
    <row r="1593" spans="1:4" x14ac:dyDescent="0.2">
      <c r="A1593">
        <v>2023</v>
      </c>
      <c r="B1593" s="1" t="s">
        <v>33</v>
      </c>
      <c r="C1593" s="7">
        <v>386310</v>
      </c>
      <c r="D1593" s="5">
        <v>1.5839399999999999E-4</v>
      </c>
    </row>
    <row r="1594" spans="1:4" x14ac:dyDescent="0.2">
      <c r="A1594">
        <v>2023</v>
      </c>
      <c r="B1594" s="1" t="s">
        <v>34</v>
      </c>
      <c r="C1594" s="7">
        <v>1935694</v>
      </c>
      <c r="D1594" s="5">
        <v>7.9366899999999999E-4</v>
      </c>
    </row>
    <row r="1595" spans="1:4" x14ac:dyDescent="0.2">
      <c r="A1595">
        <v>2023</v>
      </c>
      <c r="B1595" s="1" t="s">
        <v>35</v>
      </c>
      <c r="C1595" s="7">
        <v>295671</v>
      </c>
      <c r="D1595" s="5">
        <v>1.2123E-4</v>
      </c>
    </row>
    <row r="1596" spans="1:4" x14ac:dyDescent="0.2">
      <c r="A1596">
        <v>2023</v>
      </c>
      <c r="B1596" s="1" t="s">
        <v>36</v>
      </c>
      <c r="C1596" s="7">
        <v>663767</v>
      </c>
      <c r="D1596" s="5">
        <v>2.7215600000000001E-4</v>
      </c>
    </row>
    <row r="1597" spans="1:4" x14ac:dyDescent="0.2">
      <c r="A1597">
        <v>2023</v>
      </c>
      <c r="B1597" s="1" t="s">
        <v>38</v>
      </c>
      <c r="C1597" s="7">
        <v>26691</v>
      </c>
      <c r="D1597" s="5">
        <v>1.0944000000000001E-5</v>
      </c>
    </row>
    <row r="1598" spans="1:4" x14ac:dyDescent="0.2">
      <c r="A1598">
        <v>2023</v>
      </c>
      <c r="B1598" s="1" t="s">
        <v>39</v>
      </c>
      <c r="C1598" s="7">
        <v>784719</v>
      </c>
      <c r="D1598" s="5">
        <v>3.2174900000000003E-4</v>
      </c>
    </row>
    <row r="1599" spans="1:4" x14ac:dyDescent="0.2">
      <c r="A1599">
        <v>2023</v>
      </c>
      <c r="B1599" s="1" t="s">
        <v>40</v>
      </c>
      <c r="C1599" s="7" t="s">
        <v>6</v>
      </c>
      <c r="D1599" s="5">
        <v>0</v>
      </c>
    </row>
    <row r="1600" spans="1:4" x14ac:dyDescent="0.2">
      <c r="A1600">
        <v>2023</v>
      </c>
      <c r="B1600" s="1" t="s">
        <v>207</v>
      </c>
      <c r="C1600" s="7">
        <v>710873</v>
      </c>
      <c r="D1600" s="5">
        <v>2.9147100000000002E-4</v>
      </c>
    </row>
    <row r="1601" spans="1:4" x14ac:dyDescent="0.2">
      <c r="A1601">
        <v>2023</v>
      </c>
      <c r="B1601" s="1" t="s">
        <v>42</v>
      </c>
      <c r="C1601" s="7">
        <v>6514</v>
      </c>
      <c r="D1601" s="5">
        <v>2.6709999999999999E-6</v>
      </c>
    </row>
    <row r="1602" spans="1:4" x14ac:dyDescent="0.2">
      <c r="A1602">
        <v>2023</v>
      </c>
      <c r="B1602" s="1" t="s">
        <v>43</v>
      </c>
      <c r="C1602" s="7">
        <v>123085</v>
      </c>
      <c r="D1602" s="5">
        <v>5.0467000000000003E-5</v>
      </c>
    </row>
    <row r="1603" spans="1:4" x14ac:dyDescent="0.2">
      <c r="A1603">
        <v>2023</v>
      </c>
      <c r="B1603" s="1" t="s">
        <v>44</v>
      </c>
      <c r="C1603" s="7">
        <v>2318314</v>
      </c>
      <c r="D1603" s="5">
        <v>9.5054999999999998E-4</v>
      </c>
    </row>
    <row r="1604" spans="1:4" x14ac:dyDescent="0.2">
      <c r="A1604">
        <v>2023</v>
      </c>
      <c r="B1604" s="1" t="s">
        <v>45</v>
      </c>
      <c r="C1604" s="7">
        <v>36265</v>
      </c>
      <c r="D1604" s="5">
        <v>1.4868999999999999E-5</v>
      </c>
    </row>
    <row r="1605" spans="1:4" x14ac:dyDescent="0.2">
      <c r="A1605">
        <v>2023</v>
      </c>
      <c r="B1605" s="1" t="s">
        <v>46</v>
      </c>
      <c r="C1605" s="7">
        <v>40540</v>
      </c>
      <c r="D1605" s="5">
        <v>1.6622000000000001E-5</v>
      </c>
    </row>
    <row r="1606" spans="1:4" x14ac:dyDescent="0.2">
      <c r="A1606">
        <v>2023</v>
      </c>
      <c r="B1606" s="1" t="s">
        <v>47</v>
      </c>
      <c r="C1606" s="7">
        <v>2485624</v>
      </c>
      <c r="D1606" s="5">
        <v>1.019151E-3</v>
      </c>
    </row>
    <row r="1607" spans="1:4" x14ac:dyDescent="0.2">
      <c r="A1607">
        <v>2023</v>
      </c>
      <c r="B1607" s="1" t="s">
        <v>48</v>
      </c>
      <c r="C1607" s="7">
        <v>76259</v>
      </c>
      <c r="D1607" s="5">
        <v>3.1267999999999999E-5</v>
      </c>
    </row>
    <row r="1608" spans="1:4" x14ac:dyDescent="0.2">
      <c r="A1608">
        <v>2023</v>
      </c>
      <c r="B1608" s="1" t="s">
        <v>49</v>
      </c>
      <c r="C1608" s="7">
        <v>31695</v>
      </c>
      <c r="D1608" s="5">
        <v>1.2996000000000001E-5</v>
      </c>
    </row>
    <row r="1609" spans="1:4" x14ac:dyDescent="0.2">
      <c r="A1609">
        <v>2023</v>
      </c>
      <c r="B1609" s="1" t="s">
        <v>50</v>
      </c>
      <c r="C1609" s="7">
        <v>1432560</v>
      </c>
      <c r="D1609" s="5">
        <v>5.8737600000000002E-4</v>
      </c>
    </row>
    <row r="1610" spans="1:4" x14ac:dyDescent="0.2">
      <c r="A1610">
        <v>2023</v>
      </c>
      <c r="B1610" s="1" t="s">
        <v>51</v>
      </c>
      <c r="C1610" s="7">
        <v>86899</v>
      </c>
      <c r="D1610" s="5">
        <v>3.5630000000000003E-5</v>
      </c>
    </row>
    <row r="1611" spans="1:4" x14ac:dyDescent="0.2">
      <c r="A1611">
        <v>2023</v>
      </c>
      <c r="B1611" s="1" t="s">
        <v>239</v>
      </c>
      <c r="C1611" s="7">
        <v>202931</v>
      </c>
      <c r="D1611" s="5">
        <v>8.3205E-5</v>
      </c>
    </row>
    <row r="1612" spans="1:4" x14ac:dyDescent="0.2">
      <c r="A1612">
        <v>2023</v>
      </c>
      <c r="B1612" s="1" t="s">
        <v>52</v>
      </c>
      <c r="C1612" s="7">
        <v>28560</v>
      </c>
      <c r="D1612" s="5">
        <v>1.171E-5</v>
      </c>
    </row>
    <row r="1613" spans="1:4" x14ac:dyDescent="0.2">
      <c r="A1613">
        <v>2023</v>
      </c>
      <c r="B1613" s="1" t="s">
        <v>54</v>
      </c>
      <c r="C1613" s="7">
        <v>162816</v>
      </c>
      <c r="D1613" s="5">
        <v>6.6756999999999998E-5</v>
      </c>
    </row>
    <row r="1614" spans="1:4" x14ac:dyDescent="0.2">
      <c r="A1614">
        <v>2023</v>
      </c>
      <c r="B1614" s="1" t="s">
        <v>55</v>
      </c>
      <c r="C1614" s="7">
        <v>117740</v>
      </c>
      <c r="D1614" s="5">
        <v>4.8276000000000003E-5</v>
      </c>
    </row>
    <row r="1615" spans="1:4" x14ac:dyDescent="0.2">
      <c r="A1615">
        <v>2023</v>
      </c>
      <c r="B1615" s="1" t="s">
        <v>56</v>
      </c>
      <c r="C1615" s="7">
        <v>161860</v>
      </c>
      <c r="D1615" s="5">
        <v>6.6365999999999994E-5</v>
      </c>
    </row>
    <row r="1616" spans="1:4" x14ac:dyDescent="0.2">
      <c r="A1616">
        <v>2023</v>
      </c>
      <c r="B1616" s="1" t="s">
        <v>232</v>
      </c>
      <c r="C1616" s="7">
        <v>166266</v>
      </c>
      <c r="D1616" s="5">
        <v>6.8171999999999997E-5</v>
      </c>
    </row>
    <row r="1617" spans="1:4" x14ac:dyDescent="0.2">
      <c r="A1617">
        <v>2023</v>
      </c>
      <c r="B1617" s="1" t="s">
        <v>57</v>
      </c>
      <c r="C1617" s="7" t="s">
        <v>6</v>
      </c>
      <c r="D1617" s="5">
        <v>0</v>
      </c>
    </row>
    <row r="1618" spans="1:4" x14ac:dyDescent="0.2">
      <c r="A1618">
        <v>2023</v>
      </c>
      <c r="B1618" s="1" t="s">
        <v>58</v>
      </c>
      <c r="C1618" s="7">
        <v>270385</v>
      </c>
      <c r="D1618" s="5">
        <v>1.10863E-4</v>
      </c>
    </row>
    <row r="1619" spans="1:4" x14ac:dyDescent="0.2">
      <c r="A1619">
        <v>2023</v>
      </c>
      <c r="B1619" s="1" t="s">
        <v>59</v>
      </c>
      <c r="C1619" s="7">
        <v>547111</v>
      </c>
      <c r="D1619" s="5">
        <v>2.2432499999999999E-4</v>
      </c>
    </row>
    <row r="1620" spans="1:4" x14ac:dyDescent="0.2">
      <c r="A1620">
        <v>2023</v>
      </c>
      <c r="B1620" s="1" t="s">
        <v>60</v>
      </c>
      <c r="C1620" s="7">
        <v>89320</v>
      </c>
      <c r="D1620" s="5">
        <v>3.6622999999999998E-5</v>
      </c>
    </row>
    <row r="1621" spans="1:4" x14ac:dyDescent="0.2">
      <c r="A1621">
        <v>2023</v>
      </c>
      <c r="B1621" s="1" t="s">
        <v>61</v>
      </c>
      <c r="C1621" s="7">
        <v>25044</v>
      </c>
      <c r="D1621" s="5">
        <v>1.0268999999999999E-5</v>
      </c>
    </row>
    <row r="1622" spans="1:4" x14ac:dyDescent="0.2">
      <c r="A1622">
        <v>2023</v>
      </c>
      <c r="B1622" s="1" t="s">
        <v>209</v>
      </c>
      <c r="C1622" s="8">
        <v>896586</v>
      </c>
      <c r="D1622" s="5">
        <v>3.6761600000000003E-4</v>
      </c>
    </row>
    <row r="1623" spans="1:4" x14ac:dyDescent="0.2">
      <c r="A1623">
        <v>2023</v>
      </c>
      <c r="B1623" s="1" t="s">
        <v>63</v>
      </c>
      <c r="C1623" s="7">
        <v>1385861</v>
      </c>
      <c r="D1623" s="5">
        <v>5.6822800000000005E-4</v>
      </c>
    </row>
    <row r="1624" spans="1:4" x14ac:dyDescent="0.2">
      <c r="A1624">
        <v>2023</v>
      </c>
      <c r="B1624" s="1" t="s">
        <v>64</v>
      </c>
      <c r="C1624" s="7">
        <v>193558</v>
      </c>
      <c r="D1624" s="5">
        <v>7.9362000000000004E-5</v>
      </c>
    </row>
    <row r="1625" spans="1:4" x14ac:dyDescent="0.2">
      <c r="A1625">
        <v>2023</v>
      </c>
      <c r="B1625" s="1" t="s">
        <v>65</v>
      </c>
      <c r="C1625" s="7">
        <v>209221</v>
      </c>
      <c r="D1625" s="5">
        <v>8.5784000000000004E-5</v>
      </c>
    </row>
    <row r="1626" spans="1:4" x14ac:dyDescent="0.2">
      <c r="A1626">
        <v>2023</v>
      </c>
      <c r="B1626" s="1" t="s">
        <v>66</v>
      </c>
      <c r="C1626" s="7">
        <v>1034665</v>
      </c>
      <c r="D1626" s="5">
        <v>4.2423100000000001E-4</v>
      </c>
    </row>
    <row r="1627" spans="1:4" x14ac:dyDescent="0.2">
      <c r="A1627">
        <v>2023</v>
      </c>
      <c r="B1627" s="1" t="s">
        <v>67</v>
      </c>
      <c r="C1627" s="7">
        <v>738470</v>
      </c>
      <c r="D1627" s="5">
        <v>3.0278599999999998E-4</v>
      </c>
    </row>
    <row r="1628" spans="1:4" x14ac:dyDescent="0.2">
      <c r="A1628">
        <v>2023</v>
      </c>
      <c r="B1628" s="1" t="s">
        <v>68</v>
      </c>
      <c r="C1628" s="7">
        <v>18170</v>
      </c>
      <c r="D1628" s="5">
        <v>7.4499999999999998E-6</v>
      </c>
    </row>
    <row r="1629" spans="1:4" x14ac:dyDescent="0.2">
      <c r="A1629">
        <v>2023</v>
      </c>
      <c r="B1629" s="1" t="s">
        <v>69</v>
      </c>
      <c r="C1629" s="7">
        <v>508741</v>
      </c>
      <c r="D1629" s="5">
        <v>2.08593E-4</v>
      </c>
    </row>
    <row r="1630" spans="1:4" x14ac:dyDescent="0.2">
      <c r="A1630">
        <v>2023</v>
      </c>
      <c r="B1630" s="1" t="s">
        <v>70</v>
      </c>
      <c r="C1630" s="7">
        <v>137487</v>
      </c>
      <c r="D1630" s="5">
        <v>5.6372000000000002E-5</v>
      </c>
    </row>
    <row r="1631" spans="1:4" x14ac:dyDescent="0.2">
      <c r="A1631">
        <v>2023</v>
      </c>
      <c r="B1631" s="1" t="s">
        <v>71</v>
      </c>
      <c r="C1631" s="7">
        <v>14966</v>
      </c>
      <c r="D1631" s="5">
        <v>6.1360000000000002E-6</v>
      </c>
    </row>
    <row r="1632" spans="1:4" x14ac:dyDescent="0.2">
      <c r="A1632">
        <v>2023</v>
      </c>
      <c r="B1632" s="1" t="s">
        <v>72</v>
      </c>
      <c r="C1632" s="7">
        <v>12351</v>
      </c>
      <c r="D1632" s="5">
        <v>5.0640000000000001E-6</v>
      </c>
    </row>
    <row r="1633" spans="1:4" x14ac:dyDescent="0.2">
      <c r="A1633">
        <v>2023</v>
      </c>
      <c r="B1633" s="1" t="s">
        <v>73</v>
      </c>
      <c r="C1633" s="7">
        <v>36381</v>
      </c>
      <c r="D1633" s="5">
        <v>1.4917E-5</v>
      </c>
    </row>
    <row r="1634" spans="1:4" x14ac:dyDescent="0.2">
      <c r="A1634">
        <v>2023</v>
      </c>
      <c r="B1634" s="1" t="s">
        <v>74</v>
      </c>
      <c r="C1634" s="7">
        <v>9654</v>
      </c>
      <c r="D1634" s="5">
        <v>3.9589999999999997E-6</v>
      </c>
    </row>
    <row r="1635" spans="1:4" x14ac:dyDescent="0.2">
      <c r="A1635">
        <v>2023</v>
      </c>
      <c r="B1635" s="1" t="s">
        <v>75</v>
      </c>
      <c r="C1635" s="7">
        <v>98146</v>
      </c>
      <c r="D1635" s="5">
        <v>4.0241999999999999E-5</v>
      </c>
    </row>
    <row r="1636" spans="1:4" x14ac:dyDescent="0.2">
      <c r="A1636">
        <v>2023</v>
      </c>
      <c r="B1636" s="1" t="s">
        <v>76</v>
      </c>
      <c r="C1636" s="7">
        <v>144776</v>
      </c>
      <c r="D1636" s="5">
        <v>5.9361000000000003E-5</v>
      </c>
    </row>
    <row r="1637" spans="1:4" x14ac:dyDescent="0.2">
      <c r="A1637">
        <v>2023</v>
      </c>
      <c r="B1637" s="1" t="s">
        <v>77</v>
      </c>
      <c r="C1637" s="7" t="s">
        <v>6</v>
      </c>
      <c r="D1637" s="5">
        <v>0</v>
      </c>
    </row>
    <row r="1638" spans="1:4" x14ac:dyDescent="0.2">
      <c r="A1638">
        <v>2023</v>
      </c>
      <c r="B1638" s="1" t="s">
        <v>78</v>
      </c>
      <c r="C1638" s="7">
        <v>5764435</v>
      </c>
      <c r="D1638" s="5">
        <v>2.3635219999999998E-3</v>
      </c>
    </row>
    <row r="1639" spans="1:4" x14ac:dyDescent="0.2">
      <c r="A1639">
        <v>2023</v>
      </c>
      <c r="B1639" s="1" t="s">
        <v>79</v>
      </c>
      <c r="C1639" s="7">
        <v>213657</v>
      </c>
      <c r="D1639" s="5">
        <v>8.7602999999999995E-5</v>
      </c>
    </row>
    <row r="1640" spans="1:4" x14ac:dyDescent="0.2">
      <c r="A1640">
        <v>2023</v>
      </c>
      <c r="B1640" s="1" t="s">
        <v>80</v>
      </c>
      <c r="C1640" s="7">
        <v>145539</v>
      </c>
      <c r="D1640" s="5">
        <v>5.9673999999999998E-5</v>
      </c>
    </row>
    <row r="1641" spans="1:4" x14ac:dyDescent="0.2">
      <c r="A1641">
        <v>2023</v>
      </c>
      <c r="B1641" s="1" t="s">
        <v>81</v>
      </c>
      <c r="C1641" s="7">
        <v>215687</v>
      </c>
      <c r="D1641" s="5">
        <v>8.8436000000000005E-5</v>
      </c>
    </row>
    <row r="1642" spans="1:4" x14ac:dyDescent="0.2">
      <c r="A1642">
        <v>2023</v>
      </c>
      <c r="B1642" s="1" t="s">
        <v>82</v>
      </c>
      <c r="C1642" s="7">
        <v>4462</v>
      </c>
      <c r="D1642" s="5">
        <v>1.8300000000000001E-6</v>
      </c>
    </row>
    <row r="1643" spans="1:4" x14ac:dyDescent="0.2">
      <c r="A1643">
        <v>2023</v>
      </c>
      <c r="B1643" s="1" t="s">
        <v>83</v>
      </c>
      <c r="C1643" s="7">
        <v>575415</v>
      </c>
      <c r="D1643" s="5">
        <v>2.3593E-4</v>
      </c>
    </row>
    <row r="1644" spans="1:4" x14ac:dyDescent="0.2">
      <c r="A1644">
        <v>2023</v>
      </c>
      <c r="B1644" s="1" t="s">
        <v>84</v>
      </c>
      <c r="C1644" s="7">
        <v>28242</v>
      </c>
      <c r="D1644" s="5">
        <v>1.1579999999999999E-5</v>
      </c>
    </row>
    <row r="1645" spans="1:4" x14ac:dyDescent="0.2">
      <c r="A1645">
        <v>2023</v>
      </c>
      <c r="B1645" s="1" t="s">
        <v>85</v>
      </c>
      <c r="C1645" s="7">
        <v>417383</v>
      </c>
      <c r="D1645" s="5">
        <v>1.7113499999999999E-4</v>
      </c>
    </row>
    <row r="1646" spans="1:4" x14ac:dyDescent="0.2">
      <c r="A1646">
        <v>2023</v>
      </c>
      <c r="B1646" s="1" t="s">
        <v>86</v>
      </c>
      <c r="C1646" s="7">
        <v>22252</v>
      </c>
      <c r="D1646" s="5">
        <v>9.1239999999999994E-6</v>
      </c>
    </row>
    <row r="1647" spans="1:4" x14ac:dyDescent="0.2">
      <c r="A1647">
        <v>2023</v>
      </c>
      <c r="B1647" s="1" t="s">
        <v>87</v>
      </c>
      <c r="C1647" s="7" t="s">
        <v>6</v>
      </c>
      <c r="D1647" s="5">
        <v>0</v>
      </c>
    </row>
    <row r="1648" spans="1:4" x14ac:dyDescent="0.2">
      <c r="A1648">
        <v>2023</v>
      </c>
      <c r="B1648" s="1" t="s">
        <v>88</v>
      </c>
      <c r="C1648" s="7">
        <v>903305</v>
      </c>
      <c r="D1648" s="5">
        <v>3.7037099999999998E-4</v>
      </c>
    </row>
    <row r="1649" spans="1:4" x14ac:dyDescent="0.2">
      <c r="A1649">
        <v>2023</v>
      </c>
      <c r="B1649" s="1" t="s">
        <v>89</v>
      </c>
      <c r="C1649" s="7">
        <v>1288299</v>
      </c>
      <c r="D1649" s="5">
        <v>5.2822600000000002E-4</v>
      </c>
    </row>
    <row r="1650" spans="1:4" x14ac:dyDescent="0.2">
      <c r="A1650">
        <v>2023</v>
      </c>
      <c r="B1650" s="1" t="s">
        <v>90</v>
      </c>
      <c r="C1650" s="7">
        <v>66291</v>
      </c>
      <c r="D1650" s="5">
        <v>2.7180999999999999E-5</v>
      </c>
    </row>
    <row r="1651" spans="1:4" x14ac:dyDescent="0.2">
      <c r="A1651">
        <v>2023</v>
      </c>
      <c r="B1651" s="1" t="s">
        <v>91</v>
      </c>
      <c r="C1651" s="7">
        <v>242131</v>
      </c>
      <c r="D1651" s="5">
        <v>9.9277999999999994E-5</v>
      </c>
    </row>
    <row r="1652" spans="1:4" x14ac:dyDescent="0.2">
      <c r="A1652">
        <v>2023</v>
      </c>
      <c r="B1652" s="1" t="s">
        <v>92</v>
      </c>
      <c r="C1652" s="7">
        <v>2256948</v>
      </c>
      <c r="D1652" s="5">
        <v>9.2538899999999999E-4</v>
      </c>
    </row>
    <row r="1653" spans="1:4" x14ac:dyDescent="0.2">
      <c r="A1653">
        <v>2023</v>
      </c>
      <c r="B1653" s="1" t="s">
        <v>93</v>
      </c>
      <c r="C1653" s="7">
        <v>170884</v>
      </c>
      <c r="D1653" s="5">
        <v>7.0066000000000003E-5</v>
      </c>
    </row>
    <row r="1654" spans="1:4" x14ac:dyDescent="0.2">
      <c r="A1654">
        <v>2023</v>
      </c>
      <c r="B1654" s="1" t="s">
        <v>94</v>
      </c>
      <c r="C1654" s="7">
        <v>3476891</v>
      </c>
      <c r="D1654" s="5">
        <v>1.425588E-3</v>
      </c>
    </row>
    <row r="1655" spans="1:4" x14ac:dyDescent="0.2">
      <c r="A1655">
        <v>2023</v>
      </c>
      <c r="B1655" s="1" t="s">
        <v>95</v>
      </c>
      <c r="C1655" s="7">
        <v>152972</v>
      </c>
      <c r="D1655" s="5">
        <v>6.2720999999999998E-5</v>
      </c>
    </row>
    <row r="1656" spans="1:4" x14ac:dyDescent="0.2">
      <c r="A1656">
        <v>2023</v>
      </c>
      <c r="B1656" s="1" t="s">
        <v>96</v>
      </c>
      <c r="C1656" s="7">
        <v>8564361</v>
      </c>
      <c r="D1656" s="5">
        <v>3.5115419999999999E-3</v>
      </c>
    </row>
    <row r="1657" spans="1:4" x14ac:dyDescent="0.2">
      <c r="A1657">
        <v>2023</v>
      </c>
      <c r="B1657" s="1" t="s">
        <v>97</v>
      </c>
      <c r="C1657" s="7">
        <v>9864223</v>
      </c>
      <c r="D1657" s="5">
        <v>4.044509E-3</v>
      </c>
    </row>
    <row r="1658" spans="1:4" x14ac:dyDescent="0.2">
      <c r="A1658">
        <v>2023</v>
      </c>
      <c r="B1658" s="1" t="s">
        <v>98</v>
      </c>
      <c r="C1658" s="7">
        <v>238908</v>
      </c>
      <c r="D1658" s="5">
        <v>9.7956999999999997E-5</v>
      </c>
    </row>
    <row r="1659" spans="1:4" x14ac:dyDescent="0.2">
      <c r="A1659">
        <v>2023</v>
      </c>
      <c r="B1659" s="1" t="s">
        <v>99</v>
      </c>
      <c r="C1659" s="7">
        <v>21529</v>
      </c>
      <c r="D1659" s="5">
        <v>8.8270000000000004E-6</v>
      </c>
    </row>
    <row r="1660" spans="1:4" x14ac:dyDescent="0.2">
      <c r="A1660">
        <v>2023</v>
      </c>
      <c r="B1660" s="1" t="s">
        <v>100</v>
      </c>
      <c r="C1660" s="7">
        <v>343529</v>
      </c>
      <c r="D1660" s="5">
        <v>1.40853E-4</v>
      </c>
    </row>
    <row r="1661" spans="1:4" x14ac:dyDescent="0.2">
      <c r="A1661">
        <v>2023</v>
      </c>
      <c r="B1661" s="1" t="s">
        <v>101</v>
      </c>
      <c r="C1661" s="7">
        <v>686458</v>
      </c>
      <c r="D1661" s="5">
        <v>2.8145999999999998E-4</v>
      </c>
    </row>
    <row r="1662" spans="1:4" x14ac:dyDescent="0.2">
      <c r="A1662">
        <v>2023</v>
      </c>
      <c r="B1662" s="1" t="s">
        <v>102</v>
      </c>
      <c r="C1662" s="7">
        <v>64487</v>
      </c>
      <c r="D1662" s="5">
        <v>2.6441E-5</v>
      </c>
    </row>
    <row r="1663" spans="1:4" x14ac:dyDescent="0.2">
      <c r="A1663">
        <v>2023</v>
      </c>
      <c r="B1663" s="1" t="s">
        <v>103</v>
      </c>
      <c r="C1663" s="7">
        <v>6612638</v>
      </c>
      <c r="D1663" s="5">
        <v>2.7113010000000002E-3</v>
      </c>
    </row>
    <row r="1664" spans="1:4" x14ac:dyDescent="0.2">
      <c r="A1664">
        <v>2023</v>
      </c>
      <c r="B1664" s="1" t="s">
        <v>104</v>
      </c>
      <c r="C1664" s="7">
        <v>75079</v>
      </c>
      <c r="D1664" s="5">
        <v>3.0784000000000002E-5</v>
      </c>
    </row>
    <row r="1665" spans="1:4" x14ac:dyDescent="0.2">
      <c r="A1665">
        <v>2023</v>
      </c>
      <c r="B1665" s="1" t="s">
        <v>105</v>
      </c>
      <c r="C1665" s="7">
        <v>105536</v>
      </c>
      <c r="D1665" s="5">
        <v>4.3271E-5</v>
      </c>
    </row>
    <row r="1666" spans="1:4" x14ac:dyDescent="0.2">
      <c r="A1666">
        <v>2023</v>
      </c>
      <c r="B1666" s="1" t="s">
        <v>106</v>
      </c>
      <c r="C1666" s="7">
        <v>667803</v>
      </c>
      <c r="D1666" s="5">
        <v>2.73811E-4</v>
      </c>
    </row>
    <row r="1667" spans="1:4" x14ac:dyDescent="0.2">
      <c r="A1667">
        <v>2023</v>
      </c>
      <c r="B1667" s="1" t="s">
        <v>107</v>
      </c>
      <c r="C1667" s="7">
        <v>1086797</v>
      </c>
      <c r="D1667" s="5">
        <v>4.4560699999999999E-4</v>
      </c>
    </row>
    <row r="1668" spans="1:4" x14ac:dyDescent="0.2">
      <c r="A1668">
        <v>2023</v>
      </c>
      <c r="B1668" s="1" t="s">
        <v>108</v>
      </c>
      <c r="C1668" s="7">
        <v>1140798</v>
      </c>
      <c r="D1668" s="5">
        <v>4.6774799999999998E-4</v>
      </c>
    </row>
    <row r="1669" spans="1:4" x14ac:dyDescent="0.2">
      <c r="A1669">
        <v>2023</v>
      </c>
      <c r="B1669" s="1" t="s">
        <v>109</v>
      </c>
      <c r="C1669" s="7">
        <v>590982</v>
      </c>
      <c r="D1669" s="5">
        <v>2.42313E-4</v>
      </c>
    </row>
    <row r="1670" spans="1:4" x14ac:dyDescent="0.2">
      <c r="A1670">
        <v>2023</v>
      </c>
      <c r="B1670" s="1" t="s">
        <v>110</v>
      </c>
      <c r="C1670" s="7">
        <v>192595</v>
      </c>
      <c r="D1670" s="5">
        <v>7.8967000000000005E-5</v>
      </c>
    </row>
    <row r="1671" spans="1:4" x14ac:dyDescent="0.2">
      <c r="A1671">
        <v>2023</v>
      </c>
      <c r="B1671" s="1" t="s">
        <v>111</v>
      </c>
      <c r="C1671" s="7">
        <v>14695</v>
      </c>
      <c r="D1671" s="5">
        <v>6.0249999999999999E-6</v>
      </c>
    </row>
    <row r="1672" spans="1:4" x14ac:dyDescent="0.2">
      <c r="A1672">
        <v>2023</v>
      </c>
      <c r="B1672" s="1" t="s">
        <v>112</v>
      </c>
      <c r="C1672" s="7">
        <v>70046</v>
      </c>
      <c r="D1672" s="5">
        <v>2.8719999999999999E-5</v>
      </c>
    </row>
    <row r="1673" spans="1:4" x14ac:dyDescent="0.2">
      <c r="A1673">
        <v>2023</v>
      </c>
      <c r="B1673" s="1" t="s">
        <v>113</v>
      </c>
      <c r="C1673" s="7">
        <v>443023</v>
      </c>
      <c r="D1673" s="5">
        <v>1.8164799999999999E-4</v>
      </c>
    </row>
    <row r="1674" spans="1:4" x14ac:dyDescent="0.2">
      <c r="A1674">
        <v>2023</v>
      </c>
      <c r="B1674" s="1" t="s">
        <v>114</v>
      </c>
      <c r="C1674" s="7" t="s">
        <v>6</v>
      </c>
      <c r="D1674" s="5">
        <v>0</v>
      </c>
    </row>
    <row r="1675" spans="1:4" x14ac:dyDescent="0.2">
      <c r="A1675">
        <v>2023</v>
      </c>
      <c r="B1675" s="1" t="s">
        <v>115</v>
      </c>
      <c r="C1675" s="7">
        <v>103732</v>
      </c>
      <c r="D1675" s="5">
        <v>4.2531999999999999E-5</v>
      </c>
    </row>
    <row r="1676" spans="1:4" x14ac:dyDescent="0.2">
      <c r="A1676">
        <v>2023</v>
      </c>
      <c r="B1676" s="1" t="s">
        <v>233</v>
      </c>
      <c r="C1676" s="7">
        <v>78542</v>
      </c>
      <c r="D1676" s="5">
        <v>3.2203999999999999E-5</v>
      </c>
    </row>
    <row r="1677" spans="1:4" x14ac:dyDescent="0.2">
      <c r="A1677">
        <v>2023</v>
      </c>
      <c r="B1677" s="1" t="s">
        <v>116</v>
      </c>
      <c r="C1677" s="7">
        <v>219609</v>
      </c>
      <c r="D1677" s="5">
        <v>9.0043000000000005E-5</v>
      </c>
    </row>
    <row r="1678" spans="1:4" x14ac:dyDescent="0.2">
      <c r="A1678">
        <v>2023</v>
      </c>
      <c r="B1678" s="1" t="s">
        <v>117</v>
      </c>
      <c r="C1678" s="7" t="s">
        <v>6</v>
      </c>
      <c r="D1678" s="5">
        <v>0</v>
      </c>
    </row>
    <row r="1679" spans="1:4" x14ac:dyDescent="0.2">
      <c r="A1679">
        <v>2023</v>
      </c>
      <c r="B1679" s="1" t="s">
        <v>118</v>
      </c>
      <c r="C1679" s="8">
        <v>85249</v>
      </c>
      <c r="D1679" s="5">
        <v>3.4953000000000002E-5</v>
      </c>
    </row>
    <row r="1680" spans="1:4" x14ac:dyDescent="0.2">
      <c r="A1680">
        <v>2023</v>
      </c>
      <c r="B1680" s="1" t="s">
        <v>119</v>
      </c>
      <c r="C1680" s="7">
        <v>102386</v>
      </c>
      <c r="D1680" s="5">
        <v>4.1980000000000001E-5</v>
      </c>
    </row>
    <row r="1681" spans="1:4" x14ac:dyDescent="0.2">
      <c r="A1681">
        <v>2023</v>
      </c>
      <c r="B1681" s="1" t="s">
        <v>120</v>
      </c>
      <c r="C1681" s="7">
        <v>629118</v>
      </c>
      <c r="D1681" s="5">
        <v>2.5795000000000001E-4</v>
      </c>
    </row>
    <row r="1682" spans="1:4" x14ac:dyDescent="0.2">
      <c r="A1682">
        <v>2023</v>
      </c>
      <c r="B1682" s="1" t="s">
        <v>121</v>
      </c>
      <c r="C1682" s="7">
        <v>1814102</v>
      </c>
      <c r="D1682" s="5">
        <v>7.4381499999999999E-4</v>
      </c>
    </row>
    <row r="1683" spans="1:4" x14ac:dyDescent="0.2">
      <c r="A1683">
        <v>2023</v>
      </c>
      <c r="B1683" s="1" t="s">
        <v>122</v>
      </c>
      <c r="C1683" s="7" t="s">
        <v>6</v>
      </c>
      <c r="D1683" s="5">
        <v>0</v>
      </c>
    </row>
    <row r="1684" spans="1:4" x14ac:dyDescent="0.2">
      <c r="A1684">
        <v>2023</v>
      </c>
      <c r="B1684" s="1" t="s">
        <v>123</v>
      </c>
      <c r="C1684" s="7" t="s">
        <v>6</v>
      </c>
      <c r="D1684" s="5">
        <v>0</v>
      </c>
    </row>
    <row r="1685" spans="1:4" x14ac:dyDescent="0.2">
      <c r="A1685">
        <v>2023</v>
      </c>
      <c r="B1685" s="1" t="s">
        <v>124</v>
      </c>
      <c r="C1685" s="7" t="s">
        <v>6</v>
      </c>
      <c r="D1685" s="5">
        <v>0</v>
      </c>
    </row>
    <row r="1686" spans="1:4" x14ac:dyDescent="0.2">
      <c r="A1686">
        <v>2023</v>
      </c>
      <c r="B1686" s="1" t="s">
        <v>125</v>
      </c>
      <c r="C1686" s="7">
        <v>37511</v>
      </c>
      <c r="D1686" s="5">
        <v>1.5379999999999998E-5</v>
      </c>
    </row>
    <row r="1687" spans="1:4" x14ac:dyDescent="0.2">
      <c r="A1687">
        <v>2023</v>
      </c>
      <c r="B1687" s="1" t="s">
        <v>126</v>
      </c>
      <c r="C1687" s="7">
        <v>175515</v>
      </c>
      <c r="D1687" s="5">
        <v>7.1964000000000004E-5</v>
      </c>
    </row>
    <row r="1688" spans="1:4" x14ac:dyDescent="0.2">
      <c r="A1688">
        <v>2023</v>
      </c>
      <c r="B1688" s="1" t="s">
        <v>234</v>
      </c>
      <c r="C1688" s="7">
        <v>84370</v>
      </c>
      <c r="D1688" s="5">
        <v>3.4592999999999999E-5</v>
      </c>
    </row>
    <row r="1689" spans="1:4" x14ac:dyDescent="0.2">
      <c r="A1689">
        <v>2023</v>
      </c>
      <c r="B1689" s="1" t="s">
        <v>127</v>
      </c>
      <c r="C1689" s="7">
        <v>262916</v>
      </c>
      <c r="D1689" s="5">
        <v>1.078E-4</v>
      </c>
    </row>
    <row r="1690" spans="1:4" x14ac:dyDescent="0.2">
      <c r="A1690">
        <v>2023</v>
      </c>
      <c r="B1690" s="1" t="s">
        <v>128</v>
      </c>
      <c r="C1690" s="7">
        <v>465616</v>
      </c>
      <c r="D1690" s="5">
        <v>1.9091099999999999E-4</v>
      </c>
    </row>
    <row r="1691" spans="1:4" x14ac:dyDescent="0.2">
      <c r="A1691">
        <v>2023</v>
      </c>
      <c r="B1691" s="1" t="s">
        <v>129</v>
      </c>
      <c r="C1691" s="7">
        <v>57433</v>
      </c>
      <c r="D1691" s="5">
        <v>2.3547999999999999E-5</v>
      </c>
    </row>
    <row r="1692" spans="1:4" x14ac:dyDescent="0.2">
      <c r="A1692">
        <v>2023</v>
      </c>
      <c r="B1692" s="1" t="s">
        <v>130</v>
      </c>
      <c r="C1692" s="7">
        <v>106152</v>
      </c>
      <c r="D1692" s="5">
        <v>4.3523999999999999E-5</v>
      </c>
    </row>
    <row r="1693" spans="1:4" x14ac:dyDescent="0.2">
      <c r="A1693">
        <v>2023</v>
      </c>
      <c r="B1693" s="1" t="s">
        <v>131</v>
      </c>
      <c r="C1693" s="7">
        <v>105382</v>
      </c>
      <c r="D1693" s="5">
        <v>4.3207999999999997E-5</v>
      </c>
    </row>
    <row r="1694" spans="1:4" x14ac:dyDescent="0.2">
      <c r="A1694">
        <v>2023</v>
      </c>
      <c r="B1694" s="1" t="s">
        <v>133</v>
      </c>
      <c r="C1694" s="7">
        <v>85200</v>
      </c>
      <c r="D1694" s="5">
        <v>3.4932999999999999E-5</v>
      </c>
    </row>
    <row r="1695" spans="1:4" x14ac:dyDescent="0.2">
      <c r="A1695">
        <v>2023</v>
      </c>
      <c r="B1695" s="1" t="s">
        <v>134</v>
      </c>
      <c r="C1695" s="7">
        <v>231950</v>
      </c>
      <c r="D1695" s="5">
        <v>9.5104000000000003E-5</v>
      </c>
    </row>
    <row r="1696" spans="1:4" x14ac:dyDescent="0.2">
      <c r="A1696">
        <v>2023</v>
      </c>
      <c r="B1696" s="1" t="s">
        <v>216</v>
      </c>
      <c r="C1696" s="7">
        <v>170608</v>
      </c>
      <c r="D1696" s="5">
        <v>6.9952999999999999E-5</v>
      </c>
    </row>
    <row r="1697" spans="1:4" x14ac:dyDescent="0.2">
      <c r="A1697">
        <v>2023</v>
      </c>
      <c r="B1697" s="1" t="s">
        <v>135</v>
      </c>
      <c r="C1697" s="7">
        <v>17776</v>
      </c>
      <c r="D1697" s="5">
        <v>7.2880000000000004E-6</v>
      </c>
    </row>
    <row r="1698" spans="1:4" x14ac:dyDescent="0.2">
      <c r="A1698">
        <v>2023</v>
      </c>
      <c r="B1698" s="1" t="s">
        <v>136</v>
      </c>
      <c r="C1698" s="7">
        <v>395802</v>
      </c>
      <c r="D1698" s="5">
        <v>1.6228600000000001E-4</v>
      </c>
    </row>
    <row r="1699" spans="1:4" x14ac:dyDescent="0.2">
      <c r="A1699">
        <v>2023</v>
      </c>
      <c r="B1699" s="1" t="s">
        <v>137</v>
      </c>
      <c r="C1699" s="7">
        <v>17224754</v>
      </c>
      <c r="D1699" s="5">
        <v>7.0624590000000001E-3</v>
      </c>
    </row>
    <row r="1700" spans="1:4" x14ac:dyDescent="0.2">
      <c r="A1700">
        <v>2023</v>
      </c>
      <c r="B1700" s="1" t="s">
        <v>138</v>
      </c>
      <c r="C1700" s="7">
        <v>410211</v>
      </c>
      <c r="D1700" s="5">
        <v>1.6819400000000001E-4</v>
      </c>
    </row>
    <row r="1701" spans="1:4" x14ac:dyDescent="0.2">
      <c r="A1701">
        <v>2023</v>
      </c>
      <c r="B1701" s="1" t="s">
        <v>139</v>
      </c>
      <c r="C1701" s="7">
        <v>23297903</v>
      </c>
      <c r="D1701" s="5">
        <v>9.5525599999999999E-3</v>
      </c>
    </row>
    <row r="1702" spans="1:4" x14ac:dyDescent="0.2">
      <c r="A1702">
        <v>2023</v>
      </c>
      <c r="B1702" s="1" t="s">
        <v>140</v>
      </c>
      <c r="C1702" s="7">
        <v>32399</v>
      </c>
      <c r="D1702" s="5">
        <v>1.3284E-5</v>
      </c>
    </row>
    <row r="1703" spans="1:4" x14ac:dyDescent="0.2">
      <c r="A1703">
        <v>2023</v>
      </c>
      <c r="B1703" s="1" t="s">
        <v>141</v>
      </c>
      <c r="C1703" s="7">
        <v>78248</v>
      </c>
      <c r="D1703" s="5">
        <v>3.2082999999999998E-5</v>
      </c>
    </row>
    <row r="1704" spans="1:4" x14ac:dyDescent="0.2">
      <c r="A1704">
        <v>2023</v>
      </c>
      <c r="B1704" s="1" t="s">
        <v>142</v>
      </c>
      <c r="C1704" s="7">
        <v>93465</v>
      </c>
      <c r="D1704" s="5">
        <v>3.8322999999999999E-5</v>
      </c>
    </row>
    <row r="1705" spans="1:4" x14ac:dyDescent="0.2">
      <c r="A1705">
        <v>2023</v>
      </c>
      <c r="B1705" s="1" t="s">
        <v>143</v>
      </c>
      <c r="C1705" s="7">
        <v>63766</v>
      </c>
      <c r="D1705" s="5">
        <v>2.6145000000000001E-5</v>
      </c>
    </row>
    <row r="1706" spans="1:4" x14ac:dyDescent="0.2">
      <c r="A1706">
        <v>2023</v>
      </c>
      <c r="B1706" s="1" t="s">
        <v>144</v>
      </c>
      <c r="C1706" s="7">
        <v>160663</v>
      </c>
      <c r="D1706" s="5">
        <v>6.5875000000000002E-5</v>
      </c>
    </row>
    <row r="1707" spans="1:4" x14ac:dyDescent="0.2">
      <c r="A1707">
        <v>2023</v>
      </c>
      <c r="B1707" s="1" t="s">
        <v>145</v>
      </c>
      <c r="C1707" s="7">
        <v>2837408</v>
      </c>
      <c r="D1707" s="5">
        <v>1.1633889999999999E-3</v>
      </c>
    </row>
    <row r="1708" spans="1:4" x14ac:dyDescent="0.2">
      <c r="A1708">
        <v>2023</v>
      </c>
      <c r="B1708" s="1" t="s">
        <v>146</v>
      </c>
      <c r="C1708" s="7">
        <v>730514</v>
      </c>
      <c r="D1708" s="5">
        <v>2.9952400000000001E-4</v>
      </c>
    </row>
    <row r="1709" spans="1:4" x14ac:dyDescent="0.2">
      <c r="A1709">
        <v>2023</v>
      </c>
      <c r="B1709" s="1" t="s">
        <v>147</v>
      </c>
      <c r="C1709" s="7">
        <v>41841</v>
      </c>
      <c r="D1709" s="5">
        <v>1.7156E-5</v>
      </c>
    </row>
    <row r="1710" spans="1:4" x14ac:dyDescent="0.2">
      <c r="A1710">
        <v>2023</v>
      </c>
      <c r="B1710" s="1" t="s">
        <v>148</v>
      </c>
      <c r="C1710" s="7">
        <v>1429341</v>
      </c>
      <c r="D1710" s="5">
        <v>5.8605599999999995E-4</v>
      </c>
    </row>
    <row r="1711" spans="1:4" x14ac:dyDescent="0.2">
      <c r="A1711">
        <v>2023</v>
      </c>
      <c r="B1711" s="1" t="s">
        <v>236</v>
      </c>
      <c r="C1711" s="7">
        <v>473765</v>
      </c>
      <c r="D1711" s="5">
        <v>1.9425200000000001E-4</v>
      </c>
    </row>
    <row r="1712" spans="1:4" x14ac:dyDescent="0.2">
      <c r="A1712">
        <v>2023</v>
      </c>
      <c r="B1712" s="1" t="s">
        <v>149</v>
      </c>
      <c r="C1712" s="7">
        <v>23802</v>
      </c>
      <c r="D1712" s="5">
        <v>9.7589999999999992E-6</v>
      </c>
    </row>
    <row r="1713" spans="1:4" x14ac:dyDescent="0.2">
      <c r="A1713">
        <v>2023</v>
      </c>
      <c r="B1713" s="1" t="s">
        <v>150</v>
      </c>
      <c r="C1713" s="7">
        <v>54155</v>
      </c>
      <c r="D1713" s="5">
        <v>2.2204E-5</v>
      </c>
    </row>
    <row r="1714" spans="1:4" x14ac:dyDescent="0.2">
      <c r="A1714">
        <v>2023</v>
      </c>
      <c r="B1714" s="1" t="s">
        <v>151</v>
      </c>
      <c r="C1714" s="7">
        <v>42954</v>
      </c>
      <c r="D1714" s="5">
        <v>1.7612E-5</v>
      </c>
    </row>
    <row r="1715" spans="1:4" x14ac:dyDescent="0.2">
      <c r="A1715">
        <v>2023</v>
      </c>
      <c r="B1715" s="1" t="s">
        <v>152</v>
      </c>
      <c r="C1715" s="7">
        <v>1253320</v>
      </c>
      <c r="D1715" s="5">
        <v>5.1388400000000004E-4</v>
      </c>
    </row>
    <row r="1716" spans="1:4" x14ac:dyDescent="0.2">
      <c r="A1716">
        <v>2023</v>
      </c>
      <c r="B1716" s="1" t="s">
        <v>230</v>
      </c>
      <c r="C1716" s="7">
        <v>3660065</v>
      </c>
      <c r="D1716" s="5">
        <v>1.500693E-3</v>
      </c>
    </row>
    <row r="1717" spans="1:4" x14ac:dyDescent="0.2">
      <c r="A1717">
        <v>2023</v>
      </c>
      <c r="B1717" s="1" t="s">
        <v>154</v>
      </c>
      <c r="C1717" s="7">
        <v>824664</v>
      </c>
      <c r="D1717" s="5">
        <v>3.3812700000000002E-4</v>
      </c>
    </row>
    <row r="1718" spans="1:4" x14ac:dyDescent="0.2">
      <c r="A1718">
        <v>2023</v>
      </c>
      <c r="B1718" s="1" t="s">
        <v>155</v>
      </c>
      <c r="C1718" s="7">
        <v>102858</v>
      </c>
      <c r="D1718" s="5">
        <v>4.2174E-5</v>
      </c>
    </row>
    <row r="1719" spans="1:4" x14ac:dyDescent="0.2">
      <c r="A1719">
        <v>2023</v>
      </c>
      <c r="B1719" s="1" t="s">
        <v>156</v>
      </c>
      <c r="C1719" s="7">
        <v>861434</v>
      </c>
      <c r="D1719" s="5">
        <v>3.5320300000000001E-4</v>
      </c>
    </row>
    <row r="1720" spans="1:4" x14ac:dyDescent="0.2">
      <c r="A1720">
        <v>2023</v>
      </c>
      <c r="B1720" s="1" t="s">
        <v>240</v>
      </c>
      <c r="C1720" s="7">
        <v>308781</v>
      </c>
      <c r="D1720" s="5">
        <v>1.26606E-4</v>
      </c>
    </row>
    <row r="1721" spans="1:4" x14ac:dyDescent="0.2">
      <c r="A1721">
        <v>2023</v>
      </c>
      <c r="B1721" s="1" t="s">
        <v>157</v>
      </c>
      <c r="C1721" s="7">
        <v>14418</v>
      </c>
      <c r="D1721" s="5">
        <v>5.9120000000000003E-6</v>
      </c>
    </row>
    <row r="1722" spans="1:4" x14ac:dyDescent="0.2">
      <c r="A1722">
        <v>2023</v>
      </c>
      <c r="B1722" s="1" t="s">
        <v>158</v>
      </c>
      <c r="C1722" s="7">
        <v>458110</v>
      </c>
      <c r="D1722" s="5">
        <v>1.8783299999999999E-4</v>
      </c>
    </row>
    <row r="1723" spans="1:4" x14ac:dyDescent="0.2">
      <c r="A1723">
        <v>2023</v>
      </c>
      <c r="B1723" s="1" t="s">
        <v>159</v>
      </c>
      <c r="C1723" s="7">
        <v>123747</v>
      </c>
      <c r="D1723" s="5">
        <v>5.0738000000000001E-5</v>
      </c>
    </row>
    <row r="1724" spans="1:4" x14ac:dyDescent="0.2">
      <c r="A1724">
        <v>2023</v>
      </c>
      <c r="B1724" s="1" t="s">
        <v>160</v>
      </c>
      <c r="C1724" s="7">
        <v>287520</v>
      </c>
      <c r="D1724" s="5">
        <v>1.1788799999999999E-4</v>
      </c>
    </row>
    <row r="1725" spans="1:4" x14ac:dyDescent="0.2">
      <c r="A1725">
        <v>2023</v>
      </c>
      <c r="B1725" s="1" t="s">
        <v>161</v>
      </c>
      <c r="C1725" s="7">
        <v>665744</v>
      </c>
      <c r="D1725" s="5">
        <v>2.7296699999999999E-4</v>
      </c>
    </row>
    <row r="1726" spans="1:4" x14ac:dyDescent="0.2">
      <c r="A1726">
        <v>2023</v>
      </c>
      <c r="B1726" s="1" t="s">
        <v>162</v>
      </c>
      <c r="C1726" s="7">
        <v>1855536</v>
      </c>
      <c r="D1726" s="5">
        <v>7.60803E-4</v>
      </c>
    </row>
    <row r="1727" spans="1:4" x14ac:dyDescent="0.2">
      <c r="A1727">
        <v>2023</v>
      </c>
      <c r="B1727" s="1" t="s">
        <v>163</v>
      </c>
      <c r="C1727" s="7">
        <v>3585106</v>
      </c>
      <c r="D1727" s="5">
        <v>1.4699579999999999E-3</v>
      </c>
    </row>
    <row r="1728" spans="1:4" x14ac:dyDescent="0.2">
      <c r="A1728">
        <v>2023</v>
      </c>
      <c r="B1728" s="1" t="s">
        <v>164</v>
      </c>
      <c r="C1728" s="7">
        <v>36073</v>
      </c>
      <c r="D1728" s="5">
        <v>1.4790000000000001E-5</v>
      </c>
    </row>
    <row r="1729" spans="1:4" x14ac:dyDescent="0.2">
      <c r="A1729">
        <v>2023</v>
      </c>
      <c r="B1729" s="1" t="s">
        <v>165</v>
      </c>
      <c r="C1729" s="7">
        <v>112702</v>
      </c>
      <c r="D1729" s="5">
        <v>4.621E-5</v>
      </c>
    </row>
    <row r="1730" spans="1:4" x14ac:dyDescent="0.2">
      <c r="A1730">
        <v>2023</v>
      </c>
      <c r="B1730" s="1" t="s">
        <v>166</v>
      </c>
      <c r="C1730" s="7" t="s">
        <v>6</v>
      </c>
      <c r="D1730" s="5">
        <v>0</v>
      </c>
    </row>
    <row r="1731" spans="1:4" x14ac:dyDescent="0.2">
      <c r="A1731">
        <v>2023</v>
      </c>
      <c r="B1731" s="1" t="s">
        <v>167</v>
      </c>
      <c r="C1731" s="7">
        <v>66096</v>
      </c>
      <c r="D1731" s="5">
        <v>2.7101E-5</v>
      </c>
    </row>
    <row r="1732" spans="1:4" x14ac:dyDescent="0.2">
      <c r="A1732">
        <v>2023</v>
      </c>
      <c r="B1732" s="1" t="s">
        <v>237</v>
      </c>
      <c r="C1732" s="7">
        <v>189892</v>
      </c>
      <c r="D1732" s="5">
        <v>7.7859000000000001E-5</v>
      </c>
    </row>
    <row r="1733" spans="1:4" x14ac:dyDescent="0.2">
      <c r="A1733">
        <v>2023</v>
      </c>
      <c r="B1733" s="1" t="s">
        <v>168</v>
      </c>
      <c r="C1733" s="7">
        <v>59405</v>
      </c>
      <c r="D1733" s="5">
        <v>2.4357000000000001E-5</v>
      </c>
    </row>
    <row r="1734" spans="1:4" x14ac:dyDescent="0.2">
      <c r="A1734">
        <v>2023</v>
      </c>
      <c r="B1734" s="1" t="s">
        <v>235</v>
      </c>
      <c r="C1734" s="7">
        <v>94601</v>
      </c>
      <c r="D1734" s="5">
        <v>3.8788000000000002E-5</v>
      </c>
    </row>
    <row r="1735" spans="1:4" x14ac:dyDescent="0.2">
      <c r="A1735">
        <v>2023</v>
      </c>
      <c r="B1735" s="1" t="s">
        <v>169</v>
      </c>
      <c r="C1735" s="7">
        <v>836215</v>
      </c>
      <c r="D1735" s="5">
        <v>3.42863E-4</v>
      </c>
    </row>
    <row r="1736" spans="1:4" x14ac:dyDescent="0.2">
      <c r="A1736">
        <v>2023</v>
      </c>
      <c r="B1736" s="1" t="s">
        <v>170</v>
      </c>
      <c r="C1736" s="8">
        <v>1495670</v>
      </c>
      <c r="D1736" s="5">
        <v>6.1325099999999999E-4</v>
      </c>
    </row>
    <row r="1737" spans="1:4" x14ac:dyDescent="0.2">
      <c r="A1737">
        <v>2023</v>
      </c>
      <c r="B1737" s="1" t="s">
        <v>241</v>
      </c>
      <c r="C1737" s="7">
        <v>742139</v>
      </c>
      <c r="D1737" s="5">
        <v>3.0429099999999999E-4</v>
      </c>
    </row>
    <row r="1738" spans="1:4" x14ac:dyDescent="0.2">
      <c r="A1738">
        <v>2023</v>
      </c>
      <c r="B1738" s="1" t="s">
        <v>171</v>
      </c>
      <c r="C1738" s="7">
        <v>26691</v>
      </c>
      <c r="D1738" s="5">
        <v>1.0944000000000001E-5</v>
      </c>
    </row>
    <row r="1739" spans="1:4" x14ac:dyDescent="0.2">
      <c r="A1739">
        <v>2023</v>
      </c>
      <c r="B1739" s="1" t="s">
        <v>172</v>
      </c>
      <c r="C1739" s="7">
        <v>613986</v>
      </c>
      <c r="D1739" s="5">
        <v>2.51745E-4</v>
      </c>
    </row>
    <row r="1740" spans="1:4" x14ac:dyDescent="0.2">
      <c r="A1740">
        <v>2023</v>
      </c>
      <c r="B1740" s="1" t="s">
        <v>173</v>
      </c>
      <c r="C1740" s="7">
        <v>128460</v>
      </c>
      <c r="D1740" s="5">
        <v>5.2670999999999998E-5</v>
      </c>
    </row>
    <row r="1741" spans="1:4" x14ac:dyDescent="0.2">
      <c r="A1741">
        <v>2023</v>
      </c>
      <c r="B1741" s="1" t="s">
        <v>174</v>
      </c>
      <c r="C1741" s="7">
        <v>196245</v>
      </c>
      <c r="D1741" s="5">
        <v>8.0463999999999994E-5</v>
      </c>
    </row>
    <row r="1742" spans="1:4" x14ac:dyDescent="0.2">
      <c r="A1742">
        <v>2023</v>
      </c>
      <c r="B1742" s="1" t="s">
        <v>175</v>
      </c>
      <c r="C1742" s="7">
        <v>407035</v>
      </c>
      <c r="D1742" s="5">
        <v>1.66892E-4</v>
      </c>
    </row>
    <row r="1743" spans="1:4" x14ac:dyDescent="0.2">
      <c r="A1743">
        <v>2023</v>
      </c>
      <c r="B1743" s="1" t="s">
        <v>176</v>
      </c>
      <c r="C1743" s="7">
        <v>417290</v>
      </c>
      <c r="D1743" s="5">
        <v>1.7109699999999999E-4</v>
      </c>
    </row>
    <row r="1744" spans="1:4" x14ac:dyDescent="0.2">
      <c r="A1744">
        <v>2023</v>
      </c>
      <c r="B1744" s="1" t="s">
        <v>177</v>
      </c>
      <c r="C1744" s="7">
        <v>54256</v>
      </c>
      <c r="D1744" s="5">
        <v>2.2246E-5</v>
      </c>
    </row>
    <row r="1745" spans="1:4" x14ac:dyDescent="0.2">
      <c r="A1745">
        <v>2023</v>
      </c>
      <c r="B1745" s="1" t="s">
        <v>178</v>
      </c>
      <c r="C1745" s="7" t="s">
        <v>6</v>
      </c>
      <c r="D1745" s="5">
        <v>0</v>
      </c>
    </row>
    <row r="1746" spans="1:4" x14ac:dyDescent="0.2">
      <c r="A1746">
        <v>2023</v>
      </c>
      <c r="B1746" s="1" t="s">
        <v>179</v>
      </c>
      <c r="C1746" s="7" t="s">
        <v>6</v>
      </c>
      <c r="D1746" s="5">
        <v>0</v>
      </c>
    </row>
    <row r="1747" spans="1:4" x14ac:dyDescent="0.2">
      <c r="A1747">
        <v>2023</v>
      </c>
      <c r="B1747" s="1" t="s">
        <v>180</v>
      </c>
      <c r="C1747" s="7">
        <v>144214</v>
      </c>
      <c r="D1747" s="5">
        <v>5.9129999999999998E-5</v>
      </c>
    </row>
    <row r="1748" spans="1:4" x14ac:dyDescent="0.2">
      <c r="A1748">
        <v>2023</v>
      </c>
      <c r="B1748" s="1" t="s">
        <v>181</v>
      </c>
      <c r="C1748" s="7">
        <v>67409</v>
      </c>
      <c r="D1748" s="5">
        <v>2.7639000000000001E-5</v>
      </c>
    </row>
    <row r="1749" spans="1:4" x14ac:dyDescent="0.2">
      <c r="A1749">
        <v>2023</v>
      </c>
      <c r="B1749" s="1" t="s">
        <v>182</v>
      </c>
      <c r="C1749" s="7">
        <v>106550</v>
      </c>
      <c r="D1749" s="5">
        <v>4.3687999999999999E-5</v>
      </c>
    </row>
    <row r="1750" spans="1:4" x14ac:dyDescent="0.2">
      <c r="A1750">
        <v>2023</v>
      </c>
      <c r="B1750" s="1" t="s">
        <v>183</v>
      </c>
      <c r="C1750" s="7">
        <v>2569261</v>
      </c>
      <c r="D1750" s="5">
        <v>1.053443E-3</v>
      </c>
    </row>
    <row r="1751" spans="1:4" x14ac:dyDescent="0.2">
      <c r="A1751">
        <v>2023</v>
      </c>
      <c r="B1751" s="1" t="s">
        <v>184</v>
      </c>
      <c r="C1751" s="7" t="s">
        <v>6</v>
      </c>
      <c r="D1751" s="5">
        <v>0</v>
      </c>
    </row>
    <row r="1752" spans="1:4" x14ac:dyDescent="0.2">
      <c r="A1752">
        <v>2023</v>
      </c>
      <c r="B1752" s="1" t="s">
        <v>185</v>
      </c>
      <c r="C1752" s="7">
        <v>14907</v>
      </c>
      <c r="D1752" s="5">
        <v>6.1120000000000001E-6</v>
      </c>
    </row>
    <row r="1753" spans="1:4" x14ac:dyDescent="0.2">
      <c r="A1753">
        <v>2023</v>
      </c>
      <c r="B1753" s="1" t="s">
        <v>186</v>
      </c>
      <c r="C1753" s="7" t="s">
        <v>6</v>
      </c>
      <c r="D1753" s="5">
        <v>0</v>
      </c>
    </row>
    <row r="1754" spans="1:4" x14ac:dyDescent="0.2">
      <c r="A1754">
        <v>2023</v>
      </c>
      <c r="B1754" s="1" t="s">
        <v>187</v>
      </c>
      <c r="C1754" s="7" t="s">
        <v>6</v>
      </c>
      <c r="D1754" s="5">
        <v>0</v>
      </c>
    </row>
    <row r="1755" spans="1:4" x14ac:dyDescent="0.2">
      <c r="A1755">
        <v>2023</v>
      </c>
      <c r="B1755" s="1" t="s">
        <v>188</v>
      </c>
      <c r="C1755" s="7" t="s">
        <v>6</v>
      </c>
      <c r="D1755" s="5">
        <v>0</v>
      </c>
    </row>
    <row r="1756" spans="1:4" x14ac:dyDescent="0.2">
      <c r="A1756">
        <v>2023</v>
      </c>
      <c r="B1756" s="1" t="s">
        <v>189</v>
      </c>
      <c r="C1756" s="7" t="s">
        <v>6</v>
      </c>
      <c r="D1756" s="5">
        <v>0</v>
      </c>
    </row>
    <row r="1757" spans="1:4" x14ac:dyDescent="0.2">
      <c r="A1757">
        <v>2023</v>
      </c>
      <c r="B1757" s="1" t="s">
        <v>190</v>
      </c>
      <c r="C1757" s="7">
        <v>7505</v>
      </c>
      <c r="D1757" s="5">
        <v>3.0769999999999999E-6</v>
      </c>
    </row>
    <row r="1758" spans="1:4" x14ac:dyDescent="0.2">
      <c r="A1758">
        <v>2023</v>
      </c>
      <c r="B1758" s="1" t="s">
        <v>191</v>
      </c>
      <c r="C1758" s="7">
        <v>652243</v>
      </c>
      <c r="D1758" s="5">
        <v>2.6743200000000001E-4</v>
      </c>
    </row>
    <row r="1759" spans="1:4" x14ac:dyDescent="0.2">
      <c r="A1759">
        <v>2023</v>
      </c>
      <c r="B1759" s="1" t="s">
        <v>192</v>
      </c>
      <c r="C1759" s="7">
        <v>1103657</v>
      </c>
      <c r="D1759" s="5">
        <v>4.5251900000000002E-4</v>
      </c>
    </row>
    <row r="1760" spans="1:4" x14ac:dyDescent="0.2">
      <c r="A1760">
        <v>2023</v>
      </c>
      <c r="B1760" s="1" t="s">
        <v>193</v>
      </c>
      <c r="C1760" s="7" t="s">
        <v>6</v>
      </c>
      <c r="D1760" s="5">
        <v>0</v>
      </c>
    </row>
    <row r="1761" spans="1:4" x14ac:dyDescent="0.2">
      <c r="A1761">
        <v>2023</v>
      </c>
      <c r="B1761" s="1" t="s">
        <v>194</v>
      </c>
      <c r="C1761" s="7" t="s">
        <v>6</v>
      </c>
      <c r="D1761" s="5">
        <v>0</v>
      </c>
    </row>
    <row r="1762" spans="1:4" x14ac:dyDescent="0.2">
      <c r="A1762">
        <v>2023</v>
      </c>
      <c r="B1762" s="1" t="s">
        <v>195</v>
      </c>
      <c r="C1762" s="7">
        <v>1494624</v>
      </c>
      <c r="D1762" s="5">
        <v>6.1282299999999997E-4</v>
      </c>
    </row>
    <row r="1763" spans="1:4" x14ac:dyDescent="0.2">
      <c r="A1763">
        <v>2023</v>
      </c>
      <c r="B1763" s="1" t="s">
        <v>196</v>
      </c>
      <c r="C1763" s="7">
        <v>689669</v>
      </c>
      <c r="D1763" s="5">
        <v>2.8277700000000001E-4</v>
      </c>
    </row>
    <row r="1764" spans="1:4" x14ac:dyDescent="0.2">
      <c r="A1764">
        <v>2023</v>
      </c>
      <c r="B1764" s="1" t="s">
        <v>197</v>
      </c>
      <c r="C1764" s="7">
        <v>644793</v>
      </c>
      <c r="D1764" s="5">
        <v>2.6437699999999999E-4</v>
      </c>
    </row>
    <row r="1765" spans="1:4" x14ac:dyDescent="0.2">
      <c r="A1765">
        <v>2023</v>
      </c>
      <c r="B1765" s="1" t="s">
        <v>198</v>
      </c>
      <c r="C1765" s="7">
        <v>3102</v>
      </c>
      <c r="D1765" s="5">
        <v>1.2720000000000001E-6</v>
      </c>
    </row>
    <row r="1766" spans="1:4" x14ac:dyDescent="0.2">
      <c r="A1766">
        <v>2023</v>
      </c>
      <c r="B1766" s="1" t="s">
        <v>199</v>
      </c>
      <c r="C1766" s="7">
        <v>2116767</v>
      </c>
      <c r="D1766" s="5">
        <v>8.67913E-4</v>
      </c>
    </row>
    <row r="1767" spans="1:4" x14ac:dyDescent="0.2">
      <c r="A1767">
        <v>2023</v>
      </c>
      <c r="B1767" s="1" t="s">
        <v>200</v>
      </c>
      <c r="C1767" s="7" t="s">
        <v>6</v>
      </c>
      <c r="D1767" s="5">
        <v>0</v>
      </c>
    </row>
    <row r="1768" spans="1:4" x14ac:dyDescent="0.2">
      <c r="A1768">
        <v>2023</v>
      </c>
      <c r="B1768" s="1" t="s">
        <v>201</v>
      </c>
      <c r="C1768" s="7">
        <v>3950</v>
      </c>
      <c r="D1768" s="5">
        <v>1.6199999999999999E-6</v>
      </c>
    </row>
    <row r="1769" spans="1:4" x14ac:dyDescent="0.2">
      <c r="A1769">
        <v>2023</v>
      </c>
      <c r="B1769" s="1" t="s">
        <v>202</v>
      </c>
      <c r="C1769" s="7">
        <v>123896</v>
      </c>
      <c r="D1769" s="5">
        <v>5.0800000000000002E-5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Data</vt:lpstr>
      <vt:lpstr>Sheet1</vt:lpstr>
      <vt:lpstr>Almost Final Data</vt:lpstr>
      <vt:lpstr>Check</vt:lpstr>
      <vt:lpstr>Data as Collected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2025-02-20T18:34:14Z</dcterms:created>
  <dcterms:modified xsi:type="dcterms:W3CDTF">2025-02-27T00:23:27Z</dcterms:modified>
</cp:coreProperties>
</file>