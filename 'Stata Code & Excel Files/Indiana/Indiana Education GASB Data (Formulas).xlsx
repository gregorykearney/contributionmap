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ndiana/"/>
    </mc:Choice>
  </mc:AlternateContent>
  <xr:revisionPtr revIDLastSave="0" documentId="13_ncr:1_{BE978653-1303-3F4D-BBC6-395E7932C46F}" xr6:coauthVersionLast="47" xr6:coauthVersionMax="47" xr10:uidLastSave="{00000000-0000-0000-0000-000000000000}"/>
  <bookViews>
    <workbookView xWindow="-5520" yWindow="-21100" windowWidth="27740" windowHeight="21100" xr2:uid="{2C8910E2-8A20-354D-9F23-57CF39604A10}"/>
  </bookViews>
  <sheets>
    <sheet name="Summary" sheetId="17" r:id="rId1"/>
    <sheet name="GASB Data --&gt;" sheetId="20" r:id="rId2"/>
    <sheet name="Check w GASB 68 Reports" sheetId="2" r:id="rId3"/>
    <sheet name="NCES Data --&gt;" sheetId="18" r:id="rId4"/>
    <sheet name="LEAID Match" sheetId="19" r:id="rId5"/>
  </sheets>
  <definedNames>
    <definedName name="_xlnm._FilterDatabase" localSheetId="4" hidden="1">'LEAID Match'!$A$1:$C$1</definedName>
    <definedName name="_xlnm._FilterDatabase" localSheetId="0" hidden="1">Summary!$A$1:$Q$3691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9" l="1"/>
  <c r="C10" i="19"/>
  <c r="C11" i="19"/>
  <c r="C12" i="19"/>
  <c r="C13" i="19"/>
  <c r="C14" i="19"/>
  <c r="C15" i="19"/>
  <c r="C16" i="19"/>
  <c r="C17" i="19"/>
  <c r="C18" i="19"/>
  <c r="C7" i="19"/>
  <c r="C380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2" i="19"/>
  <c r="C3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379" i="19"/>
  <c r="C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5" i="19"/>
  <c r="C6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8" i="19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A685" i="17" s="1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A764" i="17" s="1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1002" i="17"/>
  <c r="P1003" i="17"/>
  <c r="P1004" i="17"/>
  <c r="P1005" i="17"/>
  <c r="P1006" i="17"/>
  <c r="P1007" i="17"/>
  <c r="P1008" i="17"/>
  <c r="P1009" i="17"/>
  <c r="P1010" i="17"/>
  <c r="P1011" i="17"/>
  <c r="P1012" i="17"/>
  <c r="P1013" i="17"/>
  <c r="P1014" i="17"/>
  <c r="P1015" i="17"/>
  <c r="P1016" i="17"/>
  <c r="P1017" i="17"/>
  <c r="P1018" i="17"/>
  <c r="P1019" i="17"/>
  <c r="P1020" i="17"/>
  <c r="P1021" i="17"/>
  <c r="P1022" i="17"/>
  <c r="P1023" i="17"/>
  <c r="P1024" i="17"/>
  <c r="P1025" i="17"/>
  <c r="P1026" i="17"/>
  <c r="P1027" i="17"/>
  <c r="P1028" i="17"/>
  <c r="P1029" i="17"/>
  <c r="P1030" i="17"/>
  <c r="P1031" i="17"/>
  <c r="P1032" i="17"/>
  <c r="P1033" i="17"/>
  <c r="P1034" i="17"/>
  <c r="P1035" i="17"/>
  <c r="P1036" i="17"/>
  <c r="P1037" i="17"/>
  <c r="P1038" i="17"/>
  <c r="P1039" i="17"/>
  <c r="P1040" i="17"/>
  <c r="P1041" i="17"/>
  <c r="P1042" i="17"/>
  <c r="P1043" i="17"/>
  <c r="P1044" i="17"/>
  <c r="P1045" i="17"/>
  <c r="P1046" i="17"/>
  <c r="P1047" i="17"/>
  <c r="P1048" i="17"/>
  <c r="P1049" i="17"/>
  <c r="P1050" i="17"/>
  <c r="P1051" i="17"/>
  <c r="P1052" i="17"/>
  <c r="P1053" i="17"/>
  <c r="P1054" i="17"/>
  <c r="P1055" i="17"/>
  <c r="P1056" i="17"/>
  <c r="P1057" i="17"/>
  <c r="P1058" i="17"/>
  <c r="P1059" i="17"/>
  <c r="P1060" i="17"/>
  <c r="P1061" i="17"/>
  <c r="P1062" i="17"/>
  <c r="P1063" i="17"/>
  <c r="P1064" i="17"/>
  <c r="P1065" i="17"/>
  <c r="P1066" i="17"/>
  <c r="P1067" i="17"/>
  <c r="P1068" i="17"/>
  <c r="P1069" i="17"/>
  <c r="P1070" i="17"/>
  <c r="P1071" i="17"/>
  <c r="P1072" i="17"/>
  <c r="P1073" i="17"/>
  <c r="P1074" i="17"/>
  <c r="P1075" i="17"/>
  <c r="P1076" i="17"/>
  <c r="P1077" i="17"/>
  <c r="P1078" i="17"/>
  <c r="P1079" i="17"/>
  <c r="P1080" i="17"/>
  <c r="P1081" i="17"/>
  <c r="P1082" i="17"/>
  <c r="P1083" i="17"/>
  <c r="P1084" i="17"/>
  <c r="P1085" i="17"/>
  <c r="P1086" i="17"/>
  <c r="P1087" i="17"/>
  <c r="P1088" i="17"/>
  <c r="P1089" i="17"/>
  <c r="P1090" i="17"/>
  <c r="P1091" i="17"/>
  <c r="P1092" i="17"/>
  <c r="P1093" i="17"/>
  <c r="P1094" i="17"/>
  <c r="P1095" i="17"/>
  <c r="P1096" i="17"/>
  <c r="P1097" i="17"/>
  <c r="P1098" i="17"/>
  <c r="P1099" i="17"/>
  <c r="P1100" i="17"/>
  <c r="P1101" i="17"/>
  <c r="P1102" i="17"/>
  <c r="P1103" i="17"/>
  <c r="P1104" i="17"/>
  <c r="P1105" i="17"/>
  <c r="P1106" i="17"/>
  <c r="P1107" i="17"/>
  <c r="P1108" i="17"/>
  <c r="P1109" i="17"/>
  <c r="P1110" i="17"/>
  <c r="P1111" i="17"/>
  <c r="P1112" i="17"/>
  <c r="P1113" i="17"/>
  <c r="P1114" i="17"/>
  <c r="P1115" i="17"/>
  <c r="P1116" i="17"/>
  <c r="P1117" i="17"/>
  <c r="P1118" i="17"/>
  <c r="P1119" i="17"/>
  <c r="P1120" i="17"/>
  <c r="P1121" i="17"/>
  <c r="P1122" i="17"/>
  <c r="P1123" i="17"/>
  <c r="P1124" i="17"/>
  <c r="P1125" i="17"/>
  <c r="P1126" i="17"/>
  <c r="P1127" i="17"/>
  <c r="P1128" i="17"/>
  <c r="P1129" i="17"/>
  <c r="P1130" i="17"/>
  <c r="P1131" i="17"/>
  <c r="P1132" i="17"/>
  <c r="P1133" i="17"/>
  <c r="P1134" i="17"/>
  <c r="P1135" i="17"/>
  <c r="P1136" i="17"/>
  <c r="P1137" i="17"/>
  <c r="P1138" i="17"/>
  <c r="P1139" i="17"/>
  <c r="P1140" i="17"/>
  <c r="P1141" i="17"/>
  <c r="P1142" i="17"/>
  <c r="P1143" i="17"/>
  <c r="P1144" i="17"/>
  <c r="P1145" i="17"/>
  <c r="P1146" i="17"/>
  <c r="P1147" i="17"/>
  <c r="P1148" i="17"/>
  <c r="P1149" i="17"/>
  <c r="P1150" i="17"/>
  <c r="P1151" i="17"/>
  <c r="P1152" i="17"/>
  <c r="P1153" i="17"/>
  <c r="P1154" i="17"/>
  <c r="P1155" i="17"/>
  <c r="P1156" i="17"/>
  <c r="P1157" i="17"/>
  <c r="P1158" i="17"/>
  <c r="P1159" i="17"/>
  <c r="P1160" i="17"/>
  <c r="P1161" i="17"/>
  <c r="P1162" i="17"/>
  <c r="P1163" i="17"/>
  <c r="P1164" i="17"/>
  <c r="P1165" i="17"/>
  <c r="P1166" i="17"/>
  <c r="P1167" i="17"/>
  <c r="P1168" i="17"/>
  <c r="P1169" i="17"/>
  <c r="P1170" i="17"/>
  <c r="P1171" i="17"/>
  <c r="P1172" i="17"/>
  <c r="P1173" i="17"/>
  <c r="P1174" i="17"/>
  <c r="P1175" i="17"/>
  <c r="P1176" i="17"/>
  <c r="P1177" i="17"/>
  <c r="P1178" i="17"/>
  <c r="P1179" i="17"/>
  <c r="P1180" i="17"/>
  <c r="P1181" i="17"/>
  <c r="P1182" i="17"/>
  <c r="P1183" i="17"/>
  <c r="P1184" i="17"/>
  <c r="P1185" i="17"/>
  <c r="P1186" i="17"/>
  <c r="P1187" i="17"/>
  <c r="P1188" i="17"/>
  <c r="P1189" i="17"/>
  <c r="P1190" i="17"/>
  <c r="P1191" i="17"/>
  <c r="P1192" i="17"/>
  <c r="P1193" i="17"/>
  <c r="P1194" i="17"/>
  <c r="P1195" i="17"/>
  <c r="P1196" i="17"/>
  <c r="P1197" i="17"/>
  <c r="P1198" i="17"/>
  <c r="P1199" i="17"/>
  <c r="P1200" i="17"/>
  <c r="P1201" i="17"/>
  <c r="P1202" i="17"/>
  <c r="P1203" i="17"/>
  <c r="P1204" i="17"/>
  <c r="P1205" i="17"/>
  <c r="P1206" i="17"/>
  <c r="P1207" i="17"/>
  <c r="P1208" i="17"/>
  <c r="P1209" i="17"/>
  <c r="P1210" i="17"/>
  <c r="P1211" i="17"/>
  <c r="P1212" i="17"/>
  <c r="P1213" i="17"/>
  <c r="P1214" i="17"/>
  <c r="P1215" i="17"/>
  <c r="P1216" i="17"/>
  <c r="P1217" i="17"/>
  <c r="P1218" i="17"/>
  <c r="P1219" i="17"/>
  <c r="P1220" i="17"/>
  <c r="P1221" i="17"/>
  <c r="P1222" i="17"/>
  <c r="P1223" i="17"/>
  <c r="P1224" i="17"/>
  <c r="P1225" i="17"/>
  <c r="P1226" i="17"/>
  <c r="P1227" i="17"/>
  <c r="P1228" i="17"/>
  <c r="P1229" i="17"/>
  <c r="P1230" i="17"/>
  <c r="P1231" i="17"/>
  <c r="P1232" i="17"/>
  <c r="P1233" i="17"/>
  <c r="P1234" i="17"/>
  <c r="P1235" i="17"/>
  <c r="P1236" i="17"/>
  <c r="P1237" i="17"/>
  <c r="P1238" i="17"/>
  <c r="P1239" i="17"/>
  <c r="P1240" i="17"/>
  <c r="P1241" i="17"/>
  <c r="P1242" i="17"/>
  <c r="P1243" i="17"/>
  <c r="P1244" i="17"/>
  <c r="P1245" i="17"/>
  <c r="P1246" i="17"/>
  <c r="P1247" i="17"/>
  <c r="P1248" i="17"/>
  <c r="P1249" i="17"/>
  <c r="P1250" i="17"/>
  <c r="P1251" i="17"/>
  <c r="P1252" i="17"/>
  <c r="P1253" i="17"/>
  <c r="P1254" i="17"/>
  <c r="P1255" i="17"/>
  <c r="P1256" i="17"/>
  <c r="P1257" i="17"/>
  <c r="P1258" i="17"/>
  <c r="P1259" i="17"/>
  <c r="P1260" i="17"/>
  <c r="P1261" i="17"/>
  <c r="P1262" i="17"/>
  <c r="P1263" i="17"/>
  <c r="P1264" i="17"/>
  <c r="P1265" i="17"/>
  <c r="P1266" i="17"/>
  <c r="P1267" i="17"/>
  <c r="P1268" i="17"/>
  <c r="P1269" i="17"/>
  <c r="P1270" i="17"/>
  <c r="P1271" i="17"/>
  <c r="P1272" i="17"/>
  <c r="P1273" i="17"/>
  <c r="P1274" i="17"/>
  <c r="P1275" i="17"/>
  <c r="P1276" i="17"/>
  <c r="P1277" i="17"/>
  <c r="P1278" i="17"/>
  <c r="P1279" i="17"/>
  <c r="P1280" i="17"/>
  <c r="P1281" i="17"/>
  <c r="P1282" i="17"/>
  <c r="P1283" i="17"/>
  <c r="P1284" i="17"/>
  <c r="P1285" i="17"/>
  <c r="P1286" i="17"/>
  <c r="P1287" i="17"/>
  <c r="P1288" i="17"/>
  <c r="P1289" i="17"/>
  <c r="P1290" i="17"/>
  <c r="P1291" i="17"/>
  <c r="P1292" i="17"/>
  <c r="P1293" i="17"/>
  <c r="P1294" i="17"/>
  <c r="P1295" i="17"/>
  <c r="P1296" i="17"/>
  <c r="P1297" i="17"/>
  <c r="P1298" i="17"/>
  <c r="P1299" i="17"/>
  <c r="P1300" i="17"/>
  <c r="P1301" i="17"/>
  <c r="P1302" i="17"/>
  <c r="P1303" i="17"/>
  <c r="P1304" i="17"/>
  <c r="P1305" i="17"/>
  <c r="P1306" i="17"/>
  <c r="P1307" i="17"/>
  <c r="P1308" i="17"/>
  <c r="A1308" i="17" s="1"/>
  <c r="P1309" i="17"/>
  <c r="P1310" i="17"/>
  <c r="P1311" i="17"/>
  <c r="P1312" i="17"/>
  <c r="P1313" i="17"/>
  <c r="P1314" i="17"/>
  <c r="P1315" i="17"/>
  <c r="P1316" i="17"/>
  <c r="P1317" i="17"/>
  <c r="P1318" i="17"/>
  <c r="P1319" i="17"/>
  <c r="P1320" i="17"/>
  <c r="P1321" i="17"/>
  <c r="P1322" i="17"/>
  <c r="P1323" i="17"/>
  <c r="P1324" i="17"/>
  <c r="P1325" i="17"/>
  <c r="P1326" i="17"/>
  <c r="P1327" i="17"/>
  <c r="P1328" i="17"/>
  <c r="P1329" i="17"/>
  <c r="P1330" i="17"/>
  <c r="P1331" i="17"/>
  <c r="P1332" i="17"/>
  <c r="P1333" i="17"/>
  <c r="P1334" i="17"/>
  <c r="P1335" i="17"/>
  <c r="P1336" i="17"/>
  <c r="P1337" i="17"/>
  <c r="P1338" i="17"/>
  <c r="P1339" i="17"/>
  <c r="P1340" i="17"/>
  <c r="P1341" i="17"/>
  <c r="P1342" i="17"/>
  <c r="P1343" i="17"/>
  <c r="P1344" i="17"/>
  <c r="P1345" i="17"/>
  <c r="P1346" i="17"/>
  <c r="P1347" i="17"/>
  <c r="P1348" i="17"/>
  <c r="P1349" i="17"/>
  <c r="P1350" i="17"/>
  <c r="P1351" i="17"/>
  <c r="P1352" i="17"/>
  <c r="P1353" i="17"/>
  <c r="P1354" i="17"/>
  <c r="P1355" i="17"/>
  <c r="P1356" i="17"/>
  <c r="P1357" i="17"/>
  <c r="P1358" i="17"/>
  <c r="P1359" i="17"/>
  <c r="P1360" i="17"/>
  <c r="P1361" i="17"/>
  <c r="P1362" i="17"/>
  <c r="P1363" i="17"/>
  <c r="P1364" i="17"/>
  <c r="P1365" i="17"/>
  <c r="P1366" i="17"/>
  <c r="P1367" i="17"/>
  <c r="P1368" i="17"/>
  <c r="P1369" i="17"/>
  <c r="P1370" i="17"/>
  <c r="P1371" i="17"/>
  <c r="P1372" i="17"/>
  <c r="P1373" i="17"/>
  <c r="P1374" i="17"/>
  <c r="P1375" i="17"/>
  <c r="P1376" i="17"/>
  <c r="P1377" i="17"/>
  <c r="P1378" i="17"/>
  <c r="P1379" i="17"/>
  <c r="P1380" i="17"/>
  <c r="P1381" i="17"/>
  <c r="P1382" i="17"/>
  <c r="P1383" i="17"/>
  <c r="P1384" i="17"/>
  <c r="P1385" i="17"/>
  <c r="P1386" i="17"/>
  <c r="P1387" i="17"/>
  <c r="P1388" i="17"/>
  <c r="P1389" i="17"/>
  <c r="P1390" i="17"/>
  <c r="P1391" i="17"/>
  <c r="P1392" i="17"/>
  <c r="P1393" i="17"/>
  <c r="P1394" i="17"/>
  <c r="P1395" i="17"/>
  <c r="P1396" i="17"/>
  <c r="P1397" i="17"/>
  <c r="P1398" i="17"/>
  <c r="P1399" i="17"/>
  <c r="P1400" i="17"/>
  <c r="P1401" i="17"/>
  <c r="P1402" i="17"/>
  <c r="P1403" i="17"/>
  <c r="P1404" i="17"/>
  <c r="P1405" i="17"/>
  <c r="P1406" i="17"/>
  <c r="P1407" i="17"/>
  <c r="P1408" i="17"/>
  <c r="P1409" i="17"/>
  <c r="A1409" i="17" s="1"/>
  <c r="P1410" i="17"/>
  <c r="P1411" i="17"/>
  <c r="P1412" i="17"/>
  <c r="P1413" i="17"/>
  <c r="P1414" i="17"/>
  <c r="P1415" i="17"/>
  <c r="P1416" i="17"/>
  <c r="P1417" i="17"/>
  <c r="P1418" i="17"/>
  <c r="P1419" i="17"/>
  <c r="P1420" i="17"/>
  <c r="P1421" i="17"/>
  <c r="P1422" i="17"/>
  <c r="P1423" i="17"/>
  <c r="P1424" i="17"/>
  <c r="P1425" i="17"/>
  <c r="P1426" i="17"/>
  <c r="P1427" i="17"/>
  <c r="P1428" i="17"/>
  <c r="P1429" i="17"/>
  <c r="P1430" i="17"/>
  <c r="P1431" i="17"/>
  <c r="P1432" i="17"/>
  <c r="P1433" i="17"/>
  <c r="P1434" i="17"/>
  <c r="P1435" i="17"/>
  <c r="P1436" i="17"/>
  <c r="P1437" i="17"/>
  <c r="P1438" i="17"/>
  <c r="P1439" i="17"/>
  <c r="P1440" i="17"/>
  <c r="P1441" i="17"/>
  <c r="P1442" i="17"/>
  <c r="P1443" i="17"/>
  <c r="P1444" i="17"/>
  <c r="P1445" i="17"/>
  <c r="P1446" i="17"/>
  <c r="P1447" i="17"/>
  <c r="P1448" i="17"/>
  <c r="P1449" i="17"/>
  <c r="P1450" i="17"/>
  <c r="P1451" i="17"/>
  <c r="P1452" i="17"/>
  <c r="P1453" i="17"/>
  <c r="P1454" i="17"/>
  <c r="P1455" i="17"/>
  <c r="P1456" i="17"/>
  <c r="P1457" i="17"/>
  <c r="P1458" i="17"/>
  <c r="P1459" i="17"/>
  <c r="P1460" i="17"/>
  <c r="P1461" i="17"/>
  <c r="P1462" i="17"/>
  <c r="P1463" i="17"/>
  <c r="P1464" i="17"/>
  <c r="P1465" i="17"/>
  <c r="P1466" i="17"/>
  <c r="P1467" i="17"/>
  <c r="A1467" i="17" s="1"/>
  <c r="P1468" i="17"/>
  <c r="P1469" i="17"/>
  <c r="P1470" i="17"/>
  <c r="P1471" i="17"/>
  <c r="P1472" i="17"/>
  <c r="P1473" i="17"/>
  <c r="P1474" i="17"/>
  <c r="P1475" i="17"/>
  <c r="P1476" i="17"/>
  <c r="P1477" i="17"/>
  <c r="P1478" i="17"/>
  <c r="P1479" i="17"/>
  <c r="P1480" i="17"/>
  <c r="P1481" i="17"/>
  <c r="P1482" i="17"/>
  <c r="P1483" i="17"/>
  <c r="P1484" i="17"/>
  <c r="P1485" i="17"/>
  <c r="P1486" i="17"/>
  <c r="P1487" i="17"/>
  <c r="P1488" i="17"/>
  <c r="P1489" i="17"/>
  <c r="P1490" i="17"/>
  <c r="P1491" i="17"/>
  <c r="P1492" i="17"/>
  <c r="P1493" i="17"/>
  <c r="P1494" i="17"/>
  <c r="P1495" i="17"/>
  <c r="P1496" i="17"/>
  <c r="P1497" i="17"/>
  <c r="P1498" i="17"/>
  <c r="P1499" i="17"/>
  <c r="P1500" i="17"/>
  <c r="P1501" i="17"/>
  <c r="P1502" i="17"/>
  <c r="P1503" i="17"/>
  <c r="P1504" i="17"/>
  <c r="P1505" i="17"/>
  <c r="P1506" i="17"/>
  <c r="P1507" i="17"/>
  <c r="P1508" i="17"/>
  <c r="P1509" i="17"/>
  <c r="P1510" i="17"/>
  <c r="P1511" i="17"/>
  <c r="P1512" i="17"/>
  <c r="P1513" i="17"/>
  <c r="P1514" i="17"/>
  <c r="P1515" i="17"/>
  <c r="P1516" i="17"/>
  <c r="P1517" i="17"/>
  <c r="P1518" i="17"/>
  <c r="P1519" i="17"/>
  <c r="P1520" i="17"/>
  <c r="P1521" i="17"/>
  <c r="A1521" i="17" s="1"/>
  <c r="P1522" i="17"/>
  <c r="P1523" i="17"/>
  <c r="P1524" i="17"/>
  <c r="P1525" i="17"/>
  <c r="P1526" i="17"/>
  <c r="P1527" i="17"/>
  <c r="P1528" i="17"/>
  <c r="P1529" i="17"/>
  <c r="P1530" i="17"/>
  <c r="P1531" i="17"/>
  <c r="A1531" i="17" s="1"/>
  <c r="P1532" i="17"/>
  <c r="P1533" i="17"/>
  <c r="P1534" i="17"/>
  <c r="P1535" i="17"/>
  <c r="P1536" i="17"/>
  <c r="P1537" i="17"/>
  <c r="P1538" i="17"/>
  <c r="P1539" i="17"/>
  <c r="P1540" i="17"/>
  <c r="P1541" i="17"/>
  <c r="P1542" i="17"/>
  <c r="P1543" i="17"/>
  <c r="P1544" i="17"/>
  <c r="P1545" i="17"/>
  <c r="P1546" i="17"/>
  <c r="P1547" i="17"/>
  <c r="P1548" i="17"/>
  <c r="P1549" i="17"/>
  <c r="P1550" i="17"/>
  <c r="P1551" i="17"/>
  <c r="P1552" i="17"/>
  <c r="P1553" i="17"/>
  <c r="P1554" i="17"/>
  <c r="P1555" i="17"/>
  <c r="P1556" i="17"/>
  <c r="P1557" i="17"/>
  <c r="P1558" i="17"/>
  <c r="P1559" i="17"/>
  <c r="P1560" i="17"/>
  <c r="P1561" i="17"/>
  <c r="P1562" i="17"/>
  <c r="P1563" i="17"/>
  <c r="P2563" i="17"/>
  <c r="P2564" i="17"/>
  <c r="P2565" i="17"/>
  <c r="P2566" i="17"/>
  <c r="P2567" i="17"/>
  <c r="P2568" i="17"/>
  <c r="P3219" i="17"/>
  <c r="P3220" i="17"/>
  <c r="P3485" i="17"/>
  <c r="P1573" i="17"/>
  <c r="P1574" i="17"/>
  <c r="P1575" i="17"/>
  <c r="P1576" i="17"/>
  <c r="P1577" i="17"/>
  <c r="P1578" i="17"/>
  <c r="P1579" i="17"/>
  <c r="A1579" i="17" s="1"/>
  <c r="P1580" i="17"/>
  <c r="P1581" i="17"/>
  <c r="P1582" i="17"/>
  <c r="P1583" i="17"/>
  <c r="P1584" i="17"/>
  <c r="P1585" i="17"/>
  <c r="P1586" i="17"/>
  <c r="P1587" i="17"/>
  <c r="P1588" i="17"/>
  <c r="A1588" i="17" s="1"/>
  <c r="P1589" i="17"/>
  <c r="P1590" i="17"/>
  <c r="P1591" i="17"/>
  <c r="P1592" i="17"/>
  <c r="P1593" i="17"/>
  <c r="P1594" i="17"/>
  <c r="P1595" i="17"/>
  <c r="P1596" i="17"/>
  <c r="P1597" i="17"/>
  <c r="P1598" i="17"/>
  <c r="P1599" i="17"/>
  <c r="P1600" i="17"/>
  <c r="P1601" i="17"/>
  <c r="P1602" i="17"/>
  <c r="P1603" i="17"/>
  <c r="P1604" i="17"/>
  <c r="P1605" i="17"/>
  <c r="P1606" i="17"/>
  <c r="P1607" i="17"/>
  <c r="P1608" i="17"/>
  <c r="P1609" i="17"/>
  <c r="P1610" i="17"/>
  <c r="P1611" i="17"/>
  <c r="P1612" i="17"/>
  <c r="P1613" i="17"/>
  <c r="P1614" i="17"/>
  <c r="P1615" i="17"/>
  <c r="P1616" i="17"/>
  <c r="P1617" i="17"/>
  <c r="P1618" i="17"/>
  <c r="P1619" i="17"/>
  <c r="P1620" i="17"/>
  <c r="P1621" i="17"/>
  <c r="P1622" i="17"/>
  <c r="P1623" i="17"/>
  <c r="P1624" i="17"/>
  <c r="P1625" i="17"/>
  <c r="P1626" i="17"/>
  <c r="P1627" i="17"/>
  <c r="P1628" i="17"/>
  <c r="P1629" i="17"/>
  <c r="P1630" i="17"/>
  <c r="P1631" i="17"/>
  <c r="P1632" i="17"/>
  <c r="P1633" i="17"/>
  <c r="A1633" i="17" s="1"/>
  <c r="P1634" i="17"/>
  <c r="P1635" i="17"/>
  <c r="P1636" i="17"/>
  <c r="P1637" i="17"/>
  <c r="P1638" i="17"/>
  <c r="P1639" i="17"/>
  <c r="P1640" i="17"/>
  <c r="P1641" i="17"/>
  <c r="P1642" i="17"/>
  <c r="A1642" i="17" s="1"/>
  <c r="P1643" i="17"/>
  <c r="P1644" i="17"/>
  <c r="P1645" i="17"/>
  <c r="P1646" i="17"/>
  <c r="P1647" i="17"/>
  <c r="P1648" i="17"/>
  <c r="P1649" i="17"/>
  <c r="P1650" i="17"/>
  <c r="P1651" i="17"/>
  <c r="P1652" i="17"/>
  <c r="P1653" i="17"/>
  <c r="P1654" i="17"/>
  <c r="P1655" i="17"/>
  <c r="P1656" i="17"/>
  <c r="P1657" i="17"/>
  <c r="P1658" i="17"/>
  <c r="P1659" i="17"/>
  <c r="P1660" i="17"/>
  <c r="P1661" i="17"/>
  <c r="P1662" i="17"/>
  <c r="P1663" i="17"/>
  <c r="P1664" i="17"/>
  <c r="P1665" i="17"/>
  <c r="P1666" i="17"/>
  <c r="P1667" i="17"/>
  <c r="P1668" i="17"/>
  <c r="P1669" i="17"/>
  <c r="P1670" i="17"/>
  <c r="P1671" i="17"/>
  <c r="P1672" i="17"/>
  <c r="P1673" i="17"/>
  <c r="P1674" i="17"/>
  <c r="P1675" i="17"/>
  <c r="P1676" i="17"/>
  <c r="P1677" i="17"/>
  <c r="P1678" i="17"/>
  <c r="P1679" i="17"/>
  <c r="P1680" i="17"/>
  <c r="P1681" i="17"/>
  <c r="P1682" i="17"/>
  <c r="P1683" i="17"/>
  <c r="P1684" i="17"/>
  <c r="P1685" i="17"/>
  <c r="P1686" i="17"/>
  <c r="P1687" i="17"/>
  <c r="P1688" i="17"/>
  <c r="P1689" i="17"/>
  <c r="P1690" i="17"/>
  <c r="P1691" i="17"/>
  <c r="P1692" i="17"/>
  <c r="P1693" i="17"/>
  <c r="P1694" i="17"/>
  <c r="P1695" i="17"/>
  <c r="P1696" i="17"/>
  <c r="P1697" i="17"/>
  <c r="P1698" i="17"/>
  <c r="A1698" i="17" s="1"/>
  <c r="P1699" i="17"/>
  <c r="P1700" i="17"/>
  <c r="P1701" i="17"/>
  <c r="P1702" i="17"/>
  <c r="P1703" i="17"/>
  <c r="P1704" i="17"/>
  <c r="P1705" i="17"/>
  <c r="P1706" i="17"/>
  <c r="P1707" i="17"/>
  <c r="P1708" i="17"/>
  <c r="P1709" i="17"/>
  <c r="P1710" i="17"/>
  <c r="P1711" i="17"/>
  <c r="P1712" i="17"/>
  <c r="P1713" i="17"/>
  <c r="P1714" i="17"/>
  <c r="P1715" i="17"/>
  <c r="P1716" i="17"/>
  <c r="P1717" i="17"/>
  <c r="P1718" i="17"/>
  <c r="P1719" i="17"/>
  <c r="P1720" i="17"/>
  <c r="P1721" i="17"/>
  <c r="P1722" i="17"/>
  <c r="P1723" i="17"/>
  <c r="P1724" i="17"/>
  <c r="P1725" i="17"/>
  <c r="P1726" i="17"/>
  <c r="P1727" i="17"/>
  <c r="P1728" i="17"/>
  <c r="P1729" i="17"/>
  <c r="P1730" i="17"/>
  <c r="P1731" i="17"/>
  <c r="P1732" i="17"/>
  <c r="P1733" i="17"/>
  <c r="P1734" i="17"/>
  <c r="P1735" i="17"/>
  <c r="P1736" i="17"/>
  <c r="P1737" i="17"/>
  <c r="P1738" i="17"/>
  <c r="A1738" i="17" s="1"/>
  <c r="P1739" i="17"/>
  <c r="P1740" i="17"/>
  <c r="P1741" i="17"/>
  <c r="P1742" i="17"/>
  <c r="P1743" i="17"/>
  <c r="P1744" i="17"/>
  <c r="P1745" i="17"/>
  <c r="P1746" i="17"/>
  <c r="P1747" i="17"/>
  <c r="A1747" i="17" s="1"/>
  <c r="P1748" i="17"/>
  <c r="P1749" i="17"/>
  <c r="P1750" i="17"/>
  <c r="P1751" i="17"/>
  <c r="P1752" i="17"/>
  <c r="P1753" i="17"/>
  <c r="P1754" i="17"/>
  <c r="P1755" i="17"/>
  <c r="P1756" i="17"/>
  <c r="P1757" i="17"/>
  <c r="P1758" i="17"/>
  <c r="P1759" i="17"/>
  <c r="P1760" i="17"/>
  <c r="P1761" i="17"/>
  <c r="P1762" i="17"/>
  <c r="P1763" i="17"/>
  <c r="P1764" i="17"/>
  <c r="P1765" i="17"/>
  <c r="P1766" i="17"/>
  <c r="P1767" i="17"/>
  <c r="P1768" i="17"/>
  <c r="P1769" i="17"/>
  <c r="P1770" i="17"/>
  <c r="P1771" i="17"/>
  <c r="P1772" i="17"/>
  <c r="P1773" i="17"/>
  <c r="P1774" i="17"/>
  <c r="P1775" i="17"/>
  <c r="P1776" i="17"/>
  <c r="P1777" i="17"/>
  <c r="P1778" i="17"/>
  <c r="P1779" i="17"/>
  <c r="P1780" i="17"/>
  <c r="P1781" i="17"/>
  <c r="P1782" i="17"/>
  <c r="P1783" i="17"/>
  <c r="P1784" i="17"/>
  <c r="P1785" i="17"/>
  <c r="P1786" i="17"/>
  <c r="P1787" i="17"/>
  <c r="P1788" i="17"/>
  <c r="P1789" i="17"/>
  <c r="P1790" i="17"/>
  <c r="P1791" i="17"/>
  <c r="P1792" i="17"/>
  <c r="P1793" i="17"/>
  <c r="A1793" i="17" s="1"/>
  <c r="P1794" i="17"/>
  <c r="P1795" i="17"/>
  <c r="P1796" i="17"/>
  <c r="P1797" i="17"/>
  <c r="P1798" i="17"/>
  <c r="P1799" i="17"/>
  <c r="P1800" i="17"/>
  <c r="P1801" i="17"/>
  <c r="P1802" i="17"/>
  <c r="P1803" i="17"/>
  <c r="P1804" i="17"/>
  <c r="P1805" i="17"/>
  <c r="P1806" i="17"/>
  <c r="P1807" i="17"/>
  <c r="P1808" i="17"/>
  <c r="P1809" i="17"/>
  <c r="P1810" i="17"/>
  <c r="P1811" i="17"/>
  <c r="P1812" i="17"/>
  <c r="P1813" i="17"/>
  <c r="P1814" i="17"/>
  <c r="P1815" i="17"/>
  <c r="P1816" i="17"/>
  <c r="P1817" i="17"/>
  <c r="P1818" i="17"/>
  <c r="P1819" i="17"/>
  <c r="P1820" i="17"/>
  <c r="P1821" i="17"/>
  <c r="P1822" i="17"/>
  <c r="P1823" i="17"/>
  <c r="P1824" i="17"/>
  <c r="P1825" i="17"/>
  <c r="P1826" i="17"/>
  <c r="P1827" i="17"/>
  <c r="P1828" i="17"/>
  <c r="P1829" i="17"/>
  <c r="P1830" i="17"/>
  <c r="P1831" i="17"/>
  <c r="P1832" i="17"/>
  <c r="P1833" i="17"/>
  <c r="A1833" i="17" s="1"/>
  <c r="P1834" i="17"/>
  <c r="P1835" i="17"/>
  <c r="P1836" i="17"/>
  <c r="P1837" i="17"/>
  <c r="P1838" i="17"/>
  <c r="P1839" i="17"/>
  <c r="P1840" i="17"/>
  <c r="P1841" i="17"/>
  <c r="A1841" i="17" s="1"/>
  <c r="P1842" i="17"/>
  <c r="P1843" i="17"/>
  <c r="P1844" i="17"/>
  <c r="P1845" i="17"/>
  <c r="P1846" i="17"/>
  <c r="P1847" i="17"/>
  <c r="P1848" i="17"/>
  <c r="P1849" i="17"/>
  <c r="P1850" i="17"/>
  <c r="P1851" i="17"/>
  <c r="P1852" i="17"/>
  <c r="P1853" i="17"/>
  <c r="P1854" i="17"/>
  <c r="P1855" i="17"/>
  <c r="P1856" i="17"/>
  <c r="P1857" i="17"/>
  <c r="P1858" i="17"/>
  <c r="P1859" i="17"/>
  <c r="P1860" i="17"/>
  <c r="P1861" i="17"/>
  <c r="P1862" i="17"/>
  <c r="P1863" i="17"/>
  <c r="P1864" i="17"/>
  <c r="P1865" i="17"/>
  <c r="P1866" i="17"/>
  <c r="P1867" i="17"/>
  <c r="P1868" i="17"/>
  <c r="P1869" i="17"/>
  <c r="P1870" i="17"/>
  <c r="P1871" i="17"/>
  <c r="P1872" i="17"/>
  <c r="P1873" i="17"/>
  <c r="P1874" i="17"/>
  <c r="P1875" i="17"/>
  <c r="P1876" i="17"/>
  <c r="P1877" i="17"/>
  <c r="P1878" i="17"/>
  <c r="A1878" i="17" s="1"/>
  <c r="P1879" i="17"/>
  <c r="P1880" i="17"/>
  <c r="P1881" i="17"/>
  <c r="P1882" i="17"/>
  <c r="P1883" i="17"/>
  <c r="P1884" i="17"/>
  <c r="P1885" i="17"/>
  <c r="A1885" i="17" s="1"/>
  <c r="P1886" i="17"/>
  <c r="P1887" i="17"/>
  <c r="P1888" i="17"/>
  <c r="P1889" i="17"/>
  <c r="P1890" i="17"/>
  <c r="P1891" i="17"/>
  <c r="P1892" i="17"/>
  <c r="P1893" i="17"/>
  <c r="P1894" i="17"/>
  <c r="P1895" i="17"/>
  <c r="P1896" i="17"/>
  <c r="P1897" i="17"/>
  <c r="P1898" i="17"/>
  <c r="P1899" i="17"/>
  <c r="P1900" i="17"/>
  <c r="P1901" i="17"/>
  <c r="P1902" i="17"/>
  <c r="P1903" i="17"/>
  <c r="P1904" i="17"/>
  <c r="P1905" i="17"/>
  <c r="P1906" i="17"/>
  <c r="P1907" i="17"/>
  <c r="P1908" i="17"/>
  <c r="P1909" i="17"/>
  <c r="P1910" i="17"/>
  <c r="P1911" i="17"/>
  <c r="P1912" i="17"/>
  <c r="P1913" i="17"/>
  <c r="P1914" i="17"/>
  <c r="P1915" i="17"/>
  <c r="P1916" i="17"/>
  <c r="P1917" i="17"/>
  <c r="P1918" i="17"/>
  <c r="A1918" i="17" s="1"/>
  <c r="P1919" i="17"/>
  <c r="P1920" i="17"/>
  <c r="P1921" i="17"/>
  <c r="P1922" i="17"/>
  <c r="P1923" i="17"/>
  <c r="P1924" i="17"/>
  <c r="P1925" i="17"/>
  <c r="P1926" i="17"/>
  <c r="P1927" i="17"/>
  <c r="P1928" i="17"/>
  <c r="P1929" i="17"/>
  <c r="A1929" i="17" s="1"/>
  <c r="P1930" i="17"/>
  <c r="P1931" i="17"/>
  <c r="P1932" i="17"/>
  <c r="P1933" i="17"/>
  <c r="P1934" i="17"/>
  <c r="P1935" i="17"/>
  <c r="P1936" i="17"/>
  <c r="P1937" i="17"/>
  <c r="P1938" i="17"/>
  <c r="P1939" i="17"/>
  <c r="P1940" i="17"/>
  <c r="P1941" i="17"/>
  <c r="P1942" i="17"/>
  <c r="P1943" i="17"/>
  <c r="P1944" i="17"/>
  <c r="P1945" i="17"/>
  <c r="P1946" i="17"/>
  <c r="P1947" i="17"/>
  <c r="P1948" i="17"/>
  <c r="P1949" i="17"/>
  <c r="P1950" i="17"/>
  <c r="P1951" i="17"/>
  <c r="P1952" i="17"/>
  <c r="P1953" i="17"/>
  <c r="P1954" i="17"/>
  <c r="P1955" i="17"/>
  <c r="P1956" i="17"/>
  <c r="P1957" i="17"/>
  <c r="P1958" i="17"/>
  <c r="P1959" i="17"/>
  <c r="P1960" i="17"/>
  <c r="P1961" i="17"/>
  <c r="A1961" i="17" s="1"/>
  <c r="P1962" i="17"/>
  <c r="P1963" i="17"/>
  <c r="P1964" i="17"/>
  <c r="P1965" i="17"/>
  <c r="P1966" i="17"/>
  <c r="P1967" i="17"/>
  <c r="P1968" i="17"/>
  <c r="P1969" i="17"/>
  <c r="A1969" i="17" s="1"/>
  <c r="P1970" i="17"/>
  <c r="P1971" i="17"/>
  <c r="P1972" i="17"/>
  <c r="P1973" i="17"/>
  <c r="P1974" i="17"/>
  <c r="P1975" i="17"/>
  <c r="P1976" i="17"/>
  <c r="P1977" i="17"/>
  <c r="P1978" i="17"/>
  <c r="P1979" i="17"/>
  <c r="P1980" i="17"/>
  <c r="P1981" i="17"/>
  <c r="P1982" i="17"/>
  <c r="P1983" i="17"/>
  <c r="P1984" i="17"/>
  <c r="P1985" i="17"/>
  <c r="P1986" i="17"/>
  <c r="P1987" i="17"/>
  <c r="P1988" i="17"/>
  <c r="P1989" i="17"/>
  <c r="P1990" i="17"/>
  <c r="P1991" i="17"/>
  <c r="P1992" i="17"/>
  <c r="P1993" i="17"/>
  <c r="P1994" i="17"/>
  <c r="P1995" i="17"/>
  <c r="P1996" i="17"/>
  <c r="P1997" i="17"/>
  <c r="P1998" i="17"/>
  <c r="P1999" i="17"/>
  <c r="P2000" i="17"/>
  <c r="P2001" i="17"/>
  <c r="A2001" i="17" s="1"/>
  <c r="P2002" i="17"/>
  <c r="P2003" i="17"/>
  <c r="P2004" i="17"/>
  <c r="P2005" i="17"/>
  <c r="P2006" i="17"/>
  <c r="P2007" i="17"/>
  <c r="P2008" i="17"/>
  <c r="P2009" i="17"/>
  <c r="A2009" i="17" s="1"/>
  <c r="P2010" i="17"/>
  <c r="P2011" i="17"/>
  <c r="P2012" i="17"/>
  <c r="P2013" i="17"/>
  <c r="P2014" i="17"/>
  <c r="P2015" i="17"/>
  <c r="P2016" i="17"/>
  <c r="P2017" i="17"/>
  <c r="P2018" i="17"/>
  <c r="P2019" i="17"/>
  <c r="P2020" i="17"/>
  <c r="P2021" i="17"/>
  <c r="P1564" i="17"/>
  <c r="P1565" i="17"/>
  <c r="P1566" i="17"/>
  <c r="P1567" i="17"/>
  <c r="P1568" i="17"/>
  <c r="P1569" i="17"/>
  <c r="P1570" i="17"/>
  <c r="P1571" i="17"/>
  <c r="P1572" i="17"/>
  <c r="P2031" i="17"/>
  <c r="P2032" i="17"/>
  <c r="P2033" i="17"/>
  <c r="P2034" i="17"/>
  <c r="P2035" i="17"/>
  <c r="P2036" i="17"/>
  <c r="P2037" i="17"/>
  <c r="P2038" i="17"/>
  <c r="P2039" i="17"/>
  <c r="P2040" i="17"/>
  <c r="P2041" i="17"/>
  <c r="P2042" i="17"/>
  <c r="P2043" i="17"/>
  <c r="A2043" i="17" s="1"/>
  <c r="P2044" i="17"/>
  <c r="P2045" i="17"/>
  <c r="P2046" i="17"/>
  <c r="P2047" i="17"/>
  <c r="P2048" i="17"/>
  <c r="P2049" i="17"/>
  <c r="P2050" i="17"/>
  <c r="A2050" i="17" s="1"/>
  <c r="P2051" i="17"/>
  <c r="P2052" i="17"/>
  <c r="P2053" i="17"/>
  <c r="P2054" i="17"/>
  <c r="P2055" i="17"/>
  <c r="P2056" i="17"/>
  <c r="P2057" i="17"/>
  <c r="P2058" i="17"/>
  <c r="P2059" i="17"/>
  <c r="P2060" i="17"/>
  <c r="P2061" i="17"/>
  <c r="P2062" i="17"/>
  <c r="P2063" i="17"/>
  <c r="P2064" i="17"/>
  <c r="P2065" i="17"/>
  <c r="P2066" i="17"/>
  <c r="P2067" i="17"/>
  <c r="P2068" i="17"/>
  <c r="P2069" i="17"/>
  <c r="P2070" i="17"/>
  <c r="P2071" i="17"/>
  <c r="P2072" i="17"/>
  <c r="P2073" i="17"/>
  <c r="P2074" i="17"/>
  <c r="P2075" i="17"/>
  <c r="P2076" i="17"/>
  <c r="P3486" i="17"/>
  <c r="P3487" i="17"/>
  <c r="P3488" i="17"/>
  <c r="P3489" i="17"/>
  <c r="P3490" i="17"/>
  <c r="P2082" i="17"/>
  <c r="P2083" i="17"/>
  <c r="A2083" i="17" s="1"/>
  <c r="P2084" i="17"/>
  <c r="P2085" i="17"/>
  <c r="P2086" i="17"/>
  <c r="P2087" i="17"/>
  <c r="P2088" i="17"/>
  <c r="P2089" i="17"/>
  <c r="P2090" i="17"/>
  <c r="A2090" i="17" s="1"/>
  <c r="P2091" i="17"/>
  <c r="P2092" i="17"/>
  <c r="P2093" i="17"/>
  <c r="P2094" i="17"/>
  <c r="P2095" i="17"/>
  <c r="P2096" i="17"/>
  <c r="P2097" i="17"/>
  <c r="P2098" i="17"/>
  <c r="P2099" i="17"/>
  <c r="P2100" i="17"/>
  <c r="P2101" i="17"/>
  <c r="P2102" i="17"/>
  <c r="P2103" i="17"/>
  <c r="P2104" i="17"/>
  <c r="P2105" i="17"/>
  <c r="P2106" i="17"/>
  <c r="P2107" i="17"/>
  <c r="P2108" i="17"/>
  <c r="P2109" i="17"/>
  <c r="P2110" i="17"/>
  <c r="P2111" i="17"/>
  <c r="P2112" i="17"/>
  <c r="P2113" i="17"/>
  <c r="P2114" i="17"/>
  <c r="P2115" i="17"/>
  <c r="P2116" i="17"/>
  <c r="P2117" i="17"/>
  <c r="P2118" i="17"/>
  <c r="P2119" i="17"/>
  <c r="P2120" i="17"/>
  <c r="P2121" i="17"/>
  <c r="P2122" i="17"/>
  <c r="P2123" i="17"/>
  <c r="A2123" i="17" s="1"/>
  <c r="P2124" i="17"/>
  <c r="P2125" i="17"/>
  <c r="P2126" i="17"/>
  <c r="P2127" i="17"/>
  <c r="P2128" i="17"/>
  <c r="P2129" i="17"/>
  <c r="P2130" i="17"/>
  <c r="P2131" i="17"/>
  <c r="P2132" i="17"/>
  <c r="P2133" i="17"/>
  <c r="A2133" i="17" s="1"/>
  <c r="P2134" i="17"/>
  <c r="P2135" i="17"/>
  <c r="P2136" i="17"/>
  <c r="P2137" i="17"/>
  <c r="P2138" i="17"/>
  <c r="P2139" i="17"/>
  <c r="P2140" i="17"/>
  <c r="P2141" i="17"/>
  <c r="P2142" i="17"/>
  <c r="P2143" i="17"/>
  <c r="P2144" i="17"/>
  <c r="P2145" i="17"/>
  <c r="P2146" i="17"/>
  <c r="P2147" i="17"/>
  <c r="P2148" i="17"/>
  <c r="P2149" i="17"/>
  <c r="P2150" i="17"/>
  <c r="P2151" i="17"/>
  <c r="P2152" i="17"/>
  <c r="P2153" i="17"/>
  <c r="P2154" i="17"/>
  <c r="P2155" i="17"/>
  <c r="P2156" i="17"/>
  <c r="P2157" i="17"/>
  <c r="P2158" i="17"/>
  <c r="P2159" i="17"/>
  <c r="P2160" i="17"/>
  <c r="P2161" i="17"/>
  <c r="P2162" i="17"/>
  <c r="P2163" i="17"/>
  <c r="P2164" i="17"/>
  <c r="P2165" i="17"/>
  <c r="A2165" i="17" s="1"/>
  <c r="P2166" i="17"/>
  <c r="P2167" i="17"/>
  <c r="P2168" i="17"/>
  <c r="P2169" i="17"/>
  <c r="P2170" i="17"/>
  <c r="P2171" i="17"/>
  <c r="P2172" i="17"/>
  <c r="P2173" i="17"/>
  <c r="A2173" i="17" s="1"/>
  <c r="P2174" i="17"/>
  <c r="P2175" i="17"/>
  <c r="P2176" i="17"/>
  <c r="P2177" i="17"/>
  <c r="P2178" i="17"/>
  <c r="P2179" i="17"/>
  <c r="P2180" i="17"/>
  <c r="P2181" i="17"/>
  <c r="P2182" i="17"/>
  <c r="P2183" i="17"/>
  <c r="P2184" i="17"/>
  <c r="P2185" i="17"/>
  <c r="P2186" i="17"/>
  <c r="P2187" i="17"/>
  <c r="P2188" i="17"/>
  <c r="P2189" i="17"/>
  <c r="P2190" i="17"/>
  <c r="P2191" i="17"/>
  <c r="P2192" i="17"/>
  <c r="P2193" i="17"/>
  <c r="P2194" i="17"/>
  <c r="P2195" i="17"/>
  <c r="P2196" i="17"/>
  <c r="P2197" i="17"/>
  <c r="P2198" i="17"/>
  <c r="P2199" i="17"/>
  <c r="P2200" i="17"/>
  <c r="P2201" i="17"/>
  <c r="P2202" i="17"/>
  <c r="P2203" i="17"/>
  <c r="P2204" i="17"/>
  <c r="P2205" i="17"/>
  <c r="A2205" i="17" s="1"/>
  <c r="P2206" i="17"/>
  <c r="P2207" i="17"/>
  <c r="P2208" i="17"/>
  <c r="P2209" i="17"/>
  <c r="P2210" i="17"/>
  <c r="P2211" i="17"/>
  <c r="P2212" i="17"/>
  <c r="P2213" i="17"/>
  <c r="A2213" i="17" s="1"/>
  <c r="P2214" i="17"/>
  <c r="P2215" i="17"/>
  <c r="P2216" i="17"/>
  <c r="P2217" i="17"/>
  <c r="P2218" i="17"/>
  <c r="P2219" i="17"/>
  <c r="P2220" i="17"/>
  <c r="P2221" i="17"/>
  <c r="P2222" i="17"/>
  <c r="P2223" i="17"/>
  <c r="P2224" i="17"/>
  <c r="P2225" i="17"/>
  <c r="P2226" i="17"/>
  <c r="P2227" i="17"/>
  <c r="P2228" i="17"/>
  <c r="P2229" i="17"/>
  <c r="P2230" i="17"/>
  <c r="P2231" i="17"/>
  <c r="P2232" i="17"/>
  <c r="P2233" i="17"/>
  <c r="P2234" i="17"/>
  <c r="P2235" i="17"/>
  <c r="P2236" i="17"/>
  <c r="P2237" i="17"/>
  <c r="P2238" i="17"/>
  <c r="P2239" i="17"/>
  <c r="P2240" i="17"/>
  <c r="P2241" i="17"/>
  <c r="P2242" i="17"/>
  <c r="P2243" i="17"/>
  <c r="P2244" i="17"/>
  <c r="P2245" i="17"/>
  <c r="P2246" i="17"/>
  <c r="P2247" i="17"/>
  <c r="P2248" i="17"/>
  <c r="P2249" i="17"/>
  <c r="A2249" i="17" s="1"/>
  <c r="P2250" i="17"/>
  <c r="P2251" i="17"/>
  <c r="P2252" i="17"/>
  <c r="P2253" i="17"/>
  <c r="P2254" i="17"/>
  <c r="A2254" i="17" s="1"/>
  <c r="P2255" i="17"/>
  <c r="P2256" i="17"/>
  <c r="P2257" i="17"/>
  <c r="P2258" i="17"/>
  <c r="P2259" i="17"/>
  <c r="P2260" i="17"/>
  <c r="P2261" i="17"/>
  <c r="P2262" i="17"/>
  <c r="P2263" i="17"/>
  <c r="P2264" i="17"/>
  <c r="P2265" i="17"/>
  <c r="P2266" i="17"/>
  <c r="P2267" i="17"/>
  <c r="P2268" i="17"/>
  <c r="P2269" i="17"/>
  <c r="P2270" i="17"/>
  <c r="P2271" i="17"/>
  <c r="P2272" i="17"/>
  <c r="P2273" i="17"/>
  <c r="P2274" i="17"/>
  <c r="P2275" i="17"/>
  <c r="P2276" i="17"/>
  <c r="P2277" i="17"/>
  <c r="P2278" i="17"/>
  <c r="P2279" i="17"/>
  <c r="P2280" i="17"/>
  <c r="P2281" i="17"/>
  <c r="P2282" i="17"/>
  <c r="P2283" i="17"/>
  <c r="P2284" i="17"/>
  <c r="A2284" i="17" s="1"/>
  <c r="P2285" i="17"/>
  <c r="P2286" i="17"/>
  <c r="P2287" i="17"/>
  <c r="P2288" i="17"/>
  <c r="P2289" i="17"/>
  <c r="P2290" i="17"/>
  <c r="A2290" i="17" s="1"/>
  <c r="P2291" i="17"/>
  <c r="P2292" i="17"/>
  <c r="P2293" i="17"/>
  <c r="P2294" i="17"/>
  <c r="P2295" i="17"/>
  <c r="P2296" i="17"/>
  <c r="P2297" i="17"/>
  <c r="P2298" i="17"/>
  <c r="P2299" i="17"/>
  <c r="P2300" i="17"/>
  <c r="P2301" i="17"/>
  <c r="P2302" i="17"/>
  <c r="P2303" i="17"/>
  <c r="P2304" i="17"/>
  <c r="P2305" i="17"/>
  <c r="P2306" i="17"/>
  <c r="P2307" i="17"/>
  <c r="P2308" i="17"/>
  <c r="P2309" i="17"/>
  <c r="P2310" i="17"/>
  <c r="P2311" i="17"/>
  <c r="P2312" i="17"/>
  <c r="P2313" i="17"/>
  <c r="P2314" i="17"/>
  <c r="P2315" i="17"/>
  <c r="P2316" i="17"/>
  <c r="A2316" i="17" s="1"/>
  <c r="P2317" i="17"/>
  <c r="P2318" i="17"/>
  <c r="P2319" i="17"/>
  <c r="P2320" i="17"/>
  <c r="P2321" i="17"/>
  <c r="P2322" i="17"/>
  <c r="P2323" i="17"/>
  <c r="A2323" i="17" s="1"/>
  <c r="P2324" i="17"/>
  <c r="P2325" i="17"/>
  <c r="P2326" i="17"/>
  <c r="P2327" i="17"/>
  <c r="P2328" i="17"/>
  <c r="P2329" i="17"/>
  <c r="P2330" i="17"/>
  <c r="P2331" i="17"/>
  <c r="P2332" i="17"/>
  <c r="P2333" i="17"/>
  <c r="P2334" i="17"/>
  <c r="P2335" i="17"/>
  <c r="P2336" i="17"/>
  <c r="P2337" i="17"/>
  <c r="P2338" i="17"/>
  <c r="P2339" i="17"/>
  <c r="P2340" i="17"/>
  <c r="P2341" i="17"/>
  <c r="P2342" i="17"/>
  <c r="P2343" i="17"/>
  <c r="P2344" i="17"/>
  <c r="P2345" i="17"/>
  <c r="P2346" i="17"/>
  <c r="A2346" i="17" s="1"/>
  <c r="P2347" i="17"/>
  <c r="P2348" i="17"/>
  <c r="P2349" i="17"/>
  <c r="P2350" i="17"/>
  <c r="P2351" i="17"/>
  <c r="P2352" i="17"/>
  <c r="P2353" i="17"/>
  <c r="P2354" i="17"/>
  <c r="P2355" i="17"/>
  <c r="P2356" i="17"/>
  <c r="P2357" i="17"/>
  <c r="P2358" i="17"/>
  <c r="P2359" i="17"/>
  <c r="P2360" i="17"/>
  <c r="P2361" i="17"/>
  <c r="P2362" i="17"/>
  <c r="P2363" i="17"/>
  <c r="P2364" i="17"/>
  <c r="P2365" i="17"/>
  <c r="P2022" i="17"/>
  <c r="P2023" i="17"/>
  <c r="P2024" i="17"/>
  <c r="P2025" i="17"/>
  <c r="P2026" i="17"/>
  <c r="P2027" i="17"/>
  <c r="P2028" i="17"/>
  <c r="P2029" i="17"/>
  <c r="P2030" i="17"/>
  <c r="A2030" i="17" s="1"/>
  <c r="P2375" i="17"/>
  <c r="P2376" i="17"/>
  <c r="P2377" i="17"/>
  <c r="P2378" i="17"/>
  <c r="P2379" i="17"/>
  <c r="P2380" i="17"/>
  <c r="A2380" i="17" s="1"/>
  <c r="P2381" i="17"/>
  <c r="P2382" i="17"/>
  <c r="P2383" i="17"/>
  <c r="P2384" i="17"/>
  <c r="P2385" i="17"/>
  <c r="P2386" i="17"/>
  <c r="P2387" i="17"/>
  <c r="P2388" i="17"/>
  <c r="P2389" i="17"/>
  <c r="P2390" i="17"/>
  <c r="P2391" i="17"/>
  <c r="P2392" i="17"/>
  <c r="P2393" i="17"/>
  <c r="P2394" i="17"/>
  <c r="P2395" i="17"/>
  <c r="P2396" i="17"/>
  <c r="P2397" i="17"/>
  <c r="P2398" i="17"/>
  <c r="P2399" i="17"/>
  <c r="P2400" i="17"/>
  <c r="P2401" i="17"/>
  <c r="P2402" i="17"/>
  <c r="P2403" i="17"/>
  <c r="P2404" i="17"/>
  <c r="P2405" i="17"/>
  <c r="A2405" i="17" s="1"/>
  <c r="P2406" i="17"/>
  <c r="P2407" i="17"/>
  <c r="P2408" i="17"/>
  <c r="P2409" i="17"/>
  <c r="P2410" i="17"/>
  <c r="A2410" i="17" s="1"/>
  <c r="P2411" i="17"/>
  <c r="P2412" i="17"/>
  <c r="P2413" i="17"/>
  <c r="P2414" i="17"/>
  <c r="P2415" i="17"/>
  <c r="P2416" i="17"/>
  <c r="P2417" i="17"/>
  <c r="P2418" i="17"/>
  <c r="P2419" i="17"/>
  <c r="P2420" i="17"/>
  <c r="P2421" i="17"/>
  <c r="P2422" i="17"/>
  <c r="P2423" i="17"/>
  <c r="P2424" i="17"/>
  <c r="P2425" i="17"/>
  <c r="P2426" i="17"/>
  <c r="P2427" i="17"/>
  <c r="P2428" i="17"/>
  <c r="P2429" i="17"/>
  <c r="P2430" i="17"/>
  <c r="P2431" i="17"/>
  <c r="P2432" i="17"/>
  <c r="P2433" i="17"/>
  <c r="P2434" i="17"/>
  <c r="A2434" i="17" s="1"/>
  <c r="P2435" i="17"/>
  <c r="P2436" i="17"/>
  <c r="P2437" i="17"/>
  <c r="P2438" i="17"/>
  <c r="A2438" i="17" s="1"/>
  <c r="P2439" i="17"/>
  <c r="P2440" i="17"/>
  <c r="P2441" i="17"/>
  <c r="P2442" i="17"/>
  <c r="P2443" i="17"/>
  <c r="P2444" i="17"/>
  <c r="P2445" i="17"/>
  <c r="P2446" i="17"/>
  <c r="P2369" i="17"/>
  <c r="P2370" i="17"/>
  <c r="P2371" i="17"/>
  <c r="P2372" i="17"/>
  <c r="P2373" i="17"/>
  <c r="P2374" i="17"/>
  <c r="P2447" i="17"/>
  <c r="P2448" i="17"/>
  <c r="P2449" i="17"/>
  <c r="P2456" i="17"/>
  <c r="P2457" i="17"/>
  <c r="P2458" i="17"/>
  <c r="P2459" i="17"/>
  <c r="P2460" i="17"/>
  <c r="P2461" i="17"/>
  <c r="P2462" i="17"/>
  <c r="A2462" i="17" s="1"/>
  <c r="P2463" i="17"/>
  <c r="P2464" i="17"/>
  <c r="P2465" i="17"/>
  <c r="P2466" i="17"/>
  <c r="P2467" i="17"/>
  <c r="P2468" i="17"/>
  <c r="P2469" i="17"/>
  <c r="A2469" i="17" s="1"/>
  <c r="P2470" i="17"/>
  <c r="P2471" i="17"/>
  <c r="P2472" i="17"/>
  <c r="P2473" i="17"/>
  <c r="P2474" i="17"/>
  <c r="P2475" i="17"/>
  <c r="P2476" i="17"/>
  <c r="P2477" i="17"/>
  <c r="P2478" i="17"/>
  <c r="P2479" i="17"/>
  <c r="P2480" i="17"/>
  <c r="P2481" i="17"/>
  <c r="P2482" i="17"/>
  <c r="P2483" i="17"/>
  <c r="P2484" i="17"/>
  <c r="P2485" i="17"/>
  <c r="P2486" i="17"/>
  <c r="P2487" i="17"/>
  <c r="P2488" i="17"/>
  <c r="P2489" i="17"/>
  <c r="P2490" i="17"/>
  <c r="P2491" i="17"/>
  <c r="P2492" i="17"/>
  <c r="A2492" i="17" s="1"/>
  <c r="P2493" i="17"/>
  <c r="P2494" i="17"/>
  <c r="P2495" i="17"/>
  <c r="P2496" i="17"/>
  <c r="P2497" i="17"/>
  <c r="P2498" i="17"/>
  <c r="A2498" i="17" s="1"/>
  <c r="P2499" i="17"/>
  <c r="P2500" i="17"/>
  <c r="P2501" i="17"/>
  <c r="P2502" i="17"/>
  <c r="P2503" i="17"/>
  <c r="P2504" i="17"/>
  <c r="P2505" i="17"/>
  <c r="P2506" i="17"/>
  <c r="P2507" i="17"/>
  <c r="P2508" i="17"/>
  <c r="P2509" i="17"/>
  <c r="P2510" i="17"/>
  <c r="P2511" i="17"/>
  <c r="P2512" i="17"/>
  <c r="P2513" i="17"/>
  <c r="P2514" i="17"/>
  <c r="P2515" i="17"/>
  <c r="P2516" i="17"/>
  <c r="P2517" i="17"/>
  <c r="P2518" i="17"/>
  <c r="P2519" i="17"/>
  <c r="P2520" i="17"/>
  <c r="P2521" i="17"/>
  <c r="A2521" i="17" s="1"/>
  <c r="P2522" i="17"/>
  <c r="P2523" i="17"/>
  <c r="P2524" i="17"/>
  <c r="P2525" i="17"/>
  <c r="P2526" i="17"/>
  <c r="A2526" i="17" s="1"/>
  <c r="P2527" i="17"/>
  <c r="P2528" i="17"/>
  <c r="P2529" i="17"/>
  <c r="P2530" i="17"/>
  <c r="P2531" i="17"/>
  <c r="P2532" i="17"/>
  <c r="P2533" i="17"/>
  <c r="P2534" i="17"/>
  <c r="P2535" i="17"/>
  <c r="P2536" i="17"/>
  <c r="P2537" i="17"/>
  <c r="P2538" i="17"/>
  <c r="P2539" i="17"/>
  <c r="P2540" i="17"/>
  <c r="P2541" i="17"/>
  <c r="P2542" i="17"/>
  <c r="P2543" i="17"/>
  <c r="P2544" i="17"/>
  <c r="P2545" i="17"/>
  <c r="P2546" i="17"/>
  <c r="P2547" i="17"/>
  <c r="P2548" i="17"/>
  <c r="P2549" i="17"/>
  <c r="P2550" i="17"/>
  <c r="P2551" i="17"/>
  <c r="P2552" i="17"/>
  <c r="P2553" i="17"/>
  <c r="P2554" i="17"/>
  <c r="P2555" i="17"/>
  <c r="A2555" i="17" s="1"/>
  <c r="P2556" i="17"/>
  <c r="P2557" i="17"/>
  <c r="P2558" i="17"/>
  <c r="P2559" i="17"/>
  <c r="P2450" i="17"/>
  <c r="P2451" i="17"/>
  <c r="P2452" i="17"/>
  <c r="P2453" i="17"/>
  <c r="P2454" i="17"/>
  <c r="P2455" i="17"/>
  <c r="P2560" i="17"/>
  <c r="P2561" i="17"/>
  <c r="P2562" i="17"/>
  <c r="P2569" i="17"/>
  <c r="P2570" i="17"/>
  <c r="P2571" i="17"/>
  <c r="P2572" i="17"/>
  <c r="P2573" i="17"/>
  <c r="P2574" i="17"/>
  <c r="P2575" i="17"/>
  <c r="P2576" i="17"/>
  <c r="P2577" i="17"/>
  <c r="P2578" i="17"/>
  <c r="P2579" i="17"/>
  <c r="P2580" i="17"/>
  <c r="A2580" i="17" s="1"/>
  <c r="P2581" i="17"/>
  <c r="P2582" i="17"/>
  <c r="P2583" i="17"/>
  <c r="P2584" i="17"/>
  <c r="P2585" i="17"/>
  <c r="P2586" i="17"/>
  <c r="P2587" i="17"/>
  <c r="P2588" i="17"/>
  <c r="P2589" i="17"/>
  <c r="P2590" i="17"/>
  <c r="P2591" i="17"/>
  <c r="P2592" i="17"/>
  <c r="P2593" i="17"/>
  <c r="P2594" i="17"/>
  <c r="P2595" i="17"/>
  <c r="P2596" i="17"/>
  <c r="P2597" i="17"/>
  <c r="P2598" i="17"/>
  <c r="P2599" i="17"/>
  <c r="P2600" i="17"/>
  <c r="P2601" i="17"/>
  <c r="A2601" i="17" s="1"/>
  <c r="P2602" i="17"/>
  <c r="P2603" i="17"/>
  <c r="P2604" i="17"/>
  <c r="P2605" i="17"/>
  <c r="P2606" i="17"/>
  <c r="P2607" i="17"/>
  <c r="A2607" i="17" s="1"/>
  <c r="P2608" i="17"/>
  <c r="P2609" i="17"/>
  <c r="P2610" i="17"/>
  <c r="P2611" i="17"/>
  <c r="P2612" i="17"/>
  <c r="P2613" i="17"/>
  <c r="P2614" i="17"/>
  <c r="P2615" i="17"/>
  <c r="P2616" i="17"/>
  <c r="P2617" i="17"/>
  <c r="P2618" i="17"/>
  <c r="P2619" i="17"/>
  <c r="P2620" i="17"/>
  <c r="P2621" i="17"/>
  <c r="P2622" i="17"/>
  <c r="P2623" i="17"/>
  <c r="P2624" i="17"/>
  <c r="P2625" i="17"/>
  <c r="P2626" i="17"/>
  <c r="P2627" i="17"/>
  <c r="A2627" i="17" s="1"/>
  <c r="P2628" i="17"/>
  <c r="P2629" i="17"/>
  <c r="P2630" i="17"/>
  <c r="P2631" i="17"/>
  <c r="P2632" i="17"/>
  <c r="P2633" i="17"/>
  <c r="P2634" i="17"/>
  <c r="P2635" i="17"/>
  <c r="P2636" i="17"/>
  <c r="P2637" i="17"/>
  <c r="P2638" i="17"/>
  <c r="P2639" i="17"/>
  <c r="P2640" i="17"/>
  <c r="P2641" i="17"/>
  <c r="P2642" i="17"/>
  <c r="P2643" i="17"/>
  <c r="P2644" i="17"/>
  <c r="P2645" i="17"/>
  <c r="P2646" i="17"/>
  <c r="P2647" i="17"/>
  <c r="P2648" i="17"/>
  <c r="P2649" i="17"/>
  <c r="P2650" i="17"/>
  <c r="P2651" i="17"/>
  <c r="P2652" i="17"/>
  <c r="A2652" i="17" s="1"/>
  <c r="P2653" i="17"/>
  <c r="P2654" i="17"/>
  <c r="P2655" i="17"/>
  <c r="P2656" i="17"/>
  <c r="P2657" i="17"/>
  <c r="A2657" i="17" s="1"/>
  <c r="P2658" i="17"/>
  <c r="P2659" i="17"/>
  <c r="P2660" i="17"/>
  <c r="P2661" i="17"/>
  <c r="P2662" i="17"/>
  <c r="P2663" i="17"/>
  <c r="P2664" i="17"/>
  <c r="P2665" i="17"/>
  <c r="P2666" i="17"/>
  <c r="P2667" i="17"/>
  <c r="P2668" i="17"/>
  <c r="P2669" i="17"/>
  <c r="P2670" i="17"/>
  <c r="P2671" i="17"/>
  <c r="P2672" i="17"/>
  <c r="P2673" i="17"/>
  <c r="P2674" i="17"/>
  <c r="P2675" i="17"/>
  <c r="P2676" i="17"/>
  <c r="P2677" i="17"/>
  <c r="P2678" i="17"/>
  <c r="P2679" i="17"/>
  <c r="P2680" i="17"/>
  <c r="P2681" i="17"/>
  <c r="P2682" i="17"/>
  <c r="P2683" i="17"/>
  <c r="A2683" i="17" s="1"/>
  <c r="P2684" i="17"/>
  <c r="P2685" i="17"/>
  <c r="P2686" i="17"/>
  <c r="P2687" i="17"/>
  <c r="P2688" i="17"/>
  <c r="P2689" i="17"/>
  <c r="P2690" i="17"/>
  <c r="P2691" i="17"/>
  <c r="P2692" i="17"/>
  <c r="P2693" i="17"/>
  <c r="P2694" i="17"/>
  <c r="P2695" i="17"/>
  <c r="P2696" i="17"/>
  <c r="P2697" i="17"/>
  <c r="P2698" i="17"/>
  <c r="P2699" i="17"/>
  <c r="P2700" i="17"/>
  <c r="P2701" i="17"/>
  <c r="P2702" i="17"/>
  <c r="P2703" i="17"/>
  <c r="P2704" i="17"/>
  <c r="P2705" i="17"/>
  <c r="P2706" i="17"/>
  <c r="P2707" i="17"/>
  <c r="A2707" i="17" s="1"/>
  <c r="P2708" i="17"/>
  <c r="P2709" i="17"/>
  <c r="P2710" i="17"/>
  <c r="P2711" i="17"/>
  <c r="P2712" i="17"/>
  <c r="P2713" i="17"/>
  <c r="P2714" i="17"/>
  <c r="P2715" i="17"/>
  <c r="P2716" i="17"/>
  <c r="P2717" i="17"/>
  <c r="P2718" i="17"/>
  <c r="P2719" i="17"/>
  <c r="P2720" i="17"/>
  <c r="P2721" i="17"/>
  <c r="P2722" i="17"/>
  <c r="P2723" i="17"/>
  <c r="P2724" i="17"/>
  <c r="P2725" i="17"/>
  <c r="P2726" i="17"/>
  <c r="P2727" i="17"/>
  <c r="P2728" i="17"/>
  <c r="P2729" i="17"/>
  <c r="P2730" i="17"/>
  <c r="P2731" i="17"/>
  <c r="P2732" i="17"/>
  <c r="P2733" i="17"/>
  <c r="P2734" i="17"/>
  <c r="P2735" i="17"/>
  <c r="P2736" i="17"/>
  <c r="P2737" i="17"/>
  <c r="P2738" i="17"/>
  <c r="P2739" i="17"/>
  <c r="P2740" i="17"/>
  <c r="P2741" i="17"/>
  <c r="P2742" i="17"/>
  <c r="P2743" i="17"/>
  <c r="P2744" i="17"/>
  <c r="P2745" i="17"/>
  <c r="A2745" i="17" s="1"/>
  <c r="P2746" i="17"/>
  <c r="P2747" i="17"/>
  <c r="A2747" i="17" s="1"/>
  <c r="P2748" i="17"/>
  <c r="P2749" i="17"/>
  <c r="P2750" i="17"/>
  <c r="P2751" i="17"/>
  <c r="P2752" i="17"/>
  <c r="P2753" i="17"/>
  <c r="P2754" i="17"/>
  <c r="P2755" i="17"/>
  <c r="P2756" i="17"/>
  <c r="P2757" i="17"/>
  <c r="P2758" i="17"/>
  <c r="P2759" i="17"/>
  <c r="P2760" i="17"/>
  <c r="P2761" i="17"/>
  <c r="P2762" i="17"/>
  <c r="P2763" i="17"/>
  <c r="P2764" i="17"/>
  <c r="P2765" i="17"/>
  <c r="P2766" i="17"/>
  <c r="P2767" i="17"/>
  <c r="P2768" i="17"/>
  <c r="P2769" i="17"/>
  <c r="P2770" i="17"/>
  <c r="P2771" i="17"/>
  <c r="P2772" i="17"/>
  <c r="P2773" i="17"/>
  <c r="P2774" i="17"/>
  <c r="P2775" i="17"/>
  <c r="P2776" i="17"/>
  <c r="P2777" i="17"/>
  <c r="P2778" i="17"/>
  <c r="P2779" i="17"/>
  <c r="P2780" i="17"/>
  <c r="P2781" i="17"/>
  <c r="P2782" i="17"/>
  <c r="P2783" i="17"/>
  <c r="P2784" i="17"/>
  <c r="P2785" i="17"/>
  <c r="A2785" i="17" s="1"/>
  <c r="P2786" i="17"/>
  <c r="P2787" i="17"/>
  <c r="P2788" i="17"/>
  <c r="P2789" i="17"/>
  <c r="P2790" i="17"/>
  <c r="P2791" i="17"/>
  <c r="A2791" i="17" s="1"/>
  <c r="P2792" i="17"/>
  <c r="P2793" i="17"/>
  <c r="P2794" i="17"/>
  <c r="P2795" i="17"/>
  <c r="P2796" i="17"/>
  <c r="P2797" i="17"/>
  <c r="P2798" i="17"/>
  <c r="P2799" i="17"/>
  <c r="P2800" i="17"/>
  <c r="P2801" i="17"/>
  <c r="P2802" i="17"/>
  <c r="P2803" i="17"/>
  <c r="P2804" i="17"/>
  <c r="P2805" i="17"/>
  <c r="P2806" i="17"/>
  <c r="P2807" i="17"/>
  <c r="P2808" i="17"/>
  <c r="P2809" i="17"/>
  <c r="A2809" i="17" s="1"/>
  <c r="P2810" i="17"/>
  <c r="P2811" i="17"/>
  <c r="P2812" i="17"/>
  <c r="P2813" i="17"/>
  <c r="P2814" i="17"/>
  <c r="P2815" i="17"/>
  <c r="P2816" i="17"/>
  <c r="P2817" i="17"/>
  <c r="P2818" i="17"/>
  <c r="P2819" i="17"/>
  <c r="P2820" i="17"/>
  <c r="P2821" i="17"/>
  <c r="P2822" i="17"/>
  <c r="P2823" i="17"/>
  <c r="P2824" i="17"/>
  <c r="P2825" i="17"/>
  <c r="P2826" i="17"/>
  <c r="P2827" i="17"/>
  <c r="P2828" i="17"/>
  <c r="A2828" i="17" s="1"/>
  <c r="P2829" i="17"/>
  <c r="P2830" i="17"/>
  <c r="P2831" i="17"/>
  <c r="P2832" i="17"/>
  <c r="P2833" i="17"/>
  <c r="P2834" i="17"/>
  <c r="P2835" i="17"/>
  <c r="P2836" i="17"/>
  <c r="P2837" i="17"/>
  <c r="P2838" i="17"/>
  <c r="P2839" i="17"/>
  <c r="P2840" i="17"/>
  <c r="P2841" i="17"/>
  <c r="P2842" i="17"/>
  <c r="P2843" i="17"/>
  <c r="P2844" i="17"/>
  <c r="P2845" i="17"/>
  <c r="P2846" i="17"/>
  <c r="P2847" i="17"/>
  <c r="P2848" i="17"/>
  <c r="P2849" i="17"/>
  <c r="A2849" i="17" s="1"/>
  <c r="P2850" i="17"/>
  <c r="P2851" i="17"/>
  <c r="P2852" i="17"/>
  <c r="P2853" i="17"/>
  <c r="P2854" i="17"/>
  <c r="P2855" i="17"/>
  <c r="P2856" i="17"/>
  <c r="P2857" i="17"/>
  <c r="P2858" i="17"/>
  <c r="P2859" i="17"/>
  <c r="P2860" i="17"/>
  <c r="P2861" i="17"/>
  <c r="P2862" i="17"/>
  <c r="P2863" i="17"/>
  <c r="P2864" i="17"/>
  <c r="P2865" i="17"/>
  <c r="A2865" i="17" s="1"/>
  <c r="P2866" i="17"/>
  <c r="A2866" i="17" s="1"/>
  <c r="P2867" i="17"/>
  <c r="P2868" i="17"/>
  <c r="P2869" i="17"/>
  <c r="P2870" i="17"/>
  <c r="P2871" i="17"/>
  <c r="P2872" i="17"/>
  <c r="P2873" i="17"/>
  <c r="P2874" i="17"/>
  <c r="P2875" i="17"/>
  <c r="P2876" i="17"/>
  <c r="P2877" i="17"/>
  <c r="P2878" i="17"/>
  <c r="P2879" i="17"/>
  <c r="P2880" i="17"/>
  <c r="P2881" i="17"/>
  <c r="P2882" i="17"/>
  <c r="A2882" i="17" s="1"/>
  <c r="P2883" i="17"/>
  <c r="P2884" i="17"/>
  <c r="P2885" i="17"/>
  <c r="P2886" i="17"/>
  <c r="P2887" i="17"/>
  <c r="P2888" i="17"/>
  <c r="P2889" i="17"/>
  <c r="P2890" i="17"/>
  <c r="P2891" i="17"/>
  <c r="P2892" i="17"/>
  <c r="P2893" i="17"/>
  <c r="P2894" i="17"/>
  <c r="A2894" i="17" s="1"/>
  <c r="P2895" i="17"/>
  <c r="P2896" i="17"/>
  <c r="P2897" i="17"/>
  <c r="P2898" i="17"/>
  <c r="P2899" i="17"/>
  <c r="P2900" i="17"/>
  <c r="P2901" i="17"/>
  <c r="P2902" i="17"/>
  <c r="P2903" i="17"/>
  <c r="P2904" i="17"/>
  <c r="P2905" i="17"/>
  <c r="P2906" i="17"/>
  <c r="P2907" i="17"/>
  <c r="P2908" i="17"/>
  <c r="P2909" i="17"/>
  <c r="P2910" i="17"/>
  <c r="A2910" i="17" s="1"/>
  <c r="P2911" i="17"/>
  <c r="P2912" i="17"/>
  <c r="P2913" i="17"/>
  <c r="P2914" i="17"/>
  <c r="P2915" i="17"/>
  <c r="P2916" i="17"/>
  <c r="P2917" i="17"/>
  <c r="P2918" i="17"/>
  <c r="P2919" i="17"/>
  <c r="P2920" i="17"/>
  <c r="P2921" i="17"/>
  <c r="P2922" i="17"/>
  <c r="P2923" i="17"/>
  <c r="A2923" i="17" s="1"/>
  <c r="P2924" i="17"/>
  <c r="A2924" i="17" s="1"/>
  <c r="P2925" i="17"/>
  <c r="P2926" i="17"/>
  <c r="P2927" i="17"/>
  <c r="P2928" i="17"/>
  <c r="P2929" i="17"/>
  <c r="P2930" i="17"/>
  <c r="P2931" i="17"/>
  <c r="P2932" i="17"/>
  <c r="P2933" i="17"/>
  <c r="P2934" i="17"/>
  <c r="P2935" i="17"/>
  <c r="P2936" i="17"/>
  <c r="P2937" i="17"/>
  <c r="P2938" i="17"/>
  <c r="A2938" i="17" s="1"/>
  <c r="P2939" i="17"/>
  <c r="A2939" i="17" s="1"/>
  <c r="P2940" i="17"/>
  <c r="P2941" i="17"/>
  <c r="P2942" i="17"/>
  <c r="P2943" i="17"/>
  <c r="P2944" i="17"/>
  <c r="P2945" i="17"/>
  <c r="P2946" i="17"/>
  <c r="P2947" i="17"/>
  <c r="P2948" i="17"/>
  <c r="P2949" i="17"/>
  <c r="P2950" i="17"/>
  <c r="P2951" i="17"/>
  <c r="P2952" i="17"/>
  <c r="P2953" i="17"/>
  <c r="P2954" i="17"/>
  <c r="P2955" i="17"/>
  <c r="A2955" i="17" s="1"/>
  <c r="P2956" i="17"/>
  <c r="P2957" i="17"/>
  <c r="P2958" i="17"/>
  <c r="P2959" i="17"/>
  <c r="P2960" i="17"/>
  <c r="P2961" i="17"/>
  <c r="P2962" i="17"/>
  <c r="P2963" i="17"/>
  <c r="P2964" i="17"/>
  <c r="P2965" i="17"/>
  <c r="P2966" i="17"/>
  <c r="P2967" i="17"/>
  <c r="P2968" i="17"/>
  <c r="P2969" i="17"/>
  <c r="A2969" i="17" s="1"/>
  <c r="P2970" i="17"/>
  <c r="P2971" i="17"/>
  <c r="P2972" i="17"/>
  <c r="P2973" i="17"/>
  <c r="P2974" i="17"/>
  <c r="P2975" i="17"/>
  <c r="P2976" i="17"/>
  <c r="P2977" i="17"/>
  <c r="P2978" i="17"/>
  <c r="P2979" i="17"/>
  <c r="P2980" i="17"/>
  <c r="P2981" i="17"/>
  <c r="P2982" i="17"/>
  <c r="P2983" i="17"/>
  <c r="A2983" i="17" s="1"/>
  <c r="P2984" i="17"/>
  <c r="P2985" i="17"/>
  <c r="P2986" i="17"/>
  <c r="P2987" i="17"/>
  <c r="P2988" i="17"/>
  <c r="P2989" i="17"/>
  <c r="P2990" i="17"/>
  <c r="P2991" i="17"/>
  <c r="P2992" i="17"/>
  <c r="P2993" i="17"/>
  <c r="P2994" i="17"/>
  <c r="P2995" i="17"/>
  <c r="P2996" i="17"/>
  <c r="A2996" i="17" s="1"/>
  <c r="P2997" i="17"/>
  <c r="P2998" i="17"/>
  <c r="A2998" i="17" s="1"/>
  <c r="P2999" i="17"/>
  <c r="P3000" i="17"/>
  <c r="P3001" i="17"/>
  <c r="P3002" i="17"/>
  <c r="P3003" i="17"/>
  <c r="P3004" i="17"/>
  <c r="P3005" i="17"/>
  <c r="P3006" i="17"/>
  <c r="P3007" i="17"/>
  <c r="P3008" i="17"/>
  <c r="P3009" i="17"/>
  <c r="P3010" i="17"/>
  <c r="P3011" i="17"/>
  <c r="A3011" i="17" s="1"/>
  <c r="P3012" i="17"/>
  <c r="A3012" i="17" s="1"/>
  <c r="P3013" i="17"/>
  <c r="P3014" i="17"/>
  <c r="P3015" i="17"/>
  <c r="P3016" i="17"/>
  <c r="P3017" i="17"/>
  <c r="P3018" i="17"/>
  <c r="P3019" i="17"/>
  <c r="P3020" i="17"/>
  <c r="P3021" i="17"/>
  <c r="P3022" i="17"/>
  <c r="P3023" i="17"/>
  <c r="P3024" i="17"/>
  <c r="P3025" i="17"/>
  <c r="A3025" i="17" s="1"/>
  <c r="P3026" i="17"/>
  <c r="P3027" i="17"/>
  <c r="P3028" i="17"/>
  <c r="A3028" i="17" s="1"/>
  <c r="P3029" i="17"/>
  <c r="P3030" i="17"/>
  <c r="P3031" i="17"/>
  <c r="P3032" i="17"/>
  <c r="P3033" i="17"/>
  <c r="P3034" i="17"/>
  <c r="P3035" i="17"/>
  <c r="P3036" i="17"/>
  <c r="P3037" i="17"/>
  <c r="P3038" i="17"/>
  <c r="P3039" i="17"/>
  <c r="A3039" i="17" s="1"/>
  <c r="P3040" i="17"/>
  <c r="P3041" i="17"/>
  <c r="A3041" i="17" s="1"/>
  <c r="P3042" i="17"/>
  <c r="P3043" i="17"/>
  <c r="P3044" i="17"/>
  <c r="P3045" i="17"/>
  <c r="P3046" i="17"/>
  <c r="P3047" i="17"/>
  <c r="P3048" i="17"/>
  <c r="P3049" i="17"/>
  <c r="P3050" i="17"/>
  <c r="P3051" i="17"/>
  <c r="P3052" i="17"/>
  <c r="P3053" i="17"/>
  <c r="A3053" i="17" s="1"/>
  <c r="P3054" i="17"/>
  <c r="A3054" i="17" s="1"/>
  <c r="P3055" i="17"/>
  <c r="P3056" i="17"/>
  <c r="P3057" i="17"/>
  <c r="P3058" i="17"/>
  <c r="P3059" i="17"/>
  <c r="P3060" i="17"/>
  <c r="P3061" i="17"/>
  <c r="P3062" i="17"/>
  <c r="P3063" i="17"/>
  <c r="P3064" i="17"/>
  <c r="P3065" i="17"/>
  <c r="A3065" i="17" s="1"/>
  <c r="P3066" i="17"/>
  <c r="A3066" i="17" s="1"/>
  <c r="P3067" i="17"/>
  <c r="P3068" i="17"/>
  <c r="P3069" i="17"/>
  <c r="P3070" i="17"/>
  <c r="P3071" i="17"/>
  <c r="P3072" i="17"/>
  <c r="P3073" i="17"/>
  <c r="P3074" i="17"/>
  <c r="P3075" i="17"/>
  <c r="P3076" i="17"/>
  <c r="P3077" i="17"/>
  <c r="P3078" i="17"/>
  <c r="A3078" i="17" s="1"/>
  <c r="P3079" i="17"/>
  <c r="P3080" i="17"/>
  <c r="P3081" i="17"/>
  <c r="P3082" i="17"/>
  <c r="P3083" i="17"/>
  <c r="P3084" i="17"/>
  <c r="P3085" i="17"/>
  <c r="P3086" i="17"/>
  <c r="P3087" i="17"/>
  <c r="P3088" i="17"/>
  <c r="P3089" i="17"/>
  <c r="P3090" i="17"/>
  <c r="A3090" i="17" s="1"/>
  <c r="P3091" i="17"/>
  <c r="P3092" i="17"/>
  <c r="P3093" i="17"/>
  <c r="A3093" i="17" s="1"/>
  <c r="P3094" i="17"/>
  <c r="P3095" i="17"/>
  <c r="P3096" i="17"/>
  <c r="P3097" i="17"/>
  <c r="P3098" i="17"/>
  <c r="P3099" i="17"/>
  <c r="P3100" i="17"/>
  <c r="P3101" i="17"/>
  <c r="P3102" i="17"/>
  <c r="P3103" i="17"/>
  <c r="P3104" i="17"/>
  <c r="P3105" i="17"/>
  <c r="A3105" i="17" s="1"/>
  <c r="P3106" i="17"/>
  <c r="P3107" i="17"/>
  <c r="P3108" i="17"/>
  <c r="P3109" i="17"/>
  <c r="P3110" i="17"/>
  <c r="P3111" i="17"/>
  <c r="P3112" i="17"/>
  <c r="P3113" i="17"/>
  <c r="P3114" i="17"/>
  <c r="P3115" i="17"/>
  <c r="P3116" i="17"/>
  <c r="P3117" i="17"/>
  <c r="A3117" i="17" s="1"/>
  <c r="P3118" i="17"/>
  <c r="A3118" i="17" s="1"/>
  <c r="P3119" i="17"/>
  <c r="P3120" i="17"/>
  <c r="P3121" i="17"/>
  <c r="P3122" i="17"/>
  <c r="P3123" i="17"/>
  <c r="P3124" i="17"/>
  <c r="P3125" i="17"/>
  <c r="P3126" i="17"/>
  <c r="P3127" i="17"/>
  <c r="P3128" i="17"/>
  <c r="P3129" i="17"/>
  <c r="A3129" i="17" s="1"/>
  <c r="P3130" i="17"/>
  <c r="A3130" i="17" s="1"/>
  <c r="P3131" i="17"/>
  <c r="P3132" i="17"/>
  <c r="P3133" i="17"/>
  <c r="P3134" i="17"/>
  <c r="P3135" i="17"/>
  <c r="P3136" i="17"/>
  <c r="P3137" i="17"/>
  <c r="P3138" i="17"/>
  <c r="P3139" i="17"/>
  <c r="P3140" i="17"/>
  <c r="P3141" i="17"/>
  <c r="P3142" i="17"/>
  <c r="A3142" i="17" s="1"/>
  <c r="P3143" i="17"/>
  <c r="A3143" i="17" s="1"/>
  <c r="P3144" i="17"/>
  <c r="P3145" i="17"/>
  <c r="P3146" i="17"/>
  <c r="P3147" i="17"/>
  <c r="P3148" i="17"/>
  <c r="P3149" i="17"/>
  <c r="P3150" i="17"/>
  <c r="P3151" i="17"/>
  <c r="P3152" i="17"/>
  <c r="P3153" i="17"/>
  <c r="P3154" i="17"/>
  <c r="A3154" i="17" s="1"/>
  <c r="P3155" i="17"/>
  <c r="P3156" i="17"/>
  <c r="P3157" i="17"/>
  <c r="A3157" i="17" s="1"/>
  <c r="P3158" i="17"/>
  <c r="P3159" i="17"/>
  <c r="P3160" i="17"/>
  <c r="P3161" i="17"/>
  <c r="P3162" i="17"/>
  <c r="P3163" i="17"/>
  <c r="P3164" i="17"/>
  <c r="P3165" i="17"/>
  <c r="P3166" i="17"/>
  <c r="P3167" i="17"/>
  <c r="P3168" i="17"/>
  <c r="P3169" i="17"/>
  <c r="A3169" i="17" s="1"/>
  <c r="P3170" i="17"/>
  <c r="A3170" i="17" s="1"/>
  <c r="P3171" i="17"/>
  <c r="P3172" i="17"/>
  <c r="P3173" i="17"/>
  <c r="P3174" i="17"/>
  <c r="P3175" i="17"/>
  <c r="P3176" i="17"/>
  <c r="P3177" i="17"/>
  <c r="P3178" i="17"/>
  <c r="P3179" i="17"/>
  <c r="P3180" i="17"/>
  <c r="P3181" i="17"/>
  <c r="A3181" i="17" s="1"/>
  <c r="P3182" i="17"/>
  <c r="A3182" i="17" s="1"/>
  <c r="P3183" i="17"/>
  <c r="P3184" i="17"/>
  <c r="P3185" i="17"/>
  <c r="P3186" i="17"/>
  <c r="P3187" i="17"/>
  <c r="P3188" i="17"/>
  <c r="P3189" i="17"/>
  <c r="P3190" i="17"/>
  <c r="P3191" i="17"/>
  <c r="P3192" i="17"/>
  <c r="P3193" i="17"/>
  <c r="A3193" i="17" s="1"/>
  <c r="P3194" i="17"/>
  <c r="A3194" i="17" s="1"/>
  <c r="P3195" i="17"/>
  <c r="P3196" i="17"/>
  <c r="P3197" i="17"/>
  <c r="P3198" i="17"/>
  <c r="P3199" i="17"/>
  <c r="P3200" i="17"/>
  <c r="P3201" i="17"/>
  <c r="P3202" i="17"/>
  <c r="P3203" i="17"/>
  <c r="P3204" i="17"/>
  <c r="P3205" i="17"/>
  <c r="P3206" i="17"/>
  <c r="A3206" i="17" s="1"/>
  <c r="P3207" i="17"/>
  <c r="P3208" i="17"/>
  <c r="P3209" i="17"/>
  <c r="P3210" i="17"/>
  <c r="P3211" i="17"/>
  <c r="P3212" i="17"/>
  <c r="P3213" i="17"/>
  <c r="P3214" i="17"/>
  <c r="P3215" i="17"/>
  <c r="P3216" i="17"/>
  <c r="P3217" i="17"/>
  <c r="P3218" i="17"/>
  <c r="A3218" i="17" s="1"/>
  <c r="P3221" i="17"/>
  <c r="A3221" i="17" s="1"/>
  <c r="P3222" i="17"/>
  <c r="P3223" i="17"/>
  <c r="P3224" i="17"/>
  <c r="P3225" i="17"/>
  <c r="P3226" i="17"/>
  <c r="P3227" i="17"/>
  <c r="P3228" i="17"/>
  <c r="P3229" i="17"/>
  <c r="P3230" i="17"/>
  <c r="P3231" i="17"/>
  <c r="P3232" i="17"/>
  <c r="P3233" i="17"/>
  <c r="A3233" i="17" s="1"/>
  <c r="P3234" i="17"/>
  <c r="P3235" i="17"/>
  <c r="P3236" i="17"/>
  <c r="P3237" i="17"/>
  <c r="P3238" i="17"/>
  <c r="P3239" i="17"/>
  <c r="P3240" i="17"/>
  <c r="P3241" i="17"/>
  <c r="P3242" i="17"/>
  <c r="P3243" i="17"/>
  <c r="P3244" i="17"/>
  <c r="P3245" i="17"/>
  <c r="A3245" i="17" s="1"/>
  <c r="P3246" i="17"/>
  <c r="A3246" i="17" s="1"/>
  <c r="P3247" i="17"/>
  <c r="P3248" i="17"/>
  <c r="P3249" i="17"/>
  <c r="P3250" i="17"/>
  <c r="P3251" i="17"/>
  <c r="P3252" i="17"/>
  <c r="P3253" i="17"/>
  <c r="P3254" i="17"/>
  <c r="P3255" i="17"/>
  <c r="P3256" i="17"/>
  <c r="P3257" i="17"/>
  <c r="A3257" i="17" s="1"/>
  <c r="P3258" i="17"/>
  <c r="A3258" i="17" s="1"/>
  <c r="P3259" i="17"/>
  <c r="P3260" i="17"/>
  <c r="P3261" i="17"/>
  <c r="P3262" i="17"/>
  <c r="P3263" i="17"/>
  <c r="P3264" i="17"/>
  <c r="P3265" i="17"/>
  <c r="P3266" i="17"/>
  <c r="P3267" i="17"/>
  <c r="P3268" i="17"/>
  <c r="P3269" i="17"/>
  <c r="P3270" i="17"/>
  <c r="A3270" i="17" s="1"/>
  <c r="P3271" i="17"/>
  <c r="P3272" i="17"/>
  <c r="P3273" i="17"/>
  <c r="P3274" i="17"/>
  <c r="P3275" i="17"/>
  <c r="P3276" i="17"/>
  <c r="P3277" i="17"/>
  <c r="P3278" i="17"/>
  <c r="P3279" i="17"/>
  <c r="P3280" i="17"/>
  <c r="P3281" i="17"/>
  <c r="P3282" i="17"/>
  <c r="A3282" i="17" s="1"/>
  <c r="P3283" i="17"/>
  <c r="P3284" i="17"/>
  <c r="P3285" i="17"/>
  <c r="A3285" i="17" s="1"/>
  <c r="P3286" i="17"/>
  <c r="P3287" i="17"/>
  <c r="P3288" i="17"/>
  <c r="P3289" i="17"/>
  <c r="P3290" i="17"/>
  <c r="P3291" i="17"/>
  <c r="P3292" i="17"/>
  <c r="P3293" i="17"/>
  <c r="P3294" i="17"/>
  <c r="P3295" i="17"/>
  <c r="A3295" i="17" s="1"/>
  <c r="P3296" i="17"/>
  <c r="P3297" i="17"/>
  <c r="A3297" i="17" s="1"/>
  <c r="P3298" i="17"/>
  <c r="P3299" i="17"/>
  <c r="P3300" i="17"/>
  <c r="P3301" i="17"/>
  <c r="P3302" i="17"/>
  <c r="P3303" i="17"/>
  <c r="P3304" i="17"/>
  <c r="P3305" i="17"/>
  <c r="P3306" i="17"/>
  <c r="P3307" i="17"/>
  <c r="P3308" i="17"/>
  <c r="P3309" i="17"/>
  <c r="A3309" i="17" s="1"/>
  <c r="P3310" i="17"/>
  <c r="A3310" i="17" s="1"/>
  <c r="P3311" i="17"/>
  <c r="P3312" i="17"/>
  <c r="P3313" i="17"/>
  <c r="P3314" i="17"/>
  <c r="P3315" i="17"/>
  <c r="P3316" i="17"/>
  <c r="P3317" i="17"/>
  <c r="P3318" i="17"/>
  <c r="P3319" i="17"/>
  <c r="P3320" i="17"/>
  <c r="P3321" i="17"/>
  <c r="A3321" i="17" s="1"/>
  <c r="P3322" i="17"/>
  <c r="A3322" i="17" s="1"/>
  <c r="P3323" i="17"/>
  <c r="P3324" i="17"/>
  <c r="P3325" i="17"/>
  <c r="P3326" i="17"/>
  <c r="P3327" i="17"/>
  <c r="P3328" i="17"/>
  <c r="P3329" i="17"/>
  <c r="P3330" i="17"/>
  <c r="P3331" i="17"/>
  <c r="P3332" i="17"/>
  <c r="P3333" i="17"/>
  <c r="P3334" i="17"/>
  <c r="A3334" i="17" s="1"/>
  <c r="P3335" i="17"/>
  <c r="P3336" i="17"/>
  <c r="P3337" i="17"/>
  <c r="P3338" i="17"/>
  <c r="P3339" i="17"/>
  <c r="P3340" i="17"/>
  <c r="P3341" i="17"/>
  <c r="P3342" i="17"/>
  <c r="P3343" i="17"/>
  <c r="P3344" i="17"/>
  <c r="P3345" i="17"/>
  <c r="P3346" i="17"/>
  <c r="A3346" i="17" s="1"/>
  <c r="P3347" i="17"/>
  <c r="P3348" i="17"/>
  <c r="P3349" i="17"/>
  <c r="A3349" i="17" s="1"/>
  <c r="P3350" i="17"/>
  <c r="P3351" i="17"/>
  <c r="P3352" i="17"/>
  <c r="P3353" i="17"/>
  <c r="P3354" i="17"/>
  <c r="P3355" i="17"/>
  <c r="P3356" i="17"/>
  <c r="P3357" i="17"/>
  <c r="P3358" i="17"/>
  <c r="P3359" i="17"/>
  <c r="P3360" i="17"/>
  <c r="P3361" i="17"/>
  <c r="A3361" i="17" s="1"/>
  <c r="P3362" i="17"/>
  <c r="P3363" i="17"/>
  <c r="P3364" i="17"/>
  <c r="P3365" i="17"/>
  <c r="P3366" i="17"/>
  <c r="P3367" i="17"/>
  <c r="P3368" i="17"/>
  <c r="P3369" i="17"/>
  <c r="P3370" i="17"/>
  <c r="P3371" i="17"/>
  <c r="P3372" i="17"/>
  <c r="P3373" i="17"/>
  <c r="P3374" i="17"/>
  <c r="A3374" i="17" s="1"/>
  <c r="P3375" i="17"/>
  <c r="P3376" i="17"/>
  <c r="P3377" i="17"/>
  <c r="P3378" i="17"/>
  <c r="P3379" i="17"/>
  <c r="P3380" i="17"/>
  <c r="P3381" i="17"/>
  <c r="P3382" i="17"/>
  <c r="P3383" i="17"/>
  <c r="P3384" i="17"/>
  <c r="P3385" i="17"/>
  <c r="A3385" i="17" s="1"/>
  <c r="P3386" i="17"/>
  <c r="A3386" i="17" s="1"/>
  <c r="P3387" i="17"/>
  <c r="P3388" i="17"/>
  <c r="P3389" i="17"/>
  <c r="P3390" i="17"/>
  <c r="P3391" i="17"/>
  <c r="P3392" i="17"/>
  <c r="P3393" i="17"/>
  <c r="P3394" i="17"/>
  <c r="P3395" i="17"/>
  <c r="P3396" i="17"/>
  <c r="P3397" i="17"/>
  <c r="P3398" i="17"/>
  <c r="A3398" i="17" s="1"/>
  <c r="P3399" i="17"/>
  <c r="A3399" i="17" s="1"/>
  <c r="P3400" i="17"/>
  <c r="P3401" i="17"/>
  <c r="P3402" i="17"/>
  <c r="P3403" i="17"/>
  <c r="P3404" i="17"/>
  <c r="P3405" i="17"/>
  <c r="P3406" i="17"/>
  <c r="P3407" i="17"/>
  <c r="P3408" i="17"/>
  <c r="P3409" i="17"/>
  <c r="P3410" i="17"/>
  <c r="A3410" i="17" s="1"/>
  <c r="P3411" i="17"/>
  <c r="P3412" i="17"/>
  <c r="P3413" i="17"/>
  <c r="P3414" i="17"/>
  <c r="P3415" i="17"/>
  <c r="P3416" i="17"/>
  <c r="P3417" i="17"/>
  <c r="A3417" i="17" s="1"/>
  <c r="P3418" i="17"/>
  <c r="A3418" i="17" s="1"/>
  <c r="P3419" i="17"/>
  <c r="P3420" i="17"/>
  <c r="P3421" i="17"/>
  <c r="P3422" i="17"/>
  <c r="A3422" i="17" s="1"/>
  <c r="P3423" i="17"/>
  <c r="P3424" i="17"/>
  <c r="P3425" i="17"/>
  <c r="A3425" i="17" s="1"/>
  <c r="P3426" i="17"/>
  <c r="P3427" i="17"/>
  <c r="P3428" i="17"/>
  <c r="P3429" i="17"/>
  <c r="P3430" i="17"/>
  <c r="A3430" i="17" s="1"/>
  <c r="P3431" i="17"/>
  <c r="P3432" i="17"/>
  <c r="P3433" i="17"/>
  <c r="A3433" i="17" s="1"/>
  <c r="P3434" i="17"/>
  <c r="P3435" i="17"/>
  <c r="P3436" i="17"/>
  <c r="P3437" i="17"/>
  <c r="P3438" i="17"/>
  <c r="A3438" i="17" s="1"/>
  <c r="P3439" i="17"/>
  <c r="P3440" i="17"/>
  <c r="P3441" i="17"/>
  <c r="P3442" i="17"/>
  <c r="A3442" i="17" s="1"/>
  <c r="P3443" i="17"/>
  <c r="P3444" i="17"/>
  <c r="P3445" i="17"/>
  <c r="P3446" i="17"/>
  <c r="A3446" i="17" s="1"/>
  <c r="P3447" i="17"/>
  <c r="P3448" i="17"/>
  <c r="P3449" i="17"/>
  <c r="A3449" i="17" s="1"/>
  <c r="P3450" i="17"/>
  <c r="A3450" i="17" s="1"/>
  <c r="P3451" i="17"/>
  <c r="P3452" i="17"/>
  <c r="P3453" i="17"/>
  <c r="P3454" i="17"/>
  <c r="P3455" i="17"/>
  <c r="P3456" i="17"/>
  <c r="P3457" i="17"/>
  <c r="A3457" i="17" s="1"/>
  <c r="P3458" i="17"/>
  <c r="A3458" i="17" s="1"/>
  <c r="P3459" i="17"/>
  <c r="P3460" i="17"/>
  <c r="P3461" i="17"/>
  <c r="P3462" i="17"/>
  <c r="A3462" i="17" s="1"/>
  <c r="P3463" i="17"/>
  <c r="P3464" i="17"/>
  <c r="P3465" i="17"/>
  <c r="P3466" i="17"/>
  <c r="P3467" i="17"/>
  <c r="P3468" i="17"/>
  <c r="P3469" i="17"/>
  <c r="A3469" i="17" s="1"/>
  <c r="P3470" i="17"/>
  <c r="A3470" i="17" s="1"/>
  <c r="P3471" i="17"/>
  <c r="P3472" i="17"/>
  <c r="P3473" i="17"/>
  <c r="P3474" i="17"/>
  <c r="A3474" i="17" s="1"/>
  <c r="P3475" i="17"/>
  <c r="P3476" i="17"/>
  <c r="P3477" i="17"/>
  <c r="P3478" i="17"/>
  <c r="P3479" i="17"/>
  <c r="P3480" i="17"/>
  <c r="P3481" i="17"/>
  <c r="A3481" i="17" s="1"/>
  <c r="P3482" i="17"/>
  <c r="A3482" i="17" s="1"/>
  <c r="P3483" i="17"/>
  <c r="P3484" i="17"/>
  <c r="P2077" i="17"/>
  <c r="P2078" i="17"/>
  <c r="P2079" i="17"/>
  <c r="A2079" i="17" s="1"/>
  <c r="P2080" i="17"/>
  <c r="P2081" i="17"/>
  <c r="A2081" i="17" s="1"/>
  <c r="P2366" i="17"/>
  <c r="P2367" i="17"/>
  <c r="P2368" i="17"/>
  <c r="P3493" i="17"/>
  <c r="P3494" i="17"/>
  <c r="A3494" i="17" s="1"/>
  <c r="P3495" i="17"/>
  <c r="P3496" i="17"/>
  <c r="P3497" i="17"/>
  <c r="A3497" i="17" s="1"/>
  <c r="P3498" i="17"/>
  <c r="P3499" i="17"/>
  <c r="P3500" i="17"/>
  <c r="P3501" i="17"/>
  <c r="P3502" i="17"/>
  <c r="A3502" i="17" s="1"/>
  <c r="P3503" i="17"/>
  <c r="P3504" i="17"/>
  <c r="P3505" i="17"/>
  <c r="P3506" i="17"/>
  <c r="A3506" i="17" s="1"/>
  <c r="P3507" i="17"/>
  <c r="P3508" i="17"/>
  <c r="P3509" i="17"/>
  <c r="A3509" i="17" s="1"/>
  <c r="P3510" i="17"/>
  <c r="A3510" i="17" s="1"/>
  <c r="P3511" i="17"/>
  <c r="P3512" i="17"/>
  <c r="P3513" i="17"/>
  <c r="A3513" i="17" s="1"/>
  <c r="P3514" i="17"/>
  <c r="A3514" i="17" s="1"/>
  <c r="P3515" i="17"/>
  <c r="P3516" i="17"/>
  <c r="P3517" i="17"/>
  <c r="P3518" i="17"/>
  <c r="P3519" i="17"/>
  <c r="P3520" i="17"/>
  <c r="P3521" i="17"/>
  <c r="A3521" i="17" s="1"/>
  <c r="P3522" i="17"/>
  <c r="A3522" i="17" s="1"/>
  <c r="P3523" i="17"/>
  <c r="P3524" i="17"/>
  <c r="P3525" i="17"/>
  <c r="P3526" i="17"/>
  <c r="A3526" i="17" s="1"/>
  <c r="P3527" i="17"/>
  <c r="A3527" i="17" s="1"/>
  <c r="P3528" i="17"/>
  <c r="P3529" i="17"/>
  <c r="P3530" i="17"/>
  <c r="P3531" i="17"/>
  <c r="P3532" i="17"/>
  <c r="P3533" i="17"/>
  <c r="A3533" i="17" s="1"/>
  <c r="P3534" i="17"/>
  <c r="A3534" i="17" s="1"/>
  <c r="P3535" i="17"/>
  <c r="P3536" i="17"/>
  <c r="P3537" i="17"/>
  <c r="P3538" i="17"/>
  <c r="A3538" i="17" s="1"/>
  <c r="P3539" i="17"/>
  <c r="P3540" i="17"/>
  <c r="P3541" i="17"/>
  <c r="P3542" i="17"/>
  <c r="P3543" i="17"/>
  <c r="P3544" i="17"/>
  <c r="P3545" i="17"/>
  <c r="A3545" i="17" s="1"/>
  <c r="P3546" i="17"/>
  <c r="A3546" i="17" s="1"/>
  <c r="P3547" i="17"/>
  <c r="P3548" i="17"/>
  <c r="P3549" i="17"/>
  <c r="A3549" i="17" s="1"/>
  <c r="P3550" i="17"/>
  <c r="P3551" i="17"/>
  <c r="A3551" i="17" s="1"/>
  <c r="P3552" i="17"/>
  <c r="P3553" i="17"/>
  <c r="A3553" i="17" s="1"/>
  <c r="P3554" i="17"/>
  <c r="P3555" i="17"/>
  <c r="P3556" i="17"/>
  <c r="P3557" i="17"/>
  <c r="P3558" i="17"/>
  <c r="A3558" i="17" s="1"/>
  <c r="P3559" i="17"/>
  <c r="P3560" i="17"/>
  <c r="P3561" i="17"/>
  <c r="A3561" i="17" s="1"/>
  <c r="P3562" i="17"/>
  <c r="P3563" i="17"/>
  <c r="P3564" i="17"/>
  <c r="P3565" i="17"/>
  <c r="P3566" i="17"/>
  <c r="A3566" i="17" s="1"/>
  <c r="P3567" i="17"/>
  <c r="P3568" i="17"/>
  <c r="P3569" i="17"/>
  <c r="P3570" i="17"/>
  <c r="A3570" i="17" s="1"/>
  <c r="P3571" i="17"/>
  <c r="P3572" i="17"/>
  <c r="P3573" i="17"/>
  <c r="A3573" i="17" s="1"/>
  <c r="P3574" i="17"/>
  <c r="A3574" i="17" s="1"/>
  <c r="P3575" i="17"/>
  <c r="P3576" i="17"/>
  <c r="P3577" i="17"/>
  <c r="A3577" i="17" s="1"/>
  <c r="P3578" i="17"/>
  <c r="A3578" i="17" s="1"/>
  <c r="P3579" i="17"/>
  <c r="P3580" i="17"/>
  <c r="P3581" i="17"/>
  <c r="P3582" i="17"/>
  <c r="P3583" i="17"/>
  <c r="P3584" i="17"/>
  <c r="P3585" i="17"/>
  <c r="A3585" i="17" s="1"/>
  <c r="P3586" i="17"/>
  <c r="A3586" i="17" s="1"/>
  <c r="P3587" i="17"/>
  <c r="P3588" i="17"/>
  <c r="P3589" i="17"/>
  <c r="P3590" i="17"/>
  <c r="A3590" i="17" s="1"/>
  <c r="P3591" i="17"/>
  <c r="A3591" i="17" s="1"/>
  <c r="P3592" i="17"/>
  <c r="P3593" i="17"/>
  <c r="P3594" i="17"/>
  <c r="P3595" i="17"/>
  <c r="P3596" i="17"/>
  <c r="P3597" i="17"/>
  <c r="P3598" i="17"/>
  <c r="A3598" i="17" s="1"/>
  <c r="P3599" i="17"/>
  <c r="P3600" i="17"/>
  <c r="P3601" i="17"/>
  <c r="P3602" i="17"/>
  <c r="A3602" i="17" s="1"/>
  <c r="P3603" i="17"/>
  <c r="P3604" i="17"/>
  <c r="P3605" i="17"/>
  <c r="P3606" i="17"/>
  <c r="P3607" i="17"/>
  <c r="P3608" i="17"/>
  <c r="A3609" i="17"/>
  <c r="A3610" i="17"/>
  <c r="A3613" i="17"/>
  <c r="P3617" i="17"/>
  <c r="A3617" i="17" s="1"/>
  <c r="P3618" i="17"/>
  <c r="P3619" i="17"/>
  <c r="P3620" i="17"/>
  <c r="P3621" i="17"/>
  <c r="P3622" i="17"/>
  <c r="A3622" i="17" s="1"/>
  <c r="P3623" i="17"/>
  <c r="P3624" i="17"/>
  <c r="P3625" i="17"/>
  <c r="A3625" i="17" s="1"/>
  <c r="P3626" i="17"/>
  <c r="P3627" i="17"/>
  <c r="P3628" i="17"/>
  <c r="P3629" i="17"/>
  <c r="P3630" i="17"/>
  <c r="A3630" i="17" s="1"/>
  <c r="P3631" i="17"/>
  <c r="P3632" i="17"/>
  <c r="P3633" i="17"/>
  <c r="P3634" i="17"/>
  <c r="A3634" i="17" s="1"/>
  <c r="P3635" i="17"/>
  <c r="P3636" i="17"/>
  <c r="P3637" i="17"/>
  <c r="P3638" i="17"/>
  <c r="A3638" i="17" s="1"/>
  <c r="P3639" i="17"/>
  <c r="P3640" i="17"/>
  <c r="P3641" i="17"/>
  <c r="A3641" i="17" s="1"/>
  <c r="P3642" i="17"/>
  <c r="A3642" i="17" s="1"/>
  <c r="P3643" i="17"/>
  <c r="P3644" i="17"/>
  <c r="P3645" i="17"/>
  <c r="P3646" i="17"/>
  <c r="P3647" i="17"/>
  <c r="P3648" i="17"/>
  <c r="P3649" i="17"/>
  <c r="A3649" i="17" s="1"/>
  <c r="P3650" i="17"/>
  <c r="A3650" i="17" s="1"/>
  <c r="P3651" i="17"/>
  <c r="P3652" i="17"/>
  <c r="P3653" i="17"/>
  <c r="P3654" i="17"/>
  <c r="A3654" i="17" s="1"/>
  <c r="P3655" i="17"/>
  <c r="P3656" i="17"/>
  <c r="P3657" i="17"/>
  <c r="P3658" i="17"/>
  <c r="P3659" i="17"/>
  <c r="P3660" i="17"/>
  <c r="P3661" i="17"/>
  <c r="P3662" i="17"/>
  <c r="A3662" i="17" s="1"/>
  <c r="P3663" i="17"/>
  <c r="P3664" i="17"/>
  <c r="P3665" i="17"/>
  <c r="P3666" i="17"/>
  <c r="A3666" i="17" s="1"/>
  <c r="P3667" i="17"/>
  <c r="P3668" i="17"/>
  <c r="P3669" i="17"/>
  <c r="P3670" i="17"/>
  <c r="P3671" i="17"/>
  <c r="P3672" i="17"/>
  <c r="P3673" i="17"/>
  <c r="A3673" i="17" s="1"/>
  <c r="P3674" i="17"/>
  <c r="A3674" i="17" s="1"/>
  <c r="P3675" i="17"/>
  <c r="P3676" i="17"/>
  <c r="P3677" i="17"/>
  <c r="P3678" i="17"/>
  <c r="P3679" i="17"/>
  <c r="P3680" i="17"/>
  <c r="P3681" i="17"/>
  <c r="A3681" i="17" s="1"/>
  <c r="P3682" i="17"/>
  <c r="P3683" i="17"/>
  <c r="P3684" i="17"/>
  <c r="P3685" i="17"/>
  <c r="P3686" i="17"/>
  <c r="A3686" i="17" s="1"/>
  <c r="P3687" i="17"/>
  <c r="P3688" i="17"/>
  <c r="P3689" i="17"/>
  <c r="A3689" i="17" s="1"/>
  <c r="P3690" i="17"/>
  <c r="P3691" i="17"/>
  <c r="P2" i="17"/>
  <c r="M3" i="17"/>
  <c r="N3" i="17"/>
  <c r="M4" i="17"/>
  <c r="N4" i="17"/>
  <c r="M5" i="17"/>
  <c r="N5" i="17"/>
  <c r="M6" i="17"/>
  <c r="N6" i="17"/>
  <c r="M7" i="17"/>
  <c r="N7" i="17"/>
  <c r="M8" i="17"/>
  <c r="N8" i="17"/>
  <c r="M9" i="17"/>
  <c r="N9" i="17"/>
  <c r="M10" i="17"/>
  <c r="N10" i="17"/>
  <c r="M11" i="17"/>
  <c r="N11" i="17"/>
  <c r="M12" i="17"/>
  <c r="N12" i="17"/>
  <c r="M13" i="17"/>
  <c r="N13" i="17"/>
  <c r="M14" i="17"/>
  <c r="N14" i="17"/>
  <c r="M15" i="17"/>
  <c r="N15" i="17"/>
  <c r="M16" i="17"/>
  <c r="N16" i="17"/>
  <c r="M17" i="17"/>
  <c r="N17" i="17"/>
  <c r="M18" i="17"/>
  <c r="N18" i="17"/>
  <c r="M19" i="17"/>
  <c r="N19" i="17"/>
  <c r="M20" i="17"/>
  <c r="N20" i="17"/>
  <c r="M21" i="17"/>
  <c r="N21" i="17"/>
  <c r="M22" i="17"/>
  <c r="N22" i="17"/>
  <c r="M23" i="17"/>
  <c r="N23" i="17"/>
  <c r="M24" i="17"/>
  <c r="N24" i="17"/>
  <c r="M25" i="17"/>
  <c r="N25" i="17"/>
  <c r="M26" i="17"/>
  <c r="N26" i="17"/>
  <c r="M27" i="17"/>
  <c r="N27" i="17"/>
  <c r="M28" i="17"/>
  <c r="N28" i="17"/>
  <c r="M29" i="17"/>
  <c r="N29" i="17"/>
  <c r="M30" i="17"/>
  <c r="N30" i="17"/>
  <c r="M31" i="17"/>
  <c r="N31" i="17"/>
  <c r="M32" i="17"/>
  <c r="N32" i="17"/>
  <c r="M33" i="17"/>
  <c r="N33" i="17"/>
  <c r="M34" i="17"/>
  <c r="N34" i="17"/>
  <c r="M35" i="17"/>
  <c r="N35" i="17"/>
  <c r="M36" i="17"/>
  <c r="N36" i="17"/>
  <c r="M37" i="17"/>
  <c r="N37" i="17"/>
  <c r="M38" i="17"/>
  <c r="N38" i="17"/>
  <c r="M39" i="17"/>
  <c r="N39" i="17"/>
  <c r="M40" i="17"/>
  <c r="N40" i="17"/>
  <c r="M41" i="17"/>
  <c r="N41" i="17"/>
  <c r="M42" i="17"/>
  <c r="N42" i="17"/>
  <c r="M43" i="17"/>
  <c r="N43" i="17"/>
  <c r="M44" i="17"/>
  <c r="N44" i="17"/>
  <c r="M45" i="17"/>
  <c r="N45" i="17"/>
  <c r="M46" i="17"/>
  <c r="N46" i="17"/>
  <c r="M47" i="17"/>
  <c r="N47" i="17"/>
  <c r="M48" i="17"/>
  <c r="N48" i="17"/>
  <c r="M49" i="17"/>
  <c r="N49" i="17"/>
  <c r="M50" i="17"/>
  <c r="N50" i="17"/>
  <c r="M51" i="17"/>
  <c r="N51" i="17"/>
  <c r="M52" i="17"/>
  <c r="N52" i="17"/>
  <c r="M53" i="17"/>
  <c r="N53" i="17"/>
  <c r="M54" i="17"/>
  <c r="N54" i="17"/>
  <c r="M55" i="17"/>
  <c r="N55" i="17"/>
  <c r="M56" i="17"/>
  <c r="N56" i="17"/>
  <c r="M57" i="17"/>
  <c r="N57" i="17"/>
  <c r="M58" i="17"/>
  <c r="N58" i="17"/>
  <c r="M59" i="17"/>
  <c r="N59" i="17"/>
  <c r="M60" i="17"/>
  <c r="N60" i="17"/>
  <c r="M61" i="17"/>
  <c r="N61" i="17"/>
  <c r="M62" i="17"/>
  <c r="N62" i="17"/>
  <c r="M63" i="17"/>
  <c r="N63" i="17"/>
  <c r="M64" i="17"/>
  <c r="N64" i="17"/>
  <c r="M65" i="17"/>
  <c r="N65" i="17"/>
  <c r="M66" i="17"/>
  <c r="N66" i="17"/>
  <c r="M67" i="17"/>
  <c r="N67" i="17"/>
  <c r="M68" i="17"/>
  <c r="N68" i="17"/>
  <c r="M69" i="17"/>
  <c r="N69" i="17"/>
  <c r="M70" i="17"/>
  <c r="N70" i="17"/>
  <c r="M71" i="17"/>
  <c r="N71" i="17"/>
  <c r="M72" i="17"/>
  <c r="N72" i="17"/>
  <c r="M73" i="17"/>
  <c r="N73" i="17"/>
  <c r="M74" i="17"/>
  <c r="N74" i="17"/>
  <c r="M75" i="17"/>
  <c r="N75" i="17"/>
  <c r="M76" i="17"/>
  <c r="N76" i="17"/>
  <c r="M77" i="17"/>
  <c r="N77" i="17"/>
  <c r="M78" i="17"/>
  <c r="N78" i="17"/>
  <c r="M79" i="17"/>
  <c r="N79" i="17"/>
  <c r="M80" i="17"/>
  <c r="N80" i="17"/>
  <c r="M81" i="17"/>
  <c r="N81" i="17"/>
  <c r="M82" i="17"/>
  <c r="N82" i="17"/>
  <c r="M83" i="17"/>
  <c r="N83" i="17"/>
  <c r="M84" i="17"/>
  <c r="N84" i="17"/>
  <c r="M85" i="17"/>
  <c r="N85" i="17"/>
  <c r="M86" i="17"/>
  <c r="N86" i="17"/>
  <c r="M87" i="17"/>
  <c r="N87" i="17"/>
  <c r="M88" i="17"/>
  <c r="N88" i="17"/>
  <c r="M89" i="17"/>
  <c r="N89" i="17"/>
  <c r="M90" i="17"/>
  <c r="N90" i="17"/>
  <c r="M91" i="17"/>
  <c r="N91" i="17"/>
  <c r="M92" i="17"/>
  <c r="N92" i="17"/>
  <c r="M93" i="17"/>
  <c r="N93" i="17"/>
  <c r="M94" i="17"/>
  <c r="N94" i="17"/>
  <c r="M95" i="17"/>
  <c r="N95" i="17"/>
  <c r="M96" i="17"/>
  <c r="N96" i="17"/>
  <c r="M97" i="17"/>
  <c r="N97" i="17"/>
  <c r="M98" i="17"/>
  <c r="N98" i="17"/>
  <c r="M99" i="17"/>
  <c r="N99" i="17"/>
  <c r="M100" i="17"/>
  <c r="N100" i="17"/>
  <c r="M101" i="17"/>
  <c r="N101" i="17"/>
  <c r="M102" i="17"/>
  <c r="N102" i="17"/>
  <c r="M103" i="17"/>
  <c r="N103" i="17"/>
  <c r="M104" i="17"/>
  <c r="N104" i="17"/>
  <c r="M105" i="17"/>
  <c r="N105" i="17"/>
  <c r="M106" i="17"/>
  <c r="N106" i="17"/>
  <c r="M107" i="17"/>
  <c r="N107" i="17"/>
  <c r="M108" i="17"/>
  <c r="N108" i="17"/>
  <c r="M109" i="17"/>
  <c r="N109" i="17"/>
  <c r="M110" i="17"/>
  <c r="N110" i="17"/>
  <c r="M111" i="17"/>
  <c r="N111" i="17"/>
  <c r="M112" i="17"/>
  <c r="N112" i="17"/>
  <c r="M113" i="17"/>
  <c r="N113" i="17"/>
  <c r="M114" i="17"/>
  <c r="N114" i="17"/>
  <c r="M115" i="17"/>
  <c r="N115" i="17"/>
  <c r="M116" i="17"/>
  <c r="N116" i="17"/>
  <c r="M117" i="17"/>
  <c r="N117" i="17"/>
  <c r="M118" i="17"/>
  <c r="N118" i="17"/>
  <c r="M119" i="17"/>
  <c r="N119" i="17"/>
  <c r="M120" i="17"/>
  <c r="N120" i="17"/>
  <c r="M121" i="17"/>
  <c r="N121" i="17"/>
  <c r="M122" i="17"/>
  <c r="N122" i="17"/>
  <c r="M123" i="17"/>
  <c r="N123" i="17"/>
  <c r="M124" i="17"/>
  <c r="N124" i="17"/>
  <c r="M125" i="17"/>
  <c r="N125" i="17"/>
  <c r="M126" i="17"/>
  <c r="N126" i="17"/>
  <c r="M127" i="17"/>
  <c r="N127" i="17"/>
  <c r="M128" i="17"/>
  <c r="N128" i="17"/>
  <c r="M129" i="17"/>
  <c r="N129" i="17"/>
  <c r="M130" i="17"/>
  <c r="N130" i="17"/>
  <c r="M131" i="17"/>
  <c r="N131" i="17"/>
  <c r="M132" i="17"/>
  <c r="N132" i="17"/>
  <c r="M133" i="17"/>
  <c r="N133" i="17"/>
  <c r="M134" i="17"/>
  <c r="N134" i="17"/>
  <c r="M135" i="17"/>
  <c r="N135" i="17"/>
  <c r="M136" i="17"/>
  <c r="N136" i="17"/>
  <c r="M137" i="17"/>
  <c r="N137" i="17"/>
  <c r="M138" i="17"/>
  <c r="N138" i="17"/>
  <c r="M139" i="17"/>
  <c r="N139" i="17"/>
  <c r="M140" i="17"/>
  <c r="N140" i="17"/>
  <c r="M141" i="17"/>
  <c r="N141" i="17"/>
  <c r="M142" i="17"/>
  <c r="N142" i="17"/>
  <c r="M143" i="17"/>
  <c r="N143" i="17"/>
  <c r="M144" i="17"/>
  <c r="N144" i="17"/>
  <c r="M145" i="17"/>
  <c r="N145" i="17"/>
  <c r="M146" i="17"/>
  <c r="N146" i="17"/>
  <c r="M147" i="17"/>
  <c r="N147" i="17"/>
  <c r="M148" i="17"/>
  <c r="N148" i="17"/>
  <c r="M149" i="17"/>
  <c r="N149" i="17"/>
  <c r="M150" i="17"/>
  <c r="N150" i="17"/>
  <c r="M151" i="17"/>
  <c r="N151" i="17"/>
  <c r="M152" i="17"/>
  <c r="N152" i="17"/>
  <c r="M153" i="17"/>
  <c r="N153" i="17"/>
  <c r="M154" i="17"/>
  <c r="N154" i="17"/>
  <c r="M155" i="17"/>
  <c r="N155" i="17"/>
  <c r="M156" i="17"/>
  <c r="N156" i="17"/>
  <c r="M157" i="17"/>
  <c r="N157" i="17"/>
  <c r="M158" i="17"/>
  <c r="N158" i="17"/>
  <c r="M159" i="17"/>
  <c r="N159" i="17"/>
  <c r="M160" i="17"/>
  <c r="N160" i="17"/>
  <c r="M161" i="17"/>
  <c r="N161" i="17"/>
  <c r="M162" i="17"/>
  <c r="N162" i="17"/>
  <c r="M163" i="17"/>
  <c r="N163" i="17"/>
  <c r="M164" i="17"/>
  <c r="N164" i="17"/>
  <c r="M165" i="17"/>
  <c r="N165" i="17"/>
  <c r="M166" i="17"/>
  <c r="N166" i="17"/>
  <c r="M167" i="17"/>
  <c r="N167" i="17"/>
  <c r="M168" i="17"/>
  <c r="N168" i="17"/>
  <c r="M169" i="17"/>
  <c r="N169" i="17"/>
  <c r="M170" i="17"/>
  <c r="N170" i="17"/>
  <c r="M171" i="17"/>
  <c r="N171" i="17"/>
  <c r="M172" i="17"/>
  <c r="N172" i="17"/>
  <c r="M173" i="17"/>
  <c r="N173" i="17"/>
  <c r="M174" i="17"/>
  <c r="N174" i="17"/>
  <c r="M175" i="17"/>
  <c r="N175" i="17"/>
  <c r="M176" i="17"/>
  <c r="N176" i="17"/>
  <c r="M177" i="17"/>
  <c r="N177" i="17"/>
  <c r="M178" i="17"/>
  <c r="N178" i="17"/>
  <c r="M179" i="17"/>
  <c r="N179" i="17"/>
  <c r="M180" i="17"/>
  <c r="N180" i="17"/>
  <c r="M181" i="17"/>
  <c r="N181" i="17"/>
  <c r="M182" i="17"/>
  <c r="N182" i="17"/>
  <c r="M183" i="17"/>
  <c r="N183" i="17"/>
  <c r="M184" i="17"/>
  <c r="N184" i="17"/>
  <c r="M185" i="17"/>
  <c r="N185" i="17"/>
  <c r="M186" i="17"/>
  <c r="N186" i="17"/>
  <c r="M187" i="17"/>
  <c r="N187" i="17"/>
  <c r="M188" i="17"/>
  <c r="N188" i="17"/>
  <c r="M189" i="17"/>
  <c r="N189" i="17"/>
  <c r="M190" i="17"/>
  <c r="N190" i="17"/>
  <c r="M191" i="17"/>
  <c r="N191" i="17"/>
  <c r="M192" i="17"/>
  <c r="N192" i="17"/>
  <c r="M193" i="17"/>
  <c r="N193" i="17"/>
  <c r="M194" i="17"/>
  <c r="N194" i="17"/>
  <c r="M195" i="17"/>
  <c r="N195" i="17"/>
  <c r="M196" i="17"/>
  <c r="N196" i="17"/>
  <c r="M197" i="17"/>
  <c r="N197" i="17"/>
  <c r="M198" i="17"/>
  <c r="N198" i="17"/>
  <c r="M199" i="17"/>
  <c r="N199" i="17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M301" i="17"/>
  <c r="N301" i="17"/>
  <c r="M302" i="17"/>
  <c r="N302" i="17"/>
  <c r="M303" i="17"/>
  <c r="N303" i="17"/>
  <c r="M304" i="17"/>
  <c r="N304" i="17"/>
  <c r="M305" i="17"/>
  <c r="N305" i="17"/>
  <c r="M306" i="17"/>
  <c r="N306" i="17"/>
  <c r="M307" i="17"/>
  <c r="N307" i="17"/>
  <c r="M308" i="17"/>
  <c r="N308" i="17"/>
  <c r="M309" i="17"/>
  <c r="N309" i="17"/>
  <c r="M310" i="17"/>
  <c r="N310" i="17"/>
  <c r="M311" i="17"/>
  <c r="N311" i="17"/>
  <c r="M312" i="17"/>
  <c r="N312" i="17"/>
  <c r="M313" i="17"/>
  <c r="N313" i="17"/>
  <c r="M314" i="17"/>
  <c r="N314" i="17"/>
  <c r="M315" i="17"/>
  <c r="N315" i="17"/>
  <c r="M316" i="17"/>
  <c r="N316" i="17"/>
  <c r="M317" i="17"/>
  <c r="N317" i="17"/>
  <c r="M318" i="17"/>
  <c r="N318" i="17"/>
  <c r="M319" i="17"/>
  <c r="N319" i="17"/>
  <c r="M320" i="17"/>
  <c r="N320" i="17"/>
  <c r="M321" i="17"/>
  <c r="N321" i="17"/>
  <c r="M322" i="17"/>
  <c r="N322" i="17"/>
  <c r="M323" i="17"/>
  <c r="N323" i="17"/>
  <c r="M324" i="17"/>
  <c r="N324" i="17"/>
  <c r="M325" i="17"/>
  <c r="N325" i="17"/>
  <c r="M326" i="17"/>
  <c r="N326" i="17"/>
  <c r="M327" i="17"/>
  <c r="N327" i="17"/>
  <c r="M328" i="17"/>
  <c r="N328" i="17"/>
  <c r="M329" i="17"/>
  <c r="N329" i="17"/>
  <c r="M330" i="17"/>
  <c r="N330" i="17"/>
  <c r="M331" i="17"/>
  <c r="N331" i="17"/>
  <c r="M332" i="17"/>
  <c r="N332" i="17"/>
  <c r="M333" i="17"/>
  <c r="N333" i="17"/>
  <c r="M334" i="17"/>
  <c r="N334" i="17"/>
  <c r="M335" i="17"/>
  <c r="N335" i="17"/>
  <c r="M336" i="17"/>
  <c r="N336" i="17"/>
  <c r="M337" i="17"/>
  <c r="N337" i="17"/>
  <c r="M338" i="17"/>
  <c r="N338" i="17"/>
  <c r="M339" i="17"/>
  <c r="N339" i="17"/>
  <c r="M340" i="17"/>
  <c r="N340" i="17"/>
  <c r="M341" i="17"/>
  <c r="N341" i="17"/>
  <c r="M342" i="17"/>
  <c r="N342" i="17"/>
  <c r="M343" i="17"/>
  <c r="N343" i="17"/>
  <c r="M344" i="17"/>
  <c r="N344" i="17"/>
  <c r="M345" i="17"/>
  <c r="N345" i="17"/>
  <c r="M346" i="17"/>
  <c r="N346" i="17"/>
  <c r="M347" i="17"/>
  <c r="N347" i="17"/>
  <c r="M348" i="17"/>
  <c r="N348" i="17"/>
  <c r="M349" i="17"/>
  <c r="N349" i="17"/>
  <c r="M350" i="17"/>
  <c r="N350" i="17"/>
  <c r="M351" i="17"/>
  <c r="N351" i="17"/>
  <c r="M352" i="17"/>
  <c r="N352" i="17"/>
  <c r="M353" i="17"/>
  <c r="N353" i="17"/>
  <c r="M354" i="17"/>
  <c r="N354" i="17"/>
  <c r="M355" i="17"/>
  <c r="N355" i="17"/>
  <c r="M356" i="17"/>
  <c r="N356" i="17"/>
  <c r="M357" i="17"/>
  <c r="N357" i="17"/>
  <c r="M358" i="17"/>
  <c r="N358" i="17"/>
  <c r="M359" i="17"/>
  <c r="N359" i="17"/>
  <c r="M360" i="17"/>
  <c r="N360" i="17"/>
  <c r="M361" i="17"/>
  <c r="N361" i="17"/>
  <c r="M362" i="17"/>
  <c r="N362" i="17"/>
  <c r="M363" i="17"/>
  <c r="N363" i="17"/>
  <c r="M364" i="17"/>
  <c r="N364" i="17"/>
  <c r="M365" i="17"/>
  <c r="N365" i="17"/>
  <c r="M366" i="17"/>
  <c r="N366" i="17"/>
  <c r="M367" i="17"/>
  <c r="N367" i="17"/>
  <c r="M368" i="17"/>
  <c r="N368" i="17"/>
  <c r="M369" i="17"/>
  <c r="N369" i="17"/>
  <c r="M370" i="17"/>
  <c r="N370" i="17"/>
  <c r="M371" i="17"/>
  <c r="N371" i="17"/>
  <c r="M372" i="17"/>
  <c r="N372" i="17"/>
  <c r="M373" i="17"/>
  <c r="N373" i="17"/>
  <c r="M374" i="17"/>
  <c r="N374" i="17"/>
  <c r="M375" i="17"/>
  <c r="N375" i="17"/>
  <c r="M376" i="17"/>
  <c r="N376" i="17"/>
  <c r="M377" i="17"/>
  <c r="N377" i="17"/>
  <c r="M378" i="17"/>
  <c r="N378" i="17"/>
  <c r="M379" i="17"/>
  <c r="N379" i="17"/>
  <c r="M380" i="17"/>
  <c r="N380" i="17"/>
  <c r="M381" i="17"/>
  <c r="N381" i="17"/>
  <c r="M382" i="17"/>
  <c r="N382" i="17"/>
  <c r="M383" i="17"/>
  <c r="N383" i="17"/>
  <c r="M384" i="17"/>
  <c r="N384" i="17"/>
  <c r="M385" i="17"/>
  <c r="N385" i="17"/>
  <c r="M386" i="17"/>
  <c r="N386" i="17"/>
  <c r="M387" i="17"/>
  <c r="N387" i="17"/>
  <c r="M388" i="17"/>
  <c r="N388" i="17"/>
  <c r="M389" i="17"/>
  <c r="N389" i="17"/>
  <c r="M390" i="17"/>
  <c r="N390" i="17"/>
  <c r="M391" i="17"/>
  <c r="N391" i="17"/>
  <c r="M392" i="17"/>
  <c r="N392" i="17"/>
  <c r="M393" i="17"/>
  <c r="N393" i="17"/>
  <c r="M394" i="17"/>
  <c r="N394" i="17"/>
  <c r="M395" i="17"/>
  <c r="N395" i="17"/>
  <c r="M396" i="17"/>
  <c r="N396" i="17"/>
  <c r="M397" i="17"/>
  <c r="N397" i="17"/>
  <c r="M398" i="17"/>
  <c r="N398" i="17"/>
  <c r="M399" i="17"/>
  <c r="N399" i="17"/>
  <c r="M400" i="17"/>
  <c r="N400" i="17"/>
  <c r="M401" i="17"/>
  <c r="N401" i="17"/>
  <c r="M402" i="17"/>
  <c r="N402" i="17"/>
  <c r="M403" i="17"/>
  <c r="N403" i="17"/>
  <c r="M404" i="17"/>
  <c r="N404" i="17"/>
  <c r="M405" i="17"/>
  <c r="N405" i="17"/>
  <c r="M406" i="17"/>
  <c r="N406" i="17"/>
  <c r="M407" i="17"/>
  <c r="N407" i="17"/>
  <c r="M408" i="17"/>
  <c r="N408" i="17"/>
  <c r="M409" i="17"/>
  <c r="N409" i="17"/>
  <c r="M410" i="17"/>
  <c r="N410" i="17"/>
  <c r="M411" i="17"/>
  <c r="N411" i="17"/>
  <c r="M412" i="17"/>
  <c r="N412" i="17"/>
  <c r="M413" i="17"/>
  <c r="N413" i="17"/>
  <c r="M414" i="17"/>
  <c r="N414" i="17"/>
  <c r="M415" i="17"/>
  <c r="N415" i="17"/>
  <c r="M416" i="17"/>
  <c r="N416" i="17"/>
  <c r="M417" i="17"/>
  <c r="N417" i="17"/>
  <c r="M418" i="17"/>
  <c r="N418" i="17"/>
  <c r="M419" i="17"/>
  <c r="N419" i="17"/>
  <c r="M420" i="17"/>
  <c r="N420" i="17"/>
  <c r="M421" i="17"/>
  <c r="N421" i="17"/>
  <c r="M422" i="17"/>
  <c r="N422" i="17"/>
  <c r="M423" i="17"/>
  <c r="N423" i="17"/>
  <c r="M424" i="17"/>
  <c r="N424" i="17"/>
  <c r="M425" i="17"/>
  <c r="N425" i="17"/>
  <c r="M426" i="17"/>
  <c r="N426" i="17"/>
  <c r="M427" i="17"/>
  <c r="N427" i="17"/>
  <c r="M428" i="17"/>
  <c r="N428" i="17"/>
  <c r="M429" i="17"/>
  <c r="N429" i="17"/>
  <c r="M430" i="17"/>
  <c r="N430" i="17"/>
  <c r="M431" i="17"/>
  <c r="N431" i="17"/>
  <c r="M432" i="17"/>
  <c r="N432" i="17"/>
  <c r="M433" i="17"/>
  <c r="N433" i="17"/>
  <c r="M434" i="17"/>
  <c r="N434" i="17"/>
  <c r="M435" i="17"/>
  <c r="N435" i="17"/>
  <c r="M436" i="17"/>
  <c r="N436" i="17"/>
  <c r="M437" i="17"/>
  <c r="N437" i="17"/>
  <c r="M438" i="17"/>
  <c r="N438" i="17"/>
  <c r="M439" i="17"/>
  <c r="N439" i="17"/>
  <c r="M440" i="17"/>
  <c r="N440" i="17"/>
  <c r="M441" i="17"/>
  <c r="N441" i="17"/>
  <c r="M442" i="17"/>
  <c r="N442" i="17"/>
  <c r="M443" i="17"/>
  <c r="N443" i="17"/>
  <c r="M444" i="17"/>
  <c r="N444" i="17"/>
  <c r="M445" i="17"/>
  <c r="N445" i="17"/>
  <c r="M446" i="17"/>
  <c r="N446" i="17"/>
  <c r="M447" i="17"/>
  <c r="N447" i="17"/>
  <c r="M448" i="17"/>
  <c r="N448" i="17"/>
  <c r="M449" i="17"/>
  <c r="N449" i="17"/>
  <c r="M450" i="17"/>
  <c r="N450" i="17"/>
  <c r="M451" i="17"/>
  <c r="N451" i="17"/>
  <c r="M452" i="17"/>
  <c r="N452" i="17"/>
  <c r="M453" i="17"/>
  <c r="N453" i="17"/>
  <c r="M454" i="17"/>
  <c r="N454" i="17"/>
  <c r="M455" i="17"/>
  <c r="N455" i="17"/>
  <c r="M456" i="17"/>
  <c r="N456" i="17"/>
  <c r="M457" i="17"/>
  <c r="N457" i="17"/>
  <c r="M458" i="17"/>
  <c r="N458" i="17"/>
  <c r="M459" i="17"/>
  <c r="N459" i="17"/>
  <c r="M460" i="17"/>
  <c r="N460" i="17"/>
  <c r="M461" i="17"/>
  <c r="N461" i="17"/>
  <c r="M462" i="17"/>
  <c r="N462" i="17"/>
  <c r="M463" i="17"/>
  <c r="N463" i="17"/>
  <c r="M464" i="17"/>
  <c r="N464" i="17"/>
  <c r="M465" i="17"/>
  <c r="N465" i="17"/>
  <c r="M466" i="17"/>
  <c r="N466" i="17"/>
  <c r="M467" i="17"/>
  <c r="N467" i="17"/>
  <c r="M468" i="17"/>
  <c r="N468" i="17"/>
  <c r="M469" i="17"/>
  <c r="N469" i="17"/>
  <c r="M470" i="17"/>
  <c r="N470" i="17"/>
  <c r="M471" i="17"/>
  <c r="N471" i="17"/>
  <c r="M472" i="17"/>
  <c r="N472" i="17"/>
  <c r="M473" i="17"/>
  <c r="N473" i="17"/>
  <c r="M474" i="17"/>
  <c r="N474" i="17"/>
  <c r="M475" i="17"/>
  <c r="N475" i="17"/>
  <c r="M476" i="17"/>
  <c r="N476" i="17"/>
  <c r="M477" i="17"/>
  <c r="N477" i="17"/>
  <c r="M478" i="17"/>
  <c r="N478" i="17"/>
  <c r="M479" i="17"/>
  <c r="N479" i="17"/>
  <c r="M480" i="17"/>
  <c r="N480" i="17"/>
  <c r="M481" i="17"/>
  <c r="N481" i="17"/>
  <c r="M482" i="17"/>
  <c r="N482" i="17"/>
  <c r="M483" i="17"/>
  <c r="N483" i="17"/>
  <c r="M484" i="17"/>
  <c r="N484" i="17"/>
  <c r="M485" i="17"/>
  <c r="N485" i="17"/>
  <c r="M486" i="17"/>
  <c r="N486" i="17"/>
  <c r="M487" i="17"/>
  <c r="N487" i="17"/>
  <c r="M488" i="17"/>
  <c r="N488" i="17"/>
  <c r="M489" i="17"/>
  <c r="N489" i="17"/>
  <c r="M490" i="17"/>
  <c r="N490" i="17"/>
  <c r="M491" i="17"/>
  <c r="N491" i="17"/>
  <c r="M492" i="17"/>
  <c r="N492" i="17"/>
  <c r="M493" i="17"/>
  <c r="N493" i="17"/>
  <c r="M494" i="17"/>
  <c r="N494" i="17"/>
  <c r="M495" i="17"/>
  <c r="N495" i="17"/>
  <c r="M496" i="17"/>
  <c r="N496" i="17"/>
  <c r="M497" i="17"/>
  <c r="N497" i="17"/>
  <c r="M498" i="17"/>
  <c r="N498" i="17"/>
  <c r="M499" i="17"/>
  <c r="N499" i="17"/>
  <c r="M500" i="17"/>
  <c r="N500" i="17"/>
  <c r="M501" i="17"/>
  <c r="N501" i="17"/>
  <c r="M502" i="17"/>
  <c r="N502" i="17"/>
  <c r="M503" i="17"/>
  <c r="N503" i="17"/>
  <c r="M504" i="17"/>
  <c r="N504" i="17"/>
  <c r="M505" i="17"/>
  <c r="N505" i="17"/>
  <c r="M506" i="17"/>
  <c r="N506" i="17"/>
  <c r="M507" i="17"/>
  <c r="N507" i="17"/>
  <c r="M508" i="17"/>
  <c r="N508" i="17"/>
  <c r="M509" i="17"/>
  <c r="N509" i="17"/>
  <c r="M510" i="17"/>
  <c r="N510" i="17"/>
  <c r="M511" i="17"/>
  <c r="N511" i="17"/>
  <c r="M512" i="17"/>
  <c r="N512" i="17"/>
  <c r="M513" i="17"/>
  <c r="N513" i="17"/>
  <c r="M514" i="17"/>
  <c r="N514" i="17"/>
  <c r="M515" i="17"/>
  <c r="N515" i="17"/>
  <c r="M516" i="17"/>
  <c r="N516" i="17"/>
  <c r="M517" i="17"/>
  <c r="N517" i="17"/>
  <c r="M518" i="17"/>
  <c r="N518" i="17"/>
  <c r="M519" i="17"/>
  <c r="N519" i="17"/>
  <c r="M520" i="17"/>
  <c r="N520" i="17"/>
  <c r="M521" i="17"/>
  <c r="N521" i="17"/>
  <c r="M522" i="17"/>
  <c r="N522" i="17"/>
  <c r="M523" i="17"/>
  <c r="N523" i="17"/>
  <c r="M524" i="17"/>
  <c r="N524" i="17"/>
  <c r="M525" i="17"/>
  <c r="N525" i="17"/>
  <c r="M526" i="17"/>
  <c r="N526" i="17"/>
  <c r="M527" i="17"/>
  <c r="N527" i="17"/>
  <c r="M528" i="17"/>
  <c r="N528" i="17"/>
  <c r="M529" i="17"/>
  <c r="N529" i="17"/>
  <c r="M530" i="17"/>
  <c r="N530" i="17"/>
  <c r="M531" i="17"/>
  <c r="N531" i="17"/>
  <c r="M532" i="17"/>
  <c r="N532" i="17"/>
  <c r="M533" i="17"/>
  <c r="N533" i="17"/>
  <c r="M534" i="17"/>
  <c r="N534" i="17"/>
  <c r="M535" i="17"/>
  <c r="N535" i="17"/>
  <c r="M536" i="17"/>
  <c r="N536" i="17"/>
  <c r="M537" i="17"/>
  <c r="N537" i="17"/>
  <c r="M538" i="17"/>
  <c r="N538" i="17"/>
  <c r="M539" i="17"/>
  <c r="N539" i="17"/>
  <c r="M540" i="17"/>
  <c r="N540" i="17"/>
  <c r="M541" i="17"/>
  <c r="N541" i="17"/>
  <c r="M542" i="17"/>
  <c r="N542" i="17"/>
  <c r="M543" i="17"/>
  <c r="N543" i="17"/>
  <c r="M544" i="17"/>
  <c r="N544" i="17"/>
  <c r="M545" i="17"/>
  <c r="N545" i="17"/>
  <c r="M546" i="17"/>
  <c r="N546" i="17"/>
  <c r="M547" i="17"/>
  <c r="N547" i="17"/>
  <c r="M548" i="17"/>
  <c r="N548" i="17"/>
  <c r="M549" i="17"/>
  <c r="N549" i="17"/>
  <c r="M550" i="17"/>
  <c r="N550" i="17"/>
  <c r="M551" i="17"/>
  <c r="N551" i="17"/>
  <c r="M552" i="17"/>
  <c r="N552" i="17"/>
  <c r="M553" i="17"/>
  <c r="N553" i="17"/>
  <c r="M554" i="17"/>
  <c r="N554" i="17"/>
  <c r="M555" i="17"/>
  <c r="N555" i="17"/>
  <c r="M556" i="17"/>
  <c r="N556" i="17"/>
  <c r="M557" i="17"/>
  <c r="N557" i="17"/>
  <c r="M558" i="17"/>
  <c r="N558" i="17"/>
  <c r="M559" i="17"/>
  <c r="N559" i="17"/>
  <c r="M560" i="17"/>
  <c r="N560" i="17"/>
  <c r="M561" i="17"/>
  <c r="N561" i="17"/>
  <c r="M562" i="17"/>
  <c r="N562" i="17"/>
  <c r="M563" i="17"/>
  <c r="N563" i="17"/>
  <c r="M564" i="17"/>
  <c r="N564" i="17"/>
  <c r="M565" i="17"/>
  <c r="N565" i="17"/>
  <c r="M566" i="17"/>
  <c r="N566" i="17"/>
  <c r="M567" i="17"/>
  <c r="N567" i="17"/>
  <c r="M568" i="17"/>
  <c r="N568" i="17"/>
  <c r="M569" i="17"/>
  <c r="N569" i="17"/>
  <c r="M570" i="17"/>
  <c r="N570" i="17"/>
  <c r="M571" i="17"/>
  <c r="N571" i="17"/>
  <c r="M572" i="17"/>
  <c r="N572" i="17"/>
  <c r="M573" i="17"/>
  <c r="N573" i="17"/>
  <c r="M574" i="17"/>
  <c r="N574" i="17"/>
  <c r="M575" i="17"/>
  <c r="N575" i="17"/>
  <c r="M576" i="17"/>
  <c r="N576" i="17"/>
  <c r="M577" i="17"/>
  <c r="N577" i="17"/>
  <c r="M578" i="17"/>
  <c r="N578" i="17"/>
  <c r="M579" i="17"/>
  <c r="N579" i="17"/>
  <c r="M580" i="17"/>
  <c r="N580" i="17"/>
  <c r="M581" i="17"/>
  <c r="N581" i="17"/>
  <c r="M582" i="17"/>
  <c r="N582" i="17"/>
  <c r="M583" i="17"/>
  <c r="N583" i="17"/>
  <c r="M584" i="17"/>
  <c r="N584" i="17"/>
  <c r="M585" i="17"/>
  <c r="N585" i="17"/>
  <c r="M586" i="17"/>
  <c r="N586" i="17"/>
  <c r="M587" i="17"/>
  <c r="N587" i="17"/>
  <c r="M588" i="17"/>
  <c r="N588" i="17"/>
  <c r="M589" i="17"/>
  <c r="N589" i="17"/>
  <c r="M590" i="17"/>
  <c r="N590" i="17"/>
  <c r="M591" i="17"/>
  <c r="N591" i="17"/>
  <c r="M592" i="17"/>
  <c r="N592" i="17"/>
  <c r="M593" i="17"/>
  <c r="N593" i="17"/>
  <c r="M594" i="17"/>
  <c r="N594" i="17"/>
  <c r="M595" i="17"/>
  <c r="N595" i="17"/>
  <c r="M596" i="17"/>
  <c r="N596" i="17"/>
  <c r="M597" i="17"/>
  <c r="N597" i="17"/>
  <c r="M598" i="17"/>
  <c r="N598" i="17"/>
  <c r="M599" i="17"/>
  <c r="N599" i="17"/>
  <c r="M600" i="17"/>
  <c r="N600" i="17"/>
  <c r="M601" i="17"/>
  <c r="N601" i="17"/>
  <c r="M602" i="17"/>
  <c r="N602" i="17"/>
  <c r="M603" i="17"/>
  <c r="N603" i="17"/>
  <c r="M604" i="17"/>
  <c r="N604" i="17"/>
  <c r="M605" i="17"/>
  <c r="N605" i="17"/>
  <c r="M606" i="17"/>
  <c r="N606" i="17"/>
  <c r="M607" i="17"/>
  <c r="N607" i="17"/>
  <c r="M608" i="17"/>
  <c r="N608" i="17"/>
  <c r="M609" i="17"/>
  <c r="N609" i="17"/>
  <c r="M610" i="17"/>
  <c r="N610" i="17"/>
  <c r="M611" i="17"/>
  <c r="N611" i="17"/>
  <c r="M612" i="17"/>
  <c r="N612" i="17"/>
  <c r="M613" i="17"/>
  <c r="N613" i="17"/>
  <c r="M614" i="17"/>
  <c r="N614" i="17"/>
  <c r="M615" i="17"/>
  <c r="N615" i="17"/>
  <c r="M616" i="17"/>
  <c r="N616" i="17"/>
  <c r="M617" i="17"/>
  <c r="N617" i="17"/>
  <c r="M618" i="17"/>
  <c r="N618" i="17"/>
  <c r="M619" i="17"/>
  <c r="N619" i="17"/>
  <c r="M620" i="17"/>
  <c r="N620" i="17"/>
  <c r="M621" i="17"/>
  <c r="N621" i="17"/>
  <c r="M622" i="17"/>
  <c r="N622" i="17"/>
  <c r="M623" i="17"/>
  <c r="N623" i="17"/>
  <c r="M624" i="17"/>
  <c r="N624" i="17"/>
  <c r="M625" i="17"/>
  <c r="N625" i="17"/>
  <c r="M626" i="17"/>
  <c r="N626" i="17"/>
  <c r="M627" i="17"/>
  <c r="N627" i="17"/>
  <c r="M628" i="17"/>
  <c r="N628" i="17"/>
  <c r="M629" i="17"/>
  <c r="N629" i="17"/>
  <c r="M630" i="17"/>
  <c r="N630" i="17"/>
  <c r="M631" i="17"/>
  <c r="N631" i="17"/>
  <c r="M632" i="17"/>
  <c r="N632" i="17"/>
  <c r="M633" i="17"/>
  <c r="N633" i="17"/>
  <c r="M634" i="17"/>
  <c r="N634" i="17"/>
  <c r="M635" i="17"/>
  <c r="N635" i="17"/>
  <c r="M636" i="17"/>
  <c r="N636" i="17"/>
  <c r="M637" i="17"/>
  <c r="N637" i="17"/>
  <c r="M638" i="17"/>
  <c r="N638" i="17"/>
  <c r="M639" i="17"/>
  <c r="N639" i="17"/>
  <c r="M640" i="17"/>
  <c r="N640" i="17"/>
  <c r="M641" i="17"/>
  <c r="N641" i="17"/>
  <c r="M642" i="17"/>
  <c r="N642" i="17"/>
  <c r="M643" i="17"/>
  <c r="N643" i="17"/>
  <c r="M644" i="17"/>
  <c r="N644" i="17"/>
  <c r="M645" i="17"/>
  <c r="N645" i="17"/>
  <c r="M646" i="17"/>
  <c r="N646" i="17"/>
  <c r="M647" i="17"/>
  <c r="N647" i="17"/>
  <c r="M648" i="17"/>
  <c r="N648" i="17"/>
  <c r="M649" i="17"/>
  <c r="N649" i="17"/>
  <c r="M650" i="17"/>
  <c r="N650" i="17"/>
  <c r="M651" i="17"/>
  <c r="N651" i="17"/>
  <c r="M652" i="17"/>
  <c r="N652" i="17"/>
  <c r="M653" i="17"/>
  <c r="N653" i="17"/>
  <c r="M654" i="17"/>
  <c r="N654" i="17"/>
  <c r="M655" i="17"/>
  <c r="N655" i="17"/>
  <c r="M656" i="17"/>
  <c r="N656" i="17"/>
  <c r="M657" i="17"/>
  <c r="N657" i="17"/>
  <c r="M658" i="17"/>
  <c r="N658" i="17"/>
  <c r="M659" i="17"/>
  <c r="N659" i="17"/>
  <c r="M660" i="17"/>
  <c r="N660" i="17"/>
  <c r="M661" i="17"/>
  <c r="N661" i="17"/>
  <c r="M662" i="17"/>
  <c r="N662" i="17"/>
  <c r="M663" i="17"/>
  <c r="N663" i="17"/>
  <c r="M664" i="17"/>
  <c r="N664" i="17"/>
  <c r="M665" i="17"/>
  <c r="N665" i="17"/>
  <c r="M666" i="17"/>
  <c r="N666" i="17"/>
  <c r="M667" i="17"/>
  <c r="N667" i="17"/>
  <c r="M668" i="17"/>
  <c r="N668" i="17"/>
  <c r="M669" i="17"/>
  <c r="N669" i="17"/>
  <c r="M670" i="17"/>
  <c r="N670" i="17"/>
  <c r="M671" i="17"/>
  <c r="N671" i="17"/>
  <c r="M672" i="17"/>
  <c r="N672" i="17"/>
  <c r="M673" i="17"/>
  <c r="N673" i="17"/>
  <c r="M674" i="17"/>
  <c r="N674" i="17"/>
  <c r="M675" i="17"/>
  <c r="N675" i="17"/>
  <c r="M676" i="17"/>
  <c r="N676" i="17"/>
  <c r="M677" i="17"/>
  <c r="N677" i="17"/>
  <c r="M678" i="17"/>
  <c r="N678" i="17"/>
  <c r="M679" i="17"/>
  <c r="N679" i="17"/>
  <c r="M680" i="17"/>
  <c r="N680" i="17"/>
  <c r="M681" i="17"/>
  <c r="N681" i="17"/>
  <c r="M682" i="17"/>
  <c r="N682" i="17"/>
  <c r="M683" i="17"/>
  <c r="N683" i="17"/>
  <c r="M684" i="17"/>
  <c r="N684" i="17"/>
  <c r="M685" i="17"/>
  <c r="N685" i="17"/>
  <c r="M686" i="17"/>
  <c r="N686" i="17"/>
  <c r="M687" i="17"/>
  <c r="N687" i="17"/>
  <c r="M688" i="17"/>
  <c r="N688" i="17"/>
  <c r="M689" i="17"/>
  <c r="N689" i="17"/>
  <c r="M690" i="17"/>
  <c r="N690" i="17"/>
  <c r="M691" i="17"/>
  <c r="N691" i="17"/>
  <c r="M692" i="17"/>
  <c r="N692" i="17"/>
  <c r="M693" i="17"/>
  <c r="N693" i="17"/>
  <c r="M694" i="17"/>
  <c r="N694" i="17"/>
  <c r="M695" i="17"/>
  <c r="N695" i="17"/>
  <c r="M696" i="17"/>
  <c r="N696" i="17"/>
  <c r="M697" i="17"/>
  <c r="N697" i="17"/>
  <c r="M698" i="17"/>
  <c r="N698" i="17"/>
  <c r="M699" i="17"/>
  <c r="N699" i="17"/>
  <c r="M700" i="17"/>
  <c r="N700" i="17"/>
  <c r="M701" i="17"/>
  <c r="N701" i="17"/>
  <c r="M702" i="17"/>
  <c r="N702" i="17"/>
  <c r="M703" i="17"/>
  <c r="N703" i="17"/>
  <c r="M704" i="17"/>
  <c r="N704" i="17"/>
  <c r="M705" i="17"/>
  <c r="N705" i="17"/>
  <c r="M706" i="17"/>
  <c r="N706" i="17"/>
  <c r="M707" i="17"/>
  <c r="N707" i="17"/>
  <c r="M708" i="17"/>
  <c r="N708" i="17"/>
  <c r="M709" i="17"/>
  <c r="N709" i="17"/>
  <c r="M710" i="17"/>
  <c r="N710" i="17"/>
  <c r="M711" i="17"/>
  <c r="N711" i="17"/>
  <c r="M712" i="17"/>
  <c r="N712" i="17"/>
  <c r="M713" i="17"/>
  <c r="N713" i="17"/>
  <c r="M714" i="17"/>
  <c r="N714" i="17"/>
  <c r="M715" i="17"/>
  <c r="N715" i="17"/>
  <c r="M716" i="17"/>
  <c r="N716" i="17"/>
  <c r="M717" i="17"/>
  <c r="N717" i="17"/>
  <c r="M718" i="17"/>
  <c r="N718" i="17"/>
  <c r="M719" i="17"/>
  <c r="N719" i="17"/>
  <c r="M720" i="17"/>
  <c r="N720" i="17"/>
  <c r="M721" i="17"/>
  <c r="N721" i="17"/>
  <c r="M722" i="17"/>
  <c r="N722" i="17"/>
  <c r="M723" i="17"/>
  <c r="N723" i="17"/>
  <c r="M724" i="17"/>
  <c r="N724" i="17"/>
  <c r="M725" i="17"/>
  <c r="N725" i="17"/>
  <c r="M726" i="17"/>
  <c r="N726" i="17"/>
  <c r="M727" i="17"/>
  <c r="N727" i="17"/>
  <c r="M728" i="17"/>
  <c r="N728" i="17"/>
  <c r="M729" i="17"/>
  <c r="N729" i="17"/>
  <c r="M730" i="17"/>
  <c r="N730" i="17"/>
  <c r="M731" i="17"/>
  <c r="N731" i="17"/>
  <c r="M732" i="17"/>
  <c r="N732" i="17"/>
  <c r="M733" i="17"/>
  <c r="N733" i="17"/>
  <c r="M734" i="17"/>
  <c r="N734" i="17"/>
  <c r="M735" i="17"/>
  <c r="N735" i="17"/>
  <c r="M736" i="17"/>
  <c r="N736" i="17"/>
  <c r="M737" i="17"/>
  <c r="N737" i="17"/>
  <c r="M738" i="17"/>
  <c r="N738" i="17"/>
  <c r="M739" i="17"/>
  <c r="N739" i="17"/>
  <c r="M740" i="17"/>
  <c r="N740" i="17"/>
  <c r="M741" i="17"/>
  <c r="N741" i="17"/>
  <c r="M742" i="17"/>
  <c r="N742" i="17"/>
  <c r="M743" i="17"/>
  <c r="N743" i="17"/>
  <c r="M744" i="17"/>
  <c r="N744" i="17"/>
  <c r="M745" i="17"/>
  <c r="N745" i="17"/>
  <c r="M746" i="17"/>
  <c r="N746" i="17"/>
  <c r="M747" i="17"/>
  <c r="N747" i="17"/>
  <c r="M748" i="17"/>
  <c r="N748" i="17"/>
  <c r="M749" i="17"/>
  <c r="N749" i="17"/>
  <c r="M750" i="17"/>
  <c r="N750" i="17"/>
  <c r="M751" i="17"/>
  <c r="N751" i="17"/>
  <c r="M752" i="17"/>
  <c r="N752" i="17"/>
  <c r="M753" i="17"/>
  <c r="N753" i="17"/>
  <c r="M754" i="17"/>
  <c r="N754" i="17"/>
  <c r="M755" i="17"/>
  <c r="N755" i="17"/>
  <c r="M756" i="17"/>
  <c r="N756" i="17"/>
  <c r="M757" i="17"/>
  <c r="N757" i="17"/>
  <c r="M758" i="17"/>
  <c r="N758" i="17"/>
  <c r="M759" i="17"/>
  <c r="N759" i="17"/>
  <c r="M760" i="17"/>
  <c r="N760" i="17"/>
  <c r="M761" i="17"/>
  <c r="N761" i="17"/>
  <c r="M762" i="17"/>
  <c r="N762" i="17"/>
  <c r="M763" i="17"/>
  <c r="N763" i="17"/>
  <c r="M764" i="17"/>
  <c r="N764" i="17"/>
  <c r="M765" i="17"/>
  <c r="N765" i="17"/>
  <c r="M766" i="17"/>
  <c r="N766" i="17"/>
  <c r="M767" i="17"/>
  <c r="N767" i="17"/>
  <c r="M768" i="17"/>
  <c r="N768" i="17"/>
  <c r="M769" i="17"/>
  <c r="N769" i="17"/>
  <c r="M770" i="17"/>
  <c r="N770" i="17"/>
  <c r="M771" i="17"/>
  <c r="N771" i="17"/>
  <c r="M772" i="17"/>
  <c r="N772" i="17"/>
  <c r="M773" i="17"/>
  <c r="N773" i="17"/>
  <c r="M774" i="17"/>
  <c r="N774" i="17"/>
  <c r="M775" i="17"/>
  <c r="N775" i="17"/>
  <c r="M776" i="17"/>
  <c r="N776" i="17"/>
  <c r="M777" i="17"/>
  <c r="N777" i="17"/>
  <c r="M778" i="17"/>
  <c r="N778" i="17"/>
  <c r="M779" i="17"/>
  <c r="N779" i="17"/>
  <c r="M780" i="17"/>
  <c r="N780" i="17"/>
  <c r="M781" i="17"/>
  <c r="N781" i="17"/>
  <c r="M782" i="17"/>
  <c r="N782" i="17"/>
  <c r="M783" i="17"/>
  <c r="N783" i="17"/>
  <c r="M784" i="17"/>
  <c r="N784" i="17"/>
  <c r="M785" i="17"/>
  <c r="N785" i="17"/>
  <c r="M786" i="17"/>
  <c r="N786" i="17"/>
  <c r="M787" i="17"/>
  <c r="N787" i="17"/>
  <c r="M788" i="17"/>
  <c r="N788" i="17"/>
  <c r="M789" i="17"/>
  <c r="N789" i="17"/>
  <c r="M790" i="17"/>
  <c r="N790" i="17"/>
  <c r="M791" i="17"/>
  <c r="N791" i="17"/>
  <c r="M792" i="17"/>
  <c r="N792" i="17"/>
  <c r="M793" i="17"/>
  <c r="N793" i="17"/>
  <c r="M794" i="17"/>
  <c r="N794" i="17"/>
  <c r="M795" i="17"/>
  <c r="N795" i="17"/>
  <c r="M796" i="17"/>
  <c r="N796" i="17"/>
  <c r="M797" i="17"/>
  <c r="N797" i="17"/>
  <c r="M798" i="17"/>
  <c r="N798" i="17"/>
  <c r="M799" i="17"/>
  <c r="N799" i="17"/>
  <c r="M800" i="17"/>
  <c r="N800" i="17"/>
  <c r="M801" i="17"/>
  <c r="N801" i="17"/>
  <c r="M802" i="17"/>
  <c r="N802" i="17"/>
  <c r="M803" i="17"/>
  <c r="N803" i="17"/>
  <c r="M804" i="17"/>
  <c r="N804" i="17"/>
  <c r="M805" i="17"/>
  <c r="N805" i="17"/>
  <c r="M806" i="17"/>
  <c r="N806" i="17"/>
  <c r="M807" i="17"/>
  <c r="N807" i="17"/>
  <c r="M808" i="17"/>
  <c r="N808" i="17"/>
  <c r="M809" i="17"/>
  <c r="N809" i="17"/>
  <c r="M810" i="17"/>
  <c r="N810" i="17"/>
  <c r="M811" i="17"/>
  <c r="N811" i="17"/>
  <c r="M812" i="17"/>
  <c r="N812" i="17"/>
  <c r="M813" i="17"/>
  <c r="N813" i="17"/>
  <c r="M814" i="17"/>
  <c r="N814" i="17"/>
  <c r="M815" i="17"/>
  <c r="N815" i="17"/>
  <c r="M816" i="17"/>
  <c r="N816" i="17"/>
  <c r="M817" i="17"/>
  <c r="N817" i="17"/>
  <c r="M818" i="17"/>
  <c r="N818" i="17"/>
  <c r="M819" i="17"/>
  <c r="N819" i="17"/>
  <c r="M820" i="17"/>
  <c r="N820" i="17"/>
  <c r="M821" i="17"/>
  <c r="N821" i="17"/>
  <c r="M822" i="17"/>
  <c r="N822" i="17"/>
  <c r="M823" i="17"/>
  <c r="N823" i="17"/>
  <c r="M824" i="17"/>
  <c r="N824" i="17"/>
  <c r="M825" i="17"/>
  <c r="N825" i="17"/>
  <c r="M826" i="17"/>
  <c r="N826" i="17"/>
  <c r="M827" i="17"/>
  <c r="N827" i="17"/>
  <c r="M828" i="17"/>
  <c r="N828" i="17"/>
  <c r="M829" i="17"/>
  <c r="N829" i="17"/>
  <c r="M830" i="17"/>
  <c r="N830" i="17"/>
  <c r="M831" i="17"/>
  <c r="N831" i="17"/>
  <c r="M832" i="17"/>
  <c r="N832" i="17"/>
  <c r="M833" i="17"/>
  <c r="N833" i="17"/>
  <c r="M834" i="17"/>
  <c r="N834" i="17"/>
  <c r="M835" i="17"/>
  <c r="N835" i="17"/>
  <c r="M836" i="17"/>
  <c r="N836" i="17"/>
  <c r="M837" i="17"/>
  <c r="N837" i="17"/>
  <c r="M838" i="17"/>
  <c r="N838" i="17"/>
  <c r="M839" i="17"/>
  <c r="N839" i="17"/>
  <c r="M840" i="17"/>
  <c r="N840" i="17"/>
  <c r="M841" i="17"/>
  <c r="N841" i="17"/>
  <c r="M842" i="17"/>
  <c r="N842" i="17"/>
  <c r="M843" i="17"/>
  <c r="N843" i="17"/>
  <c r="M844" i="17"/>
  <c r="N844" i="17"/>
  <c r="M845" i="17"/>
  <c r="N845" i="17"/>
  <c r="M846" i="17"/>
  <c r="N846" i="17"/>
  <c r="M847" i="17"/>
  <c r="N847" i="17"/>
  <c r="M848" i="17"/>
  <c r="N848" i="17"/>
  <c r="M849" i="17"/>
  <c r="N849" i="17"/>
  <c r="M850" i="17"/>
  <c r="N850" i="17"/>
  <c r="M851" i="17"/>
  <c r="N851" i="17"/>
  <c r="M852" i="17"/>
  <c r="N852" i="17"/>
  <c r="M853" i="17"/>
  <c r="N853" i="17"/>
  <c r="M854" i="17"/>
  <c r="N854" i="17"/>
  <c r="M855" i="17"/>
  <c r="N855" i="17"/>
  <c r="M856" i="17"/>
  <c r="N856" i="17"/>
  <c r="M857" i="17"/>
  <c r="N857" i="17"/>
  <c r="M858" i="17"/>
  <c r="N858" i="17"/>
  <c r="M859" i="17"/>
  <c r="N859" i="17"/>
  <c r="M860" i="17"/>
  <c r="N860" i="17"/>
  <c r="M861" i="17"/>
  <c r="N861" i="17"/>
  <c r="M862" i="17"/>
  <c r="N862" i="17"/>
  <c r="M863" i="17"/>
  <c r="N863" i="17"/>
  <c r="M864" i="17"/>
  <c r="N864" i="17"/>
  <c r="M865" i="17"/>
  <c r="N865" i="17"/>
  <c r="M866" i="17"/>
  <c r="N866" i="17"/>
  <c r="M867" i="17"/>
  <c r="N867" i="17"/>
  <c r="M868" i="17"/>
  <c r="N868" i="17"/>
  <c r="M869" i="17"/>
  <c r="N869" i="17"/>
  <c r="M870" i="17"/>
  <c r="N870" i="17"/>
  <c r="M871" i="17"/>
  <c r="N871" i="17"/>
  <c r="M872" i="17"/>
  <c r="N872" i="17"/>
  <c r="M873" i="17"/>
  <c r="N873" i="17"/>
  <c r="M874" i="17"/>
  <c r="N874" i="17"/>
  <c r="M875" i="17"/>
  <c r="N875" i="17"/>
  <c r="M876" i="17"/>
  <c r="N876" i="17"/>
  <c r="M877" i="17"/>
  <c r="N877" i="17"/>
  <c r="M878" i="17"/>
  <c r="N878" i="17"/>
  <c r="M879" i="17"/>
  <c r="N879" i="17"/>
  <c r="M880" i="17"/>
  <c r="N880" i="17"/>
  <c r="M881" i="17"/>
  <c r="N881" i="17"/>
  <c r="M882" i="17"/>
  <c r="N882" i="17"/>
  <c r="M883" i="17"/>
  <c r="N883" i="17"/>
  <c r="M884" i="17"/>
  <c r="N884" i="17"/>
  <c r="M885" i="17"/>
  <c r="N885" i="17"/>
  <c r="M886" i="17"/>
  <c r="N886" i="17"/>
  <c r="M887" i="17"/>
  <c r="N887" i="17"/>
  <c r="M888" i="17"/>
  <c r="N888" i="17"/>
  <c r="M889" i="17"/>
  <c r="N889" i="17"/>
  <c r="M890" i="17"/>
  <c r="N890" i="17"/>
  <c r="M891" i="17"/>
  <c r="N891" i="17"/>
  <c r="M892" i="17"/>
  <c r="N892" i="17"/>
  <c r="M893" i="17"/>
  <c r="N893" i="17"/>
  <c r="M894" i="17"/>
  <c r="N894" i="17"/>
  <c r="M895" i="17"/>
  <c r="N895" i="17"/>
  <c r="M896" i="17"/>
  <c r="N896" i="17"/>
  <c r="M897" i="17"/>
  <c r="N897" i="17"/>
  <c r="M898" i="17"/>
  <c r="N898" i="17"/>
  <c r="M899" i="17"/>
  <c r="N899" i="17"/>
  <c r="M900" i="17"/>
  <c r="N900" i="17"/>
  <c r="M901" i="17"/>
  <c r="N901" i="17"/>
  <c r="M902" i="17"/>
  <c r="N902" i="17"/>
  <c r="M903" i="17"/>
  <c r="N903" i="17"/>
  <c r="M904" i="17"/>
  <c r="N904" i="17"/>
  <c r="M905" i="17"/>
  <c r="N905" i="17"/>
  <c r="M906" i="17"/>
  <c r="N906" i="17"/>
  <c r="M907" i="17"/>
  <c r="N907" i="17"/>
  <c r="M908" i="17"/>
  <c r="N908" i="17"/>
  <c r="M909" i="17"/>
  <c r="N909" i="17"/>
  <c r="M910" i="17"/>
  <c r="N910" i="17"/>
  <c r="M911" i="17"/>
  <c r="N911" i="17"/>
  <c r="M912" i="17"/>
  <c r="N912" i="17"/>
  <c r="M913" i="17"/>
  <c r="N913" i="17"/>
  <c r="M914" i="17"/>
  <c r="N914" i="17"/>
  <c r="M915" i="17"/>
  <c r="N915" i="17"/>
  <c r="M916" i="17"/>
  <c r="N916" i="17"/>
  <c r="M917" i="17"/>
  <c r="N917" i="17"/>
  <c r="M918" i="17"/>
  <c r="N918" i="17"/>
  <c r="M919" i="17"/>
  <c r="N919" i="17"/>
  <c r="M920" i="17"/>
  <c r="N920" i="17"/>
  <c r="M921" i="17"/>
  <c r="N921" i="17"/>
  <c r="M922" i="17"/>
  <c r="N922" i="17"/>
  <c r="M923" i="17"/>
  <c r="N923" i="17"/>
  <c r="M924" i="17"/>
  <c r="N924" i="17"/>
  <c r="M925" i="17"/>
  <c r="N925" i="17"/>
  <c r="M926" i="17"/>
  <c r="N926" i="17"/>
  <c r="M927" i="17"/>
  <c r="N927" i="17"/>
  <c r="M928" i="17"/>
  <c r="N928" i="17"/>
  <c r="M929" i="17"/>
  <c r="N929" i="17"/>
  <c r="M930" i="17"/>
  <c r="N930" i="17"/>
  <c r="M931" i="17"/>
  <c r="N931" i="17"/>
  <c r="M932" i="17"/>
  <c r="N932" i="17"/>
  <c r="M933" i="17"/>
  <c r="N933" i="17"/>
  <c r="M934" i="17"/>
  <c r="N934" i="17"/>
  <c r="M935" i="17"/>
  <c r="N935" i="17"/>
  <c r="M936" i="17"/>
  <c r="N936" i="17"/>
  <c r="M937" i="17"/>
  <c r="N937" i="17"/>
  <c r="M938" i="17"/>
  <c r="N938" i="17"/>
  <c r="M939" i="17"/>
  <c r="N939" i="17"/>
  <c r="M940" i="17"/>
  <c r="N940" i="17"/>
  <c r="M941" i="17"/>
  <c r="N941" i="17"/>
  <c r="M942" i="17"/>
  <c r="N942" i="17"/>
  <c r="M943" i="17"/>
  <c r="N943" i="17"/>
  <c r="M944" i="17"/>
  <c r="N944" i="17"/>
  <c r="M945" i="17"/>
  <c r="N945" i="17"/>
  <c r="M946" i="17"/>
  <c r="N946" i="17"/>
  <c r="M947" i="17"/>
  <c r="N947" i="17"/>
  <c r="M948" i="17"/>
  <c r="N948" i="17"/>
  <c r="M949" i="17"/>
  <c r="N949" i="17"/>
  <c r="M950" i="17"/>
  <c r="N950" i="17"/>
  <c r="M951" i="17"/>
  <c r="N951" i="17"/>
  <c r="M952" i="17"/>
  <c r="N952" i="17"/>
  <c r="M953" i="17"/>
  <c r="N953" i="17"/>
  <c r="M954" i="17"/>
  <c r="N954" i="17"/>
  <c r="M955" i="17"/>
  <c r="N955" i="17"/>
  <c r="M956" i="17"/>
  <c r="N956" i="17"/>
  <c r="M957" i="17"/>
  <c r="N957" i="17"/>
  <c r="M958" i="17"/>
  <c r="N958" i="17"/>
  <c r="M959" i="17"/>
  <c r="N959" i="17"/>
  <c r="M960" i="17"/>
  <c r="N960" i="17"/>
  <c r="M961" i="17"/>
  <c r="N961" i="17"/>
  <c r="M962" i="17"/>
  <c r="N962" i="17"/>
  <c r="M963" i="17"/>
  <c r="N963" i="17"/>
  <c r="M964" i="17"/>
  <c r="N964" i="17"/>
  <c r="M965" i="17"/>
  <c r="N965" i="17"/>
  <c r="M966" i="17"/>
  <c r="N966" i="17"/>
  <c r="M967" i="17"/>
  <c r="N967" i="17"/>
  <c r="M968" i="17"/>
  <c r="N968" i="17"/>
  <c r="M969" i="17"/>
  <c r="N969" i="17"/>
  <c r="M970" i="17"/>
  <c r="N970" i="17"/>
  <c r="M971" i="17"/>
  <c r="N971" i="17"/>
  <c r="M972" i="17"/>
  <c r="N972" i="17"/>
  <c r="M973" i="17"/>
  <c r="N973" i="17"/>
  <c r="M974" i="17"/>
  <c r="N974" i="17"/>
  <c r="M975" i="17"/>
  <c r="N975" i="17"/>
  <c r="M976" i="17"/>
  <c r="N976" i="17"/>
  <c r="M977" i="17"/>
  <c r="N977" i="17"/>
  <c r="M978" i="17"/>
  <c r="N978" i="17"/>
  <c r="M979" i="17"/>
  <c r="N979" i="17"/>
  <c r="M980" i="17"/>
  <c r="N980" i="17"/>
  <c r="M981" i="17"/>
  <c r="N981" i="17"/>
  <c r="M982" i="17"/>
  <c r="N982" i="17"/>
  <c r="M983" i="17"/>
  <c r="N983" i="17"/>
  <c r="M984" i="17"/>
  <c r="N984" i="17"/>
  <c r="M985" i="17"/>
  <c r="N985" i="17"/>
  <c r="M986" i="17"/>
  <c r="N986" i="17"/>
  <c r="M987" i="17"/>
  <c r="N987" i="17"/>
  <c r="M988" i="17"/>
  <c r="N988" i="17"/>
  <c r="M989" i="17"/>
  <c r="N989" i="17"/>
  <c r="M990" i="17"/>
  <c r="N990" i="17"/>
  <c r="M991" i="17"/>
  <c r="N991" i="17"/>
  <c r="M992" i="17"/>
  <c r="N992" i="17"/>
  <c r="M993" i="17"/>
  <c r="N993" i="17"/>
  <c r="M994" i="17"/>
  <c r="N994" i="17"/>
  <c r="M995" i="17"/>
  <c r="N995" i="17"/>
  <c r="M996" i="17"/>
  <c r="N996" i="17"/>
  <c r="M997" i="17"/>
  <c r="N997" i="17"/>
  <c r="M998" i="17"/>
  <c r="N998" i="17"/>
  <c r="M999" i="17"/>
  <c r="N999" i="17"/>
  <c r="M1000" i="17"/>
  <c r="N1000" i="17"/>
  <c r="M1001" i="17"/>
  <c r="N1001" i="17"/>
  <c r="M1002" i="17"/>
  <c r="N1002" i="17"/>
  <c r="M1003" i="17"/>
  <c r="N1003" i="17"/>
  <c r="M1004" i="17"/>
  <c r="N1004" i="17"/>
  <c r="M1005" i="17"/>
  <c r="N1005" i="17"/>
  <c r="M1006" i="17"/>
  <c r="N1006" i="17"/>
  <c r="M1007" i="17"/>
  <c r="N1007" i="17"/>
  <c r="M1008" i="17"/>
  <c r="N1008" i="17"/>
  <c r="M1009" i="17"/>
  <c r="N1009" i="17"/>
  <c r="M1010" i="17"/>
  <c r="N1010" i="17"/>
  <c r="M1011" i="17"/>
  <c r="N1011" i="17"/>
  <c r="M1012" i="17"/>
  <c r="N1012" i="17"/>
  <c r="M1013" i="17"/>
  <c r="N1013" i="17"/>
  <c r="M1014" i="17"/>
  <c r="N1014" i="17"/>
  <c r="M1015" i="17"/>
  <c r="N1015" i="17"/>
  <c r="M1016" i="17"/>
  <c r="N1016" i="17"/>
  <c r="M1017" i="17"/>
  <c r="N1017" i="17"/>
  <c r="M1018" i="17"/>
  <c r="N1018" i="17"/>
  <c r="M1019" i="17"/>
  <c r="N1019" i="17"/>
  <c r="M1020" i="17"/>
  <c r="N1020" i="17"/>
  <c r="M1021" i="17"/>
  <c r="N1021" i="17"/>
  <c r="M1022" i="17"/>
  <c r="N1022" i="17"/>
  <c r="M1023" i="17"/>
  <c r="N1023" i="17"/>
  <c r="M1024" i="17"/>
  <c r="N1024" i="17"/>
  <c r="M1025" i="17"/>
  <c r="N1025" i="17"/>
  <c r="M1026" i="17"/>
  <c r="N1026" i="17"/>
  <c r="M1027" i="17"/>
  <c r="N1027" i="17"/>
  <c r="M1028" i="17"/>
  <c r="N1028" i="17"/>
  <c r="M1029" i="17"/>
  <c r="N1029" i="17"/>
  <c r="M1030" i="17"/>
  <c r="N1030" i="17"/>
  <c r="M1031" i="17"/>
  <c r="N1031" i="17"/>
  <c r="M1032" i="17"/>
  <c r="N1032" i="17"/>
  <c r="M1033" i="17"/>
  <c r="N1033" i="17"/>
  <c r="M1034" i="17"/>
  <c r="N1034" i="17"/>
  <c r="M1035" i="17"/>
  <c r="N1035" i="17"/>
  <c r="M1036" i="17"/>
  <c r="N1036" i="17"/>
  <c r="M1037" i="17"/>
  <c r="N1037" i="17"/>
  <c r="M1038" i="17"/>
  <c r="N1038" i="17"/>
  <c r="M1039" i="17"/>
  <c r="N1039" i="17"/>
  <c r="M1040" i="17"/>
  <c r="N1040" i="17"/>
  <c r="M1041" i="17"/>
  <c r="N1041" i="17"/>
  <c r="M1042" i="17"/>
  <c r="N1042" i="17"/>
  <c r="M1043" i="17"/>
  <c r="N1043" i="17"/>
  <c r="M1044" i="17"/>
  <c r="N1044" i="17"/>
  <c r="M1045" i="17"/>
  <c r="N1045" i="17"/>
  <c r="M1046" i="17"/>
  <c r="N1046" i="17"/>
  <c r="M1047" i="17"/>
  <c r="N1047" i="17"/>
  <c r="M1048" i="17"/>
  <c r="N1048" i="17"/>
  <c r="M1049" i="17"/>
  <c r="N1049" i="17"/>
  <c r="M1050" i="17"/>
  <c r="N1050" i="17"/>
  <c r="M1051" i="17"/>
  <c r="N1051" i="17"/>
  <c r="M1052" i="17"/>
  <c r="N1052" i="17"/>
  <c r="M1053" i="17"/>
  <c r="N1053" i="17"/>
  <c r="M1054" i="17"/>
  <c r="N1054" i="17"/>
  <c r="M1055" i="17"/>
  <c r="N1055" i="17"/>
  <c r="M1056" i="17"/>
  <c r="N1056" i="17"/>
  <c r="M1057" i="17"/>
  <c r="N1057" i="17"/>
  <c r="M1058" i="17"/>
  <c r="N1058" i="17"/>
  <c r="M1059" i="17"/>
  <c r="N1059" i="17"/>
  <c r="M1060" i="17"/>
  <c r="N1060" i="17"/>
  <c r="M1061" i="17"/>
  <c r="N1061" i="17"/>
  <c r="M1062" i="17"/>
  <c r="N1062" i="17"/>
  <c r="M1063" i="17"/>
  <c r="N1063" i="17"/>
  <c r="M1064" i="17"/>
  <c r="N1064" i="17"/>
  <c r="M1065" i="17"/>
  <c r="N1065" i="17"/>
  <c r="M1066" i="17"/>
  <c r="N1066" i="17"/>
  <c r="M1067" i="17"/>
  <c r="N1067" i="17"/>
  <c r="M1068" i="17"/>
  <c r="N1068" i="17"/>
  <c r="M1069" i="17"/>
  <c r="N1069" i="17"/>
  <c r="M1070" i="17"/>
  <c r="N1070" i="17"/>
  <c r="M1071" i="17"/>
  <c r="N1071" i="17"/>
  <c r="M1072" i="17"/>
  <c r="N1072" i="17"/>
  <c r="M1073" i="17"/>
  <c r="N1073" i="17"/>
  <c r="M1074" i="17"/>
  <c r="N1074" i="17"/>
  <c r="M1075" i="17"/>
  <c r="N1075" i="17"/>
  <c r="M1076" i="17"/>
  <c r="N1076" i="17"/>
  <c r="M1077" i="17"/>
  <c r="N1077" i="17"/>
  <c r="M1078" i="17"/>
  <c r="N1078" i="17"/>
  <c r="M1079" i="17"/>
  <c r="N1079" i="17"/>
  <c r="M1080" i="17"/>
  <c r="N1080" i="17"/>
  <c r="M1081" i="17"/>
  <c r="N1081" i="17"/>
  <c r="M1082" i="17"/>
  <c r="N1082" i="17"/>
  <c r="M1083" i="17"/>
  <c r="N1083" i="17"/>
  <c r="M1084" i="17"/>
  <c r="N1084" i="17"/>
  <c r="M1085" i="17"/>
  <c r="N1085" i="17"/>
  <c r="M1086" i="17"/>
  <c r="N1086" i="17"/>
  <c r="M1087" i="17"/>
  <c r="N1087" i="17"/>
  <c r="M1088" i="17"/>
  <c r="N1088" i="17"/>
  <c r="M1089" i="17"/>
  <c r="N1089" i="17"/>
  <c r="M1090" i="17"/>
  <c r="N1090" i="17"/>
  <c r="M1091" i="17"/>
  <c r="N1091" i="17"/>
  <c r="M1092" i="17"/>
  <c r="N1092" i="17"/>
  <c r="M1093" i="17"/>
  <c r="N1093" i="17"/>
  <c r="M1094" i="17"/>
  <c r="N1094" i="17"/>
  <c r="M1095" i="17"/>
  <c r="N1095" i="17"/>
  <c r="M1096" i="17"/>
  <c r="N1096" i="17"/>
  <c r="M1097" i="17"/>
  <c r="N1097" i="17"/>
  <c r="M1098" i="17"/>
  <c r="N1098" i="17"/>
  <c r="M1099" i="17"/>
  <c r="N1099" i="17"/>
  <c r="M1100" i="17"/>
  <c r="N1100" i="17"/>
  <c r="M1101" i="17"/>
  <c r="N1101" i="17"/>
  <c r="M1102" i="17"/>
  <c r="N1102" i="17"/>
  <c r="M1103" i="17"/>
  <c r="N1103" i="17"/>
  <c r="M1104" i="17"/>
  <c r="N1104" i="17"/>
  <c r="M1105" i="17"/>
  <c r="N1105" i="17"/>
  <c r="M1106" i="17"/>
  <c r="N1106" i="17"/>
  <c r="M1107" i="17"/>
  <c r="N1107" i="17"/>
  <c r="M1108" i="17"/>
  <c r="N1108" i="17"/>
  <c r="M1109" i="17"/>
  <c r="N1109" i="17"/>
  <c r="M1110" i="17"/>
  <c r="N1110" i="17"/>
  <c r="M1111" i="17"/>
  <c r="N1111" i="17"/>
  <c r="M1112" i="17"/>
  <c r="N1112" i="17"/>
  <c r="M1113" i="17"/>
  <c r="N1113" i="17"/>
  <c r="M1114" i="17"/>
  <c r="N1114" i="17"/>
  <c r="M1115" i="17"/>
  <c r="N1115" i="17"/>
  <c r="M1116" i="17"/>
  <c r="N1116" i="17"/>
  <c r="M1117" i="17"/>
  <c r="N1117" i="17"/>
  <c r="M1118" i="17"/>
  <c r="N1118" i="17"/>
  <c r="M1119" i="17"/>
  <c r="N1119" i="17"/>
  <c r="M1120" i="17"/>
  <c r="N1120" i="17"/>
  <c r="M1121" i="17"/>
  <c r="N1121" i="17"/>
  <c r="M1122" i="17"/>
  <c r="N1122" i="17"/>
  <c r="M1123" i="17"/>
  <c r="N1123" i="17"/>
  <c r="M1124" i="17"/>
  <c r="N1124" i="17"/>
  <c r="M1125" i="17"/>
  <c r="N1125" i="17"/>
  <c r="M1126" i="17"/>
  <c r="N1126" i="17"/>
  <c r="M1127" i="17"/>
  <c r="N1127" i="17"/>
  <c r="M1128" i="17"/>
  <c r="N1128" i="17"/>
  <c r="M1129" i="17"/>
  <c r="N1129" i="17"/>
  <c r="M1130" i="17"/>
  <c r="N1130" i="17"/>
  <c r="M1131" i="17"/>
  <c r="N1131" i="17"/>
  <c r="M1132" i="17"/>
  <c r="N1132" i="17"/>
  <c r="M1133" i="17"/>
  <c r="N1133" i="17"/>
  <c r="M1134" i="17"/>
  <c r="N1134" i="17"/>
  <c r="M1135" i="17"/>
  <c r="N1135" i="17"/>
  <c r="M1136" i="17"/>
  <c r="N1136" i="17"/>
  <c r="M1137" i="17"/>
  <c r="N1137" i="17"/>
  <c r="M1138" i="17"/>
  <c r="N1138" i="17"/>
  <c r="M1139" i="17"/>
  <c r="N1139" i="17"/>
  <c r="M1140" i="17"/>
  <c r="N1140" i="17"/>
  <c r="M1141" i="17"/>
  <c r="N1141" i="17"/>
  <c r="M1142" i="17"/>
  <c r="N1142" i="17"/>
  <c r="M1143" i="17"/>
  <c r="N1143" i="17"/>
  <c r="M1144" i="17"/>
  <c r="N1144" i="17"/>
  <c r="M1145" i="17"/>
  <c r="N1145" i="17"/>
  <c r="M1146" i="17"/>
  <c r="N1146" i="17"/>
  <c r="M1147" i="17"/>
  <c r="N1147" i="17"/>
  <c r="M1148" i="17"/>
  <c r="N1148" i="17"/>
  <c r="M1149" i="17"/>
  <c r="N1149" i="17"/>
  <c r="M1150" i="17"/>
  <c r="N1150" i="17"/>
  <c r="M1151" i="17"/>
  <c r="N1151" i="17"/>
  <c r="M1152" i="17"/>
  <c r="N1152" i="17"/>
  <c r="M1153" i="17"/>
  <c r="N1153" i="17"/>
  <c r="M1154" i="17"/>
  <c r="N1154" i="17"/>
  <c r="M1155" i="17"/>
  <c r="N1155" i="17"/>
  <c r="M1156" i="17"/>
  <c r="N1156" i="17"/>
  <c r="M1157" i="17"/>
  <c r="N1157" i="17"/>
  <c r="M1158" i="17"/>
  <c r="N1158" i="17"/>
  <c r="M1159" i="17"/>
  <c r="N1159" i="17"/>
  <c r="M1160" i="17"/>
  <c r="N1160" i="17"/>
  <c r="M1161" i="17"/>
  <c r="N1161" i="17"/>
  <c r="M1162" i="17"/>
  <c r="N1162" i="17"/>
  <c r="M1163" i="17"/>
  <c r="N1163" i="17"/>
  <c r="M1164" i="17"/>
  <c r="N1164" i="17"/>
  <c r="M1165" i="17"/>
  <c r="N1165" i="17"/>
  <c r="M1166" i="17"/>
  <c r="N1166" i="17"/>
  <c r="M1167" i="17"/>
  <c r="N1167" i="17"/>
  <c r="M1168" i="17"/>
  <c r="N1168" i="17"/>
  <c r="M1169" i="17"/>
  <c r="N1169" i="17"/>
  <c r="M1170" i="17"/>
  <c r="N1170" i="17"/>
  <c r="M1171" i="17"/>
  <c r="N1171" i="17"/>
  <c r="M1172" i="17"/>
  <c r="N1172" i="17"/>
  <c r="M1173" i="17"/>
  <c r="N1173" i="17"/>
  <c r="M1174" i="17"/>
  <c r="N1174" i="17"/>
  <c r="M1175" i="17"/>
  <c r="N1175" i="17"/>
  <c r="M1176" i="17"/>
  <c r="N1176" i="17"/>
  <c r="M1177" i="17"/>
  <c r="N1177" i="17"/>
  <c r="M1178" i="17"/>
  <c r="N1178" i="17"/>
  <c r="M1179" i="17"/>
  <c r="N1179" i="17"/>
  <c r="M1180" i="17"/>
  <c r="N1180" i="17"/>
  <c r="M1181" i="17"/>
  <c r="N1181" i="17"/>
  <c r="M1182" i="17"/>
  <c r="N1182" i="17"/>
  <c r="M1183" i="17"/>
  <c r="N1183" i="17"/>
  <c r="M1184" i="17"/>
  <c r="N1184" i="17"/>
  <c r="M1185" i="17"/>
  <c r="N1185" i="17"/>
  <c r="M1186" i="17"/>
  <c r="N1186" i="17"/>
  <c r="M1187" i="17"/>
  <c r="N1187" i="17"/>
  <c r="M1188" i="17"/>
  <c r="N1188" i="17"/>
  <c r="M1189" i="17"/>
  <c r="N1189" i="17"/>
  <c r="M1190" i="17"/>
  <c r="N1190" i="17"/>
  <c r="M1191" i="17"/>
  <c r="N1191" i="17"/>
  <c r="M1192" i="17"/>
  <c r="N1192" i="17"/>
  <c r="M1193" i="17"/>
  <c r="N1193" i="17"/>
  <c r="M1194" i="17"/>
  <c r="N1194" i="17"/>
  <c r="M1195" i="17"/>
  <c r="N1195" i="17"/>
  <c r="M1196" i="17"/>
  <c r="N1196" i="17"/>
  <c r="M1197" i="17"/>
  <c r="N1197" i="17"/>
  <c r="M1198" i="17"/>
  <c r="N1198" i="17"/>
  <c r="M1199" i="17"/>
  <c r="N1199" i="17"/>
  <c r="M1200" i="17"/>
  <c r="N1200" i="17"/>
  <c r="M1201" i="17"/>
  <c r="N1201" i="17"/>
  <c r="M1202" i="17"/>
  <c r="N1202" i="17"/>
  <c r="M1203" i="17"/>
  <c r="N1203" i="17"/>
  <c r="M1204" i="17"/>
  <c r="N1204" i="17"/>
  <c r="M1205" i="17"/>
  <c r="N1205" i="17"/>
  <c r="M1206" i="17"/>
  <c r="N1206" i="17"/>
  <c r="M1207" i="17"/>
  <c r="N1207" i="17"/>
  <c r="M1208" i="17"/>
  <c r="N1208" i="17"/>
  <c r="M1209" i="17"/>
  <c r="N1209" i="17"/>
  <c r="M1210" i="17"/>
  <c r="N1210" i="17"/>
  <c r="M1211" i="17"/>
  <c r="N1211" i="17"/>
  <c r="M1212" i="17"/>
  <c r="N1212" i="17"/>
  <c r="M1213" i="17"/>
  <c r="N1213" i="17"/>
  <c r="M1214" i="17"/>
  <c r="N1214" i="17"/>
  <c r="M1215" i="17"/>
  <c r="N1215" i="17"/>
  <c r="M1216" i="17"/>
  <c r="N1216" i="17"/>
  <c r="M1217" i="17"/>
  <c r="N1217" i="17"/>
  <c r="M1218" i="17"/>
  <c r="N1218" i="17"/>
  <c r="M1219" i="17"/>
  <c r="N1219" i="17"/>
  <c r="M1220" i="17"/>
  <c r="N1220" i="17"/>
  <c r="M1221" i="17"/>
  <c r="N1221" i="17"/>
  <c r="M1222" i="17"/>
  <c r="N1222" i="17"/>
  <c r="M1223" i="17"/>
  <c r="N1223" i="17"/>
  <c r="M1224" i="17"/>
  <c r="N1224" i="17"/>
  <c r="M1225" i="17"/>
  <c r="N1225" i="17"/>
  <c r="M1226" i="17"/>
  <c r="N1226" i="17"/>
  <c r="M1227" i="17"/>
  <c r="N1227" i="17"/>
  <c r="M1228" i="17"/>
  <c r="N1228" i="17"/>
  <c r="M1229" i="17"/>
  <c r="N1229" i="17"/>
  <c r="M1230" i="17"/>
  <c r="N1230" i="17"/>
  <c r="M1231" i="17"/>
  <c r="N1231" i="17"/>
  <c r="M1232" i="17"/>
  <c r="N1232" i="17"/>
  <c r="M1233" i="17"/>
  <c r="N1233" i="17"/>
  <c r="M1234" i="17"/>
  <c r="N1234" i="17"/>
  <c r="M1235" i="17"/>
  <c r="N1235" i="17"/>
  <c r="M1236" i="17"/>
  <c r="N1236" i="17"/>
  <c r="M1237" i="17"/>
  <c r="N1237" i="17"/>
  <c r="M1238" i="17"/>
  <c r="N1238" i="17"/>
  <c r="M1239" i="17"/>
  <c r="N1239" i="17"/>
  <c r="M1240" i="17"/>
  <c r="N1240" i="17"/>
  <c r="M1241" i="17"/>
  <c r="N1241" i="17"/>
  <c r="M1242" i="17"/>
  <c r="N1242" i="17"/>
  <c r="M1243" i="17"/>
  <c r="N1243" i="17"/>
  <c r="M1244" i="17"/>
  <c r="N1244" i="17"/>
  <c r="M1245" i="17"/>
  <c r="N1245" i="17"/>
  <c r="M1246" i="17"/>
  <c r="N1246" i="17"/>
  <c r="M1247" i="17"/>
  <c r="N1247" i="17"/>
  <c r="M1248" i="17"/>
  <c r="N1248" i="17"/>
  <c r="M1249" i="17"/>
  <c r="N1249" i="17"/>
  <c r="M1250" i="17"/>
  <c r="N1250" i="17"/>
  <c r="M1251" i="17"/>
  <c r="N1251" i="17"/>
  <c r="M1252" i="17"/>
  <c r="N1252" i="17"/>
  <c r="M1253" i="17"/>
  <c r="N1253" i="17"/>
  <c r="M1254" i="17"/>
  <c r="N1254" i="17"/>
  <c r="M1255" i="17"/>
  <c r="N1255" i="17"/>
  <c r="M1256" i="17"/>
  <c r="N1256" i="17"/>
  <c r="M1257" i="17"/>
  <c r="N1257" i="17"/>
  <c r="M1258" i="17"/>
  <c r="N1258" i="17"/>
  <c r="M1259" i="17"/>
  <c r="N1259" i="17"/>
  <c r="M1260" i="17"/>
  <c r="N1260" i="17"/>
  <c r="M1261" i="17"/>
  <c r="N1261" i="17"/>
  <c r="M1262" i="17"/>
  <c r="N1262" i="17"/>
  <c r="M1263" i="17"/>
  <c r="N1263" i="17"/>
  <c r="M1264" i="17"/>
  <c r="N1264" i="17"/>
  <c r="M1265" i="17"/>
  <c r="N1265" i="17"/>
  <c r="M1266" i="17"/>
  <c r="N1266" i="17"/>
  <c r="M1267" i="17"/>
  <c r="N1267" i="17"/>
  <c r="M1268" i="17"/>
  <c r="N1268" i="17"/>
  <c r="M1269" i="17"/>
  <c r="N1269" i="17"/>
  <c r="M1270" i="17"/>
  <c r="N1270" i="17"/>
  <c r="M1271" i="17"/>
  <c r="N1271" i="17"/>
  <c r="M1272" i="17"/>
  <c r="N1272" i="17"/>
  <c r="M1273" i="17"/>
  <c r="N1273" i="17"/>
  <c r="M1274" i="17"/>
  <c r="N1274" i="17"/>
  <c r="M1275" i="17"/>
  <c r="N1275" i="17"/>
  <c r="M1276" i="17"/>
  <c r="N1276" i="17"/>
  <c r="M1277" i="17"/>
  <c r="N1277" i="17"/>
  <c r="M1278" i="17"/>
  <c r="N1278" i="17"/>
  <c r="M1279" i="17"/>
  <c r="N1279" i="17"/>
  <c r="M1280" i="17"/>
  <c r="N1280" i="17"/>
  <c r="M1281" i="17"/>
  <c r="N1281" i="17"/>
  <c r="M1282" i="17"/>
  <c r="N1282" i="17"/>
  <c r="M1283" i="17"/>
  <c r="N1283" i="17"/>
  <c r="M1284" i="17"/>
  <c r="N1284" i="17"/>
  <c r="M1285" i="17"/>
  <c r="N1285" i="17"/>
  <c r="M1286" i="17"/>
  <c r="N1286" i="17"/>
  <c r="M1287" i="17"/>
  <c r="N1287" i="17"/>
  <c r="M1288" i="17"/>
  <c r="N1288" i="17"/>
  <c r="M1289" i="17"/>
  <c r="N1289" i="17"/>
  <c r="M1290" i="17"/>
  <c r="N1290" i="17"/>
  <c r="M1291" i="17"/>
  <c r="N1291" i="17"/>
  <c r="M1292" i="17"/>
  <c r="N1292" i="17"/>
  <c r="M1293" i="17"/>
  <c r="N1293" i="17"/>
  <c r="M1294" i="17"/>
  <c r="N1294" i="17"/>
  <c r="M1295" i="17"/>
  <c r="N1295" i="17"/>
  <c r="M1296" i="17"/>
  <c r="N1296" i="17"/>
  <c r="M1297" i="17"/>
  <c r="N1297" i="17"/>
  <c r="M1298" i="17"/>
  <c r="N1298" i="17"/>
  <c r="M1299" i="17"/>
  <c r="N1299" i="17"/>
  <c r="M1300" i="17"/>
  <c r="N1300" i="17"/>
  <c r="M1301" i="17"/>
  <c r="N1301" i="17"/>
  <c r="M1302" i="17"/>
  <c r="N1302" i="17"/>
  <c r="M1303" i="17"/>
  <c r="N1303" i="17"/>
  <c r="M1304" i="17"/>
  <c r="N1304" i="17"/>
  <c r="M1305" i="17"/>
  <c r="N1305" i="17"/>
  <c r="M1306" i="17"/>
  <c r="N1306" i="17"/>
  <c r="M1307" i="17"/>
  <c r="N1307" i="17"/>
  <c r="M1308" i="17"/>
  <c r="N1308" i="17"/>
  <c r="M1309" i="17"/>
  <c r="N1309" i="17"/>
  <c r="M1310" i="17"/>
  <c r="N1310" i="17"/>
  <c r="M1311" i="17"/>
  <c r="N1311" i="17"/>
  <c r="M1312" i="17"/>
  <c r="N1312" i="17"/>
  <c r="M1313" i="17"/>
  <c r="N1313" i="17"/>
  <c r="M1314" i="17"/>
  <c r="N1314" i="17"/>
  <c r="M1315" i="17"/>
  <c r="N1315" i="17"/>
  <c r="M1316" i="17"/>
  <c r="N1316" i="17"/>
  <c r="M1317" i="17"/>
  <c r="N1317" i="17"/>
  <c r="M1318" i="17"/>
  <c r="N1318" i="17"/>
  <c r="M1319" i="17"/>
  <c r="N1319" i="17"/>
  <c r="M1320" i="17"/>
  <c r="N1320" i="17"/>
  <c r="M1321" i="17"/>
  <c r="N1321" i="17"/>
  <c r="M1322" i="17"/>
  <c r="N1322" i="17"/>
  <c r="M1323" i="17"/>
  <c r="N1323" i="17"/>
  <c r="M1324" i="17"/>
  <c r="N1324" i="17"/>
  <c r="M1325" i="17"/>
  <c r="N1325" i="17"/>
  <c r="M1326" i="17"/>
  <c r="N1326" i="17"/>
  <c r="M1327" i="17"/>
  <c r="N1327" i="17"/>
  <c r="M1328" i="17"/>
  <c r="N1328" i="17"/>
  <c r="M1329" i="17"/>
  <c r="N1329" i="17"/>
  <c r="M1330" i="17"/>
  <c r="N1330" i="17"/>
  <c r="M1331" i="17"/>
  <c r="N1331" i="17"/>
  <c r="M1332" i="17"/>
  <c r="N1332" i="17"/>
  <c r="M1333" i="17"/>
  <c r="N1333" i="17"/>
  <c r="M1334" i="17"/>
  <c r="N1334" i="17"/>
  <c r="M1335" i="17"/>
  <c r="N1335" i="17"/>
  <c r="M1336" i="17"/>
  <c r="N1336" i="17"/>
  <c r="M1337" i="17"/>
  <c r="N1337" i="17"/>
  <c r="M1338" i="17"/>
  <c r="N1338" i="17"/>
  <c r="M1339" i="17"/>
  <c r="N1339" i="17"/>
  <c r="M1340" i="17"/>
  <c r="N1340" i="17"/>
  <c r="M1341" i="17"/>
  <c r="N1341" i="17"/>
  <c r="M1342" i="17"/>
  <c r="N1342" i="17"/>
  <c r="M1343" i="17"/>
  <c r="N1343" i="17"/>
  <c r="M1344" i="17"/>
  <c r="N1344" i="17"/>
  <c r="M1345" i="17"/>
  <c r="N1345" i="17"/>
  <c r="M1346" i="17"/>
  <c r="N1346" i="17"/>
  <c r="M1347" i="17"/>
  <c r="N1347" i="17"/>
  <c r="M1348" i="17"/>
  <c r="N1348" i="17"/>
  <c r="M1349" i="17"/>
  <c r="N1349" i="17"/>
  <c r="M1350" i="17"/>
  <c r="N1350" i="17"/>
  <c r="M1351" i="17"/>
  <c r="N1351" i="17"/>
  <c r="M1352" i="17"/>
  <c r="N1352" i="17"/>
  <c r="M1353" i="17"/>
  <c r="N1353" i="17"/>
  <c r="M1354" i="17"/>
  <c r="N1354" i="17"/>
  <c r="M1355" i="17"/>
  <c r="N1355" i="17"/>
  <c r="M1356" i="17"/>
  <c r="N1356" i="17"/>
  <c r="M1357" i="17"/>
  <c r="N1357" i="17"/>
  <c r="M1358" i="17"/>
  <c r="N1358" i="17"/>
  <c r="M1359" i="17"/>
  <c r="N1359" i="17"/>
  <c r="M1360" i="17"/>
  <c r="N1360" i="17"/>
  <c r="M1361" i="17"/>
  <c r="N1361" i="17"/>
  <c r="M1362" i="17"/>
  <c r="N1362" i="17"/>
  <c r="M1363" i="17"/>
  <c r="N1363" i="17"/>
  <c r="M1364" i="17"/>
  <c r="N1364" i="17"/>
  <c r="M1365" i="17"/>
  <c r="N1365" i="17"/>
  <c r="M1366" i="17"/>
  <c r="N1366" i="17"/>
  <c r="M1367" i="17"/>
  <c r="N1367" i="17"/>
  <c r="M1368" i="17"/>
  <c r="N1368" i="17"/>
  <c r="M1369" i="17"/>
  <c r="N1369" i="17"/>
  <c r="M1370" i="17"/>
  <c r="N1370" i="17"/>
  <c r="M1371" i="17"/>
  <c r="N1371" i="17"/>
  <c r="M1372" i="17"/>
  <c r="N1372" i="17"/>
  <c r="M1373" i="17"/>
  <c r="N1373" i="17"/>
  <c r="M1374" i="17"/>
  <c r="N1374" i="17"/>
  <c r="M1375" i="17"/>
  <c r="N1375" i="17"/>
  <c r="M1376" i="17"/>
  <c r="N1376" i="17"/>
  <c r="M1377" i="17"/>
  <c r="N1377" i="17"/>
  <c r="M1378" i="17"/>
  <c r="N1378" i="17"/>
  <c r="M1379" i="17"/>
  <c r="N1379" i="17"/>
  <c r="M1380" i="17"/>
  <c r="N1380" i="17"/>
  <c r="M1381" i="17"/>
  <c r="N1381" i="17"/>
  <c r="M1382" i="17"/>
  <c r="N1382" i="17"/>
  <c r="M1383" i="17"/>
  <c r="N1383" i="17"/>
  <c r="M1384" i="17"/>
  <c r="N1384" i="17"/>
  <c r="M1385" i="17"/>
  <c r="N1385" i="17"/>
  <c r="M1386" i="17"/>
  <c r="N1386" i="17"/>
  <c r="M1387" i="17"/>
  <c r="N1387" i="17"/>
  <c r="M1388" i="17"/>
  <c r="N1388" i="17"/>
  <c r="M1389" i="17"/>
  <c r="N1389" i="17"/>
  <c r="M1390" i="17"/>
  <c r="N1390" i="17"/>
  <c r="M1391" i="17"/>
  <c r="N1391" i="17"/>
  <c r="M1392" i="17"/>
  <c r="N1392" i="17"/>
  <c r="M1393" i="17"/>
  <c r="N1393" i="17"/>
  <c r="M1394" i="17"/>
  <c r="N1394" i="17"/>
  <c r="M1395" i="17"/>
  <c r="N1395" i="17"/>
  <c r="M1396" i="17"/>
  <c r="N1396" i="17"/>
  <c r="M1397" i="17"/>
  <c r="N1397" i="17"/>
  <c r="M1398" i="17"/>
  <c r="N1398" i="17"/>
  <c r="M1399" i="17"/>
  <c r="N1399" i="17"/>
  <c r="M1400" i="17"/>
  <c r="N1400" i="17"/>
  <c r="M1401" i="17"/>
  <c r="N1401" i="17"/>
  <c r="M1402" i="17"/>
  <c r="N1402" i="17"/>
  <c r="M1403" i="17"/>
  <c r="N1403" i="17"/>
  <c r="M1404" i="17"/>
  <c r="N1404" i="17"/>
  <c r="M1405" i="17"/>
  <c r="N1405" i="17"/>
  <c r="M1406" i="17"/>
  <c r="N1406" i="17"/>
  <c r="M1407" i="17"/>
  <c r="N1407" i="17"/>
  <c r="M1408" i="17"/>
  <c r="N1408" i="17"/>
  <c r="M1409" i="17"/>
  <c r="N1409" i="17"/>
  <c r="M1410" i="17"/>
  <c r="N1410" i="17"/>
  <c r="M1411" i="17"/>
  <c r="N1411" i="17"/>
  <c r="M1412" i="17"/>
  <c r="N1412" i="17"/>
  <c r="M1413" i="17"/>
  <c r="N1413" i="17"/>
  <c r="M1414" i="17"/>
  <c r="N1414" i="17"/>
  <c r="M1415" i="17"/>
  <c r="N1415" i="17"/>
  <c r="M1416" i="17"/>
  <c r="N1416" i="17"/>
  <c r="M1417" i="17"/>
  <c r="N1417" i="17"/>
  <c r="M1418" i="17"/>
  <c r="N1418" i="17"/>
  <c r="M1419" i="17"/>
  <c r="N1419" i="17"/>
  <c r="M1420" i="17"/>
  <c r="N1420" i="17"/>
  <c r="M1421" i="17"/>
  <c r="N1421" i="17"/>
  <c r="M1422" i="17"/>
  <c r="N1422" i="17"/>
  <c r="M1423" i="17"/>
  <c r="N1423" i="17"/>
  <c r="M1424" i="17"/>
  <c r="N1424" i="17"/>
  <c r="M1425" i="17"/>
  <c r="N1425" i="17"/>
  <c r="M1426" i="17"/>
  <c r="N1426" i="17"/>
  <c r="M1427" i="17"/>
  <c r="N1427" i="17"/>
  <c r="M1428" i="17"/>
  <c r="N1428" i="17"/>
  <c r="M1429" i="17"/>
  <c r="N1429" i="17"/>
  <c r="M1430" i="17"/>
  <c r="N1430" i="17"/>
  <c r="M1431" i="17"/>
  <c r="N1431" i="17"/>
  <c r="M1432" i="17"/>
  <c r="N1432" i="17"/>
  <c r="M1433" i="17"/>
  <c r="N1433" i="17"/>
  <c r="M1434" i="17"/>
  <c r="N1434" i="17"/>
  <c r="M1435" i="17"/>
  <c r="N1435" i="17"/>
  <c r="M1436" i="17"/>
  <c r="N1436" i="17"/>
  <c r="M1437" i="17"/>
  <c r="N1437" i="17"/>
  <c r="M1438" i="17"/>
  <c r="N1438" i="17"/>
  <c r="M1439" i="17"/>
  <c r="N1439" i="17"/>
  <c r="M1440" i="17"/>
  <c r="N1440" i="17"/>
  <c r="M1441" i="17"/>
  <c r="N1441" i="17"/>
  <c r="M1442" i="17"/>
  <c r="N1442" i="17"/>
  <c r="M1443" i="17"/>
  <c r="N1443" i="17"/>
  <c r="M1444" i="17"/>
  <c r="N1444" i="17"/>
  <c r="M1445" i="17"/>
  <c r="N1445" i="17"/>
  <c r="M1446" i="17"/>
  <c r="N1446" i="17"/>
  <c r="M1447" i="17"/>
  <c r="N1447" i="17"/>
  <c r="M1448" i="17"/>
  <c r="N1448" i="17"/>
  <c r="M1449" i="17"/>
  <c r="N1449" i="17"/>
  <c r="M1450" i="17"/>
  <c r="N1450" i="17"/>
  <c r="M1451" i="17"/>
  <c r="N1451" i="17"/>
  <c r="M1452" i="17"/>
  <c r="N1452" i="17"/>
  <c r="M1453" i="17"/>
  <c r="N1453" i="17"/>
  <c r="M1454" i="17"/>
  <c r="N1454" i="17"/>
  <c r="M1455" i="17"/>
  <c r="N1455" i="17"/>
  <c r="M1456" i="17"/>
  <c r="N1456" i="17"/>
  <c r="M1457" i="17"/>
  <c r="N1457" i="17"/>
  <c r="M1458" i="17"/>
  <c r="N1458" i="17"/>
  <c r="M1459" i="17"/>
  <c r="N1459" i="17"/>
  <c r="M1460" i="17"/>
  <c r="N1460" i="17"/>
  <c r="M1461" i="17"/>
  <c r="N1461" i="17"/>
  <c r="M1462" i="17"/>
  <c r="N1462" i="17"/>
  <c r="M1463" i="17"/>
  <c r="N1463" i="17"/>
  <c r="M1464" i="17"/>
  <c r="N1464" i="17"/>
  <c r="M1465" i="17"/>
  <c r="N1465" i="17"/>
  <c r="M1466" i="17"/>
  <c r="N1466" i="17"/>
  <c r="M1467" i="17"/>
  <c r="N1467" i="17"/>
  <c r="M1468" i="17"/>
  <c r="N1468" i="17"/>
  <c r="M1469" i="17"/>
  <c r="N1469" i="17"/>
  <c r="M1470" i="17"/>
  <c r="N1470" i="17"/>
  <c r="M1471" i="17"/>
  <c r="N1471" i="17"/>
  <c r="M1472" i="17"/>
  <c r="N1472" i="17"/>
  <c r="M1473" i="17"/>
  <c r="N1473" i="17"/>
  <c r="M1474" i="17"/>
  <c r="N1474" i="17"/>
  <c r="M1475" i="17"/>
  <c r="N1475" i="17"/>
  <c r="M1476" i="17"/>
  <c r="N1476" i="17"/>
  <c r="M1477" i="17"/>
  <c r="N1477" i="17"/>
  <c r="M1478" i="17"/>
  <c r="N1478" i="17"/>
  <c r="M1479" i="17"/>
  <c r="N1479" i="17"/>
  <c r="M1480" i="17"/>
  <c r="N1480" i="17"/>
  <c r="M1481" i="17"/>
  <c r="N1481" i="17"/>
  <c r="M1482" i="17"/>
  <c r="N1482" i="17"/>
  <c r="M1483" i="17"/>
  <c r="N1483" i="17"/>
  <c r="M1484" i="17"/>
  <c r="N1484" i="17"/>
  <c r="M1485" i="17"/>
  <c r="N1485" i="17"/>
  <c r="M1486" i="17"/>
  <c r="N1486" i="17"/>
  <c r="M1487" i="17"/>
  <c r="N1487" i="17"/>
  <c r="M1488" i="17"/>
  <c r="N1488" i="17"/>
  <c r="M1489" i="17"/>
  <c r="N1489" i="17"/>
  <c r="M1490" i="17"/>
  <c r="N1490" i="17"/>
  <c r="M1491" i="17"/>
  <c r="N1491" i="17"/>
  <c r="M1492" i="17"/>
  <c r="N1492" i="17"/>
  <c r="M1493" i="17"/>
  <c r="N1493" i="17"/>
  <c r="M1494" i="17"/>
  <c r="N1494" i="17"/>
  <c r="M1495" i="17"/>
  <c r="N1495" i="17"/>
  <c r="M1496" i="17"/>
  <c r="N1496" i="17"/>
  <c r="M1497" i="17"/>
  <c r="N1497" i="17"/>
  <c r="M1498" i="17"/>
  <c r="N1498" i="17"/>
  <c r="M1499" i="17"/>
  <c r="N1499" i="17"/>
  <c r="M1500" i="17"/>
  <c r="N1500" i="17"/>
  <c r="M1501" i="17"/>
  <c r="N1501" i="17"/>
  <c r="M1502" i="17"/>
  <c r="N1502" i="17"/>
  <c r="M1503" i="17"/>
  <c r="N1503" i="17"/>
  <c r="M1504" i="17"/>
  <c r="N1504" i="17"/>
  <c r="M1505" i="17"/>
  <c r="N1505" i="17"/>
  <c r="M1506" i="17"/>
  <c r="N1506" i="17"/>
  <c r="M1507" i="17"/>
  <c r="N1507" i="17"/>
  <c r="M1508" i="17"/>
  <c r="N1508" i="17"/>
  <c r="M1509" i="17"/>
  <c r="N1509" i="17"/>
  <c r="M1510" i="17"/>
  <c r="N1510" i="17"/>
  <c r="M1511" i="17"/>
  <c r="N1511" i="17"/>
  <c r="M1512" i="17"/>
  <c r="N1512" i="17"/>
  <c r="M1513" i="17"/>
  <c r="N1513" i="17"/>
  <c r="M1514" i="17"/>
  <c r="N1514" i="17"/>
  <c r="M1515" i="17"/>
  <c r="N1515" i="17"/>
  <c r="M1516" i="17"/>
  <c r="N1516" i="17"/>
  <c r="M1517" i="17"/>
  <c r="N1517" i="17"/>
  <c r="M1518" i="17"/>
  <c r="N1518" i="17"/>
  <c r="M1519" i="17"/>
  <c r="N1519" i="17"/>
  <c r="M1520" i="17"/>
  <c r="N1520" i="17"/>
  <c r="M1521" i="17"/>
  <c r="N1521" i="17"/>
  <c r="M1522" i="17"/>
  <c r="N1522" i="17"/>
  <c r="M1523" i="17"/>
  <c r="N1523" i="17"/>
  <c r="M1524" i="17"/>
  <c r="N1524" i="17"/>
  <c r="M1525" i="17"/>
  <c r="N1525" i="17"/>
  <c r="M1526" i="17"/>
  <c r="N1526" i="17"/>
  <c r="M1527" i="17"/>
  <c r="N1527" i="17"/>
  <c r="M1528" i="17"/>
  <c r="N1528" i="17"/>
  <c r="M1529" i="17"/>
  <c r="N1529" i="17"/>
  <c r="M1530" i="17"/>
  <c r="N1530" i="17"/>
  <c r="M1531" i="17"/>
  <c r="N1531" i="17"/>
  <c r="M1532" i="17"/>
  <c r="N1532" i="17"/>
  <c r="M1533" i="17"/>
  <c r="N1533" i="17"/>
  <c r="M1534" i="17"/>
  <c r="N1534" i="17"/>
  <c r="M1535" i="17"/>
  <c r="N1535" i="17"/>
  <c r="M1536" i="17"/>
  <c r="N1536" i="17"/>
  <c r="M1537" i="17"/>
  <c r="N1537" i="17"/>
  <c r="M1538" i="17"/>
  <c r="N1538" i="17"/>
  <c r="M1539" i="17"/>
  <c r="N1539" i="17"/>
  <c r="M1540" i="17"/>
  <c r="N1540" i="17"/>
  <c r="M1541" i="17"/>
  <c r="N1541" i="17"/>
  <c r="M1542" i="17"/>
  <c r="N1542" i="17"/>
  <c r="M1543" i="17"/>
  <c r="N1543" i="17"/>
  <c r="M1544" i="17"/>
  <c r="N1544" i="17"/>
  <c r="M1545" i="17"/>
  <c r="N1545" i="17"/>
  <c r="M1546" i="17"/>
  <c r="N1546" i="17"/>
  <c r="M1547" i="17"/>
  <c r="N1547" i="17"/>
  <c r="M1548" i="17"/>
  <c r="N1548" i="17"/>
  <c r="M1549" i="17"/>
  <c r="N1549" i="17"/>
  <c r="M1550" i="17"/>
  <c r="N1550" i="17"/>
  <c r="M1551" i="17"/>
  <c r="N1551" i="17"/>
  <c r="M1552" i="17"/>
  <c r="N1552" i="17"/>
  <c r="M1553" i="17"/>
  <c r="N1553" i="17"/>
  <c r="M1554" i="17"/>
  <c r="N1554" i="17"/>
  <c r="M1555" i="17"/>
  <c r="N1555" i="17"/>
  <c r="M1556" i="17"/>
  <c r="N1556" i="17"/>
  <c r="M1557" i="17"/>
  <c r="N1557" i="17"/>
  <c r="M1558" i="17"/>
  <c r="N1558" i="17"/>
  <c r="M1559" i="17"/>
  <c r="N1559" i="17"/>
  <c r="M1560" i="17"/>
  <c r="N1560" i="17"/>
  <c r="M1561" i="17"/>
  <c r="N1561" i="17"/>
  <c r="M1562" i="17"/>
  <c r="N1562" i="17"/>
  <c r="M1563" i="17"/>
  <c r="N1563" i="17"/>
  <c r="M2563" i="17"/>
  <c r="N2563" i="17"/>
  <c r="M2564" i="17"/>
  <c r="N2564" i="17"/>
  <c r="M2565" i="17"/>
  <c r="N2565" i="17"/>
  <c r="M2566" i="17"/>
  <c r="N2566" i="17"/>
  <c r="M2567" i="17"/>
  <c r="N2567" i="17"/>
  <c r="M2568" i="17"/>
  <c r="N2568" i="17"/>
  <c r="M3219" i="17"/>
  <c r="N3219" i="17"/>
  <c r="M3220" i="17"/>
  <c r="N3220" i="17"/>
  <c r="M3485" i="17"/>
  <c r="N3485" i="17"/>
  <c r="M1573" i="17"/>
  <c r="N1573" i="17"/>
  <c r="M1574" i="17"/>
  <c r="N1574" i="17"/>
  <c r="M1575" i="17"/>
  <c r="N1575" i="17"/>
  <c r="M1576" i="17"/>
  <c r="N1576" i="17"/>
  <c r="M1577" i="17"/>
  <c r="N1577" i="17"/>
  <c r="M1578" i="17"/>
  <c r="N1578" i="17"/>
  <c r="M1579" i="17"/>
  <c r="N1579" i="17"/>
  <c r="M1580" i="17"/>
  <c r="N1580" i="17"/>
  <c r="M1581" i="17"/>
  <c r="N1581" i="17"/>
  <c r="M1582" i="17"/>
  <c r="N1582" i="17"/>
  <c r="M1583" i="17"/>
  <c r="N1583" i="17"/>
  <c r="M1584" i="17"/>
  <c r="N1584" i="17"/>
  <c r="M1585" i="17"/>
  <c r="N1585" i="17"/>
  <c r="M1586" i="17"/>
  <c r="N1586" i="17"/>
  <c r="M1587" i="17"/>
  <c r="N1587" i="17"/>
  <c r="M1588" i="17"/>
  <c r="N1588" i="17"/>
  <c r="M1589" i="17"/>
  <c r="N1589" i="17"/>
  <c r="M1590" i="17"/>
  <c r="N1590" i="17"/>
  <c r="M1591" i="17"/>
  <c r="N1591" i="17"/>
  <c r="M1592" i="17"/>
  <c r="N1592" i="17"/>
  <c r="M1593" i="17"/>
  <c r="N1593" i="17"/>
  <c r="M1594" i="17"/>
  <c r="N1594" i="17"/>
  <c r="M1595" i="17"/>
  <c r="N1595" i="17"/>
  <c r="M1596" i="17"/>
  <c r="N1596" i="17"/>
  <c r="M1597" i="17"/>
  <c r="N1597" i="17"/>
  <c r="M1598" i="17"/>
  <c r="N1598" i="17"/>
  <c r="M1599" i="17"/>
  <c r="N1599" i="17"/>
  <c r="M1600" i="17"/>
  <c r="N1600" i="17"/>
  <c r="M1601" i="17"/>
  <c r="N1601" i="17"/>
  <c r="M1602" i="17"/>
  <c r="N1602" i="17"/>
  <c r="M1603" i="17"/>
  <c r="N1603" i="17"/>
  <c r="M1604" i="17"/>
  <c r="N1604" i="17"/>
  <c r="M1605" i="17"/>
  <c r="N1605" i="17"/>
  <c r="M1606" i="17"/>
  <c r="N1606" i="17"/>
  <c r="M1607" i="17"/>
  <c r="N1607" i="17"/>
  <c r="M1608" i="17"/>
  <c r="N1608" i="17"/>
  <c r="M1609" i="17"/>
  <c r="N1609" i="17"/>
  <c r="M1610" i="17"/>
  <c r="N1610" i="17"/>
  <c r="M1611" i="17"/>
  <c r="N1611" i="17"/>
  <c r="M1612" i="17"/>
  <c r="N1612" i="17"/>
  <c r="M1613" i="17"/>
  <c r="N1613" i="17"/>
  <c r="M1614" i="17"/>
  <c r="N1614" i="17"/>
  <c r="M1615" i="17"/>
  <c r="N1615" i="17"/>
  <c r="M1616" i="17"/>
  <c r="N1616" i="17"/>
  <c r="M1617" i="17"/>
  <c r="N1617" i="17"/>
  <c r="M1618" i="17"/>
  <c r="N1618" i="17"/>
  <c r="M1619" i="17"/>
  <c r="N1619" i="17"/>
  <c r="M1620" i="17"/>
  <c r="N1620" i="17"/>
  <c r="M1621" i="17"/>
  <c r="N1621" i="17"/>
  <c r="M1622" i="17"/>
  <c r="N1622" i="17"/>
  <c r="M1623" i="17"/>
  <c r="N1623" i="17"/>
  <c r="M1624" i="17"/>
  <c r="N1624" i="17"/>
  <c r="M1625" i="17"/>
  <c r="N1625" i="17"/>
  <c r="M1626" i="17"/>
  <c r="N1626" i="17"/>
  <c r="M1627" i="17"/>
  <c r="N1627" i="17"/>
  <c r="M1628" i="17"/>
  <c r="N1628" i="17"/>
  <c r="M1629" i="17"/>
  <c r="N1629" i="17"/>
  <c r="M1630" i="17"/>
  <c r="N1630" i="17"/>
  <c r="M1631" i="17"/>
  <c r="N1631" i="17"/>
  <c r="M1632" i="17"/>
  <c r="N1632" i="17"/>
  <c r="M1633" i="17"/>
  <c r="N1633" i="17"/>
  <c r="M1634" i="17"/>
  <c r="N1634" i="17"/>
  <c r="M1635" i="17"/>
  <c r="N1635" i="17"/>
  <c r="M1636" i="17"/>
  <c r="N1636" i="17"/>
  <c r="M1637" i="17"/>
  <c r="N1637" i="17"/>
  <c r="M1638" i="17"/>
  <c r="N1638" i="17"/>
  <c r="M1639" i="17"/>
  <c r="N1639" i="17"/>
  <c r="M1640" i="17"/>
  <c r="N1640" i="17"/>
  <c r="M1641" i="17"/>
  <c r="N1641" i="17"/>
  <c r="M1642" i="17"/>
  <c r="N1642" i="17"/>
  <c r="M1643" i="17"/>
  <c r="N1643" i="17"/>
  <c r="M1644" i="17"/>
  <c r="N1644" i="17"/>
  <c r="M1645" i="17"/>
  <c r="N1645" i="17"/>
  <c r="M1646" i="17"/>
  <c r="N1646" i="17"/>
  <c r="M1647" i="17"/>
  <c r="N1647" i="17"/>
  <c r="M1648" i="17"/>
  <c r="N1648" i="17"/>
  <c r="M1649" i="17"/>
  <c r="N1649" i="17"/>
  <c r="M1650" i="17"/>
  <c r="N1650" i="17"/>
  <c r="M1651" i="17"/>
  <c r="N1651" i="17"/>
  <c r="M1652" i="17"/>
  <c r="N1652" i="17"/>
  <c r="M1653" i="17"/>
  <c r="N1653" i="17"/>
  <c r="M1654" i="17"/>
  <c r="N1654" i="17"/>
  <c r="M1655" i="17"/>
  <c r="N1655" i="17"/>
  <c r="M1656" i="17"/>
  <c r="N1656" i="17"/>
  <c r="M1657" i="17"/>
  <c r="N1657" i="17"/>
  <c r="M1658" i="17"/>
  <c r="N1658" i="17"/>
  <c r="M1659" i="17"/>
  <c r="N1659" i="17"/>
  <c r="M1660" i="17"/>
  <c r="N1660" i="17"/>
  <c r="M1661" i="17"/>
  <c r="N1661" i="17"/>
  <c r="M1662" i="17"/>
  <c r="N1662" i="17"/>
  <c r="M1663" i="17"/>
  <c r="N1663" i="17"/>
  <c r="M1664" i="17"/>
  <c r="N1664" i="17"/>
  <c r="M1665" i="17"/>
  <c r="N1665" i="17"/>
  <c r="M1666" i="17"/>
  <c r="N1666" i="17"/>
  <c r="M1667" i="17"/>
  <c r="N1667" i="17"/>
  <c r="M1668" i="17"/>
  <c r="N1668" i="17"/>
  <c r="M1669" i="17"/>
  <c r="N1669" i="17"/>
  <c r="M1670" i="17"/>
  <c r="N1670" i="17"/>
  <c r="M1671" i="17"/>
  <c r="N1671" i="17"/>
  <c r="M1672" i="17"/>
  <c r="N1672" i="17"/>
  <c r="M1673" i="17"/>
  <c r="N1673" i="17"/>
  <c r="M1674" i="17"/>
  <c r="N1674" i="17"/>
  <c r="M1675" i="17"/>
  <c r="N1675" i="17"/>
  <c r="M1676" i="17"/>
  <c r="N1676" i="17"/>
  <c r="M1677" i="17"/>
  <c r="N1677" i="17"/>
  <c r="M1678" i="17"/>
  <c r="N1678" i="17"/>
  <c r="M1679" i="17"/>
  <c r="N1679" i="17"/>
  <c r="M1680" i="17"/>
  <c r="N1680" i="17"/>
  <c r="M1681" i="17"/>
  <c r="N1681" i="17"/>
  <c r="M1682" i="17"/>
  <c r="N1682" i="17"/>
  <c r="M1683" i="17"/>
  <c r="N1683" i="17"/>
  <c r="M1684" i="17"/>
  <c r="N1684" i="17"/>
  <c r="M1685" i="17"/>
  <c r="N1685" i="17"/>
  <c r="M1686" i="17"/>
  <c r="N1686" i="17"/>
  <c r="M1687" i="17"/>
  <c r="N1687" i="17"/>
  <c r="M1688" i="17"/>
  <c r="N1688" i="17"/>
  <c r="M1689" i="17"/>
  <c r="N1689" i="17"/>
  <c r="M1690" i="17"/>
  <c r="N1690" i="17"/>
  <c r="M1691" i="17"/>
  <c r="N1691" i="17"/>
  <c r="M1692" i="17"/>
  <c r="N1692" i="17"/>
  <c r="M1693" i="17"/>
  <c r="N1693" i="17"/>
  <c r="M1694" i="17"/>
  <c r="N1694" i="17"/>
  <c r="M1695" i="17"/>
  <c r="N1695" i="17"/>
  <c r="M1696" i="17"/>
  <c r="N1696" i="17"/>
  <c r="M1697" i="17"/>
  <c r="N1697" i="17"/>
  <c r="M1698" i="17"/>
  <c r="N1698" i="17"/>
  <c r="M1699" i="17"/>
  <c r="N1699" i="17"/>
  <c r="M1700" i="17"/>
  <c r="N1700" i="17"/>
  <c r="M1701" i="17"/>
  <c r="N1701" i="17"/>
  <c r="M1702" i="17"/>
  <c r="N1702" i="17"/>
  <c r="M1703" i="17"/>
  <c r="N1703" i="17"/>
  <c r="M1704" i="17"/>
  <c r="N1704" i="17"/>
  <c r="M1705" i="17"/>
  <c r="N1705" i="17"/>
  <c r="M1706" i="17"/>
  <c r="N1706" i="17"/>
  <c r="M1707" i="17"/>
  <c r="N1707" i="17"/>
  <c r="M1708" i="17"/>
  <c r="N1708" i="17"/>
  <c r="M1709" i="17"/>
  <c r="N1709" i="17"/>
  <c r="M1710" i="17"/>
  <c r="N1710" i="17"/>
  <c r="M1711" i="17"/>
  <c r="N1711" i="17"/>
  <c r="M1712" i="17"/>
  <c r="N1712" i="17"/>
  <c r="M1713" i="17"/>
  <c r="N1713" i="17"/>
  <c r="M1714" i="17"/>
  <c r="N1714" i="17"/>
  <c r="M1715" i="17"/>
  <c r="N1715" i="17"/>
  <c r="M1716" i="17"/>
  <c r="N1716" i="17"/>
  <c r="M1717" i="17"/>
  <c r="N1717" i="17"/>
  <c r="M1718" i="17"/>
  <c r="N1718" i="17"/>
  <c r="M1719" i="17"/>
  <c r="N1719" i="17"/>
  <c r="M1720" i="17"/>
  <c r="N1720" i="17"/>
  <c r="M1721" i="17"/>
  <c r="N1721" i="17"/>
  <c r="M1722" i="17"/>
  <c r="N1722" i="17"/>
  <c r="M1723" i="17"/>
  <c r="N1723" i="17"/>
  <c r="M1724" i="17"/>
  <c r="N1724" i="17"/>
  <c r="M1725" i="17"/>
  <c r="N1725" i="17"/>
  <c r="M1726" i="17"/>
  <c r="N1726" i="17"/>
  <c r="M1727" i="17"/>
  <c r="N1727" i="17"/>
  <c r="M1728" i="17"/>
  <c r="N1728" i="17"/>
  <c r="M1729" i="17"/>
  <c r="N1729" i="17"/>
  <c r="M1730" i="17"/>
  <c r="N1730" i="17"/>
  <c r="M1731" i="17"/>
  <c r="N1731" i="17"/>
  <c r="M1732" i="17"/>
  <c r="N1732" i="17"/>
  <c r="M1733" i="17"/>
  <c r="N1733" i="17"/>
  <c r="M1734" i="17"/>
  <c r="N1734" i="17"/>
  <c r="M1735" i="17"/>
  <c r="N1735" i="17"/>
  <c r="M1736" i="17"/>
  <c r="N1736" i="17"/>
  <c r="M1737" i="17"/>
  <c r="N1737" i="17"/>
  <c r="M1738" i="17"/>
  <c r="N1738" i="17"/>
  <c r="M1739" i="17"/>
  <c r="N1739" i="17"/>
  <c r="M1740" i="17"/>
  <c r="N1740" i="17"/>
  <c r="M1741" i="17"/>
  <c r="N1741" i="17"/>
  <c r="M1742" i="17"/>
  <c r="N1742" i="17"/>
  <c r="M1743" i="17"/>
  <c r="N1743" i="17"/>
  <c r="M1744" i="17"/>
  <c r="N1744" i="17"/>
  <c r="M1745" i="17"/>
  <c r="N1745" i="17"/>
  <c r="M1746" i="17"/>
  <c r="N1746" i="17"/>
  <c r="M1747" i="17"/>
  <c r="N1747" i="17"/>
  <c r="M1748" i="17"/>
  <c r="N1748" i="17"/>
  <c r="M1749" i="17"/>
  <c r="N1749" i="17"/>
  <c r="M1750" i="17"/>
  <c r="N1750" i="17"/>
  <c r="M1751" i="17"/>
  <c r="N1751" i="17"/>
  <c r="M1752" i="17"/>
  <c r="N1752" i="17"/>
  <c r="M1753" i="17"/>
  <c r="N1753" i="17"/>
  <c r="M1754" i="17"/>
  <c r="N1754" i="17"/>
  <c r="M1755" i="17"/>
  <c r="N1755" i="17"/>
  <c r="M1756" i="17"/>
  <c r="N1756" i="17"/>
  <c r="M1757" i="17"/>
  <c r="N1757" i="17"/>
  <c r="M1758" i="17"/>
  <c r="N1758" i="17"/>
  <c r="M1759" i="17"/>
  <c r="N1759" i="17"/>
  <c r="M1760" i="17"/>
  <c r="N1760" i="17"/>
  <c r="M1761" i="17"/>
  <c r="N1761" i="17"/>
  <c r="M1762" i="17"/>
  <c r="N1762" i="17"/>
  <c r="M1763" i="17"/>
  <c r="N1763" i="17"/>
  <c r="M1764" i="17"/>
  <c r="N1764" i="17"/>
  <c r="M1765" i="17"/>
  <c r="N1765" i="17"/>
  <c r="M1766" i="17"/>
  <c r="N1766" i="17"/>
  <c r="M1767" i="17"/>
  <c r="N1767" i="17"/>
  <c r="M1768" i="17"/>
  <c r="N1768" i="17"/>
  <c r="M1769" i="17"/>
  <c r="N1769" i="17"/>
  <c r="M1770" i="17"/>
  <c r="N1770" i="17"/>
  <c r="M1771" i="17"/>
  <c r="N1771" i="17"/>
  <c r="M1772" i="17"/>
  <c r="N1772" i="17"/>
  <c r="M1773" i="17"/>
  <c r="N1773" i="17"/>
  <c r="M1774" i="17"/>
  <c r="N1774" i="17"/>
  <c r="M1775" i="17"/>
  <c r="N1775" i="17"/>
  <c r="M1776" i="17"/>
  <c r="N1776" i="17"/>
  <c r="M1777" i="17"/>
  <c r="N1777" i="17"/>
  <c r="M1778" i="17"/>
  <c r="N1778" i="17"/>
  <c r="M1779" i="17"/>
  <c r="N1779" i="17"/>
  <c r="M1780" i="17"/>
  <c r="N1780" i="17"/>
  <c r="M1781" i="17"/>
  <c r="N1781" i="17"/>
  <c r="M1782" i="17"/>
  <c r="N1782" i="17"/>
  <c r="M1783" i="17"/>
  <c r="N1783" i="17"/>
  <c r="M1784" i="17"/>
  <c r="N1784" i="17"/>
  <c r="M1785" i="17"/>
  <c r="N1785" i="17"/>
  <c r="M1786" i="17"/>
  <c r="N1786" i="17"/>
  <c r="M1787" i="17"/>
  <c r="N1787" i="17"/>
  <c r="M1788" i="17"/>
  <c r="N1788" i="17"/>
  <c r="M1789" i="17"/>
  <c r="N1789" i="17"/>
  <c r="M1790" i="17"/>
  <c r="N1790" i="17"/>
  <c r="M1791" i="17"/>
  <c r="N1791" i="17"/>
  <c r="M1792" i="17"/>
  <c r="N1792" i="17"/>
  <c r="M1793" i="17"/>
  <c r="N1793" i="17"/>
  <c r="M1794" i="17"/>
  <c r="N1794" i="17"/>
  <c r="M1795" i="17"/>
  <c r="N1795" i="17"/>
  <c r="M1796" i="17"/>
  <c r="N1796" i="17"/>
  <c r="M1797" i="17"/>
  <c r="N1797" i="17"/>
  <c r="M1798" i="17"/>
  <c r="N1798" i="17"/>
  <c r="M1799" i="17"/>
  <c r="N1799" i="17"/>
  <c r="M1800" i="17"/>
  <c r="N1800" i="17"/>
  <c r="M1801" i="17"/>
  <c r="N1801" i="17"/>
  <c r="M1802" i="17"/>
  <c r="N1802" i="17"/>
  <c r="M1803" i="17"/>
  <c r="N1803" i="17"/>
  <c r="M1804" i="17"/>
  <c r="N1804" i="17"/>
  <c r="M1805" i="17"/>
  <c r="N1805" i="17"/>
  <c r="M1806" i="17"/>
  <c r="N1806" i="17"/>
  <c r="M1807" i="17"/>
  <c r="N1807" i="17"/>
  <c r="M1808" i="17"/>
  <c r="N1808" i="17"/>
  <c r="M1809" i="17"/>
  <c r="N1809" i="17"/>
  <c r="M1810" i="17"/>
  <c r="N1810" i="17"/>
  <c r="M1811" i="17"/>
  <c r="N1811" i="17"/>
  <c r="M1812" i="17"/>
  <c r="N1812" i="17"/>
  <c r="M1813" i="17"/>
  <c r="N1813" i="17"/>
  <c r="M1814" i="17"/>
  <c r="N1814" i="17"/>
  <c r="M1815" i="17"/>
  <c r="N1815" i="17"/>
  <c r="M1816" i="17"/>
  <c r="N1816" i="17"/>
  <c r="M1817" i="17"/>
  <c r="N1817" i="17"/>
  <c r="M1818" i="17"/>
  <c r="N1818" i="17"/>
  <c r="M1819" i="17"/>
  <c r="N1819" i="17"/>
  <c r="M1820" i="17"/>
  <c r="N1820" i="17"/>
  <c r="M1821" i="17"/>
  <c r="N1821" i="17"/>
  <c r="M1822" i="17"/>
  <c r="N1822" i="17"/>
  <c r="M1823" i="17"/>
  <c r="N1823" i="17"/>
  <c r="M1824" i="17"/>
  <c r="N1824" i="17"/>
  <c r="M1825" i="17"/>
  <c r="N1825" i="17"/>
  <c r="M1826" i="17"/>
  <c r="N1826" i="17"/>
  <c r="M1827" i="17"/>
  <c r="N1827" i="17"/>
  <c r="M1828" i="17"/>
  <c r="N1828" i="17"/>
  <c r="M1829" i="17"/>
  <c r="N1829" i="17"/>
  <c r="M1830" i="17"/>
  <c r="N1830" i="17"/>
  <c r="M1831" i="17"/>
  <c r="N1831" i="17"/>
  <c r="M1832" i="17"/>
  <c r="N1832" i="17"/>
  <c r="M1833" i="17"/>
  <c r="N1833" i="17"/>
  <c r="M1834" i="17"/>
  <c r="N1834" i="17"/>
  <c r="M1835" i="17"/>
  <c r="N1835" i="17"/>
  <c r="M1836" i="17"/>
  <c r="N1836" i="17"/>
  <c r="M1837" i="17"/>
  <c r="N1837" i="17"/>
  <c r="M1838" i="17"/>
  <c r="N1838" i="17"/>
  <c r="M1839" i="17"/>
  <c r="N1839" i="17"/>
  <c r="M1840" i="17"/>
  <c r="N1840" i="17"/>
  <c r="M1841" i="17"/>
  <c r="N1841" i="17"/>
  <c r="M1842" i="17"/>
  <c r="N1842" i="17"/>
  <c r="M1843" i="17"/>
  <c r="N1843" i="17"/>
  <c r="M1844" i="17"/>
  <c r="N1844" i="17"/>
  <c r="M1845" i="17"/>
  <c r="N1845" i="17"/>
  <c r="M1846" i="17"/>
  <c r="N1846" i="17"/>
  <c r="M1847" i="17"/>
  <c r="N1847" i="17"/>
  <c r="M1848" i="17"/>
  <c r="N1848" i="17"/>
  <c r="M1849" i="17"/>
  <c r="N1849" i="17"/>
  <c r="M1850" i="17"/>
  <c r="N1850" i="17"/>
  <c r="M1851" i="17"/>
  <c r="N1851" i="17"/>
  <c r="M1852" i="17"/>
  <c r="N1852" i="17"/>
  <c r="M1853" i="17"/>
  <c r="N1853" i="17"/>
  <c r="M1854" i="17"/>
  <c r="N1854" i="17"/>
  <c r="M1855" i="17"/>
  <c r="N1855" i="17"/>
  <c r="M1856" i="17"/>
  <c r="N1856" i="17"/>
  <c r="M1857" i="17"/>
  <c r="N1857" i="17"/>
  <c r="M1858" i="17"/>
  <c r="N1858" i="17"/>
  <c r="M1859" i="17"/>
  <c r="N1859" i="17"/>
  <c r="M1860" i="17"/>
  <c r="N1860" i="17"/>
  <c r="M1861" i="17"/>
  <c r="N1861" i="17"/>
  <c r="M1862" i="17"/>
  <c r="N1862" i="17"/>
  <c r="M1863" i="17"/>
  <c r="N1863" i="17"/>
  <c r="M1864" i="17"/>
  <c r="N1864" i="17"/>
  <c r="M1865" i="17"/>
  <c r="N1865" i="17"/>
  <c r="M1866" i="17"/>
  <c r="N1866" i="17"/>
  <c r="M1867" i="17"/>
  <c r="N1867" i="17"/>
  <c r="M1868" i="17"/>
  <c r="N1868" i="17"/>
  <c r="M1869" i="17"/>
  <c r="N1869" i="17"/>
  <c r="M1870" i="17"/>
  <c r="N1870" i="17"/>
  <c r="M1871" i="17"/>
  <c r="N1871" i="17"/>
  <c r="M1872" i="17"/>
  <c r="N1872" i="17"/>
  <c r="M1873" i="17"/>
  <c r="N1873" i="17"/>
  <c r="M1874" i="17"/>
  <c r="N1874" i="17"/>
  <c r="M1875" i="17"/>
  <c r="N1875" i="17"/>
  <c r="M1876" i="17"/>
  <c r="N1876" i="17"/>
  <c r="M1877" i="17"/>
  <c r="N1877" i="17"/>
  <c r="M1878" i="17"/>
  <c r="N1878" i="17"/>
  <c r="M1879" i="17"/>
  <c r="N1879" i="17"/>
  <c r="M1880" i="17"/>
  <c r="N1880" i="17"/>
  <c r="M1881" i="17"/>
  <c r="N1881" i="17"/>
  <c r="M1882" i="17"/>
  <c r="N1882" i="17"/>
  <c r="M1883" i="17"/>
  <c r="N1883" i="17"/>
  <c r="M1884" i="17"/>
  <c r="N1884" i="17"/>
  <c r="M1885" i="17"/>
  <c r="N1885" i="17"/>
  <c r="M1886" i="17"/>
  <c r="N1886" i="17"/>
  <c r="M1887" i="17"/>
  <c r="N1887" i="17"/>
  <c r="M1888" i="17"/>
  <c r="N1888" i="17"/>
  <c r="M1889" i="17"/>
  <c r="N1889" i="17"/>
  <c r="M1890" i="17"/>
  <c r="N1890" i="17"/>
  <c r="M1891" i="17"/>
  <c r="N1891" i="17"/>
  <c r="M1892" i="17"/>
  <c r="N1892" i="17"/>
  <c r="M1893" i="17"/>
  <c r="N1893" i="17"/>
  <c r="M1894" i="17"/>
  <c r="N1894" i="17"/>
  <c r="M1895" i="17"/>
  <c r="N1895" i="17"/>
  <c r="M1896" i="17"/>
  <c r="N1896" i="17"/>
  <c r="M1897" i="17"/>
  <c r="N1897" i="17"/>
  <c r="M1898" i="17"/>
  <c r="N1898" i="17"/>
  <c r="M1899" i="17"/>
  <c r="N1899" i="17"/>
  <c r="M1900" i="17"/>
  <c r="N1900" i="17"/>
  <c r="M1901" i="17"/>
  <c r="N1901" i="17"/>
  <c r="M1902" i="17"/>
  <c r="N1902" i="17"/>
  <c r="M1903" i="17"/>
  <c r="N1903" i="17"/>
  <c r="M1904" i="17"/>
  <c r="N1904" i="17"/>
  <c r="M1905" i="17"/>
  <c r="N1905" i="17"/>
  <c r="M1906" i="17"/>
  <c r="N1906" i="17"/>
  <c r="M1907" i="17"/>
  <c r="N1907" i="17"/>
  <c r="M1908" i="17"/>
  <c r="N1908" i="17"/>
  <c r="M1909" i="17"/>
  <c r="N1909" i="17"/>
  <c r="M1910" i="17"/>
  <c r="N1910" i="17"/>
  <c r="M1911" i="17"/>
  <c r="N1911" i="17"/>
  <c r="M1912" i="17"/>
  <c r="N1912" i="17"/>
  <c r="M1913" i="17"/>
  <c r="N1913" i="17"/>
  <c r="M1914" i="17"/>
  <c r="N1914" i="17"/>
  <c r="M1915" i="17"/>
  <c r="N1915" i="17"/>
  <c r="M1916" i="17"/>
  <c r="N1916" i="17"/>
  <c r="M1917" i="17"/>
  <c r="N1917" i="17"/>
  <c r="M1918" i="17"/>
  <c r="N1918" i="17"/>
  <c r="M1919" i="17"/>
  <c r="N1919" i="17"/>
  <c r="M1920" i="17"/>
  <c r="N1920" i="17"/>
  <c r="M1921" i="17"/>
  <c r="N1921" i="17"/>
  <c r="M1922" i="17"/>
  <c r="N1922" i="17"/>
  <c r="M1923" i="17"/>
  <c r="N1923" i="17"/>
  <c r="M1924" i="17"/>
  <c r="N1924" i="17"/>
  <c r="M1925" i="17"/>
  <c r="N1925" i="17"/>
  <c r="M1926" i="17"/>
  <c r="N1926" i="17"/>
  <c r="M1927" i="17"/>
  <c r="N1927" i="17"/>
  <c r="M1928" i="17"/>
  <c r="N1928" i="17"/>
  <c r="M1929" i="17"/>
  <c r="N1929" i="17"/>
  <c r="M1930" i="17"/>
  <c r="N1930" i="17"/>
  <c r="M1931" i="17"/>
  <c r="N1931" i="17"/>
  <c r="M1932" i="17"/>
  <c r="N1932" i="17"/>
  <c r="M1933" i="17"/>
  <c r="N1933" i="17"/>
  <c r="M1934" i="17"/>
  <c r="N1934" i="17"/>
  <c r="M1935" i="17"/>
  <c r="N1935" i="17"/>
  <c r="M1936" i="17"/>
  <c r="N1936" i="17"/>
  <c r="M1937" i="17"/>
  <c r="N1937" i="17"/>
  <c r="M1938" i="17"/>
  <c r="N1938" i="17"/>
  <c r="M1939" i="17"/>
  <c r="N1939" i="17"/>
  <c r="M1940" i="17"/>
  <c r="N1940" i="17"/>
  <c r="M1941" i="17"/>
  <c r="N1941" i="17"/>
  <c r="M1942" i="17"/>
  <c r="N1942" i="17"/>
  <c r="M1943" i="17"/>
  <c r="N1943" i="17"/>
  <c r="M1944" i="17"/>
  <c r="N1944" i="17"/>
  <c r="M1945" i="17"/>
  <c r="N1945" i="17"/>
  <c r="M1946" i="17"/>
  <c r="N1946" i="17"/>
  <c r="M1947" i="17"/>
  <c r="N1947" i="17"/>
  <c r="M1948" i="17"/>
  <c r="N1948" i="17"/>
  <c r="M1949" i="17"/>
  <c r="N1949" i="17"/>
  <c r="M1950" i="17"/>
  <c r="N1950" i="17"/>
  <c r="M1951" i="17"/>
  <c r="N1951" i="17"/>
  <c r="M1952" i="17"/>
  <c r="N1952" i="17"/>
  <c r="M1953" i="17"/>
  <c r="N1953" i="17"/>
  <c r="M1954" i="17"/>
  <c r="N1954" i="17"/>
  <c r="M1955" i="17"/>
  <c r="N1955" i="17"/>
  <c r="M1956" i="17"/>
  <c r="N1956" i="17"/>
  <c r="M1957" i="17"/>
  <c r="N1957" i="17"/>
  <c r="M1958" i="17"/>
  <c r="N1958" i="17"/>
  <c r="M1959" i="17"/>
  <c r="N1959" i="17"/>
  <c r="M1960" i="17"/>
  <c r="N1960" i="17"/>
  <c r="M1961" i="17"/>
  <c r="N1961" i="17"/>
  <c r="M1962" i="17"/>
  <c r="N1962" i="17"/>
  <c r="M1963" i="17"/>
  <c r="N1963" i="17"/>
  <c r="M1964" i="17"/>
  <c r="N1964" i="17"/>
  <c r="M1965" i="17"/>
  <c r="N1965" i="17"/>
  <c r="M1966" i="17"/>
  <c r="N1966" i="17"/>
  <c r="M1967" i="17"/>
  <c r="N1967" i="17"/>
  <c r="M1968" i="17"/>
  <c r="N1968" i="17"/>
  <c r="M1969" i="17"/>
  <c r="N1969" i="17"/>
  <c r="M1970" i="17"/>
  <c r="N1970" i="17"/>
  <c r="M1971" i="17"/>
  <c r="N1971" i="17"/>
  <c r="M1972" i="17"/>
  <c r="N1972" i="17"/>
  <c r="M1973" i="17"/>
  <c r="N1973" i="17"/>
  <c r="M1974" i="17"/>
  <c r="N1974" i="17"/>
  <c r="M1975" i="17"/>
  <c r="N1975" i="17"/>
  <c r="M1976" i="17"/>
  <c r="N1976" i="17"/>
  <c r="M1977" i="17"/>
  <c r="N1977" i="17"/>
  <c r="M1978" i="17"/>
  <c r="N1978" i="17"/>
  <c r="M1979" i="17"/>
  <c r="N1979" i="17"/>
  <c r="M1980" i="17"/>
  <c r="N1980" i="17"/>
  <c r="M1981" i="17"/>
  <c r="N1981" i="17"/>
  <c r="M1982" i="17"/>
  <c r="N1982" i="17"/>
  <c r="M1983" i="17"/>
  <c r="N1983" i="17"/>
  <c r="M1984" i="17"/>
  <c r="N1984" i="17"/>
  <c r="M1985" i="17"/>
  <c r="N1985" i="17"/>
  <c r="M1986" i="17"/>
  <c r="N1986" i="17"/>
  <c r="M1987" i="17"/>
  <c r="N1987" i="17"/>
  <c r="M1988" i="17"/>
  <c r="N1988" i="17"/>
  <c r="M1989" i="17"/>
  <c r="N1989" i="17"/>
  <c r="M1990" i="17"/>
  <c r="N1990" i="17"/>
  <c r="M1991" i="17"/>
  <c r="N1991" i="17"/>
  <c r="M1992" i="17"/>
  <c r="N1992" i="17"/>
  <c r="M1993" i="17"/>
  <c r="N1993" i="17"/>
  <c r="M1994" i="17"/>
  <c r="N1994" i="17"/>
  <c r="M1995" i="17"/>
  <c r="N1995" i="17"/>
  <c r="M1996" i="17"/>
  <c r="N1996" i="17"/>
  <c r="M1997" i="17"/>
  <c r="N1997" i="17"/>
  <c r="M1998" i="17"/>
  <c r="N1998" i="17"/>
  <c r="M1999" i="17"/>
  <c r="N1999" i="17"/>
  <c r="M2000" i="17"/>
  <c r="N2000" i="17"/>
  <c r="M2001" i="17"/>
  <c r="N2001" i="17"/>
  <c r="M2002" i="17"/>
  <c r="N2002" i="17"/>
  <c r="M2003" i="17"/>
  <c r="N2003" i="17"/>
  <c r="M2004" i="17"/>
  <c r="N2004" i="17"/>
  <c r="M2005" i="17"/>
  <c r="N2005" i="17"/>
  <c r="M2006" i="17"/>
  <c r="N2006" i="17"/>
  <c r="M2007" i="17"/>
  <c r="N2007" i="17"/>
  <c r="M2008" i="17"/>
  <c r="N2008" i="17"/>
  <c r="M2009" i="17"/>
  <c r="N2009" i="17"/>
  <c r="M2010" i="17"/>
  <c r="N2010" i="17"/>
  <c r="M2011" i="17"/>
  <c r="N2011" i="17"/>
  <c r="M2012" i="17"/>
  <c r="N2012" i="17"/>
  <c r="M2013" i="17"/>
  <c r="N2013" i="17"/>
  <c r="M2014" i="17"/>
  <c r="N2014" i="17"/>
  <c r="M2015" i="17"/>
  <c r="N2015" i="17"/>
  <c r="M2016" i="17"/>
  <c r="N2016" i="17"/>
  <c r="M2017" i="17"/>
  <c r="N2017" i="17"/>
  <c r="M2018" i="17"/>
  <c r="N2018" i="17"/>
  <c r="M2019" i="17"/>
  <c r="N2019" i="17"/>
  <c r="M2020" i="17"/>
  <c r="N2020" i="17"/>
  <c r="M2021" i="17"/>
  <c r="N2021" i="17"/>
  <c r="M1564" i="17"/>
  <c r="N1564" i="17"/>
  <c r="M1565" i="17"/>
  <c r="N1565" i="17"/>
  <c r="M1566" i="17"/>
  <c r="N1566" i="17"/>
  <c r="M1567" i="17"/>
  <c r="N1567" i="17"/>
  <c r="M1568" i="17"/>
  <c r="N1568" i="17"/>
  <c r="M1569" i="17"/>
  <c r="N1569" i="17"/>
  <c r="M1570" i="17"/>
  <c r="N1570" i="17"/>
  <c r="M1571" i="17"/>
  <c r="N1571" i="17"/>
  <c r="M1572" i="17"/>
  <c r="N1572" i="17"/>
  <c r="M2031" i="17"/>
  <c r="N2031" i="17"/>
  <c r="M2032" i="17"/>
  <c r="N2032" i="17"/>
  <c r="M2033" i="17"/>
  <c r="N2033" i="17"/>
  <c r="M2034" i="17"/>
  <c r="N2034" i="17"/>
  <c r="M2035" i="17"/>
  <c r="N2035" i="17"/>
  <c r="M2036" i="17"/>
  <c r="N2036" i="17"/>
  <c r="M2037" i="17"/>
  <c r="N2037" i="17"/>
  <c r="M2038" i="17"/>
  <c r="N2038" i="17"/>
  <c r="M2039" i="17"/>
  <c r="N2039" i="17"/>
  <c r="M2040" i="17"/>
  <c r="N2040" i="17"/>
  <c r="M2041" i="17"/>
  <c r="N2041" i="17"/>
  <c r="M2042" i="17"/>
  <c r="N2042" i="17"/>
  <c r="M2043" i="17"/>
  <c r="N2043" i="17"/>
  <c r="M2044" i="17"/>
  <c r="N2044" i="17"/>
  <c r="M2045" i="17"/>
  <c r="N2045" i="17"/>
  <c r="M2046" i="17"/>
  <c r="N2046" i="17"/>
  <c r="M2047" i="17"/>
  <c r="N2047" i="17"/>
  <c r="M2048" i="17"/>
  <c r="N2048" i="17"/>
  <c r="M2049" i="17"/>
  <c r="N2049" i="17"/>
  <c r="M2050" i="17"/>
  <c r="N2050" i="17"/>
  <c r="M2051" i="17"/>
  <c r="N2051" i="17"/>
  <c r="M2052" i="17"/>
  <c r="N2052" i="17"/>
  <c r="M2053" i="17"/>
  <c r="N2053" i="17"/>
  <c r="M2054" i="17"/>
  <c r="N2054" i="17"/>
  <c r="M2055" i="17"/>
  <c r="N2055" i="17"/>
  <c r="M2056" i="17"/>
  <c r="N2056" i="17"/>
  <c r="M2057" i="17"/>
  <c r="N2057" i="17"/>
  <c r="M2058" i="17"/>
  <c r="N2058" i="17"/>
  <c r="M2059" i="17"/>
  <c r="N2059" i="17"/>
  <c r="M2060" i="17"/>
  <c r="N2060" i="17"/>
  <c r="M2061" i="17"/>
  <c r="N2061" i="17"/>
  <c r="M2062" i="17"/>
  <c r="N2062" i="17"/>
  <c r="M2063" i="17"/>
  <c r="N2063" i="17"/>
  <c r="M2064" i="17"/>
  <c r="N2064" i="17"/>
  <c r="M2065" i="17"/>
  <c r="N2065" i="17"/>
  <c r="M2066" i="17"/>
  <c r="N2066" i="17"/>
  <c r="M2067" i="17"/>
  <c r="N2067" i="17"/>
  <c r="M2068" i="17"/>
  <c r="N2068" i="17"/>
  <c r="M2069" i="17"/>
  <c r="N2069" i="17"/>
  <c r="M2070" i="17"/>
  <c r="N2070" i="17"/>
  <c r="M2071" i="17"/>
  <c r="N2071" i="17"/>
  <c r="M2072" i="17"/>
  <c r="N2072" i="17"/>
  <c r="M2073" i="17"/>
  <c r="N2073" i="17"/>
  <c r="M2074" i="17"/>
  <c r="N2074" i="17"/>
  <c r="M2075" i="17"/>
  <c r="N2075" i="17"/>
  <c r="M2076" i="17"/>
  <c r="N2076" i="17"/>
  <c r="M3486" i="17"/>
  <c r="N3486" i="17"/>
  <c r="M3487" i="17"/>
  <c r="N3487" i="17"/>
  <c r="M3488" i="17"/>
  <c r="N3488" i="17"/>
  <c r="M3489" i="17"/>
  <c r="N3489" i="17"/>
  <c r="M3490" i="17"/>
  <c r="N3490" i="17"/>
  <c r="M2082" i="17"/>
  <c r="N2082" i="17"/>
  <c r="M2083" i="17"/>
  <c r="N2083" i="17"/>
  <c r="M2084" i="17"/>
  <c r="N2084" i="17"/>
  <c r="M2085" i="17"/>
  <c r="N2085" i="17"/>
  <c r="M2086" i="17"/>
  <c r="N2086" i="17"/>
  <c r="M2087" i="17"/>
  <c r="N2087" i="17"/>
  <c r="M2088" i="17"/>
  <c r="N2088" i="17"/>
  <c r="M2089" i="17"/>
  <c r="N2089" i="17"/>
  <c r="M2090" i="17"/>
  <c r="N2090" i="17"/>
  <c r="M2091" i="17"/>
  <c r="N2091" i="17"/>
  <c r="M2092" i="17"/>
  <c r="N2092" i="17"/>
  <c r="M2093" i="17"/>
  <c r="N2093" i="17"/>
  <c r="M2094" i="17"/>
  <c r="N2094" i="17"/>
  <c r="M2095" i="17"/>
  <c r="N2095" i="17"/>
  <c r="M2096" i="17"/>
  <c r="N2096" i="17"/>
  <c r="M2097" i="17"/>
  <c r="N2097" i="17"/>
  <c r="M2098" i="17"/>
  <c r="N2098" i="17"/>
  <c r="M2099" i="17"/>
  <c r="N2099" i="17"/>
  <c r="M2100" i="17"/>
  <c r="N2100" i="17"/>
  <c r="M2101" i="17"/>
  <c r="N2101" i="17"/>
  <c r="M2102" i="17"/>
  <c r="N2102" i="17"/>
  <c r="M2103" i="17"/>
  <c r="N2103" i="17"/>
  <c r="M2104" i="17"/>
  <c r="N2104" i="17"/>
  <c r="M2105" i="17"/>
  <c r="N2105" i="17"/>
  <c r="M2106" i="17"/>
  <c r="N2106" i="17"/>
  <c r="M2107" i="17"/>
  <c r="N2107" i="17"/>
  <c r="M2108" i="17"/>
  <c r="N2108" i="17"/>
  <c r="M2109" i="17"/>
  <c r="N2109" i="17"/>
  <c r="M2110" i="17"/>
  <c r="N2110" i="17"/>
  <c r="M2111" i="17"/>
  <c r="N2111" i="17"/>
  <c r="M2112" i="17"/>
  <c r="N2112" i="17"/>
  <c r="M2113" i="17"/>
  <c r="N2113" i="17"/>
  <c r="M2114" i="17"/>
  <c r="N2114" i="17"/>
  <c r="M2115" i="17"/>
  <c r="N2115" i="17"/>
  <c r="M2116" i="17"/>
  <c r="N2116" i="17"/>
  <c r="M2117" i="17"/>
  <c r="N2117" i="17"/>
  <c r="M2118" i="17"/>
  <c r="N2118" i="17"/>
  <c r="M2119" i="17"/>
  <c r="N2119" i="17"/>
  <c r="M2120" i="17"/>
  <c r="N2120" i="17"/>
  <c r="M2121" i="17"/>
  <c r="N2121" i="17"/>
  <c r="M2122" i="17"/>
  <c r="N2122" i="17"/>
  <c r="M2123" i="17"/>
  <c r="N2123" i="17"/>
  <c r="M2124" i="17"/>
  <c r="N2124" i="17"/>
  <c r="M2125" i="17"/>
  <c r="N2125" i="17"/>
  <c r="M2126" i="17"/>
  <c r="N2126" i="17"/>
  <c r="M2127" i="17"/>
  <c r="N2127" i="17"/>
  <c r="M2128" i="17"/>
  <c r="N2128" i="17"/>
  <c r="M2129" i="17"/>
  <c r="N2129" i="17"/>
  <c r="M2130" i="17"/>
  <c r="N2130" i="17"/>
  <c r="M2131" i="17"/>
  <c r="N2131" i="17"/>
  <c r="M2132" i="17"/>
  <c r="N2132" i="17"/>
  <c r="M2133" i="17"/>
  <c r="N2133" i="17"/>
  <c r="M2134" i="17"/>
  <c r="N2134" i="17"/>
  <c r="M2135" i="17"/>
  <c r="N2135" i="17"/>
  <c r="M2136" i="17"/>
  <c r="N2136" i="17"/>
  <c r="M2137" i="17"/>
  <c r="N2137" i="17"/>
  <c r="M2138" i="17"/>
  <c r="N2138" i="17"/>
  <c r="M2139" i="17"/>
  <c r="N2139" i="17"/>
  <c r="M2140" i="17"/>
  <c r="N2140" i="17"/>
  <c r="M2141" i="17"/>
  <c r="N2141" i="17"/>
  <c r="M2142" i="17"/>
  <c r="N2142" i="17"/>
  <c r="M2143" i="17"/>
  <c r="N2143" i="17"/>
  <c r="M2144" i="17"/>
  <c r="N2144" i="17"/>
  <c r="M2145" i="17"/>
  <c r="N2145" i="17"/>
  <c r="M2146" i="17"/>
  <c r="N2146" i="17"/>
  <c r="M2147" i="17"/>
  <c r="N2147" i="17"/>
  <c r="M2148" i="17"/>
  <c r="N2148" i="17"/>
  <c r="M2149" i="17"/>
  <c r="N2149" i="17"/>
  <c r="M2150" i="17"/>
  <c r="N2150" i="17"/>
  <c r="M2151" i="17"/>
  <c r="N2151" i="17"/>
  <c r="M2152" i="17"/>
  <c r="N2152" i="17"/>
  <c r="M2153" i="17"/>
  <c r="N2153" i="17"/>
  <c r="M2154" i="17"/>
  <c r="N2154" i="17"/>
  <c r="M2155" i="17"/>
  <c r="N2155" i="17"/>
  <c r="M2156" i="17"/>
  <c r="N2156" i="17"/>
  <c r="M2157" i="17"/>
  <c r="N2157" i="17"/>
  <c r="M2158" i="17"/>
  <c r="N2158" i="17"/>
  <c r="M2159" i="17"/>
  <c r="N2159" i="17"/>
  <c r="M2160" i="17"/>
  <c r="N2160" i="17"/>
  <c r="M2161" i="17"/>
  <c r="N2161" i="17"/>
  <c r="M2162" i="17"/>
  <c r="N2162" i="17"/>
  <c r="M2163" i="17"/>
  <c r="N2163" i="17"/>
  <c r="M2164" i="17"/>
  <c r="N2164" i="17"/>
  <c r="M2165" i="17"/>
  <c r="N2165" i="17"/>
  <c r="M2166" i="17"/>
  <c r="N2166" i="17"/>
  <c r="M2167" i="17"/>
  <c r="N2167" i="17"/>
  <c r="M2168" i="17"/>
  <c r="N2168" i="17"/>
  <c r="M2169" i="17"/>
  <c r="N2169" i="17"/>
  <c r="M2170" i="17"/>
  <c r="N2170" i="17"/>
  <c r="M2171" i="17"/>
  <c r="N2171" i="17"/>
  <c r="M2172" i="17"/>
  <c r="N2172" i="17"/>
  <c r="M2173" i="17"/>
  <c r="N2173" i="17"/>
  <c r="M2174" i="17"/>
  <c r="N2174" i="17"/>
  <c r="M2175" i="17"/>
  <c r="N2175" i="17"/>
  <c r="M2176" i="17"/>
  <c r="N2176" i="17"/>
  <c r="M2177" i="17"/>
  <c r="N2177" i="17"/>
  <c r="M2178" i="17"/>
  <c r="N2178" i="17"/>
  <c r="M2179" i="17"/>
  <c r="N2179" i="17"/>
  <c r="M2180" i="17"/>
  <c r="N2180" i="17"/>
  <c r="M2181" i="17"/>
  <c r="N2181" i="17"/>
  <c r="M2182" i="17"/>
  <c r="N2182" i="17"/>
  <c r="M2183" i="17"/>
  <c r="N2183" i="17"/>
  <c r="M2184" i="17"/>
  <c r="N2184" i="17"/>
  <c r="M2185" i="17"/>
  <c r="N2185" i="17"/>
  <c r="M2186" i="17"/>
  <c r="N2186" i="17"/>
  <c r="M2187" i="17"/>
  <c r="N2187" i="17"/>
  <c r="M2188" i="17"/>
  <c r="N2188" i="17"/>
  <c r="M2189" i="17"/>
  <c r="N2189" i="17"/>
  <c r="M2190" i="17"/>
  <c r="N2190" i="17"/>
  <c r="M2191" i="17"/>
  <c r="N2191" i="17"/>
  <c r="M2192" i="17"/>
  <c r="N2192" i="17"/>
  <c r="M2193" i="17"/>
  <c r="N2193" i="17"/>
  <c r="M2194" i="17"/>
  <c r="N2194" i="17"/>
  <c r="M2195" i="17"/>
  <c r="N2195" i="17"/>
  <c r="M2196" i="17"/>
  <c r="N2196" i="17"/>
  <c r="M2197" i="17"/>
  <c r="N2197" i="17"/>
  <c r="M2198" i="17"/>
  <c r="N2198" i="17"/>
  <c r="M2199" i="17"/>
  <c r="N2199" i="17"/>
  <c r="M2200" i="17"/>
  <c r="N2200" i="17"/>
  <c r="M2201" i="17"/>
  <c r="N2201" i="17"/>
  <c r="M2202" i="17"/>
  <c r="N2202" i="17"/>
  <c r="M2203" i="17"/>
  <c r="N2203" i="17"/>
  <c r="M2204" i="17"/>
  <c r="N2204" i="17"/>
  <c r="M2205" i="17"/>
  <c r="N2205" i="17"/>
  <c r="M2206" i="17"/>
  <c r="N2206" i="17"/>
  <c r="M2207" i="17"/>
  <c r="N2207" i="17"/>
  <c r="M2208" i="17"/>
  <c r="N2208" i="17"/>
  <c r="M2209" i="17"/>
  <c r="N2209" i="17"/>
  <c r="M2210" i="17"/>
  <c r="N2210" i="17"/>
  <c r="M2211" i="17"/>
  <c r="N2211" i="17"/>
  <c r="M2212" i="17"/>
  <c r="N2212" i="17"/>
  <c r="M2213" i="17"/>
  <c r="N2213" i="17"/>
  <c r="M2214" i="17"/>
  <c r="N2214" i="17"/>
  <c r="M2215" i="17"/>
  <c r="N2215" i="17"/>
  <c r="M2216" i="17"/>
  <c r="N2216" i="17"/>
  <c r="M2217" i="17"/>
  <c r="N2217" i="17"/>
  <c r="M2218" i="17"/>
  <c r="N2218" i="17"/>
  <c r="M2219" i="17"/>
  <c r="N2219" i="17"/>
  <c r="M2220" i="17"/>
  <c r="N2220" i="17"/>
  <c r="M2221" i="17"/>
  <c r="N2221" i="17"/>
  <c r="M2222" i="17"/>
  <c r="N2222" i="17"/>
  <c r="M2223" i="17"/>
  <c r="N2223" i="17"/>
  <c r="M2224" i="17"/>
  <c r="N2224" i="17"/>
  <c r="M2225" i="17"/>
  <c r="N2225" i="17"/>
  <c r="M2226" i="17"/>
  <c r="N2226" i="17"/>
  <c r="M2227" i="17"/>
  <c r="N2227" i="17"/>
  <c r="M2228" i="17"/>
  <c r="N2228" i="17"/>
  <c r="M2229" i="17"/>
  <c r="N2229" i="17"/>
  <c r="M2230" i="17"/>
  <c r="N2230" i="17"/>
  <c r="M2231" i="17"/>
  <c r="N2231" i="17"/>
  <c r="M2232" i="17"/>
  <c r="N2232" i="17"/>
  <c r="M2233" i="17"/>
  <c r="N2233" i="17"/>
  <c r="M2234" i="17"/>
  <c r="N2234" i="17"/>
  <c r="M2235" i="17"/>
  <c r="N2235" i="17"/>
  <c r="M2236" i="17"/>
  <c r="N2236" i="17"/>
  <c r="M2237" i="17"/>
  <c r="N2237" i="17"/>
  <c r="M2238" i="17"/>
  <c r="N2238" i="17"/>
  <c r="M2239" i="17"/>
  <c r="N2239" i="17"/>
  <c r="M2240" i="17"/>
  <c r="N2240" i="17"/>
  <c r="M2241" i="17"/>
  <c r="N2241" i="17"/>
  <c r="M2242" i="17"/>
  <c r="N2242" i="17"/>
  <c r="M2243" i="17"/>
  <c r="N2243" i="17"/>
  <c r="M2244" i="17"/>
  <c r="N2244" i="17"/>
  <c r="M2245" i="17"/>
  <c r="N2245" i="17"/>
  <c r="M2246" i="17"/>
  <c r="N2246" i="17"/>
  <c r="M2247" i="17"/>
  <c r="N2247" i="17"/>
  <c r="M2248" i="17"/>
  <c r="N2248" i="17"/>
  <c r="M2249" i="17"/>
  <c r="N2249" i="17"/>
  <c r="M2250" i="17"/>
  <c r="N2250" i="17"/>
  <c r="M2251" i="17"/>
  <c r="N2251" i="17"/>
  <c r="M2252" i="17"/>
  <c r="N2252" i="17"/>
  <c r="M2253" i="17"/>
  <c r="N2253" i="17"/>
  <c r="M2254" i="17"/>
  <c r="N2254" i="17"/>
  <c r="M2255" i="17"/>
  <c r="N2255" i="17"/>
  <c r="M2256" i="17"/>
  <c r="N2256" i="17"/>
  <c r="M2257" i="17"/>
  <c r="N2257" i="17"/>
  <c r="M2258" i="17"/>
  <c r="N2258" i="17"/>
  <c r="M2259" i="17"/>
  <c r="N2259" i="17"/>
  <c r="M2260" i="17"/>
  <c r="N2260" i="17"/>
  <c r="M2261" i="17"/>
  <c r="N2261" i="17"/>
  <c r="M2262" i="17"/>
  <c r="N2262" i="17"/>
  <c r="M2263" i="17"/>
  <c r="N2263" i="17"/>
  <c r="M2264" i="17"/>
  <c r="N2264" i="17"/>
  <c r="M2265" i="17"/>
  <c r="N2265" i="17"/>
  <c r="M2266" i="17"/>
  <c r="N2266" i="17"/>
  <c r="M2267" i="17"/>
  <c r="N2267" i="17"/>
  <c r="M2268" i="17"/>
  <c r="N2268" i="17"/>
  <c r="M2269" i="17"/>
  <c r="N2269" i="17"/>
  <c r="M2270" i="17"/>
  <c r="N2270" i="17"/>
  <c r="M2271" i="17"/>
  <c r="N2271" i="17"/>
  <c r="M2272" i="17"/>
  <c r="N2272" i="17"/>
  <c r="M2273" i="17"/>
  <c r="N2273" i="17"/>
  <c r="M2274" i="17"/>
  <c r="N2274" i="17"/>
  <c r="M2275" i="17"/>
  <c r="N2275" i="17"/>
  <c r="M2276" i="17"/>
  <c r="N2276" i="17"/>
  <c r="M2277" i="17"/>
  <c r="N2277" i="17"/>
  <c r="M2278" i="17"/>
  <c r="N2278" i="17"/>
  <c r="M2279" i="17"/>
  <c r="N2279" i="17"/>
  <c r="M2280" i="17"/>
  <c r="N2280" i="17"/>
  <c r="M2281" i="17"/>
  <c r="N2281" i="17"/>
  <c r="M2282" i="17"/>
  <c r="N2282" i="17"/>
  <c r="M2283" i="17"/>
  <c r="N2283" i="17"/>
  <c r="M2284" i="17"/>
  <c r="N2284" i="17"/>
  <c r="M2285" i="17"/>
  <c r="N2285" i="17"/>
  <c r="M2286" i="17"/>
  <c r="N2286" i="17"/>
  <c r="M2287" i="17"/>
  <c r="N2287" i="17"/>
  <c r="M2288" i="17"/>
  <c r="N2288" i="17"/>
  <c r="M2289" i="17"/>
  <c r="N2289" i="17"/>
  <c r="M2290" i="17"/>
  <c r="N2290" i="17"/>
  <c r="M2291" i="17"/>
  <c r="N2291" i="17"/>
  <c r="M2292" i="17"/>
  <c r="N2292" i="17"/>
  <c r="M2293" i="17"/>
  <c r="N2293" i="17"/>
  <c r="M2294" i="17"/>
  <c r="N2294" i="17"/>
  <c r="M2295" i="17"/>
  <c r="N2295" i="17"/>
  <c r="M2296" i="17"/>
  <c r="N2296" i="17"/>
  <c r="M2297" i="17"/>
  <c r="N2297" i="17"/>
  <c r="M2298" i="17"/>
  <c r="N2298" i="17"/>
  <c r="M2299" i="17"/>
  <c r="N2299" i="17"/>
  <c r="M2300" i="17"/>
  <c r="N2300" i="17"/>
  <c r="M2301" i="17"/>
  <c r="N2301" i="17"/>
  <c r="M2302" i="17"/>
  <c r="N2302" i="17"/>
  <c r="M2303" i="17"/>
  <c r="N2303" i="17"/>
  <c r="M2304" i="17"/>
  <c r="N2304" i="17"/>
  <c r="M2305" i="17"/>
  <c r="N2305" i="17"/>
  <c r="M2306" i="17"/>
  <c r="N2306" i="17"/>
  <c r="M2307" i="17"/>
  <c r="N2307" i="17"/>
  <c r="M2308" i="17"/>
  <c r="N2308" i="17"/>
  <c r="M2309" i="17"/>
  <c r="N2309" i="17"/>
  <c r="M2310" i="17"/>
  <c r="N2310" i="17"/>
  <c r="M2311" i="17"/>
  <c r="N2311" i="17"/>
  <c r="M2312" i="17"/>
  <c r="N2312" i="17"/>
  <c r="M2313" i="17"/>
  <c r="N2313" i="17"/>
  <c r="M2314" i="17"/>
  <c r="N2314" i="17"/>
  <c r="M2315" i="17"/>
  <c r="N2315" i="17"/>
  <c r="M2316" i="17"/>
  <c r="N2316" i="17"/>
  <c r="M2317" i="17"/>
  <c r="N2317" i="17"/>
  <c r="M2318" i="17"/>
  <c r="N2318" i="17"/>
  <c r="M2319" i="17"/>
  <c r="N2319" i="17"/>
  <c r="M2320" i="17"/>
  <c r="N2320" i="17"/>
  <c r="M2321" i="17"/>
  <c r="N2321" i="17"/>
  <c r="M2322" i="17"/>
  <c r="N2322" i="17"/>
  <c r="M2323" i="17"/>
  <c r="N2323" i="17"/>
  <c r="M2324" i="17"/>
  <c r="N2324" i="17"/>
  <c r="M2325" i="17"/>
  <c r="N2325" i="17"/>
  <c r="M2326" i="17"/>
  <c r="N2326" i="17"/>
  <c r="M2327" i="17"/>
  <c r="N2327" i="17"/>
  <c r="M2328" i="17"/>
  <c r="N2328" i="17"/>
  <c r="M2329" i="17"/>
  <c r="N2329" i="17"/>
  <c r="M2330" i="17"/>
  <c r="N2330" i="17"/>
  <c r="M2331" i="17"/>
  <c r="N2331" i="17"/>
  <c r="M2332" i="17"/>
  <c r="N2332" i="17"/>
  <c r="M2333" i="17"/>
  <c r="N2333" i="17"/>
  <c r="M2334" i="17"/>
  <c r="N2334" i="17"/>
  <c r="M2335" i="17"/>
  <c r="N2335" i="17"/>
  <c r="M2336" i="17"/>
  <c r="N2336" i="17"/>
  <c r="M2337" i="17"/>
  <c r="N2337" i="17"/>
  <c r="M2338" i="17"/>
  <c r="N2338" i="17"/>
  <c r="M2339" i="17"/>
  <c r="N2339" i="17"/>
  <c r="M2340" i="17"/>
  <c r="N2340" i="17"/>
  <c r="M2341" i="17"/>
  <c r="N2341" i="17"/>
  <c r="M2342" i="17"/>
  <c r="N2342" i="17"/>
  <c r="M2343" i="17"/>
  <c r="N2343" i="17"/>
  <c r="M2344" i="17"/>
  <c r="N2344" i="17"/>
  <c r="M2345" i="17"/>
  <c r="N2345" i="17"/>
  <c r="M2346" i="17"/>
  <c r="N2346" i="17"/>
  <c r="M2347" i="17"/>
  <c r="N2347" i="17"/>
  <c r="M2348" i="17"/>
  <c r="N2348" i="17"/>
  <c r="M2349" i="17"/>
  <c r="N2349" i="17"/>
  <c r="M2350" i="17"/>
  <c r="N2350" i="17"/>
  <c r="M2351" i="17"/>
  <c r="N2351" i="17"/>
  <c r="M2352" i="17"/>
  <c r="N2352" i="17"/>
  <c r="M2353" i="17"/>
  <c r="N2353" i="17"/>
  <c r="M2354" i="17"/>
  <c r="N2354" i="17"/>
  <c r="M2355" i="17"/>
  <c r="N2355" i="17"/>
  <c r="M2356" i="17"/>
  <c r="N2356" i="17"/>
  <c r="M2357" i="17"/>
  <c r="N2357" i="17"/>
  <c r="M2358" i="17"/>
  <c r="N2358" i="17"/>
  <c r="M2359" i="17"/>
  <c r="N2359" i="17"/>
  <c r="M2360" i="17"/>
  <c r="N2360" i="17"/>
  <c r="M2361" i="17"/>
  <c r="N2361" i="17"/>
  <c r="M2362" i="17"/>
  <c r="N2362" i="17"/>
  <c r="M2363" i="17"/>
  <c r="N2363" i="17"/>
  <c r="M2364" i="17"/>
  <c r="N2364" i="17"/>
  <c r="M2365" i="17"/>
  <c r="N2365" i="17"/>
  <c r="M2022" i="17"/>
  <c r="N2022" i="17"/>
  <c r="M2023" i="17"/>
  <c r="N2023" i="17"/>
  <c r="M2024" i="17"/>
  <c r="N2024" i="17"/>
  <c r="M2025" i="17"/>
  <c r="N2025" i="17"/>
  <c r="M2026" i="17"/>
  <c r="N2026" i="17"/>
  <c r="M2027" i="17"/>
  <c r="N2027" i="17"/>
  <c r="M2028" i="17"/>
  <c r="N2028" i="17"/>
  <c r="M2029" i="17"/>
  <c r="N2029" i="17"/>
  <c r="M2030" i="17"/>
  <c r="N2030" i="17"/>
  <c r="M2375" i="17"/>
  <c r="N2375" i="17"/>
  <c r="M2376" i="17"/>
  <c r="N2376" i="17"/>
  <c r="M2377" i="17"/>
  <c r="N2377" i="17"/>
  <c r="M2378" i="17"/>
  <c r="N2378" i="17"/>
  <c r="M2379" i="17"/>
  <c r="N2379" i="17"/>
  <c r="M2380" i="17"/>
  <c r="N2380" i="17"/>
  <c r="M2381" i="17"/>
  <c r="N2381" i="17"/>
  <c r="M2382" i="17"/>
  <c r="N2382" i="17"/>
  <c r="M2383" i="17"/>
  <c r="N2383" i="17"/>
  <c r="M2384" i="17"/>
  <c r="N2384" i="17"/>
  <c r="M2385" i="17"/>
  <c r="N2385" i="17"/>
  <c r="M2386" i="17"/>
  <c r="N2386" i="17"/>
  <c r="M2387" i="17"/>
  <c r="N2387" i="17"/>
  <c r="M2388" i="17"/>
  <c r="N2388" i="17"/>
  <c r="M2389" i="17"/>
  <c r="N2389" i="17"/>
  <c r="M2390" i="17"/>
  <c r="N2390" i="17"/>
  <c r="M2391" i="17"/>
  <c r="N2391" i="17"/>
  <c r="M2392" i="17"/>
  <c r="N2392" i="17"/>
  <c r="M2393" i="17"/>
  <c r="N2393" i="17"/>
  <c r="M2394" i="17"/>
  <c r="N2394" i="17"/>
  <c r="M2395" i="17"/>
  <c r="N2395" i="17"/>
  <c r="M2396" i="17"/>
  <c r="N2396" i="17"/>
  <c r="M2397" i="17"/>
  <c r="N2397" i="17"/>
  <c r="M2398" i="17"/>
  <c r="N2398" i="17"/>
  <c r="M2399" i="17"/>
  <c r="N2399" i="17"/>
  <c r="M2400" i="17"/>
  <c r="N2400" i="17"/>
  <c r="M2401" i="17"/>
  <c r="N2401" i="17"/>
  <c r="M2402" i="17"/>
  <c r="N2402" i="17"/>
  <c r="M2403" i="17"/>
  <c r="N2403" i="17"/>
  <c r="M2404" i="17"/>
  <c r="N2404" i="17"/>
  <c r="M2405" i="17"/>
  <c r="N2405" i="17"/>
  <c r="M2406" i="17"/>
  <c r="N2406" i="17"/>
  <c r="M2407" i="17"/>
  <c r="N2407" i="17"/>
  <c r="M2408" i="17"/>
  <c r="N2408" i="17"/>
  <c r="M2409" i="17"/>
  <c r="N2409" i="17"/>
  <c r="M2410" i="17"/>
  <c r="N2410" i="17"/>
  <c r="M2411" i="17"/>
  <c r="N2411" i="17"/>
  <c r="M2412" i="17"/>
  <c r="N2412" i="17"/>
  <c r="M2413" i="17"/>
  <c r="N2413" i="17"/>
  <c r="M2414" i="17"/>
  <c r="N2414" i="17"/>
  <c r="M2415" i="17"/>
  <c r="N2415" i="17"/>
  <c r="M2416" i="17"/>
  <c r="N2416" i="17"/>
  <c r="M2417" i="17"/>
  <c r="N2417" i="17"/>
  <c r="M2418" i="17"/>
  <c r="N2418" i="17"/>
  <c r="M2419" i="17"/>
  <c r="N2419" i="17"/>
  <c r="M2420" i="17"/>
  <c r="N2420" i="17"/>
  <c r="M2421" i="17"/>
  <c r="N2421" i="17"/>
  <c r="M2422" i="17"/>
  <c r="N2422" i="17"/>
  <c r="M2423" i="17"/>
  <c r="N2423" i="17"/>
  <c r="M2424" i="17"/>
  <c r="N2424" i="17"/>
  <c r="M2425" i="17"/>
  <c r="N2425" i="17"/>
  <c r="M2426" i="17"/>
  <c r="N2426" i="17"/>
  <c r="M2427" i="17"/>
  <c r="N2427" i="17"/>
  <c r="M2428" i="17"/>
  <c r="N2428" i="17"/>
  <c r="M2429" i="17"/>
  <c r="N2429" i="17"/>
  <c r="M2430" i="17"/>
  <c r="N2430" i="17"/>
  <c r="M2431" i="17"/>
  <c r="N2431" i="17"/>
  <c r="M2432" i="17"/>
  <c r="N2432" i="17"/>
  <c r="M2433" i="17"/>
  <c r="N2433" i="17"/>
  <c r="M2434" i="17"/>
  <c r="N2434" i="17"/>
  <c r="M2435" i="17"/>
  <c r="N2435" i="17"/>
  <c r="M2436" i="17"/>
  <c r="N2436" i="17"/>
  <c r="M2437" i="17"/>
  <c r="N2437" i="17"/>
  <c r="M2438" i="17"/>
  <c r="N2438" i="17"/>
  <c r="M2439" i="17"/>
  <c r="N2439" i="17"/>
  <c r="M2440" i="17"/>
  <c r="N2440" i="17"/>
  <c r="M2441" i="17"/>
  <c r="N2441" i="17"/>
  <c r="M2442" i="17"/>
  <c r="N2442" i="17"/>
  <c r="M2443" i="17"/>
  <c r="N2443" i="17"/>
  <c r="M2444" i="17"/>
  <c r="N2444" i="17"/>
  <c r="M2445" i="17"/>
  <c r="N2445" i="17"/>
  <c r="M2446" i="17"/>
  <c r="N2446" i="17"/>
  <c r="M2369" i="17"/>
  <c r="N2369" i="17"/>
  <c r="M2370" i="17"/>
  <c r="N2370" i="17"/>
  <c r="M2371" i="17"/>
  <c r="N2371" i="17"/>
  <c r="M2372" i="17"/>
  <c r="N2372" i="17"/>
  <c r="M2373" i="17"/>
  <c r="N2373" i="17"/>
  <c r="M2374" i="17"/>
  <c r="N2374" i="17"/>
  <c r="M2447" i="17"/>
  <c r="N2447" i="17"/>
  <c r="M2448" i="17"/>
  <c r="N2448" i="17"/>
  <c r="M2449" i="17"/>
  <c r="N2449" i="17"/>
  <c r="M2456" i="17"/>
  <c r="N2456" i="17"/>
  <c r="M2457" i="17"/>
  <c r="N2457" i="17"/>
  <c r="M2458" i="17"/>
  <c r="N2458" i="17"/>
  <c r="M2459" i="17"/>
  <c r="N2459" i="17"/>
  <c r="M2460" i="17"/>
  <c r="N2460" i="17"/>
  <c r="M2461" i="17"/>
  <c r="N2461" i="17"/>
  <c r="M2462" i="17"/>
  <c r="N2462" i="17"/>
  <c r="M2463" i="17"/>
  <c r="N2463" i="17"/>
  <c r="M2464" i="17"/>
  <c r="N2464" i="17"/>
  <c r="M2465" i="17"/>
  <c r="N2465" i="17"/>
  <c r="M2466" i="17"/>
  <c r="N2466" i="17"/>
  <c r="M2467" i="17"/>
  <c r="N2467" i="17"/>
  <c r="M2468" i="17"/>
  <c r="N2468" i="17"/>
  <c r="M2469" i="17"/>
  <c r="N2469" i="17"/>
  <c r="M2470" i="17"/>
  <c r="N2470" i="17"/>
  <c r="M2471" i="17"/>
  <c r="N2471" i="17"/>
  <c r="M2472" i="17"/>
  <c r="N2472" i="17"/>
  <c r="M2473" i="17"/>
  <c r="N2473" i="17"/>
  <c r="M2474" i="17"/>
  <c r="N2474" i="17"/>
  <c r="M2475" i="17"/>
  <c r="N2475" i="17"/>
  <c r="M2476" i="17"/>
  <c r="N2476" i="17"/>
  <c r="M2477" i="17"/>
  <c r="N2477" i="17"/>
  <c r="M2478" i="17"/>
  <c r="N2478" i="17"/>
  <c r="M2479" i="17"/>
  <c r="N2479" i="17"/>
  <c r="M2480" i="17"/>
  <c r="N2480" i="17"/>
  <c r="M2481" i="17"/>
  <c r="N2481" i="17"/>
  <c r="M2482" i="17"/>
  <c r="N2482" i="17"/>
  <c r="M2483" i="17"/>
  <c r="N2483" i="17"/>
  <c r="M2484" i="17"/>
  <c r="N2484" i="17"/>
  <c r="M2485" i="17"/>
  <c r="N2485" i="17"/>
  <c r="M2486" i="17"/>
  <c r="N2486" i="17"/>
  <c r="M2487" i="17"/>
  <c r="N2487" i="17"/>
  <c r="M2488" i="17"/>
  <c r="N2488" i="17"/>
  <c r="M2489" i="17"/>
  <c r="N2489" i="17"/>
  <c r="M2490" i="17"/>
  <c r="N2490" i="17"/>
  <c r="M2491" i="17"/>
  <c r="N2491" i="17"/>
  <c r="M2492" i="17"/>
  <c r="N2492" i="17"/>
  <c r="M2493" i="17"/>
  <c r="N2493" i="17"/>
  <c r="M2494" i="17"/>
  <c r="N2494" i="17"/>
  <c r="M2495" i="17"/>
  <c r="N2495" i="17"/>
  <c r="M2496" i="17"/>
  <c r="N2496" i="17"/>
  <c r="M2497" i="17"/>
  <c r="N2497" i="17"/>
  <c r="M2498" i="17"/>
  <c r="N2498" i="17"/>
  <c r="M2499" i="17"/>
  <c r="N2499" i="17"/>
  <c r="M2500" i="17"/>
  <c r="N2500" i="17"/>
  <c r="M2501" i="17"/>
  <c r="N2501" i="17"/>
  <c r="M2502" i="17"/>
  <c r="N2502" i="17"/>
  <c r="M2503" i="17"/>
  <c r="N2503" i="17"/>
  <c r="M2504" i="17"/>
  <c r="N2504" i="17"/>
  <c r="M2505" i="17"/>
  <c r="N2505" i="17"/>
  <c r="M2506" i="17"/>
  <c r="N2506" i="17"/>
  <c r="M2507" i="17"/>
  <c r="N2507" i="17"/>
  <c r="M2508" i="17"/>
  <c r="N2508" i="17"/>
  <c r="M2509" i="17"/>
  <c r="N2509" i="17"/>
  <c r="M2510" i="17"/>
  <c r="N2510" i="17"/>
  <c r="M2511" i="17"/>
  <c r="N2511" i="17"/>
  <c r="M2512" i="17"/>
  <c r="N2512" i="17"/>
  <c r="M2513" i="17"/>
  <c r="N2513" i="17"/>
  <c r="M2514" i="17"/>
  <c r="N2514" i="17"/>
  <c r="M2515" i="17"/>
  <c r="N2515" i="17"/>
  <c r="M2516" i="17"/>
  <c r="N2516" i="17"/>
  <c r="M2517" i="17"/>
  <c r="N2517" i="17"/>
  <c r="M2518" i="17"/>
  <c r="N2518" i="17"/>
  <c r="M2519" i="17"/>
  <c r="N2519" i="17"/>
  <c r="M2520" i="17"/>
  <c r="N2520" i="17"/>
  <c r="M2521" i="17"/>
  <c r="N2521" i="17"/>
  <c r="M2522" i="17"/>
  <c r="N2522" i="17"/>
  <c r="M2523" i="17"/>
  <c r="N2523" i="17"/>
  <c r="M2524" i="17"/>
  <c r="N2524" i="17"/>
  <c r="M2525" i="17"/>
  <c r="N2525" i="17"/>
  <c r="M2526" i="17"/>
  <c r="N2526" i="17"/>
  <c r="M2527" i="17"/>
  <c r="N2527" i="17"/>
  <c r="M2528" i="17"/>
  <c r="N2528" i="17"/>
  <c r="M2529" i="17"/>
  <c r="N2529" i="17"/>
  <c r="M2530" i="17"/>
  <c r="N2530" i="17"/>
  <c r="M2531" i="17"/>
  <c r="N2531" i="17"/>
  <c r="M2532" i="17"/>
  <c r="N2532" i="17"/>
  <c r="M2533" i="17"/>
  <c r="N2533" i="17"/>
  <c r="M2534" i="17"/>
  <c r="N2534" i="17"/>
  <c r="M2535" i="17"/>
  <c r="N2535" i="17"/>
  <c r="M2536" i="17"/>
  <c r="N2536" i="17"/>
  <c r="M2537" i="17"/>
  <c r="N2537" i="17"/>
  <c r="M2538" i="17"/>
  <c r="N2538" i="17"/>
  <c r="M2539" i="17"/>
  <c r="N2539" i="17"/>
  <c r="M2540" i="17"/>
  <c r="N2540" i="17"/>
  <c r="M2541" i="17"/>
  <c r="N2541" i="17"/>
  <c r="M2542" i="17"/>
  <c r="N2542" i="17"/>
  <c r="M2543" i="17"/>
  <c r="N2543" i="17"/>
  <c r="M2544" i="17"/>
  <c r="N2544" i="17"/>
  <c r="M2545" i="17"/>
  <c r="N2545" i="17"/>
  <c r="M2546" i="17"/>
  <c r="N2546" i="17"/>
  <c r="M2547" i="17"/>
  <c r="N2547" i="17"/>
  <c r="M2548" i="17"/>
  <c r="N2548" i="17"/>
  <c r="M2549" i="17"/>
  <c r="N2549" i="17"/>
  <c r="M2550" i="17"/>
  <c r="N2550" i="17"/>
  <c r="M2551" i="17"/>
  <c r="N2551" i="17"/>
  <c r="M2552" i="17"/>
  <c r="N2552" i="17"/>
  <c r="M2553" i="17"/>
  <c r="N2553" i="17"/>
  <c r="M2554" i="17"/>
  <c r="N2554" i="17"/>
  <c r="M2555" i="17"/>
  <c r="N2555" i="17"/>
  <c r="M2556" i="17"/>
  <c r="N2556" i="17"/>
  <c r="M2557" i="17"/>
  <c r="N2557" i="17"/>
  <c r="M2558" i="17"/>
  <c r="N2558" i="17"/>
  <c r="M2559" i="17"/>
  <c r="N2559" i="17"/>
  <c r="M2450" i="17"/>
  <c r="N2450" i="17"/>
  <c r="M2451" i="17"/>
  <c r="N2451" i="17"/>
  <c r="M2452" i="17"/>
  <c r="N2452" i="17"/>
  <c r="M2453" i="17"/>
  <c r="N2453" i="17"/>
  <c r="M2454" i="17"/>
  <c r="N2454" i="17"/>
  <c r="M2455" i="17"/>
  <c r="N2455" i="17"/>
  <c r="M2560" i="17"/>
  <c r="N2560" i="17"/>
  <c r="M2561" i="17"/>
  <c r="N2561" i="17"/>
  <c r="M2562" i="17"/>
  <c r="N2562" i="17"/>
  <c r="M2569" i="17"/>
  <c r="N2569" i="17"/>
  <c r="M2570" i="17"/>
  <c r="N2570" i="17"/>
  <c r="M2571" i="17"/>
  <c r="N2571" i="17"/>
  <c r="M2572" i="17"/>
  <c r="N2572" i="17"/>
  <c r="M2573" i="17"/>
  <c r="N2573" i="17"/>
  <c r="M2574" i="17"/>
  <c r="N2574" i="17"/>
  <c r="M2575" i="17"/>
  <c r="N2575" i="17"/>
  <c r="M2576" i="17"/>
  <c r="N2576" i="17"/>
  <c r="M2577" i="17"/>
  <c r="N2577" i="17"/>
  <c r="M2578" i="17"/>
  <c r="N2578" i="17"/>
  <c r="M2579" i="17"/>
  <c r="N2579" i="17"/>
  <c r="M2580" i="17"/>
  <c r="N2580" i="17"/>
  <c r="M2581" i="17"/>
  <c r="N2581" i="17"/>
  <c r="M2582" i="17"/>
  <c r="N2582" i="17"/>
  <c r="M2583" i="17"/>
  <c r="N2583" i="17"/>
  <c r="M2584" i="17"/>
  <c r="N2584" i="17"/>
  <c r="M2585" i="17"/>
  <c r="N2585" i="17"/>
  <c r="M2586" i="17"/>
  <c r="N2586" i="17"/>
  <c r="M2587" i="17"/>
  <c r="N2587" i="17"/>
  <c r="M2588" i="17"/>
  <c r="N2588" i="17"/>
  <c r="M2589" i="17"/>
  <c r="N2589" i="17"/>
  <c r="M2590" i="17"/>
  <c r="N2590" i="17"/>
  <c r="M2591" i="17"/>
  <c r="N2591" i="17"/>
  <c r="M2592" i="17"/>
  <c r="N2592" i="17"/>
  <c r="M2593" i="17"/>
  <c r="N2593" i="17"/>
  <c r="M2594" i="17"/>
  <c r="N2594" i="17"/>
  <c r="M2595" i="17"/>
  <c r="N2595" i="17"/>
  <c r="M2596" i="17"/>
  <c r="N2596" i="17"/>
  <c r="M2597" i="17"/>
  <c r="N2597" i="17"/>
  <c r="M2598" i="17"/>
  <c r="N2598" i="17"/>
  <c r="M2599" i="17"/>
  <c r="N2599" i="17"/>
  <c r="M2600" i="17"/>
  <c r="N2600" i="17"/>
  <c r="M2601" i="17"/>
  <c r="N2601" i="17"/>
  <c r="M2602" i="17"/>
  <c r="N2602" i="17"/>
  <c r="M2603" i="17"/>
  <c r="N2603" i="17"/>
  <c r="M2604" i="17"/>
  <c r="N2604" i="17"/>
  <c r="M2605" i="17"/>
  <c r="N2605" i="17"/>
  <c r="M2606" i="17"/>
  <c r="N2606" i="17"/>
  <c r="M2607" i="17"/>
  <c r="N2607" i="17"/>
  <c r="M2608" i="17"/>
  <c r="N2608" i="17"/>
  <c r="M2609" i="17"/>
  <c r="N2609" i="17"/>
  <c r="M2610" i="17"/>
  <c r="N2610" i="17"/>
  <c r="M2611" i="17"/>
  <c r="N2611" i="17"/>
  <c r="M2612" i="17"/>
  <c r="N2612" i="17"/>
  <c r="M2613" i="17"/>
  <c r="N2613" i="17"/>
  <c r="M2614" i="17"/>
  <c r="N2614" i="17"/>
  <c r="M2615" i="17"/>
  <c r="N2615" i="17"/>
  <c r="M2616" i="17"/>
  <c r="N2616" i="17"/>
  <c r="M2617" i="17"/>
  <c r="N2617" i="17"/>
  <c r="M2618" i="17"/>
  <c r="N2618" i="17"/>
  <c r="M2619" i="17"/>
  <c r="N2619" i="17"/>
  <c r="M2620" i="17"/>
  <c r="N2620" i="17"/>
  <c r="M2621" i="17"/>
  <c r="N2621" i="17"/>
  <c r="M2622" i="17"/>
  <c r="N2622" i="17"/>
  <c r="M2623" i="17"/>
  <c r="N2623" i="17"/>
  <c r="M2624" i="17"/>
  <c r="N2624" i="17"/>
  <c r="M2625" i="17"/>
  <c r="N2625" i="17"/>
  <c r="M2626" i="17"/>
  <c r="N2626" i="17"/>
  <c r="M2627" i="17"/>
  <c r="N2627" i="17"/>
  <c r="M2628" i="17"/>
  <c r="N2628" i="17"/>
  <c r="M2629" i="17"/>
  <c r="N2629" i="17"/>
  <c r="M2630" i="17"/>
  <c r="N2630" i="17"/>
  <c r="M2631" i="17"/>
  <c r="N2631" i="17"/>
  <c r="M2632" i="17"/>
  <c r="N2632" i="17"/>
  <c r="M2633" i="17"/>
  <c r="N2633" i="17"/>
  <c r="M2634" i="17"/>
  <c r="N2634" i="17"/>
  <c r="M2635" i="17"/>
  <c r="N2635" i="17"/>
  <c r="M2636" i="17"/>
  <c r="N2636" i="17"/>
  <c r="M2637" i="17"/>
  <c r="N2637" i="17"/>
  <c r="M2638" i="17"/>
  <c r="N2638" i="17"/>
  <c r="M2639" i="17"/>
  <c r="N2639" i="17"/>
  <c r="M2640" i="17"/>
  <c r="N2640" i="17"/>
  <c r="M2641" i="17"/>
  <c r="N2641" i="17"/>
  <c r="M2642" i="17"/>
  <c r="N2642" i="17"/>
  <c r="M2643" i="17"/>
  <c r="N2643" i="17"/>
  <c r="M2644" i="17"/>
  <c r="N2644" i="17"/>
  <c r="M2645" i="17"/>
  <c r="N2645" i="17"/>
  <c r="M2646" i="17"/>
  <c r="N2646" i="17"/>
  <c r="M2647" i="17"/>
  <c r="N2647" i="17"/>
  <c r="M2648" i="17"/>
  <c r="N2648" i="17"/>
  <c r="M2649" i="17"/>
  <c r="N2649" i="17"/>
  <c r="M2650" i="17"/>
  <c r="N2650" i="17"/>
  <c r="M2651" i="17"/>
  <c r="N2651" i="17"/>
  <c r="M2652" i="17"/>
  <c r="N2652" i="17"/>
  <c r="M2653" i="17"/>
  <c r="N2653" i="17"/>
  <c r="M2654" i="17"/>
  <c r="N2654" i="17"/>
  <c r="M2655" i="17"/>
  <c r="N2655" i="17"/>
  <c r="M2656" i="17"/>
  <c r="N2656" i="17"/>
  <c r="M2657" i="17"/>
  <c r="N2657" i="17"/>
  <c r="M2658" i="17"/>
  <c r="N2658" i="17"/>
  <c r="M2659" i="17"/>
  <c r="N2659" i="17"/>
  <c r="M2660" i="17"/>
  <c r="N2660" i="17"/>
  <c r="M2661" i="17"/>
  <c r="N2661" i="17"/>
  <c r="M2662" i="17"/>
  <c r="N2662" i="17"/>
  <c r="M2663" i="17"/>
  <c r="N2663" i="17"/>
  <c r="M2664" i="17"/>
  <c r="N2664" i="17"/>
  <c r="M2665" i="17"/>
  <c r="N2665" i="17"/>
  <c r="M2666" i="17"/>
  <c r="N2666" i="17"/>
  <c r="M2667" i="17"/>
  <c r="N2667" i="17"/>
  <c r="M2668" i="17"/>
  <c r="N2668" i="17"/>
  <c r="M2669" i="17"/>
  <c r="N2669" i="17"/>
  <c r="M2670" i="17"/>
  <c r="N2670" i="17"/>
  <c r="M2671" i="17"/>
  <c r="N2671" i="17"/>
  <c r="M2672" i="17"/>
  <c r="N2672" i="17"/>
  <c r="M2673" i="17"/>
  <c r="N2673" i="17"/>
  <c r="M2674" i="17"/>
  <c r="N2674" i="17"/>
  <c r="M2675" i="17"/>
  <c r="N2675" i="17"/>
  <c r="M2676" i="17"/>
  <c r="N2676" i="17"/>
  <c r="M2677" i="17"/>
  <c r="N2677" i="17"/>
  <c r="M2678" i="17"/>
  <c r="N2678" i="17"/>
  <c r="M2679" i="17"/>
  <c r="N2679" i="17"/>
  <c r="M2680" i="17"/>
  <c r="N2680" i="17"/>
  <c r="M2681" i="17"/>
  <c r="N2681" i="17"/>
  <c r="M2682" i="17"/>
  <c r="N2682" i="17"/>
  <c r="M2683" i="17"/>
  <c r="N2683" i="17"/>
  <c r="M2684" i="17"/>
  <c r="N2684" i="17"/>
  <c r="M2685" i="17"/>
  <c r="N2685" i="17"/>
  <c r="M2686" i="17"/>
  <c r="N2686" i="17"/>
  <c r="M2687" i="17"/>
  <c r="N2687" i="17"/>
  <c r="M2688" i="17"/>
  <c r="N2688" i="17"/>
  <c r="M2689" i="17"/>
  <c r="N2689" i="17"/>
  <c r="M2690" i="17"/>
  <c r="N2690" i="17"/>
  <c r="M2691" i="17"/>
  <c r="N2691" i="17"/>
  <c r="M2692" i="17"/>
  <c r="N2692" i="17"/>
  <c r="M2693" i="17"/>
  <c r="N2693" i="17"/>
  <c r="M2694" i="17"/>
  <c r="N2694" i="17"/>
  <c r="M2695" i="17"/>
  <c r="N2695" i="17"/>
  <c r="M2696" i="17"/>
  <c r="N2696" i="17"/>
  <c r="M2697" i="17"/>
  <c r="N2697" i="17"/>
  <c r="M2698" i="17"/>
  <c r="N2698" i="17"/>
  <c r="M2699" i="17"/>
  <c r="N2699" i="17"/>
  <c r="M2700" i="17"/>
  <c r="N2700" i="17"/>
  <c r="M2701" i="17"/>
  <c r="N2701" i="17"/>
  <c r="M2702" i="17"/>
  <c r="N2702" i="17"/>
  <c r="M2703" i="17"/>
  <c r="N2703" i="17"/>
  <c r="M2704" i="17"/>
  <c r="N2704" i="17"/>
  <c r="M2705" i="17"/>
  <c r="N2705" i="17"/>
  <c r="M2706" i="17"/>
  <c r="N2706" i="17"/>
  <c r="M2707" i="17"/>
  <c r="N2707" i="17"/>
  <c r="M2708" i="17"/>
  <c r="N2708" i="17"/>
  <c r="M2709" i="17"/>
  <c r="N2709" i="17"/>
  <c r="M2710" i="17"/>
  <c r="N2710" i="17"/>
  <c r="M2711" i="17"/>
  <c r="N2711" i="17"/>
  <c r="M2712" i="17"/>
  <c r="N2712" i="17"/>
  <c r="M2713" i="17"/>
  <c r="N2713" i="17"/>
  <c r="M2714" i="17"/>
  <c r="N2714" i="17"/>
  <c r="M2715" i="17"/>
  <c r="N2715" i="17"/>
  <c r="M2716" i="17"/>
  <c r="N2716" i="17"/>
  <c r="M2717" i="17"/>
  <c r="N2717" i="17"/>
  <c r="M2718" i="17"/>
  <c r="N2718" i="17"/>
  <c r="M2719" i="17"/>
  <c r="N2719" i="17"/>
  <c r="M2720" i="17"/>
  <c r="N2720" i="17"/>
  <c r="M2721" i="17"/>
  <c r="N2721" i="17"/>
  <c r="M2722" i="17"/>
  <c r="N2722" i="17"/>
  <c r="M2723" i="17"/>
  <c r="N2723" i="17"/>
  <c r="M2724" i="17"/>
  <c r="N2724" i="17"/>
  <c r="M2725" i="17"/>
  <c r="N2725" i="17"/>
  <c r="M2726" i="17"/>
  <c r="N2726" i="17"/>
  <c r="M2727" i="17"/>
  <c r="N2727" i="17"/>
  <c r="M2728" i="17"/>
  <c r="N2728" i="17"/>
  <c r="M2729" i="17"/>
  <c r="N2729" i="17"/>
  <c r="M2730" i="17"/>
  <c r="N2730" i="17"/>
  <c r="M2731" i="17"/>
  <c r="N2731" i="17"/>
  <c r="M2732" i="17"/>
  <c r="N2732" i="17"/>
  <c r="M2733" i="17"/>
  <c r="N2733" i="17"/>
  <c r="M2734" i="17"/>
  <c r="N2734" i="17"/>
  <c r="M2735" i="17"/>
  <c r="N2735" i="17"/>
  <c r="M2736" i="17"/>
  <c r="N2736" i="17"/>
  <c r="M2737" i="17"/>
  <c r="N2737" i="17"/>
  <c r="M2738" i="17"/>
  <c r="N2738" i="17"/>
  <c r="M2739" i="17"/>
  <c r="N2739" i="17"/>
  <c r="M2740" i="17"/>
  <c r="N2740" i="17"/>
  <c r="M2741" i="17"/>
  <c r="N2741" i="17"/>
  <c r="M2742" i="17"/>
  <c r="N2742" i="17"/>
  <c r="M2743" i="17"/>
  <c r="N2743" i="17"/>
  <c r="M2744" i="17"/>
  <c r="N2744" i="17"/>
  <c r="M2745" i="17"/>
  <c r="N2745" i="17"/>
  <c r="M2746" i="17"/>
  <c r="N2746" i="17"/>
  <c r="M2747" i="17"/>
  <c r="N2747" i="17"/>
  <c r="M2748" i="17"/>
  <c r="N2748" i="17"/>
  <c r="M2749" i="17"/>
  <c r="N2749" i="17"/>
  <c r="M2750" i="17"/>
  <c r="N2750" i="17"/>
  <c r="M2751" i="17"/>
  <c r="N2751" i="17"/>
  <c r="M2752" i="17"/>
  <c r="N2752" i="17"/>
  <c r="M2753" i="17"/>
  <c r="N2753" i="17"/>
  <c r="M2754" i="17"/>
  <c r="N2754" i="17"/>
  <c r="M2755" i="17"/>
  <c r="N2755" i="17"/>
  <c r="M2756" i="17"/>
  <c r="N2756" i="17"/>
  <c r="M2757" i="17"/>
  <c r="N2757" i="17"/>
  <c r="M2758" i="17"/>
  <c r="N2758" i="17"/>
  <c r="M2759" i="17"/>
  <c r="N2759" i="17"/>
  <c r="M2760" i="17"/>
  <c r="N2760" i="17"/>
  <c r="M2761" i="17"/>
  <c r="N2761" i="17"/>
  <c r="M2762" i="17"/>
  <c r="N2762" i="17"/>
  <c r="M2763" i="17"/>
  <c r="N2763" i="17"/>
  <c r="M2764" i="17"/>
  <c r="N2764" i="17"/>
  <c r="M2765" i="17"/>
  <c r="N2765" i="17"/>
  <c r="M2766" i="17"/>
  <c r="N2766" i="17"/>
  <c r="M2767" i="17"/>
  <c r="N2767" i="17"/>
  <c r="M2768" i="17"/>
  <c r="N2768" i="17"/>
  <c r="M2769" i="17"/>
  <c r="N2769" i="17"/>
  <c r="M2770" i="17"/>
  <c r="N2770" i="17"/>
  <c r="M2771" i="17"/>
  <c r="N2771" i="17"/>
  <c r="M2772" i="17"/>
  <c r="N2772" i="17"/>
  <c r="M2773" i="17"/>
  <c r="N2773" i="17"/>
  <c r="M2774" i="17"/>
  <c r="N2774" i="17"/>
  <c r="M2775" i="17"/>
  <c r="N2775" i="17"/>
  <c r="M2776" i="17"/>
  <c r="N2776" i="17"/>
  <c r="M2777" i="17"/>
  <c r="N2777" i="17"/>
  <c r="M2778" i="17"/>
  <c r="N2778" i="17"/>
  <c r="M2779" i="17"/>
  <c r="N2779" i="17"/>
  <c r="M2780" i="17"/>
  <c r="N2780" i="17"/>
  <c r="M2781" i="17"/>
  <c r="N2781" i="17"/>
  <c r="M2782" i="17"/>
  <c r="N2782" i="17"/>
  <c r="M2783" i="17"/>
  <c r="N2783" i="17"/>
  <c r="M2784" i="17"/>
  <c r="N2784" i="17"/>
  <c r="M2785" i="17"/>
  <c r="N2785" i="17"/>
  <c r="M2786" i="17"/>
  <c r="N2786" i="17"/>
  <c r="M2787" i="17"/>
  <c r="N2787" i="17"/>
  <c r="M2788" i="17"/>
  <c r="N2788" i="17"/>
  <c r="M2789" i="17"/>
  <c r="N2789" i="17"/>
  <c r="M2790" i="17"/>
  <c r="N2790" i="17"/>
  <c r="M2791" i="17"/>
  <c r="N2791" i="17"/>
  <c r="M2792" i="17"/>
  <c r="N2792" i="17"/>
  <c r="M2793" i="17"/>
  <c r="N2793" i="17"/>
  <c r="M2794" i="17"/>
  <c r="N2794" i="17"/>
  <c r="M2795" i="17"/>
  <c r="N2795" i="17"/>
  <c r="M2796" i="17"/>
  <c r="N2796" i="17"/>
  <c r="M2797" i="17"/>
  <c r="N2797" i="17"/>
  <c r="M2798" i="17"/>
  <c r="N2798" i="17"/>
  <c r="M2799" i="17"/>
  <c r="N2799" i="17"/>
  <c r="M2800" i="17"/>
  <c r="N2800" i="17"/>
  <c r="M2801" i="17"/>
  <c r="N2801" i="17"/>
  <c r="M2802" i="17"/>
  <c r="N2802" i="17"/>
  <c r="M2803" i="17"/>
  <c r="N2803" i="17"/>
  <c r="M2804" i="17"/>
  <c r="N2804" i="17"/>
  <c r="M2805" i="17"/>
  <c r="N2805" i="17"/>
  <c r="M2806" i="17"/>
  <c r="N2806" i="17"/>
  <c r="M2807" i="17"/>
  <c r="N2807" i="17"/>
  <c r="M2808" i="17"/>
  <c r="N2808" i="17"/>
  <c r="M2809" i="17"/>
  <c r="N2809" i="17"/>
  <c r="M2810" i="17"/>
  <c r="N2810" i="17"/>
  <c r="M2811" i="17"/>
  <c r="N2811" i="17"/>
  <c r="M2812" i="17"/>
  <c r="N2812" i="17"/>
  <c r="M2813" i="17"/>
  <c r="N2813" i="17"/>
  <c r="M2814" i="17"/>
  <c r="N2814" i="17"/>
  <c r="M2815" i="17"/>
  <c r="N2815" i="17"/>
  <c r="M2816" i="17"/>
  <c r="N2816" i="17"/>
  <c r="M2817" i="17"/>
  <c r="N2817" i="17"/>
  <c r="M2818" i="17"/>
  <c r="N2818" i="17"/>
  <c r="M2819" i="17"/>
  <c r="N2819" i="17"/>
  <c r="M2820" i="17"/>
  <c r="N2820" i="17"/>
  <c r="M2821" i="17"/>
  <c r="N2821" i="17"/>
  <c r="M2822" i="17"/>
  <c r="N2822" i="17"/>
  <c r="M2823" i="17"/>
  <c r="N2823" i="17"/>
  <c r="M2824" i="17"/>
  <c r="N2824" i="17"/>
  <c r="M2825" i="17"/>
  <c r="N2825" i="17"/>
  <c r="M2826" i="17"/>
  <c r="N2826" i="17"/>
  <c r="M2827" i="17"/>
  <c r="N2827" i="17"/>
  <c r="M2828" i="17"/>
  <c r="N2828" i="17"/>
  <c r="M2829" i="17"/>
  <c r="N2829" i="17"/>
  <c r="M2830" i="17"/>
  <c r="N2830" i="17"/>
  <c r="M2831" i="17"/>
  <c r="N2831" i="17"/>
  <c r="M2832" i="17"/>
  <c r="N2832" i="17"/>
  <c r="M2833" i="17"/>
  <c r="N2833" i="17"/>
  <c r="M2834" i="17"/>
  <c r="N2834" i="17"/>
  <c r="M2835" i="17"/>
  <c r="N2835" i="17"/>
  <c r="M2836" i="17"/>
  <c r="N2836" i="17"/>
  <c r="M2837" i="17"/>
  <c r="N2837" i="17"/>
  <c r="M2838" i="17"/>
  <c r="N2838" i="17"/>
  <c r="M2839" i="17"/>
  <c r="N2839" i="17"/>
  <c r="M2840" i="17"/>
  <c r="N2840" i="17"/>
  <c r="M2841" i="17"/>
  <c r="N2841" i="17"/>
  <c r="M2842" i="17"/>
  <c r="N2842" i="17"/>
  <c r="M2843" i="17"/>
  <c r="N2843" i="17"/>
  <c r="M2844" i="17"/>
  <c r="N2844" i="17"/>
  <c r="M2845" i="17"/>
  <c r="N2845" i="17"/>
  <c r="M2846" i="17"/>
  <c r="N2846" i="17"/>
  <c r="M2847" i="17"/>
  <c r="N2847" i="17"/>
  <c r="M2848" i="17"/>
  <c r="N2848" i="17"/>
  <c r="M2849" i="17"/>
  <c r="N2849" i="17"/>
  <c r="M2850" i="17"/>
  <c r="N2850" i="17"/>
  <c r="M2851" i="17"/>
  <c r="N2851" i="17"/>
  <c r="M2852" i="17"/>
  <c r="N2852" i="17"/>
  <c r="M2853" i="17"/>
  <c r="N2853" i="17"/>
  <c r="M2854" i="17"/>
  <c r="N2854" i="17"/>
  <c r="M2855" i="17"/>
  <c r="N2855" i="17"/>
  <c r="M2856" i="17"/>
  <c r="N2856" i="17"/>
  <c r="M2857" i="17"/>
  <c r="N2857" i="17"/>
  <c r="M2858" i="17"/>
  <c r="N2858" i="17"/>
  <c r="M2859" i="17"/>
  <c r="N2859" i="17"/>
  <c r="M2860" i="17"/>
  <c r="N2860" i="17"/>
  <c r="M2861" i="17"/>
  <c r="N2861" i="17"/>
  <c r="M2862" i="17"/>
  <c r="N2862" i="17"/>
  <c r="M2863" i="17"/>
  <c r="N2863" i="17"/>
  <c r="M2864" i="17"/>
  <c r="N2864" i="17"/>
  <c r="M2865" i="17"/>
  <c r="N2865" i="17"/>
  <c r="M2866" i="17"/>
  <c r="N2866" i="17"/>
  <c r="M2867" i="17"/>
  <c r="N2867" i="17"/>
  <c r="M2868" i="17"/>
  <c r="N2868" i="17"/>
  <c r="M2869" i="17"/>
  <c r="N2869" i="17"/>
  <c r="M2870" i="17"/>
  <c r="N2870" i="17"/>
  <c r="M2871" i="17"/>
  <c r="N2871" i="17"/>
  <c r="M2872" i="17"/>
  <c r="N2872" i="17"/>
  <c r="M2873" i="17"/>
  <c r="N2873" i="17"/>
  <c r="M2874" i="17"/>
  <c r="N2874" i="17"/>
  <c r="M2875" i="17"/>
  <c r="N2875" i="17"/>
  <c r="M2876" i="17"/>
  <c r="N2876" i="17"/>
  <c r="M2877" i="17"/>
  <c r="N2877" i="17"/>
  <c r="M2878" i="17"/>
  <c r="N2878" i="17"/>
  <c r="M2879" i="17"/>
  <c r="N2879" i="17"/>
  <c r="M2880" i="17"/>
  <c r="N2880" i="17"/>
  <c r="M2881" i="17"/>
  <c r="N2881" i="17"/>
  <c r="M2882" i="17"/>
  <c r="N2882" i="17"/>
  <c r="M2883" i="17"/>
  <c r="N2883" i="17"/>
  <c r="M2884" i="17"/>
  <c r="N2884" i="17"/>
  <c r="M2885" i="17"/>
  <c r="N2885" i="17"/>
  <c r="M2886" i="17"/>
  <c r="N2886" i="17"/>
  <c r="M2887" i="17"/>
  <c r="N2887" i="17"/>
  <c r="M2888" i="17"/>
  <c r="N2888" i="17"/>
  <c r="M2889" i="17"/>
  <c r="N2889" i="17"/>
  <c r="M2890" i="17"/>
  <c r="N2890" i="17"/>
  <c r="M2891" i="17"/>
  <c r="N2891" i="17"/>
  <c r="M2892" i="17"/>
  <c r="N2892" i="17"/>
  <c r="M2893" i="17"/>
  <c r="N2893" i="17"/>
  <c r="M2894" i="17"/>
  <c r="N2894" i="17"/>
  <c r="M2895" i="17"/>
  <c r="N2895" i="17"/>
  <c r="M2896" i="17"/>
  <c r="N2896" i="17"/>
  <c r="M2897" i="17"/>
  <c r="N2897" i="17"/>
  <c r="M2898" i="17"/>
  <c r="N2898" i="17"/>
  <c r="M2899" i="17"/>
  <c r="N2899" i="17"/>
  <c r="M2900" i="17"/>
  <c r="N2900" i="17"/>
  <c r="M2901" i="17"/>
  <c r="N2901" i="17"/>
  <c r="M2902" i="17"/>
  <c r="N2902" i="17"/>
  <c r="M2903" i="17"/>
  <c r="N2903" i="17"/>
  <c r="M2904" i="17"/>
  <c r="N2904" i="17"/>
  <c r="M2905" i="17"/>
  <c r="N2905" i="17"/>
  <c r="M2906" i="17"/>
  <c r="N2906" i="17"/>
  <c r="M2907" i="17"/>
  <c r="N2907" i="17"/>
  <c r="M2908" i="17"/>
  <c r="N2908" i="17"/>
  <c r="M2909" i="17"/>
  <c r="N2909" i="17"/>
  <c r="M2910" i="17"/>
  <c r="N2910" i="17"/>
  <c r="M2911" i="17"/>
  <c r="N2911" i="17"/>
  <c r="M2912" i="17"/>
  <c r="N2912" i="17"/>
  <c r="M2913" i="17"/>
  <c r="N2913" i="17"/>
  <c r="M2914" i="17"/>
  <c r="N2914" i="17"/>
  <c r="M2915" i="17"/>
  <c r="N2915" i="17"/>
  <c r="M2916" i="17"/>
  <c r="N2916" i="17"/>
  <c r="M2917" i="17"/>
  <c r="N2917" i="17"/>
  <c r="M2918" i="17"/>
  <c r="N2918" i="17"/>
  <c r="M2919" i="17"/>
  <c r="N2919" i="17"/>
  <c r="M2920" i="17"/>
  <c r="N2920" i="17"/>
  <c r="M2921" i="17"/>
  <c r="N2921" i="17"/>
  <c r="M2922" i="17"/>
  <c r="N2922" i="17"/>
  <c r="M2923" i="17"/>
  <c r="N2923" i="17"/>
  <c r="M2924" i="17"/>
  <c r="N2924" i="17"/>
  <c r="M2925" i="17"/>
  <c r="N2925" i="17"/>
  <c r="M2926" i="17"/>
  <c r="N2926" i="17"/>
  <c r="M2927" i="17"/>
  <c r="N2927" i="17"/>
  <c r="M2928" i="17"/>
  <c r="N2928" i="17"/>
  <c r="M2929" i="17"/>
  <c r="N2929" i="17"/>
  <c r="M2930" i="17"/>
  <c r="N2930" i="17"/>
  <c r="M2931" i="17"/>
  <c r="N2931" i="17"/>
  <c r="M2932" i="17"/>
  <c r="N2932" i="17"/>
  <c r="M2933" i="17"/>
  <c r="N2933" i="17"/>
  <c r="M2934" i="17"/>
  <c r="N2934" i="17"/>
  <c r="M2935" i="17"/>
  <c r="N2935" i="17"/>
  <c r="M2936" i="17"/>
  <c r="N2936" i="17"/>
  <c r="M2937" i="17"/>
  <c r="N2937" i="17"/>
  <c r="M2938" i="17"/>
  <c r="N2938" i="17"/>
  <c r="M2939" i="17"/>
  <c r="N2939" i="17"/>
  <c r="M2940" i="17"/>
  <c r="N2940" i="17"/>
  <c r="M2941" i="17"/>
  <c r="N2941" i="17"/>
  <c r="M2942" i="17"/>
  <c r="N2942" i="17"/>
  <c r="M2943" i="17"/>
  <c r="N2943" i="17"/>
  <c r="M2944" i="17"/>
  <c r="N2944" i="17"/>
  <c r="M2945" i="17"/>
  <c r="N2945" i="17"/>
  <c r="M2946" i="17"/>
  <c r="N2946" i="17"/>
  <c r="M2947" i="17"/>
  <c r="N2947" i="17"/>
  <c r="M2948" i="17"/>
  <c r="N2948" i="17"/>
  <c r="M2949" i="17"/>
  <c r="N2949" i="17"/>
  <c r="M2950" i="17"/>
  <c r="N2950" i="17"/>
  <c r="M2951" i="17"/>
  <c r="N2951" i="17"/>
  <c r="M2952" i="17"/>
  <c r="N2952" i="17"/>
  <c r="M2953" i="17"/>
  <c r="N2953" i="17"/>
  <c r="M2954" i="17"/>
  <c r="N2954" i="17"/>
  <c r="M2955" i="17"/>
  <c r="N2955" i="17"/>
  <c r="M2956" i="17"/>
  <c r="N2956" i="17"/>
  <c r="M2957" i="17"/>
  <c r="N2957" i="17"/>
  <c r="M2958" i="17"/>
  <c r="N2958" i="17"/>
  <c r="M2959" i="17"/>
  <c r="N2959" i="17"/>
  <c r="M2960" i="17"/>
  <c r="N2960" i="17"/>
  <c r="M2961" i="17"/>
  <c r="N2961" i="17"/>
  <c r="M2962" i="17"/>
  <c r="N2962" i="17"/>
  <c r="M2963" i="17"/>
  <c r="N2963" i="17"/>
  <c r="M2964" i="17"/>
  <c r="N2964" i="17"/>
  <c r="M2965" i="17"/>
  <c r="N2965" i="17"/>
  <c r="M2966" i="17"/>
  <c r="N2966" i="17"/>
  <c r="M2967" i="17"/>
  <c r="N2967" i="17"/>
  <c r="M2968" i="17"/>
  <c r="N2968" i="17"/>
  <c r="M2969" i="17"/>
  <c r="N2969" i="17"/>
  <c r="M2970" i="17"/>
  <c r="N2970" i="17"/>
  <c r="M2971" i="17"/>
  <c r="N2971" i="17"/>
  <c r="M2972" i="17"/>
  <c r="N2972" i="17"/>
  <c r="M2973" i="17"/>
  <c r="N2973" i="17"/>
  <c r="M2974" i="17"/>
  <c r="N2974" i="17"/>
  <c r="M2975" i="17"/>
  <c r="N2975" i="17"/>
  <c r="M2976" i="17"/>
  <c r="N2976" i="17"/>
  <c r="M2977" i="17"/>
  <c r="N2977" i="17"/>
  <c r="M2978" i="17"/>
  <c r="N2978" i="17"/>
  <c r="M2979" i="17"/>
  <c r="N2979" i="17"/>
  <c r="M2980" i="17"/>
  <c r="N2980" i="17"/>
  <c r="M2981" i="17"/>
  <c r="N2981" i="17"/>
  <c r="M2982" i="17"/>
  <c r="N2982" i="17"/>
  <c r="M2983" i="17"/>
  <c r="N2983" i="17"/>
  <c r="M2984" i="17"/>
  <c r="N2984" i="17"/>
  <c r="M2985" i="17"/>
  <c r="N2985" i="17"/>
  <c r="M2986" i="17"/>
  <c r="N2986" i="17"/>
  <c r="M2987" i="17"/>
  <c r="N2987" i="17"/>
  <c r="M2988" i="17"/>
  <c r="N2988" i="17"/>
  <c r="M2989" i="17"/>
  <c r="N2989" i="17"/>
  <c r="M2990" i="17"/>
  <c r="N2990" i="17"/>
  <c r="M2991" i="17"/>
  <c r="N2991" i="17"/>
  <c r="M2992" i="17"/>
  <c r="N2992" i="17"/>
  <c r="M2993" i="17"/>
  <c r="N2993" i="17"/>
  <c r="M2994" i="17"/>
  <c r="N2994" i="17"/>
  <c r="M2995" i="17"/>
  <c r="N2995" i="17"/>
  <c r="M2996" i="17"/>
  <c r="N2996" i="17"/>
  <c r="M2997" i="17"/>
  <c r="N2997" i="17"/>
  <c r="M2998" i="17"/>
  <c r="N2998" i="17"/>
  <c r="M2999" i="17"/>
  <c r="N2999" i="17"/>
  <c r="M3000" i="17"/>
  <c r="N3000" i="17"/>
  <c r="M3001" i="17"/>
  <c r="N3001" i="17"/>
  <c r="M3002" i="17"/>
  <c r="N3002" i="17"/>
  <c r="M3003" i="17"/>
  <c r="N3003" i="17"/>
  <c r="M3004" i="17"/>
  <c r="N3004" i="17"/>
  <c r="M3005" i="17"/>
  <c r="N3005" i="17"/>
  <c r="M3006" i="17"/>
  <c r="N3006" i="17"/>
  <c r="M3007" i="17"/>
  <c r="N3007" i="17"/>
  <c r="M3008" i="17"/>
  <c r="N3008" i="17"/>
  <c r="M3009" i="17"/>
  <c r="N3009" i="17"/>
  <c r="M3010" i="17"/>
  <c r="N3010" i="17"/>
  <c r="M3011" i="17"/>
  <c r="N3011" i="17"/>
  <c r="M3012" i="17"/>
  <c r="N3012" i="17"/>
  <c r="M3013" i="17"/>
  <c r="N3013" i="17"/>
  <c r="M3014" i="17"/>
  <c r="N3014" i="17"/>
  <c r="M3015" i="17"/>
  <c r="N3015" i="17"/>
  <c r="M3016" i="17"/>
  <c r="N3016" i="17"/>
  <c r="M3017" i="17"/>
  <c r="N3017" i="17"/>
  <c r="M3018" i="17"/>
  <c r="N3018" i="17"/>
  <c r="M3019" i="17"/>
  <c r="N3019" i="17"/>
  <c r="M3020" i="17"/>
  <c r="N3020" i="17"/>
  <c r="M3021" i="17"/>
  <c r="N3021" i="17"/>
  <c r="M3022" i="17"/>
  <c r="N3022" i="17"/>
  <c r="M3023" i="17"/>
  <c r="N3023" i="17"/>
  <c r="M3024" i="17"/>
  <c r="N3024" i="17"/>
  <c r="M3025" i="17"/>
  <c r="N3025" i="17"/>
  <c r="M3026" i="17"/>
  <c r="N3026" i="17"/>
  <c r="M3027" i="17"/>
  <c r="N3027" i="17"/>
  <c r="M3028" i="17"/>
  <c r="N3028" i="17"/>
  <c r="M3029" i="17"/>
  <c r="N3029" i="17"/>
  <c r="M3030" i="17"/>
  <c r="N3030" i="17"/>
  <c r="M3031" i="17"/>
  <c r="N3031" i="17"/>
  <c r="M3032" i="17"/>
  <c r="N3032" i="17"/>
  <c r="M3033" i="17"/>
  <c r="N3033" i="17"/>
  <c r="M3034" i="17"/>
  <c r="N3034" i="17"/>
  <c r="M3035" i="17"/>
  <c r="N3035" i="17"/>
  <c r="M3036" i="17"/>
  <c r="N3036" i="17"/>
  <c r="M3037" i="17"/>
  <c r="N3037" i="17"/>
  <c r="M3038" i="17"/>
  <c r="N3038" i="17"/>
  <c r="M3039" i="17"/>
  <c r="N3039" i="17"/>
  <c r="M3040" i="17"/>
  <c r="N3040" i="17"/>
  <c r="M3041" i="17"/>
  <c r="N3041" i="17"/>
  <c r="M3042" i="17"/>
  <c r="N3042" i="17"/>
  <c r="M3043" i="17"/>
  <c r="N3043" i="17"/>
  <c r="M3044" i="17"/>
  <c r="N3044" i="17"/>
  <c r="M3045" i="17"/>
  <c r="N3045" i="17"/>
  <c r="M3046" i="17"/>
  <c r="N3046" i="17"/>
  <c r="M3047" i="17"/>
  <c r="N3047" i="17"/>
  <c r="M3048" i="17"/>
  <c r="N3048" i="17"/>
  <c r="M3049" i="17"/>
  <c r="N3049" i="17"/>
  <c r="M3050" i="17"/>
  <c r="N3050" i="17"/>
  <c r="M3051" i="17"/>
  <c r="N3051" i="17"/>
  <c r="M3052" i="17"/>
  <c r="N3052" i="17"/>
  <c r="M3053" i="17"/>
  <c r="N3053" i="17"/>
  <c r="M3054" i="17"/>
  <c r="N3054" i="17"/>
  <c r="M3055" i="17"/>
  <c r="N3055" i="17"/>
  <c r="M3056" i="17"/>
  <c r="N3056" i="17"/>
  <c r="M3057" i="17"/>
  <c r="N3057" i="17"/>
  <c r="M3058" i="17"/>
  <c r="N3058" i="17"/>
  <c r="M3059" i="17"/>
  <c r="N3059" i="17"/>
  <c r="M3060" i="17"/>
  <c r="N3060" i="17"/>
  <c r="M3061" i="17"/>
  <c r="N3061" i="17"/>
  <c r="M3062" i="17"/>
  <c r="N3062" i="17"/>
  <c r="M3063" i="17"/>
  <c r="N3063" i="17"/>
  <c r="M3064" i="17"/>
  <c r="N3064" i="17"/>
  <c r="M3065" i="17"/>
  <c r="N3065" i="17"/>
  <c r="M3066" i="17"/>
  <c r="N3066" i="17"/>
  <c r="M3067" i="17"/>
  <c r="N3067" i="17"/>
  <c r="M3068" i="17"/>
  <c r="N3068" i="17"/>
  <c r="M3069" i="17"/>
  <c r="N3069" i="17"/>
  <c r="M3070" i="17"/>
  <c r="N3070" i="17"/>
  <c r="M3071" i="17"/>
  <c r="N3071" i="17"/>
  <c r="M3072" i="17"/>
  <c r="N3072" i="17"/>
  <c r="M3073" i="17"/>
  <c r="N3073" i="17"/>
  <c r="M3074" i="17"/>
  <c r="N3074" i="17"/>
  <c r="M3075" i="17"/>
  <c r="N3075" i="17"/>
  <c r="M3076" i="17"/>
  <c r="N3076" i="17"/>
  <c r="M3077" i="17"/>
  <c r="N3077" i="17"/>
  <c r="M3078" i="17"/>
  <c r="N3078" i="17"/>
  <c r="M3079" i="17"/>
  <c r="N3079" i="17"/>
  <c r="M3080" i="17"/>
  <c r="N3080" i="17"/>
  <c r="M3081" i="17"/>
  <c r="N3081" i="17"/>
  <c r="M3082" i="17"/>
  <c r="N3082" i="17"/>
  <c r="M3083" i="17"/>
  <c r="N3083" i="17"/>
  <c r="M3084" i="17"/>
  <c r="N3084" i="17"/>
  <c r="M3085" i="17"/>
  <c r="N3085" i="17"/>
  <c r="M3086" i="17"/>
  <c r="N3086" i="17"/>
  <c r="M3087" i="17"/>
  <c r="N3087" i="17"/>
  <c r="M3088" i="17"/>
  <c r="N3088" i="17"/>
  <c r="M3089" i="17"/>
  <c r="N3089" i="17"/>
  <c r="M3090" i="17"/>
  <c r="N3090" i="17"/>
  <c r="M3091" i="17"/>
  <c r="N3091" i="17"/>
  <c r="M3092" i="17"/>
  <c r="N3092" i="17"/>
  <c r="M3093" i="17"/>
  <c r="N3093" i="17"/>
  <c r="M3094" i="17"/>
  <c r="N3094" i="17"/>
  <c r="M3095" i="17"/>
  <c r="N3095" i="17"/>
  <c r="M3096" i="17"/>
  <c r="N3096" i="17"/>
  <c r="M3097" i="17"/>
  <c r="N3097" i="17"/>
  <c r="M3098" i="17"/>
  <c r="N3098" i="17"/>
  <c r="M3099" i="17"/>
  <c r="N3099" i="17"/>
  <c r="M3100" i="17"/>
  <c r="N3100" i="17"/>
  <c r="M3101" i="17"/>
  <c r="N3101" i="17"/>
  <c r="M3102" i="17"/>
  <c r="N3102" i="17"/>
  <c r="M3103" i="17"/>
  <c r="N3103" i="17"/>
  <c r="M3104" i="17"/>
  <c r="N3104" i="17"/>
  <c r="M3105" i="17"/>
  <c r="N3105" i="17"/>
  <c r="M3106" i="17"/>
  <c r="N3106" i="17"/>
  <c r="M3107" i="17"/>
  <c r="N3107" i="17"/>
  <c r="M3108" i="17"/>
  <c r="N3108" i="17"/>
  <c r="M3109" i="17"/>
  <c r="N3109" i="17"/>
  <c r="M3110" i="17"/>
  <c r="N3110" i="17"/>
  <c r="M3111" i="17"/>
  <c r="N3111" i="17"/>
  <c r="M3112" i="17"/>
  <c r="N3112" i="17"/>
  <c r="M3113" i="17"/>
  <c r="N3113" i="17"/>
  <c r="M3114" i="17"/>
  <c r="N3114" i="17"/>
  <c r="M3115" i="17"/>
  <c r="N3115" i="17"/>
  <c r="M3116" i="17"/>
  <c r="N3116" i="17"/>
  <c r="M3117" i="17"/>
  <c r="N3117" i="17"/>
  <c r="M3118" i="17"/>
  <c r="N3118" i="17"/>
  <c r="M3119" i="17"/>
  <c r="N3119" i="17"/>
  <c r="M3120" i="17"/>
  <c r="N3120" i="17"/>
  <c r="M3121" i="17"/>
  <c r="N3121" i="17"/>
  <c r="M3122" i="17"/>
  <c r="N3122" i="17"/>
  <c r="M3123" i="17"/>
  <c r="N3123" i="17"/>
  <c r="M3124" i="17"/>
  <c r="N3124" i="17"/>
  <c r="M3125" i="17"/>
  <c r="N3125" i="17"/>
  <c r="M3126" i="17"/>
  <c r="N3126" i="17"/>
  <c r="M3127" i="17"/>
  <c r="N3127" i="17"/>
  <c r="M3128" i="17"/>
  <c r="N3128" i="17"/>
  <c r="M3129" i="17"/>
  <c r="N3129" i="17"/>
  <c r="M3130" i="17"/>
  <c r="N3130" i="17"/>
  <c r="M3131" i="17"/>
  <c r="N3131" i="17"/>
  <c r="M3132" i="17"/>
  <c r="N3132" i="17"/>
  <c r="M3133" i="17"/>
  <c r="N3133" i="17"/>
  <c r="M3134" i="17"/>
  <c r="N3134" i="17"/>
  <c r="M3135" i="17"/>
  <c r="N3135" i="17"/>
  <c r="M3136" i="17"/>
  <c r="N3136" i="17"/>
  <c r="M3137" i="17"/>
  <c r="N3137" i="17"/>
  <c r="M3138" i="17"/>
  <c r="N3138" i="17"/>
  <c r="M3139" i="17"/>
  <c r="N3139" i="17"/>
  <c r="M3140" i="17"/>
  <c r="N3140" i="17"/>
  <c r="M3141" i="17"/>
  <c r="N3141" i="17"/>
  <c r="M3142" i="17"/>
  <c r="N3142" i="17"/>
  <c r="M3143" i="17"/>
  <c r="N3143" i="17"/>
  <c r="M3144" i="17"/>
  <c r="N3144" i="17"/>
  <c r="M3145" i="17"/>
  <c r="N3145" i="17"/>
  <c r="M3146" i="17"/>
  <c r="N3146" i="17"/>
  <c r="M3147" i="17"/>
  <c r="N3147" i="17"/>
  <c r="M3148" i="17"/>
  <c r="N3148" i="17"/>
  <c r="M3149" i="17"/>
  <c r="N3149" i="17"/>
  <c r="M3150" i="17"/>
  <c r="N3150" i="17"/>
  <c r="M3151" i="17"/>
  <c r="N3151" i="17"/>
  <c r="M3152" i="17"/>
  <c r="N3152" i="17"/>
  <c r="M3153" i="17"/>
  <c r="N3153" i="17"/>
  <c r="M3154" i="17"/>
  <c r="N3154" i="17"/>
  <c r="M3155" i="17"/>
  <c r="N3155" i="17"/>
  <c r="M3156" i="17"/>
  <c r="N3156" i="17"/>
  <c r="M3157" i="17"/>
  <c r="N3157" i="17"/>
  <c r="M3158" i="17"/>
  <c r="N3158" i="17"/>
  <c r="M3159" i="17"/>
  <c r="N3159" i="17"/>
  <c r="M3160" i="17"/>
  <c r="N3160" i="17"/>
  <c r="M3161" i="17"/>
  <c r="N3161" i="17"/>
  <c r="M3162" i="17"/>
  <c r="N3162" i="17"/>
  <c r="M3163" i="17"/>
  <c r="N3163" i="17"/>
  <c r="M3164" i="17"/>
  <c r="N3164" i="17"/>
  <c r="M3165" i="17"/>
  <c r="N3165" i="17"/>
  <c r="M3166" i="17"/>
  <c r="N3166" i="17"/>
  <c r="M3167" i="17"/>
  <c r="N3167" i="17"/>
  <c r="M3168" i="17"/>
  <c r="N3168" i="17"/>
  <c r="M3169" i="17"/>
  <c r="N3169" i="17"/>
  <c r="M3170" i="17"/>
  <c r="N3170" i="17"/>
  <c r="M3171" i="17"/>
  <c r="N3171" i="17"/>
  <c r="M3172" i="17"/>
  <c r="N3172" i="17"/>
  <c r="M3173" i="17"/>
  <c r="N3173" i="17"/>
  <c r="M3174" i="17"/>
  <c r="N3174" i="17"/>
  <c r="M3175" i="17"/>
  <c r="N3175" i="17"/>
  <c r="M3176" i="17"/>
  <c r="N3176" i="17"/>
  <c r="M3177" i="17"/>
  <c r="N3177" i="17"/>
  <c r="M3178" i="17"/>
  <c r="N3178" i="17"/>
  <c r="M3179" i="17"/>
  <c r="N3179" i="17"/>
  <c r="M3180" i="17"/>
  <c r="N3180" i="17"/>
  <c r="M3181" i="17"/>
  <c r="N3181" i="17"/>
  <c r="M3182" i="17"/>
  <c r="N3182" i="17"/>
  <c r="M3183" i="17"/>
  <c r="N3183" i="17"/>
  <c r="M3184" i="17"/>
  <c r="N3184" i="17"/>
  <c r="M3185" i="17"/>
  <c r="N3185" i="17"/>
  <c r="M3186" i="17"/>
  <c r="N3186" i="17"/>
  <c r="M3187" i="17"/>
  <c r="N3187" i="17"/>
  <c r="M3188" i="17"/>
  <c r="N3188" i="17"/>
  <c r="M3189" i="17"/>
  <c r="N3189" i="17"/>
  <c r="M3190" i="17"/>
  <c r="N3190" i="17"/>
  <c r="M3191" i="17"/>
  <c r="N3191" i="17"/>
  <c r="M3192" i="17"/>
  <c r="N3192" i="17"/>
  <c r="M3193" i="17"/>
  <c r="N3193" i="17"/>
  <c r="M3194" i="17"/>
  <c r="N3194" i="17"/>
  <c r="M3195" i="17"/>
  <c r="N3195" i="17"/>
  <c r="M3196" i="17"/>
  <c r="N3196" i="17"/>
  <c r="M3197" i="17"/>
  <c r="N3197" i="17"/>
  <c r="M3198" i="17"/>
  <c r="N3198" i="17"/>
  <c r="M3199" i="17"/>
  <c r="N3199" i="17"/>
  <c r="M3200" i="17"/>
  <c r="N3200" i="17"/>
  <c r="M3201" i="17"/>
  <c r="N3201" i="17"/>
  <c r="M3202" i="17"/>
  <c r="N3202" i="17"/>
  <c r="M3203" i="17"/>
  <c r="N3203" i="17"/>
  <c r="M3204" i="17"/>
  <c r="N3204" i="17"/>
  <c r="M3205" i="17"/>
  <c r="N3205" i="17"/>
  <c r="M3206" i="17"/>
  <c r="N3206" i="17"/>
  <c r="M3207" i="17"/>
  <c r="N3207" i="17"/>
  <c r="M3208" i="17"/>
  <c r="N3208" i="17"/>
  <c r="M3209" i="17"/>
  <c r="N3209" i="17"/>
  <c r="M3210" i="17"/>
  <c r="N3210" i="17"/>
  <c r="M3211" i="17"/>
  <c r="N3211" i="17"/>
  <c r="M3212" i="17"/>
  <c r="N3212" i="17"/>
  <c r="M3213" i="17"/>
  <c r="N3213" i="17"/>
  <c r="M3214" i="17"/>
  <c r="N3214" i="17"/>
  <c r="M3215" i="17"/>
  <c r="N3215" i="17"/>
  <c r="M3216" i="17"/>
  <c r="N3216" i="17"/>
  <c r="M3217" i="17"/>
  <c r="N3217" i="17"/>
  <c r="M3218" i="17"/>
  <c r="N3218" i="17"/>
  <c r="M3491" i="17"/>
  <c r="N3491" i="17"/>
  <c r="M3492" i="17"/>
  <c r="N3492" i="17"/>
  <c r="M3221" i="17"/>
  <c r="N3221" i="17"/>
  <c r="M3222" i="17"/>
  <c r="N3222" i="17"/>
  <c r="M3223" i="17"/>
  <c r="N3223" i="17"/>
  <c r="M3224" i="17"/>
  <c r="N3224" i="17"/>
  <c r="M3225" i="17"/>
  <c r="N3225" i="17"/>
  <c r="M3226" i="17"/>
  <c r="N3226" i="17"/>
  <c r="M3227" i="17"/>
  <c r="N3227" i="17"/>
  <c r="M3228" i="17"/>
  <c r="N3228" i="17"/>
  <c r="M3229" i="17"/>
  <c r="N3229" i="17"/>
  <c r="M3230" i="17"/>
  <c r="N3230" i="17"/>
  <c r="M3231" i="17"/>
  <c r="N3231" i="17"/>
  <c r="M3232" i="17"/>
  <c r="N3232" i="17"/>
  <c r="M3233" i="17"/>
  <c r="N3233" i="17"/>
  <c r="M3234" i="17"/>
  <c r="N3234" i="17"/>
  <c r="M3235" i="17"/>
  <c r="N3235" i="17"/>
  <c r="M3236" i="17"/>
  <c r="N3236" i="17"/>
  <c r="M3237" i="17"/>
  <c r="N3237" i="17"/>
  <c r="M3238" i="17"/>
  <c r="N3238" i="17"/>
  <c r="M3239" i="17"/>
  <c r="N3239" i="17"/>
  <c r="M3240" i="17"/>
  <c r="N3240" i="17"/>
  <c r="M3241" i="17"/>
  <c r="N3241" i="17"/>
  <c r="M3242" i="17"/>
  <c r="N3242" i="17"/>
  <c r="M3243" i="17"/>
  <c r="N3243" i="17"/>
  <c r="M3244" i="17"/>
  <c r="N3244" i="17"/>
  <c r="M3245" i="17"/>
  <c r="N3245" i="17"/>
  <c r="M3246" i="17"/>
  <c r="N3246" i="17"/>
  <c r="M3247" i="17"/>
  <c r="N3247" i="17"/>
  <c r="M3248" i="17"/>
  <c r="N3248" i="17"/>
  <c r="M3249" i="17"/>
  <c r="N3249" i="17"/>
  <c r="M3250" i="17"/>
  <c r="N3250" i="17"/>
  <c r="M3251" i="17"/>
  <c r="N3251" i="17"/>
  <c r="M3252" i="17"/>
  <c r="N3252" i="17"/>
  <c r="M3253" i="17"/>
  <c r="N3253" i="17"/>
  <c r="M3254" i="17"/>
  <c r="N3254" i="17"/>
  <c r="M3255" i="17"/>
  <c r="N3255" i="17"/>
  <c r="M3256" i="17"/>
  <c r="N3256" i="17"/>
  <c r="M3257" i="17"/>
  <c r="N3257" i="17"/>
  <c r="M3258" i="17"/>
  <c r="N3258" i="17"/>
  <c r="M3259" i="17"/>
  <c r="N3259" i="17"/>
  <c r="M3260" i="17"/>
  <c r="N3260" i="17"/>
  <c r="M3261" i="17"/>
  <c r="N3261" i="17"/>
  <c r="M3262" i="17"/>
  <c r="N3262" i="17"/>
  <c r="M3263" i="17"/>
  <c r="N3263" i="17"/>
  <c r="M3264" i="17"/>
  <c r="N3264" i="17"/>
  <c r="M3265" i="17"/>
  <c r="N3265" i="17"/>
  <c r="M3266" i="17"/>
  <c r="N3266" i="17"/>
  <c r="M3267" i="17"/>
  <c r="N3267" i="17"/>
  <c r="M3268" i="17"/>
  <c r="N3268" i="17"/>
  <c r="M3269" i="17"/>
  <c r="N3269" i="17"/>
  <c r="M3270" i="17"/>
  <c r="N3270" i="17"/>
  <c r="M3271" i="17"/>
  <c r="N3271" i="17"/>
  <c r="M3272" i="17"/>
  <c r="N3272" i="17"/>
  <c r="M3273" i="17"/>
  <c r="N3273" i="17"/>
  <c r="M3274" i="17"/>
  <c r="N3274" i="17"/>
  <c r="M3275" i="17"/>
  <c r="N3275" i="17"/>
  <c r="M3276" i="17"/>
  <c r="N3276" i="17"/>
  <c r="M3277" i="17"/>
  <c r="N3277" i="17"/>
  <c r="M3278" i="17"/>
  <c r="N3278" i="17"/>
  <c r="M3279" i="17"/>
  <c r="N3279" i="17"/>
  <c r="M3280" i="17"/>
  <c r="N3280" i="17"/>
  <c r="M3281" i="17"/>
  <c r="N3281" i="17"/>
  <c r="M3282" i="17"/>
  <c r="N3282" i="17"/>
  <c r="M3283" i="17"/>
  <c r="N3283" i="17"/>
  <c r="M3284" i="17"/>
  <c r="N3284" i="17"/>
  <c r="M3285" i="17"/>
  <c r="N3285" i="17"/>
  <c r="M3286" i="17"/>
  <c r="N3286" i="17"/>
  <c r="M3287" i="17"/>
  <c r="N3287" i="17"/>
  <c r="M3288" i="17"/>
  <c r="N3288" i="17"/>
  <c r="M3289" i="17"/>
  <c r="N3289" i="17"/>
  <c r="M3290" i="17"/>
  <c r="N3290" i="17"/>
  <c r="M3291" i="17"/>
  <c r="N3291" i="17"/>
  <c r="M3292" i="17"/>
  <c r="N3292" i="17"/>
  <c r="M3293" i="17"/>
  <c r="N3293" i="17"/>
  <c r="M3294" i="17"/>
  <c r="N3294" i="17"/>
  <c r="M3295" i="17"/>
  <c r="N3295" i="17"/>
  <c r="M3296" i="17"/>
  <c r="N3296" i="17"/>
  <c r="M3297" i="17"/>
  <c r="N3297" i="17"/>
  <c r="M3298" i="17"/>
  <c r="N3298" i="17"/>
  <c r="M3299" i="17"/>
  <c r="N3299" i="17"/>
  <c r="M3300" i="17"/>
  <c r="N3300" i="17"/>
  <c r="M3301" i="17"/>
  <c r="N3301" i="17"/>
  <c r="M3302" i="17"/>
  <c r="N3302" i="17"/>
  <c r="M3303" i="17"/>
  <c r="N3303" i="17"/>
  <c r="M3304" i="17"/>
  <c r="N3304" i="17"/>
  <c r="M3305" i="17"/>
  <c r="N3305" i="17"/>
  <c r="M3306" i="17"/>
  <c r="N3306" i="17"/>
  <c r="M3307" i="17"/>
  <c r="N3307" i="17"/>
  <c r="M3308" i="17"/>
  <c r="N3308" i="17"/>
  <c r="M3309" i="17"/>
  <c r="N3309" i="17"/>
  <c r="M3310" i="17"/>
  <c r="N3310" i="17"/>
  <c r="M3311" i="17"/>
  <c r="N3311" i="17"/>
  <c r="M3312" i="17"/>
  <c r="N3312" i="17"/>
  <c r="M3313" i="17"/>
  <c r="N3313" i="17"/>
  <c r="M3314" i="17"/>
  <c r="N3314" i="17"/>
  <c r="M3315" i="17"/>
  <c r="N3315" i="17"/>
  <c r="M3316" i="17"/>
  <c r="N3316" i="17"/>
  <c r="M3317" i="17"/>
  <c r="N3317" i="17"/>
  <c r="M3318" i="17"/>
  <c r="N3318" i="17"/>
  <c r="M3319" i="17"/>
  <c r="N3319" i="17"/>
  <c r="M3320" i="17"/>
  <c r="N3320" i="17"/>
  <c r="M3321" i="17"/>
  <c r="N3321" i="17"/>
  <c r="M3322" i="17"/>
  <c r="N3322" i="17"/>
  <c r="M3323" i="17"/>
  <c r="N3323" i="17"/>
  <c r="M3324" i="17"/>
  <c r="N3324" i="17"/>
  <c r="M3325" i="17"/>
  <c r="N3325" i="17"/>
  <c r="M3326" i="17"/>
  <c r="N3326" i="17"/>
  <c r="M3327" i="17"/>
  <c r="N3327" i="17"/>
  <c r="M3328" i="17"/>
  <c r="N3328" i="17"/>
  <c r="M3329" i="17"/>
  <c r="N3329" i="17"/>
  <c r="M3330" i="17"/>
  <c r="N3330" i="17"/>
  <c r="M3331" i="17"/>
  <c r="N3331" i="17"/>
  <c r="M3332" i="17"/>
  <c r="N3332" i="17"/>
  <c r="M3333" i="17"/>
  <c r="N3333" i="17"/>
  <c r="M3334" i="17"/>
  <c r="N3334" i="17"/>
  <c r="M3335" i="17"/>
  <c r="N3335" i="17"/>
  <c r="M3336" i="17"/>
  <c r="N3336" i="17"/>
  <c r="M3337" i="17"/>
  <c r="N3337" i="17"/>
  <c r="M3338" i="17"/>
  <c r="N3338" i="17"/>
  <c r="M3339" i="17"/>
  <c r="N3339" i="17"/>
  <c r="M3340" i="17"/>
  <c r="N3340" i="17"/>
  <c r="M3341" i="17"/>
  <c r="N3341" i="17"/>
  <c r="M3342" i="17"/>
  <c r="N3342" i="17"/>
  <c r="M3343" i="17"/>
  <c r="N3343" i="17"/>
  <c r="M3344" i="17"/>
  <c r="N3344" i="17"/>
  <c r="M3345" i="17"/>
  <c r="N3345" i="17"/>
  <c r="M3346" i="17"/>
  <c r="N3346" i="17"/>
  <c r="M3347" i="17"/>
  <c r="N3347" i="17"/>
  <c r="M3348" i="17"/>
  <c r="N3348" i="17"/>
  <c r="M3349" i="17"/>
  <c r="N3349" i="17"/>
  <c r="M3350" i="17"/>
  <c r="N3350" i="17"/>
  <c r="M3351" i="17"/>
  <c r="N3351" i="17"/>
  <c r="M3352" i="17"/>
  <c r="N3352" i="17"/>
  <c r="M3353" i="17"/>
  <c r="N3353" i="17"/>
  <c r="M3354" i="17"/>
  <c r="N3354" i="17"/>
  <c r="M3355" i="17"/>
  <c r="N3355" i="17"/>
  <c r="M3356" i="17"/>
  <c r="N3356" i="17"/>
  <c r="M3357" i="17"/>
  <c r="N3357" i="17"/>
  <c r="M3358" i="17"/>
  <c r="N3358" i="17"/>
  <c r="M3359" i="17"/>
  <c r="N3359" i="17"/>
  <c r="M3360" i="17"/>
  <c r="N3360" i="17"/>
  <c r="M3361" i="17"/>
  <c r="N3361" i="17"/>
  <c r="M3362" i="17"/>
  <c r="N3362" i="17"/>
  <c r="M3363" i="17"/>
  <c r="N3363" i="17"/>
  <c r="M3364" i="17"/>
  <c r="N3364" i="17"/>
  <c r="M3365" i="17"/>
  <c r="N3365" i="17"/>
  <c r="M3366" i="17"/>
  <c r="N3366" i="17"/>
  <c r="M3367" i="17"/>
  <c r="N3367" i="17"/>
  <c r="M3368" i="17"/>
  <c r="N3368" i="17"/>
  <c r="M3369" i="17"/>
  <c r="N3369" i="17"/>
  <c r="M3370" i="17"/>
  <c r="N3370" i="17"/>
  <c r="M3371" i="17"/>
  <c r="N3371" i="17"/>
  <c r="M3372" i="17"/>
  <c r="N3372" i="17"/>
  <c r="M3373" i="17"/>
  <c r="N3373" i="17"/>
  <c r="M3374" i="17"/>
  <c r="N3374" i="17"/>
  <c r="M3375" i="17"/>
  <c r="N3375" i="17"/>
  <c r="M3376" i="17"/>
  <c r="N3376" i="17"/>
  <c r="M3377" i="17"/>
  <c r="N3377" i="17"/>
  <c r="M3378" i="17"/>
  <c r="N3378" i="17"/>
  <c r="M3379" i="17"/>
  <c r="N3379" i="17"/>
  <c r="M3380" i="17"/>
  <c r="N3380" i="17"/>
  <c r="M3381" i="17"/>
  <c r="N3381" i="17"/>
  <c r="M3382" i="17"/>
  <c r="N3382" i="17"/>
  <c r="M3383" i="17"/>
  <c r="N3383" i="17"/>
  <c r="M3384" i="17"/>
  <c r="N3384" i="17"/>
  <c r="M3385" i="17"/>
  <c r="N3385" i="17"/>
  <c r="M3386" i="17"/>
  <c r="N3386" i="17"/>
  <c r="M3387" i="17"/>
  <c r="N3387" i="17"/>
  <c r="M3388" i="17"/>
  <c r="N3388" i="17"/>
  <c r="M3389" i="17"/>
  <c r="N3389" i="17"/>
  <c r="M3390" i="17"/>
  <c r="N3390" i="17"/>
  <c r="M3391" i="17"/>
  <c r="N3391" i="17"/>
  <c r="M3392" i="17"/>
  <c r="N3392" i="17"/>
  <c r="M3393" i="17"/>
  <c r="N3393" i="17"/>
  <c r="M3394" i="17"/>
  <c r="N3394" i="17"/>
  <c r="M3395" i="17"/>
  <c r="N3395" i="17"/>
  <c r="M3396" i="17"/>
  <c r="N3396" i="17"/>
  <c r="M3397" i="17"/>
  <c r="N3397" i="17"/>
  <c r="M3398" i="17"/>
  <c r="N3398" i="17"/>
  <c r="M3399" i="17"/>
  <c r="N3399" i="17"/>
  <c r="M3400" i="17"/>
  <c r="N3400" i="17"/>
  <c r="M3401" i="17"/>
  <c r="N3401" i="17"/>
  <c r="M3402" i="17"/>
  <c r="N3402" i="17"/>
  <c r="M3403" i="17"/>
  <c r="N3403" i="17"/>
  <c r="M3404" i="17"/>
  <c r="N3404" i="17"/>
  <c r="M3405" i="17"/>
  <c r="N3405" i="17"/>
  <c r="M3406" i="17"/>
  <c r="N3406" i="17"/>
  <c r="M3407" i="17"/>
  <c r="N3407" i="17"/>
  <c r="M3408" i="17"/>
  <c r="N3408" i="17"/>
  <c r="M3409" i="17"/>
  <c r="N3409" i="17"/>
  <c r="M3410" i="17"/>
  <c r="N3410" i="17"/>
  <c r="M3411" i="17"/>
  <c r="N3411" i="17"/>
  <c r="M3412" i="17"/>
  <c r="N3412" i="17"/>
  <c r="M3413" i="17"/>
  <c r="N3413" i="17"/>
  <c r="M3414" i="17"/>
  <c r="N3414" i="17"/>
  <c r="M3415" i="17"/>
  <c r="N3415" i="17"/>
  <c r="M3416" i="17"/>
  <c r="N3416" i="17"/>
  <c r="M3417" i="17"/>
  <c r="N3417" i="17"/>
  <c r="M3418" i="17"/>
  <c r="N3418" i="17"/>
  <c r="M3419" i="17"/>
  <c r="N3419" i="17"/>
  <c r="M3420" i="17"/>
  <c r="N3420" i="17"/>
  <c r="M3421" i="17"/>
  <c r="N3421" i="17"/>
  <c r="M3422" i="17"/>
  <c r="N3422" i="17"/>
  <c r="M3423" i="17"/>
  <c r="N3423" i="17"/>
  <c r="M3424" i="17"/>
  <c r="N3424" i="17"/>
  <c r="M3425" i="17"/>
  <c r="N3425" i="17"/>
  <c r="M3426" i="17"/>
  <c r="N3426" i="17"/>
  <c r="M3427" i="17"/>
  <c r="N3427" i="17"/>
  <c r="M3428" i="17"/>
  <c r="N3428" i="17"/>
  <c r="M3429" i="17"/>
  <c r="N3429" i="17"/>
  <c r="M3430" i="17"/>
  <c r="N3430" i="17"/>
  <c r="M3431" i="17"/>
  <c r="N3431" i="17"/>
  <c r="M3432" i="17"/>
  <c r="N3432" i="17"/>
  <c r="M3433" i="17"/>
  <c r="N3433" i="17"/>
  <c r="M3434" i="17"/>
  <c r="N3434" i="17"/>
  <c r="M3435" i="17"/>
  <c r="N3435" i="17"/>
  <c r="M3436" i="17"/>
  <c r="N3436" i="17"/>
  <c r="M3437" i="17"/>
  <c r="N3437" i="17"/>
  <c r="M3438" i="17"/>
  <c r="N3438" i="17"/>
  <c r="M3439" i="17"/>
  <c r="N3439" i="17"/>
  <c r="M3440" i="17"/>
  <c r="N3440" i="17"/>
  <c r="M3441" i="17"/>
  <c r="N3441" i="17"/>
  <c r="M3442" i="17"/>
  <c r="N3442" i="17"/>
  <c r="M3443" i="17"/>
  <c r="N3443" i="17"/>
  <c r="M3444" i="17"/>
  <c r="N3444" i="17"/>
  <c r="M3445" i="17"/>
  <c r="N3445" i="17"/>
  <c r="M3446" i="17"/>
  <c r="N3446" i="17"/>
  <c r="M3447" i="17"/>
  <c r="N3447" i="17"/>
  <c r="M3448" i="17"/>
  <c r="N3448" i="17"/>
  <c r="M3449" i="17"/>
  <c r="N3449" i="17"/>
  <c r="M3450" i="17"/>
  <c r="N3450" i="17"/>
  <c r="M3451" i="17"/>
  <c r="N3451" i="17"/>
  <c r="M3452" i="17"/>
  <c r="N3452" i="17"/>
  <c r="M3453" i="17"/>
  <c r="N3453" i="17"/>
  <c r="M3454" i="17"/>
  <c r="N3454" i="17"/>
  <c r="M3455" i="17"/>
  <c r="N3455" i="17"/>
  <c r="M3456" i="17"/>
  <c r="N3456" i="17"/>
  <c r="M3457" i="17"/>
  <c r="N3457" i="17"/>
  <c r="M3458" i="17"/>
  <c r="N3458" i="17"/>
  <c r="M3459" i="17"/>
  <c r="N3459" i="17"/>
  <c r="M3460" i="17"/>
  <c r="N3460" i="17"/>
  <c r="M3461" i="17"/>
  <c r="N3461" i="17"/>
  <c r="M3462" i="17"/>
  <c r="N3462" i="17"/>
  <c r="M3463" i="17"/>
  <c r="N3463" i="17"/>
  <c r="M3464" i="17"/>
  <c r="N3464" i="17"/>
  <c r="M3465" i="17"/>
  <c r="N3465" i="17"/>
  <c r="M3466" i="17"/>
  <c r="N3466" i="17"/>
  <c r="M3467" i="17"/>
  <c r="N3467" i="17"/>
  <c r="M3468" i="17"/>
  <c r="N3468" i="17"/>
  <c r="M3469" i="17"/>
  <c r="N3469" i="17"/>
  <c r="M3470" i="17"/>
  <c r="N3470" i="17"/>
  <c r="M3471" i="17"/>
  <c r="N3471" i="17"/>
  <c r="M3472" i="17"/>
  <c r="N3472" i="17"/>
  <c r="M3473" i="17"/>
  <c r="N3473" i="17"/>
  <c r="M3474" i="17"/>
  <c r="N3474" i="17"/>
  <c r="M3475" i="17"/>
  <c r="N3475" i="17"/>
  <c r="M3476" i="17"/>
  <c r="N3476" i="17"/>
  <c r="M3477" i="17"/>
  <c r="N3477" i="17"/>
  <c r="M3478" i="17"/>
  <c r="N3478" i="17"/>
  <c r="M3479" i="17"/>
  <c r="N3479" i="17"/>
  <c r="M3480" i="17"/>
  <c r="N3480" i="17"/>
  <c r="M3481" i="17"/>
  <c r="N3481" i="17"/>
  <c r="M3482" i="17"/>
  <c r="N3482" i="17"/>
  <c r="M3483" i="17"/>
  <c r="N3483" i="17"/>
  <c r="M3484" i="17"/>
  <c r="N3484" i="17"/>
  <c r="M2077" i="17"/>
  <c r="N2077" i="17"/>
  <c r="M2078" i="17"/>
  <c r="N2078" i="17"/>
  <c r="M2079" i="17"/>
  <c r="N2079" i="17"/>
  <c r="M2080" i="17"/>
  <c r="N2080" i="17"/>
  <c r="M2081" i="17"/>
  <c r="N2081" i="17"/>
  <c r="M2366" i="17"/>
  <c r="N2366" i="17"/>
  <c r="M2367" i="17"/>
  <c r="N2367" i="17"/>
  <c r="M2368" i="17"/>
  <c r="N2368" i="17"/>
  <c r="M3493" i="17"/>
  <c r="N3493" i="17"/>
  <c r="M3494" i="17"/>
  <c r="N3494" i="17"/>
  <c r="M3495" i="17"/>
  <c r="N3495" i="17"/>
  <c r="M3496" i="17"/>
  <c r="N3496" i="17"/>
  <c r="M3497" i="17"/>
  <c r="N3497" i="17"/>
  <c r="M3498" i="17"/>
  <c r="N3498" i="17"/>
  <c r="M3499" i="17"/>
  <c r="N3499" i="17"/>
  <c r="M3500" i="17"/>
  <c r="N3500" i="17"/>
  <c r="M3501" i="17"/>
  <c r="N3501" i="17"/>
  <c r="M3502" i="17"/>
  <c r="N3502" i="17"/>
  <c r="M3503" i="17"/>
  <c r="N3503" i="17"/>
  <c r="M3504" i="17"/>
  <c r="N3504" i="17"/>
  <c r="M3505" i="17"/>
  <c r="N3505" i="17"/>
  <c r="M3506" i="17"/>
  <c r="N3506" i="17"/>
  <c r="M3507" i="17"/>
  <c r="N3507" i="17"/>
  <c r="M3508" i="17"/>
  <c r="N3508" i="17"/>
  <c r="M3509" i="17"/>
  <c r="N3509" i="17"/>
  <c r="M3510" i="17"/>
  <c r="N3510" i="17"/>
  <c r="M3511" i="17"/>
  <c r="N3511" i="17"/>
  <c r="M3512" i="17"/>
  <c r="N3512" i="17"/>
  <c r="M3513" i="17"/>
  <c r="N3513" i="17"/>
  <c r="M3514" i="17"/>
  <c r="N3514" i="17"/>
  <c r="M3515" i="17"/>
  <c r="N3515" i="17"/>
  <c r="M3516" i="17"/>
  <c r="N3516" i="17"/>
  <c r="M3517" i="17"/>
  <c r="N3517" i="17"/>
  <c r="M3518" i="17"/>
  <c r="N3518" i="17"/>
  <c r="M3519" i="17"/>
  <c r="N3519" i="17"/>
  <c r="M3520" i="17"/>
  <c r="N3520" i="17"/>
  <c r="M3521" i="17"/>
  <c r="N3521" i="17"/>
  <c r="M3522" i="17"/>
  <c r="N3522" i="17"/>
  <c r="M3523" i="17"/>
  <c r="N3523" i="17"/>
  <c r="M3524" i="17"/>
  <c r="N3524" i="17"/>
  <c r="M3525" i="17"/>
  <c r="N3525" i="17"/>
  <c r="M3526" i="17"/>
  <c r="N3526" i="17"/>
  <c r="M3527" i="17"/>
  <c r="N3527" i="17"/>
  <c r="M3528" i="17"/>
  <c r="N3528" i="17"/>
  <c r="M3529" i="17"/>
  <c r="N3529" i="17"/>
  <c r="M3530" i="17"/>
  <c r="N3530" i="17"/>
  <c r="M3531" i="17"/>
  <c r="N3531" i="17"/>
  <c r="M3532" i="17"/>
  <c r="N3532" i="17"/>
  <c r="M3533" i="17"/>
  <c r="N3533" i="17"/>
  <c r="M3534" i="17"/>
  <c r="N3534" i="17"/>
  <c r="M3535" i="17"/>
  <c r="N3535" i="17"/>
  <c r="M3536" i="17"/>
  <c r="N3536" i="17"/>
  <c r="M3537" i="17"/>
  <c r="N3537" i="17"/>
  <c r="M3538" i="17"/>
  <c r="N3538" i="17"/>
  <c r="M3539" i="17"/>
  <c r="N3539" i="17"/>
  <c r="M3540" i="17"/>
  <c r="N3540" i="17"/>
  <c r="M3541" i="17"/>
  <c r="N3541" i="17"/>
  <c r="M3542" i="17"/>
  <c r="N3542" i="17"/>
  <c r="M3543" i="17"/>
  <c r="N3543" i="17"/>
  <c r="M3544" i="17"/>
  <c r="N3544" i="17"/>
  <c r="M3545" i="17"/>
  <c r="N3545" i="17"/>
  <c r="M3546" i="17"/>
  <c r="N3546" i="17"/>
  <c r="M3547" i="17"/>
  <c r="N3547" i="17"/>
  <c r="M3548" i="17"/>
  <c r="N3548" i="17"/>
  <c r="M3549" i="17"/>
  <c r="N3549" i="17"/>
  <c r="M3550" i="17"/>
  <c r="N3550" i="17"/>
  <c r="M3551" i="17"/>
  <c r="N3551" i="17"/>
  <c r="M3552" i="17"/>
  <c r="N3552" i="17"/>
  <c r="M3553" i="17"/>
  <c r="N3553" i="17"/>
  <c r="M3554" i="17"/>
  <c r="N3554" i="17"/>
  <c r="M3555" i="17"/>
  <c r="N3555" i="17"/>
  <c r="M3556" i="17"/>
  <c r="N3556" i="17"/>
  <c r="M3557" i="17"/>
  <c r="N3557" i="17"/>
  <c r="M3558" i="17"/>
  <c r="N3558" i="17"/>
  <c r="M3559" i="17"/>
  <c r="N3559" i="17"/>
  <c r="M3560" i="17"/>
  <c r="N3560" i="17"/>
  <c r="M3561" i="17"/>
  <c r="N3561" i="17"/>
  <c r="M3562" i="17"/>
  <c r="N3562" i="17"/>
  <c r="M3563" i="17"/>
  <c r="N3563" i="17"/>
  <c r="M3564" i="17"/>
  <c r="N3564" i="17"/>
  <c r="M3565" i="17"/>
  <c r="N3565" i="17"/>
  <c r="M3566" i="17"/>
  <c r="N3566" i="17"/>
  <c r="M3567" i="17"/>
  <c r="N3567" i="17"/>
  <c r="M3568" i="17"/>
  <c r="N3568" i="17"/>
  <c r="M3569" i="17"/>
  <c r="N3569" i="17"/>
  <c r="M3570" i="17"/>
  <c r="N3570" i="17"/>
  <c r="M3571" i="17"/>
  <c r="N3571" i="17"/>
  <c r="M3572" i="17"/>
  <c r="N3572" i="17"/>
  <c r="M3573" i="17"/>
  <c r="N3573" i="17"/>
  <c r="M3574" i="17"/>
  <c r="N3574" i="17"/>
  <c r="M3575" i="17"/>
  <c r="N3575" i="17"/>
  <c r="M3576" i="17"/>
  <c r="N3576" i="17"/>
  <c r="M3577" i="17"/>
  <c r="N3577" i="17"/>
  <c r="M3578" i="17"/>
  <c r="N3578" i="17"/>
  <c r="M3579" i="17"/>
  <c r="N3579" i="17"/>
  <c r="M3580" i="17"/>
  <c r="N3580" i="17"/>
  <c r="M3581" i="17"/>
  <c r="N3581" i="17"/>
  <c r="M3582" i="17"/>
  <c r="N3582" i="17"/>
  <c r="M3583" i="17"/>
  <c r="N3583" i="17"/>
  <c r="M3584" i="17"/>
  <c r="N3584" i="17"/>
  <c r="M3585" i="17"/>
  <c r="N3585" i="17"/>
  <c r="M3586" i="17"/>
  <c r="N3586" i="17"/>
  <c r="M3587" i="17"/>
  <c r="N3587" i="17"/>
  <c r="M3588" i="17"/>
  <c r="N3588" i="17"/>
  <c r="M3589" i="17"/>
  <c r="N3589" i="17"/>
  <c r="M3590" i="17"/>
  <c r="N3590" i="17"/>
  <c r="M3591" i="17"/>
  <c r="N3591" i="17"/>
  <c r="M3592" i="17"/>
  <c r="N3592" i="17"/>
  <c r="M3593" i="17"/>
  <c r="N3593" i="17"/>
  <c r="M3594" i="17"/>
  <c r="N3594" i="17"/>
  <c r="M3595" i="17"/>
  <c r="N3595" i="17"/>
  <c r="M3596" i="17"/>
  <c r="N3596" i="17"/>
  <c r="M3597" i="17"/>
  <c r="N3597" i="17"/>
  <c r="M3598" i="17"/>
  <c r="N3598" i="17"/>
  <c r="M3599" i="17"/>
  <c r="N3599" i="17"/>
  <c r="M3600" i="17"/>
  <c r="N3600" i="17"/>
  <c r="M3601" i="17"/>
  <c r="N3601" i="17"/>
  <c r="M3602" i="17"/>
  <c r="N3602" i="17"/>
  <c r="M3603" i="17"/>
  <c r="N3603" i="17"/>
  <c r="M3604" i="17"/>
  <c r="N3604" i="17"/>
  <c r="M3605" i="17"/>
  <c r="N3605" i="17"/>
  <c r="M3606" i="17"/>
  <c r="N3606" i="17"/>
  <c r="M3607" i="17"/>
  <c r="N3607" i="17"/>
  <c r="M3608" i="17"/>
  <c r="N3608" i="17"/>
  <c r="M3609" i="17"/>
  <c r="N3609" i="17"/>
  <c r="M3610" i="17"/>
  <c r="N3610" i="17"/>
  <c r="M3611" i="17"/>
  <c r="N3611" i="17"/>
  <c r="M3612" i="17"/>
  <c r="N3612" i="17"/>
  <c r="M3613" i="17"/>
  <c r="N3613" i="17"/>
  <c r="M3614" i="17"/>
  <c r="N3614" i="17"/>
  <c r="M3615" i="17"/>
  <c r="N3615" i="17"/>
  <c r="M3616" i="17"/>
  <c r="N3616" i="17"/>
  <c r="M3617" i="17"/>
  <c r="N3617" i="17"/>
  <c r="M3618" i="17"/>
  <c r="N3618" i="17"/>
  <c r="M3619" i="17"/>
  <c r="N3619" i="17"/>
  <c r="M3620" i="17"/>
  <c r="N3620" i="17"/>
  <c r="M3621" i="17"/>
  <c r="N3621" i="17"/>
  <c r="M3622" i="17"/>
  <c r="N3622" i="17"/>
  <c r="M3623" i="17"/>
  <c r="N3623" i="17"/>
  <c r="M3624" i="17"/>
  <c r="N3624" i="17"/>
  <c r="M3625" i="17"/>
  <c r="N3625" i="17"/>
  <c r="M3626" i="17"/>
  <c r="N3626" i="17"/>
  <c r="M3627" i="17"/>
  <c r="N3627" i="17"/>
  <c r="M3628" i="17"/>
  <c r="N3628" i="17"/>
  <c r="M3629" i="17"/>
  <c r="N3629" i="17"/>
  <c r="M3630" i="17"/>
  <c r="N3630" i="17"/>
  <c r="M3631" i="17"/>
  <c r="N3631" i="17"/>
  <c r="M3632" i="17"/>
  <c r="N3632" i="17"/>
  <c r="M3633" i="17"/>
  <c r="N3633" i="17"/>
  <c r="M3634" i="17"/>
  <c r="N3634" i="17"/>
  <c r="M3635" i="17"/>
  <c r="N3635" i="17"/>
  <c r="M3636" i="17"/>
  <c r="N3636" i="17"/>
  <c r="M3637" i="17"/>
  <c r="N3637" i="17"/>
  <c r="M3638" i="17"/>
  <c r="N3638" i="17"/>
  <c r="M3639" i="17"/>
  <c r="N3639" i="17"/>
  <c r="M3640" i="17"/>
  <c r="N3640" i="17"/>
  <c r="M3641" i="17"/>
  <c r="N3641" i="17"/>
  <c r="M3642" i="17"/>
  <c r="N3642" i="17"/>
  <c r="M3643" i="17"/>
  <c r="N3643" i="17"/>
  <c r="M3644" i="17"/>
  <c r="N3644" i="17"/>
  <c r="M3645" i="17"/>
  <c r="N3645" i="17"/>
  <c r="M3646" i="17"/>
  <c r="N3646" i="17"/>
  <c r="M3647" i="17"/>
  <c r="N3647" i="17"/>
  <c r="M3648" i="17"/>
  <c r="N3648" i="17"/>
  <c r="M3649" i="17"/>
  <c r="N3649" i="17"/>
  <c r="M3650" i="17"/>
  <c r="N3650" i="17"/>
  <c r="M3651" i="17"/>
  <c r="N3651" i="17"/>
  <c r="M3652" i="17"/>
  <c r="N3652" i="17"/>
  <c r="M3653" i="17"/>
  <c r="N3653" i="17"/>
  <c r="M3654" i="17"/>
  <c r="N3654" i="17"/>
  <c r="M3655" i="17"/>
  <c r="N3655" i="17"/>
  <c r="M3656" i="17"/>
  <c r="N3656" i="17"/>
  <c r="M3657" i="17"/>
  <c r="N3657" i="17"/>
  <c r="M3658" i="17"/>
  <c r="N3658" i="17"/>
  <c r="M3659" i="17"/>
  <c r="N3659" i="17"/>
  <c r="M3660" i="17"/>
  <c r="N3660" i="17"/>
  <c r="M3661" i="17"/>
  <c r="N3661" i="17"/>
  <c r="M3662" i="17"/>
  <c r="N3662" i="17"/>
  <c r="M3663" i="17"/>
  <c r="N3663" i="17"/>
  <c r="M3664" i="17"/>
  <c r="N3664" i="17"/>
  <c r="M3665" i="17"/>
  <c r="N3665" i="17"/>
  <c r="M3666" i="17"/>
  <c r="N3666" i="17"/>
  <c r="M3667" i="17"/>
  <c r="N3667" i="17"/>
  <c r="M3668" i="17"/>
  <c r="N3668" i="17"/>
  <c r="M3669" i="17"/>
  <c r="N3669" i="17"/>
  <c r="M3670" i="17"/>
  <c r="N3670" i="17"/>
  <c r="M3671" i="17"/>
  <c r="N3671" i="17"/>
  <c r="M3672" i="17"/>
  <c r="N3672" i="17"/>
  <c r="M3673" i="17"/>
  <c r="N3673" i="17"/>
  <c r="M3674" i="17"/>
  <c r="N3674" i="17"/>
  <c r="M3675" i="17"/>
  <c r="N3675" i="17"/>
  <c r="M3676" i="17"/>
  <c r="N3676" i="17"/>
  <c r="M3677" i="17"/>
  <c r="N3677" i="17"/>
  <c r="M3678" i="17"/>
  <c r="N3678" i="17"/>
  <c r="M3679" i="17"/>
  <c r="N3679" i="17"/>
  <c r="M3680" i="17"/>
  <c r="N3680" i="17"/>
  <c r="M3681" i="17"/>
  <c r="N3681" i="17"/>
  <c r="M3682" i="17"/>
  <c r="N3682" i="17"/>
  <c r="M3683" i="17"/>
  <c r="N3683" i="17"/>
  <c r="M3684" i="17"/>
  <c r="N3684" i="17"/>
  <c r="M3685" i="17"/>
  <c r="N3685" i="17"/>
  <c r="M3686" i="17"/>
  <c r="N3686" i="17"/>
  <c r="M3687" i="17"/>
  <c r="N3687" i="17"/>
  <c r="M3688" i="17"/>
  <c r="N3688" i="17"/>
  <c r="M3689" i="17"/>
  <c r="N3689" i="17"/>
  <c r="M3690" i="17"/>
  <c r="N3690" i="17"/>
  <c r="M3691" i="17"/>
  <c r="N3691" i="17"/>
  <c r="N2" i="17"/>
  <c r="M2" i="17"/>
  <c r="S13" i="17"/>
  <c r="T34" i="17" s="1"/>
  <c r="S14" i="17"/>
  <c r="T35" i="17" s="1"/>
  <c r="S15" i="17"/>
  <c r="T36" i="17" s="1"/>
  <c r="S16" i="17"/>
  <c r="T37" i="17" s="1"/>
  <c r="S17" i="17"/>
  <c r="T38" i="17" s="1"/>
  <c r="S18" i="17"/>
  <c r="T39" i="17" s="1"/>
  <c r="S19" i="17"/>
  <c r="T40" i="17" s="1"/>
  <c r="S12" i="17"/>
  <c r="T33" i="17" s="1"/>
  <c r="T3" i="17"/>
  <c r="T4" i="17"/>
  <c r="T5" i="17"/>
  <c r="T6" i="17"/>
  <c r="T7" i="17"/>
  <c r="T8" i="17"/>
  <c r="T9" i="17"/>
  <c r="T2" i="17"/>
  <c r="S3" i="17"/>
  <c r="S4" i="17"/>
  <c r="S5" i="17"/>
  <c r="S6" i="17"/>
  <c r="S7" i="17"/>
  <c r="S8" i="17"/>
  <c r="S9" i="17"/>
  <c r="S2" i="17"/>
  <c r="U2" i="17" s="1"/>
  <c r="S33" i="17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C3" i="2"/>
  <c r="C4" i="2"/>
  <c r="C5" i="2"/>
  <c r="C6" i="2"/>
  <c r="C7" i="2"/>
  <c r="C8" i="2"/>
  <c r="C9" i="2"/>
  <c r="C10" i="2"/>
  <c r="C11" i="2"/>
  <c r="U6" i="17" l="1"/>
  <c r="S37" i="17" s="1"/>
  <c r="U5" i="17"/>
  <c r="S36" i="17" s="1"/>
  <c r="A3688" i="17"/>
  <c r="Q3688" i="17"/>
  <c r="A3656" i="17"/>
  <c r="Q3656" i="17"/>
  <c r="Q3632" i="17"/>
  <c r="A3632" i="17"/>
  <c r="Q3592" i="17"/>
  <c r="A3592" i="17"/>
  <c r="A3560" i="17"/>
  <c r="Q3560" i="17"/>
  <c r="A3512" i="17"/>
  <c r="Q3512" i="17"/>
  <c r="A2080" i="17"/>
  <c r="Q2080" i="17"/>
  <c r="A3432" i="17"/>
  <c r="Q3432" i="17"/>
  <c r="A3384" i="17"/>
  <c r="Q3384" i="17"/>
  <c r="A3344" i="17"/>
  <c r="Q3344" i="17"/>
  <c r="A3304" i="17"/>
  <c r="Q3304" i="17"/>
  <c r="A3264" i="17"/>
  <c r="Q3264" i="17"/>
  <c r="A3232" i="17"/>
  <c r="Q3232" i="17"/>
  <c r="A3184" i="17"/>
  <c r="Q3184" i="17"/>
  <c r="A3152" i="17"/>
  <c r="Q3152" i="17"/>
  <c r="A3120" i="17"/>
  <c r="Q3120" i="17"/>
  <c r="A3080" i="17"/>
  <c r="Q3080" i="17"/>
  <c r="A3040" i="17"/>
  <c r="Q3040" i="17"/>
  <c r="A2992" i="17"/>
  <c r="Q2992" i="17"/>
  <c r="A2936" i="17"/>
  <c r="Q2936" i="17"/>
  <c r="A2920" i="17"/>
  <c r="Q2920" i="17"/>
  <c r="A2896" i="17"/>
  <c r="Q2896" i="17"/>
  <c r="A2848" i="17"/>
  <c r="Q2848" i="17"/>
  <c r="A2832" i="17"/>
  <c r="Q2832" i="17"/>
  <c r="A2800" i="17"/>
  <c r="Q2800" i="17"/>
  <c r="A2768" i="17"/>
  <c r="Q2768" i="17"/>
  <c r="A2712" i="17"/>
  <c r="Q2712" i="17"/>
  <c r="A2648" i="17"/>
  <c r="Q2648" i="17"/>
  <c r="A2616" i="17"/>
  <c r="Q2616" i="17"/>
  <c r="A2584" i="17"/>
  <c r="Q2584" i="17"/>
  <c r="A2536" i="17"/>
  <c r="Q2536" i="17"/>
  <c r="A2504" i="17"/>
  <c r="Q2504" i="17"/>
  <c r="A2464" i="17"/>
  <c r="Q2464" i="17"/>
  <c r="A2424" i="17"/>
  <c r="Q2424" i="17"/>
  <c r="A2344" i="17"/>
  <c r="Q2344" i="17"/>
  <c r="A2280" i="17"/>
  <c r="Q2280" i="17"/>
  <c r="A2240" i="17"/>
  <c r="Q2240" i="17"/>
  <c r="A2184" i="17"/>
  <c r="Q2184" i="17"/>
  <c r="A2104" i="17"/>
  <c r="Q2104" i="17"/>
  <c r="A3489" i="17"/>
  <c r="Q3489" i="17"/>
  <c r="A2064" i="17"/>
  <c r="Q2064" i="17"/>
  <c r="A1992" i="17"/>
  <c r="Q1992" i="17"/>
  <c r="A1952" i="17"/>
  <c r="Q1952" i="17"/>
  <c r="A1936" i="17"/>
  <c r="Q1936" i="17"/>
  <c r="A1880" i="17"/>
  <c r="Q1880" i="17"/>
  <c r="A1872" i="17"/>
  <c r="Q1872" i="17"/>
  <c r="A1848" i="17"/>
  <c r="Q1848" i="17"/>
  <c r="A1816" i="17"/>
  <c r="Q1816" i="17"/>
  <c r="A1792" i="17"/>
  <c r="Q1792" i="17"/>
  <c r="A1760" i="17"/>
  <c r="Q1760" i="17"/>
  <c r="A1736" i="17"/>
  <c r="Q1736" i="17"/>
  <c r="A1664" i="17"/>
  <c r="Q1664" i="17"/>
  <c r="A1656" i="17"/>
  <c r="Q1656" i="17"/>
  <c r="A1632" i="17"/>
  <c r="Q1632" i="17"/>
  <c r="A1584" i="17"/>
  <c r="Q1584" i="17"/>
  <c r="A1536" i="17"/>
  <c r="Q1536" i="17"/>
  <c r="A1488" i="17"/>
  <c r="Q1488" i="17"/>
  <c r="A1456" i="17"/>
  <c r="Q1456" i="17"/>
  <c r="A1432" i="17"/>
  <c r="Q1432" i="17"/>
  <c r="A1400" i="17"/>
  <c r="Q1400" i="17"/>
  <c r="A1368" i="17"/>
  <c r="Q1368" i="17"/>
  <c r="A1352" i="17"/>
  <c r="Q1352" i="17"/>
  <c r="A1296" i="17"/>
  <c r="Q1296" i="17"/>
  <c r="A1272" i="17"/>
  <c r="Q1272" i="17"/>
  <c r="A1240" i="17"/>
  <c r="Q1240" i="17"/>
  <c r="A1176" i="17"/>
  <c r="Q1176" i="17"/>
  <c r="A1144" i="17"/>
  <c r="Q1144" i="17"/>
  <c r="A1136" i="17"/>
  <c r="Q1136" i="17"/>
  <c r="A1104" i="17"/>
  <c r="Q1104" i="17"/>
  <c r="A1088" i="17"/>
  <c r="Q1088" i="17"/>
  <c r="A1056" i="17"/>
  <c r="Q1056" i="17"/>
  <c r="A1032" i="17"/>
  <c r="Q1032" i="17"/>
  <c r="A1016" i="17"/>
  <c r="Q1016" i="17"/>
  <c r="A992" i="17"/>
  <c r="Q992" i="17"/>
  <c r="A984" i="17"/>
  <c r="Q984" i="17"/>
  <c r="A976" i="17"/>
  <c r="Q976" i="17"/>
  <c r="A952" i="17"/>
  <c r="Q952" i="17"/>
  <c r="A936" i="17"/>
  <c r="Q936" i="17"/>
  <c r="A928" i="17"/>
  <c r="Q928" i="17"/>
  <c r="A920" i="17"/>
  <c r="Q920" i="17"/>
  <c r="A912" i="17"/>
  <c r="Q912" i="17"/>
  <c r="A904" i="17"/>
  <c r="Q904" i="17"/>
  <c r="A880" i="17"/>
  <c r="Q880" i="17"/>
  <c r="A872" i="17"/>
  <c r="Q872" i="17"/>
  <c r="A864" i="17"/>
  <c r="Q864" i="17"/>
  <c r="A856" i="17"/>
  <c r="Q856" i="17"/>
  <c r="A848" i="17"/>
  <c r="Q848" i="17"/>
  <c r="A840" i="17"/>
  <c r="Q840" i="17"/>
  <c r="A832" i="17"/>
  <c r="Q832" i="17"/>
  <c r="A824" i="17"/>
  <c r="Q824" i="17"/>
  <c r="A816" i="17"/>
  <c r="Q816" i="17"/>
  <c r="A808" i="17"/>
  <c r="Q808" i="17"/>
  <c r="A800" i="17"/>
  <c r="Q800" i="17"/>
  <c r="A792" i="17"/>
  <c r="Q792" i="17"/>
  <c r="A784" i="17"/>
  <c r="Q784" i="17"/>
  <c r="A776" i="17"/>
  <c r="Q776" i="17"/>
  <c r="A768" i="17"/>
  <c r="Q768" i="17"/>
  <c r="A760" i="17"/>
  <c r="Q760" i="17"/>
  <c r="A752" i="17"/>
  <c r="Q752" i="17"/>
  <c r="A744" i="17"/>
  <c r="Q744" i="17"/>
  <c r="A736" i="17"/>
  <c r="Q736" i="17"/>
  <c r="A728" i="17"/>
  <c r="Q728" i="17"/>
  <c r="A720" i="17"/>
  <c r="Q720" i="17"/>
  <c r="A712" i="17"/>
  <c r="Q712" i="17"/>
  <c r="A704" i="17"/>
  <c r="Q704" i="17"/>
  <c r="A696" i="17"/>
  <c r="Q696" i="17"/>
  <c r="A688" i="17"/>
  <c r="Q688" i="17"/>
  <c r="A680" i="17"/>
  <c r="Q680" i="17"/>
  <c r="A672" i="17"/>
  <c r="Q672" i="17"/>
  <c r="A664" i="17"/>
  <c r="Q664" i="17"/>
  <c r="A656" i="17"/>
  <c r="Q656" i="17"/>
  <c r="A648" i="17"/>
  <c r="Q648" i="17"/>
  <c r="A640" i="17"/>
  <c r="Q640" i="17"/>
  <c r="A632" i="17"/>
  <c r="Q632" i="17"/>
  <c r="A624" i="17"/>
  <c r="Q624" i="17"/>
  <c r="A616" i="17"/>
  <c r="Q616" i="17"/>
  <c r="A608" i="17"/>
  <c r="Q608" i="17"/>
  <c r="A600" i="17"/>
  <c r="Q600" i="17"/>
  <c r="A592" i="17"/>
  <c r="Q592" i="17"/>
  <c r="A584" i="17"/>
  <c r="Q584" i="17"/>
  <c r="A576" i="17"/>
  <c r="Q576" i="17"/>
  <c r="A568" i="17"/>
  <c r="Q568" i="17"/>
  <c r="A560" i="17"/>
  <c r="Q560" i="17"/>
  <c r="A552" i="17"/>
  <c r="Q552" i="17"/>
  <c r="A544" i="17"/>
  <c r="Q544" i="17"/>
  <c r="A536" i="17"/>
  <c r="Q536" i="17"/>
  <c r="A528" i="17"/>
  <c r="Q528" i="17"/>
  <c r="A520" i="17"/>
  <c r="Q520" i="17"/>
  <c r="A512" i="17"/>
  <c r="Q512" i="17"/>
  <c r="A504" i="17"/>
  <c r="Q504" i="17"/>
  <c r="A496" i="17"/>
  <c r="Q496" i="17"/>
  <c r="A488" i="17"/>
  <c r="Q488" i="17"/>
  <c r="A480" i="17"/>
  <c r="Q480" i="17"/>
  <c r="A472" i="17"/>
  <c r="Q472" i="17"/>
  <c r="A464" i="17"/>
  <c r="Q464" i="17"/>
  <c r="A456" i="17"/>
  <c r="Q456" i="17"/>
  <c r="A448" i="17"/>
  <c r="Q448" i="17"/>
  <c r="A440" i="17"/>
  <c r="Q440" i="17"/>
  <c r="A432" i="17"/>
  <c r="Q432" i="17"/>
  <c r="A424" i="17"/>
  <c r="Q424" i="17"/>
  <c r="A416" i="17"/>
  <c r="Q416" i="17"/>
  <c r="A408" i="17"/>
  <c r="Q408" i="17"/>
  <c r="A400" i="17"/>
  <c r="Q400" i="17"/>
  <c r="A392" i="17"/>
  <c r="Q392" i="17"/>
  <c r="A384" i="17"/>
  <c r="Q384" i="17"/>
  <c r="A376" i="17"/>
  <c r="Q376" i="17"/>
  <c r="A368" i="17"/>
  <c r="Q368" i="17"/>
  <c r="A360" i="17"/>
  <c r="Q360" i="17"/>
  <c r="A352" i="17"/>
  <c r="Q352" i="17"/>
  <c r="A344" i="17"/>
  <c r="Q344" i="17"/>
  <c r="A336" i="17"/>
  <c r="Q336" i="17"/>
  <c r="A328" i="17"/>
  <c r="Q328" i="17"/>
  <c r="A320" i="17"/>
  <c r="Q320" i="17"/>
  <c r="A312" i="17"/>
  <c r="Q312" i="17"/>
  <c r="A304" i="17"/>
  <c r="Q304" i="17"/>
  <c r="A296" i="17"/>
  <c r="Q296" i="17"/>
  <c r="A288" i="17"/>
  <c r="Q288" i="17"/>
  <c r="A280" i="17"/>
  <c r="Q280" i="17"/>
  <c r="A272" i="17"/>
  <c r="Q272" i="17"/>
  <c r="A264" i="17"/>
  <c r="Q264" i="17"/>
  <c r="A256" i="17"/>
  <c r="Q256" i="17"/>
  <c r="A248" i="17"/>
  <c r="Q248" i="17"/>
  <c r="A240" i="17"/>
  <c r="Q240" i="17"/>
  <c r="A232" i="17"/>
  <c r="Q232" i="17"/>
  <c r="A224" i="17"/>
  <c r="Q224" i="17"/>
  <c r="A216" i="17"/>
  <c r="Q216" i="17"/>
  <c r="A208" i="17"/>
  <c r="Q208" i="17"/>
  <c r="Q3041" i="17"/>
  <c r="Q3246" i="17"/>
  <c r="Q3430" i="17"/>
  <c r="Q3510" i="17"/>
  <c r="Q3674" i="17"/>
  <c r="Q2498" i="17"/>
  <c r="Q2866" i="17"/>
  <c r="A3672" i="17"/>
  <c r="Q3672" i="17"/>
  <c r="A3600" i="17"/>
  <c r="Q3600" i="17"/>
  <c r="A3536" i="17"/>
  <c r="Q3536" i="17"/>
  <c r="A3456" i="17"/>
  <c r="Q3456" i="17"/>
  <c r="A3392" i="17"/>
  <c r="Q3392" i="17"/>
  <c r="A3336" i="17"/>
  <c r="Q3336" i="17"/>
  <c r="A3288" i="17"/>
  <c r="Q3288" i="17"/>
  <c r="A3224" i="17"/>
  <c r="Q3224" i="17"/>
  <c r="A3144" i="17"/>
  <c r="Q3144" i="17"/>
  <c r="A3064" i="17"/>
  <c r="Q3064" i="17"/>
  <c r="A3000" i="17"/>
  <c r="Q3000" i="17"/>
  <c r="A2960" i="17"/>
  <c r="Q2960" i="17"/>
  <c r="A2872" i="17"/>
  <c r="Q2872" i="17"/>
  <c r="A2824" i="17"/>
  <c r="Q2824" i="17"/>
  <c r="A2792" i="17"/>
  <c r="Q2792" i="17"/>
  <c r="A2752" i="17"/>
  <c r="Q2752" i="17"/>
  <c r="A2728" i="17"/>
  <c r="Q2728" i="17"/>
  <c r="A2664" i="17"/>
  <c r="Q2664" i="17"/>
  <c r="A2552" i="17"/>
  <c r="Q2552" i="17"/>
  <c r="A2512" i="17"/>
  <c r="Q2512" i="17"/>
  <c r="A2456" i="17"/>
  <c r="Q2456" i="17"/>
  <c r="A2376" i="17"/>
  <c r="Q2376" i="17"/>
  <c r="A2336" i="17"/>
  <c r="Q2336" i="17"/>
  <c r="A2224" i="17"/>
  <c r="Q2224" i="17"/>
  <c r="A2176" i="17"/>
  <c r="Q2176" i="17"/>
  <c r="A2136" i="17"/>
  <c r="Q2136" i="17"/>
  <c r="A2112" i="17"/>
  <c r="Q2112" i="17"/>
  <c r="A1566" i="17"/>
  <c r="Q1566" i="17"/>
  <c r="A2016" i="17"/>
  <c r="Q2016" i="17"/>
  <c r="A1976" i="17"/>
  <c r="Q1976" i="17"/>
  <c r="A1968" i="17"/>
  <c r="Q1968" i="17"/>
  <c r="A1888" i="17"/>
  <c r="Q1888" i="17"/>
  <c r="A1808" i="17"/>
  <c r="Q1808" i="17"/>
  <c r="A1720" i="17"/>
  <c r="Q1720" i="17"/>
  <c r="A1648" i="17"/>
  <c r="Q1648" i="17"/>
  <c r="A1600" i="17"/>
  <c r="Q1600" i="17"/>
  <c r="A1552" i="17"/>
  <c r="Q1552" i="17"/>
  <c r="A1416" i="17"/>
  <c r="Q1416" i="17"/>
  <c r="A1392" i="17"/>
  <c r="Q1392" i="17"/>
  <c r="A1320" i="17"/>
  <c r="Q1320" i="17"/>
  <c r="A1248" i="17"/>
  <c r="Q1248" i="17"/>
  <c r="A1192" i="17"/>
  <c r="Q1192" i="17"/>
  <c r="A1168" i="17"/>
  <c r="Q1168" i="17"/>
  <c r="A968" i="17"/>
  <c r="Q968" i="17"/>
  <c r="O3688" i="17"/>
  <c r="O3668" i="17"/>
  <c r="O3648" i="17"/>
  <c r="O3628" i="17"/>
  <c r="O3608" i="17"/>
  <c r="O3588" i="17"/>
  <c r="O3568" i="17"/>
  <c r="O3544" i="17"/>
  <c r="O3524" i="17"/>
  <c r="O3504" i="17"/>
  <c r="O3484" i="17"/>
  <c r="O3464" i="17"/>
  <c r="O3444" i="17"/>
  <c r="O3424" i="17"/>
  <c r="O3408" i="17"/>
  <c r="O3384" i="17"/>
  <c r="O3368" i="17"/>
  <c r="O3352" i="17"/>
  <c r="O3336" i="17"/>
  <c r="O3312" i="17"/>
  <c r="O3296" i="17"/>
  <c r="O3276" i="17"/>
  <c r="O3256" i="17"/>
  <c r="O3236" i="17"/>
  <c r="O3224" i="17"/>
  <c r="O3204" i="17"/>
  <c r="O3180" i="17"/>
  <c r="O3164" i="17"/>
  <c r="O3144" i="17"/>
  <c r="O3124" i="17"/>
  <c r="O3104" i="17"/>
  <c r="O3084" i="17"/>
  <c r="O3064" i="17"/>
  <c r="O3040" i="17"/>
  <c r="O3032" i="17"/>
  <c r="O3012" i="17"/>
  <c r="O2992" i="17"/>
  <c r="O2972" i="17"/>
  <c r="O2952" i="17"/>
  <c r="O2932" i="17"/>
  <c r="O2912" i="17"/>
  <c r="O2892" i="17"/>
  <c r="O2868" i="17"/>
  <c r="O2848" i="17"/>
  <c r="O2828" i="17"/>
  <c r="O2808" i="17"/>
  <c r="O2788" i="17"/>
  <c r="O2772" i="17"/>
  <c r="O2752" i="17"/>
  <c r="O2732" i="17"/>
  <c r="O2712" i="17"/>
  <c r="O2692" i="17"/>
  <c r="O2672" i="17"/>
  <c r="O2652" i="17"/>
  <c r="O2632" i="17"/>
  <c r="O2612" i="17"/>
  <c r="O2592" i="17"/>
  <c r="O2562" i="17"/>
  <c r="O2548" i="17"/>
  <c r="O2528" i="17"/>
  <c r="O2508" i="17"/>
  <c r="O2484" i="17"/>
  <c r="O2468" i="17"/>
  <c r="O2370" i="17"/>
  <c r="O2424" i="17"/>
  <c r="O2408" i="17"/>
  <c r="O2384" i="17"/>
  <c r="O2364" i="17"/>
  <c r="O2348" i="17"/>
  <c r="O2328" i="17"/>
  <c r="O2308" i="17"/>
  <c r="O2292" i="17"/>
  <c r="O2268" i="17"/>
  <c r="O2256" i="17"/>
  <c r="O2228" i="17"/>
  <c r="O2204" i="17"/>
  <c r="O2184" i="17"/>
  <c r="O2164" i="17"/>
  <c r="O2144" i="17"/>
  <c r="O2124" i="17"/>
  <c r="O2104" i="17"/>
  <c r="O2088" i="17"/>
  <c r="O2064" i="17"/>
  <c r="O2040" i="17"/>
  <c r="O2012" i="17"/>
  <c r="O1992" i="17"/>
  <c r="O1964" i="17"/>
  <c r="O1940" i="17"/>
  <c r="O1908" i="17"/>
  <c r="O1880" i="17"/>
  <c r="O1856" i="17"/>
  <c r="O1840" i="17"/>
  <c r="O1820" i="17"/>
  <c r="O1800" i="17"/>
  <c r="O1788" i="17"/>
  <c r="O1768" i="17"/>
  <c r="O1748" i="17"/>
  <c r="O1732" i="17"/>
  <c r="O1712" i="17"/>
  <c r="O1688" i="17"/>
  <c r="O1668" i="17"/>
  <c r="O1644" i="17"/>
  <c r="O1624" i="17"/>
  <c r="O1608" i="17"/>
  <c r="O1588" i="17"/>
  <c r="O3485" i="17"/>
  <c r="O1552" i="17"/>
  <c r="O1532" i="17"/>
  <c r="O1512" i="17"/>
  <c r="O1496" i="17"/>
  <c r="O1476" i="17"/>
  <c r="O1452" i="17"/>
  <c r="O1440" i="17"/>
  <c r="O1416" i="17"/>
  <c r="O1392" i="17"/>
  <c r="O1372" i="17"/>
  <c r="O1356" i="17"/>
  <c r="O1332" i="17"/>
  <c r="O1316" i="17"/>
  <c r="O1300" i="17"/>
  <c r="O1280" i="17"/>
  <c r="O1264" i="17"/>
  <c r="O1232" i="17"/>
  <c r="O1208" i="17"/>
  <c r="O1192" i="17"/>
  <c r="O1172" i="17"/>
  <c r="O1160" i="17"/>
  <c r="O1148" i="17"/>
  <c r="O1144" i="17"/>
  <c r="O1140" i="17"/>
  <c r="O1136" i="17"/>
  <c r="O1132" i="17"/>
  <c r="O1128" i="17"/>
  <c r="O1124" i="17"/>
  <c r="O1120" i="17"/>
  <c r="O1116" i="17"/>
  <c r="O1112" i="17"/>
  <c r="O1108" i="17"/>
  <c r="O1104" i="17"/>
  <c r="O1100" i="17"/>
  <c r="O1096" i="17"/>
  <c r="O1092" i="17"/>
  <c r="O1088" i="17"/>
  <c r="O1084" i="17"/>
  <c r="O1080" i="17"/>
  <c r="O1060" i="17"/>
  <c r="O1056" i="17"/>
  <c r="O1052" i="17"/>
  <c r="O1048" i="17"/>
  <c r="O1044" i="17"/>
  <c r="O1040" i="17"/>
  <c r="O1036" i="17"/>
  <c r="O1032" i="17"/>
  <c r="O1028" i="17"/>
  <c r="O1024" i="17"/>
  <c r="O1020" i="17"/>
  <c r="O1016" i="17"/>
  <c r="O1012" i="17"/>
  <c r="O1008" i="17"/>
  <c r="O1004" i="17"/>
  <c r="O1000" i="17"/>
  <c r="O996" i="17"/>
  <c r="O992" i="17"/>
  <c r="O988" i="17"/>
  <c r="O984" i="17"/>
  <c r="O980" i="17"/>
  <c r="O976" i="17"/>
  <c r="O972" i="17"/>
  <c r="O968" i="17"/>
  <c r="O964" i="17"/>
  <c r="O960" i="17"/>
  <c r="O956" i="17"/>
  <c r="O952" i="17"/>
  <c r="O948" i="17"/>
  <c r="O944" i="17"/>
  <c r="O940" i="17"/>
  <c r="O936" i="17"/>
  <c r="O932" i="17"/>
  <c r="O928" i="17"/>
  <c r="O924" i="17"/>
  <c r="O920" i="17"/>
  <c r="O916" i="17"/>
  <c r="O912" i="17"/>
  <c r="O908" i="17"/>
  <c r="O904" i="17"/>
  <c r="O900" i="17"/>
  <c r="O896" i="17"/>
  <c r="O892" i="17"/>
  <c r="O888" i="17"/>
  <c r="O884" i="17"/>
  <c r="O880" i="17"/>
  <c r="O876" i="17"/>
  <c r="O872" i="17"/>
  <c r="O868" i="17"/>
  <c r="O864" i="17"/>
  <c r="O860" i="17"/>
  <c r="O856" i="17"/>
  <c r="O852" i="17"/>
  <c r="O848" i="17"/>
  <c r="O844" i="17"/>
  <c r="O840" i="17"/>
  <c r="O836" i="17"/>
  <c r="O832" i="17"/>
  <c r="O828" i="17"/>
  <c r="O824" i="17"/>
  <c r="O820" i="17"/>
  <c r="O816" i="17"/>
  <c r="O812" i="17"/>
  <c r="O808" i="17"/>
  <c r="O804" i="17"/>
  <c r="O800" i="17"/>
  <c r="O796" i="17"/>
  <c r="O792" i="17"/>
  <c r="O788" i="17"/>
  <c r="O784" i="17"/>
  <c r="O780" i="17"/>
  <c r="O776" i="17"/>
  <c r="O772" i="17"/>
  <c r="O768" i="17"/>
  <c r="O764" i="17"/>
  <c r="O760" i="17"/>
  <c r="O756" i="17"/>
  <c r="O752" i="17"/>
  <c r="O748" i="17"/>
  <c r="O744" i="17"/>
  <c r="O740" i="17"/>
  <c r="O736" i="17"/>
  <c r="O732" i="17"/>
  <c r="O728" i="17"/>
  <c r="O724" i="17"/>
  <c r="O720" i="17"/>
  <c r="O716" i="17"/>
  <c r="O712" i="17"/>
  <c r="O708" i="17"/>
  <c r="O704" i="17"/>
  <c r="O700" i="17"/>
  <c r="O696" i="17"/>
  <c r="O692" i="17"/>
  <c r="O688" i="17"/>
  <c r="O684" i="17"/>
  <c r="O680" i="17"/>
  <c r="O676" i="17"/>
  <c r="O672" i="17"/>
  <c r="O668" i="17"/>
  <c r="O664" i="17"/>
  <c r="O660" i="17"/>
  <c r="O656" i="17"/>
  <c r="O652" i="17"/>
  <c r="O648" i="17"/>
  <c r="O644" i="17"/>
  <c r="O640" i="17"/>
  <c r="O636" i="17"/>
  <c r="O632" i="17"/>
  <c r="O628" i="17"/>
  <c r="O624" i="17"/>
  <c r="O620" i="17"/>
  <c r="O616" i="17"/>
  <c r="O612" i="17"/>
  <c r="O608" i="17"/>
  <c r="O604" i="17"/>
  <c r="O600" i="17"/>
  <c r="O596" i="17"/>
  <c r="O592" i="17"/>
  <c r="O588" i="17"/>
  <c r="O584" i="17"/>
  <c r="O580" i="17"/>
  <c r="O576" i="17"/>
  <c r="O572" i="17"/>
  <c r="O568" i="17"/>
  <c r="O564" i="17"/>
  <c r="O560" i="17"/>
  <c r="O556" i="17"/>
  <c r="O552" i="17"/>
  <c r="O548" i="17"/>
  <c r="O544" i="17"/>
  <c r="O540" i="17"/>
  <c r="O536" i="17"/>
  <c r="O532" i="17"/>
  <c r="O528" i="17"/>
  <c r="O524" i="17"/>
  <c r="O520" i="17"/>
  <c r="O516" i="17"/>
  <c r="Q3613" i="17"/>
  <c r="A3648" i="17"/>
  <c r="Q3648" i="17"/>
  <c r="A3576" i="17"/>
  <c r="Q3576" i="17"/>
  <c r="A3496" i="17"/>
  <c r="Q3496" i="17"/>
  <c r="A3416" i="17"/>
  <c r="Q3416" i="17"/>
  <c r="A3360" i="17"/>
  <c r="Q3360" i="17"/>
  <c r="A3272" i="17"/>
  <c r="Q3272" i="17"/>
  <c r="A3208" i="17"/>
  <c r="Q3208" i="17"/>
  <c r="A3160" i="17"/>
  <c r="Q3160" i="17"/>
  <c r="A3088" i="17"/>
  <c r="Q3088" i="17"/>
  <c r="A3024" i="17"/>
  <c r="Q3024" i="17"/>
  <c r="A2952" i="17"/>
  <c r="Q2952" i="17"/>
  <c r="A2880" i="17"/>
  <c r="Q2880" i="17"/>
  <c r="A2760" i="17"/>
  <c r="Q2760" i="17"/>
  <c r="A2736" i="17"/>
  <c r="Q2736" i="17"/>
  <c r="A2720" i="17"/>
  <c r="Q2720" i="17"/>
  <c r="A2672" i="17"/>
  <c r="Q2672" i="17"/>
  <c r="A2576" i="17"/>
  <c r="Q2576" i="17"/>
  <c r="A2472" i="17"/>
  <c r="Q2472" i="17"/>
  <c r="A2392" i="17"/>
  <c r="Q2392" i="17"/>
  <c r="A2024" i="17"/>
  <c r="Q2024" i="17"/>
  <c r="A2320" i="17"/>
  <c r="Q2320" i="17"/>
  <c r="A2304" i="17"/>
  <c r="Q2304" i="17"/>
  <c r="A2216" i="17"/>
  <c r="Q2216" i="17"/>
  <c r="A2152" i="17"/>
  <c r="Q2152" i="17"/>
  <c r="A2048" i="17"/>
  <c r="Q2048" i="17"/>
  <c r="A2032" i="17"/>
  <c r="Q2032" i="17"/>
  <c r="A1960" i="17"/>
  <c r="Q1960" i="17"/>
  <c r="A1920" i="17"/>
  <c r="Q1920" i="17"/>
  <c r="A1856" i="17"/>
  <c r="Q1856" i="17"/>
  <c r="A1784" i="17"/>
  <c r="Q1784" i="17"/>
  <c r="A1728" i="17"/>
  <c r="Q1728" i="17"/>
  <c r="A1680" i="17"/>
  <c r="Q1680" i="17"/>
  <c r="A1616" i="17"/>
  <c r="Q1616" i="17"/>
  <c r="A1512" i="17"/>
  <c r="Q1512" i="17"/>
  <c r="A1384" i="17"/>
  <c r="Q1384" i="17"/>
  <c r="A1304" i="17"/>
  <c r="Q1304" i="17"/>
  <c r="A1224" i="17"/>
  <c r="Q1224" i="17"/>
  <c r="A960" i="17"/>
  <c r="Q960" i="17"/>
  <c r="O3680" i="17"/>
  <c r="O3664" i="17"/>
  <c r="O3644" i="17"/>
  <c r="O3624" i="17"/>
  <c r="O3604" i="17"/>
  <c r="O3584" i="17"/>
  <c r="O3564" i="17"/>
  <c r="O3548" i="17"/>
  <c r="O3528" i="17"/>
  <c r="O3508" i="17"/>
  <c r="O2368" i="17"/>
  <c r="O3472" i="17"/>
  <c r="O3452" i="17"/>
  <c r="O3436" i="17"/>
  <c r="O3416" i="17"/>
  <c r="O3396" i="17"/>
  <c r="O3376" i="17"/>
  <c r="O3356" i="17"/>
  <c r="O3332" i="17"/>
  <c r="O3316" i="17"/>
  <c r="O3292" i="17"/>
  <c r="O3272" i="17"/>
  <c r="O3252" i="17"/>
  <c r="O3232" i="17"/>
  <c r="O3212" i="17"/>
  <c r="O3192" i="17"/>
  <c r="O3172" i="17"/>
  <c r="O3152" i="17"/>
  <c r="O3136" i="17"/>
  <c r="O3116" i="17"/>
  <c r="O3096" i="17"/>
  <c r="O3076" i="17"/>
  <c r="O3056" i="17"/>
  <c r="O3036" i="17"/>
  <c r="O3016" i="17"/>
  <c r="O2996" i="17"/>
  <c r="O2976" i="17"/>
  <c r="O2960" i="17"/>
  <c r="O2940" i="17"/>
  <c r="O2920" i="17"/>
  <c r="O2900" i="17"/>
  <c r="O2880" i="17"/>
  <c r="O2864" i="17"/>
  <c r="O2844" i="17"/>
  <c r="O2824" i="17"/>
  <c r="O2804" i="17"/>
  <c r="O2784" i="17"/>
  <c r="O2764" i="17"/>
  <c r="O2744" i="17"/>
  <c r="O2724" i="17"/>
  <c r="O2704" i="17"/>
  <c r="O2684" i="17"/>
  <c r="O2668" i="17"/>
  <c r="O2648" i="17"/>
  <c r="O2628" i="17"/>
  <c r="O2608" i="17"/>
  <c r="O2588" i="17"/>
  <c r="O2572" i="17"/>
  <c r="O2556" i="17"/>
  <c r="O2536" i="17"/>
  <c r="O2516" i="17"/>
  <c r="O2496" i="17"/>
  <c r="O2472" i="17"/>
  <c r="O2456" i="17"/>
  <c r="O2436" i="17"/>
  <c r="O2416" i="17"/>
  <c r="O2396" i="17"/>
  <c r="O2376" i="17"/>
  <c r="O2360" i="17"/>
  <c r="O2336" i="17"/>
  <c r="O2316" i="17"/>
  <c r="O2296" i="17"/>
  <c r="O2280" i="17"/>
  <c r="O2260" i="17"/>
  <c r="O2244" i="17"/>
  <c r="O2220" i="17"/>
  <c r="O2200" i="17"/>
  <c r="O2176" i="17"/>
  <c r="O2156" i="17"/>
  <c r="O2140" i="17"/>
  <c r="O2120" i="17"/>
  <c r="O2100" i="17"/>
  <c r="O3489" i="17"/>
  <c r="O2056" i="17"/>
  <c r="O2032" i="17"/>
  <c r="O2008" i="17"/>
  <c r="O1988" i="17"/>
  <c r="O1960" i="17"/>
  <c r="O1936" i="17"/>
  <c r="O1912" i="17"/>
  <c r="O1892" i="17"/>
  <c r="O1860" i="17"/>
  <c r="O1836" i="17"/>
  <c r="O1816" i="17"/>
  <c r="O1796" i="17"/>
  <c r="O1776" i="17"/>
  <c r="O1764" i="17"/>
  <c r="O1744" i="17"/>
  <c r="O1724" i="17"/>
  <c r="O1708" i="17"/>
  <c r="O1692" i="17"/>
  <c r="O1672" i="17"/>
  <c r="O1652" i="17"/>
  <c r="O1636" i="17"/>
  <c r="O1620" i="17"/>
  <c r="O1600" i="17"/>
  <c r="O1580" i="17"/>
  <c r="O1560" i="17"/>
  <c r="O1548" i="17"/>
  <c r="O1524" i="17"/>
  <c r="O1504" i="17"/>
  <c r="O1492" i="17"/>
  <c r="O1472" i="17"/>
  <c r="O1456" i="17"/>
  <c r="O1436" i="17"/>
  <c r="O1420" i="17"/>
  <c r="O1396" i="17"/>
  <c r="O1380" i="17"/>
  <c r="O1360" i="17"/>
  <c r="O1340" i="17"/>
  <c r="O1324" i="17"/>
  <c r="O1304" i="17"/>
  <c r="O1288" i="17"/>
  <c r="O1268" i="17"/>
  <c r="O1248" i="17"/>
  <c r="O1224" i="17"/>
  <c r="O1200" i="17"/>
  <c r="O1180" i="17"/>
  <c r="O1156" i="17"/>
  <c r="O1072" i="17"/>
  <c r="Q3533" i="17"/>
  <c r="A3624" i="17"/>
  <c r="Q3624" i="17"/>
  <c r="A3544" i="17"/>
  <c r="Q3544" i="17"/>
  <c r="A3504" i="17"/>
  <c r="Q3504" i="17"/>
  <c r="A3440" i="17"/>
  <c r="Q3440" i="17"/>
  <c r="A3376" i="17"/>
  <c r="Q3376" i="17"/>
  <c r="A3312" i="17"/>
  <c r="Q3312" i="17"/>
  <c r="A3248" i="17"/>
  <c r="Q3248" i="17"/>
  <c r="A3192" i="17"/>
  <c r="Q3192" i="17"/>
  <c r="A3112" i="17"/>
  <c r="Q3112" i="17"/>
  <c r="A3048" i="17"/>
  <c r="Q3048" i="17"/>
  <c r="A2984" i="17"/>
  <c r="Q2984" i="17"/>
  <c r="A2840" i="17"/>
  <c r="Q2840" i="17"/>
  <c r="A2744" i="17"/>
  <c r="Q2744" i="17"/>
  <c r="A2632" i="17"/>
  <c r="Q2632" i="17"/>
  <c r="A2592" i="17"/>
  <c r="Q2592" i="17"/>
  <c r="A2528" i="17"/>
  <c r="Q2528" i="17"/>
  <c r="A2496" i="17"/>
  <c r="Q2496" i="17"/>
  <c r="A2432" i="17"/>
  <c r="Q2432" i="17"/>
  <c r="A2400" i="17"/>
  <c r="Q2400" i="17"/>
  <c r="A2328" i="17"/>
  <c r="Q2328" i="17"/>
  <c r="A2264" i="17"/>
  <c r="Q2264" i="17"/>
  <c r="A2232" i="17"/>
  <c r="Q2232" i="17"/>
  <c r="A2200" i="17"/>
  <c r="Q2200" i="17"/>
  <c r="A2160" i="17"/>
  <c r="Q2160" i="17"/>
  <c r="A2128" i="17"/>
  <c r="Q2128" i="17"/>
  <c r="A2096" i="17"/>
  <c r="Q2096" i="17"/>
  <c r="A2008" i="17"/>
  <c r="Q2008" i="17"/>
  <c r="A1832" i="17"/>
  <c r="Q1832" i="17"/>
  <c r="A1800" i="17"/>
  <c r="Q1800" i="17"/>
  <c r="A1712" i="17"/>
  <c r="Q1712" i="17"/>
  <c r="A1672" i="17"/>
  <c r="Q1672" i="17"/>
  <c r="A1576" i="17"/>
  <c r="Q1576" i="17"/>
  <c r="A1472" i="17"/>
  <c r="Q1472" i="17"/>
  <c r="A1408" i="17"/>
  <c r="Q1408" i="17"/>
  <c r="A1328" i="17"/>
  <c r="Q1328" i="17"/>
  <c r="A1288" i="17"/>
  <c r="Q1288" i="17"/>
  <c r="A1280" i="17"/>
  <c r="Q1280" i="17"/>
  <c r="A1208" i="17"/>
  <c r="Q1208" i="17"/>
  <c r="A1200" i="17"/>
  <c r="Q1200" i="17"/>
  <c r="A1128" i="17"/>
  <c r="Q1128" i="17"/>
  <c r="A944" i="17"/>
  <c r="Q944" i="17"/>
  <c r="O3672" i="17"/>
  <c r="O3652" i="17"/>
  <c r="O3632" i="17"/>
  <c r="O3612" i="17"/>
  <c r="O3592" i="17"/>
  <c r="O3572" i="17"/>
  <c r="O3552" i="17"/>
  <c r="O3536" i="17"/>
  <c r="O3520" i="17"/>
  <c r="O3500" i="17"/>
  <c r="O3480" i="17"/>
  <c r="O3460" i="17"/>
  <c r="O3440" i="17"/>
  <c r="O3420" i="17"/>
  <c r="O3400" i="17"/>
  <c r="O3380" i="17"/>
  <c r="O3360" i="17"/>
  <c r="O3340" i="17"/>
  <c r="O3320" i="17"/>
  <c r="O3304" i="17"/>
  <c r="O3280" i="17"/>
  <c r="O3260" i="17"/>
  <c r="O3240" i="17"/>
  <c r="O3216" i="17"/>
  <c r="O3196" i="17"/>
  <c r="O3176" i="17"/>
  <c r="O3156" i="17"/>
  <c r="O3132" i="17"/>
  <c r="O3112" i="17"/>
  <c r="O3092" i="17"/>
  <c r="O3072" i="17"/>
  <c r="O3044" i="17"/>
  <c r="O3028" i="17"/>
  <c r="O3008" i="17"/>
  <c r="O2988" i="17"/>
  <c r="O2968" i="17"/>
  <c r="O2948" i="17"/>
  <c r="O2928" i="17"/>
  <c r="O2908" i="17"/>
  <c r="O2888" i="17"/>
  <c r="O2872" i="17"/>
  <c r="O2852" i="17"/>
  <c r="O2832" i="17"/>
  <c r="O2812" i="17"/>
  <c r="O2792" i="17"/>
  <c r="O2768" i="17"/>
  <c r="O2748" i="17"/>
  <c r="O2728" i="17"/>
  <c r="O2708" i="17"/>
  <c r="O2688" i="17"/>
  <c r="O2664" i="17"/>
  <c r="O2644" i="17"/>
  <c r="O2624" i="17"/>
  <c r="O2604" i="17"/>
  <c r="O2584" i="17"/>
  <c r="O2454" i="17"/>
  <c r="O2544" i="17"/>
  <c r="O2524" i="17"/>
  <c r="O2504" i="17"/>
  <c r="O2488" i="17"/>
  <c r="O2464" i="17"/>
  <c r="O2444" i="17"/>
  <c r="O2428" i="17"/>
  <c r="O2404" i="17"/>
  <c r="O2388" i="17"/>
  <c r="O2024" i="17"/>
  <c r="O2344" i="17"/>
  <c r="O2324" i="17"/>
  <c r="O2304" i="17"/>
  <c r="O2284" i="17"/>
  <c r="O2264" i="17"/>
  <c r="O2240" i="17"/>
  <c r="O2216" i="17"/>
  <c r="O2196" i="17"/>
  <c r="O2180" i="17"/>
  <c r="O2160" i="17"/>
  <c r="O2136" i="17"/>
  <c r="O2116" i="17"/>
  <c r="O2096" i="17"/>
  <c r="O2072" i="17"/>
  <c r="O2048" i="17"/>
  <c r="O2016" i="17"/>
  <c r="O1996" i="17"/>
  <c r="O1976" i="17"/>
  <c r="O1956" i="17"/>
  <c r="O1932" i="17"/>
  <c r="O1904" i="17"/>
  <c r="O1876" i="17"/>
  <c r="O1848" i="17"/>
  <c r="O1828" i="17"/>
  <c r="O1808" i="17"/>
  <c r="O1792" i="17"/>
  <c r="O1772" i="17"/>
  <c r="O1752" i="17"/>
  <c r="O1728" i="17"/>
  <c r="O1700" i="17"/>
  <c r="O1684" i="17"/>
  <c r="O1660" i="17"/>
  <c r="O1648" i="17"/>
  <c r="O1628" i="17"/>
  <c r="O1604" i="17"/>
  <c r="O1584" i="17"/>
  <c r="O2563" i="17"/>
  <c r="O1544" i="17"/>
  <c r="O1520" i="17"/>
  <c r="O1500" i="17"/>
  <c r="O1480" i="17"/>
  <c r="O1464" i="17"/>
  <c r="O1444" i="17"/>
  <c r="O1428" i="17"/>
  <c r="O1408" i="17"/>
  <c r="O1384" i="17"/>
  <c r="O1368" i="17"/>
  <c r="O1348" i="17"/>
  <c r="O1328" i="17"/>
  <c r="O1312" i="17"/>
  <c r="O1292" i="17"/>
  <c r="O1276" i="17"/>
  <c r="O1256" i="17"/>
  <c r="O1228" i="17"/>
  <c r="O1216" i="17"/>
  <c r="O1188" i="17"/>
  <c r="O1164" i="17"/>
  <c r="O1076" i="17"/>
  <c r="Q3449" i="17"/>
  <c r="A3680" i="17"/>
  <c r="Q3680" i="17"/>
  <c r="A3640" i="17"/>
  <c r="Q3640" i="17"/>
  <c r="A3584" i="17"/>
  <c r="Q3584" i="17"/>
  <c r="Q3552" i="17"/>
  <c r="A3552" i="17"/>
  <c r="A3528" i="17"/>
  <c r="Q3528" i="17"/>
  <c r="A3472" i="17"/>
  <c r="Q3472" i="17"/>
  <c r="A3464" i="17"/>
  <c r="Q3464" i="17"/>
  <c r="A3424" i="17"/>
  <c r="Q3424" i="17"/>
  <c r="A3400" i="17"/>
  <c r="Q3400" i="17"/>
  <c r="A3368" i="17"/>
  <c r="Q3368" i="17"/>
  <c r="A3328" i="17"/>
  <c r="Q3328" i="17"/>
  <c r="A3296" i="17"/>
  <c r="Q3296" i="17"/>
  <c r="A3256" i="17"/>
  <c r="Q3256" i="17"/>
  <c r="A3216" i="17"/>
  <c r="Q3216" i="17"/>
  <c r="A3176" i="17"/>
  <c r="Q3176" i="17"/>
  <c r="A3128" i="17"/>
  <c r="Q3128" i="17"/>
  <c r="A3096" i="17"/>
  <c r="Q3096" i="17"/>
  <c r="A3056" i="17"/>
  <c r="Q3056" i="17"/>
  <c r="A3016" i="17"/>
  <c r="Q3016" i="17"/>
  <c r="A2976" i="17"/>
  <c r="Q2976" i="17"/>
  <c r="A2928" i="17"/>
  <c r="Q2928" i="17"/>
  <c r="A2912" i="17"/>
  <c r="Q2912" i="17"/>
  <c r="A2888" i="17"/>
  <c r="Q2888" i="17"/>
  <c r="A2864" i="17"/>
  <c r="Q2864" i="17"/>
  <c r="A2808" i="17"/>
  <c r="Q2808" i="17"/>
  <c r="A2776" i="17"/>
  <c r="Q2776" i="17"/>
  <c r="A2704" i="17"/>
  <c r="Q2704" i="17"/>
  <c r="A2640" i="17"/>
  <c r="Q2640" i="17"/>
  <c r="A2624" i="17"/>
  <c r="Q2624" i="17"/>
  <c r="A2608" i="17"/>
  <c r="Q2608" i="17"/>
  <c r="A2450" i="17"/>
  <c r="Q2450" i="17"/>
  <c r="A2480" i="17"/>
  <c r="Q2480" i="17"/>
  <c r="A2370" i="17"/>
  <c r="Q2370" i="17"/>
  <c r="A2408" i="17"/>
  <c r="Q2408" i="17"/>
  <c r="A2360" i="17"/>
  <c r="Q2360" i="17"/>
  <c r="A2288" i="17"/>
  <c r="Q2288" i="17"/>
  <c r="A2272" i="17"/>
  <c r="Q2272" i="17"/>
  <c r="A2248" i="17"/>
  <c r="Q2248" i="17"/>
  <c r="A2192" i="17"/>
  <c r="Q2192" i="17"/>
  <c r="A2168" i="17"/>
  <c r="Q2168" i="17"/>
  <c r="A2120" i="17"/>
  <c r="Q2120" i="17"/>
  <c r="A2088" i="17"/>
  <c r="Q2088" i="17"/>
  <c r="A2072" i="17"/>
  <c r="Q2072" i="17"/>
  <c r="A2040" i="17"/>
  <c r="Q2040" i="17"/>
  <c r="A2000" i="17"/>
  <c r="Q2000" i="17"/>
  <c r="A1944" i="17"/>
  <c r="Q1944" i="17"/>
  <c r="A1912" i="17"/>
  <c r="Q1912" i="17"/>
  <c r="A1896" i="17"/>
  <c r="Q1896" i="17"/>
  <c r="A1840" i="17"/>
  <c r="Q1840" i="17"/>
  <c r="A1768" i="17"/>
  <c r="Q1768" i="17"/>
  <c r="A1752" i="17"/>
  <c r="Q1752" i="17"/>
  <c r="A1704" i="17"/>
  <c r="Q1704" i="17"/>
  <c r="A1696" i="17"/>
  <c r="Q1696" i="17"/>
  <c r="A1624" i="17"/>
  <c r="Q1624" i="17"/>
  <c r="A1544" i="17"/>
  <c r="Q1544" i="17"/>
  <c r="A1480" i="17"/>
  <c r="Q1480" i="17"/>
  <c r="A1448" i="17"/>
  <c r="Q1448" i="17"/>
  <c r="A1424" i="17"/>
  <c r="Q1424" i="17"/>
  <c r="A1360" i="17"/>
  <c r="Q1360" i="17"/>
  <c r="A1344" i="17"/>
  <c r="Q1344" i="17"/>
  <c r="A1312" i="17"/>
  <c r="Q1312" i="17"/>
  <c r="A1264" i="17"/>
  <c r="Q1264" i="17"/>
  <c r="A1232" i="17"/>
  <c r="Q1232" i="17"/>
  <c r="A1152" i="17"/>
  <c r="Q1152" i="17"/>
  <c r="A1112" i="17"/>
  <c r="Q1112" i="17"/>
  <c r="A1080" i="17"/>
  <c r="Q1080" i="17"/>
  <c r="A1072" i="17"/>
  <c r="Q1072" i="17"/>
  <c r="A1048" i="17"/>
  <c r="Q1048" i="17"/>
  <c r="A1024" i="17"/>
  <c r="Q1024" i="17"/>
  <c r="A1000" i="17"/>
  <c r="Q1000" i="17"/>
  <c r="A888" i="17"/>
  <c r="Q888" i="17"/>
  <c r="O3684" i="17"/>
  <c r="O3660" i="17"/>
  <c r="O3640" i="17"/>
  <c r="O3620" i="17"/>
  <c r="O3600" i="17"/>
  <c r="O3580" i="17"/>
  <c r="O3560" i="17"/>
  <c r="O3540" i="17"/>
  <c r="O3516" i="17"/>
  <c r="O3496" i="17"/>
  <c r="O3476" i="17"/>
  <c r="O3456" i="17"/>
  <c r="O3432" i="17"/>
  <c r="O3412" i="17"/>
  <c r="O3392" i="17"/>
  <c r="O3372" i="17"/>
  <c r="O3348" i="17"/>
  <c r="O3328" i="17"/>
  <c r="O3308" i="17"/>
  <c r="O3284" i="17"/>
  <c r="O3268" i="17"/>
  <c r="O3244" i="17"/>
  <c r="O3492" i="17"/>
  <c r="O3200" i="17"/>
  <c r="O3184" i="17"/>
  <c r="O3160" i="17"/>
  <c r="O3140" i="17"/>
  <c r="O3120" i="17"/>
  <c r="O3100" i="17"/>
  <c r="O3080" i="17"/>
  <c r="O3060" i="17"/>
  <c r="O3048" i="17"/>
  <c r="O3020" i="17"/>
  <c r="O3000" i="17"/>
  <c r="O2980" i="17"/>
  <c r="O2956" i="17"/>
  <c r="O2936" i="17"/>
  <c r="O2916" i="17"/>
  <c r="O2896" i="17"/>
  <c r="O2876" i="17"/>
  <c r="O2856" i="17"/>
  <c r="O2836" i="17"/>
  <c r="O2816" i="17"/>
  <c r="O2796" i="17"/>
  <c r="O2776" i="17"/>
  <c r="O2756" i="17"/>
  <c r="O2736" i="17"/>
  <c r="O2716" i="17"/>
  <c r="O2696" i="17"/>
  <c r="O2676" i="17"/>
  <c r="O2656" i="17"/>
  <c r="O2636" i="17"/>
  <c r="O2616" i="17"/>
  <c r="O2596" i="17"/>
  <c r="O2576" i="17"/>
  <c r="O2552" i="17"/>
  <c r="O2532" i="17"/>
  <c r="O2512" i="17"/>
  <c r="O2492" i="17"/>
  <c r="O2476" i="17"/>
  <c r="O2374" i="17"/>
  <c r="O2432" i="17"/>
  <c r="O2412" i="17"/>
  <c r="O2392" i="17"/>
  <c r="O2028" i="17"/>
  <c r="O2352" i="17"/>
  <c r="O2332" i="17"/>
  <c r="O2312" i="17"/>
  <c r="O2288" i="17"/>
  <c r="O2272" i="17"/>
  <c r="O2248" i="17"/>
  <c r="O2232" i="17"/>
  <c r="O2208" i="17"/>
  <c r="O2192" i="17"/>
  <c r="O2172" i="17"/>
  <c r="O2152" i="17"/>
  <c r="O2132" i="17"/>
  <c r="O2112" i="17"/>
  <c r="O2092" i="17"/>
  <c r="O2076" i="17"/>
  <c r="O2060" i="17"/>
  <c r="O2044" i="17"/>
  <c r="O1570" i="17"/>
  <c r="O2020" i="17"/>
  <c r="O2004" i="17"/>
  <c r="O1980" i="17"/>
  <c r="O1968" i="17"/>
  <c r="O1948" i="17"/>
  <c r="O1928" i="17"/>
  <c r="O1916" i="17"/>
  <c r="O1896" i="17"/>
  <c r="O1884" i="17"/>
  <c r="O1868" i="17"/>
  <c r="O1852" i="17"/>
  <c r="O1832" i="17"/>
  <c r="O1812" i="17"/>
  <c r="O1784" i="17"/>
  <c r="O1760" i="17"/>
  <c r="O1740" i="17"/>
  <c r="O1720" i="17"/>
  <c r="O1704" i="17"/>
  <c r="O1676" i="17"/>
  <c r="O1656" i="17"/>
  <c r="O1632" i="17"/>
  <c r="O1612" i="17"/>
  <c r="O1592" i="17"/>
  <c r="O2567" i="17"/>
  <c r="O1540" i="17"/>
  <c r="O1528" i="17"/>
  <c r="O1508" i="17"/>
  <c r="O1484" i="17"/>
  <c r="O1460" i="17"/>
  <c r="O1432" i="17"/>
  <c r="O1412" i="17"/>
  <c r="O1400" i="17"/>
  <c r="O1376" i="17"/>
  <c r="O1352" i="17"/>
  <c r="O1336" i="17"/>
  <c r="O1308" i="17"/>
  <c r="O1284" i="17"/>
  <c r="O1260" i="17"/>
  <c r="O1244" i="17"/>
  <c r="O1236" i="17"/>
  <c r="O1212" i="17"/>
  <c r="O1196" i="17"/>
  <c r="O1176" i="17"/>
  <c r="O1064" i="17"/>
  <c r="Q2030" i="17"/>
  <c r="Q3297" i="17"/>
  <c r="A3664" i="17"/>
  <c r="Q3664" i="17"/>
  <c r="A3616" i="17"/>
  <c r="Q3616" i="17"/>
  <c r="A3608" i="17"/>
  <c r="Q3608" i="17"/>
  <c r="A3568" i="17"/>
  <c r="Q3568" i="17"/>
  <c r="A3520" i="17"/>
  <c r="Q3520" i="17"/>
  <c r="A3480" i="17"/>
  <c r="Q3480" i="17"/>
  <c r="A3448" i="17"/>
  <c r="Q3448" i="17"/>
  <c r="A3408" i="17"/>
  <c r="Q3408" i="17"/>
  <c r="A3352" i="17"/>
  <c r="Q3352" i="17"/>
  <c r="A3320" i="17"/>
  <c r="Q3320" i="17"/>
  <c r="A3280" i="17"/>
  <c r="Q3280" i="17"/>
  <c r="A3240" i="17"/>
  <c r="Q3240" i="17"/>
  <c r="A3200" i="17"/>
  <c r="Q3200" i="17"/>
  <c r="A3168" i="17"/>
  <c r="Q3168" i="17"/>
  <c r="A3136" i="17"/>
  <c r="Q3136" i="17"/>
  <c r="A3104" i="17"/>
  <c r="Q3104" i="17"/>
  <c r="A3072" i="17"/>
  <c r="Q3072" i="17"/>
  <c r="A3032" i="17"/>
  <c r="Q3032" i="17"/>
  <c r="A3008" i="17"/>
  <c r="Q3008" i="17"/>
  <c r="A2968" i="17"/>
  <c r="Q2968" i="17"/>
  <c r="A2944" i="17"/>
  <c r="Q2944" i="17"/>
  <c r="A2904" i="17"/>
  <c r="Q2904" i="17"/>
  <c r="A2856" i="17"/>
  <c r="Q2856" i="17"/>
  <c r="A2816" i="17"/>
  <c r="Q2816" i="17"/>
  <c r="A2784" i="17"/>
  <c r="Q2784" i="17"/>
  <c r="A2696" i="17"/>
  <c r="Q2696" i="17"/>
  <c r="A2688" i="17"/>
  <c r="Q2688" i="17"/>
  <c r="A2680" i="17"/>
  <c r="Q2680" i="17"/>
  <c r="A2656" i="17"/>
  <c r="Q2656" i="17"/>
  <c r="A2600" i="17"/>
  <c r="Q2600" i="17"/>
  <c r="A2562" i="17"/>
  <c r="Q2562" i="17"/>
  <c r="A2544" i="17"/>
  <c r="Q2544" i="17"/>
  <c r="A2520" i="17"/>
  <c r="Q2520" i="17"/>
  <c r="A2488" i="17"/>
  <c r="Q2488" i="17"/>
  <c r="A2440" i="17"/>
  <c r="Q2440" i="17"/>
  <c r="A2416" i="17"/>
  <c r="Q2416" i="17"/>
  <c r="A2384" i="17"/>
  <c r="Q2384" i="17"/>
  <c r="A2352" i="17"/>
  <c r="Q2352" i="17"/>
  <c r="A2312" i="17"/>
  <c r="Q2312" i="17"/>
  <c r="A2296" i="17"/>
  <c r="Q2296" i="17"/>
  <c r="A2256" i="17"/>
  <c r="Q2256" i="17"/>
  <c r="A2208" i="17"/>
  <c r="Q2208" i="17"/>
  <c r="A2144" i="17"/>
  <c r="Q2144" i="17"/>
  <c r="A2056" i="17"/>
  <c r="Q2056" i="17"/>
  <c r="A1984" i="17"/>
  <c r="Q1984" i="17"/>
  <c r="A1928" i="17"/>
  <c r="Q1928" i="17"/>
  <c r="A1904" i="17"/>
  <c r="Q1904" i="17"/>
  <c r="A1864" i="17"/>
  <c r="Q1864" i="17"/>
  <c r="A1824" i="17"/>
  <c r="Q1824" i="17"/>
  <c r="A1776" i="17"/>
  <c r="Q1776" i="17"/>
  <c r="A1744" i="17"/>
  <c r="Q1744" i="17"/>
  <c r="A1688" i="17"/>
  <c r="Q1688" i="17"/>
  <c r="A1640" i="17"/>
  <c r="Q1640" i="17"/>
  <c r="A1608" i="17"/>
  <c r="Q1608" i="17"/>
  <c r="A1592" i="17"/>
  <c r="Q1592" i="17"/>
  <c r="A2567" i="17"/>
  <c r="Q2567" i="17"/>
  <c r="A1560" i="17"/>
  <c r="Q1560" i="17"/>
  <c r="A1528" i="17"/>
  <c r="Q1528" i="17"/>
  <c r="A1520" i="17"/>
  <c r="Q1520" i="17"/>
  <c r="A1504" i="17"/>
  <c r="Q1504" i="17"/>
  <c r="A1496" i="17"/>
  <c r="Q1496" i="17"/>
  <c r="A1464" i="17"/>
  <c r="Q1464" i="17"/>
  <c r="A1440" i="17"/>
  <c r="Q1440" i="17"/>
  <c r="A1376" i="17"/>
  <c r="Q1376" i="17"/>
  <c r="A1336" i="17"/>
  <c r="Q1336" i="17"/>
  <c r="A1256" i="17"/>
  <c r="Q1256" i="17"/>
  <c r="A1216" i="17"/>
  <c r="Q1216" i="17"/>
  <c r="A1184" i="17"/>
  <c r="Q1184" i="17"/>
  <c r="A1160" i="17"/>
  <c r="Q1160" i="17"/>
  <c r="A1120" i="17"/>
  <c r="Q1120" i="17"/>
  <c r="A1096" i="17"/>
  <c r="Q1096" i="17"/>
  <c r="A1064" i="17"/>
  <c r="Q1064" i="17"/>
  <c r="A1040" i="17"/>
  <c r="Q1040" i="17"/>
  <c r="A1008" i="17"/>
  <c r="Q1008" i="17"/>
  <c r="A896" i="17"/>
  <c r="Q896" i="17"/>
  <c r="O3676" i="17"/>
  <c r="O3656" i="17"/>
  <c r="O3636" i="17"/>
  <c r="O3616" i="17"/>
  <c r="O3596" i="17"/>
  <c r="O3576" i="17"/>
  <c r="O3556" i="17"/>
  <c r="O3532" i="17"/>
  <c r="O3512" i="17"/>
  <c r="O2080" i="17"/>
  <c r="O3468" i="17"/>
  <c r="O3448" i="17"/>
  <c r="O3428" i="17"/>
  <c r="O3404" i="17"/>
  <c r="O3388" i="17"/>
  <c r="O3364" i="17"/>
  <c r="O3344" i="17"/>
  <c r="O3324" i="17"/>
  <c r="O3300" i="17"/>
  <c r="O3288" i="17"/>
  <c r="O3264" i="17"/>
  <c r="O3248" i="17"/>
  <c r="O3228" i="17"/>
  <c r="O3208" i="17"/>
  <c r="O3188" i="17"/>
  <c r="O3168" i="17"/>
  <c r="O3148" i="17"/>
  <c r="O3128" i="17"/>
  <c r="O3108" i="17"/>
  <c r="O3088" i="17"/>
  <c r="O3068" i="17"/>
  <c r="O3052" i="17"/>
  <c r="O3024" i="17"/>
  <c r="O3004" i="17"/>
  <c r="O2984" i="17"/>
  <c r="O2964" i="17"/>
  <c r="O2944" i="17"/>
  <c r="O2924" i="17"/>
  <c r="O2904" i="17"/>
  <c r="O2884" i="17"/>
  <c r="O2860" i="17"/>
  <c r="O2840" i="17"/>
  <c r="O2820" i="17"/>
  <c r="O2800" i="17"/>
  <c r="O2780" i="17"/>
  <c r="O2760" i="17"/>
  <c r="O2740" i="17"/>
  <c r="O2720" i="17"/>
  <c r="O2700" i="17"/>
  <c r="O2680" i="17"/>
  <c r="O2660" i="17"/>
  <c r="O2640" i="17"/>
  <c r="O2620" i="17"/>
  <c r="O2600" i="17"/>
  <c r="O2580" i="17"/>
  <c r="O2450" i="17"/>
  <c r="O2540" i="17"/>
  <c r="O2520" i="17"/>
  <c r="O2500" i="17"/>
  <c r="O2480" i="17"/>
  <c r="O2460" i="17"/>
  <c r="O2440" i="17"/>
  <c r="O2420" i="17"/>
  <c r="O2400" i="17"/>
  <c r="O2380" i="17"/>
  <c r="O2356" i="17"/>
  <c r="O2340" i="17"/>
  <c r="O2320" i="17"/>
  <c r="O2300" i="17"/>
  <c r="O2276" i="17"/>
  <c r="O2252" i="17"/>
  <c r="O2236" i="17"/>
  <c r="O2224" i="17"/>
  <c r="O2212" i="17"/>
  <c r="O2188" i="17"/>
  <c r="O2168" i="17"/>
  <c r="O2148" i="17"/>
  <c r="O2128" i="17"/>
  <c r="O2108" i="17"/>
  <c r="O2084" i="17"/>
  <c r="O2068" i="17"/>
  <c r="O2052" i="17"/>
  <c r="O2036" i="17"/>
  <c r="O1566" i="17"/>
  <c r="O2000" i="17"/>
  <c r="O1984" i="17"/>
  <c r="O1972" i="17"/>
  <c r="O1952" i="17"/>
  <c r="O1944" i="17"/>
  <c r="O1924" i="17"/>
  <c r="O1920" i="17"/>
  <c r="O1900" i="17"/>
  <c r="O1888" i="17"/>
  <c r="O1872" i="17"/>
  <c r="O1864" i="17"/>
  <c r="O1844" i="17"/>
  <c r="O1824" i="17"/>
  <c r="O1804" i="17"/>
  <c r="O1780" i="17"/>
  <c r="O1756" i="17"/>
  <c r="O1736" i="17"/>
  <c r="O1716" i="17"/>
  <c r="O1696" i="17"/>
  <c r="O1680" i="17"/>
  <c r="O1664" i="17"/>
  <c r="O1640" i="17"/>
  <c r="O1616" i="17"/>
  <c r="O1596" i="17"/>
  <c r="O1576" i="17"/>
  <c r="O1556" i="17"/>
  <c r="O1536" i="17"/>
  <c r="O1516" i="17"/>
  <c r="O1488" i="17"/>
  <c r="O1468" i="17"/>
  <c r="O1448" i="17"/>
  <c r="O1424" i="17"/>
  <c r="O1404" i="17"/>
  <c r="O1388" i="17"/>
  <c r="O1364" i="17"/>
  <c r="O1344" i="17"/>
  <c r="O1320" i="17"/>
  <c r="O1296" i="17"/>
  <c r="O1272" i="17"/>
  <c r="O1252" i="17"/>
  <c r="O1240" i="17"/>
  <c r="O1220" i="17"/>
  <c r="O1204" i="17"/>
  <c r="O1184" i="17"/>
  <c r="O1168" i="17"/>
  <c r="O1152" i="17"/>
  <c r="O1068" i="17"/>
  <c r="Q3093" i="17"/>
  <c r="O508" i="17"/>
  <c r="O492" i="17"/>
  <c r="O480" i="17"/>
  <c r="O464" i="17"/>
  <c r="O456" i="17"/>
  <c r="O444" i="17"/>
  <c r="O432" i="17"/>
  <c r="O412" i="17"/>
  <c r="O396" i="17"/>
  <c r="O384" i="17"/>
  <c r="O372" i="17"/>
  <c r="O360" i="17"/>
  <c r="O352" i="17"/>
  <c r="O336" i="17"/>
  <c r="O328" i="17"/>
  <c r="O320" i="17"/>
  <c r="O304" i="17"/>
  <c r="O296" i="17"/>
  <c r="O288" i="17"/>
  <c r="O272" i="17"/>
  <c r="O264" i="17"/>
  <c r="O252" i="17"/>
  <c r="O240" i="17"/>
  <c r="O228" i="17"/>
  <c r="O220" i="17"/>
  <c r="O204" i="17"/>
  <c r="O196" i="17"/>
  <c r="O180" i="17"/>
  <c r="O168" i="17"/>
  <c r="O152" i="17"/>
  <c r="O144" i="17"/>
  <c r="O128" i="17"/>
  <c r="O108" i="17"/>
  <c r="O100" i="17"/>
  <c r="O84" i="17"/>
  <c r="O68" i="17"/>
  <c r="A3679" i="17"/>
  <c r="Q3679" i="17"/>
  <c r="A3655" i="17"/>
  <c r="Q3655" i="17"/>
  <c r="A3639" i="17"/>
  <c r="Q3639" i="17"/>
  <c r="A3623" i="17"/>
  <c r="Q3623" i="17"/>
  <c r="A3607" i="17"/>
  <c r="Q3607" i="17"/>
  <c r="A3575" i="17"/>
  <c r="Q3575" i="17"/>
  <c r="A3511" i="17"/>
  <c r="Q3511" i="17"/>
  <c r="A3471" i="17"/>
  <c r="Q3471" i="17"/>
  <c r="A3447" i="17"/>
  <c r="Q3447" i="17"/>
  <c r="A3439" i="17"/>
  <c r="Q3439" i="17"/>
  <c r="A3415" i="17"/>
  <c r="Q3415" i="17"/>
  <c r="A3391" i="17"/>
  <c r="Q3391" i="17"/>
  <c r="A3375" i="17"/>
  <c r="Q3375" i="17"/>
  <c r="A3359" i="17"/>
  <c r="Q3359" i="17"/>
  <c r="A3335" i="17"/>
  <c r="Q3335" i="17"/>
  <c r="A3319" i="17"/>
  <c r="Q3319" i="17"/>
  <c r="A3271" i="17"/>
  <c r="Q3271" i="17"/>
  <c r="A3255" i="17"/>
  <c r="Q3255" i="17"/>
  <c r="A3239" i="17"/>
  <c r="Q3239" i="17"/>
  <c r="A3215" i="17"/>
  <c r="Q3215" i="17"/>
  <c r="A3199" i="17"/>
  <c r="Q3199" i="17"/>
  <c r="A3167" i="17"/>
  <c r="Q3167" i="17"/>
  <c r="A3127" i="17"/>
  <c r="Q3127" i="17"/>
  <c r="A3103" i="17"/>
  <c r="Q3103" i="17"/>
  <c r="A3095" i="17"/>
  <c r="Q3095" i="17"/>
  <c r="A3079" i="17"/>
  <c r="Q3079" i="17"/>
  <c r="A3071" i="17"/>
  <c r="Q3071" i="17"/>
  <c r="A3055" i="17"/>
  <c r="Q3055" i="17"/>
  <c r="A3023" i="17"/>
  <c r="Q3023" i="17"/>
  <c r="A3015" i="17"/>
  <c r="Q3015" i="17"/>
  <c r="A2999" i="17"/>
  <c r="Q2999" i="17"/>
  <c r="A2975" i="17"/>
  <c r="Q2975" i="17"/>
  <c r="A2959" i="17"/>
  <c r="Q2959" i="17"/>
  <c r="A2951" i="17"/>
  <c r="Q2951" i="17"/>
  <c r="A2943" i="17"/>
  <c r="Q2943" i="17"/>
  <c r="A2927" i="17"/>
  <c r="Q2927" i="17"/>
  <c r="A2919" i="17"/>
  <c r="Q2919" i="17"/>
  <c r="A2903" i="17"/>
  <c r="Q2903" i="17"/>
  <c r="A2887" i="17"/>
  <c r="Q2887" i="17"/>
  <c r="A2879" i="17"/>
  <c r="Q2879" i="17"/>
  <c r="A2863" i="17"/>
  <c r="Q2863" i="17"/>
  <c r="A2855" i="17"/>
  <c r="Q2855" i="17"/>
  <c r="A2847" i="17"/>
  <c r="Q2847" i="17"/>
  <c r="A2823" i="17"/>
  <c r="Q2823" i="17"/>
  <c r="A2815" i="17"/>
  <c r="Q2815" i="17"/>
  <c r="A2799" i="17"/>
  <c r="Q2799" i="17"/>
  <c r="A2783" i="17"/>
  <c r="Q2783" i="17"/>
  <c r="A2767" i="17"/>
  <c r="Q2767" i="17"/>
  <c r="A2759" i="17"/>
  <c r="Q2759" i="17"/>
  <c r="A2751" i="17"/>
  <c r="Q2751" i="17"/>
  <c r="A2735" i="17"/>
  <c r="Q2735" i="17"/>
  <c r="A2727" i="17"/>
  <c r="Q2727" i="17"/>
  <c r="A2711" i="17"/>
  <c r="Q2711" i="17"/>
  <c r="A2703" i="17"/>
  <c r="Q2703" i="17"/>
  <c r="A2687" i="17"/>
  <c r="Q2687" i="17"/>
  <c r="A2671" i="17"/>
  <c r="Q2671" i="17"/>
  <c r="A2663" i="17"/>
  <c r="Q2663" i="17"/>
  <c r="A2655" i="17"/>
  <c r="Q2655" i="17"/>
  <c r="A2647" i="17"/>
  <c r="Q2647" i="17"/>
  <c r="A2631" i="17"/>
  <c r="Q2631" i="17"/>
  <c r="A2623" i="17"/>
  <c r="Q2623" i="17"/>
  <c r="A2599" i="17"/>
  <c r="Q2599" i="17"/>
  <c r="A2591" i="17"/>
  <c r="Q2591" i="17"/>
  <c r="A2575" i="17"/>
  <c r="Q2575" i="17"/>
  <c r="A2561" i="17"/>
  <c r="Q2561" i="17"/>
  <c r="A2551" i="17"/>
  <c r="Q2551" i="17"/>
  <c r="A2535" i="17"/>
  <c r="Q2535" i="17"/>
  <c r="A2519" i="17"/>
  <c r="Q2519" i="17"/>
  <c r="A2511" i="17"/>
  <c r="Q2511" i="17"/>
  <c r="A2503" i="17"/>
  <c r="Q2503" i="17"/>
  <c r="A2495" i="17"/>
  <c r="Q2495" i="17"/>
  <c r="A2487" i="17"/>
  <c r="Q2487" i="17"/>
  <c r="A2479" i="17"/>
  <c r="Q2479" i="17"/>
  <c r="A2471" i="17"/>
  <c r="Q2471" i="17"/>
  <c r="A2463" i="17"/>
  <c r="Q2463" i="17"/>
  <c r="A2449" i="17"/>
  <c r="Q2449" i="17"/>
  <c r="A2369" i="17"/>
  <c r="Q2369" i="17"/>
  <c r="A2439" i="17"/>
  <c r="Q2439" i="17"/>
  <c r="A2431" i="17"/>
  <c r="Q2431" i="17"/>
  <c r="A2423" i="17"/>
  <c r="Q2423" i="17"/>
  <c r="A2415" i="17"/>
  <c r="Q2415" i="17"/>
  <c r="A2407" i="17"/>
  <c r="Q2407" i="17"/>
  <c r="A2399" i="17"/>
  <c r="Q2399" i="17"/>
  <c r="A2383" i="17"/>
  <c r="Q2383" i="17"/>
  <c r="A2375" i="17"/>
  <c r="Q2375" i="17"/>
  <c r="A2023" i="17"/>
  <c r="Q2023" i="17"/>
  <c r="A2359" i="17"/>
  <c r="Q2359" i="17"/>
  <c r="A2351" i="17"/>
  <c r="Q2351" i="17"/>
  <c r="A2343" i="17"/>
  <c r="Q2343" i="17"/>
  <c r="A2335" i="17"/>
  <c r="Q2335" i="17"/>
  <c r="A2327" i="17"/>
  <c r="Q2327" i="17"/>
  <c r="A2319" i="17"/>
  <c r="Q2319" i="17"/>
  <c r="A2311" i="17"/>
  <c r="Q2311" i="17"/>
  <c r="A2303" i="17"/>
  <c r="Q2303" i="17"/>
  <c r="A2295" i="17"/>
  <c r="Q2295" i="17"/>
  <c r="A2287" i="17"/>
  <c r="Q2287" i="17"/>
  <c r="A2279" i="17"/>
  <c r="Q2279" i="17"/>
  <c r="A2271" i="17"/>
  <c r="Q2271" i="17"/>
  <c r="A2263" i="17"/>
  <c r="Q2263" i="17"/>
  <c r="A2255" i="17"/>
  <c r="Q2255" i="17"/>
  <c r="A2247" i="17"/>
  <c r="Q2247" i="17"/>
  <c r="A2239" i="17"/>
  <c r="Q2239" i="17"/>
  <c r="A2231" i="17"/>
  <c r="Q2231" i="17"/>
  <c r="A2223" i="17"/>
  <c r="Q2223" i="17"/>
  <c r="A2215" i="17"/>
  <c r="Q2215" i="17"/>
  <c r="A2207" i="17"/>
  <c r="Q2207" i="17"/>
  <c r="A2199" i="17"/>
  <c r="Q2199" i="17"/>
  <c r="A2191" i="17"/>
  <c r="Q2191" i="17"/>
  <c r="A2183" i="17"/>
  <c r="Q2183" i="17"/>
  <c r="A2175" i="17"/>
  <c r="Q2175" i="17"/>
  <c r="A2167" i="17"/>
  <c r="Q2167" i="17"/>
  <c r="A2159" i="17"/>
  <c r="Q2159" i="17"/>
  <c r="A2151" i="17"/>
  <c r="Q2151" i="17"/>
  <c r="A2143" i="17"/>
  <c r="Q2143" i="17"/>
  <c r="A2135" i="17"/>
  <c r="Q2135" i="17"/>
  <c r="A2127" i="17"/>
  <c r="Q2127" i="17"/>
  <c r="A2119" i="17"/>
  <c r="Q2119" i="17"/>
  <c r="A2111" i="17"/>
  <c r="Q2111" i="17"/>
  <c r="A2103" i="17"/>
  <c r="Q2103" i="17"/>
  <c r="A2095" i="17"/>
  <c r="Q2095" i="17"/>
  <c r="A2087" i="17"/>
  <c r="Q2087" i="17"/>
  <c r="A3488" i="17"/>
  <c r="Q3488" i="17"/>
  <c r="A2071" i="17"/>
  <c r="Q2071" i="17"/>
  <c r="A2063" i="17"/>
  <c r="Q2063" i="17"/>
  <c r="A2055" i="17"/>
  <c r="Q2055" i="17"/>
  <c r="A2047" i="17"/>
  <c r="Q2047" i="17"/>
  <c r="A2039" i="17"/>
  <c r="Q2039" i="17"/>
  <c r="A2031" i="17"/>
  <c r="Q2031" i="17"/>
  <c r="A1565" i="17"/>
  <c r="Q1565" i="17"/>
  <c r="A2015" i="17"/>
  <c r="Q2015" i="17"/>
  <c r="A2007" i="17"/>
  <c r="Q2007" i="17"/>
  <c r="A1999" i="17"/>
  <c r="Q1999" i="17"/>
  <c r="A1991" i="17"/>
  <c r="Q1991" i="17"/>
  <c r="A1983" i="17"/>
  <c r="Q1983" i="17"/>
  <c r="A1975" i="17"/>
  <c r="Q1975" i="17"/>
  <c r="A1967" i="17"/>
  <c r="Q1967" i="17"/>
  <c r="A1959" i="17"/>
  <c r="Q1959" i="17"/>
  <c r="A1951" i="17"/>
  <c r="Q1951" i="17"/>
  <c r="A1943" i="17"/>
  <c r="Q1943" i="17"/>
  <c r="A1935" i="17"/>
  <c r="Q1935" i="17"/>
  <c r="A1927" i="17"/>
  <c r="Q1927" i="17"/>
  <c r="A1919" i="17"/>
  <c r="Q1919" i="17"/>
  <c r="A1911" i="17"/>
  <c r="Q1911" i="17"/>
  <c r="A1903" i="17"/>
  <c r="Q1903" i="17"/>
  <c r="A1895" i="17"/>
  <c r="Q1895" i="17"/>
  <c r="A1887" i="17"/>
  <c r="Q1887" i="17"/>
  <c r="A1879" i="17"/>
  <c r="Q1879" i="17"/>
  <c r="A1871" i="17"/>
  <c r="Q1871" i="17"/>
  <c r="A1863" i="17"/>
  <c r="Q1863" i="17"/>
  <c r="A1855" i="17"/>
  <c r="Q1855" i="17"/>
  <c r="A1847" i="17"/>
  <c r="Q1847" i="17"/>
  <c r="A1839" i="17"/>
  <c r="Q1839" i="17"/>
  <c r="A1831" i="17"/>
  <c r="Q1831" i="17"/>
  <c r="A1823" i="17"/>
  <c r="Q1823" i="17"/>
  <c r="A1815" i="17"/>
  <c r="Q1815" i="17"/>
  <c r="A1807" i="17"/>
  <c r="Q1807" i="17"/>
  <c r="A1799" i="17"/>
  <c r="Q1799" i="17"/>
  <c r="A1791" i="17"/>
  <c r="Q1791" i="17"/>
  <c r="A1783" i="17"/>
  <c r="Q1783" i="17"/>
  <c r="A1775" i="17"/>
  <c r="Q1775" i="17"/>
  <c r="A1767" i="17"/>
  <c r="Q1767" i="17"/>
  <c r="A1759" i="17"/>
  <c r="Q1759" i="17"/>
  <c r="A1751" i="17"/>
  <c r="Q1751" i="17"/>
  <c r="A1743" i="17"/>
  <c r="Q1743" i="17"/>
  <c r="A1735" i="17"/>
  <c r="Q1735" i="17"/>
  <c r="A1727" i="17"/>
  <c r="Q1727" i="17"/>
  <c r="A1719" i="17"/>
  <c r="Q1719" i="17"/>
  <c r="A1711" i="17"/>
  <c r="Q1711" i="17"/>
  <c r="A1703" i="17"/>
  <c r="Q1703" i="17"/>
  <c r="A1695" i="17"/>
  <c r="Q1695" i="17"/>
  <c r="A1687" i="17"/>
  <c r="Q1687" i="17"/>
  <c r="A1679" i="17"/>
  <c r="Q1679" i="17"/>
  <c r="A1671" i="17"/>
  <c r="Q1671" i="17"/>
  <c r="A1663" i="17"/>
  <c r="Q1663" i="17"/>
  <c r="A1655" i="17"/>
  <c r="Q1655" i="17"/>
  <c r="A1647" i="17"/>
  <c r="Q1647" i="17"/>
  <c r="A1639" i="17"/>
  <c r="Q1639" i="17"/>
  <c r="A1631" i="17"/>
  <c r="Q1631" i="17"/>
  <c r="A1623" i="17"/>
  <c r="Q1623" i="17"/>
  <c r="A1615" i="17"/>
  <c r="Q1615" i="17"/>
  <c r="A1607" i="17"/>
  <c r="Q1607" i="17"/>
  <c r="A1599" i="17"/>
  <c r="Q1599" i="17"/>
  <c r="A1591" i="17"/>
  <c r="Q1591" i="17"/>
  <c r="A1583" i="17"/>
  <c r="Q1583" i="17"/>
  <c r="A1575" i="17"/>
  <c r="Q1575" i="17"/>
  <c r="A2566" i="17"/>
  <c r="Q2566" i="17"/>
  <c r="A1559" i="17"/>
  <c r="Q1559" i="17"/>
  <c r="A1551" i="17"/>
  <c r="Q1551" i="17"/>
  <c r="A1543" i="17"/>
  <c r="Q1543" i="17"/>
  <c r="A1535" i="17"/>
  <c r="Q1535" i="17"/>
  <c r="A1527" i="17"/>
  <c r="Q1527" i="17"/>
  <c r="A1519" i="17"/>
  <c r="Q1519" i="17"/>
  <c r="A1511" i="17"/>
  <c r="Q1511" i="17"/>
  <c r="A1503" i="17"/>
  <c r="Q1503" i="17"/>
  <c r="A1495" i="17"/>
  <c r="Q1495" i="17"/>
  <c r="A1487" i="17"/>
  <c r="Q1487" i="17"/>
  <c r="A1479" i="17"/>
  <c r="Q1479" i="17"/>
  <c r="A1471" i="17"/>
  <c r="Q1471" i="17"/>
  <c r="A1463" i="17"/>
  <c r="Q1463" i="17"/>
  <c r="A1455" i="17"/>
  <c r="Q1455" i="17"/>
  <c r="A1447" i="17"/>
  <c r="Q1447" i="17"/>
  <c r="A1439" i="17"/>
  <c r="Q1439" i="17"/>
  <c r="A1431" i="17"/>
  <c r="Q1431" i="17"/>
  <c r="A1423" i="17"/>
  <c r="Q1423" i="17"/>
  <c r="A1415" i="17"/>
  <c r="Q1415" i="17"/>
  <c r="A1407" i="17"/>
  <c r="Q1407" i="17"/>
  <c r="A1399" i="17"/>
  <c r="Q1399" i="17"/>
  <c r="A1391" i="17"/>
  <c r="Q1391" i="17"/>
  <c r="A1383" i="17"/>
  <c r="Q1383" i="17"/>
  <c r="A1375" i="17"/>
  <c r="Q1375" i="17"/>
  <c r="A1367" i="17"/>
  <c r="Q1367" i="17"/>
  <c r="A1359" i="17"/>
  <c r="Q1359" i="17"/>
  <c r="A1351" i="17"/>
  <c r="Q1351" i="17"/>
  <c r="A1343" i="17"/>
  <c r="Q1343" i="17"/>
  <c r="A1335" i="17"/>
  <c r="Q1335" i="17"/>
  <c r="A1327" i="17"/>
  <c r="Q1327" i="17"/>
  <c r="A1319" i="17"/>
  <c r="Q1319" i="17"/>
  <c r="A1311" i="17"/>
  <c r="Q1311" i="17"/>
  <c r="A1303" i="17"/>
  <c r="Q1303" i="17"/>
  <c r="A1295" i="17"/>
  <c r="Q1295" i="17"/>
  <c r="A1287" i="17"/>
  <c r="Q1287" i="17"/>
  <c r="A1279" i="17"/>
  <c r="Q1279" i="17"/>
  <c r="A1271" i="17"/>
  <c r="Q1271" i="17"/>
  <c r="A1263" i="17"/>
  <c r="Q1263" i="17"/>
  <c r="A1255" i="17"/>
  <c r="Q1255" i="17"/>
  <c r="A1247" i="17"/>
  <c r="Q1247" i="17"/>
  <c r="A1239" i="17"/>
  <c r="Q1239" i="17"/>
  <c r="A1231" i="17"/>
  <c r="Q1231" i="17"/>
  <c r="A1223" i="17"/>
  <c r="Q1223" i="17"/>
  <c r="A1215" i="17"/>
  <c r="Q1215" i="17"/>
  <c r="A1207" i="17"/>
  <c r="Q1207" i="17"/>
  <c r="A1199" i="17"/>
  <c r="Q1199" i="17"/>
  <c r="A1191" i="17"/>
  <c r="Q1191" i="17"/>
  <c r="A1183" i="17"/>
  <c r="Q1183" i="17"/>
  <c r="A1175" i="17"/>
  <c r="Q1175" i="17"/>
  <c r="A1167" i="17"/>
  <c r="Q1167" i="17"/>
  <c r="A1159" i="17"/>
  <c r="Q1159" i="17"/>
  <c r="A1151" i="17"/>
  <c r="Q1151" i="17"/>
  <c r="A1143" i="17"/>
  <c r="Q1143" i="17"/>
  <c r="A1135" i="17"/>
  <c r="Q1135" i="17"/>
  <c r="A1127" i="17"/>
  <c r="Q1127" i="17"/>
  <c r="A1119" i="17"/>
  <c r="Q1119" i="17"/>
  <c r="A1111" i="17"/>
  <c r="Q1111" i="17"/>
  <c r="A1103" i="17"/>
  <c r="Q1103" i="17"/>
  <c r="A1095" i="17"/>
  <c r="Q1095" i="17"/>
  <c r="A1087" i="17"/>
  <c r="Q1087" i="17"/>
  <c r="A1079" i="17"/>
  <c r="Q1079" i="17"/>
  <c r="A1071" i="17"/>
  <c r="Q1071" i="17"/>
  <c r="A1063" i="17"/>
  <c r="Q1063" i="17"/>
  <c r="A1055" i="17"/>
  <c r="Q1055" i="17"/>
  <c r="A1047" i="17"/>
  <c r="Q1047" i="17"/>
  <c r="A1039" i="17"/>
  <c r="Q1039" i="17"/>
  <c r="A1031" i="17"/>
  <c r="Q1031" i="17"/>
  <c r="A1023" i="17"/>
  <c r="Q1023" i="17"/>
  <c r="A1015" i="17"/>
  <c r="Q1015" i="17"/>
  <c r="A1007" i="17"/>
  <c r="Q1007" i="17"/>
  <c r="A999" i="17"/>
  <c r="Q999" i="17"/>
  <c r="A991" i="17"/>
  <c r="Q991" i="17"/>
  <c r="A983" i="17"/>
  <c r="Q983" i="17"/>
  <c r="A975" i="17"/>
  <c r="Q975" i="17"/>
  <c r="A967" i="17"/>
  <c r="Q967" i="17"/>
  <c r="A959" i="17"/>
  <c r="Q959" i="17"/>
  <c r="A951" i="17"/>
  <c r="Q951" i="17"/>
  <c r="A943" i="17"/>
  <c r="Q943" i="17"/>
  <c r="A935" i="17"/>
  <c r="Q935" i="17"/>
  <c r="A927" i="17"/>
  <c r="Q927" i="17"/>
  <c r="A919" i="17"/>
  <c r="Q919" i="17"/>
  <c r="A911" i="17"/>
  <c r="Q911" i="17"/>
  <c r="A903" i="17"/>
  <c r="Q903" i="17"/>
  <c r="A895" i="17"/>
  <c r="Q895" i="17"/>
  <c r="A887" i="17"/>
  <c r="Q887" i="17"/>
  <c r="A879" i="17"/>
  <c r="Q879" i="17"/>
  <c r="A871" i="17"/>
  <c r="Q871" i="17"/>
  <c r="A863" i="17"/>
  <c r="Q863" i="17"/>
  <c r="A855" i="17"/>
  <c r="Q855" i="17"/>
  <c r="A847" i="17"/>
  <c r="Q847" i="17"/>
  <c r="A839" i="17"/>
  <c r="Q839" i="17"/>
  <c r="A831" i="17"/>
  <c r="Q831" i="17"/>
  <c r="A823" i="17"/>
  <c r="Q823" i="17"/>
  <c r="A815" i="17"/>
  <c r="Q815" i="17"/>
  <c r="A807" i="17"/>
  <c r="Q807" i="17"/>
  <c r="A799" i="17"/>
  <c r="Q799" i="17"/>
  <c r="A791" i="17"/>
  <c r="Q791" i="17"/>
  <c r="A783" i="17"/>
  <c r="Q783" i="17"/>
  <c r="A775" i="17"/>
  <c r="Q775" i="17"/>
  <c r="A767" i="17"/>
  <c r="Q767" i="17"/>
  <c r="A759" i="17"/>
  <c r="Q759" i="17"/>
  <c r="A751" i="17"/>
  <c r="Q751" i="17"/>
  <c r="A743" i="17"/>
  <c r="Q743" i="17"/>
  <c r="A735" i="17"/>
  <c r="Q735" i="17"/>
  <c r="A727" i="17"/>
  <c r="Q727" i="17"/>
  <c r="A719" i="17"/>
  <c r="Q719" i="17"/>
  <c r="A711" i="17"/>
  <c r="Q711" i="17"/>
  <c r="A703" i="17"/>
  <c r="Q703" i="17"/>
  <c r="A695" i="17"/>
  <c r="Q695" i="17"/>
  <c r="A687" i="17"/>
  <c r="Q687" i="17"/>
  <c r="A679" i="17"/>
  <c r="Q679" i="17"/>
  <c r="A671" i="17"/>
  <c r="Q671" i="17"/>
  <c r="A663" i="17"/>
  <c r="Q663" i="17"/>
  <c r="A655" i="17"/>
  <c r="Q655" i="17"/>
  <c r="A647" i="17"/>
  <c r="Q647" i="17"/>
  <c r="A639" i="17"/>
  <c r="Q639" i="17"/>
  <c r="A631" i="17"/>
  <c r="Q631" i="17"/>
  <c r="A623" i="17"/>
  <c r="Q623" i="17"/>
  <c r="A615" i="17"/>
  <c r="Q615" i="17"/>
  <c r="A607" i="17"/>
  <c r="Q607" i="17"/>
  <c r="A599" i="17"/>
  <c r="Q599" i="17"/>
  <c r="A591" i="17"/>
  <c r="Q591" i="17"/>
  <c r="A583" i="17"/>
  <c r="Q583" i="17"/>
  <c r="A575" i="17"/>
  <c r="Q575" i="17"/>
  <c r="A567" i="17"/>
  <c r="Q567" i="17"/>
  <c r="A559" i="17"/>
  <c r="Q559" i="17"/>
  <c r="A551" i="17"/>
  <c r="Q551" i="17"/>
  <c r="A543" i="17"/>
  <c r="Q543" i="17"/>
  <c r="A535" i="17"/>
  <c r="Q535" i="17"/>
  <c r="A527" i="17"/>
  <c r="Q527" i="17"/>
  <c r="A519" i="17"/>
  <c r="Q519" i="17"/>
  <c r="A511" i="17"/>
  <c r="Q511" i="17"/>
  <c r="A503" i="17"/>
  <c r="Q503" i="17"/>
  <c r="A495" i="17"/>
  <c r="Q495" i="17"/>
  <c r="A487" i="17"/>
  <c r="Q487" i="17"/>
  <c r="A479" i="17"/>
  <c r="Q479" i="17"/>
  <c r="A471" i="17"/>
  <c r="Q471" i="17"/>
  <c r="A463" i="17"/>
  <c r="Q463" i="17"/>
  <c r="A455" i="17"/>
  <c r="Q455" i="17"/>
  <c r="A447" i="17"/>
  <c r="Q447" i="17"/>
  <c r="A439" i="17"/>
  <c r="Q439" i="17"/>
  <c r="A431" i="17"/>
  <c r="Q431" i="17"/>
  <c r="A423" i="17"/>
  <c r="Q423" i="17"/>
  <c r="A415" i="17"/>
  <c r="Q415" i="17"/>
  <c r="A407" i="17"/>
  <c r="Q407" i="17"/>
  <c r="A399" i="17"/>
  <c r="Q399" i="17"/>
  <c r="A391" i="17"/>
  <c r="Q391" i="17"/>
  <c r="A383" i="17"/>
  <c r="Q383" i="17"/>
  <c r="A375" i="17"/>
  <c r="Q375" i="17"/>
  <c r="A367" i="17"/>
  <c r="Q367" i="17"/>
  <c r="A359" i="17"/>
  <c r="Q359" i="17"/>
  <c r="A351" i="17"/>
  <c r="Q351" i="17"/>
  <c r="A343" i="17"/>
  <c r="Q343" i="17"/>
  <c r="A335" i="17"/>
  <c r="Q335" i="17"/>
  <c r="A327" i="17"/>
  <c r="Q327" i="17"/>
  <c r="A319" i="17"/>
  <c r="Q319" i="17"/>
  <c r="A311" i="17"/>
  <c r="Q311" i="17"/>
  <c r="A303" i="17"/>
  <c r="Q303" i="17"/>
  <c r="A295" i="17"/>
  <c r="Q295" i="17"/>
  <c r="A287" i="17"/>
  <c r="Q287" i="17"/>
  <c r="A279" i="17"/>
  <c r="Q279" i="17"/>
  <c r="A271" i="17"/>
  <c r="Q271" i="17"/>
  <c r="A263" i="17"/>
  <c r="Q263" i="17"/>
  <c r="A255" i="17"/>
  <c r="Q255" i="17"/>
  <c r="A247" i="17"/>
  <c r="Q247" i="17"/>
  <c r="A239" i="17"/>
  <c r="Q239" i="17"/>
  <c r="A231" i="17"/>
  <c r="Q231" i="17"/>
  <c r="A223" i="17"/>
  <c r="Q223" i="17"/>
  <c r="A215" i="17"/>
  <c r="Q215" i="17"/>
  <c r="A207" i="17"/>
  <c r="Q207" i="17"/>
  <c r="A199" i="17"/>
  <c r="Q199" i="17"/>
  <c r="A191" i="17"/>
  <c r="Q191" i="17"/>
  <c r="A183" i="17"/>
  <c r="Q183" i="17"/>
  <c r="A175" i="17"/>
  <c r="Q175" i="17"/>
  <c r="A167" i="17"/>
  <c r="Q167" i="17"/>
  <c r="A159" i="17"/>
  <c r="Q159" i="17"/>
  <c r="A151" i="17"/>
  <c r="Q151" i="17"/>
  <c r="A143" i="17"/>
  <c r="Q143" i="17"/>
  <c r="A135" i="17"/>
  <c r="Q135" i="17"/>
  <c r="A127" i="17"/>
  <c r="Q127" i="17"/>
  <c r="A119" i="17"/>
  <c r="Q119" i="17"/>
  <c r="A111" i="17"/>
  <c r="Q111" i="17"/>
  <c r="A103" i="17"/>
  <c r="Q103" i="17"/>
  <c r="A95" i="17"/>
  <c r="Q95" i="17"/>
  <c r="A87" i="17"/>
  <c r="Q87" i="17"/>
  <c r="A79" i="17"/>
  <c r="Q79" i="17"/>
  <c r="A71" i="17"/>
  <c r="Q71" i="17"/>
  <c r="A63" i="17"/>
  <c r="Q63" i="17"/>
  <c r="A55" i="17"/>
  <c r="Q55" i="17"/>
  <c r="A47" i="17"/>
  <c r="Q47" i="17"/>
  <c r="A39" i="17"/>
  <c r="Q39" i="17"/>
  <c r="A31" i="17"/>
  <c r="Q31" i="17"/>
  <c r="A23" i="17"/>
  <c r="Q23" i="17"/>
  <c r="A15" i="17"/>
  <c r="Q15" i="17"/>
  <c r="A7" i="17"/>
  <c r="Q7" i="17"/>
  <c r="Q3610" i="17"/>
  <c r="Q3527" i="17"/>
  <c r="Q3446" i="17"/>
  <c r="Q3295" i="17"/>
  <c r="Q3090" i="17"/>
  <c r="Q2865" i="17"/>
  <c r="Q2492" i="17"/>
  <c r="O500" i="17"/>
  <c r="O476" i="17"/>
  <c r="O448" i="17"/>
  <c r="O424" i="17"/>
  <c r="O400" i="17"/>
  <c r="O376" i="17"/>
  <c r="O348" i="17"/>
  <c r="O316" i="17"/>
  <c r="O284" i="17"/>
  <c r="O244" i="17"/>
  <c r="O212" i="17"/>
  <c r="O188" i="17"/>
  <c r="O160" i="17"/>
  <c r="O140" i="17"/>
  <c r="O120" i="17"/>
  <c r="O96" i="17"/>
  <c r="O76" i="17"/>
  <c r="O64" i="17"/>
  <c r="A3663" i="17"/>
  <c r="Q3663" i="17"/>
  <c r="A3631" i="17"/>
  <c r="Q3631" i="17"/>
  <c r="A3599" i="17"/>
  <c r="Q3599" i="17"/>
  <c r="A3559" i="17"/>
  <c r="Q3559" i="17"/>
  <c r="A3535" i="17"/>
  <c r="Q3535" i="17"/>
  <c r="A3503" i="17"/>
  <c r="Q3503" i="17"/>
  <c r="A3455" i="17"/>
  <c r="Q3455" i="17"/>
  <c r="A3423" i="17"/>
  <c r="Q3423" i="17"/>
  <c r="A3351" i="17"/>
  <c r="Q3351" i="17"/>
  <c r="A3311" i="17"/>
  <c r="Q3311" i="17"/>
  <c r="A3279" i="17"/>
  <c r="Q3279" i="17"/>
  <c r="A3231" i="17"/>
  <c r="Q3231" i="17"/>
  <c r="A3183" i="17"/>
  <c r="Q3183" i="17"/>
  <c r="A3151" i="17"/>
  <c r="Q3151" i="17"/>
  <c r="A3111" i="17"/>
  <c r="Q3111" i="17"/>
  <c r="A3087" i="17"/>
  <c r="Q3087" i="17"/>
  <c r="A3063" i="17"/>
  <c r="Q3063" i="17"/>
  <c r="A3031" i="17"/>
  <c r="Q3031" i="17"/>
  <c r="A3007" i="17"/>
  <c r="Q3007" i="17"/>
  <c r="A2991" i="17"/>
  <c r="Q2991" i="17"/>
  <c r="A2967" i="17"/>
  <c r="Q2967" i="17"/>
  <c r="A2935" i="17"/>
  <c r="Q2935" i="17"/>
  <c r="A2911" i="17"/>
  <c r="Q2911" i="17"/>
  <c r="A2895" i="17"/>
  <c r="Q2895" i="17"/>
  <c r="A2871" i="17"/>
  <c r="Q2871" i="17"/>
  <c r="A2839" i="17"/>
  <c r="Q2839" i="17"/>
  <c r="A2831" i="17"/>
  <c r="Q2831" i="17"/>
  <c r="A2807" i="17"/>
  <c r="Q2807" i="17"/>
  <c r="A2775" i="17"/>
  <c r="Q2775" i="17"/>
  <c r="A2743" i="17"/>
  <c r="Q2743" i="17"/>
  <c r="A2719" i="17"/>
  <c r="Q2719" i="17"/>
  <c r="A2695" i="17"/>
  <c r="Q2695" i="17"/>
  <c r="A2679" i="17"/>
  <c r="Q2679" i="17"/>
  <c r="A2639" i="17"/>
  <c r="Q2639" i="17"/>
  <c r="A2615" i="17"/>
  <c r="Q2615" i="17"/>
  <c r="A2583" i="17"/>
  <c r="Q2583" i="17"/>
  <c r="A2559" i="17"/>
  <c r="Q2559" i="17"/>
  <c r="A2543" i="17"/>
  <c r="Q2543" i="17"/>
  <c r="A2527" i="17"/>
  <c r="Q2527" i="17"/>
  <c r="A2391" i="17"/>
  <c r="Q2391" i="17"/>
  <c r="Q3591" i="17"/>
  <c r="Q2791" i="17"/>
  <c r="Q2380" i="17"/>
  <c r="A3685" i="17"/>
  <c r="Q3685" i="17"/>
  <c r="A3677" i="17"/>
  <c r="Q3677" i="17"/>
  <c r="A3669" i="17"/>
  <c r="Q3669" i="17"/>
  <c r="A3661" i="17"/>
  <c r="Q3661" i="17"/>
  <c r="A3653" i="17"/>
  <c r="Q3653" i="17"/>
  <c r="A3645" i="17"/>
  <c r="Q3645" i="17"/>
  <c r="A3637" i="17"/>
  <c r="Q3637" i="17"/>
  <c r="A3629" i="17"/>
  <c r="Q3629" i="17"/>
  <c r="A3621" i="17"/>
  <c r="Q3621" i="17"/>
  <c r="A3605" i="17"/>
  <c r="Q3605" i="17"/>
  <c r="A3597" i="17"/>
  <c r="Q3597" i="17"/>
  <c r="A3589" i="17"/>
  <c r="Q3589" i="17"/>
  <c r="A3581" i="17"/>
  <c r="Q3581" i="17"/>
  <c r="A3565" i="17"/>
  <c r="Q3565" i="17"/>
  <c r="A3557" i="17"/>
  <c r="Q3557" i="17"/>
  <c r="A3541" i="17"/>
  <c r="Q3541" i="17"/>
  <c r="A3525" i="17"/>
  <c r="Q3525" i="17"/>
  <c r="A3517" i="17"/>
  <c r="Q3517" i="17"/>
  <c r="A3501" i="17"/>
  <c r="Q3501" i="17"/>
  <c r="A3493" i="17"/>
  <c r="Q3493" i="17"/>
  <c r="A2077" i="17"/>
  <c r="Q2077" i="17"/>
  <c r="A3477" i="17"/>
  <c r="Q3477" i="17"/>
  <c r="A3461" i="17"/>
  <c r="Q3461" i="17"/>
  <c r="A3453" i="17"/>
  <c r="Q3453" i="17"/>
  <c r="A3445" i="17"/>
  <c r="Q3445" i="17"/>
  <c r="A3437" i="17"/>
  <c r="Q3437" i="17"/>
  <c r="A3429" i="17"/>
  <c r="Q3429" i="17"/>
  <c r="A3421" i="17"/>
  <c r="Q3421" i="17"/>
  <c r="A3413" i="17"/>
  <c r="Q3413" i="17"/>
  <c r="A3405" i="17"/>
  <c r="Q3405" i="17"/>
  <c r="A3397" i="17"/>
  <c r="Q3397" i="17"/>
  <c r="A3389" i="17"/>
  <c r="Q3389" i="17"/>
  <c r="A3381" i="17"/>
  <c r="Q3381" i="17"/>
  <c r="A3373" i="17"/>
  <c r="Q3373" i="17"/>
  <c r="A3365" i="17"/>
  <c r="Q3365" i="17"/>
  <c r="A3357" i="17"/>
  <c r="Q3357" i="17"/>
  <c r="Q3673" i="17"/>
  <c r="Q3590" i="17"/>
  <c r="Q3509" i="17"/>
  <c r="Q3425" i="17"/>
  <c r="Q3245" i="17"/>
  <c r="Q3039" i="17"/>
  <c r="Q2785" i="17"/>
  <c r="O496" i="17"/>
  <c r="O468" i="17"/>
  <c r="O440" i="17"/>
  <c r="O420" i="17"/>
  <c r="O392" i="17"/>
  <c r="O368" i="17"/>
  <c r="O340" i="17"/>
  <c r="O312" i="17"/>
  <c r="O276" i="17"/>
  <c r="O236" i="17"/>
  <c r="O208" i="17"/>
  <c r="O184" i="17"/>
  <c r="O156" i="17"/>
  <c r="O136" i="17"/>
  <c r="O116" i="17"/>
  <c r="O92" i="17"/>
  <c r="O80" i="17"/>
  <c r="O60" i="17"/>
  <c r="A3583" i="17"/>
  <c r="Q3583" i="17"/>
  <c r="A2" i="17"/>
  <c r="Q2" i="17"/>
  <c r="Q1521" i="17"/>
  <c r="Q1738" i="17"/>
  <c r="Q1918" i="17"/>
  <c r="Q1531" i="17"/>
  <c r="Q1747" i="17"/>
  <c r="Q1929" i="17"/>
  <c r="A3684" i="17"/>
  <c r="Q3684" i="17"/>
  <c r="A3676" i="17"/>
  <c r="Q3676" i="17"/>
  <c r="A3668" i="17"/>
  <c r="Q3668" i="17"/>
  <c r="A3660" i="17"/>
  <c r="Q3660" i="17"/>
  <c r="A3652" i="17"/>
  <c r="Q3652" i="17"/>
  <c r="A3644" i="17"/>
  <c r="Q3644" i="17"/>
  <c r="A3636" i="17"/>
  <c r="Q3636" i="17"/>
  <c r="A3628" i="17"/>
  <c r="Q3628" i="17"/>
  <c r="A3620" i="17"/>
  <c r="Q3620" i="17"/>
  <c r="A3612" i="17"/>
  <c r="Q3612" i="17"/>
  <c r="A3604" i="17"/>
  <c r="Q3604" i="17"/>
  <c r="A3596" i="17"/>
  <c r="Q3596" i="17"/>
  <c r="A3588" i="17"/>
  <c r="Q3588" i="17"/>
  <c r="A3580" i="17"/>
  <c r="Q3580" i="17"/>
  <c r="A3572" i="17"/>
  <c r="Q3572" i="17"/>
  <c r="A3564" i="17"/>
  <c r="Q3564" i="17"/>
  <c r="A3556" i="17"/>
  <c r="Q3556" i="17"/>
  <c r="A3548" i="17"/>
  <c r="Q3548" i="17"/>
  <c r="A3540" i="17"/>
  <c r="Q3540" i="17"/>
  <c r="A3532" i="17"/>
  <c r="Q3532" i="17"/>
  <c r="A3524" i="17"/>
  <c r="Q3524" i="17"/>
  <c r="A3516" i="17"/>
  <c r="Q3516" i="17"/>
  <c r="Q3508" i="17"/>
  <c r="A3508" i="17"/>
  <c r="A3500" i="17"/>
  <c r="Q3500" i="17"/>
  <c r="A2368" i="17"/>
  <c r="Q2368" i="17"/>
  <c r="A3484" i="17"/>
  <c r="Q3484" i="17"/>
  <c r="A3476" i="17"/>
  <c r="Q3476" i="17"/>
  <c r="A3468" i="17"/>
  <c r="Q3468" i="17"/>
  <c r="A3460" i="17"/>
  <c r="Q3460" i="17"/>
  <c r="Q3452" i="17"/>
  <c r="Q3654" i="17"/>
  <c r="Q3573" i="17"/>
  <c r="Q2081" i="17"/>
  <c r="Q3399" i="17"/>
  <c r="Q3194" i="17"/>
  <c r="Q2707" i="17"/>
  <c r="Q2254" i="17"/>
  <c r="A3691" i="17"/>
  <c r="Q3691" i="17"/>
  <c r="A3683" i="17"/>
  <c r="Q3683" i="17"/>
  <c r="A3675" i="17"/>
  <c r="Q3675" i="17"/>
  <c r="A3667" i="17"/>
  <c r="Q3667" i="17"/>
  <c r="A3659" i="17"/>
  <c r="Q3659" i="17"/>
  <c r="A3651" i="17"/>
  <c r="Q3651" i="17"/>
  <c r="A3643" i="17"/>
  <c r="Q3643" i="17"/>
  <c r="A3635" i="17"/>
  <c r="Q3635" i="17"/>
  <c r="A3627" i="17"/>
  <c r="Q3627" i="17"/>
  <c r="A3619" i="17"/>
  <c r="Q3619" i="17"/>
  <c r="A3611" i="17"/>
  <c r="Q3611" i="17"/>
  <c r="A3603" i="17"/>
  <c r="Q3603" i="17"/>
  <c r="A3595" i="17"/>
  <c r="Q3595" i="17"/>
  <c r="A3587" i="17"/>
  <c r="Q3587" i="17"/>
  <c r="A3579" i="17"/>
  <c r="Q3579" i="17"/>
  <c r="A3571" i="17"/>
  <c r="Q3571" i="17"/>
  <c r="A3563" i="17"/>
  <c r="Q3563" i="17"/>
  <c r="A3555" i="17"/>
  <c r="Q3555" i="17"/>
  <c r="Q3650" i="17"/>
  <c r="Q3570" i="17"/>
  <c r="Q2079" i="17"/>
  <c r="Q3398" i="17"/>
  <c r="Q3193" i="17"/>
  <c r="Q2983" i="17"/>
  <c r="Q2249" i="17"/>
  <c r="O512" i="17"/>
  <c r="O504" i="17"/>
  <c r="O488" i="17"/>
  <c r="O484" i="17"/>
  <c r="O472" i="17"/>
  <c r="O460" i="17"/>
  <c r="O452" i="17"/>
  <c r="O436" i="17"/>
  <c r="O428" i="17"/>
  <c r="O416" i="17"/>
  <c r="O408" i="17"/>
  <c r="O404" i="17"/>
  <c r="O388" i="17"/>
  <c r="O380" i="17"/>
  <c r="O364" i="17"/>
  <c r="O356" i="17"/>
  <c r="O344" i="17"/>
  <c r="O332" i="17"/>
  <c r="O324" i="17"/>
  <c r="O308" i="17"/>
  <c r="O300" i="17"/>
  <c r="O292" i="17"/>
  <c r="O280" i="17"/>
  <c r="O268" i="17"/>
  <c r="O260" i="17"/>
  <c r="O256" i="17"/>
  <c r="O248" i="17"/>
  <c r="O232" i="17"/>
  <c r="O224" i="17"/>
  <c r="O216" i="17"/>
  <c r="O200" i="17"/>
  <c r="O192" i="17"/>
  <c r="O176" i="17"/>
  <c r="O172" i="17"/>
  <c r="O164" i="17"/>
  <c r="O148" i="17"/>
  <c r="O132" i="17"/>
  <c r="O124" i="17"/>
  <c r="O112" i="17"/>
  <c r="O104" i="17"/>
  <c r="O88" i="17"/>
  <c r="O72" i="17"/>
  <c r="A3687" i="17"/>
  <c r="Q3687" i="17"/>
  <c r="A3671" i="17"/>
  <c r="Q3671" i="17"/>
  <c r="A3647" i="17"/>
  <c r="Q3647" i="17"/>
  <c r="A3615" i="17"/>
  <c r="Q3615" i="17"/>
  <c r="A3567" i="17"/>
  <c r="Q3567" i="17"/>
  <c r="A3543" i="17"/>
  <c r="Q3543" i="17"/>
  <c r="A3519" i="17"/>
  <c r="Q3519" i="17"/>
  <c r="A3495" i="17"/>
  <c r="Q3495" i="17"/>
  <c r="A3479" i="17"/>
  <c r="Q3479" i="17"/>
  <c r="A3463" i="17"/>
  <c r="Q3463" i="17"/>
  <c r="A3431" i="17"/>
  <c r="Q3431" i="17"/>
  <c r="A3407" i="17"/>
  <c r="Q3407" i="17"/>
  <c r="A3383" i="17"/>
  <c r="Q3383" i="17"/>
  <c r="A3367" i="17"/>
  <c r="Q3367" i="17"/>
  <c r="A3343" i="17"/>
  <c r="Q3343" i="17"/>
  <c r="A3327" i="17"/>
  <c r="Q3327" i="17"/>
  <c r="A3303" i="17"/>
  <c r="Q3303" i="17"/>
  <c r="A3287" i="17"/>
  <c r="Q3287" i="17"/>
  <c r="A3263" i="17"/>
  <c r="Q3263" i="17"/>
  <c r="A3247" i="17"/>
  <c r="Q3247" i="17"/>
  <c r="A3223" i="17"/>
  <c r="Q3223" i="17"/>
  <c r="A3207" i="17"/>
  <c r="Q3207" i="17"/>
  <c r="A3191" i="17"/>
  <c r="Q3191" i="17"/>
  <c r="A3175" i="17"/>
  <c r="Q3175" i="17"/>
  <c r="A3159" i="17"/>
  <c r="Q3159" i="17"/>
  <c r="A3135" i="17"/>
  <c r="Q3135" i="17"/>
  <c r="A3119" i="17"/>
  <c r="Q3119" i="17"/>
  <c r="A3047" i="17"/>
  <c r="Q3047" i="17"/>
  <c r="A3452" i="17"/>
  <c r="Q3634" i="17"/>
  <c r="Q3551" i="17"/>
  <c r="Q3470" i="17"/>
  <c r="Q3349" i="17"/>
  <c r="Q3143" i="17"/>
  <c r="Q2924" i="17"/>
  <c r="Q2607" i="17"/>
  <c r="Q2090" i="17"/>
  <c r="Q3630" i="17"/>
  <c r="Q3549" i="17"/>
  <c r="Q3469" i="17"/>
  <c r="Q3346" i="17"/>
  <c r="Q3142" i="17"/>
  <c r="Q2923" i="17"/>
  <c r="Q2601" i="17"/>
  <c r="Q2083" i="17"/>
  <c r="A3678" i="17"/>
  <c r="Q3678" i="17"/>
  <c r="A3670" i="17"/>
  <c r="Q3670" i="17"/>
  <c r="A3646" i="17"/>
  <c r="Q3646" i="17"/>
  <c r="A3614" i="17"/>
  <c r="Q3614" i="17"/>
  <c r="A3606" i="17"/>
  <c r="Q3606" i="17"/>
  <c r="A3582" i="17"/>
  <c r="Q3582" i="17"/>
  <c r="A3550" i="17"/>
  <c r="Q3550" i="17"/>
  <c r="A3542" i="17"/>
  <c r="Q3542" i="17"/>
  <c r="A3518" i="17"/>
  <c r="Q3518" i="17"/>
  <c r="A2078" i="17"/>
  <c r="Q2078" i="17"/>
  <c r="A3478" i="17"/>
  <c r="Q3478" i="17"/>
  <c r="A3454" i="17"/>
  <c r="Q3454" i="17"/>
  <c r="Q3422" i="17"/>
  <c r="A3414" i="17"/>
  <c r="Q3414" i="17"/>
  <c r="A3406" i="17"/>
  <c r="Q3406" i="17"/>
  <c r="A3390" i="17"/>
  <c r="Q3390" i="17"/>
  <c r="A3382" i="17"/>
  <c r="Q3382" i="17"/>
  <c r="A3366" i="17"/>
  <c r="Q3366" i="17"/>
  <c r="A3358" i="17"/>
  <c r="Q3358" i="17"/>
  <c r="A3350" i="17"/>
  <c r="Q3350" i="17"/>
  <c r="A3342" i="17"/>
  <c r="Q3342" i="17"/>
  <c r="A3326" i="17"/>
  <c r="Q3326" i="17"/>
  <c r="A3318" i="17"/>
  <c r="Q3318" i="17"/>
  <c r="A3302" i="17"/>
  <c r="Q3302" i="17"/>
  <c r="A3294" i="17"/>
  <c r="Q3294" i="17"/>
  <c r="A3286" i="17"/>
  <c r="Q3286" i="17"/>
  <c r="A3278" i="17"/>
  <c r="Q3278" i="17"/>
  <c r="A3262" i="17"/>
  <c r="Q3262" i="17"/>
  <c r="A3254" i="17"/>
  <c r="Q3254" i="17"/>
  <c r="A3238" i="17"/>
  <c r="Q3238" i="17"/>
  <c r="A3230" i="17"/>
  <c r="Q3230" i="17"/>
  <c r="A3222" i="17"/>
  <c r="Q3222" i="17"/>
  <c r="A3214" i="17"/>
  <c r="Q3214" i="17"/>
  <c r="A3198" i="17"/>
  <c r="Q3198" i="17"/>
  <c r="A3190" i="17"/>
  <c r="Q3190" i="17"/>
  <c r="A3174" i="17"/>
  <c r="Q3174" i="17"/>
  <c r="A3166" i="17"/>
  <c r="Q3166" i="17"/>
  <c r="A3158" i="17"/>
  <c r="Q3158" i="17"/>
  <c r="A3150" i="17"/>
  <c r="Q3150" i="17"/>
  <c r="A3134" i="17"/>
  <c r="Q3134" i="17"/>
  <c r="A3126" i="17"/>
  <c r="Q3126" i="17"/>
  <c r="A3110" i="17"/>
  <c r="Q3110" i="17"/>
  <c r="A3102" i="17"/>
  <c r="Q3102" i="17"/>
  <c r="A3094" i="17"/>
  <c r="Q3094" i="17"/>
  <c r="A3086" i="17"/>
  <c r="Q3086" i="17"/>
  <c r="A3070" i="17"/>
  <c r="Q3070" i="17"/>
  <c r="A3062" i="17"/>
  <c r="Q3062" i="17"/>
  <c r="A3046" i="17"/>
  <c r="Q3046" i="17"/>
  <c r="A3038" i="17"/>
  <c r="Q3038" i="17"/>
  <c r="A3030" i="17"/>
  <c r="Q3030" i="17"/>
  <c r="A3022" i="17"/>
  <c r="Q3022" i="17"/>
  <c r="A3014" i="17"/>
  <c r="Q3014" i="17"/>
  <c r="A3006" i="17"/>
  <c r="Q3006" i="17"/>
  <c r="A2990" i="17"/>
  <c r="Q2990" i="17"/>
  <c r="A2982" i="17"/>
  <c r="Q2982" i="17"/>
  <c r="A2974" i="17"/>
  <c r="Q2974" i="17"/>
  <c r="A2966" i="17"/>
  <c r="Q2966" i="17"/>
  <c r="A2958" i="17"/>
  <c r="Q2958" i="17"/>
  <c r="A2950" i="17"/>
  <c r="Q2950" i="17"/>
  <c r="A2942" i="17"/>
  <c r="Q2942" i="17"/>
  <c r="A2934" i="17"/>
  <c r="Q2934" i="17"/>
  <c r="A2926" i="17"/>
  <c r="Q2926" i="17"/>
  <c r="A2918" i="17"/>
  <c r="Q2918" i="17"/>
  <c r="A2902" i="17"/>
  <c r="Q2902" i="17"/>
  <c r="A2886" i="17"/>
  <c r="Q2886" i="17"/>
  <c r="A2878" i="17"/>
  <c r="Q2878" i="17"/>
  <c r="A2870" i="17"/>
  <c r="Q2870" i="17"/>
  <c r="A2862" i="17"/>
  <c r="Q2862" i="17"/>
  <c r="A2854" i="17"/>
  <c r="Q2854" i="17"/>
  <c r="A2846" i="17"/>
  <c r="Q2846" i="17"/>
  <c r="A2838" i="17"/>
  <c r="Q2838" i="17"/>
  <c r="A2830" i="17"/>
  <c r="Q2830" i="17"/>
  <c r="A2822" i="17"/>
  <c r="Q2822" i="17"/>
  <c r="A2814" i="17"/>
  <c r="Q2814" i="17"/>
  <c r="A2806" i="17"/>
  <c r="Q2806" i="17"/>
  <c r="A2798" i="17"/>
  <c r="Q2798" i="17"/>
  <c r="A2790" i="17"/>
  <c r="Q2790" i="17"/>
  <c r="A2782" i="17"/>
  <c r="Q2782" i="17"/>
  <c r="A2774" i="17"/>
  <c r="Q2774" i="17"/>
  <c r="A2766" i="17"/>
  <c r="Q2766" i="17"/>
  <c r="A2758" i="17"/>
  <c r="Q2758" i="17"/>
  <c r="A2750" i="17"/>
  <c r="Q2750" i="17"/>
  <c r="A2742" i="17"/>
  <c r="Q2742" i="17"/>
  <c r="A2734" i="17"/>
  <c r="Q2734" i="17"/>
  <c r="A2726" i="17"/>
  <c r="Q2726" i="17"/>
  <c r="A2718" i="17"/>
  <c r="Q2718" i="17"/>
  <c r="A2710" i="17"/>
  <c r="Q2710" i="17"/>
  <c r="A2702" i="17"/>
  <c r="Q2702" i="17"/>
  <c r="A2694" i="17"/>
  <c r="Q2694" i="17"/>
  <c r="A2686" i="17"/>
  <c r="Q2686" i="17"/>
  <c r="Q2678" i="17"/>
  <c r="A2670" i="17"/>
  <c r="Q2670" i="17"/>
  <c r="A2662" i="17"/>
  <c r="Q2662" i="17"/>
  <c r="A2654" i="17"/>
  <c r="Q2654" i="17"/>
  <c r="A2646" i="17"/>
  <c r="Q2646" i="17"/>
  <c r="A2638" i="17"/>
  <c r="Q2638" i="17"/>
  <c r="A2630" i="17"/>
  <c r="Q2630" i="17"/>
  <c r="A2622" i="17"/>
  <c r="Q2622" i="17"/>
  <c r="A2614" i="17"/>
  <c r="Q2614" i="17"/>
  <c r="A2606" i="17"/>
  <c r="Q2606" i="17"/>
  <c r="A2598" i="17"/>
  <c r="Q2598" i="17"/>
  <c r="A2590" i="17"/>
  <c r="Q2590" i="17"/>
  <c r="A2582" i="17"/>
  <c r="Q2582" i="17"/>
  <c r="A2574" i="17"/>
  <c r="Q2574" i="17"/>
  <c r="A2560" i="17"/>
  <c r="Q2560" i="17"/>
  <c r="A2558" i="17"/>
  <c r="Q2558" i="17"/>
  <c r="A2550" i="17"/>
  <c r="Q2550" i="17"/>
  <c r="A2542" i="17"/>
  <c r="Q2542" i="17"/>
  <c r="A2534" i="17"/>
  <c r="Q2534" i="17"/>
  <c r="A2518" i="17"/>
  <c r="Q2518" i="17"/>
  <c r="A2510" i="17"/>
  <c r="Q2510" i="17"/>
  <c r="A2502" i="17"/>
  <c r="Q2502" i="17"/>
  <c r="A2494" i="17"/>
  <c r="Q2494" i="17"/>
  <c r="A2486" i="17"/>
  <c r="Q2486" i="17"/>
  <c r="A2478" i="17"/>
  <c r="Q2478" i="17"/>
  <c r="A2470" i="17"/>
  <c r="Q2470" i="17"/>
  <c r="A2448" i="17"/>
  <c r="Q2448" i="17"/>
  <c r="A2446" i="17"/>
  <c r="Q2446" i="17"/>
  <c r="A2430" i="17"/>
  <c r="Q2430" i="17"/>
  <c r="A2422" i="17"/>
  <c r="Q2422" i="17"/>
  <c r="A2414" i="17"/>
  <c r="Q2414" i="17"/>
  <c r="A2406" i="17"/>
  <c r="Q2406" i="17"/>
  <c r="A2398" i="17"/>
  <c r="Q2398" i="17"/>
  <c r="A2390" i="17"/>
  <c r="Q2390" i="17"/>
  <c r="A2382" i="17"/>
  <c r="Q2382" i="17"/>
  <c r="A2022" i="17"/>
  <c r="Q2022" i="17"/>
  <c r="A2358" i="17"/>
  <c r="Q2358" i="17"/>
  <c r="A2350" i="17"/>
  <c r="Q2350" i="17"/>
  <c r="A2342" i="17"/>
  <c r="Q2342" i="17"/>
  <c r="A2334" i="17"/>
  <c r="Q2334" i="17"/>
  <c r="A2326" i="17"/>
  <c r="Q2326" i="17"/>
  <c r="A2318" i="17"/>
  <c r="Q2318" i="17"/>
  <c r="A2310" i="17"/>
  <c r="Q2310" i="17"/>
  <c r="A2302" i="17"/>
  <c r="Q2302" i="17"/>
  <c r="A2294" i="17"/>
  <c r="Q2294" i="17"/>
  <c r="A2286" i="17"/>
  <c r="Q2286" i="17"/>
  <c r="A2278" i="17"/>
  <c r="Q2278" i="17"/>
  <c r="A2270" i="17"/>
  <c r="Q2270" i="17"/>
  <c r="A2262" i="17"/>
  <c r="Q2262" i="17"/>
  <c r="A2246" i="17"/>
  <c r="Q2246" i="17"/>
  <c r="A2238" i="17"/>
  <c r="Q2238" i="17"/>
  <c r="A2230" i="17"/>
  <c r="Q2230" i="17"/>
  <c r="A2222" i="17"/>
  <c r="Q2222" i="17"/>
  <c r="A2214" i="17"/>
  <c r="Q2214" i="17"/>
  <c r="A2206" i="17"/>
  <c r="Q2206" i="17"/>
  <c r="A2198" i="17"/>
  <c r="Q2198" i="17"/>
  <c r="A2190" i="17"/>
  <c r="Q2190" i="17"/>
  <c r="A2182" i="17"/>
  <c r="Q2182" i="17"/>
  <c r="A2174" i="17"/>
  <c r="Q2174" i="17"/>
  <c r="A2166" i="17"/>
  <c r="Q2166" i="17"/>
  <c r="A2158" i="17"/>
  <c r="Q2158" i="17"/>
  <c r="A2150" i="17"/>
  <c r="Q2150" i="17"/>
  <c r="A2142" i="17"/>
  <c r="Q2142" i="17"/>
  <c r="A2134" i="17"/>
  <c r="Q2134" i="17"/>
  <c r="A2126" i="17"/>
  <c r="Q2126" i="17"/>
  <c r="A2118" i="17"/>
  <c r="Q2118" i="17"/>
  <c r="A2110" i="17"/>
  <c r="Q2110" i="17"/>
  <c r="A2102" i="17"/>
  <c r="Q2102" i="17"/>
  <c r="A2094" i="17"/>
  <c r="Q2094" i="17"/>
  <c r="A2086" i="17"/>
  <c r="Q2086" i="17"/>
  <c r="A3487" i="17"/>
  <c r="Q3487" i="17"/>
  <c r="A2070" i="17"/>
  <c r="Q2070" i="17"/>
  <c r="A2062" i="17"/>
  <c r="Q2062" i="17"/>
  <c r="A2054" i="17"/>
  <c r="Q2054" i="17"/>
  <c r="A2046" i="17"/>
  <c r="Q2046" i="17"/>
  <c r="A2038" i="17"/>
  <c r="Q2038" i="17"/>
  <c r="A1572" i="17"/>
  <c r="Q1572" i="17"/>
  <c r="A1564" i="17"/>
  <c r="Q1564" i="17"/>
  <c r="A2014" i="17"/>
  <c r="Q2014" i="17"/>
  <c r="A2006" i="17"/>
  <c r="Q2006" i="17"/>
  <c r="A1998" i="17"/>
  <c r="Q1998" i="17"/>
  <c r="A1990" i="17"/>
  <c r="Q1990" i="17"/>
  <c r="A1982" i="17"/>
  <c r="Q1982" i="17"/>
  <c r="A1974" i="17"/>
  <c r="Q1974" i="17"/>
  <c r="A1966" i="17"/>
  <c r="Q1966" i="17"/>
  <c r="A1958" i="17"/>
  <c r="Q1958" i="17"/>
  <c r="A1950" i="17"/>
  <c r="Q1950" i="17"/>
  <c r="A1942" i="17"/>
  <c r="Q1942" i="17"/>
  <c r="A1934" i="17"/>
  <c r="Q1934" i="17"/>
  <c r="A1926" i="17"/>
  <c r="Q1926" i="17"/>
  <c r="A1910" i="17"/>
  <c r="Q1910" i="17"/>
  <c r="A1902" i="17"/>
  <c r="Q1902" i="17"/>
  <c r="A1894" i="17"/>
  <c r="Q1894" i="17"/>
  <c r="A1886" i="17"/>
  <c r="Q1886" i="17"/>
  <c r="A1870" i="17"/>
  <c r="Q1870" i="17"/>
  <c r="A1862" i="17"/>
  <c r="Q1862" i="17"/>
  <c r="A1854" i="17"/>
  <c r="Q1854" i="17"/>
  <c r="A1846" i="17"/>
  <c r="Q1846" i="17"/>
  <c r="A1838" i="17"/>
  <c r="Q1838" i="17"/>
  <c r="A1830" i="17"/>
  <c r="Q1830" i="17"/>
  <c r="A1822" i="17"/>
  <c r="Q1822" i="17"/>
  <c r="A1814" i="17"/>
  <c r="Q1814" i="17"/>
  <c r="A1806" i="17"/>
  <c r="Q1806" i="17"/>
  <c r="A1798" i="17"/>
  <c r="Q1798" i="17"/>
  <c r="A1790" i="17"/>
  <c r="Q1790" i="17"/>
  <c r="A1782" i="17"/>
  <c r="Q1782" i="17"/>
  <c r="A1774" i="17"/>
  <c r="Q1774" i="17"/>
  <c r="A1766" i="17"/>
  <c r="Q1766" i="17"/>
  <c r="A1758" i="17"/>
  <c r="Q1758" i="17"/>
  <c r="A1750" i="17"/>
  <c r="Q1750" i="17"/>
  <c r="A1742" i="17"/>
  <c r="Q1742" i="17"/>
  <c r="A1734" i="17"/>
  <c r="Q1734" i="17"/>
  <c r="A1726" i="17"/>
  <c r="Q1726" i="17"/>
  <c r="A1718" i="17"/>
  <c r="Q1718" i="17"/>
  <c r="A1710" i="17"/>
  <c r="Q1710" i="17"/>
  <c r="A1702" i="17"/>
  <c r="Q1702" i="17"/>
  <c r="A1694" i="17"/>
  <c r="Q1694" i="17"/>
  <c r="A1686" i="17"/>
  <c r="Q1686" i="17"/>
  <c r="A1678" i="17"/>
  <c r="Q1678" i="17"/>
  <c r="A1670" i="17"/>
  <c r="Q1670" i="17"/>
  <c r="A1662" i="17"/>
  <c r="Q1662" i="17"/>
  <c r="A1654" i="17"/>
  <c r="Q1654" i="17"/>
  <c r="A1646" i="17"/>
  <c r="Q1646" i="17"/>
  <c r="A1638" i="17"/>
  <c r="Q1638" i="17"/>
  <c r="A1630" i="17"/>
  <c r="Q1630" i="17"/>
  <c r="A1622" i="17"/>
  <c r="Q1622" i="17"/>
  <c r="A1614" i="17"/>
  <c r="Q1614" i="17"/>
  <c r="A1606" i="17"/>
  <c r="Q1606" i="17"/>
  <c r="A1598" i="17"/>
  <c r="Q1598" i="17"/>
  <c r="A1590" i="17"/>
  <c r="Q1590" i="17"/>
  <c r="A1582" i="17"/>
  <c r="Q1582" i="17"/>
  <c r="A1574" i="17"/>
  <c r="Q1574" i="17"/>
  <c r="A2565" i="17"/>
  <c r="Q2565" i="17"/>
  <c r="A1558" i="17"/>
  <c r="Q1558" i="17"/>
  <c r="A1550" i="17"/>
  <c r="Q1550" i="17"/>
  <c r="A1542" i="17"/>
  <c r="Q1542" i="17"/>
  <c r="A1534" i="17"/>
  <c r="Q1534" i="17"/>
  <c r="A1526" i="17"/>
  <c r="Q1526" i="17"/>
  <c r="A1518" i="17"/>
  <c r="Q1518" i="17"/>
  <c r="A1510" i="17"/>
  <c r="Q1510" i="17"/>
  <c r="A1502" i="17"/>
  <c r="Q1502" i="17"/>
  <c r="A1494" i="17"/>
  <c r="Q1494" i="17"/>
  <c r="A1486" i="17"/>
  <c r="Q1486" i="17"/>
  <c r="A1478" i="17"/>
  <c r="Q1478" i="17"/>
  <c r="A1470" i="17"/>
  <c r="Q1470" i="17"/>
  <c r="A1462" i="17"/>
  <c r="Q1462" i="17"/>
  <c r="A1454" i="17"/>
  <c r="Q1454" i="17"/>
  <c r="A1446" i="17"/>
  <c r="Q1446" i="17"/>
  <c r="A1438" i="17"/>
  <c r="Q1438" i="17"/>
  <c r="A1430" i="17"/>
  <c r="Q1430" i="17"/>
  <c r="A1422" i="17"/>
  <c r="Q1422" i="17"/>
  <c r="A1414" i="17"/>
  <c r="Q1414" i="17"/>
  <c r="A1406" i="17"/>
  <c r="Q1406" i="17"/>
  <c r="A1398" i="17"/>
  <c r="Q1398" i="17"/>
  <c r="A1390" i="17"/>
  <c r="Q1390" i="17"/>
  <c r="A1382" i="17"/>
  <c r="Q1382" i="17"/>
  <c r="A1374" i="17"/>
  <c r="Q1374" i="17"/>
  <c r="A1366" i="17"/>
  <c r="Q1366" i="17"/>
  <c r="A1358" i="17"/>
  <c r="Q1358" i="17"/>
  <c r="A1350" i="17"/>
  <c r="Q1350" i="17"/>
  <c r="A1342" i="17"/>
  <c r="Q1342" i="17"/>
  <c r="A1334" i="17"/>
  <c r="Q1334" i="17"/>
  <c r="A1326" i="17"/>
  <c r="Q1326" i="17"/>
  <c r="A1318" i="17"/>
  <c r="Q1318" i="17"/>
  <c r="A1310" i="17"/>
  <c r="Q1310" i="17"/>
  <c r="A1302" i="17"/>
  <c r="Q1302" i="17"/>
  <c r="A1294" i="17"/>
  <c r="Q1294" i="17"/>
  <c r="A1286" i="17"/>
  <c r="Q1286" i="17"/>
  <c r="A1278" i="17"/>
  <c r="Q1278" i="17"/>
  <c r="A1270" i="17"/>
  <c r="Q1270" i="17"/>
  <c r="A1262" i="17"/>
  <c r="Q1262" i="17"/>
  <c r="A1254" i="17"/>
  <c r="Q1254" i="17"/>
  <c r="A1246" i="17"/>
  <c r="Q1246" i="17"/>
  <c r="A1238" i="17"/>
  <c r="Q1238" i="17"/>
  <c r="A1230" i="17"/>
  <c r="Q1230" i="17"/>
  <c r="A1222" i="17"/>
  <c r="Q1222" i="17"/>
  <c r="A1214" i="17"/>
  <c r="Q1214" i="17"/>
  <c r="A1206" i="17"/>
  <c r="Q1206" i="17"/>
  <c r="A1198" i="17"/>
  <c r="Q1198" i="17"/>
  <c r="A1190" i="17"/>
  <c r="Q1190" i="17"/>
  <c r="A1182" i="17"/>
  <c r="Q1182" i="17"/>
  <c r="A1174" i="17"/>
  <c r="Q1174" i="17"/>
  <c r="A1166" i="17"/>
  <c r="Q1166" i="17"/>
  <c r="A1158" i="17"/>
  <c r="Q1158" i="17"/>
  <c r="A1150" i="17"/>
  <c r="Q1150" i="17"/>
  <c r="A1142" i="17"/>
  <c r="Q1142" i="17"/>
  <c r="A1134" i="17"/>
  <c r="Q1134" i="17"/>
  <c r="A1126" i="17"/>
  <c r="Q1126" i="17"/>
  <c r="A1118" i="17"/>
  <c r="Q1118" i="17"/>
  <c r="A1110" i="17"/>
  <c r="Q1110" i="17"/>
  <c r="A1102" i="17"/>
  <c r="Q1102" i="17"/>
  <c r="Q1094" i="17"/>
  <c r="A1094" i="17"/>
  <c r="A1086" i="17"/>
  <c r="Q1086" i="17"/>
  <c r="A1078" i="17"/>
  <c r="Q1078" i="17"/>
  <c r="A1070" i="17"/>
  <c r="Q1070" i="17"/>
  <c r="A1062" i="17"/>
  <c r="Q1062" i="17"/>
  <c r="A1054" i="17"/>
  <c r="Q1054" i="17"/>
  <c r="A1046" i="17"/>
  <c r="Q1046" i="17"/>
  <c r="A1038" i="17"/>
  <c r="Q1038" i="17"/>
  <c r="A1030" i="17"/>
  <c r="Q1030" i="17"/>
  <c r="A1022" i="17"/>
  <c r="Q1022" i="17"/>
  <c r="A1014" i="17"/>
  <c r="Q1014" i="17"/>
  <c r="A1006" i="17"/>
  <c r="Q1006" i="17"/>
  <c r="A998" i="17"/>
  <c r="Q998" i="17"/>
  <c r="A990" i="17"/>
  <c r="Q990" i="17"/>
  <c r="A982" i="17"/>
  <c r="Q982" i="17"/>
  <c r="A974" i="17"/>
  <c r="Q974" i="17"/>
  <c r="A966" i="17"/>
  <c r="Q966" i="17"/>
  <c r="A958" i="17"/>
  <c r="Q958" i="17"/>
  <c r="A950" i="17"/>
  <c r="Q950" i="17"/>
  <c r="A942" i="17"/>
  <c r="Q942" i="17"/>
  <c r="A934" i="17"/>
  <c r="Q934" i="17"/>
  <c r="A926" i="17"/>
  <c r="Q926" i="17"/>
  <c r="A918" i="17"/>
  <c r="Q918" i="17"/>
  <c r="A910" i="17"/>
  <c r="Q910" i="17"/>
  <c r="A902" i="17"/>
  <c r="Q902" i="17"/>
  <c r="A894" i="17"/>
  <c r="Q894" i="17"/>
  <c r="A886" i="17"/>
  <c r="Q886" i="17"/>
  <c r="A878" i="17"/>
  <c r="Q878" i="17"/>
  <c r="A870" i="17"/>
  <c r="Q870" i="17"/>
  <c r="A862" i="17"/>
  <c r="Q862" i="17"/>
  <c r="A854" i="17"/>
  <c r="Q854" i="17"/>
  <c r="A846" i="17"/>
  <c r="Q846" i="17"/>
  <c r="A838" i="17"/>
  <c r="Q838" i="17"/>
  <c r="A830" i="17"/>
  <c r="Q830" i="17"/>
  <c r="A822" i="17"/>
  <c r="Q822" i="17"/>
  <c r="A814" i="17"/>
  <c r="Q814" i="17"/>
  <c r="A806" i="17"/>
  <c r="Q806" i="17"/>
  <c r="A798" i="17"/>
  <c r="Q798" i="17"/>
  <c r="A790" i="17"/>
  <c r="Q790" i="17"/>
  <c r="A782" i="17"/>
  <c r="Q782" i="17"/>
  <c r="A774" i="17"/>
  <c r="Q774" i="17"/>
  <c r="A766" i="17"/>
  <c r="Q766" i="17"/>
  <c r="A758" i="17"/>
  <c r="Q758" i="17"/>
  <c r="A750" i="17"/>
  <c r="Q750" i="17"/>
  <c r="A742" i="17"/>
  <c r="Q742" i="17"/>
  <c r="A734" i="17"/>
  <c r="Q734" i="17"/>
  <c r="A726" i="17"/>
  <c r="Q726" i="17"/>
  <c r="A718" i="17"/>
  <c r="Q718" i="17"/>
  <c r="A710" i="17"/>
  <c r="Q710" i="17"/>
  <c r="A702" i="17"/>
  <c r="Q702" i="17"/>
  <c r="A694" i="17"/>
  <c r="Q694" i="17"/>
  <c r="A686" i="17"/>
  <c r="Q686" i="17"/>
  <c r="A678" i="17"/>
  <c r="Q678" i="17"/>
  <c r="A670" i="17"/>
  <c r="Q670" i="17"/>
  <c r="A662" i="17"/>
  <c r="Q662" i="17"/>
  <c r="A654" i="17"/>
  <c r="Q654" i="17"/>
  <c r="A646" i="17"/>
  <c r="Q646" i="17"/>
  <c r="A638" i="17"/>
  <c r="Q638" i="17"/>
  <c r="A630" i="17"/>
  <c r="Q630" i="17"/>
  <c r="A622" i="17"/>
  <c r="Q622" i="17"/>
  <c r="A614" i="17"/>
  <c r="Q614" i="17"/>
  <c r="A606" i="17"/>
  <c r="Q606" i="17"/>
  <c r="A598" i="17"/>
  <c r="Q598" i="17"/>
  <c r="A590" i="17"/>
  <c r="Q590" i="17"/>
  <c r="A582" i="17"/>
  <c r="Q582" i="17"/>
  <c r="A574" i="17"/>
  <c r="Q574" i="17"/>
  <c r="A566" i="17"/>
  <c r="Q566" i="17"/>
  <c r="A558" i="17"/>
  <c r="Q558" i="17"/>
  <c r="A550" i="17"/>
  <c r="Q550" i="17"/>
  <c r="A542" i="17"/>
  <c r="Q542" i="17"/>
  <c r="A534" i="17"/>
  <c r="Q534" i="17"/>
  <c r="A526" i="17"/>
  <c r="Q526" i="17"/>
  <c r="A518" i="17"/>
  <c r="Q518" i="17"/>
  <c r="A510" i="17"/>
  <c r="Q510" i="17"/>
  <c r="A502" i="17"/>
  <c r="Q502" i="17"/>
  <c r="A494" i="17"/>
  <c r="Q494" i="17"/>
  <c r="A486" i="17"/>
  <c r="Q486" i="17"/>
  <c r="A478" i="17"/>
  <c r="Q478" i="17"/>
  <c r="A470" i="17"/>
  <c r="Q470" i="17"/>
  <c r="A462" i="17"/>
  <c r="Q462" i="17"/>
  <c r="A454" i="17"/>
  <c r="Q454" i="17"/>
  <c r="A446" i="17"/>
  <c r="Q446" i="17"/>
  <c r="A438" i="17"/>
  <c r="Q438" i="17"/>
  <c r="A430" i="17"/>
  <c r="Q430" i="17"/>
  <c r="A422" i="17"/>
  <c r="Q422" i="17"/>
  <c r="A414" i="17"/>
  <c r="Q414" i="17"/>
  <c r="A406" i="17"/>
  <c r="Q406" i="17"/>
  <c r="A398" i="17"/>
  <c r="Q398" i="17"/>
  <c r="A390" i="17"/>
  <c r="Q390" i="17"/>
  <c r="A382" i="17"/>
  <c r="Q382" i="17"/>
  <c r="A374" i="17"/>
  <c r="Q374" i="17"/>
  <c r="A366" i="17"/>
  <c r="Q366" i="17"/>
  <c r="A358" i="17"/>
  <c r="Q358" i="17"/>
  <c r="A350" i="17"/>
  <c r="Q350" i="17"/>
  <c r="A342" i="17"/>
  <c r="Q342" i="17"/>
  <c r="A334" i="17"/>
  <c r="Q334" i="17"/>
  <c r="A326" i="17"/>
  <c r="Q326" i="17"/>
  <c r="A318" i="17"/>
  <c r="Q318" i="17"/>
  <c r="A310" i="17"/>
  <c r="Q310" i="17"/>
  <c r="A302" i="17"/>
  <c r="Q302" i="17"/>
  <c r="A294" i="17"/>
  <c r="Q294" i="17"/>
  <c r="A286" i="17"/>
  <c r="Q286" i="17"/>
  <c r="A278" i="17"/>
  <c r="Q278" i="17"/>
  <c r="A270" i="17"/>
  <c r="Q270" i="17"/>
  <c r="A262" i="17"/>
  <c r="Q262" i="17"/>
  <c r="A254" i="17"/>
  <c r="Q254" i="17"/>
  <c r="A246" i="17"/>
  <c r="Q246" i="17"/>
  <c r="A238" i="17"/>
  <c r="Q238" i="17"/>
  <c r="A230" i="17"/>
  <c r="Q230" i="17"/>
  <c r="A222" i="17"/>
  <c r="Q222" i="17"/>
  <c r="A214" i="17"/>
  <c r="Q214" i="17"/>
  <c r="A206" i="17"/>
  <c r="Q206" i="17"/>
  <c r="A198" i="17"/>
  <c r="Q198" i="17"/>
  <c r="A190" i="17"/>
  <c r="Q190" i="17"/>
  <c r="A182" i="17"/>
  <c r="Q182" i="17"/>
  <c r="A174" i="17"/>
  <c r="Q174" i="17"/>
  <c r="A166" i="17"/>
  <c r="Q166" i="17"/>
  <c r="A158" i="17"/>
  <c r="Q158" i="17"/>
  <c r="A150" i="17"/>
  <c r="Q150" i="17"/>
  <c r="A142" i="17"/>
  <c r="Q142" i="17"/>
  <c r="A134" i="17"/>
  <c r="Q134" i="17"/>
  <c r="A126" i="17"/>
  <c r="Q126" i="17"/>
  <c r="A118" i="17"/>
  <c r="Q118" i="17"/>
  <c r="A110" i="17"/>
  <c r="Q110" i="17"/>
  <c r="A102" i="17"/>
  <c r="Q102" i="17"/>
  <c r="A94" i="17"/>
  <c r="Q94" i="17"/>
  <c r="A86" i="17"/>
  <c r="Q86" i="17"/>
  <c r="A78" i="17"/>
  <c r="Q78" i="17"/>
  <c r="A70" i="17"/>
  <c r="Q70" i="17"/>
  <c r="A62" i="17"/>
  <c r="Q62" i="17"/>
  <c r="A54" i="17"/>
  <c r="Q54" i="17"/>
  <c r="A46" i="17"/>
  <c r="Q46" i="17"/>
  <c r="A38" i="17"/>
  <c r="Q38" i="17"/>
  <c r="A30" i="17"/>
  <c r="Q30" i="17"/>
  <c r="A22" i="17"/>
  <c r="Q22" i="17"/>
  <c r="A14" i="17"/>
  <c r="Q14" i="17"/>
  <c r="Q3689" i="17"/>
  <c r="Q3649" i="17"/>
  <c r="Q3609" i="17"/>
  <c r="Q3586" i="17"/>
  <c r="Q3566" i="17"/>
  <c r="Q3546" i="17"/>
  <c r="Q3526" i="17"/>
  <c r="Q3506" i="17"/>
  <c r="Q3386" i="17"/>
  <c r="Q3285" i="17"/>
  <c r="Q3233" i="17"/>
  <c r="Q3182" i="17"/>
  <c r="Q3130" i="17"/>
  <c r="Q3028" i="17"/>
  <c r="Q2969" i="17"/>
  <c r="Q2849" i="17"/>
  <c r="Q2683" i="17"/>
  <c r="Q2580" i="17"/>
  <c r="Q2469" i="17"/>
  <c r="Q2213" i="17"/>
  <c r="Q2050" i="17"/>
  <c r="Q1885" i="17"/>
  <c r="Q1698" i="17"/>
  <c r="Q1467" i="17"/>
  <c r="A3341" i="17"/>
  <c r="Q3341" i="17"/>
  <c r="A3333" i="17"/>
  <c r="Q3333" i="17"/>
  <c r="A3325" i="17"/>
  <c r="Q3325" i="17"/>
  <c r="A3317" i="17"/>
  <c r="Q3317" i="17"/>
  <c r="A3301" i="17"/>
  <c r="Q3301" i="17"/>
  <c r="A3293" i="17"/>
  <c r="Q3293" i="17"/>
  <c r="A3277" i="17"/>
  <c r="Q3277" i="17"/>
  <c r="A3269" i="17"/>
  <c r="Q3269" i="17"/>
  <c r="A3261" i="17"/>
  <c r="Q3261" i="17"/>
  <c r="A3253" i="17"/>
  <c r="Q3253" i="17"/>
  <c r="A3237" i="17"/>
  <c r="Q3237" i="17"/>
  <c r="A3229" i="17"/>
  <c r="Q3229" i="17"/>
  <c r="A3213" i="17"/>
  <c r="Q3213" i="17"/>
  <c r="A3205" i="17"/>
  <c r="Q3205" i="17"/>
  <c r="A3197" i="17"/>
  <c r="Q3197" i="17"/>
  <c r="A3189" i="17"/>
  <c r="Q3189" i="17"/>
  <c r="A3173" i="17"/>
  <c r="Q3173" i="17"/>
  <c r="A3165" i="17"/>
  <c r="Q3165" i="17"/>
  <c r="A3149" i="17"/>
  <c r="Q3149" i="17"/>
  <c r="A3141" i="17"/>
  <c r="Q3141" i="17"/>
  <c r="A3133" i="17"/>
  <c r="Q3133" i="17"/>
  <c r="A3125" i="17"/>
  <c r="Q3125" i="17"/>
  <c r="A3109" i="17"/>
  <c r="Q3109" i="17"/>
  <c r="A3101" i="17"/>
  <c r="Q3101" i="17"/>
  <c r="A3085" i="17"/>
  <c r="Q3085" i="17"/>
  <c r="A3077" i="17"/>
  <c r="Q3077" i="17"/>
  <c r="A3069" i="17"/>
  <c r="Q3069" i="17"/>
  <c r="A3061" i="17"/>
  <c r="Q3061" i="17"/>
  <c r="A3045" i="17"/>
  <c r="Q3045" i="17"/>
  <c r="A3037" i="17"/>
  <c r="Q3037" i="17"/>
  <c r="A3029" i="17"/>
  <c r="Q3029" i="17"/>
  <c r="A3021" i="17"/>
  <c r="Q3021" i="17"/>
  <c r="A3013" i="17"/>
  <c r="Q3013" i="17"/>
  <c r="A3005" i="17"/>
  <c r="Q3005" i="17"/>
  <c r="A2997" i="17"/>
  <c r="Q2997" i="17"/>
  <c r="A2989" i="17"/>
  <c r="Q2989" i="17"/>
  <c r="A2981" i="17"/>
  <c r="Q2981" i="17"/>
  <c r="A2973" i="17"/>
  <c r="Q2973" i="17"/>
  <c r="A2965" i="17"/>
  <c r="Q2965" i="17"/>
  <c r="A2957" i="17"/>
  <c r="Q2957" i="17"/>
  <c r="A2949" i="17"/>
  <c r="Q2949" i="17"/>
  <c r="A2941" i="17"/>
  <c r="Q2941" i="17"/>
  <c r="A2933" i="17"/>
  <c r="Q2933" i="17"/>
  <c r="A2925" i="17"/>
  <c r="Q2925" i="17"/>
  <c r="A2917" i="17"/>
  <c r="Q2917" i="17"/>
  <c r="A2909" i="17"/>
  <c r="Q2909" i="17"/>
  <c r="A2901" i="17"/>
  <c r="Q2901" i="17"/>
  <c r="A2893" i="17"/>
  <c r="Q2893" i="17"/>
  <c r="A2885" i="17"/>
  <c r="Q2885" i="17"/>
  <c r="A2877" i="17"/>
  <c r="Q2877" i="17"/>
  <c r="A2869" i="17"/>
  <c r="Q2869" i="17"/>
  <c r="A2861" i="17"/>
  <c r="Q2861" i="17"/>
  <c r="A2853" i="17"/>
  <c r="Q2853" i="17"/>
  <c r="A2845" i="17"/>
  <c r="Q2845" i="17"/>
  <c r="A2837" i="17"/>
  <c r="Q2837" i="17"/>
  <c r="A2829" i="17"/>
  <c r="Q2829" i="17"/>
  <c r="A2821" i="17"/>
  <c r="Q2821" i="17"/>
  <c r="A2813" i="17"/>
  <c r="Q2813" i="17"/>
  <c r="A2805" i="17"/>
  <c r="Q2805" i="17"/>
  <c r="A2797" i="17"/>
  <c r="Q2797" i="17"/>
  <c r="A2789" i="17"/>
  <c r="Q2789" i="17"/>
  <c r="A2781" i="17"/>
  <c r="Q2781" i="17"/>
  <c r="A2773" i="17"/>
  <c r="Q2773" i="17"/>
  <c r="A2765" i="17"/>
  <c r="Q2765" i="17"/>
  <c r="A2757" i="17"/>
  <c r="Q2757" i="17"/>
  <c r="A2749" i="17"/>
  <c r="Q2749" i="17"/>
  <c r="A2741" i="17"/>
  <c r="Q2741" i="17"/>
  <c r="A2733" i="17"/>
  <c r="Q2733" i="17"/>
  <c r="A2725" i="17"/>
  <c r="Q2725" i="17"/>
  <c r="A2717" i="17"/>
  <c r="Q2717" i="17"/>
  <c r="A2709" i="17"/>
  <c r="Q2709" i="17"/>
  <c r="A2701" i="17"/>
  <c r="Q2701" i="17"/>
  <c r="A2693" i="17"/>
  <c r="Q2693" i="17"/>
  <c r="A2685" i="17"/>
  <c r="Q2685" i="17"/>
  <c r="A2677" i="17"/>
  <c r="Q2677" i="17"/>
  <c r="A2669" i="17"/>
  <c r="Q2669" i="17"/>
  <c r="A2661" i="17"/>
  <c r="Q2661" i="17"/>
  <c r="A2653" i="17"/>
  <c r="Q2653" i="17"/>
  <c r="A2645" i="17"/>
  <c r="Q2645" i="17"/>
  <c r="A2637" i="17"/>
  <c r="Q2637" i="17"/>
  <c r="A2629" i="17"/>
  <c r="Q2629" i="17"/>
  <c r="A2621" i="17"/>
  <c r="Q2621" i="17"/>
  <c r="A2613" i="17"/>
  <c r="Q2613" i="17"/>
  <c r="A2605" i="17"/>
  <c r="Q2605" i="17"/>
  <c r="A2597" i="17"/>
  <c r="Q2597" i="17"/>
  <c r="A2589" i="17"/>
  <c r="Q2589" i="17"/>
  <c r="A2581" i="17"/>
  <c r="Q2581" i="17"/>
  <c r="A2573" i="17"/>
  <c r="Q2573" i="17"/>
  <c r="A2455" i="17"/>
  <c r="Q2455" i="17"/>
  <c r="A2557" i="17"/>
  <c r="Q2557" i="17"/>
  <c r="A2549" i="17"/>
  <c r="Q2549" i="17"/>
  <c r="A2541" i="17"/>
  <c r="Q2541" i="17"/>
  <c r="A2533" i="17"/>
  <c r="Q2533" i="17"/>
  <c r="A2525" i="17"/>
  <c r="Q2525" i="17"/>
  <c r="A2517" i="17"/>
  <c r="Q2517" i="17"/>
  <c r="A2509" i="17"/>
  <c r="Q2509" i="17"/>
  <c r="A2501" i="17"/>
  <c r="Q2501" i="17"/>
  <c r="A2493" i="17"/>
  <c r="Q2493" i="17"/>
  <c r="A2485" i="17"/>
  <c r="Q2485" i="17"/>
  <c r="A2477" i="17"/>
  <c r="Q2477" i="17"/>
  <c r="A2461" i="17"/>
  <c r="Q2461" i="17"/>
  <c r="A2447" i="17"/>
  <c r="Q2447" i="17"/>
  <c r="A2445" i="17"/>
  <c r="Q2445" i="17"/>
  <c r="A2437" i="17"/>
  <c r="Q2437" i="17"/>
  <c r="A2429" i="17"/>
  <c r="Q2429" i="17"/>
  <c r="A2421" i="17"/>
  <c r="Q2421" i="17"/>
  <c r="A2413" i="17"/>
  <c r="Q2413" i="17"/>
  <c r="A2397" i="17"/>
  <c r="Q2397" i="17"/>
  <c r="A2389" i="17"/>
  <c r="Q2389" i="17"/>
  <c r="A2381" i="17"/>
  <c r="Q2381" i="17"/>
  <c r="A2029" i="17"/>
  <c r="Q2029" i="17"/>
  <c r="A2365" i="17"/>
  <c r="Q2365" i="17"/>
  <c r="A2357" i="17"/>
  <c r="Q2357" i="17"/>
  <c r="A2349" i="17"/>
  <c r="Q2349" i="17"/>
  <c r="A2341" i="17"/>
  <c r="Q2341" i="17"/>
  <c r="A2333" i="17"/>
  <c r="Q2333" i="17"/>
  <c r="A2325" i="17"/>
  <c r="Q2325" i="17"/>
  <c r="A2317" i="17"/>
  <c r="Q2317" i="17"/>
  <c r="A2309" i="17"/>
  <c r="Q2309" i="17"/>
  <c r="A2301" i="17"/>
  <c r="Q2301" i="17"/>
  <c r="A2293" i="17"/>
  <c r="Q2293" i="17"/>
  <c r="A2285" i="17"/>
  <c r="Q2285" i="17"/>
  <c r="A2277" i="17"/>
  <c r="Q2277" i="17"/>
  <c r="A2269" i="17"/>
  <c r="Q2269" i="17"/>
  <c r="A2261" i="17"/>
  <c r="Q2261" i="17"/>
  <c r="A2253" i="17"/>
  <c r="Q2253" i="17"/>
  <c r="A2245" i="17"/>
  <c r="Q2245" i="17"/>
  <c r="A2237" i="17"/>
  <c r="Q2237" i="17"/>
  <c r="A2229" i="17"/>
  <c r="Q2229" i="17"/>
  <c r="A2221" i="17"/>
  <c r="Q2221" i="17"/>
  <c r="A2197" i="17"/>
  <c r="Q2197" i="17"/>
  <c r="A2189" i="17"/>
  <c r="Q2189" i="17"/>
  <c r="A2181" i="17"/>
  <c r="Q2181" i="17"/>
  <c r="A2157" i="17"/>
  <c r="Q2157" i="17"/>
  <c r="A2149" i="17"/>
  <c r="Q2149" i="17"/>
  <c r="A2141" i="17"/>
  <c r="Q2141" i="17"/>
  <c r="A2125" i="17"/>
  <c r="Q2125" i="17"/>
  <c r="A2117" i="17"/>
  <c r="Q2117" i="17"/>
  <c r="A2109" i="17"/>
  <c r="Q2109" i="17"/>
  <c r="A2101" i="17"/>
  <c r="Q2101" i="17"/>
  <c r="A2093" i="17"/>
  <c r="Q2093" i="17"/>
  <c r="A2085" i="17"/>
  <c r="Q2085" i="17"/>
  <c r="A3486" i="17"/>
  <c r="Q3486" i="17"/>
  <c r="A2069" i="17"/>
  <c r="Q2069" i="17"/>
  <c r="A2061" i="17"/>
  <c r="Q2061" i="17"/>
  <c r="A2053" i="17"/>
  <c r="Q2053" i="17"/>
  <c r="A2045" i="17"/>
  <c r="Q2045" i="17"/>
  <c r="A2037" i="17"/>
  <c r="Q2037" i="17"/>
  <c r="A1571" i="17"/>
  <c r="Q1571" i="17"/>
  <c r="A2021" i="17"/>
  <c r="Q2021" i="17"/>
  <c r="A2013" i="17"/>
  <c r="Q2013" i="17"/>
  <c r="A2005" i="17"/>
  <c r="Q2005" i="17"/>
  <c r="A1997" i="17"/>
  <c r="Q1997" i="17"/>
  <c r="A1989" i="17"/>
  <c r="Q1989" i="17"/>
  <c r="A1981" i="17"/>
  <c r="Q1981" i="17"/>
  <c r="A1973" i="17"/>
  <c r="Q1973" i="17"/>
  <c r="A1965" i="17"/>
  <c r="Q1965" i="17"/>
  <c r="A1957" i="17"/>
  <c r="Q1957" i="17"/>
  <c r="A1949" i="17"/>
  <c r="Q1949" i="17"/>
  <c r="A1941" i="17"/>
  <c r="Q1941" i="17"/>
  <c r="A1933" i="17"/>
  <c r="Q1933" i="17"/>
  <c r="A1925" i="17"/>
  <c r="Q1925" i="17"/>
  <c r="A1917" i="17"/>
  <c r="Q1917" i="17"/>
  <c r="A1909" i="17"/>
  <c r="Q1909" i="17"/>
  <c r="A1901" i="17"/>
  <c r="Q1901" i="17"/>
  <c r="A1893" i="17"/>
  <c r="Q1893" i="17"/>
  <c r="A1877" i="17"/>
  <c r="Q1877" i="17"/>
  <c r="A1869" i="17"/>
  <c r="Q1869" i="17"/>
  <c r="A1861" i="17"/>
  <c r="Q1861" i="17"/>
  <c r="A1853" i="17"/>
  <c r="Q1853" i="17"/>
  <c r="A1845" i="17"/>
  <c r="Q1845" i="17"/>
  <c r="A1837" i="17"/>
  <c r="Q1837" i="17"/>
  <c r="A1829" i="17"/>
  <c r="Q1829" i="17"/>
  <c r="A1821" i="17"/>
  <c r="Q1821" i="17"/>
  <c r="A1813" i="17"/>
  <c r="Q1813" i="17"/>
  <c r="A1805" i="17"/>
  <c r="Q1805" i="17"/>
  <c r="A1797" i="17"/>
  <c r="Q1797" i="17"/>
  <c r="A1789" i="17"/>
  <c r="Q1789" i="17"/>
  <c r="A1781" i="17"/>
  <c r="Q1781" i="17"/>
  <c r="A1773" i="17"/>
  <c r="Q1773" i="17"/>
  <c r="A1765" i="17"/>
  <c r="Q1765" i="17"/>
  <c r="A1757" i="17"/>
  <c r="Q1757" i="17"/>
  <c r="A1749" i="17"/>
  <c r="Q1749" i="17"/>
  <c r="A1741" i="17"/>
  <c r="Q1741" i="17"/>
  <c r="A1733" i="17"/>
  <c r="Q1733" i="17"/>
  <c r="A1725" i="17"/>
  <c r="Q1725" i="17"/>
  <c r="A1717" i="17"/>
  <c r="Q1717" i="17"/>
  <c r="A1709" i="17"/>
  <c r="Q1709" i="17"/>
  <c r="A1701" i="17"/>
  <c r="Q1701" i="17"/>
  <c r="A1693" i="17"/>
  <c r="Q1693" i="17"/>
  <c r="A1685" i="17"/>
  <c r="Q1685" i="17"/>
  <c r="A1677" i="17"/>
  <c r="Q1677" i="17"/>
  <c r="A1669" i="17"/>
  <c r="Q1669" i="17"/>
  <c r="A1661" i="17"/>
  <c r="Q1661" i="17"/>
  <c r="A1653" i="17"/>
  <c r="Q1653" i="17"/>
  <c r="A1645" i="17"/>
  <c r="Q1645" i="17"/>
  <c r="A1637" i="17"/>
  <c r="Q1637" i="17"/>
  <c r="A1629" i="17"/>
  <c r="Q1629" i="17"/>
  <c r="A1621" i="17"/>
  <c r="Q1621" i="17"/>
  <c r="Q1613" i="17"/>
  <c r="A1613" i="17"/>
  <c r="A1605" i="17"/>
  <c r="Q1605" i="17"/>
  <c r="A1597" i="17"/>
  <c r="Q1597" i="17"/>
  <c r="A1589" i="17"/>
  <c r="Q1589" i="17"/>
  <c r="A1581" i="17"/>
  <c r="Q1581" i="17"/>
  <c r="A1573" i="17"/>
  <c r="Q1573" i="17"/>
  <c r="A2564" i="17"/>
  <c r="Q2564" i="17"/>
  <c r="A1557" i="17"/>
  <c r="Q1557" i="17"/>
  <c r="A1549" i="17"/>
  <c r="Q1549" i="17"/>
  <c r="A1541" i="17"/>
  <c r="Q1541" i="17"/>
  <c r="A1533" i="17"/>
  <c r="Q1533" i="17"/>
  <c r="A1525" i="17"/>
  <c r="Q1525" i="17"/>
  <c r="A1517" i="17"/>
  <c r="Q1517" i="17"/>
  <c r="A1509" i="17"/>
  <c r="Q1509" i="17"/>
  <c r="A1501" i="17"/>
  <c r="Q1501" i="17"/>
  <c r="A1493" i="17"/>
  <c r="Q1493" i="17"/>
  <c r="A1485" i="17"/>
  <c r="Q1485" i="17"/>
  <c r="A1477" i="17"/>
  <c r="Q1477" i="17"/>
  <c r="A1469" i="17"/>
  <c r="Q1469" i="17"/>
  <c r="A1461" i="17"/>
  <c r="Q1461" i="17"/>
  <c r="A1453" i="17"/>
  <c r="Q1453" i="17"/>
  <c r="A1445" i="17"/>
  <c r="Q1445" i="17"/>
  <c r="A1437" i="17"/>
  <c r="Q1437" i="17"/>
  <c r="A1429" i="17"/>
  <c r="Q1429" i="17"/>
  <c r="Q1421" i="17"/>
  <c r="A1421" i="17"/>
  <c r="A1413" i="17"/>
  <c r="Q1413" i="17"/>
  <c r="A1405" i="17"/>
  <c r="Q1405" i="17"/>
  <c r="A1397" i="17"/>
  <c r="Q1397" i="17"/>
  <c r="A1389" i="17"/>
  <c r="Q1389" i="17"/>
  <c r="A1381" i="17"/>
  <c r="Q1381" i="17"/>
  <c r="A1373" i="17"/>
  <c r="Q1373" i="17"/>
  <c r="A1365" i="17"/>
  <c r="Q1365" i="17"/>
  <c r="A1357" i="17"/>
  <c r="Q1357" i="17"/>
  <c r="A1349" i="17"/>
  <c r="Q1349" i="17"/>
  <c r="A1341" i="17"/>
  <c r="Q1341" i="17"/>
  <c r="A1333" i="17"/>
  <c r="Q1333" i="17"/>
  <c r="A1325" i="17"/>
  <c r="Q1325" i="17"/>
  <c r="A1317" i="17"/>
  <c r="Q1317" i="17"/>
  <c r="A1309" i="17"/>
  <c r="Q1309" i="17"/>
  <c r="A1301" i="17"/>
  <c r="Q1301" i="17"/>
  <c r="A1293" i="17"/>
  <c r="Q1293" i="17"/>
  <c r="A1285" i="17"/>
  <c r="Q1285" i="17"/>
  <c r="A1277" i="17"/>
  <c r="Q1277" i="17"/>
  <c r="A1269" i="17"/>
  <c r="Q1269" i="17"/>
  <c r="A1261" i="17"/>
  <c r="Q1261" i="17"/>
  <c r="A1253" i="17"/>
  <c r="Q1253" i="17"/>
  <c r="A1245" i="17"/>
  <c r="Q1245" i="17"/>
  <c r="A1237" i="17"/>
  <c r="Q1237" i="17"/>
  <c r="A1229" i="17"/>
  <c r="Q1229" i="17"/>
  <c r="A1221" i="17"/>
  <c r="Q1221" i="17"/>
  <c r="A1213" i="17"/>
  <c r="Q1213" i="17"/>
  <c r="A1205" i="17"/>
  <c r="Q1205" i="17"/>
  <c r="A1197" i="17"/>
  <c r="Q1197" i="17"/>
  <c r="A1189" i="17"/>
  <c r="Q1189" i="17"/>
  <c r="A1181" i="17"/>
  <c r="Q1181" i="17"/>
  <c r="A1173" i="17"/>
  <c r="Q1173" i="17"/>
  <c r="A1165" i="17"/>
  <c r="Q1165" i="17"/>
  <c r="A1157" i="17"/>
  <c r="Q1157" i="17"/>
  <c r="A1149" i="17"/>
  <c r="Q1149" i="17"/>
  <c r="A1141" i="17"/>
  <c r="Q1141" i="17"/>
  <c r="A1133" i="17"/>
  <c r="Q1133" i="17"/>
  <c r="A1125" i="17"/>
  <c r="Q1125" i="17"/>
  <c r="A1117" i="17"/>
  <c r="Q1117" i="17"/>
  <c r="A1109" i="17"/>
  <c r="Q1109" i="17"/>
  <c r="A1101" i="17"/>
  <c r="Q1101" i="17"/>
  <c r="A1093" i="17"/>
  <c r="Q1093" i="17"/>
  <c r="A1085" i="17"/>
  <c r="Q1085" i="17"/>
  <c r="A1077" i="17"/>
  <c r="Q1077" i="17"/>
  <c r="A1069" i="17"/>
  <c r="Q1069" i="17"/>
  <c r="A1061" i="17"/>
  <c r="Q1061" i="17"/>
  <c r="A1053" i="17"/>
  <c r="Q1053" i="17"/>
  <c r="A1045" i="17"/>
  <c r="Q1045" i="17"/>
  <c r="A1037" i="17"/>
  <c r="Q1037" i="17"/>
  <c r="A1029" i="17"/>
  <c r="Q1029" i="17"/>
  <c r="A1021" i="17"/>
  <c r="Q1021" i="17"/>
  <c r="A1013" i="17"/>
  <c r="Q1013" i="17"/>
  <c r="A1005" i="17"/>
  <c r="Q1005" i="17"/>
  <c r="A997" i="17"/>
  <c r="Q997" i="17"/>
  <c r="A989" i="17"/>
  <c r="Q989" i="17"/>
  <c r="A981" i="17"/>
  <c r="Q981" i="17"/>
  <c r="A973" i="17"/>
  <c r="Q973" i="17"/>
  <c r="A965" i="17"/>
  <c r="Q965" i="17"/>
  <c r="A957" i="17"/>
  <c r="Q957" i="17"/>
  <c r="A949" i="17"/>
  <c r="Q949" i="17"/>
  <c r="A941" i="17"/>
  <c r="Q941" i="17"/>
  <c r="A933" i="17"/>
  <c r="Q933" i="17"/>
  <c r="A925" i="17"/>
  <c r="Q925" i="17"/>
  <c r="A917" i="17"/>
  <c r="Q917" i="17"/>
  <c r="A909" i="17"/>
  <c r="Q909" i="17"/>
  <c r="A901" i="17"/>
  <c r="Q901" i="17"/>
  <c r="A893" i="17"/>
  <c r="Q893" i="17"/>
  <c r="A885" i="17"/>
  <c r="Q885" i="17"/>
  <c r="A877" i="17"/>
  <c r="Q877" i="17"/>
  <c r="A869" i="17"/>
  <c r="Q869" i="17"/>
  <c r="A861" i="17"/>
  <c r="Q861" i="17"/>
  <c r="A853" i="17"/>
  <c r="Q853" i="17"/>
  <c r="A845" i="17"/>
  <c r="Q845" i="17"/>
  <c r="A837" i="17"/>
  <c r="Q837" i="17"/>
  <c r="A829" i="17"/>
  <c r="Q829" i="17"/>
  <c r="A821" i="17"/>
  <c r="Q821" i="17"/>
  <c r="A813" i="17"/>
  <c r="Q813" i="17"/>
  <c r="A805" i="17"/>
  <c r="Q805" i="17"/>
  <c r="A797" i="17"/>
  <c r="Q797" i="17"/>
  <c r="A789" i="17"/>
  <c r="Q789" i="17"/>
  <c r="A781" i="17"/>
  <c r="Q781" i="17"/>
  <c r="A773" i="17"/>
  <c r="Q773" i="17"/>
  <c r="Q765" i="17"/>
  <c r="A765" i="17"/>
  <c r="A757" i="17"/>
  <c r="Q757" i="17"/>
  <c r="A749" i="17"/>
  <c r="Q749" i="17"/>
  <c r="A741" i="17"/>
  <c r="Q741" i="17"/>
  <c r="A733" i="17"/>
  <c r="Q733" i="17"/>
  <c r="A725" i="17"/>
  <c r="Q725" i="17"/>
  <c r="A717" i="17"/>
  <c r="Q717" i="17"/>
  <c r="A709" i="17"/>
  <c r="Q709" i="17"/>
  <c r="A701" i="17"/>
  <c r="Q701" i="17"/>
  <c r="A693" i="17"/>
  <c r="Q693" i="17"/>
  <c r="Q685" i="17"/>
  <c r="A677" i="17"/>
  <c r="Q677" i="17"/>
  <c r="A669" i="17"/>
  <c r="Q669" i="17"/>
  <c r="A661" i="17"/>
  <c r="Q661" i="17"/>
  <c r="A653" i="17"/>
  <c r="Q653" i="17"/>
  <c r="A645" i="17"/>
  <c r="Q645" i="17"/>
  <c r="A637" i="17"/>
  <c r="Q637" i="17"/>
  <c r="A629" i="17"/>
  <c r="Q629" i="17"/>
  <c r="A621" i="17"/>
  <c r="Q621" i="17"/>
  <c r="A613" i="17"/>
  <c r="Q613" i="17"/>
  <c r="A605" i="17"/>
  <c r="Q605" i="17"/>
  <c r="A597" i="17"/>
  <c r="Q597" i="17"/>
  <c r="A589" i="17"/>
  <c r="Q589" i="17"/>
  <c r="A581" i="17"/>
  <c r="Q581" i="17"/>
  <c r="A573" i="17"/>
  <c r="Q573" i="17"/>
  <c r="A565" i="17"/>
  <c r="Q565" i="17"/>
  <c r="A557" i="17"/>
  <c r="Q557" i="17"/>
  <c r="A549" i="17"/>
  <c r="Q549" i="17"/>
  <c r="A541" i="17"/>
  <c r="Q541" i="17"/>
  <c r="A533" i="17"/>
  <c r="Q533" i="17"/>
  <c r="A525" i="17"/>
  <c r="Q525" i="17"/>
  <c r="A517" i="17"/>
  <c r="Q517" i="17"/>
  <c r="A509" i="17"/>
  <c r="Q509" i="17"/>
  <c r="A501" i="17"/>
  <c r="Q501" i="17"/>
  <c r="A493" i="17"/>
  <c r="Q493" i="17"/>
  <c r="A485" i="17"/>
  <c r="Q485" i="17"/>
  <c r="A477" i="17"/>
  <c r="Q477" i="17"/>
  <c r="A469" i="17"/>
  <c r="Q469" i="17"/>
  <c r="A461" i="17"/>
  <c r="Q461" i="17"/>
  <c r="A453" i="17"/>
  <c r="Q453" i="17"/>
  <c r="A445" i="17"/>
  <c r="Q445" i="17"/>
  <c r="A437" i="17"/>
  <c r="Q437" i="17"/>
  <c r="A429" i="17"/>
  <c r="Q429" i="17"/>
  <c r="A421" i="17"/>
  <c r="Q421" i="17"/>
  <c r="A413" i="17"/>
  <c r="Q413" i="17"/>
  <c r="A405" i="17"/>
  <c r="Q405" i="17"/>
  <c r="A397" i="17"/>
  <c r="Q397" i="17"/>
  <c r="A389" i="17"/>
  <c r="Q389" i="17"/>
  <c r="A381" i="17"/>
  <c r="Q381" i="17"/>
  <c r="A373" i="17"/>
  <c r="Q373" i="17"/>
  <c r="A365" i="17"/>
  <c r="Q365" i="17"/>
  <c r="A357" i="17"/>
  <c r="Q357" i="17"/>
  <c r="A349" i="17"/>
  <c r="Q349" i="17"/>
  <c r="A341" i="17"/>
  <c r="Q341" i="17"/>
  <c r="A333" i="17"/>
  <c r="Q333" i="17"/>
  <c r="A325" i="17"/>
  <c r="Q325" i="17"/>
  <c r="A317" i="17"/>
  <c r="Q317" i="17"/>
  <c r="A309" i="17"/>
  <c r="Q309" i="17"/>
  <c r="A301" i="17"/>
  <c r="Q301" i="17"/>
  <c r="A293" i="17"/>
  <c r="Q293" i="17"/>
  <c r="A285" i="17"/>
  <c r="Q285" i="17"/>
  <c r="A277" i="17"/>
  <c r="Q277" i="17"/>
  <c r="A269" i="17"/>
  <c r="Q269" i="17"/>
  <c r="A261" i="17"/>
  <c r="Q261" i="17"/>
  <c r="A253" i="17"/>
  <c r="Q253" i="17"/>
  <c r="A245" i="17"/>
  <c r="Q245" i="17"/>
  <c r="A237" i="17"/>
  <c r="Q237" i="17"/>
  <c r="A229" i="17"/>
  <c r="Q229" i="17"/>
  <c r="A221" i="17"/>
  <c r="Q221" i="17"/>
  <c r="A213" i="17"/>
  <c r="Q213" i="17"/>
  <c r="A205" i="17"/>
  <c r="Q205" i="17"/>
  <c r="A197" i="17"/>
  <c r="Q197" i="17"/>
  <c r="A189" i="17"/>
  <c r="Q189" i="17"/>
  <c r="A181" i="17"/>
  <c r="Q181" i="17"/>
  <c r="A173" i="17"/>
  <c r="Q173" i="17"/>
  <c r="A165" i="17"/>
  <c r="Q165" i="17"/>
  <c r="A157" i="17"/>
  <c r="Q157" i="17"/>
  <c r="A149" i="17"/>
  <c r="Q149" i="17"/>
  <c r="A141" i="17"/>
  <c r="Q141" i="17"/>
  <c r="A133" i="17"/>
  <c r="Q133" i="17"/>
  <c r="A125" i="17"/>
  <c r="Q125" i="17"/>
  <c r="A117" i="17"/>
  <c r="Q117" i="17"/>
  <c r="A109" i="17"/>
  <c r="Q109" i="17"/>
  <c r="A101" i="17"/>
  <c r="Q101" i="17"/>
  <c r="A93" i="17"/>
  <c r="Q93" i="17"/>
  <c r="A85" i="17"/>
  <c r="Q85" i="17"/>
  <c r="A77" i="17"/>
  <c r="Q77" i="17"/>
  <c r="A69" i="17"/>
  <c r="Q69" i="17"/>
  <c r="A61" i="17"/>
  <c r="Q61" i="17"/>
  <c r="A53" i="17"/>
  <c r="Q53" i="17"/>
  <c r="A45" i="17"/>
  <c r="Q45" i="17"/>
  <c r="A37" i="17"/>
  <c r="Q37" i="17"/>
  <c r="A29" i="17"/>
  <c r="Q29" i="17"/>
  <c r="A21" i="17"/>
  <c r="Q21" i="17"/>
  <c r="A13" i="17"/>
  <c r="Q13" i="17"/>
  <c r="A2678" i="17"/>
  <c r="Q3666" i="17"/>
  <c r="Q3625" i="17"/>
  <c r="Q3585" i="17"/>
  <c r="Q3545" i="17"/>
  <c r="Q3522" i="17"/>
  <c r="Q3502" i="17"/>
  <c r="Q3482" i="17"/>
  <c r="Q3462" i="17"/>
  <c r="Q3442" i="17"/>
  <c r="Q3385" i="17"/>
  <c r="Q3334" i="17"/>
  <c r="Q3282" i="17"/>
  <c r="Q3181" i="17"/>
  <c r="Q3129" i="17"/>
  <c r="Q3078" i="17"/>
  <c r="Q3025" i="17"/>
  <c r="Q2910" i="17"/>
  <c r="Q2462" i="17"/>
  <c r="Q2346" i="17"/>
  <c r="Q2205" i="17"/>
  <c r="Q2043" i="17"/>
  <c r="Q1878" i="17"/>
  <c r="A3444" i="17"/>
  <c r="Q3444" i="17"/>
  <c r="A3436" i="17"/>
  <c r="Q3436" i="17"/>
  <c r="A3428" i="17"/>
  <c r="Q3428" i="17"/>
  <c r="A3420" i="17"/>
  <c r="Q3420" i="17"/>
  <c r="A3412" i="17"/>
  <c r="Q3412" i="17"/>
  <c r="A3404" i="17"/>
  <c r="Q3404" i="17"/>
  <c r="A3396" i="17"/>
  <c r="Q3396" i="17"/>
  <c r="A3388" i="17"/>
  <c r="Q3388" i="17"/>
  <c r="A3380" i="17"/>
  <c r="Q3380" i="17"/>
  <c r="A3372" i="17"/>
  <c r="Q3372" i="17"/>
  <c r="A3364" i="17"/>
  <c r="Q3364" i="17"/>
  <c r="A3356" i="17"/>
  <c r="Q3356" i="17"/>
  <c r="A3348" i="17"/>
  <c r="Q3348" i="17"/>
  <c r="A3340" i="17"/>
  <c r="Q3340" i="17"/>
  <c r="A3332" i="17"/>
  <c r="Q3332" i="17"/>
  <c r="A3324" i="17"/>
  <c r="Q3324" i="17"/>
  <c r="A3316" i="17"/>
  <c r="Q3316" i="17"/>
  <c r="A3308" i="17"/>
  <c r="Q3308" i="17"/>
  <c r="A3300" i="17"/>
  <c r="Q3300" i="17"/>
  <c r="A3292" i="17"/>
  <c r="Q3292" i="17"/>
  <c r="A3284" i="17"/>
  <c r="Q3284" i="17"/>
  <c r="A3276" i="17"/>
  <c r="Q3276" i="17"/>
  <c r="A3268" i="17"/>
  <c r="Q3268" i="17"/>
  <c r="A3260" i="17"/>
  <c r="Q3260" i="17"/>
  <c r="A3252" i="17"/>
  <c r="Q3252" i="17"/>
  <c r="A3244" i="17"/>
  <c r="Q3244" i="17"/>
  <c r="A3236" i="17"/>
  <c r="Q3236" i="17"/>
  <c r="A3228" i="17"/>
  <c r="Q3228" i="17"/>
  <c r="A3492" i="17"/>
  <c r="Q3492" i="17"/>
  <c r="A3212" i="17"/>
  <c r="Q3212" i="17"/>
  <c r="A3204" i="17"/>
  <c r="Q3204" i="17"/>
  <c r="A3196" i="17"/>
  <c r="Q3196" i="17"/>
  <c r="A3188" i="17"/>
  <c r="Q3188" i="17"/>
  <c r="A3180" i="17"/>
  <c r="Q3180" i="17"/>
  <c r="A3172" i="17"/>
  <c r="Q3172" i="17"/>
  <c r="A3164" i="17"/>
  <c r="Q3164" i="17"/>
  <c r="A3156" i="17"/>
  <c r="Q3156" i="17"/>
  <c r="A3148" i="17"/>
  <c r="Q3148" i="17"/>
  <c r="A3140" i="17"/>
  <c r="Q3140" i="17"/>
  <c r="A3132" i="17"/>
  <c r="Q3132" i="17"/>
  <c r="A3124" i="17"/>
  <c r="Q3124" i="17"/>
  <c r="A3116" i="17"/>
  <c r="Q3116" i="17"/>
  <c r="A3108" i="17"/>
  <c r="Q3108" i="17"/>
  <c r="A3100" i="17"/>
  <c r="Q3100" i="17"/>
  <c r="A3092" i="17"/>
  <c r="Q3092" i="17"/>
  <c r="A3084" i="17"/>
  <c r="Q3084" i="17"/>
  <c r="A3076" i="17"/>
  <c r="Q3076" i="17"/>
  <c r="A3068" i="17"/>
  <c r="Q3068" i="17"/>
  <c r="A3060" i="17"/>
  <c r="Q3060" i="17"/>
  <c r="A3052" i="17"/>
  <c r="Q3052" i="17"/>
  <c r="A3044" i="17"/>
  <c r="Q3044" i="17"/>
  <c r="A3036" i="17"/>
  <c r="Q3036" i="17"/>
  <c r="A3020" i="17"/>
  <c r="Q3020" i="17"/>
  <c r="Q3004" i="17"/>
  <c r="A3004" i="17"/>
  <c r="A2988" i="17"/>
  <c r="Q2988" i="17"/>
  <c r="A2980" i="17"/>
  <c r="Q2980" i="17"/>
  <c r="A2972" i="17"/>
  <c r="Q2972" i="17"/>
  <c r="A2964" i="17"/>
  <c r="Q2964" i="17"/>
  <c r="A2956" i="17"/>
  <c r="Q2956" i="17"/>
  <c r="A2948" i="17"/>
  <c r="Q2948" i="17"/>
  <c r="A2940" i="17"/>
  <c r="Q2940" i="17"/>
  <c r="A2932" i="17"/>
  <c r="Q2932" i="17"/>
  <c r="A2916" i="17"/>
  <c r="Q2916" i="17"/>
  <c r="A2908" i="17"/>
  <c r="Q2908" i="17"/>
  <c r="A2900" i="17"/>
  <c r="Q2900" i="17"/>
  <c r="A2892" i="17"/>
  <c r="Q2892" i="17"/>
  <c r="A2884" i="17"/>
  <c r="Q2884" i="17"/>
  <c r="A2876" i="17"/>
  <c r="Q2876" i="17"/>
  <c r="A2868" i="17"/>
  <c r="Q2868" i="17"/>
  <c r="A2860" i="17"/>
  <c r="Q2860" i="17"/>
  <c r="A2852" i="17"/>
  <c r="Q2852" i="17"/>
  <c r="A2844" i="17"/>
  <c r="Q2844" i="17"/>
  <c r="A2836" i="17"/>
  <c r="Q2836" i="17"/>
  <c r="A2820" i="17"/>
  <c r="Q2820" i="17"/>
  <c r="A2812" i="17"/>
  <c r="Q2812" i="17"/>
  <c r="A2804" i="17"/>
  <c r="Q2804" i="17"/>
  <c r="A2796" i="17"/>
  <c r="Q2796" i="17"/>
  <c r="A2788" i="17"/>
  <c r="Q2788" i="17"/>
  <c r="A2780" i="17"/>
  <c r="Q2780" i="17"/>
  <c r="A2772" i="17"/>
  <c r="Q2772" i="17"/>
  <c r="A2764" i="17"/>
  <c r="Q2764" i="17"/>
  <c r="A2756" i="17"/>
  <c r="Q2756" i="17"/>
  <c r="A2748" i="17"/>
  <c r="Q2748" i="17"/>
  <c r="A2740" i="17"/>
  <c r="Q2740" i="17"/>
  <c r="A2732" i="17"/>
  <c r="Q2732" i="17"/>
  <c r="A2724" i="17"/>
  <c r="Q2724" i="17"/>
  <c r="A2716" i="17"/>
  <c r="Q2716" i="17"/>
  <c r="A2708" i="17"/>
  <c r="Q2708" i="17"/>
  <c r="A2700" i="17"/>
  <c r="Q2700" i="17"/>
  <c r="A2692" i="17"/>
  <c r="Q2692" i="17"/>
  <c r="A2684" i="17"/>
  <c r="Q2684" i="17"/>
  <c r="Q2676" i="17"/>
  <c r="A2668" i="17"/>
  <c r="Q2668" i="17"/>
  <c r="A2660" i="17"/>
  <c r="Q2660" i="17"/>
  <c r="A2644" i="17"/>
  <c r="Q2644" i="17"/>
  <c r="A2636" i="17"/>
  <c r="Q2636" i="17"/>
  <c r="A2628" i="17"/>
  <c r="Q2628" i="17"/>
  <c r="A2620" i="17"/>
  <c r="Q2620" i="17"/>
  <c r="A2612" i="17"/>
  <c r="Q2612" i="17"/>
  <c r="A2604" i="17"/>
  <c r="Q2604" i="17"/>
  <c r="A2596" i="17"/>
  <c r="Q2596" i="17"/>
  <c r="A2588" i="17"/>
  <c r="Q2588" i="17"/>
  <c r="A2572" i="17"/>
  <c r="Q2572" i="17"/>
  <c r="A2454" i="17"/>
  <c r="Q2454" i="17"/>
  <c r="A2556" i="17"/>
  <c r="Q2556" i="17"/>
  <c r="A2548" i="17"/>
  <c r="Q2548" i="17"/>
  <c r="A2540" i="17"/>
  <c r="Q2540" i="17"/>
  <c r="A2532" i="17"/>
  <c r="Q2532" i="17"/>
  <c r="A2524" i="17"/>
  <c r="Q2524" i="17"/>
  <c r="A2516" i="17"/>
  <c r="Q2516" i="17"/>
  <c r="A2508" i="17"/>
  <c r="Q2508" i="17"/>
  <c r="A2500" i="17"/>
  <c r="Q2500" i="17"/>
  <c r="A2484" i="17"/>
  <c r="Q2484" i="17"/>
  <c r="A2476" i="17"/>
  <c r="Q2476" i="17"/>
  <c r="A2468" i="17"/>
  <c r="Q2468" i="17"/>
  <c r="A2460" i="17"/>
  <c r="Q2460" i="17"/>
  <c r="A2374" i="17"/>
  <c r="Q2374" i="17"/>
  <c r="A2444" i="17"/>
  <c r="Q2444" i="17"/>
  <c r="A2436" i="17"/>
  <c r="Q2436" i="17"/>
  <c r="Q2428" i="17"/>
  <c r="A2428" i="17"/>
  <c r="A2420" i="17"/>
  <c r="Q2420" i="17"/>
  <c r="A2412" i="17"/>
  <c r="Q2412" i="17"/>
  <c r="A2404" i="17"/>
  <c r="Q2404" i="17"/>
  <c r="A2396" i="17"/>
  <c r="Q2396" i="17"/>
  <c r="A2388" i="17"/>
  <c r="Q2388" i="17"/>
  <c r="A2028" i="17"/>
  <c r="Q2028" i="17"/>
  <c r="A2364" i="17"/>
  <c r="Q2364" i="17"/>
  <c r="A2356" i="17"/>
  <c r="Q2356" i="17"/>
  <c r="A2348" i="17"/>
  <c r="Q2348" i="17"/>
  <c r="A2340" i="17"/>
  <c r="Q2340" i="17"/>
  <c r="A2332" i="17"/>
  <c r="Q2332" i="17"/>
  <c r="A2324" i="17"/>
  <c r="Q2324" i="17"/>
  <c r="A2308" i="17"/>
  <c r="Q2308" i="17"/>
  <c r="A2300" i="17"/>
  <c r="Q2300" i="17"/>
  <c r="A2292" i="17"/>
  <c r="Q2292" i="17"/>
  <c r="A2276" i="17"/>
  <c r="Q2276" i="17"/>
  <c r="Q2268" i="17"/>
  <c r="A2268" i="17"/>
  <c r="A2260" i="17"/>
  <c r="Q2260" i="17"/>
  <c r="A2252" i="17"/>
  <c r="Q2252" i="17"/>
  <c r="A2244" i="17"/>
  <c r="Q2244" i="17"/>
  <c r="A2236" i="17"/>
  <c r="Q2236" i="17"/>
  <c r="A2228" i="17"/>
  <c r="Q2228" i="17"/>
  <c r="A2220" i="17"/>
  <c r="Q2220" i="17"/>
  <c r="A2212" i="17"/>
  <c r="Q2212" i="17"/>
  <c r="A2204" i="17"/>
  <c r="Q2204" i="17"/>
  <c r="A2196" i="17"/>
  <c r="Q2196" i="17"/>
  <c r="A2188" i="17"/>
  <c r="Q2188" i="17"/>
  <c r="A2180" i="17"/>
  <c r="Q2180" i="17"/>
  <c r="A2172" i="17"/>
  <c r="Q2172" i="17"/>
  <c r="A2164" i="17"/>
  <c r="Q2164" i="17"/>
  <c r="A2156" i="17"/>
  <c r="Q2156" i="17"/>
  <c r="A2148" i="17"/>
  <c r="Q2148" i="17"/>
  <c r="A2140" i="17"/>
  <c r="Q2140" i="17"/>
  <c r="A2132" i="17"/>
  <c r="Q2132" i="17"/>
  <c r="A2124" i="17"/>
  <c r="Q2124" i="17"/>
  <c r="A2116" i="17"/>
  <c r="Q2116" i="17"/>
  <c r="A2108" i="17"/>
  <c r="Q2108" i="17"/>
  <c r="A2100" i="17"/>
  <c r="Q2100" i="17"/>
  <c r="A2092" i="17"/>
  <c r="Q2092" i="17"/>
  <c r="A2084" i="17"/>
  <c r="Q2084" i="17"/>
  <c r="A2076" i="17"/>
  <c r="Q2076" i="17"/>
  <c r="A2068" i="17"/>
  <c r="Q2068" i="17"/>
  <c r="A2060" i="17"/>
  <c r="Q2060" i="17"/>
  <c r="A2052" i="17"/>
  <c r="Q2052" i="17"/>
  <c r="A2044" i="17"/>
  <c r="Q2044" i="17"/>
  <c r="A2036" i="17"/>
  <c r="Q2036" i="17"/>
  <c r="A1570" i="17"/>
  <c r="Q1570" i="17"/>
  <c r="A2020" i="17"/>
  <c r="Q2020" i="17"/>
  <c r="A2012" i="17"/>
  <c r="Q2012" i="17"/>
  <c r="A2004" i="17"/>
  <c r="Q2004" i="17"/>
  <c r="A1996" i="17"/>
  <c r="Q1996" i="17"/>
  <c r="A1988" i="17"/>
  <c r="Q1988" i="17"/>
  <c r="A1980" i="17"/>
  <c r="Q1980" i="17"/>
  <c r="A1972" i="17"/>
  <c r="Q1972" i="17"/>
  <c r="A1964" i="17"/>
  <c r="Q1964" i="17"/>
  <c r="A1956" i="17"/>
  <c r="Q1956" i="17"/>
  <c r="A1948" i="17"/>
  <c r="Q1948" i="17"/>
  <c r="A1940" i="17"/>
  <c r="Q1940" i="17"/>
  <c r="A1932" i="17"/>
  <c r="Q1932" i="17"/>
  <c r="A1924" i="17"/>
  <c r="Q1924" i="17"/>
  <c r="Q1916" i="17"/>
  <c r="A1908" i="17"/>
  <c r="Q1908" i="17"/>
  <c r="A1900" i="17"/>
  <c r="Q1900" i="17"/>
  <c r="A1892" i="17"/>
  <c r="Q1892" i="17"/>
  <c r="A1884" i="17"/>
  <c r="Q1884" i="17"/>
  <c r="A1876" i="17"/>
  <c r="Q1876" i="17"/>
  <c r="A1868" i="17"/>
  <c r="Q1868" i="17"/>
  <c r="A1860" i="17"/>
  <c r="Q1860" i="17"/>
  <c r="A1852" i="17"/>
  <c r="Q1852" i="17"/>
  <c r="A1844" i="17"/>
  <c r="Q1844" i="17"/>
  <c r="A1836" i="17"/>
  <c r="Q1836" i="17"/>
  <c r="A1828" i="17"/>
  <c r="Q1828" i="17"/>
  <c r="A1820" i="17"/>
  <c r="Q1820" i="17"/>
  <c r="A1812" i="17"/>
  <c r="Q1812" i="17"/>
  <c r="A1804" i="17"/>
  <c r="Q1804" i="17"/>
  <c r="A1796" i="17"/>
  <c r="Q1796" i="17"/>
  <c r="A1788" i="17"/>
  <c r="Q1788" i="17"/>
  <c r="Q1780" i="17"/>
  <c r="A1772" i="17"/>
  <c r="Q1772" i="17"/>
  <c r="A1764" i="17"/>
  <c r="Q1764" i="17"/>
  <c r="A1756" i="17"/>
  <c r="Q1756" i="17"/>
  <c r="A1748" i="17"/>
  <c r="Q1748" i="17"/>
  <c r="A1740" i="17"/>
  <c r="Q1740" i="17"/>
  <c r="A1732" i="17"/>
  <c r="Q1732" i="17"/>
  <c r="A1724" i="17"/>
  <c r="Q1724" i="17"/>
  <c r="A1716" i="17"/>
  <c r="Q1716" i="17"/>
  <c r="A1708" i="17"/>
  <c r="Q1708" i="17"/>
  <c r="A1700" i="17"/>
  <c r="Q1700" i="17"/>
  <c r="A1692" i="17"/>
  <c r="Q1692" i="17"/>
  <c r="A1684" i="17"/>
  <c r="Q1684" i="17"/>
  <c r="A1676" i="17"/>
  <c r="Q1676" i="17"/>
  <c r="A1668" i="17"/>
  <c r="Q1668" i="17"/>
  <c r="A1660" i="17"/>
  <c r="Q1660" i="17"/>
  <c r="A1652" i="17"/>
  <c r="Q1652" i="17"/>
  <c r="A1644" i="17"/>
  <c r="Q1644" i="17"/>
  <c r="A1636" i="17"/>
  <c r="Q1636" i="17"/>
  <c r="A1628" i="17"/>
  <c r="Q1628" i="17"/>
  <c r="A1620" i="17"/>
  <c r="Q1620" i="17"/>
  <c r="A1612" i="17"/>
  <c r="Q1612" i="17"/>
  <c r="A1604" i="17"/>
  <c r="Q1604" i="17"/>
  <c r="A1596" i="17"/>
  <c r="Q1596" i="17"/>
  <c r="A1580" i="17"/>
  <c r="Q1580" i="17"/>
  <c r="A3485" i="17"/>
  <c r="Q3485" i="17"/>
  <c r="A2563" i="17"/>
  <c r="Q2563" i="17"/>
  <c r="A1556" i="17"/>
  <c r="Q1556" i="17"/>
  <c r="A1548" i="17"/>
  <c r="Q1548" i="17"/>
  <c r="A1540" i="17"/>
  <c r="Q1540" i="17"/>
  <c r="A1532" i="17"/>
  <c r="Q1532" i="17"/>
  <c r="A1524" i="17"/>
  <c r="Q1524" i="17"/>
  <c r="A1516" i="17"/>
  <c r="Q1516" i="17"/>
  <c r="A1508" i="17"/>
  <c r="Q1508" i="17"/>
  <c r="A1500" i="17"/>
  <c r="Q1500" i="17"/>
  <c r="A1492" i="17"/>
  <c r="Q1492" i="17"/>
  <c r="A1484" i="17"/>
  <c r="Q1484" i="17"/>
  <c r="A1476" i="17"/>
  <c r="Q1476" i="17"/>
  <c r="A1468" i="17"/>
  <c r="Q1468" i="17"/>
  <c r="A1460" i="17"/>
  <c r="Q1460" i="17"/>
  <c r="A1452" i="17"/>
  <c r="Q1452" i="17"/>
  <c r="A1444" i="17"/>
  <c r="Q1444" i="17"/>
  <c r="A1436" i="17"/>
  <c r="Q1436" i="17"/>
  <c r="A1428" i="17"/>
  <c r="Q1428" i="17"/>
  <c r="A1420" i="17"/>
  <c r="Q1420" i="17"/>
  <c r="A1412" i="17"/>
  <c r="Q1412" i="17"/>
  <c r="A1404" i="17"/>
  <c r="Q1404" i="17"/>
  <c r="A1396" i="17"/>
  <c r="Q1396" i="17"/>
  <c r="A1388" i="17"/>
  <c r="Q1388" i="17"/>
  <c r="A1380" i="17"/>
  <c r="Q1380" i="17"/>
  <c r="A1372" i="17"/>
  <c r="Q1372" i="17"/>
  <c r="A1364" i="17"/>
  <c r="Q1364" i="17"/>
  <c r="A1356" i="17"/>
  <c r="Q1356" i="17"/>
  <c r="A1348" i="17"/>
  <c r="Q1348" i="17"/>
  <c r="Q1340" i="17"/>
  <c r="A1332" i="17"/>
  <c r="Q1332" i="17"/>
  <c r="A1324" i="17"/>
  <c r="Q1324" i="17"/>
  <c r="A1316" i="17"/>
  <c r="Q1316" i="17"/>
  <c r="A1300" i="17"/>
  <c r="Q1300" i="17"/>
  <c r="A1292" i="17"/>
  <c r="Q1292" i="17"/>
  <c r="A1284" i="17"/>
  <c r="Q1284" i="17"/>
  <c r="A1276" i="17"/>
  <c r="Q1276" i="17"/>
  <c r="A1268" i="17"/>
  <c r="Q1268" i="17"/>
  <c r="A1260" i="17"/>
  <c r="Q1260" i="17"/>
  <c r="A1252" i="17"/>
  <c r="Q1252" i="17"/>
  <c r="A1244" i="17"/>
  <c r="Q1244" i="17"/>
  <c r="A1236" i="17"/>
  <c r="Q1236" i="17"/>
  <c r="A1228" i="17"/>
  <c r="Q1228" i="17"/>
  <c r="A1220" i="17"/>
  <c r="Q1220" i="17"/>
  <c r="A1212" i="17"/>
  <c r="Q1212" i="17"/>
  <c r="A1204" i="17"/>
  <c r="Q1204" i="17"/>
  <c r="A1196" i="17"/>
  <c r="Q1196" i="17"/>
  <c r="A1188" i="17"/>
  <c r="Q1188" i="17"/>
  <c r="A1180" i="17"/>
  <c r="Q1180" i="17"/>
  <c r="A1172" i="17"/>
  <c r="Q1172" i="17"/>
  <c r="A1164" i="17"/>
  <c r="Q1164" i="17"/>
  <c r="A1156" i="17"/>
  <c r="Q1156" i="17"/>
  <c r="A1148" i="17"/>
  <c r="Q1148" i="17"/>
  <c r="A1140" i="17"/>
  <c r="Q1140" i="17"/>
  <c r="A1132" i="17"/>
  <c r="Q1132" i="17"/>
  <c r="A1124" i="17"/>
  <c r="Q1124" i="17"/>
  <c r="A1116" i="17"/>
  <c r="Q1116" i="17"/>
  <c r="A1108" i="17"/>
  <c r="Q1108" i="17"/>
  <c r="A1100" i="17"/>
  <c r="Q1100" i="17"/>
  <c r="A1092" i="17"/>
  <c r="Q1092" i="17"/>
  <c r="A1084" i="17"/>
  <c r="Q1084" i="17"/>
  <c r="A1076" i="17"/>
  <c r="Q1076" i="17"/>
  <c r="A1068" i="17"/>
  <c r="Q1068" i="17"/>
  <c r="A1060" i="17"/>
  <c r="Q1060" i="17"/>
  <c r="A1052" i="17"/>
  <c r="Q1052" i="17"/>
  <c r="A1044" i="17"/>
  <c r="Q1044" i="17"/>
  <c r="A1036" i="17"/>
  <c r="Q1036" i="17"/>
  <c r="A1028" i="17"/>
  <c r="Q1028" i="17"/>
  <c r="A1020" i="17"/>
  <c r="Q1020" i="17"/>
  <c r="A1012" i="17"/>
  <c r="Q1012" i="17"/>
  <c r="A1004" i="17"/>
  <c r="Q1004" i="17"/>
  <c r="A996" i="17"/>
  <c r="Q996" i="17"/>
  <c r="A988" i="17"/>
  <c r="Q988" i="17"/>
  <c r="A980" i="17"/>
  <c r="Q980" i="17"/>
  <c r="A972" i="17"/>
  <c r="Q972" i="17"/>
  <c r="A964" i="17"/>
  <c r="Q964" i="17"/>
  <c r="A956" i="17"/>
  <c r="Q956" i="17"/>
  <c r="A948" i="17"/>
  <c r="Q948" i="17"/>
  <c r="A940" i="17"/>
  <c r="Q940" i="17"/>
  <c r="A932" i="17"/>
  <c r="Q932" i="17"/>
  <c r="A924" i="17"/>
  <c r="Q924" i="17"/>
  <c r="A916" i="17"/>
  <c r="Q916" i="17"/>
  <c r="A908" i="17"/>
  <c r="Q908" i="17"/>
  <c r="A900" i="17"/>
  <c r="Q900" i="17"/>
  <c r="A892" i="17"/>
  <c r="Q892" i="17"/>
  <c r="A884" i="17"/>
  <c r="Q884" i="17"/>
  <c r="A876" i="17"/>
  <c r="Q876" i="17"/>
  <c r="A868" i="17"/>
  <c r="Q868" i="17"/>
  <c r="A860" i="17"/>
  <c r="Q860" i="17"/>
  <c r="A852" i="17"/>
  <c r="Q852" i="17"/>
  <c r="A844" i="17"/>
  <c r="Q844" i="17"/>
  <c r="A836" i="17"/>
  <c r="Q836" i="17"/>
  <c r="A828" i="17"/>
  <c r="Q828" i="17"/>
  <c r="A820" i="17"/>
  <c r="Q820" i="17"/>
  <c r="A812" i="17"/>
  <c r="Q812" i="17"/>
  <c r="A804" i="17"/>
  <c r="Q804" i="17"/>
  <c r="A796" i="17"/>
  <c r="Q796" i="17"/>
  <c r="A788" i="17"/>
  <c r="Q788" i="17"/>
  <c r="A780" i="17"/>
  <c r="Q780" i="17"/>
  <c r="A772" i="17"/>
  <c r="Q772" i="17"/>
  <c r="Q764" i="17"/>
  <c r="A756" i="17"/>
  <c r="Q756" i="17"/>
  <c r="A748" i="17"/>
  <c r="Q748" i="17"/>
  <c r="A740" i="17"/>
  <c r="Q740" i="17"/>
  <c r="A732" i="17"/>
  <c r="Q732" i="17"/>
  <c r="A724" i="17"/>
  <c r="Q724" i="17"/>
  <c r="A716" i="17"/>
  <c r="Q716" i="17"/>
  <c r="A708" i="17"/>
  <c r="Q708" i="17"/>
  <c r="A700" i="17"/>
  <c r="Q700" i="17"/>
  <c r="A692" i="17"/>
  <c r="Q692" i="17"/>
  <c r="A684" i="17"/>
  <c r="Q684" i="17"/>
  <c r="A676" i="17"/>
  <c r="Q676" i="17"/>
  <c r="A668" i="17"/>
  <c r="Q668" i="17"/>
  <c r="A660" i="17"/>
  <c r="Q660" i="17"/>
  <c r="A652" i="17"/>
  <c r="Q652" i="17"/>
  <c r="A644" i="17"/>
  <c r="Q644" i="17"/>
  <c r="A636" i="17"/>
  <c r="Q636" i="17"/>
  <c r="A628" i="17"/>
  <c r="Q628" i="17"/>
  <c r="A620" i="17"/>
  <c r="Q620" i="17"/>
  <c r="A612" i="17"/>
  <c r="Q612" i="17"/>
  <c r="A604" i="17"/>
  <c r="Q604" i="17"/>
  <c r="A596" i="17"/>
  <c r="Q596" i="17"/>
  <c r="A588" i="17"/>
  <c r="Q588" i="17"/>
  <c r="A580" i="17"/>
  <c r="Q580" i="17"/>
  <c r="A572" i="17"/>
  <c r="Q572" i="17"/>
  <c r="A564" i="17"/>
  <c r="Q564" i="17"/>
  <c r="A556" i="17"/>
  <c r="Q556" i="17"/>
  <c r="A548" i="17"/>
  <c r="Q548" i="17"/>
  <c r="A540" i="17"/>
  <c r="Q540" i="17"/>
  <c r="A532" i="17"/>
  <c r="Q532" i="17"/>
  <c r="A524" i="17"/>
  <c r="Q524" i="17"/>
  <c r="A516" i="17"/>
  <c r="Q516" i="17"/>
  <c r="A508" i="17"/>
  <c r="Q508" i="17"/>
  <c r="A500" i="17"/>
  <c r="Q500" i="17"/>
  <c r="A492" i="17"/>
  <c r="Q492" i="17"/>
  <c r="A484" i="17"/>
  <c r="Q484" i="17"/>
  <c r="A476" i="17"/>
  <c r="Q476" i="17"/>
  <c r="A468" i="17"/>
  <c r="Q468" i="17"/>
  <c r="A460" i="17"/>
  <c r="Q460" i="17"/>
  <c r="A452" i="17"/>
  <c r="Q452" i="17"/>
  <c r="A444" i="17"/>
  <c r="Q444" i="17"/>
  <c r="A436" i="17"/>
  <c r="Q436" i="17"/>
  <c r="A428" i="17"/>
  <c r="Q428" i="17"/>
  <c r="A420" i="17"/>
  <c r="Q420" i="17"/>
  <c r="A412" i="17"/>
  <c r="Q412" i="17"/>
  <c r="A404" i="17"/>
  <c r="Q404" i="17"/>
  <c r="A396" i="17"/>
  <c r="Q396" i="17"/>
  <c r="A388" i="17"/>
  <c r="Q388" i="17"/>
  <c r="A380" i="17"/>
  <c r="Q380" i="17"/>
  <c r="A372" i="17"/>
  <c r="Q372" i="17"/>
  <c r="A364" i="17"/>
  <c r="Q364" i="17"/>
  <c r="A356" i="17"/>
  <c r="Q356" i="17"/>
  <c r="A348" i="17"/>
  <c r="Q348" i="17"/>
  <c r="A340" i="17"/>
  <c r="Q340" i="17"/>
  <c r="A332" i="17"/>
  <c r="Q332" i="17"/>
  <c r="A324" i="17"/>
  <c r="Q324" i="17"/>
  <c r="A316" i="17"/>
  <c r="Q316" i="17"/>
  <c r="A308" i="17"/>
  <c r="Q308" i="17"/>
  <c r="A300" i="17"/>
  <c r="Q300" i="17"/>
  <c r="A292" i="17"/>
  <c r="Q292" i="17"/>
  <c r="A284" i="17"/>
  <c r="Q284" i="17"/>
  <c r="A276" i="17"/>
  <c r="Q276" i="17"/>
  <c r="A268" i="17"/>
  <c r="Q268" i="17"/>
  <c r="A260" i="17"/>
  <c r="Q260" i="17"/>
  <c r="A252" i="17"/>
  <c r="Q252" i="17"/>
  <c r="A244" i="17"/>
  <c r="Q244" i="17"/>
  <c r="A236" i="17"/>
  <c r="Q236" i="17"/>
  <c r="A228" i="17"/>
  <c r="Q228" i="17"/>
  <c r="A220" i="17"/>
  <c r="Q220" i="17"/>
  <c r="A212" i="17"/>
  <c r="Q212" i="17"/>
  <c r="A2676" i="17"/>
  <c r="Q3686" i="17"/>
  <c r="Q3642" i="17"/>
  <c r="Q3602" i="17"/>
  <c r="Q3561" i="17"/>
  <c r="Q3521" i="17"/>
  <c r="Q3481" i="17"/>
  <c r="Q3458" i="17"/>
  <c r="Q3438" i="17"/>
  <c r="Q3418" i="17"/>
  <c r="Q3374" i="17"/>
  <c r="Q3322" i="17"/>
  <c r="Q3221" i="17"/>
  <c r="Q3169" i="17"/>
  <c r="Q3118" i="17"/>
  <c r="Q3066" i="17"/>
  <c r="Q3012" i="17"/>
  <c r="Q2955" i="17"/>
  <c r="Q2747" i="17"/>
  <c r="Q2657" i="17"/>
  <c r="Q2555" i="17"/>
  <c r="Q2438" i="17"/>
  <c r="Q2323" i="17"/>
  <c r="Q2173" i="17"/>
  <c r="Q2009" i="17"/>
  <c r="Q1841" i="17"/>
  <c r="Q1642" i="17"/>
  <c r="Q1409" i="17"/>
  <c r="A3547" i="17"/>
  <c r="Q3547" i="17"/>
  <c r="A3539" i="17"/>
  <c r="Q3539" i="17"/>
  <c r="A3531" i="17"/>
  <c r="Q3531" i="17"/>
  <c r="A3523" i="17"/>
  <c r="Q3523" i="17"/>
  <c r="A3515" i="17"/>
  <c r="Q3515" i="17"/>
  <c r="A3507" i="17"/>
  <c r="Q3507" i="17"/>
  <c r="A3499" i="17"/>
  <c r="Q3499" i="17"/>
  <c r="A2367" i="17"/>
  <c r="Q2367" i="17"/>
  <c r="A3483" i="17"/>
  <c r="Q3483" i="17"/>
  <c r="A3475" i="17"/>
  <c r="Q3475" i="17"/>
  <c r="A3467" i="17"/>
  <c r="Q3467" i="17"/>
  <c r="A3459" i="17"/>
  <c r="Q3459" i="17"/>
  <c r="A3451" i="17"/>
  <c r="Q3451" i="17"/>
  <c r="A3443" i="17"/>
  <c r="Q3443" i="17"/>
  <c r="A3435" i="17"/>
  <c r="Q3435" i="17"/>
  <c r="A3427" i="17"/>
  <c r="Q3427" i="17"/>
  <c r="A3419" i="17"/>
  <c r="Q3419" i="17"/>
  <c r="A3411" i="17"/>
  <c r="Q3411" i="17"/>
  <c r="A3403" i="17"/>
  <c r="Q3403" i="17"/>
  <c r="A3395" i="17"/>
  <c r="Q3395" i="17"/>
  <c r="A3387" i="17"/>
  <c r="Q3387" i="17"/>
  <c r="A3379" i="17"/>
  <c r="Q3379" i="17"/>
  <c r="A3371" i="17"/>
  <c r="Q3371" i="17"/>
  <c r="A3363" i="17"/>
  <c r="Q3363" i="17"/>
  <c r="A3355" i="17"/>
  <c r="Q3355" i="17"/>
  <c r="A3347" i="17"/>
  <c r="Q3347" i="17"/>
  <c r="A3339" i="17"/>
  <c r="Q3339" i="17"/>
  <c r="A3331" i="17"/>
  <c r="Q3331" i="17"/>
  <c r="A3323" i="17"/>
  <c r="Q3323" i="17"/>
  <c r="A3315" i="17"/>
  <c r="Q3315" i="17"/>
  <c r="A3307" i="17"/>
  <c r="Q3307" i="17"/>
  <c r="A3299" i="17"/>
  <c r="Q3299" i="17"/>
  <c r="A3291" i="17"/>
  <c r="Q3291" i="17"/>
  <c r="A3283" i="17"/>
  <c r="Q3283" i="17"/>
  <c r="A3275" i="17"/>
  <c r="Q3275" i="17"/>
  <c r="A3267" i="17"/>
  <c r="Q3267" i="17"/>
  <c r="A3259" i="17"/>
  <c r="Q3259" i="17"/>
  <c r="A3251" i="17"/>
  <c r="Q3251" i="17"/>
  <c r="A3243" i="17"/>
  <c r="Q3243" i="17"/>
  <c r="A3235" i="17"/>
  <c r="Q3235" i="17"/>
  <c r="A3227" i="17"/>
  <c r="Q3227" i="17"/>
  <c r="A3491" i="17"/>
  <c r="Q3491" i="17"/>
  <c r="A3211" i="17"/>
  <c r="Q3211" i="17"/>
  <c r="A3203" i="17"/>
  <c r="Q3203" i="17"/>
  <c r="A3195" i="17"/>
  <c r="Q3195" i="17"/>
  <c r="A3187" i="17"/>
  <c r="Q3187" i="17"/>
  <c r="A3179" i="17"/>
  <c r="Q3179" i="17"/>
  <c r="A3171" i="17"/>
  <c r="Q3171" i="17"/>
  <c r="A3163" i="17"/>
  <c r="Q3163" i="17"/>
  <c r="A3155" i="17"/>
  <c r="Q3155" i="17"/>
  <c r="A3147" i="17"/>
  <c r="Q3147" i="17"/>
  <c r="A3139" i="17"/>
  <c r="Q3139" i="17"/>
  <c r="A3131" i="17"/>
  <c r="Q3131" i="17"/>
  <c r="A3123" i="17"/>
  <c r="Q3123" i="17"/>
  <c r="A3115" i="17"/>
  <c r="Q3115" i="17"/>
  <c r="A3107" i="17"/>
  <c r="Q3107" i="17"/>
  <c r="A3099" i="17"/>
  <c r="Q3099" i="17"/>
  <c r="A3091" i="17"/>
  <c r="Q3091" i="17"/>
  <c r="A3083" i="17"/>
  <c r="Q3083" i="17"/>
  <c r="A3075" i="17"/>
  <c r="Q3075" i="17"/>
  <c r="A3067" i="17"/>
  <c r="Q3067" i="17"/>
  <c r="A3059" i="17"/>
  <c r="Q3059" i="17"/>
  <c r="A3051" i="17"/>
  <c r="Q3051" i="17"/>
  <c r="A3043" i="17"/>
  <c r="Q3043" i="17"/>
  <c r="A3035" i="17"/>
  <c r="Q3035" i="17"/>
  <c r="A3027" i="17"/>
  <c r="Q3027" i="17"/>
  <c r="A3019" i="17"/>
  <c r="Q3019" i="17"/>
  <c r="A3003" i="17"/>
  <c r="Q3003" i="17"/>
  <c r="A2995" i="17"/>
  <c r="Q2995" i="17"/>
  <c r="A2987" i="17"/>
  <c r="Q2987" i="17"/>
  <c r="A2979" i="17"/>
  <c r="Q2979" i="17"/>
  <c r="A2971" i="17"/>
  <c r="Q2971" i="17"/>
  <c r="A2963" i="17"/>
  <c r="Q2963" i="17"/>
  <c r="A2947" i="17"/>
  <c r="Q2947" i="17"/>
  <c r="A2931" i="17"/>
  <c r="Q2931" i="17"/>
  <c r="A2915" i="17"/>
  <c r="Q2915" i="17"/>
  <c r="A2907" i="17"/>
  <c r="Q2907" i="17"/>
  <c r="A2899" i="17"/>
  <c r="Q2899" i="17"/>
  <c r="A2891" i="17"/>
  <c r="Q2891" i="17"/>
  <c r="A2883" i="17"/>
  <c r="Q2883" i="17"/>
  <c r="A2875" i="17"/>
  <c r="Q2875" i="17"/>
  <c r="A2867" i="17"/>
  <c r="Q2867" i="17"/>
  <c r="A2859" i="17"/>
  <c r="Q2859" i="17"/>
  <c r="A2851" i="17"/>
  <c r="Q2851" i="17"/>
  <c r="A2843" i="17"/>
  <c r="Q2843" i="17"/>
  <c r="A2835" i="17"/>
  <c r="Q2835" i="17"/>
  <c r="A2827" i="17"/>
  <c r="Q2827" i="17"/>
  <c r="A2819" i="17"/>
  <c r="Q2819" i="17"/>
  <c r="A2811" i="17"/>
  <c r="Q2811" i="17"/>
  <c r="A2803" i="17"/>
  <c r="Q2803" i="17"/>
  <c r="A2795" i="17"/>
  <c r="Q2795" i="17"/>
  <c r="A2787" i="17"/>
  <c r="Q2787" i="17"/>
  <c r="A2779" i="17"/>
  <c r="Q2779" i="17"/>
  <c r="A2771" i="17"/>
  <c r="Q2771" i="17"/>
  <c r="A2763" i="17"/>
  <c r="Q2763" i="17"/>
  <c r="A2755" i="17"/>
  <c r="Q2755" i="17"/>
  <c r="A2739" i="17"/>
  <c r="Q2739" i="17"/>
  <c r="A2731" i="17"/>
  <c r="Q2731" i="17"/>
  <c r="A2723" i="17"/>
  <c r="Q2723" i="17"/>
  <c r="A2715" i="17"/>
  <c r="Q2715" i="17"/>
  <c r="A2699" i="17"/>
  <c r="Q2699" i="17"/>
  <c r="A2691" i="17"/>
  <c r="Q2691" i="17"/>
  <c r="A2675" i="17"/>
  <c r="Q2675" i="17"/>
  <c r="A2667" i="17"/>
  <c r="Q2667" i="17"/>
  <c r="A2659" i="17"/>
  <c r="Q2659" i="17"/>
  <c r="A2651" i="17"/>
  <c r="Q2651" i="17"/>
  <c r="A2643" i="17"/>
  <c r="Q2643" i="17"/>
  <c r="A2635" i="17"/>
  <c r="Q2635" i="17"/>
  <c r="A2619" i="17"/>
  <c r="Q2619" i="17"/>
  <c r="A2611" i="17"/>
  <c r="Q2611" i="17"/>
  <c r="A2603" i="17"/>
  <c r="Q2603" i="17"/>
  <c r="A2595" i="17"/>
  <c r="Q2595" i="17"/>
  <c r="A2587" i="17"/>
  <c r="Q2587" i="17"/>
  <c r="A2579" i="17"/>
  <c r="Q2579" i="17"/>
  <c r="A2571" i="17"/>
  <c r="Q2571" i="17"/>
  <c r="A2453" i="17"/>
  <c r="Q2453" i="17"/>
  <c r="A2547" i="17"/>
  <c r="Q2547" i="17"/>
  <c r="A2539" i="17"/>
  <c r="Q2539" i="17"/>
  <c r="A2531" i="17"/>
  <c r="Q2531" i="17"/>
  <c r="A2523" i="17"/>
  <c r="Q2523" i="17"/>
  <c r="A2515" i="17"/>
  <c r="Q2515" i="17"/>
  <c r="A2507" i="17"/>
  <c r="Q2507" i="17"/>
  <c r="A2499" i="17"/>
  <c r="Q2499" i="17"/>
  <c r="A2491" i="17"/>
  <c r="Q2491" i="17"/>
  <c r="A2483" i="17"/>
  <c r="Q2483" i="17"/>
  <c r="A2475" i="17"/>
  <c r="Q2475" i="17"/>
  <c r="A2467" i="17"/>
  <c r="Q2467" i="17"/>
  <c r="A2459" i="17"/>
  <c r="Q2459" i="17"/>
  <c r="A2373" i="17"/>
  <c r="Q2373" i="17"/>
  <c r="A2443" i="17"/>
  <c r="Q2443" i="17"/>
  <c r="A2435" i="17"/>
  <c r="Q2435" i="17"/>
  <c r="A2427" i="17"/>
  <c r="Q2427" i="17"/>
  <c r="A2419" i="17"/>
  <c r="Q2419" i="17"/>
  <c r="A2411" i="17"/>
  <c r="Q2411" i="17"/>
  <c r="A2403" i="17"/>
  <c r="Q2403" i="17"/>
  <c r="A2395" i="17"/>
  <c r="Q2395" i="17"/>
  <c r="A2387" i="17"/>
  <c r="Q2387" i="17"/>
  <c r="A2379" i="17"/>
  <c r="Q2379" i="17"/>
  <c r="A2027" i="17"/>
  <c r="Q2027" i="17"/>
  <c r="A2363" i="17"/>
  <c r="Q2363" i="17"/>
  <c r="A2355" i="17"/>
  <c r="Q2355" i="17"/>
  <c r="A2347" i="17"/>
  <c r="Q2347" i="17"/>
  <c r="A2339" i="17"/>
  <c r="Q2339" i="17"/>
  <c r="A2331" i="17"/>
  <c r="Q2331" i="17"/>
  <c r="A2315" i="17"/>
  <c r="Q2315" i="17"/>
  <c r="A2307" i="17"/>
  <c r="Q2307" i="17"/>
  <c r="A2299" i="17"/>
  <c r="Q2299" i="17"/>
  <c r="A2291" i="17"/>
  <c r="Q2291" i="17"/>
  <c r="A2283" i="17"/>
  <c r="Q2283" i="17"/>
  <c r="A2275" i="17"/>
  <c r="Q2275" i="17"/>
  <c r="A2267" i="17"/>
  <c r="Q2267" i="17"/>
  <c r="A2259" i="17"/>
  <c r="Q2259" i="17"/>
  <c r="A2251" i="17"/>
  <c r="Q2251" i="17"/>
  <c r="A2243" i="17"/>
  <c r="Q2243" i="17"/>
  <c r="A2235" i="17"/>
  <c r="Q2235" i="17"/>
  <c r="A2227" i="17"/>
  <c r="Q2227" i="17"/>
  <c r="A2219" i="17"/>
  <c r="Q2219" i="17"/>
  <c r="A2211" i="17"/>
  <c r="Q2211" i="17"/>
  <c r="A2203" i="17"/>
  <c r="Q2203" i="17"/>
  <c r="A2195" i="17"/>
  <c r="Q2195" i="17"/>
  <c r="A2187" i="17"/>
  <c r="Q2187" i="17"/>
  <c r="A2179" i="17"/>
  <c r="Q2179" i="17"/>
  <c r="A2171" i="17"/>
  <c r="Q2171" i="17"/>
  <c r="A2163" i="17"/>
  <c r="Q2163" i="17"/>
  <c r="A2155" i="17"/>
  <c r="Q2155" i="17"/>
  <c r="A2147" i="17"/>
  <c r="Q2147" i="17"/>
  <c r="A2139" i="17"/>
  <c r="Q2139" i="17"/>
  <c r="A2131" i="17"/>
  <c r="Q2131" i="17"/>
  <c r="A2115" i="17"/>
  <c r="Q2115" i="17"/>
  <c r="A2107" i="17"/>
  <c r="Q2107" i="17"/>
  <c r="A2099" i="17"/>
  <c r="Q2099" i="17"/>
  <c r="A2091" i="17"/>
  <c r="Q2091" i="17"/>
  <c r="A2075" i="17"/>
  <c r="Q2075" i="17"/>
  <c r="A2067" i="17"/>
  <c r="Q2067" i="17"/>
  <c r="A2059" i="17"/>
  <c r="Q2059" i="17"/>
  <c r="A2051" i="17"/>
  <c r="Q2051" i="17"/>
  <c r="A2035" i="17"/>
  <c r="Q2035" i="17"/>
  <c r="A1569" i="17"/>
  <c r="Q1569" i="17"/>
  <c r="A2019" i="17"/>
  <c r="Q2019" i="17"/>
  <c r="A2011" i="17"/>
  <c r="Q2011" i="17"/>
  <c r="A2003" i="17"/>
  <c r="Q2003" i="17"/>
  <c r="A1995" i="17"/>
  <c r="Q1995" i="17"/>
  <c r="A1987" i="17"/>
  <c r="Q1987" i="17"/>
  <c r="A1979" i="17"/>
  <c r="Q1979" i="17"/>
  <c r="A1971" i="17"/>
  <c r="Q1971" i="17"/>
  <c r="A1963" i="17"/>
  <c r="Q1963" i="17"/>
  <c r="A1955" i="17"/>
  <c r="Q1955" i="17"/>
  <c r="A1947" i="17"/>
  <c r="Q1947" i="17"/>
  <c r="A1939" i="17"/>
  <c r="Q1939" i="17"/>
  <c r="A1931" i="17"/>
  <c r="Q1931" i="17"/>
  <c r="A1923" i="17"/>
  <c r="Q1923" i="17"/>
  <c r="A1915" i="17"/>
  <c r="Q1915" i="17"/>
  <c r="A1907" i="17"/>
  <c r="Q1907" i="17"/>
  <c r="A1899" i="17"/>
  <c r="Q1899" i="17"/>
  <c r="A1891" i="17"/>
  <c r="Q1891" i="17"/>
  <c r="A1883" i="17"/>
  <c r="Q1883" i="17"/>
  <c r="A1875" i="17"/>
  <c r="Q1875" i="17"/>
  <c r="A1867" i="17"/>
  <c r="Q1867" i="17"/>
  <c r="A1859" i="17"/>
  <c r="Q1859" i="17"/>
  <c r="A1851" i="17"/>
  <c r="Q1851" i="17"/>
  <c r="A1843" i="17"/>
  <c r="Q1843" i="17"/>
  <c r="A1835" i="17"/>
  <c r="Q1835" i="17"/>
  <c r="A1827" i="17"/>
  <c r="Q1827" i="17"/>
  <c r="A1819" i="17"/>
  <c r="Q1819" i="17"/>
  <c r="A1811" i="17"/>
  <c r="Q1811" i="17"/>
  <c r="A1803" i="17"/>
  <c r="Q1803" i="17"/>
  <c r="A1795" i="17"/>
  <c r="Q1795" i="17"/>
  <c r="A1787" i="17"/>
  <c r="Q1787" i="17"/>
  <c r="A1779" i="17"/>
  <c r="Q1779" i="17"/>
  <c r="A1771" i="17"/>
  <c r="Q1771" i="17"/>
  <c r="A1763" i="17"/>
  <c r="Q1763" i="17"/>
  <c r="A1755" i="17"/>
  <c r="Q1755" i="17"/>
  <c r="A1739" i="17"/>
  <c r="Q1739" i="17"/>
  <c r="A1731" i="17"/>
  <c r="Q1731" i="17"/>
  <c r="A1723" i="17"/>
  <c r="Q1723" i="17"/>
  <c r="A1715" i="17"/>
  <c r="Q1715" i="17"/>
  <c r="A1707" i="17"/>
  <c r="Q1707" i="17"/>
  <c r="A1699" i="17"/>
  <c r="Q1699" i="17"/>
  <c r="A1691" i="17"/>
  <c r="Q1691" i="17"/>
  <c r="A1683" i="17"/>
  <c r="Q1683" i="17"/>
  <c r="A1675" i="17"/>
  <c r="Q1675" i="17"/>
  <c r="A1667" i="17"/>
  <c r="Q1667" i="17"/>
  <c r="A1659" i="17"/>
  <c r="Q1659" i="17"/>
  <c r="A1651" i="17"/>
  <c r="Q1651" i="17"/>
  <c r="A1643" i="17"/>
  <c r="Q1643" i="17"/>
  <c r="A1635" i="17"/>
  <c r="Q1635" i="17"/>
  <c r="A1627" i="17"/>
  <c r="Q1627" i="17"/>
  <c r="A1619" i="17"/>
  <c r="Q1619" i="17"/>
  <c r="A1611" i="17"/>
  <c r="Q1611" i="17"/>
  <c r="A1603" i="17"/>
  <c r="Q1603" i="17"/>
  <c r="A1595" i="17"/>
  <c r="Q1595" i="17"/>
  <c r="A1587" i="17"/>
  <c r="Q1587" i="17"/>
  <c r="A3220" i="17"/>
  <c r="Q3220" i="17"/>
  <c r="A1563" i="17"/>
  <c r="Q1563" i="17"/>
  <c r="A1555" i="17"/>
  <c r="Q1555" i="17"/>
  <c r="A1547" i="17"/>
  <c r="Q1547" i="17"/>
  <c r="A1539" i="17"/>
  <c r="Q1539" i="17"/>
  <c r="A1523" i="17"/>
  <c r="Q1523" i="17"/>
  <c r="A1515" i="17"/>
  <c r="Q1515" i="17"/>
  <c r="A1507" i="17"/>
  <c r="Q1507" i="17"/>
  <c r="A1499" i="17"/>
  <c r="Q1499" i="17"/>
  <c r="A1491" i="17"/>
  <c r="Q1491" i="17"/>
  <c r="A1483" i="17"/>
  <c r="Q1483" i="17"/>
  <c r="A1475" i="17"/>
  <c r="Q1475" i="17"/>
  <c r="A1459" i="17"/>
  <c r="Q1459" i="17"/>
  <c r="A1451" i="17"/>
  <c r="Q1451" i="17"/>
  <c r="A1443" i="17"/>
  <c r="Q1443" i="17"/>
  <c r="A1435" i="17"/>
  <c r="Q1435" i="17"/>
  <c r="A1427" i="17"/>
  <c r="Q1427" i="17"/>
  <c r="A1419" i="17"/>
  <c r="Q1419" i="17"/>
  <c r="A1411" i="17"/>
  <c r="Q1411" i="17"/>
  <c r="A1403" i="17"/>
  <c r="Q1403" i="17"/>
  <c r="A1395" i="17"/>
  <c r="Q1395" i="17"/>
  <c r="A1387" i="17"/>
  <c r="Q1387" i="17"/>
  <c r="A1379" i="17"/>
  <c r="Q1379" i="17"/>
  <c r="A1371" i="17"/>
  <c r="Q1371" i="17"/>
  <c r="A1363" i="17"/>
  <c r="Q1363" i="17"/>
  <c r="A1355" i="17"/>
  <c r="Q1355" i="17"/>
  <c r="A1347" i="17"/>
  <c r="Q1347" i="17"/>
  <c r="A1339" i="17"/>
  <c r="Q1339" i="17"/>
  <c r="A1331" i="17"/>
  <c r="Q1331" i="17"/>
  <c r="A1323" i="17"/>
  <c r="Q1323" i="17"/>
  <c r="A1315" i="17"/>
  <c r="Q1315" i="17"/>
  <c r="A1307" i="17"/>
  <c r="Q1307" i="17"/>
  <c r="A1299" i="17"/>
  <c r="Q1299" i="17"/>
  <c r="A1291" i="17"/>
  <c r="Q1291" i="17"/>
  <c r="A1283" i="17"/>
  <c r="Q1283" i="17"/>
  <c r="A1275" i="17"/>
  <c r="Q1275" i="17"/>
  <c r="A1267" i="17"/>
  <c r="Q1267" i="17"/>
  <c r="A1259" i="17"/>
  <c r="Q1259" i="17"/>
  <c r="A1251" i="17"/>
  <c r="Q1251" i="17"/>
  <c r="A1243" i="17"/>
  <c r="Q1243" i="17"/>
  <c r="A1235" i="17"/>
  <c r="Q1235" i="17"/>
  <c r="A1227" i="17"/>
  <c r="Q1227" i="17"/>
  <c r="A1219" i="17"/>
  <c r="Q1219" i="17"/>
  <c r="A1211" i="17"/>
  <c r="Q1211" i="17"/>
  <c r="A1203" i="17"/>
  <c r="Q1203" i="17"/>
  <c r="A1195" i="17"/>
  <c r="Q1195" i="17"/>
  <c r="A1187" i="17"/>
  <c r="Q1187" i="17"/>
  <c r="A1179" i="17"/>
  <c r="Q1179" i="17"/>
  <c r="A1171" i="17"/>
  <c r="Q1171" i="17"/>
  <c r="A1163" i="17"/>
  <c r="Q1163" i="17"/>
  <c r="A1155" i="17"/>
  <c r="Q1155" i="17"/>
  <c r="A1147" i="17"/>
  <c r="Q1147" i="17"/>
  <c r="A1139" i="17"/>
  <c r="Q1139" i="17"/>
  <c r="A1131" i="17"/>
  <c r="Q1131" i="17"/>
  <c r="A1123" i="17"/>
  <c r="Q1123" i="17"/>
  <c r="A1115" i="17"/>
  <c r="Q1115" i="17"/>
  <c r="A1107" i="17"/>
  <c r="Q1107" i="17"/>
  <c r="A1099" i="17"/>
  <c r="Q1099" i="17"/>
  <c r="A1091" i="17"/>
  <c r="Q1091" i="17"/>
  <c r="A1083" i="17"/>
  <c r="Q1083" i="17"/>
  <c r="A1075" i="17"/>
  <c r="Q1075" i="17"/>
  <c r="A1067" i="17"/>
  <c r="Q1067" i="17"/>
  <c r="A1059" i="17"/>
  <c r="Q1059" i="17"/>
  <c r="A1051" i="17"/>
  <c r="Q1051" i="17"/>
  <c r="A1043" i="17"/>
  <c r="Q1043" i="17"/>
  <c r="A1035" i="17"/>
  <c r="Q1035" i="17"/>
  <c r="A1027" i="17"/>
  <c r="Q1027" i="17"/>
  <c r="A1019" i="17"/>
  <c r="Q1019" i="17"/>
  <c r="A1011" i="17"/>
  <c r="Q1011" i="17"/>
  <c r="A1003" i="17"/>
  <c r="Q1003" i="17"/>
  <c r="A995" i="17"/>
  <c r="Q995" i="17"/>
  <c r="A987" i="17"/>
  <c r="Q987" i="17"/>
  <c r="A979" i="17"/>
  <c r="Q979" i="17"/>
  <c r="A971" i="17"/>
  <c r="Q971" i="17"/>
  <c r="A963" i="17"/>
  <c r="Q963" i="17"/>
  <c r="A955" i="17"/>
  <c r="Q955" i="17"/>
  <c r="A947" i="17"/>
  <c r="Q947" i="17"/>
  <c r="A939" i="17"/>
  <c r="Q939" i="17"/>
  <c r="A931" i="17"/>
  <c r="Q931" i="17"/>
  <c r="A923" i="17"/>
  <c r="Q923" i="17"/>
  <c r="A915" i="17"/>
  <c r="Q915" i="17"/>
  <c r="A907" i="17"/>
  <c r="Q907" i="17"/>
  <c r="A899" i="17"/>
  <c r="Q899" i="17"/>
  <c r="A891" i="17"/>
  <c r="Q891" i="17"/>
  <c r="A883" i="17"/>
  <c r="Q883" i="17"/>
  <c r="A875" i="17"/>
  <c r="Q875" i="17"/>
  <c r="A867" i="17"/>
  <c r="Q867" i="17"/>
  <c r="A859" i="17"/>
  <c r="Q859" i="17"/>
  <c r="A851" i="17"/>
  <c r="Q851" i="17"/>
  <c r="A843" i="17"/>
  <c r="Q843" i="17"/>
  <c r="A835" i="17"/>
  <c r="Q835" i="17"/>
  <c r="A827" i="17"/>
  <c r="Q827" i="17"/>
  <c r="A819" i="17"/>
  <c r="Q819" i="17"/>
  <c r="A811" i="17"/>
  <c r="Q811" i="17"/>
  <c r="A803" i="17"/>
  <c r="Q803" i="17"/>
  <c r="A795" i="17"/>
  <c r="Q795" i="17"/>
  <c r="A787" i="17"/>
  <c r="Q787" i="17"/>
  <c r="A779" i="17"/>
  <c r="Q779" i="17"/>
  <c r="A771" i="17"/>
  <c r="Q771" i="17"/>
  <c r="A763" i="17"/>
  <c r="Q763" i="17"/>
  <c r="A755" i="17"/>
  <c r="Q755" i="17"/>
  <c r="A747" i="17"/>
  <c r="Q747" i="17"/>
  <c r="A739" i="17"/>
  <c r="Q739" i="17"/>
  <c r="A731" i="17"/>
  <c r="Q731" i="17"/>
  <c r="A723" i="17"/>
  <c r="Q723" i="17"/>
  <c r="A715" i="17"/>
  <c r="Q715" i="17"/>
  <c r="A707" i="17"/>
  <c r="Q707" i="17"/>
  <c r="A699" i="17"/>
  <c r="Q699" i="17"/>
  <c r="A691" i="17"/>
  <c r="Q691" i="17"/>
  <c r="A683" i="17"/>
  <c r="Q683" i="17"/>
  <c r="A675" i="17"/>
  <c r="Q675" i="17"/>
  <c r="A667" i="17"/>
  <c r="Q667" i="17"/>
  <c r="A659" i="17"/>
  <c r="Q659" i="17"/>
  <c r="A651" i="17"/>
  <c r="Q651" i="17"/>
  <c r="A643" i="17"/>
  <c r="Q643" i="17"/>
  <c r="A635" i="17"/>
  <c r="Q635" i="17"/>
  <c r="A627" i="17"/>
  <c r="Q627" i="17"/>
  <c r="A619" i="17"/>
  <c r="Q619" i="17"/>
  <c r="A611" i="17"/>
  <c r="Q611" i="17"/>
  <c r="A603" i="17"/>
  <c r="Q603" i="17"/>
  <c r="A595" i="17"/>
  <c r="Q595" i="17"/>
  <c r="A587" i="17"/>
  <c r="Q587" i="17"/>
  <c r="A579" i="17"/>
  <c r="Q579" i="17"/>
  <c r="A571" i="17"/>
  <c r="Q571" i="17"/>
  <c r="A563" i="17"/>
  <c r="Q563" i="17"/>
  <c r="A555" i="17"/>
  <c r="Q555" i="17"/>
  <c r="A547" i="17"/>
  <c r="Q547" i="17"/>
  <c r="A539" i="17"/>
  <c r="Q539" i="17"/>
  <c r="A531" i="17"/>
  <c r="Q531" i="17"/>
  <c r="A523" i="17"/>
  <c r="Q523" i="17"/>
  <c r="A515" i="17"/>
  <c r="Q515" i="17"/>
  <c r="A507" i="17"/>
  <c r="Q507" i="17"/>
  <c r="A499" i="17"/>
  <c r="Q499" i="17"/>
  <c r="A491" i="17"/>
  <c r="Q491" i="17"/>
  <c r="A483" i="17"/>
  <c r="Q483" i="17"/>
  <c r="A475" i="17"/>
  <c r="Q475" i="17"/>
  <c r="A467" i="17"/>
  <c r="Q467" i="17"/>
  <c r="A459" i="17"/>
  <c r="Q459" i="17"/>
  <c r="A451" i="17"/>
  <c r="Q451" i="17"/>
  <c r="A443" i="17"/>
  <c r="Q443" i="17"/>
  <c r="A435" i="17"/>
  <c r="Q435" i="17"/>
  <c r="A427" i="17"/>
  <c r="Q427" i="17"/>
  <c r="A419" i="17"/>
  <c r="Q419" i="17"/>
  <c r="A411" i="17"/>
  <c r="Q411" i="17"/>
  <c r="A403" i="17"/>
  <c r="Q403" i="17"/>
  <c r="A395" i="17"/>
  <c r="Q395" i="17"/>
  <c r="A387" i="17"/>
  <c r="Q387" i="17"/>
  <c r="A379" i="17"/>
  <c r="Q379" i="17"/>
  <c r="A371" i="17"/>
  <c r="Q371" i="17"/>
  <c r="A363" i="17"/>
  <c r="Q363" i="17"/>
  <c r="A355" i="17"/>
  <c r="Q355" i="17"/>
  <c r="A347" i="17"/>
  <c r="Q347" i="17"/>
  <c r="A339" i="17"/>
  <c r="Q339" i="17"/>
  <c r="A331" i="17"/>
  <c r="Q331" i="17"/>
  <c r="A323" i="17"/>
  <c r="Q323" i="17"/>
  <c r="A315" i="17"/>
  <c r="Q315" i="17"/>
  <c r="A307" i="17"/>
  <c r="Q307" i="17"/>
  <c r="A299" i="17"/>
  <c r="Q299" i="17"/>
  <c r="A291" i="17"/>
  <c r="Q291" i="17"/>
  <c r="A283" i="17"/>
  <c r="Q283" i="17"/>
  <c r="A275" i="17"/>
  <c r="Q275" i="17"/>
  <c r="A267" i="17"/>
  <c r="Q267" i="17"/>
  <c r="A259" i="17"/>
  <c r="Q259" i="17"/>
  <c r="A251" i="17"/>
  <c r="Q251" i="17"/>
  <c r="A243" i="17"/>
  <c r="Q243" i="17"/>
  <c r="A235" i="17"/>
  <c r="Q235" i="17"/>
  <c r="A227" i="17"/>
  <c r="Q227" i="17"/>
  <c r="A219" i="17"/>
  <c r="Q219" i="17"/>
  <c r="A211" i="17"/>
  <c r="Q211" i="17"/>
  <c r="A203" i="17"/>
  <c r="Q203" i="17"/>
  <c r="A1916" i="17"/>
  <c r="Q3681" i="17"/>
  <c r="Q3662" i="17"/>
  <c r="Q3641" i="17"/>
  <c r="Q3622" i="17"/>
  <c r="Q3578" i="17"/>
  <c r="Q3538" i="17"/>
  <c r="Q3497" i="17"/>
  <c r="Q3457" i="17"/>
  <c r="Q3417" i="17"/>
  <c r="Q3321" i="17"/>
  <c r="Q3270" i="17"/>
  <c r="Q3218" i="17"/>
  <c r="Q3117" i="17"/>
  <c r="Q3065" i="17"/>
  <c r="Q3011" i="17"/>
  <c r="Q2894" i="17"/>
  <c r="Q2828" i="17"/>
  <c r="Q2745" i="17"/>
  <c r="Q2652" i="17"/>
  <c r="Q2434" i="17"/>
  <c r="Q2316" i="17"/>
  <c r="Q2165" i="17"/>
  <c r="Q2001" i="17"/>
  <c r="Q1833" i="17"/>
  <c r="Q1633" i="17"/>
  <c r="A3690" i="17"/>
  <c r="Q3690" i="17"/>
  <c r="A3682" i="17"/>
  <c r="Q3682" i="17"/>
  <c r="A3658" i="17"/>
  <c r="Q3658" i="17"/>
  <c r="A3626" i="17"/>
  <c r="Q3626" i="17"/>
  <c r="A3618" i="17"/>
  <c r="Q3618" i="17"/>
  <c r="A3594" i="17"/>
  <c r="Q3594" i="17"/>
  <c r="A3562" i="17"/>
  <c r="Q3562" i="17"/>
  <c r="A3554" i="17"/>
  <c r="Q3554" i="17"/>
  <c r="A3530" i="17"/>
  <c r="Q3530" i="17"/>
  <c r="A3498" i="17"/>
  <c r="Q3498" i="17"/>
  <c r="A2366" i="17"/>
  <c r="Q2366" i="17"/>
  <c r="A3466" i="17"/>
  <c r="Q3466" i="17"/>
  <c r="A3434" i="17"/>
  <c r="Q3434" i="17"/>
  <c r="A3426" i="17"/>
  <c r="Q3426" i="17"/>
  <c r="A3402" i="17"/>
  <c r="Q3402" i="17"/>
  <c r="A3394" i="17"/>
  <c r="Q3394" i="17"/>
  <c r="A3378" i="17"/>
  <c r="Q3378" i="17"/>
  <c r="A3370" i="17"/>
  <c r="Q3370" i="17"/>
  <c r="A3362" i="17"/>
  <c r="Q3362" i="17"/>
  <c r="A3354" i="17"/>
  <c r="Q3354" i="17"/>
  <c r="A3338" i="17"/>
  <c r="Q3338" i="17"/>
  <c r="A3330" i="17"/>
  <c r="Q3330" i="17"/>
  <c r="A3314" i="17"/>
  <c r="Q3314" i="17"/>
  <c r="A3306" i="17"/>
  <c r="Q3306" i="17"/>
  <c r="A3298" i="17"/>
  <c r="Q3298" i="17"/>
  <c r="A3290" i="17"/>
  <c r="Q3290" i="17"/>
  <c r="A3274" i="17"/>
  <c r="Q3274" i="17"/>
  <c r="A3266" i="17"/>
  <c r="Q3266" i="17"/>
  <c r="A3250" i="17"/>
  <c r="Q3250" i="17"/>
  <c r="A3242" i="17"/>
  <c r="Q3242" i="17"/>
  <c r="A3234" i="17"/>
  <c r="Q3234" i="17"/>
  <c r="A3226" i="17"/>
  <c r="Q3226" i="17"/>
  <c r="A3210" i="17"/>
  <c r="Q3210" i="17"/>
  <c r="A3202" i="17"/>
  <c r="Q3202" i="17"/>
  <c r="A3186" i="17"/>
  <c r="Q3186" i="17"/>
  <c r="A3178" i="17"/>
  <c r="Q3178" i="17"/>
  <c r="Q3170" i="17"/>
  <c r="A3162" i="17"/>
  <c r="Q3162" i="17"/>
  <c r="A3146" i="17"/>
  <c r="Q3146" i="17"/>
  <c r="A3138" i="17"/>
  <c r="Q3138" i="17"/>
  <c r="A3122" i="17"/>
  <c r="Q3122" i="17"/>
  <c r="A3114" i="17"/>
  <c r="Q3114" i="17"/>
  <c r="A3106" i="17"/>
  <c r="Q3106" i="17"/>
  <c r="A3098" i="17"/>
  <c r="Q3098" i="17"/>
  <c r="A3082" i="17"/>
  <c r="Q3082" i="17"/>
  <c r="A3074" i="17"/>
  <c r="Q3074" i="17"/>
  <c r="A3058" i="17"/>
  <c r="Q3058" i="17"/>
  <c r="A3050" i="17"/>
  <c r="Q3050" i="17"/>
  <c r="A3042" i="17"/>
  <c r="Q3042" i="17"/>
  <c r="A3034" i="17"/>
  <c r="Q3034" i="17"/>
  <c r="A3026" i="17"/>
  <c r="Q3026" i="17"/>
  <c r="A3018" i="17"/>
  <c r="Q3018" i="17"/>
  <c r="A3010" i="17"/>
  <c r="Q3010" i="17"/>
  <c r="A3002" i="17"/>
  <c r="Q3002" i="17"/>
  <c r="A2994" i="17"/>
  <c r="Q2994" i="17"/>
  <c r="A2986" i="17"/>
  <c r="Q2986" i="17"/>
  <c r="A2978" i="17"/>
  <c r="Q2978" i="17"/>
  <c r="A2970" i="17"/>
  <c r="Q2970" i="17"/>
  <c r="A2962" i="17"/>
  <c r="Q2962" i="17"/>
  <c r="A2954" i="17"/>
  <c r="Q2954" i="17"/>
  <c r="A2946" i="17"/>
  <c r="Q2946" i="17"/>
  <c r="A2930" i="17"/>
  <c r="Q2930" i="17"/>
  <c r="A2922" i="17"/>
  <c r="Q2922" i="17"/>
  <c r="A2914" i="17"/>
  <c r="Q2914" i="17"/>
  <c r="A2906" i="17"/>
  <c r="Q2906" i="17"/>
  <c r="A2898" i="17"/>
  <c r="Q2898" i="17"/>
  <c r="A2890" i="17"/>
  <c r="Q2890" i="17"/>
  <c r="A2874" i="17"/>
  <c r="Q2874" i="17"/>
  <c r="A2858" i="17"/>
  <c r="Q2858" i="17"/>
  <c r="A2850" i="17"/>
  <c r="Q2850" i="17"/>
  <c r="A2842" i="17"/>
  <c r="Q2842" i="17"/>
  <c r="A2834" i="17"/>
  <c r="Q2834" i="17"/>
  <c r="A2826" i="17"/>
  <c r="Q2826" i="17"/>
  <c r="A2818" i="17"/>
  <c r="Q2818" i="17"/>
  <c r="A2810" i="17"/>
  <c r="Q2810" i="17"/>
  <c r="A2802" i="17"/>
  <c r="Q2802" i="17"/>
  <c r="A2794" i="17"/>
  <c r="Q2794" i="17"/>
  <c r="A2786" i="17"/>
  <c r="Q2786" i="17"/>
  <c r="A2778" i="17"/>
  <c r="Q2778" i="17"/>
  <c r="A2770" i="17"/>
  <c r="Q2770" i="17"/>
  <c r="A2762" i="17"/>
  <c r="Q2762" i="17"/>
  <c r="A2754" i="17"/>
  <c r="Q2754" i="17"/>
  <c r="A2746" i="17"/>
  <c r="Q2746" i="17"/>
  <c r="A2738" i="17"/>
  <c r="Q2738" i="17"/>
  <c r="A2730" i="17"/>
  <c r="Q2730" i="17"/>
  <c r="A2722" i="17"/>
  <c r="Q2722" i="17"/>
  <c r="A2714" i="17"/>
  <c r="Q2714" i="17"/>
  <c r="A2706" i="17"/>
  <c r="Q2706" i="17"/>
  <c r="A2698" i="17"/>
  <c r="Q2698" i="17"/>
  <c r="A2690" i="17"/>
  <c r="Q2690" i="17"/>
  <c r="A2682" i="17"/>
  <c r="Q2682" i="17"/>
  <c r="A2674" i="17"/>
  <c r="Q2674" i="17"/>
  <c r="A2666" i="17"/>
  <c r="Q2666" i="17"/>
  <c r="A2658" i="17"/>
  <c r="Q2658" i="17"/>
  <c r="A2650" i="17"/>
  <c r="Q2650" i="17"/>
  <c r="A2642" i="17"/>
  <c r="Q2642" i="17"/>
  <c r="A2634" i="17"/>
  <c r="Q2634" i="17"/>
  <c r="A2626" i="17"/>
  <c r="Q2626" i="17"/>
  <c r="A2618" i="17"/>
  <c r="Q2618" i="17"/>
  <c r="A2610" i="17"/>
  <c r="Q2610" i="17"/>
  <c r="A2602" i="17"/>
  <c r="Q2602" i="17"/>
  <c r="A2594" i="17"/>
  <c r="Q2594" i="17"/>
  <c r="A2586" i="17"/>
  <c r="Q2586" i="17"/>
  <c r="A2578" i="17"/>
  <c r="Q2578" i="17"/>
  <c r="A2570" i="17"/>
  <c r="Q2570" i="17"/>
  <c r="A2452" i="17"/>
  <c r="Q2452" i="17"/>
  <c r="A2554" i="17"/>
  <c r="Q2554" i="17"/>
  <c r="A2546" i="17"/>
  <c r="Q2546" i="17"/>
  <c r="A2538" i="17"/>
  <c r="Q2538" i="17"/>
  <c r="A2530" i="17"/>
  <c r="Q2530" i="17"/>
  <c r="A2522" i="17"/>
  <c r="Q2522" i="17"/>
  <c r="A2514" i="17"/>
  <c r="Q2514" i="17"/>
  <c r="A2506" i="17"/>
  <c r="Q2506" i="17"/>
  <c r="A2490" i="17"/>
  <c r="Q2490" i="17"/>
  <c r="A2482" i="17"/>
  <c r="Q2482" i="17"/>
  <c r="A2474" i="17"/>
  <c r="Q2474" i="17"/>
  <c r="A2466" i="17"/>
  <c r="Q2466" i="17"/>
  <c r="A2458" i="17"/>
  <c r="Q2458" i="17"/>
  <c r="A2372" i="17"/>
  <c r="Q2372" i="17"/>
  <c r="A2442" i="17"/>
  <c r="Q2442" i="17"/>
  <c r="A2426" i="17"/>
  <c r="Q2426" i="17"/>
  <c r="A2418" i="17"/>
  <c r="Q2418" i="17"/>
  <c r="A2402" i="17"/>
  <c r="Q2402" i="17"/>
  <c r="A2394" i="17"/>
  <c r="Q2394" i="17"/>
  <c r="A2386" i="17"/>
  <c r="Q2386" i="17"/>
  <c r="A2378" i="17"/>
  <c r="Q2378" i="17"/>
  <c r="A2026" i="17"/>
  <c r="Q2026" i="17"/>
  <c r="A2362" i="17"/>
  <c r="Q2362" i="17"/>
  <c r="A2354" i="17"/>
  <c r="Q2354" i="17"/>
  <c r="A2338" i="17"/>
  <c r="Q2338" i="17"/>
  <c r="A2330" i="17"/>
  <c r="Q2330" i="17"/>
  <c r="A2322" i="17"/>
  <c r="Q2322" i="17"/>
  <c r="A2314" i="17"/>
  <c r="Q2314" i="17"/>
  <c r="A2306" i="17"/>
  <c r="Q2306" i="17"/>
  <c r="A2298" i="17"/>
  <c r="Q2298" i="17"/>
  <c r="A2282" i="17"/>
  <c r="Q2282" i="17"/>
  <c r="A2274" i="17"/>
  <c r="Q2274" i="17"/>
  <c r="A2266" i="17"/>
  <c r="Q2266" i="17"/>
  <c r="A2258" i="17"/>
  <c r="Q2258" i="17"/>
  <c r="A2250" i="17"/>
  <c r="Q2250" i="17"/>
  <c r="A2242" i="17"/>
  <c r="Q2242" i="17"/>
  <c r="A2234" i="17"/>
  <c r="Q2234" i="17"/>
  <c r="A2226" i="17"/>
  <c r="Q2226" i="17"/>
  <c r="A2218" i="17"/>
  <c r="Q2218" i="17"/>
  <c r="A2210" i="17"/>
  <c r="Q2210" i="17"/>
  <c r="A2202" i="17"/>
  <c r="Q2202" i="17"/>
  <c r="A2194" i="17"/>
  <c r="Q2194" i="17"/>
  <c r="A2186" i="17"/>
  <c r="Q2186" i="17"/>
  <c r="A2178" i="17"/>
  <c r="Q2178" i="17"/>
  <c r="A2170" i="17"/>
  <c r="Q2170" i="17"/>
  <c r="A2162" i="17"/>
  <c r="Q2162" i="17"/>
  <c r="A2154" i="17"/>
  <c r="Q2154" i="17"/>
  <c r="A2146" i="17"/>
  <c r="Q2146" i="17"/>
  <c r="A2138" i="17"/>
  <c r="Q2138" i="17"/>
  <c r="A2130" i="17"/>
  <c r="Q2130" i="17"/>
  <c r="A2122" i="17"/>
  <c r="Q2122" i="17"/>
  <c r="A2114" i="17"/>
  <c r="Q2114" i="17"/>
  <c r="A2106" i="17"/>
  <c r="Q2106" i="17"/>
  <c r="A2098" i="17"/>
  <c r="Q2098" i="17"/>
  <c r="A2082" i="17"/>
  <c r="Q2082" i="17"/>
  <c r="A2074" i="17"/>
  <c r="Q2074" i="17"/>
  <c r="A2066" i="17"/>
  <c r="Q2066" i="17"/>
  <c r="A2058" i="17"/>
  <c r="Q2058" i="17"/>
  <c r="A2042" i="17"/>
  <c r="Q2042" i="17"/>
  <c r="A2034" i="17"/>
  <c r="Q2034" i="17"/>
  <c r="A1568" i="17"/>
  <c r="Q1568" i="17"/>
  <c r="A2018" i="17"/>
  <c r="Q2018" i="17"/>
  <c r="A2010" i="17"/>
  <c r="Q2010" i="17"/>
  <c r="A2002" i="17"/>
  <c r="Q2002" i="17"/>
  <c r="A1994" i="17"/>
  <c r="Q1994" i="17"/>
  <c r="A1986" i="17"/>
  <c r="Q1986" i="17"/>
  <c r="A1978" i="17"/>
  <c r="Q1978" i="17"/>
  <c r="A1970" i="17"/>
  <c r="Q1970" i="17"/>
  <c r="A1962" i="17"/>
  <c r="Q1962" i="17"/>
  <c r="A1954" i="17"/>
  <c r="Q1954" i="17"/>
  <c r="A1946" i="17"/>
  <c r="Q1946" i="17"/>
  <c r="A1938" i="17"/>
  <c r="Q1938" i="17"/>
  <c r="A1930" i="17"/>
  <c r="Q1930" i="17"/>
  <c r="A1922" i="17"/>
  <c r="Q1922" i="17"/>
  <c r="A1914" i="17"/>
  <c r="Q1914" i="17"/>
  <c r="A1906" i="17"/>
  <c r="Q1906" i="17"/>
  <c r="A1898" i="17"/>
  <c r="Q1898" i="17"/>
  <c r="A1890" i="17"/>
  <c r="Q1890" i="17"/>
  <c r="A1882" i="17"/>
  <c r="Q1882" i="17"/>
  <c r="A1874" i="17"/>
  <c r="Q1874" i="17"/>
  <c r="A1866" i="17"/>
  <c r="Q1866" i="17"/>
  <c r="A1858" i="17"/>
  <c r="Q1858" i="17"/>
  <c r="A1850" i="17"/>
  <c r="Q1850" i="17"/>
  <c r="A1842" i="17"/>
  <c r="Q1842" i="17"/>
  <c r="A1834" i="17"/>
  <c r="Q1834" i="17"/>
  <c r="A1826" i="17"/>
  <c r="Q1826" i="17"/>
  <c r="A1818" i="17"/>
  <c r="Q1818" i="17"/>
  <c r="A1810" i="17"/>
  <c r="Q1810" i="17"/>
  <c r="A1802" i="17"/>
  <c r="Q1802" i="17"/>
  <c r="A1794" i="17"/>
  <c r="Q1794" i="17"/>
  <c r="A1786" i="17"/>
  <c r="Q1786" i="17"/>
  <c r="A1778" i="17"/>
  <c r="Q1778" i="17"/>
  <c r="A1770" i="17"/>
  <c r="Q1770" i="17"/>
  <c r="A1762" i="17"/>
  <c r="Q1762" i="17"/>
  <c r="A1754" i="17"/>
  <c r="Q1754" i="17"/>
  <c r="A1746" i="17"/>
  <c r="Q1746" i="17"/>
  <c r="A1730" i="17"/>
  <c r="Q1730" i="17"/>
  <c r="A1722" i="17"/>
  <c r="Q1722" i="17"/>
  <c r="A1714" i="17"/>
  <c r="Q1714" i="17"/>
  <c r="A1706" i="17"/>
  <c r="Q1706" i="17"/>
  <c r="A1690" i="17"/>
  <c r="Q1690" i="17"/>
  <c r="A1682" i="17"/>
  <c r="Q1682" i="17"/>
  <c r="A1674" i="17"/>
  <c r="Q1674" i="17"/>
  <c r="A1666" i="17"/>
  <c r="Q1666" i="17"/>
  <c r="A1658" i="17"/>
  <c r="Q1658" i="17"/>
  <c r="A1650" i="17"/>
  <c r="Q1650" i="17"/>
  <c r="A1634" i="17"/>
  <c r="Q1634" i="17"/>
  <c r="A1626" i="17"/>
  <c r="Q1626" i="17"/>
  <c r="A1618" i="17"/>
  <c r="Q1618" i="17"/>
  <c r="A1610" i="17"/>
  <c r="Q1610" i="17"/>
  <c r="A1602" i="17"/>
  <c r="Q1602" i="17"/>
  <c r="A1594" i="17"/>
  <c r="Q1594" i="17"/>
  <c r="A1586" i="17"/>
  <c r="Q1586" i="17"/>
  <c r="A1578" i="17"/>
  <c r="Q1578" i="17"/>
  <c r="A3219" i="17"/>
  <c r="Q3219" i="17"/>
  <c r="A1562" i="17"/>
  <c r="Q1562" i="17"/>
  <c r="A1554" i="17"/>
  <c r="Q1554" i="17"/>
  <c r="A1546" i="17"/>
  <c r="Q1546" i="17"/>
  <c r="A1538" i="17"/>
  <c r="Q1538" i="17"/>
  <c r="A1530" i="17"/>
  <c r="Q1530" i="17"/>
  <c r="A1522" i="17"/>
  <c r="Q1522" i="17"/>
  <c r="A1514" i="17"/>
  <c r="Q1514" i="17"/>
  <c r="A1506" i="17"/>
  <c r="Q1506" i="17"/>
  <c r="A1498" i="17"/>
  <c r="Q1498" i="17"/>
  <c r="A1490" i="17"/>
  <c r="Q1490" i="17"/>
  <c r="A1482" i="17"/>
  <c r="Q1482" i="17"/>
  <c r="A1474" i="17"/>
  <c r="Q1474" i="17"/>
  <c r="A1466" i="17"/>
  <c r="Q1466" i="17"/>
  <c r="A1458" i="17"/>
  <c r="Q1458" i="17"/>
  <c r="A1450" i="17"/>
  <c r="Q1450" i="17"/>
  <c r="A1442" i="17"/>
  <c r="Q1442" i="17"/>
  <c r="A1434" i="17"/>
  <c r="Q1434" i="17"/>
  <c r="A1426" i="17"/>
  <c r="Q1426" i="17"/>
  <c r="A1418" i="17"/>
  <c r="Q1418" i="17"/>
  <c r="A1410" i="17"/>
  <c r="Q1410" i="17"/>
  <c r="A1402" i="17"/>
  <c r="Q1402" i="17"/>
  <c r="A1394" i="17"/>
  <c r="Q1394" i="17"/>
  <c r="A1386" i="17"/>
  <c r="Q1386" i="17"/>
  <c r="A1378" i="17"/>
  <c r="Q1378" i="17"/>
  <c r="A1370" i="17"/>
  <c r="Q1370" i="17"/>
  <c r="A1362" i="17"/>
  <c r="Q1362" i="17"/>
  <c r="A1354" i="17"/>
  <c r="Q1354" i="17"/>
  <c r="A1346" i="17"/>
  <c r="Q1346" i="17"/>
  <c r="A1338" i="17"/>
  <c r="Q1338" i="17"/>
  <c r="A1330" i="17"/>
  <c r="Q1330" i="17"/>
  <c r="A1322" i="17"/>
  <c r="Q1322" i="17"/>
  <c r="A1314" i="17"/>
  <c r="Q1314" i="17"/>
  <c r="A1306" i="17"/>
  <c r="Q1306" i="17"/>
  <c r="A1298" i="17"/>
  <c r="Q1298" i="17"/>
  <c r="A1290" i="17"/>
  <c r="Q1290" i="17"/>
  <c r="A1282" i="17"/>
  <c r="Q1282" i="17"/>
  <c r="A1274" i="17"/>
  <c r="Q1274" i="17"/>
  <c r="A1266" i="17"/>
  <c r="Q1266" i="17"/>
  <c r="A1258" i="17"/>
  <c r="Q1258" i="17"/>
  <c r="A1250" i="17"/>
  <c r="Q1250" i="17"/>
  <c r="A1242" i="17"/>
  <c r="Q1242" i="17"/>
  <c r="A1234" i="17"/>
  <c r="Q1234" i="17"/>
  <c r="A1226" i="17"/>
  <c r="Q1226" i="17"/>
  <c r="A1218" i="17"/>
  <c r="Q1218" i="17"/>
  <c r="A1210" i="17"/>
  <c r="Q1210" i="17"/>
  <c r="A1202" i="17"/>
  <c r="Q1202" i="17"/>
  <c r="A1194" i="17"/>
  <c r="Q1194" i="17"/>
  <c r="A1186" i="17"/>
  <c r="Q1186" i="17"/>
  <c r="A1178" i="17"/>
  <c r="Q1178" i="17"/>
  <c r="A1170" i="17"/>
  <c r="Q1170" i="17"/>
  <c r="A1162" i="17"/>
  <c r="Q1162" i="17"/>
  <c r="A1154" i="17"/>
  <c r="Q1154" i="17"/>
  <c r="A1146" i="17"/>
  <c r="Q1146" i="17"/>
  <c r="A1138" i="17"/>
  <c r="Q1138" i="17"/>
  <c r="A1130" i="17"/>
  <c r="Q1130" i="17"/>
  <c r="A1122" i="17"/>
  <c r="Q1122" i="17"/>
  <c r="A1114" i="17"/>
  <c r="Q1114" i="17"/>
  <c r="A1106" i="17"/>
  <c r="Q1106" i="17"/>
  <c r="A1098" i="17"/>
  <c r="Q1098" i="17"/>
  <c r="A1090" i="17"/>
  <c r="Q1090" i="17"/>
  <c r="A1082" i="17"/>
  <c r="Q1082" i="17"/>
  <c r="A1074" i="17"/>
  <c r="Q1074" i="17"/>
  <c r="A1066" i="17"/>
  <c r="Q1066" i="17"/>
  <c r="A1058" i="17"/>
  <c r="Q1058" i="17"/>
  <c r="A1050" i="17"/>
  <c r="Q1050" i="17"/>
  <c r="A1042" i="17"/>
  <c r="Q1042" i="17"/>
  <c r="A1034" i="17"/>
  <c r="Q1034" i="17"/>
  <c r="A1026" i="17"/>
  <c r="Q1026" i="17"/>
  <c r="A1018" i="17"/>
  <c r="Q1018" i="17"/>
  <c r="A1010" i="17"/>
  <c r="Q1010" i="17"/>
  <c r="A1002" i="17"/>
  <c r="Q1002" i="17"/>
  <c r="A994" i="17"/>
  <c r="Q994" i="17"/>
  <c r="A986" i="17"/>
  <c r="Q986" i="17"/>
  <c r="A978" i="17"/>
  <c r="Q978" i="17"/>
  <c r="A970" i="17"/>
  <c r="Q970" i="17"/>
  <c r="A962" i="17"/>
  <c r="Q962" i="17"/>
  <c r="A954" i="17"/>
  <c r="Q954" i="17"/>
  <c r="A946" i="17"/>
  <c r="Q946" i="17"/>
  <c r="A938" i="17"/>
  <c r="Q938" i="17"/>
  <c r="A930" i="17"/>
  <c r="Q930" i="17"/>
  <c r="A922" i="17"/>
  <c r="Q922" i="17"/>
  <c r="A914" i="17"/>
  <c r="Q914" i="17"/>
  <c r="A906" i="17"/>
  <c r="Q906" i="17"/>
  <c r="A898" i="17"/>
  <c r="Q898" i="17"/>
  <c r="A890" i="17"/>
  <c r="Q890" i="17"/>
  <c r="A882" i="17"/>
  <c r="Q882" i="17"/>
  <c r="A874" i="17"/>
  <c r="Q874" i="17"/>
  <c r="A866" i="17"/>
  <c r="Q866" i="17"/>
  <c r="A858" i="17"/>
  <c r="Q858" i="17"/>
  <c r="A850" i="17"/>
  <c r="Q850" i="17"/>
  <c r="A842" i="17"/>
  <c r="Q842" i="17"/>
  <c r="A834" i="17"/>
  <c r="Q834" i="17"/>
  <c r="A826" i="17"/>
  <c r="Q826" i="17"/>
  <c r="A818" i="17"/>
  <c r="Q818" i="17"/>
  <c r="A810" i="17"/>
  <c r="Q810" i="17"/>
  <c r="A802" i="17"/>
  <c r="Q802" i="17"/>
  <c r="A794" i="17"/>
  <c r="Q794" i="17"/>
  <c r="A786" i="17"/>
  <c r="Q786" i="17"/>
  <c r="A778" i="17"/>
  <c r="Q778" i="17"/>
  <c r="A770" i="17"/>
  <c r="Q770" i="17"/>
  <c r="A762" i="17"/>
  <c r="Q762" i="17"/>
  <c r="A754" i="17"/>
  <c r="Q754" i="17"/>
  <c r="A746" i="17"/>
  <c r="Q746" i="17"/>
  <c r="A738" i="17"/>
  <c r="Q738" i="17"/>
  <c r="A730" i="17"/>
  <c r="Q730" i="17"/>
  <c r="A722" i="17"/>
  <c r="Q722" i="17"/>
  <c r="A714" i="17"/>
  <c r="Q714" i="17"/>
  <c r="A706" i="17"/>
  <c r="Q706" i="17"/>
  <c r="A698" i="17"/>
  <c r="Q698" i="17"/>
  <c r="A690" i="17"/>
  <c r="Q690" i="17"/>
  <c r="A682" i="17"/>
  <c r="Q682" i="17"/>
  <c r="A674" i="17"/>
  <c r="Q674" i="17"/>
  <c r="A666" i="17"/>
  <c r="Q666" i="17"/>
  <c r="A658" i="17"/>
  <c r="Q658" i="17"/>
  <c r="A650" i="17"/>
  <c r="Q650" i="17"/>
  <c r="A642" i="17"/>
  <c r="Q642" i="17"/>
  <c r="A634" i="17"/>
  <c r="Q634" i="17"/>
  <c r="A626" i="17"/>
  <c r="Q626" i="17"/>
  <c r="A618" i="17"/>
  <c r="Q618" i="17"/>
  <c r="A610" i="17"/>
  <c r="Q610" i="17"/>
  <c r="A602" i="17"/>
  <c r="Q602" i="17"/>
  <c r="A594" i="17"/>
  <c r="Q594" i="17"/>
  <c r="A586" i="17"/>
  <c r="Q586" i="17"/>
  <c r="A578" i="17"/>
  <c r="Q578" i="17"/>
  <c r="A570" i="17"/>
  <c r="Q570" i="17"/>
  <c r="A562" i="17"/>
  <c r="Q562" i="17"/>
  <c r="A554" i="17"/>
  <c r="Q554" i="17"/>
  <c r="A546" i="17"/>
  <c r="Q546" i="17"/>
  <c r="A538" i="17"/>
  <c r="Q538" i="17"/>
  <c r="A530" i="17"/>
  <c r="Q530" i="17"/>
  <c r="A522" i="17"/>
  <c r="Q522" i="17"/>
  <c r="A514" i="17"/>
  <c r="Q514" i="17"/>
  <c r="A506" i="17"/>
  <c r="Q506" i="17"/>
  <c r="A498" i="17"/>
  <c r="Q498" i="17"/>
  <c r="A490" i="17"/>
  <c r="Q490" i="17"/>
  <c r="A482" i="17"/>
  <c r="Q482" i="17"/>
  <c r="A474" i="17"/>
  <c r="Q474" i="17"/>
  <c r="A466" i="17"/>
  <c r="Q466" i="17"/>
  <c r="A458" i="17"/>
  <c r="Q458" i="17"/>
  <c r="A450" i="17"/>
  <c r="Q450" i="17"/>
  <c r="A442" i="17"/>
  <c r="Q442" i="17"/>
  <c r="A434" i="17"/>
  <c r="Q434" i="17"/>
  <c r="A426" i="17"/>
  <c r="Q426" i="17"/>
  <c r="A418" i="17"/>
  <c r="Q418" i="17"/>
  <c r="A410" i="17"/>
  <c r="Q410" i="17"/>
  <c r="A402" i="17"/>
  <c r="Q402" i="17"/>
  <c r="A394" i="17"/>
  <c r="Q394" i="17"/>
  <c r="A386" i="17"/>
  <c r="Q386" i="17"/>
  <c r="A378" i="17"/>
  <c r="Q378" i="17"/>
  <c r="A370" i="17"/>
  <c r="Q370" i="17"/>
  <c r="A362" i="17"/>
  <c r="Q362" i="17"/>
  <c r="A354" i="17"/>
  <c r="Q354" i="17"/>
  <c r="A346" i="17"/>
  <c r="Q346" i="17"/>
  <c r="A338" i="17"/>
  <c r="Q338" i="17"/>
  <c r="A330" i="17"/>
  <c r="Q330" i="17"/>
  <c r="A322" i="17"/>
  <c r="Q322" i="17"/>
  <c r="A314" i="17"/>
  <c r="Q314" i="17"/>
  <c r="A306" i="17"/>
  <c r="Q306" i="17"/>
  <c r="A298" i="17"/>
  <c r="Q298" i="17"/>
  <c r="A290" i="17"/>
  <c r="Q290" i="17"/>
  <c r="A282" i="17"/>
  <c r="Q282" i="17"/>
  <c r="A274" i="17"/>
  <c r="Q274" i="17"/>
  <c r="A266" i="17"/>
  <c r="Q266" i="17"/>
  <c r="A258" i="17"/>
  <c r="Q258" i="17"/>
  <c r="A250" i="17"/>
  <c r="Q250" i="17"/>
  <c r="A242" i="17"/>
  <c r="Q242" i="17"/>
  <c r="A234" i="17"/>
  <c r="Q234" i="17"/>
  <c r="A226" i="17"/>
  <c r="Q226" i="17"/>
  <c r="A218" i="17"/>
  <c r="Q218" i="17"/>
  <c r="A210" i="17"/>
  <c r="Q210" i="17"/>
  <c r="A202" i="17"/>
  <c r="Q202" i="17"/>
  <c r="A194" i="17"/>
  <c r="Q194" i="17"/>
  <c r="A186" i="17"/>
  <c r="Q186" i="17"/>
  <c r="A178" i="17"/>
  <c r="Q178" i="17"/>
  <c r="A170" i="17"/>
  <c r="Q170" i="17"/>
  <c r="A162" i="17"/>
  <c r="Q162" i="17"/>
  <c r="A154" i="17"/>
  <c r="Q154" i="17"/>
  <c r="A146" i="17"/>
  <c r="Q146" i="17"/>
  <c r="A138" i="17"/>
  <c r="Q138" i="17"/>
  <c r="A130" i="17"/>
  <c r="Q130" i="17"/>
  <c r="A122" i="17"/>
  <c r="Q122" i="17"/>
  <c r="A114" i="17"/>
  <c r="Q114" i="17"/>
  <c r="A106" i="17"/>
  <c r="Q106" i="17"/>
  <c r="A98" i="17"/>
  <c r="Q98" i="17"/>
  <c r="A90" i="17"/>
  <c r="Q90" i="17"/>
  <c r="A82" i="17"/>
  <c r="Q82" i="17"/>
  <c r="A74" i="17"/>
  <c r="Q74" i="17"/>
  <c r="A66" i="17"/>
  <c r="Q66" i="17"/>
  <c r="A58" i="17"/>
  <c r="Q58" i="17"/>
  <c r="A50" i="17"/>
  <c r="Q50" i="17"/>
  <c r="A42" i="17"/>
  <c r="Q42" i="17"/>
  <c r="A34" i="17"/>
  <c r="Q34" i="17"/>
  <c r="A26" i="17"/>
  <c r="Q26" i="17"/>
  <c r="A18" i="17"/>
  <c r="Q18" i="17"/>
  <c r="A1780" i="17"/>
  <c r="Q3638" i="17"/>
  <c r="Q3617" i="17"/>
  <c r="Q3598" i="17"/>
  <c r="Q3577" i="17"/>
  <c r="Q3558" i="17"/>
  <c r="Q3514" i="17"/>
  <c r="Q3474" i="17"/>
  <c r="Q3433" i="17"/>
  <c r="Q3361" i="17"/>
  <c r="Q3310" i="17"/>
  <c r="Q3258" i="17"/>
  <c r="Q3157" i="17"/>
  <c r="Q3105" i="17"/>
  <c r="Q3054" i="17"/>
  <c r="Q2998" i="17"/>
  <c r="Q2939" i="17"/>
  <c r="Q2882" i="17"/>
  <c r="Q2809" i="17"/>
  <c r="Q2526" i="17"/>
  <c r="Q2410" i="17"/>
  <c r="Q2290" i="17"/>
  <c r="Q2133" i="17"/>
  <c r="Q1969" i="17"/>
  <c r="Q1793" i="17"/>
  <c r="Q1588" i="17"/>
  <c r="A3665" i="17"/>
  <c r="Q3665" i="17"/>
  <c r="A3657" i="17"/>
  <c r="Q3657" i="17"/>
  <c r="A3633" i="17"/>
  <c r="Q3633" i="17"/>
  <c r="A3601" i="17"/>
  <c r="Q3601" i="17"/>
  <c r="A3593" i="17"/>
  <c r="Q3593" i="17"/>
  <c r="A3569" i="17"/>
  <c r="Q3569" i="17"/>
  <c r="A3537" i="17"/>
  <c r="Q3537" i="17"/>
  <c r="A3529" i="17"/>
  <c r="Q3529" i="17"/>
  <c r="A3505" i="17"/>
  <c r="Q3505" i="17"/>
  <c r="A3473" i="17"/>
  <c r="Q3473" i="17"/>
  <c r="A3465" i="17"/>
  <c r="Q3465" i="17"/>
  <c r="A3441" i="17"/>
  <c r="Q3441" i="17"/>
  <c r="A3409" i="17"/>
  <c r="Q3409" i="17"/>
  <c r="A3401" i="17"/>
  <c r="Q3401" i="17"/>
  <c r="A3393" i="17"/>
  <c r="Q3393" i="17"/>
  <c r="A3377" i="17"/>
  <c r="Q3377" i="17"/>
  <c r="A3369" i="17"/>
  <c r="Q3369" i="17"/>
  <c r="A3353" i="17"/>
  <c r="Q3353" i="17"/>
  <c r="A3345" i="17"/>
  <c r="Q3345" i="17"/>
  <c r="A3337" i="17"/>
  <c r="Q3337" i="17"/>
  <c r="A3329" i="17"/>
  <c r="Q3329" i="17"/>
  <c r="A3313" i="17"/>
  <c r="Q3313" i="17"/>
  <c r="A3305" i="17"/>
  <c r="Q3305" i="17"/>
  <c r="A3289" i="17"/>
  <c r="Q3289" i="17"/>
  <c r="A3281" i="17"/>
  <c r="Q3281" i="17"/>
  <c r="A3273" i="17"/>
  <c r="Q3273" i="17"/>
  <c r="A3265" i="17"/>
  <c r="Q3265" i="17"/>
  <c r="A3249" i="17"/>
  <c r="Q3249" i="17"/>
  <c r="A3241" i="17"/>
  <c r="Q3241" i="17"/>
  <c r="A3225" i="17"/>
  <c r="Q3225" i="17"/>
  <c r="A3217" i="17"/>
  <c r="Q3217" i="17"/>
  <c r="A3209" i="17"/>
  <c r="Q3209" i="17"/>
  <c r="A3201" i="17"/>
  <c r="Q3201" i="17"/>
  <c r="A3185" i="17"/>
  <c r="Q3185" i="17"/>
  <c r="A3177" i="17"/>
  <c r="Q3177" i="17"/>
  <c r="A3161" i="17"/>
  <c r="Q3161" i="17"/>
  <c r="A3153" i="17"/>
  <c r="Q3153" i="17"/>
  <c r="A3145" i="17"/>
  <c r="Q3145" i="17"/>
  <c r="A3137" i="17"/>
  <c r="Q3137" i="17"/>
  <c r="A3121" i="17"/>
  <c r="Q3121" i="17"/>
  <c r="A3113" i="17"/>
  <c r="Q3113" i="17"/>
  <c r="A3097" i="17"/>
  <c r="Q3097" i="17"/>
  <c r="A3089" i="17"/>
  <c r="Q3089" i="17"/>
  <c r="A3081" i="17"/>
  <c r="Q3081" i="17"/>
  <c r="A3073" i="17"/>
  <c r="Q3073" i="17"/>
  <c r="A3057" i="17"/>
  <c r="Q3057" i="17"/>
  <c r="A3049" i="17"/>
  <c r="Q3049" i="17"/>
  <c r="A3033" i="17"/>
  <c r="Q3033" i="17"/>
  <c r="A3017" i="17"/>
  <c r="Q3017" i="17"/>
  <c r="A3009" i="17"/>
  <c r="Q3009" i="17"/>
  <c r="A3001" i="17"/>
  <c r="Q3001" i="17"/>
  <c r="A2993" i="17"/>
  <c r="Q2993" i="17"/>
  <c r="A2985" i="17"/>
  <c r="Q2985" i="17"/>
  <c r="A2977" i="17"/>
  <c r="Q2977" i="17"/>
  <c r="A2961" i="17"/>
  <c r="Q2961" i="17"/>
  <c r="A2953" i="17"/>
  <c r="Q2953" i="17"/>
  <c r="A2945" i="17"/>
  <c r="Q2945" i="17"/>
  <c r="A2937" i="17"/>
  <c r="Q2937" i="17"/>
  <c r="A2929" i="17"/>
  <c r="Q2929" i="17"/>
  <c r="A2921" i="17"/>
  <c r="Q2921" i="17"/>
  <c r="A2913" i="17"/>
  <c r="Q2913" i="17"/>
  <c r="A2905" i="17"/>
  <c r="Q2905" i="17"/>
  <c r="A2897" i="17"/>
  <c r="Q2897" i="17"/>
  <c r="A2889" i="17"/>
  <c r="Q2889" i="17"/>
  <c r="A2881" i="17"/>
  <c r="Q2881" i="17"/>
  <c r="A2873" i="17"/>
  <c r="Q2873" i="17"/>
  <c r="A2857" i="17"/>
  <c r="Q2857" i="17"/>
  <c r="A2841" i="17"/>
  <c r="Q2841" i="17"/>
  <c r="A2833" i="17"/>
  <c r="Q2833" i="17"/>
  <c r="A2825" i="17"/>
  <c r="Q2825" i="17"/>
  <c r="A2817" i="17"/>
  <c r="Q2817" i="17"/>
  <c r="A2801" i="17"/>
  <c r="Q2801" i="17"/>
  <c r="A2793" i="17"/>
  <c r="Q2793" i="17"/>
  <c r="A2777" i="17"/>
  <c r="Q2777" i="17"/>
  <c r="A2769" i="17"/>
  <c r="Q2769" i="17"/>
  <c r="A2761" i="17"/>
  <c r="Q2761" i="17"/>
  <c r="A2753" i="17"/>
  <c r="Q2753" i="17"/>
  <c r="A2737" i="17"/>
  <c r="Q2737" i="17"/>
  <c r="A2729" i="17"/>
  <c r="Q2729" i="17"/>
  <c r="A2721" i="17"/>
  <c r="Q2721" i="17"/>
  <c r="A2713" i="17"/>
  <c r="Q2713" i="17"/>
  <c r="A2705" i="17"/>
  <c r="Q2705" i="17"/>
  <c r="A2697" i="17"/>
  <c r="Q2697" i="17"/>
  <c r="A2689" i="17"/>
  <c r="Q2689" i="17"/>
  <c r="A2681" i="17"/>
  <c r="Q2681" i="17"/>
  <c r="A2673" i="17"/>
  <c r="Q2673" i="17"/>
  <c r="A2665" i="17"/>
  <c r="Q2665" i="17"/>
  <c r="A2649" i="17"/>
  <c r="Q2649" i="17"/>
  <c r="A2641" i="17"/>
  <c r="Q2641" i="17"/>
  <c r="A2633" i="17"/>
  <c r="Q2633" i="17"/>
  <c r="A2625" i="17"/>
  <c r="Q2625" i="17"/>
  <c r="A2617" i="17"/>
  <c r="Q2617" i="17"/>
  <c r="A2609" i="17"/>
  <c r="Q2609" i="17"/>
  <c r="A2593" i="17"/>
  <c r="Q2593" i="17"/>
  <c r="A2585" i="17"/>
  <c r="Q2585" i="17"/>
  <c r="A2577" i="17"/>
  <c r="Q2577" i="17"/>
  <c r="A2569" i="17"/>
  <c r="Q2569" i="17"/>
  <c r="A2451" i="17"/>
  <c r="Q2451" i="17"/>
  <c r="A2553" i="17"/>
  <c r="Q2553" i="17"/>
  <c r="A2545" i="17"/>
  <c r="Q2545" i="17"/>
  <c r="A2537" i="17"/>
  <c r="Q2537" i="17"/>
  <c r="A2529" i="17"/>
  <c r="Q2529" i="17"/>
  <c r="A2513" i="17"/>
  <c r="Q2513" i="17"/>
  <c r="A2505" i="17"/>
  <c r="Q2505" i="17"/>
  <c r="A2497" i="17"/>
  <c r="Q2497" i="17"/>
  <c r="A2489" i="17"/>
  <c r="Q2489" i="17"/>
  <c r="A2481" i="17"/>
  <c r="Q2481" i="17"/>
  <c r="A2473" i="17"/>
  <c r="Q2473" i="17"/>
  <c r="A2465" i="17"/>
  <c r="Q2465" i="17"/>
  <c r="A2457" i="17"/>
  <c r="Q2457" i="17"/>
  <c r="A2371" i="17"/>
  <c r="Q2371" i="17"/>
  <c r="A2441" i="17"/>
  <c r="Q2441" i="17"/>
  <c r="A2433" i="17"/>
  <c r="Q2433" i="17"/>
  <c r="A2425" i="17"/>
  <c r="Q2425" i="17"/>
  <c r="A2417" i="17"/>
  <c r="Q2417" i="17"/>
  <c r="A2409" i="17"/>
  <c r="Q2409" i="17"/>
  <c r="A2401" i="17"/>
  <c r="Q2401" i="17"/>
  <c r="A2393" i="17"/>
  <c r="Q2393" i="17"/>
  <c r="A2385" i="17"/>
  <c r="Q2385" i="17"/>
  <c r="A2377" i="17"/>
  <c r="Q2377" i="17"/>
  <c r="A2025" i="17"/>
  <c r="Q2025" i="17"/>
  <c r="A2361" i="17"/>
  <c r="Q2361" i="17"/>
  <c r="A2353" i="17"/>
  <c r="Q2353" i="17"/>
  <c r="A2345" i="17"/>
  <c r="Q2345" i="17"/>
  <c r="A2337" i="17"/>
  <c r="Q2337" i="17"/>
  <c r="A2329" i="17"/>
  <c r="Q2329" i="17"/>
  <c r="A2321" i="17"/>
  <c r="Q2321" i="17"/>
  <c r="A2313" i="17"/>
  <c r="Q2313" i="17"/>
  <c r="A2305" i="17"/>
  <c r="Q2305" i="17"/>
  <c r="A2297" i="17"/>
  <c r="Q2297" i="17"/>
  <c r="A2289" i="17"/>
  <c r="Q2289" i="17"/>
  <c r="A2281" i="17"/>
  <c r="Q2281" i="17"/>
  <c r="A2273" i="17"/>
  <c r="Q2273" i="17"/>
  <c r="A2265" i="17"/>
  <c r="Q2265" i="17"/>
  <c r="A2257" i="17"/>
  <c r="Q2257" i="17"/>
  <c r="A2241" i="17"/>
  <c r="Q2241" i="17"/>
  <c r="A2233" i="17"/>
  <c r="Q2233" i="17"/>
  <c r="A2225" i="17"/>
  <c r="Q2225" i="17"/>
  <c r="A2217" i="17"/>
  <c r="Q2217" i="17"/>
  <c r="A2209" i="17"/>
  <c r="Q2209" i="17"/>
  <c r="A2201" i="17"/>
  <c r="Q2201" i="17"/>
  <c r="A2193" i="17"/>
  <c r="Q2193" i="17"/>
  <c r="A2185" i="17"/>
  <c r="Q2185" i="17"/>
  <c r="A2177" i="17"/>
  <c r="Q2177" i="17"/>
  <c r="A2169" i="17"/>
  <c r="Q2169" i="17"/>
  <c r="A2161" i="17"/>
  <c r="Q2161" i="17"/>
  <c r="A2153" i="17"/>
  <c r="Q2153" i="17"/>
  <c r="A2145" i="17"/>
  <c r="Q2145" i="17"/>
  <c r="A2137" i="17"/>
  <c r="Q2137" i="17"/>
  <c r="A2129" i="17"/>
  <c r="Q2129" i="17"/>
  <c r="A2121" i="17"/>
  <c r="Q2121" i="17"/>
  <c r="A2113" i="17"/>
  <c r="Q2113" i="17"/>
  <c r="A2105" i="17"/>
  <c r="Q2105" i="17"/>
  <c r="A2097" i="17"/>
  <c r="Q2097" i="17"/>
  <c r="A2089" i="17"/>
  <c r="Q2089" i="17"/>
  <c r="A3490" i="17"/>
  <c r="Q3490" i="17"/>
  <c r="A2073" i="17"/>
  <c r="Q2073" i="17"/>
  <c r="A2065" i="17"/>
  <c r="Q2065" i="17"/>
  <c r="A2057" i="17"/>
  <c r="Q2057" i="17"/>
  <c r="A2049" i="17"/>
  <c r="Q2049" i="17"/>
  <c r="A2041" i="17"/>
  <c r="Q2041" i="17"/>
  <c r="A2033" i="17"/>
  <c r="Q2033" i="17"/>
  <c r="A1567" i="17"/>
  <c r="Q1567" i="17"/>
  <c r="A2017" i="17"/>
  <c r="Q2017" i="17"/>
  <c r="A1993" i="17"/>
  <c r="Q1993" i="17"/>
  <c r="A1985" i="17"/>
  <c r="Q1985" i="17"/>
  <c r="A1977" i="17"/>
  <c r="Q1977" i="17"/>
  <c r="A1953" i="17"/>
  <c r="Q1953" i="17"/>
  <c r="A1945" i="17"/>
  <c r="Q1945" i="17"/>
  <c r="A1937" i="17"/>
  <c r="Q1937" i="17"/>
  <c r="A1921" i="17"/>
  <c r="Q1921" i="17"/>
  <c r="A1913" i="17"/>
  <c r="Q1913" i="17"/>
  <c r="A1905" i="17"/>
  <c r="Q1905" i="17"/>
  <c r="A1897" i="17"/>
  <c r="Q1897" i="17"/>
  <c r="A1889" i="17"/>
  <c r="Q1889" i="17"/>
  <c r="A1881" i="17"/>
  <c r="Q1881" i="17"/>
  <c r="A1873" i="17"/>
  <c r="Q1873" i="17"/>
  <c r="A1865" i="17"/>
  <c r="Q1865" i="17"/>
  <c r="A1857" i="17"/>
  <c r="Q1857" i="17"/>
  <c r="A1849" i="17"/>
  <c r="Q1849" i="17"/>
  <c r="A1825" i="17"/>
  <c r="Q1825" i="17"/>
  <c r="A1817" i="17"/>
  <c r="Q1817" i="17"/>
  <c r="A1809" i="17"/>
  <c r="Q1809" i="17"/>
  <c r="A1801" i="17"/>
  <c r="Q1801" i="17"/>
  <c r="A1785" i="17"/>
  <c r="Q1785" i="17"/>
  <c r="A1777" i="17"/>
  <c r="Q1777" i="17"/>
  <c r="A1769" i="17"/>
  <c r="Q1769" i="17"/>
  <c r="A1761" i="17"/>
  <c r="Q1761" i="17"/>
  <c r="A1753" i="17"/>
  <c r="Q1753" i="17"/>
  <c r="A1745" i="17"/>
  <c r="Q1745" i="17"/>
  <c r="A1737" i="17"/>
  <c r="Q1737" i="17"/>
  <c r="A1729" i="17"/>
  <c r="Q1729" i="17"/>
  <c r="A1721" i="17"/>
  <c r="Q1721" i="17"/>
  <c r="A1713" i="17"/>
  <c r="Q1713" i="17"/>
  <c r="A1705" i="17"/>
  <c r="Q1705" i="17"/>
  <c r="A1697" i="17"/>
  <c r="Q1697" i="17"/>
  <c r="A1689" i="17"/>
  <c r="Q1689" i="17"/>
  <c r="A1681" i="17"/>
  <c r="Q1681" i="17"/>
  <c r="A1673" i="17"/>
  <c r="Q1673" i="17"/>
  <c r="A1665" i="17"/>
  <c r="Q1665" i="17"/>
  <c r="A1657" i="17"/>
  <c r="Q1657" i="17"/>
  <c r="A1649" i="17"/>
  <c r="Q1649" i="17"/>
  <c r="A1641" i="17"/>
  <c r="Q1641" i="17"/>
  <c r="A1625" i="17"/>
  <c r="Q1625" i="17"/>
  <c r="A1617" i="17"/>
  <c r="Q1617" i="17"/>
  <c r="A1609" i="17"/>
  <c r="Q1609" i="17"/>
  <c r="A1601" i="17"/>
  <c r="Q1601" i="17"/>
  <c r="A1593" i="17"/>
  <c r="Q1593" i="17"/>
  <c r="A1585" i="17"/>
  <c r="Q1585" i="17"/>
  <c r="A1577" i="17"/>
  <c r="Q1577" i="17"/>
  <c r="A2568" i="17"/>
  <c r="Q2568" i="17"/>
  <c r="A1561" i="17"/>
  <c r="Q1561" i="17"/>
  <c r="A1553" i="17"/>
  <c r="Q1553" i="17"/>
  <c r="A1545" i="17"/>
  <c r="Q1545" i="17"/>
  <c r="A1537" i="17"/>
  <c r="Q1537" i="17"/>
  <c r="A1529" i="17"/>
  <c r="Q1529" i="17"/>
  <c r="A1513" i="17"/>
  <c r="Q1513" i="17"/>
  <c r="A1505" i="17"/>
  <c r="Q1505" i="17"/>
  <c r="A1497" i="17"/>
  <c r="Q1497" i="17"/>
  <c r="A1489" i="17"/>
  <c r="Q1489" i="17"/>
  <c r="A1481" i="17"/>
  <c r="Q1481" i="17"/>
  <c r="A1473" i="17"/>
  <c r="Q1473" i="17"/>
  <c r="A1465" i="17"/>
  <c r="Q1465" i="17"/>
  <c r="A1457" i="17"/>
  <c r="Q1457" i="17"/>
  <c r="A1449" i="17"/>
  <c r="Q1449" i="17"/>
  <c r="A1441" i="17"/>
  <c r="Q1441" i="17"/>
  <c r="A1433" i="17"/>
  <c r="Q1433" i="17"/>
  <c r="A1425" i="17"/>
  <c r="Q1425" i="17"/>
  <c r="A1417" i="17"/>
  <c r="Q1417" i="17"/>
  <c r="A1401" i="17"/>
  <c r="Q1401" i="17"/>
  <c r="A1393" i="17"/>
  <c r="Q1393" i="17"/>
  <c r="A1385" i="17"/>
  <c r="Q1385" i="17"/>
  <c r="A1377" i="17"/>
  <c r="Q1377" i="17"/>
  <c r="A1369" i="17"/>
  <c r="Q1369" i="17"/>
  <c r="A1361" i="17"/>
  <c r="Q1361" i="17"/>
  <c r="A1353" i="17"/>
  <c r="Q1353" i="17"/>
  <c r="A1345" i="17"/>
  <c r="Q1345" i="17"/>
  <c r="A1337" i="17"/>
  <c r="Q1337" i="17"/>
  <c r="A1329" i="17"/>
  <c r="Q1329" i="17"/>
  <c r="A1321" i="17"/>
  <c r="Q1321" i="17"/>
  <c r="A1313" i="17"/>
  <c r="Q1313" i="17"/>
  <c r="A1305" i="17"/>
  <c r="Q1305" i="17"/>
  <c r="A1297" i="17"/>
  <c r="Q1297" i="17"/>
  <c r="A1289" i="17"/>
  <c r="Q1289" i="17"/>
  <c r="A1281" i="17"/>
  <c r="Q1281" i="17"/>
  <c r="A1273" i="17"/>
  <c r="Q1273" i="17"/>
  <c r="A1265" i="17"/>
  <c r="Q1265" i="17"/>
  <c r="A1257" i="17"/>
  <c r="Q1257" i="17"/>
  <c r="A1249" i="17"/>
  <c r="Q1249" i="17"/>
  <c r="A1241" i="17"/>
  <c r="Q1241" i="17"/>
  <c r="A1233" i="17"/>
  <c r="Q1233" i="17"/>
  <c r="A1225" i="17"/>
  <c r="Q1225" i="17"/>
  <c r="A1217" i="17"/>
  <c r="Q1217" i="17"/>
  <c r="A1209" i="17"/>
  <c r="Q1209" i="17"/>
  <c r="A1201" i="17"/>
  <c r="Q1201" i="17"/>
  <c r="A1193" i="17"/>
  <c r="Q1193" i="17"/>
  <c r="A1185" i="17"/>
  <c r="Q1185" i="17"/>
  <c r="A1177" i="17"/>
  <c r="Q1177" i="17"/>
  <c r="A1169" i="17"/>
  <c r="Q1169" i="17"/>
  <c r="A1161" i="17"/>
  <c r="Q1161" i="17"/>
  <c r="A1153" i="17"/>
  <c r="Q1153" i="17"/>
  <c r="A1145" i="17"/>
  <c r="Q1145" i="17"/>
  <c r="A1137" i="17"/>
  <c r="Q1137" i="17"/>
  <c r="A1129" i="17"/>
  <c r="Q1129" i="17"/>
  <c r="A1121" i="17"/>
  <c r="Q1121" i="17"/>
  <c r="A1113" i="17"/>
  <c r="Q1113" i="17"/>
  <c r="A1105" i="17"/>
  <c r="Q1105" i="17"/>
  <c r="A1097" i="17"/>
  <c r="Q1097" i="17"/>
  <c r="A1089" i="17"/>
  <c r="Q1089" i="17"/>
  <c r="A1081" i="17"/>
  <c r="Q1081" i="17"/>
  <c r="A1073" i="17"/>
  <c r="Q1073" i="17"/>
  <c r="A1065" i="17"/>
  <c r="Q1065" i="17"/>
  <c r="A1057" i="17"/>
  <c r="Q1057" i="17"/>
  <c r="A1049" i="17"/>
  <c r="Q1049" i="17"/>
  <c r="A1041" i="17"/>
  <c r="Q1041" i="17"/>
  <c r="A1033" i="17"/>
  <c r="Q1033" i="17"/>
  <c r="A1025" i="17"/>
  <c r="Q1025" i="17"/>
  <c r="A1017" i="17"/>
  <c r="Q1017" i="17"/>
  <c r="A1009" i="17"/>
  <c r="Q1009" i="17"/>
  <c r="A1001" i="17"/>
  <c r="Q1001" i="17"/>
  <c r="A993" i="17"/>
  <c r="Q993" i="17"/>
  <c r="A985" i="17"/>
  <c r="Q985" i="17"/>
  <c r="A977" i="17"/>
  <c r="Q977" i="17"/>
  <c r="A969" i="17"/>
  <c r="Q969" i="17"/>
  <c r="A961" i="17"/>
  <c r="Q961" i="17"/>
  <c r="A953" i="17"/>
  <c r="Q953" i="17"/>
  <c r="A945" i="17"/>
  <c r="Q945" i="17"/>
  <c r="A937" i="17"/>
  <c r="Q937" i="17"/>
  <c r="A929" i="17"/>
  <c r="Q929" i="17"/>
  <c r="A921" i="17"/>
  <c r="Q921" i="17"/>
  <c r="A913" i="17"/>
  <c r="Q913" i="17"/>
  <c r="A905" i="17"/>
  <c r="Q905" i="17"/>
  <c r="A897" i="17"/>
  <c r="Q897" i="17"/>
  <c r="A889" i="17"/>
  <c r="Q889" i="17"/>
  <c r="A881" i="17"/>
  <c r="Q881" i="17"/>
  <c r="A873" i="17"/>
  <c r="Q873" i="17"/>
  <c r="A865" i="17"/>
  <c r="Q865" i="17"/>
  <c r="A857" i="17"/>
  <c r="Q857" i="17"/>
  <c r="A849" i="17"/>
  <c r="Q849" i="17"/>
  <c r="A841" i="17"/>
  <c r="Q841" i="17"/>
  <c r="A833" i="17"/>
  <c r="Q833" i="17"/>
  <c r="A825" i="17"/>
  <c r="Q825" i="17"/>
  <c r="A817" i="17"/>
  <c r="Q817" i="17"/>
  <c r="A809" i="17"/>
  <c r="Q809" i="17"/>
  <c r="A801" i="17"/>
  <c r="Q801" i="17"/>
  <c r="A793" i="17"/>
  <c r="Q793" i="17"/>
  <c r="A785" i="17"/>
  <c r="Q785" i="17"/>
  <c r="A777" i="17"/>
  <c r="Q777" i="17"/>
  <c r="A769" i="17"/>
  <c r="Q769" i="17"/>
  <c r="A761" i="17"/>
  <c r="Q761" i="17"/>
  <c r="A753" i="17"/>
  <c r="Q753" i="17"/>
  <c r="A745" i="17"/>
  <c r="Q745" i="17"/>
  <c r="A737" i="17"/>
  <c r="Q737" i="17"/>
  <c r="A729" i="17"/>
  <c r="Q729" i="17"/>
  <c r="A721" i="17"/>
  <c r="Q721" i="17"/>
  <c r="A713" i="17"/>
  <c r="Q713" i="17"/>
  <c r="A705" i="17"/>
  <c r="Q705" i="17"/>
  <c r="A697" i="17"/>
  <c r="Q697" i="17"/>
  <c r="A689" i="17"/>
  <c r="Q689" i="17"/>
  <c r="A681" i="17"/>
  <c r="Q681" i="17"/>
  <c r="A673" i="17"/>
  <c r="Q673" i="17"/>
  <c r="A665" i="17"/>
  <c r="Q665" i="17"/>
  <c r="A657" i="17"/>
  <c r="Q657" i="17"/>
  <c r="A649" i="17"/>
  <c r="Q649" i="17"/>
  <c r="A641" i="17"/>
  <c r="Q641" i="17"/>
  <c r="A633" i="17"/>
  <c r="Q633" i="17"/>
  <c r="A625" i="17"/>
  <c r="Q625" i="17"/>
  <c r="A617" i="17"/>
  <c r="Q617" i="17"/>
  <c r="A609" i="17"/>
  <c r="Q609" i="17"/>
  <c r="A601" i="17"/>
  <c r="Q601" i="17"/>
  <c r="A593" i="17"/>
  <c r="Q593" i="17"/>
  <c r="A585" i="17"/>
  <c r="Q585" i="17"/>
  <c r="A577" i="17"/>
  <c r="Q577" i="17"/>
  <c r="A569" i="17"/>
  <c r="Q569" i="17"/>
  <c r="A561" i="17"/>
  <c r="Q561" i="17"/>
  <c r="A553" i="17"/>
  <c r="Q553" i="17"/>
  <c r="A545" i="17"/>
  <c r="Q545" i="17"/>
  <c r="A537" i="17"/>
  <c r="Q537" i="17"/>
  <c r="A529" i="17"/>
  <c r="Q529" i="17"/>
  <c r="A521" i="17"/>
  <c r="Q521" i="17"/>
  <c r="A513" i="17"/>
  <c r="Q513" i="17"/>
  <c r="A505" i="17"/>
  <c r="Q505" i="17"/>
  <c r="A497" i="17"/>
  <c r="Q497" i="17"/>
  <c r="A489" i="17"/>
  <c r="Q489" i="17"/>
  <c r="A481" i="17"/>
  <c r="Q481" i="17"/>
  <c r="A473" i="17"/>
  <c r="Q473" i="17"/>
  <c r="A465" i="17"/>
  <c r="Q465" i="17"/>
  <c r="A457" i="17"/>
  <c r="Q457" i="17"/>
  <c r="A449" i="17"/>
  <c r="Q449" i="17"/>
  <c r="A441" i="17"/>
  <c r="Q441" i="17"/>
  <c r="A433" i="17"/>
  <c r="Q433" i="17"/>
  <c r="A425" i="17"/>
  <c r="Q425" i="17"/>
  <c r="A417" i="17"/>
  <c r="Q417" i="17"/>
  <c r="A409" i="17"/>
  <c r="Q409" i="17"/>
  <c r="A401" i="17"/>
  <c r="Q401" i="17"/>
  <c r="A393" i="17"/>
  <c r="Q393" i="17"/>
  <c r="A385" i="17"/>
  <c r="Q385" i="17"/>
  <c r="A377" i="17"/>
  <c r="Q377" i="17"/>
  <c r="A369" i="17"/>
  <c r="Q369" i="17"/>
  <c r="A361" i="17"/>
  <c r="Q361" i="17"/>
  <c r="A353" i="17"/>
  <c r="Q353" i="17"/>
  <c r="A345" i="17"/>
  <c r="Q345" i="17"/>
  <c r="A337" i="17"/>
  <c r="Q337" i="17"/>
  <c r="A329" i="17"/>
  <c r="Q329" i="17"/>
  <c r="A321" i="17"/>
  <c r="Q321" i="17"/>
  <c r="A313" i="17"/>
  <c r="Q313" i="17"/>
  <c r="A305" i="17"/>
  <c r="Q305" i="17"/>
  <c r="A297" i="17"/>
  <c r="Q297" i="17"/>
  <c r="A289" i="17"/>
  <c r="Q289" i="17"/>
  <c r="A281" i="17"/>
  <c r="Q281" i="17"/>
  <c r="A273" i="17"/>
  <c r="Q273" i="17"/>
  <c r="A265" i="17"/>
  <c r="Q265" i="17"/>
  <c r="A257" i="17"/>
  <c r="Q257" i="17"/>
  <c r="A249" i="17"/>
  <c r="Q249" i="17"/>
  <c r="A241" i="17"/>
  <c r="Q241" i="17"/>
  <c r="A233" i="17"/>
  <c r="Q233" i="17"/>
  <c r="A225" i="17"/>
  <c r="Q225" i="17"/>
  <c r="A217" i="17"/>
  <c r="Q217" i="17"/>
  <c r="A209" i="17"/>
  <c r="Q209" i="17"/>
  <c r="A201" i="17"/>
  <c r="Q201" i="17"/>
  <c r="A193" i="17"/>
  <c r="Q193" i="17"/>
  <c r="A185" i="17"/>
  <c r="Q185" i="17"/>
  <c r="A177" i="17"/>
  <c r="Q177" i="17"/>
  <c r="A169" i="17"/>
  <c r="Q169" i="17"/>
  <c r="A161" i="17"/>
  <c r="Q161" i="17"/>
  <c r="A153" i="17"/>
  <c r="Q153" i="17"/>
  <c r="A145" i="17"/>
  <c r="Q145" i="17"/>
  <c r="A137" i="17"/>
  <c r="Q137" i="17"/>
  <c r="A129" i="17"/>
  <c r="Q129" i="17"/>
  <c r="A121" i="17"/>
  <c r="Q121" i="17"/>
  <c r="A113" i="17"/>
  <c r="Q113" i="17"/>
  <c r="A105" i="17"/>
  <c r="Q105" i="17"/>
  <c r="A97" i="17"/>
  <c r="Q97" i="17"/>
  <c r="A89" i="17"/>
  <c r="Q89" i="17"/>
  <c r="A81" i="17"/>
  <c r="Q81" i="17"/>
  <c r="A73" i="17"/>
  <c r="Q73" i="17"/>
  <c r="A65" i="17"/>
  <c r="Q65" i="17"/>
  <c r="A57" i="17"/>
  <c r="Q57" i="17"/>
  <c r="A49" i="17"/>
  <c r="Q49" i="17"/>
  <c r="A41" i="17"/>
  <c r="Q41" i="17"/>
  <c r="A33" i="17"/>
  <c r="Q33" i="17"/>
  <c r="A25" i="17"/>
  <c r="Q25" i="17"/>
  <c r="A17" i="17"/>
  <c r="Q17" i="17"/>
  <c r="A9" i="17"/>
  <c r="Q9" i="17"/>
  <c r="A1340" i="17"/>
  <c r="Q3574" i="17"/>
  <c r="Q3553" i="17"/>
  <c r="Q3534" i="17"/>
  <c r="Q3513" i="17"/>
  <c r="Q3494" i="17"/>
  <c r="Q3450" i="17"/>
  <c r="Q3410" i="17"/>
  <c r="Q3309" i="17"/>
  <c r="Q3257" i="17"/>
  <c r="Q3206" i="17"/>
  <c r="Q3154" i="17"/>
  <c r="Q3053" i="17"/>
  <c r="Q2996" i="17"/>
  <c r="Q2938" i="17"/>
  <c r="Q2627" i="17"/>
  <c r="Q2521" i="17"/>
  <c r="Q2405" i="17"/>
  <c r="Q2284" i="17"/>
  <c r="Q2123" i="17"/>
  <c r="Q1961" i="17"/>
  <c r="Q1579" i="17"/>
  <c r="Q1308" i="17"/>
  <c r="A200" i="17"/>
  <c r="Q200" i="17"/>
  <c r="A192" i="17"/>
  <c r="Q192" i="17"/>
  <c r="A184" i="17"/>
  <c r="Q184" i="17"/>
  <c r="A176" i="17"/>
  <c r="Q176" i="17"/>
  <c r="A168" i="17"/>
  <c r="Q168" i="17"/>
  <c r="A160" i="17"/>
  <c r="Q160" i="17"/>
  <c r="A152" i="17"/>
  <c r="Q152" i="17"/>
  <c r="A144" i="17"/>
  <c r="Q144" i="17"/>
  <c r="A136" i="17"/>
  <c r="Q136" i="17"/>
  <c r="A128" i="17"/>
  <c r="Q128" i="17"/>
  <c r="A120" i="17"/>
  <c r="Q120" i="17"/>
  <c r="A112" i="17"/>
  <c r="Q112" i="17"/>
  <c r="A104" i="17"/>
  <c r="Q104" i="17"/>
  <c r="A96" i="17"/>
  <c r="Q96" i="17"/>
  <c r="A88" i="17"/>
  <c r="Q88" i="17"/>
  <c r="A80" i="17"/>
  <c r="Q80" i="17"/>
  <c r="A72" i="17"/>
  <c r="Q72" i="17"/>
  <c r="A64" i="17"/>
  <c r="Q64" i="17"/>
  <c r="A56" i="17"/>
  <c r="Q56" i="17"/>
  <c r="A48" i="17"/>
  <c r="Q48" i="17"/>
  <c r="A40" i="17"/>
  <c r="Q40" i="17"/>
  <c r="A32" i="17"/>
  <c r="Q32" i="17"/>
  <c r="A24" i="17"/>
  <c r="Q24" i="17"/>
  <c r="A16" i="17"/>
  <c r="Q16" i="17"/>
  <c r="A8" i="17"/>
  <c r="Q8" i="17"/>
  <c r="A204" i="17"/>
  <c r="Q204" i="17"/>
  <c r="A196" i="17"/>
  <c r="Q196" i="17"/>
  <c r="A188" i="17"/>
  <c r="Q188" i="17"/>
  <c r="A180" i="17"/>
  <c r="Q180" i="17"/>
  <c r="A172" i="17"/>
  <c r="Q172" i="17"/>
  <c r="A164" i="17"/>
  <c r="Q164" i="17"/>
  <c r="A156" i="17"/>
  <c r="Q156" i="17"/>
  <c r="A148" i="17"/>
  <c r="Q148" i="17"/>
  <c r="A140" i="17"/>
  <c r="Q140" i="17"/>
  <c r="A132" i="17"/>
  <c r="Q132" i="17"/>
  <c r="A124" i="17"/>
  <c r="Q124" i="17"/>
  <c r="A116" i="17"/>
  <c r="Q116" i="17"/>
  <c r="A108" i="17"/>
  <c r="Q108" i="17"/>
  <c r="A100" i="17"/>
  <c r="Q100" i="17"/>
  <c r="A92" i="17"/>
  <c r="Q92" i="17"/>
  <c r="A84" i="17"/>
  <c r="Q84" i="17"/>
  <c r="A76" i="17"/>
  <c r="Q76" i="17"/>
  <c r="A68" i="17"/>
  <c r="Q68" i="17"/>
  <c r="A60" i="17"/>
  <c r="Q60" i="17"/>
  <c r="A52" i="17"/>
  <c r="Q52" i="17"/>
  <c r="A44" i="17"/>
  <c r="Q44" i="17"/>
  <c r="A36" i="17"/>
  <c r="Q36" i="17"/>
  <c r="A28" i="17"/>
  <c r="Q28" i="17"/>
  <c r="A20" i="17"/>
  <c r="Q20" i="17"/>
  <c r="A12" i="17"/>
  <c r="Q12" i="17"/>
  <c r="A4" i="17"/>
  <c r="Q4" i="17"/>
  <c r="A195" i="17"/>
  <c r="Q195" i="17"/>
  <c r="A187" i="17"/>
  <c r="Q187" i="17"/>
  <c r="A179" i="17"/>
  <c r="Q179" i="17"/>
  <c r="A171" i="17"/>
  <c r="Q171" i="17"/>
  <c r="A163" i="17"/>
  <c r="Q163" i="17"/>
  <c r="A155" i="17"/>
  <c r="Q155" i="17"/>
  <c r="A147" i="17"/>
  <c r="Q147" i="17"/>
  <c r="A139" i="17"/>
  <c r="Q139" i="17"/>
  <c r="A131" i="17"/>
  <c r="Q131" i="17"/>
  <c r="A123" i="17"/>
  <c r="Q123" i="17"/>
  <c r="A115" i="17"/>
  <c r="Q115" i="17"/>
  <c r="A107" i="17"/>
  <c r="Q107" i="17"/>
  <c r="A99" i="17"/>
  <c r="Q99" i="17"/>
  <c r="A91" i="17"/>
  <c r="Q91" i="17"/>
  <c r="A83" i="17"/>
  <c r="Q83" i="17"/>
  <c r="A75" i="17"/>
  <c r="Q75" i="17"/>
  <c r="A67" i="17"/>
  <c r="Q67" i="17"/>
  <c r="A59" i="17"/>
  <c r="Q59" i="17"/>
  <c r="A51" i="17"/>
  <c r="Q51" i="17"/>
  <c r="A43" i="17"/>
  <c r="Q43" i="17"/>
  <c r="A35" i="17"/>
  <c r="Q35" i="17"/>
  <c r="A27" i="17"/>
  <c r="Q27" i="17"/>
  <c r="A19" i="17"/>
  <c r="Q19" i="17"/>
  <c r="A11" i="17"/>
  <c r="Q11" i="17"/>
  <c r="A3" i="17"/>
  <c r="Q3" i="17"/>
  <c r="A10" i="17"/>
  <c r="Q10" i="17"/>
  <c r="A6" i="17"/>
  <c r="Q6" i="17"/>
  <c r="A5" i="17"/>
  <c r="Q5" i="17"/>
  <c r="U3" i="17"/>
  <c r="S34" i="17" s="1"/>
  <c r="U8" i="17"/>
  <c r="S39" i="17" s="1"/>
  <c r="U7" i="17"/>
  <c r="S38" i="17" s="1"/>
  <c r="O3689" i="17"/>
  <c r="O3685" i="17"/>
  <c r="O3681" i="17"/>
  <c r="O3677" i="17"/>
  <c r="O3673" i="17"/>
  <c r="O3669" i="17"/>
  <c r="O3665" i="17"/>
  <c r="O3661" i="17"/>
  <c r="O3657" i="17"/>
  <c r="O3653" i="17"/>
  <c r="O3649" i="17"/>
  <c r="O3645" i="17"/>
  <c r="O3641" i="17"/>
  <c r="O3637" i="17"/>
  <c r="O3633" i="17"/>
  <c r="O3629" i="17"/>
  <c r="O3625" i="17"/>
  <c r="O3621" i="17"/>
  <c r="O3617" i="17"/>
  <c r="O3613" i="17"/>
  <c r="O3609" i="17"/>
  <c r="O3605" i="17"/>
  <c r="O3601" i="17"/>
  <c r="O3597" i="17"/>
  <c r="O3593" i="17"/>
  <c r="O3589" i="17"/>
  <c r="O3585" i="17"/>
  <c r="O3581" i="17"/>
  <c r="O3577" i="17"/>
  <c r="O3573" i="17"/>
  <c r="O3569" i="17"/>
  <c r="O3565" i="17"/>
  <c r="O3561" i="17"/>
  <c r="O3557" i="17"/>
  <c r="O3553" i="17"/>
  <c r="O3549" i="17"/>
  <c r="O3545" i="17"/>
  <c r="O3541" i="17"/>
  <c r="O3537" i="17"/>
  <c r="O3533" i="17"/>
  <c r="O3529" i="17"/>
  <c r="O3525" i="17"/>
  <c r="O3521" i="17"/>
  <c r="O3517" i="17"/>
  <c r="O3513" i="17"/>
  <c r="O3509" i="17"/>
  <c r="O3505" i="17"/>
  <c r="O3501" i="17"/>
  <c r="O3497" i="17"/>
  <c r="O3493" i="17"/>
  <c r="O2081" i="17"/>
  <c r="O2077" i="17"/>
  <c r="O3481" i="17"/>
  <c r="O3477" i="17"/>
  <c r="O3473" i="17"/>
  <c r="O3469" i="17"/>
  <c r="O3465" i="17"/>
  <c r="O3461" i="17"/>
  <c r="O3457" i="17"/>
  <c r="O3453" i="17"/>
  <c r="O3449" i="17"/>
  <c r="O3445" i="17"/>
  <c r="O3441" i="17"/>
  <c r="O3437" i="17"/>
  <c r="O3433" i="17"/>
  <c r="O3429" i="17"/>
  <c r="O3425" i="17"/>
  <c r="O3421" i="17"/>
  <c r="O3417" i="17"/>
  <c r="O3413" i="17"/>
  <c r="O3409" i="17"/>
  <c r="O3405" i="17"/>
  <c r="O3401" i="17"/>
  <c r="O3397" i="17"/>
  <c r="O3393" i="17"/>
  <c r="O3389" i="17"/>
  <c r="O3385" i="17"/>
  <c r="O3381" i="17"/>
  <c r="O3377" i="17"/>
  <c r="O3373" i="17"/>
  <c r="O3369" i="17"/>
  <c r="O3365" i="17"/>
  <c r="O3361" i="17"/>
  <c r="O3357" i="17"/>
  <c r="O3353" i="17"/>
  <c r="O3349" i="17"/>
  <c r="O3345" i="17"/>
  <c r="O3341" i="17"/>
  <c r="O3337" i="17"/>
  <c r="O3333" i="17"/>
  <c r="O3329" i="17"/>
  <c r="O3325" i="17"/>
  <c r="O3321" i="17"/>
  <c r="O3317" i="17"/>
  <c r="O3313" i="17"/>
  <c r="O3309" i="17"/>
  <c r="O3305" i="17"/>
  <c r="O3301" i="17"/>
  <c r="O3297" i="17"/>
  <c r="O3293" i="17"/>
  <c r="O3289" i="17"/>
  <c r="O3285" i="17"/>
  <c r="O3281" i="17"/>
  <c r="O3277" i="17"/>
  <c r="O3273" i="17"/>
  <c r="O3269" i="17"/>
  <c r="O3265" i="17"/>
  <c r="O3261" i="17"/>
  <c r="O3257" i="17"/>
  <c r="O3253" i="17"/>
  <c r="O3249" i="17"/>
  <c r="O3245" i="17"/>
  <c r="O3241" i="17"/>
  <c r="O3237" i="17"/>
  <c r="O3233" i="17"/>
  <c r="O3229" i="17"/>
  <c r="O3225" i="17"/>
  <c r="O3221" i="17"/>
  <c r="O3217" i="17"/>
  <c r="O2537" i="17"/>
  <c r="U4" i="17"/>
  <c r="S35" i="17" s="1"/>
  <c r="U9" i="17"/>
  <c r="S40" i="17" s="1"/>
  <c r="O3213" i="17"/>
  <c r="O3209" i="17"/>
  <c r="O3205" i="17"/>
  <c r="O3201" i="17"/>
  <c r="O3197" i="17"/>
  <c r="O3193" i="17"/>
  <c r="O3189" i="17"/>
  <c r="O3185" i="17"/>
  <c r="O3181" i="17"/>
  <c r="O3177" i="17"/>
  <c r="O3173" i="17"/>
  <c r="O3169" i="17"/>
  <c r="O3165" i="17"/>
  <c r="O3161" i="17"/>
  <c r="O3157" i="17"/>
  <c r="O3153" i="17"/>
  <c r="O3149" i="17"/>
  <c r="O3145" i="17"/>
  <c r="O3141" i="17"/>
  <c r="O3137" i="17"/>
  <c r="O3133" i="17"/>
  <c r="O3129" i="17"/>
  <c r="O3125" i="17"/>
  <c r="O3121" i="17"/>
  <c r="O3117" i="17"/>
  <c r="O3113" i="17"/>
  <c r="O3109" i="17"/>
  <c r="O3105" i="17"/>
  <c r="O3101" i="17"/>
  <c r="O3097" i="17"/>
  <c r="O3093" i="17"/>
  <c r="O3089" i="17"/>
  <c r="O3085" i="17"/>
  <c r="O3081" i="17"/>
  <c r="O3077" i="17"/>
  <c r="O3073" i="17"/>
  <c r="O3069" i="17"/>
  <c r="O3065" i="17"/>
  <c r="O3061" i="17"/>
  <c r="O3057" i="17"/>
  <c r="O3053" i="17"/>
  <c r="O3049" i="17"/>
  <c r="O3045" i="17"/>
  <c r="O3041" i="17"/>
  <c r="O3037" i="17"/>
  <c r="O3033" i="17"/>
  <c r="O3029" i="17"/>
  <c r="O3025" i="17"/>
  <c r="O3021" i="17"/>
  <c r="O3017" i="17"/>
  <c r="O3013" i="17"/>
  <c r="O3009" i="17"/>
  <c r="O3005" i="17"/>
  <c r="O3001" i="17"/>
  <c r="O2997" i="17"/>
  <c r="O2993" i="17"/>
  <c r="O2989" i="17"/>
  <c r="O2985" i="17"/>
  <c r="O2981" i="17"/>
  <c r="O2977" i="17"/>
  <c r="O2973" i="17"/>
  <c r="O2969" i="17"/>
  <c r="O2965" i="17"/>
  <c r="O2961" i="17"/>
  <c r="O2957" i="17"/>
  <c r="O2953" i="17"/>
  <c r="O2949" i="17"/>
  <c r="O2945" i="17"/>
  <c r="O2941" i="17"/>
  <c r="O2937" i="17"/>
  <c r="O2933" i="17"/>
  <c r="O2929" i="17"/>
  <c r="O2925" i="17"/>
  <c r="O2921" i="17"/>
  <c r="O2917" i="17"/>
  <c r="O2913" i="17"/>
  <c r="O2909" i="17"/>
  <c r="O2905" i="17"/>
  <c r="O2901" i="17"/>
  <c r="O2897" i="17"/>
  <c r="O2893" i="17"/>
  <c r="O2889" i="17"/>
  <c r="O2885" i="17"/>
  <c r="O2881" i="17"/>
  <c r="O2877" i="17"/>
  <c r="O2873" i="17"/>
  <c r="O2869" i="17"/>
  <c r="O2865" i="17"/>
  <c r="O2861" i="17"/>
  <c r="O2857" i="17"/>
  <c r="O2853" i="17"/>
  <c r="O2849" i="17"/>
  <c r="O2845" i="17"/>
  <c r="O2841" i="17"/>
  <c r="O2837" i="17"/>
  <c r="O2833" i="17"/>
  <c r="O2829" i="17"/>
  <c r="O2825" i="17"/>
  <c r="O2821" i="17"/>
  <c r="O2817" i="17"/>
  <c r="O2813" i="17"/>
  <c r="O2809" i="17"/>
  <c r="O2805" i="17"/>
  <c r="O2801" i="17"/>
  <c r="O2797" i="17"/>
  <c r="O2793" i="17"/>
  <c r="O2789" i="17"/>
  <c r="O2785" i="17"/>
  <c r="O2781" i="17"/>
  <c r="O2777" i="17"/>
  <c r="O2773" i="17"/>
  <c r="O2769" i="17"/>
  <c r="O2765" i="17"/>
  <c r="O2761" i="17"/>
  <c r="O2757" i="17"/>
  <c r="O2753" i="17"/>
  <c r="O2749" i="17"/>
  <c r="O2745" i="17"/>
  <c r="O2741" i="17"/>
  <c r="O2737" i="17"/>
  <c r="O2733" i="17"/>
  <c r="O2729" i="17"/>
  <c r="O2725" i="17"/>
  <c r="O2721" i="17"/>
  <c r="O2717" i="17"/>
  <c r="O2713" i="17"/>
  <c r="O2709" i="17"/>
  <c r="O2705" i="17"/>
  <c r="O2701" i="17"/>
  <c r="O2697" i="17"/>
  <c r="O2693" i="17"/>
  <c r="O2689" i="17"/>
  <c r="O2685" i="17"/>
  <c r="O2681" i="17"/>
  <c r="O2677" i="17"/>
  <c r="O2673" i="17"/>
  <c r="O2669" i="17"/>
  <c r="O2665" i="17"/>
  <c r="O2661" i="17"/>
  <c r="O2657" i="17"/>
  <c r="O2653" i="17"/>
  <c r="O2649" i="17"/>
  <c r="O2645" i="17"/>
  <c r="O2641" i="17"/>
  <c r="O2637" i="17"/>
  <c r="O2633" i="17"/>
  <c r="O2629" i="17"/>
  <c r="O2625" i="17"/>
  <c r="O2621" i="17"/>
  <c r="O2617" i="17"/>
  <c r="O2613" i="17"/>
  <c r="O2609" i="17"/>
  <c r="O2605" i="17"/>
  <c r="O2601" i="17"/>
  <c r="O2597" i="17"/>
  <c r="O2593" i="17"/>
  <c r="O2589" i="17"/>
  <c r="O2585" i="17"/>
  <c r="O2581" i="17"/>
  <c r="O2577" i="17"/>
  <c r="O2573" i="17"/>
  <c r="O2569" i="17"/>
  <c r="O2455" i="17"/>
  <c r="O2451" i="17"/>
  <c r="O2557" i="17"/>
  <c r="O2553" i="17"/>
  <c r="O2549" i="17"/>
  <c r="O2545" i="17"/>
  <c r="O2541" i="17"/>
  <c r="O2461" i="17"/>
  <c r="O345" i="17"/>
  <c r="O2533" i="17"/>
  <c r="O2529" i="17"/>
  <c r="O2525" i="17"/>
  <c r="O2521" i="17"/>
  <c r="O2517" i="17"/>
  <c r="O2513" i="17"/>
  <c r="O2509" i="17"/>
  <c r="O2505" i="17"/>
  <c r="O2501" i="17"/>
  <c r="O2497" i="17"/>
  <c r="O2493" i="17"/>
  <c r="O2489" i="17"/>
  <c r="O2485" i="17"/>
  <c r="O2481" i="17"/>
  <c r="O2477" i="17"/>
  <c r="O2473" i="17"/>
  <c r="O2469" i="17"/>
  <c r="O2465" i="17"/>
  <c r="O2457" i="17"/>
  <c r="O2447" i="17"/>
  <c r="O2371" i="17"/>
  <c r="O2445" i="17"/>
  <c r="O2441" i="17"/>
  <c r="O2437" i="17"/>
  <c r="O2433" i="17"/>
  <c r="O2429" i="17"/>
  <c r="O2425" i="17"/>
  <c r="O2421" i="17"/>
  <c r="O2417" i="17"/>
  <c r="O2413" i="17"/>
  <c r="O2409" i="17"/>
  <c r="O2405" i="17"/>
  <c r="O2401" i="17"/>
  <c r="O2397" i="17"/>
  <c r="O2393" i="17"/>
  <c r="O2389" i="17"/>
  <c r="O2385" i="17"/>
  <c r="O2381" i="17"/>
  <c r="O2377" i="17"/>
  <c r="O2029" i="17"/>
  <c r="O2025" i="17"/>
  <c r="O2365" i="17"/>
  <c r="O2361" i="17"/>
  <c r="O2357" i="17"/>
  <c r="O2353" i="17"/>
  <c r="O2349" i="17"/>
  <c r="O2345" i="17"/>
  <c r="O2341" i="17"/>
  <c r="O2337" i="17"/>
  <c r="O2333" i="17"/>
  <c r="O2329" i="17"/>
  <c r="O2325" i="17"/>
  <c r="O2321" i="17"/>
  <c r="O2317" i="17"/>
  <c r="O2313" i="17"/>
  <c r="O2309" i="17"/>
  <c r="O2305" i="17"/>
  <c r="O2301" i="17"/>
  <c r="O2297" i="17"/>
  <c r="O449" i="17"/>
  <c r="O445" i="17"/>
  <c r="O441" i="17"/>
  <c r="O437" i="17"/>
  <c r="O433" i="17"/>
  <c r="O429" i="17"/>
  <c r="O425" i="17"/>
  <c r="O421" i="17"/>
  <c r="O417" i="17"/>
  <c r="O413" i="17"/>
  <c r="O409" i="17"/>
  <c r="O405" i="17"/>
  <c r="O401" i="17"/>
  <c r="O397" i="17"/>
  <c r="O393" i="17"/>
  <c r="O389" i="17"/>
  <c r="O385" i="17"/>
  <c r="O381" i="17"/>
  <c r="O377" i="17"/>
  <c r="O373" i="17"/>
  <c r="O369" i="17"/>
  <c r="O365" i="17"/>
  <c r="O361" i="17"/>
  <c r="O357" i="17"/>
  <c r="O353" i="17"/>
  <c r="O349" i="17"/>
  <c r="O341" i="17"/>
  <c r="O337" i="17"/>
  <c r="O333" i="17"/>
  <c r="O329" i="17"/>
  <c r="O325" i="17"/>
  <c r="O321" i="17"/>
  <c r="O317" i="17"/>
  <c r="O313" i="17"/>
  <c r="O309" i="17"/>
  <c r="O305" i="17"/>
  <c r="O301" i="17"/>
  <c r="O297" i="17"/>
  <c r="O293" i="17"/>
  <c r="O289" i="17"/>
  <c r="O285" i="17"/>
  <c r="O281" i="17"/>
  <c r="O277" i="17"/>
  <c r="O273" i="17"/>
  <c r="O269" i="17"/>
  <c r="O265" i="17"/>
  <c r="O261" i="17"/>
  <c r="O257" i="17"/>
  <c r="O253" i="17"/>
  <c r="O249" i="17"/>
  <c r="O245" i="17"/>
  <c r="O241" i="17"/>
  <c r="O237" i="17"/>
  <c r="O233" i="17"/>
  <c r="O229" i="17"/>
  <c r="O225" i="17"/>
  <c r="O221" i="17"/>
  <c r="O217" i="17"/>
  <c r="O213" i="17"/>
  <c r="O209" i="17"/>
  <c r="O205" i="17"/>
  <c r="O201" i="17"/>
  <c r="O197" i="17"/>
  <c r="O193" i="17"/>
  <c r="O189" i="17"/>
  <c r="O185" i="17"/>
  <c r="O181" i="17"/>
  <c r="O177" i="17"/>
  <c r="O173" i="17"/>
  <c r="O169" i="17"/>
  <c r="O165" i="17"/>
  <c r="O161" i="17"/>
  <c r="O157" i="17"/>
  <c r="O153" i="17"/>
  <c r="O149" i="17"/>
  <c r="O145" i="17"/>
  <c r="O141" i="17"/>
  <c r="O137" i="17"/>
  <c r="O133" i="17"/>
  <c r="O129" i="17"/>
  <c r="O125" i="17"/>
  <c r="O121" i="17"/>
  <c r="O117" i="17"/>
  <c r="O113" i="17"/>
  <c r="O109" i="17"/>
  <c r="O105" i="17"/>
  <c r="O101" i="17"/>
  <c r="O97" i="17"/>
  <c r="O93" i="17"/>
  <c r="O89" i="17"/>
  <c r="O85" i="17"/>
  <c r="O81" i="17"/>
  <c r="O77" i="17"/>
  <c r="O73" i="17"/>
  <c r="O69" i="17"/>
  <c r="O65" i="17"/>
  <c r="O61" i="17"/>
  <c r="O57" i="17"/>
  <c r="O53" i="17"/>
  <c r="O49" i="17"/>
  <c r="O45" i="17"/>
  <c r="O41" i="17"/>
  <c r="O37" i="17"/>
  <c r="O33" i="17"/>
  <c r="O29" i="17"/>
  <c r="O25" i="17"/>
  <c r="O21" i="17"/>
  <c r="O17" i="17"/>
  <c r="O13" i="17"/>
  <c r="O9" i="17"/>
  <c r="O5" i="17"/>
  <c r="O3691" i="17"/>
  <c r="O3687" i="17"/>
  <c r="O3683" i="17"/>
  <c r="O3679" i="17"/>
  <c r="O3675" i="17"/>
  <c r="O3671" i="17"/>
  <c r="O3667" i="17"/>
  <c r="O3663" i="17"/>
  <c r="O3659" i="17"/>
  <c r="O3655" i="17"/>
  <c r="O3651" i="17"/>
  <c r="O3647" i="17"/>
  <c r="O3643" i="17"/>
  <c r="O3639" i="17"/>
  <c r="O3635" i="17"/>
  <c r="O3631" i="17"/>
  <c r="O3627" i="17"/>
  <c r="O3623" i="17"/>
  <c r="O3619" i="17"/>
  <c r="O3615" i="17"/>
  <c r="O3611" i="17"/>
  <c r="O3607" i="17"/>
  <c r="O3603" i="17"/>
  <c r="O3599" i="17"/>
  <c r="O3595" i="17"/>
  <c r="O3591" i="17"/>
  <c r="O3587" i="17"/>
  <c r="O3583" i="17"/>
  <c r="O3579" i="17"/>
  <c r="O3575" i="17"/>
  <c r="O3571" i="17"/>
  <c r="O3567" i="17"/>
  <c r="O3563" i="17"/>
  <c r="O3559" i="17"/>
  <c r="O3555" i="17"/>
  <c r="O3551" i="17"/>
  <c r="O3547" i="17"/>
  <c r="O3543" i="17"/>
  <c r="O3539" i="17"/>
  <c r="O3535" i="17"/>
  <c r="O3531" i="17"/>
  <c r="O3527" i="17"/>
  <c r="O3523" i="17"/>
  <c r="O3519" i="17"/>
  <c r="O3515" i="17"/>
  <c r="O3511" i="17"/>
  <c r="O3507" i="17"/>
  <c r="O3503" i="17"/>
  <c r="O3499" i="17"/>
  <c r="O3495" i="17"/>
  <c r="O2367" i="17"/>
  <c r="O2079" i="17"/>
  <c r="O3483" i="17"/>
  <c r="O3479" i="17"/>
  <c r="O3475" i="17"/>
  <c r="O3471" i="17"/>
  <c r="O3467" i="17"/>
  <c r="O3463" i="17"/>
  <c r="O3459" i="17"/>
  <c r="O3455" i="17"/>
  <c r="O3451" i="17"/>
  <c r="O3447" i="17"/>
  <c r="O3443" i="17"/>
  <c r="O3439" i="17"/>
  <c r="O3435" i="17"/>
  <c r="O3431" i="17"/>
  <c r="O3427" i="17"/>
  <c r="O3423" i="17"/>
  <c r="O3419" i="17"/>
  <c r="O3415" i="17"/>
  <c r="O3411" i="17"/>
  <c r="O3407" i="17"/>
  <c r="O3403" i="17"/>
  <c r="O3399" i="17"/>
  <c r="O3395" i="17"/>
  <c r="O3391" i="17"/>
  <c r="O3387" i="17"/>
  <c r="O3383" i="17"/>
  <c r="O3379" i="17"/>
  <c r="O3375" i="17"/>
  <c r="O3371" i="17"/>
  <c r="O3367" i="17"/>
  <c r="O3363" i="17"/>
  <c r="O3359" i="17"/>
  <c r="O3355" i="17"/>
  <c r="O3351" i="17"/>
  <c r="O3347" i="17"/>
  <c r="O3343" i="17"/>
  <c r="O3339" i="17"/>
  <c r="O3335" i="17"/>
  <c r="O3331" i="17"/>
  <c r="O3327" i="17"/>
  <c r="O3323" i="17"/>
  <c r="O3319" i="17"/>
  <c r="O3315" i="17"/>
  <c r="O3311" i="17"/>
  <c r="O3307" i="17"/>
  <c r="O3303" i="17"/>
  <c r="O3299" i="17"/>
  <c r="O3295" i="17"/>
  <c r="O3291" i="17"/>
  <c r="O3287" i="17"/>
  <c r="O3283" i="17"/>
  <c r="O3279" i="17"/>
  <c r="O3275" i="17"/>
  <c r="O3271" i="17"/>
  <c r="O3267" i="17"/>
  <c r="O3263" i="17"/>
  <c r="O3259" i="17"/>
  <c r="O3255" i="17"/>
  <c r="O3251" i="17"/>
  <c r="O3247" i="17"/>
  <c r="O3243" i="17"/>
  <c r="O3239" i="17"/>
  <c r="O3235" i="17"/>
  <c r="O3231" i="17"/>
  <c r="O3227" i="17"/>
  <c r="O3223" i="17"/>
  <c r="O3491" i="17"/>
  <c r="O3215" i="17"/>
  <c r="O3211" i="17"/>
  <c r="O3207" i="17"/>
  <c r="O3203" i="17"/>
  <c r="O3199" i="17"/>
  <c r="O3195" i="17"/>
  <c r="O3191" i="17"/>
  <c r="O3187" i="17"/>
  <c r="O3183" i="17"/>
  <c r="O3179" i="17"/>
  <c r="O3175" i="17"/>
  <c r="O3171" i="17"/>
  <c r="O3167" i="17"/>
  <c r="O3163" i="17"/>
  <c r="O3159" i="17"/>
  <c r="O3155" i="17"/>
  <c r="O3151" i="17"/>
  <c r="O3147" i="17"/>
  <c r="O3143" i="17"/>
  <c r="O3139" i="17"/>
  <c r="O3135" i="17"/>
  <c r="O3131" i="17"/>
  <c r="O3127" i="17"/>
  <c r="O3123" i="17"/>
  <c r="O3119" i="17"/>
  <c r="O3115" i="17"/>
  <c r="O3111" i="17"/>
  <c r="O3107" i="17"/>
  <c r="O3103" i="17"/>
  <c r="O3099" i="17"/>
  <c r="O3095" i="17"/>
  <c r="O3091" i="17"/>
  <c r="O3087" i="17"/>
  <c r="O3083" i="17"/>
  <c r="O3079" i="17"/>
  <c r="O3075" i="17"/>
  <c r="O3071" i="17"/>
  <c r="O3067" i="17"/>
  <c r="O3063" i="17"/>
  <c r="O3059" i="17"/>
  <c r="O3055" i="17"/>
  <c r="O3051" i="17"/>
  <c r="O3047" i="17"/>
  <c r="O3043" i="17"/>
  <c r="O3039" i="17"/>
  <c r="O3035" i="17"/>
  <c r="O3031" i="17"/>
  <c r="O3027" i="17"/>
  <c r="O3023" i="17"/>
  <c r="O3019" i="17"/>
  <c r="O3015" i="17"/>
  <c r="O3011" i="17"/>
  <c r="O3007" i="17"/>
  <c r="O3003" i="17"/>
  <c r="O2999" i="17"/>
  <c r="O2995" i="17"/>
  <c r="O2991" i="17"/>
  <c r="O2987" i="17"/>
  <c r="O2983" i="17"/>
  <c r="O2979" i="17"/>
  <c r="O2975" i="17"/>
  <c r="O2971" i="17"/>
  <c r="O2967" i="17"/>
  <c r="O2963" i="17"/>
  <c r="O2959" i="17"/>
  <c r="O2955" i="17"/>
  <c r="O2951" i="17"/>
  <c r="O2947" i="17"/>
  <c r="O2943" i="17"/>
  <c r="O2939" i="17"/>
  <c r="O2935" i="17"/>
  <c r="O2931" i="17"/>
  <c r="O2927" i="17"/>
  <c r="O2923" i="17"/>
  <c r="O2919" i="17"/>
  <c r="O2915" i="17"/>
  <c r="O2911" i="17"/>
  <c r="O2907" i="17"/>
  <c r="O2903" i="17"/>
  <c r="O2899" i="17"/>
  <c r="O2895" i="17"/>
  <c r="O2891" i="17"/>
  <c r="O2887" i="17"/>
  <c r="O2883" i="17"/>
  <c r="O2879" i="17"/>
  <c r="O2875" i="17"/>
  <c r="O2871" i="17"/>
  <c r="O2867" i="17"/>
  <c r="O2863" i="17"/>
  <c r="O2859" i="17"/>
  <c r="O2855" i="17"/>
  <c r="O2851" i="17"/>
  <c r="O2847" i="17"/>
  <c r="O2843" i="17"/>
  <c r="O2839" i="17"/>
  <c r="O2835" i="17"/>
  <c r="O2831" i="17"/>
  <c r="O2827" i="17"/>
  <c r="O2823" i="17"/>
  <c r="O2819" i="17"/>
  <c r="O2815" i="17"/>
  <c r="O2811" i="17"/>
  <c r="O2807" i="17"/>
  <c r="O2803" i="17"/>
  <c r="O2799" i="17"/>
  <c r="O2795" i="17"/>
  <c r="O2791" i="17"/>
  <c r="O2787" i="17"/>
  <c r="O2783" i="17"/>
  <c r="O2779" i="17"/>
  <c r="O2775" i="17"/>
  <c r="O2771" i="17"/>
  <c r="O2767" i="17"/>
  <c r="O2763" i="17"/>
  <c r="O2759" i="17"/>
  <c r="O2755" i="17"/>
  <c r="O2751" i="17"/>
  <c r="O2747" i="17"/>
  <c r="O2743" i="17"/>
  <c r="O2739" i="17"/>
  <c r="O2735" i="17"/>
  <c r="O2731" i="17"/>
  <c r="O2727" i="17"/>
  <c r="O2723" i="17"/>
  <c r="O2719" i="17"/>
  <c r="O2715" i="17"/>
  <c r="O2711" i="17"/>
  <c r="O2707" i="17"/>
  <c r="O2703" i="17"/>
  <c r="O2699" i="17"/>
  <c r="O2695" i="17"/>
  <c r="O2691" i="17"/>
  <c r="O2687" i="17"/>
  <c r="O2683" i="17"/>
  <c r="O2679" i="17"/>
  <c r="O2675" i="17"/>
  <c r="O2671" i="17"/>
  <c r="O2667" i="17"/>
  <c r="O2663" i="17"/>
  <c r="O2659" i="17"/>
  <c r="O2655" i="17"/>
  <c r="O2651" i="17"/>
  <c r="O2647" i="17"/>
  <c r="O2643" i="17"/>
  <c r="O2639" i="17"/>
  <c r="O2635" i="17"/>
  <c r="O2631" i="17"/>
  <c r="O2627" i="17"/>
  <c r="O2623" i="17"/>
  <c r="O2619" i="17"/>
  <c r="O2615" i="17"/>
  <c r="O2611" i="17"/>
  <c r="O2607" i="17"/>
  <c r="O2603" i="17"/>
  <c r="O2599" i="17"/>
  <c r="O2595" i="17"/>
  <c r="O2591" i="17"/>
  <c r="O2587" i="17"/>
  <c r="O2583" i="17"/>
  <c r="O2579" i="17"/>
  <c r="O2575" i="17"/>
  <c r="O2571" i="17"/>
  <c r="O2561" i="17"/>
  <c r="O2453" i="17"/>
  <c r="O2559" i="17"/>
  <c r="O2555" i="17"/>
  <c r="O2551" i="17"/>
  <c r="O2547" i="17"/>
  <c r="O2543" i="17"/>
  <c r="O2539" i="17"/>
  <c r="O2535" i="17"/>
  <c r="O2531" i="17"/>
  <c r="O2527" i="17"/>
  <c r="O2523" i="17"/>
  <c r="O2519" i="17"/>
  <c r="O2515" i="17"/>
  <c r="O2511" i="17"/>
  <c r="O2507" i="17"/>
  <c r="O2503" i="17"/>
  <c r="O2499" i="17"/>
  <c r="O2495" i="17"/>
  <c r="O2491" i="17"/>
  <c r="O2487" i="17"/>
  <c r="O2483" i="17"/>
  <c r="O2479" i="17"/>
  <c r="O2475" i="17"/>
  <c r="O2471" i="17"/>
  <c r="O2467" i="17"/>
  <c r="O2463" i="17"/>
  <c r="O2459" i="17"/>
  <c r="O2449" i="17"/>
  <c r="O2373" i="17"/>
  <c r="O2369" i="17"/>
  <c r="O2443" i="17"/>
  <c r="O2439" i="17"/>
  <c r="O2435" i="17"/>
  <c r="O2431" i="17"/>
  <c r="O2427" i="17"/>
  <c r="O2423" i="17"/>
  <c r="O2419" i="17"/>
  <c r="O2415" i="17"/>
  <c r="O2411" i="17"/>
  <c r="O2407" i="17"/>
  <c r="O2403" i="17"/>
  <c r="O2399" i="17"/>
  <c r="O2395" i="17"/>
  <c r="O2391" i="17"/>
  <c r="O2387" i="17"/>
  <c r="O2383" i="17"/>
  <c r="O2379" i="17"/>
  <c r="O2375" i="17"/>
  <c r="O2027" i="17"/>
  <c r="O2023" i="17"/>
  <c r="O2363" i="17"/>
  <c r="O2359" i="17"/>
  <c r="O2355" i="17"/>
  <c r="O2351" i="17"/>
  <c r="O2347" i="17"/>
  <c r="O2343" i="17"/>
  <c r="O2339" i="17"/>
  <c r="O2335" i="17"/>
  <c r="O2331" i="17"/>
  <c r="O2327" i="17"/>
  <c r="O2323" i="17"/>
  <c r="O2319" i="17"/>
  <c r="O2315" i="17"/>
  <c r="O2311" i="17"/>
  <c r="O2307" i="17"/>
  <c r="O2303" i="17"/>
  <c r="O2299" i="17"/>
  <c r="O2295" i="17"/>
  <c r="O2291" i="17"/>
  <c r="O2287" i="17"/>
  <c r="O2283" i="17"/>
  <c r="O2279" i="17"/>
  <c r="O2275" i="17"/>
  <c r="O2271" i="17"/>
  <c r="O2267" i="17"/>
  <c r="O2263" i="17"/>
  <c r="O2259" i="17"/>
  <c r="O2255" i="17"/>
  <c r="O2251" i="17"/>
  <c r="O2247" i="17"/>
  <c r="O2243" i="17"/>
  <c r="O2239" i="17"/>
  <c r="O2235" i="17"/>
  <c r="O2231" i="17"/>
  <c r="O2227" i="17"/>
  <c r="O2223" i="17"/>
  <c r="O2219" i="17"/>
  <c r="O2215" i="17"/>
  <c r="O2211" i="17"/>
  <c r="O2207" i="17"/>
  <c r="O2203" i="17"/>
  <c r="O2199" i="17"/>
  <c r="O2195" i="17"/>
  <c r="O2191" i="17"/>
  <c r="O2187" i="17"/>
  <c r="O2183" i="17"/>
  <c r="O2179" i="17"/>
  <c r="O2175" i="17"/>
  <c r="O2171" i="17"/>
  <c r="O2167" i="17"/>
  <c r="O2163" i="17"/>
  <c r="O2159" i="17"/>
  <c r="O2155" i="17"/>
  <c r="O2151" i="17"/>
  <c r="O2147" i="17"/>
  <c r="O2143" i="17"/>
  <c r="O2139" i="17"/>
  <c r="O2135" i="17"/>
  <c r="O2131" i="17"/>
  <c r="O2127" i="17"/>
  <c r="O2123" i="17"/>
  <c r="O2119" i="17"/>
  <c r="O2115" i="17"/>
  <c r="O2111" i="17"/>
  <c r="O2107" i="17"/>
  <c r="O2103" i="17"/>
  <c r="O2099" i="17"/>
  <c r="O2095" i="17"/>
  <c r="O2091" i="17"/>
  <c r="O2087" i="17"/>
  <c r="O2083" i="17"/>
  <c r="O3488" i="17"/>
  <c r="O2075" i="17"/>
  <c r="O2071" i="17"/>
  <c r="O2067" i="17"/>
  <c r="O2063" i="17"/>
  <c r="O2059" i="17"/>
  <c r="O2055" i="17"/>
  <c r="O2051" i="17"/>
  <c r="O2047" i="17"/>
  <c r="O2043" i="17"/>
  <c r="O2039" i="17"/>
  <c r="O2035" i="17"/>
  <c r="O2031" i="17"/>
  <c r="O1569" i="17"/>
  <c r="O1565" i="17"/>
  <c r="O2019" i="17"/>
  <c r="O2015" i="17"/>
  <c r="O2011" i="17"/>
  <c r="O2007" i="17"/>
  <c r="O2003" i="17"/>
  <c r="O1999" i="17"/>
  <c r="O1995" i="17"/>
  <c r="O1991" i="17"/>
  <c r="O1987" i="17"/>
  <c r="O1983" i="17"/>
  <c r="O1979" i="17"/>
  <c r="O1975" i="17"/>
  <c r="O1971" i="17"/>
  <c r="O1967" i="17"/>
  <c r="O1963" i="17"/>
  <c r="O1959" i="17"/>
  <c r="O1955" i="17"/>
  <c r="O1951" i="17"/>
  <c r="O1947" i="17"/>
  <c r="O1943" i="17"/>
  <c r="O1939" i="17"/>
  <c r="O1935" i="17"/>
  <c r="O1931" i="17"/>
  <c r="O1927" i="17"/>
  <c r="O1923" i="17"/>
  <c r="O1919" i="17"/>
  <c r="O1915" i="17"/>
  <c r="O1911" i="17"/>
  <c r="O1907" i="17"/>
  <c r="O1903" i="17"/>
  <c r="O1899" i="17"/>
  <c r="O1895" i="17"/>
  <c r="O1891" i="17"/>
  <c r="O1887" i="17"/>
  <c r="O1883" i="17"/>
  <c r="O1879" i="17"/>
  <c r="O1875" i="17"/>
  <c r="O1871" i="17"/>
  <c r="O1867" i="17"/>
  <c r="O1863" i="17"/>
  <c r="O1859" i="17"/>
  <c r="O1855" i="17"/>
  <c r="O1851" i="17"/>
  <c r="O1847" i="17"/>
  <c r="O1843" i="17"/>
  <c r="O1839" i="17"/>
  <c r="O1835" i="17"/>
  <c r="O1831" i="17"/>
  <c r="O1827" i="17"/>
  <c r="O1823" i="17"/>
  <c r="O1819" i="17"/>
  <c r="O1815" i="17"/>
  <c r="O1811" i="17"/>
  <c r="O1807" i="17"/>
  <c r="O1803" i="17"/>
  <c r="O1799" i="17"/>
  <c r="O1795" i="17"/>
  <c r="O1791" i="17"/>
  <c r="O1787" i="17"/>
  <c r="O1783" i="17"/>
  <c r="O1779" i="17"/>
  <c r="O1775" i="17"/>
  <c r="O1771" i="17"/>
  <c r="O1767" i="17"/>
  <c r="O1763" i="17"/>
  <c r="O1759" i="17"/>
  <c r="O1755" i="17"/>
  <c r="O1751" i="17"/>
  <c r="O1747" i="17"/>
  <c r="O1743" i="17"/>
  <c r="O1739" i="17"/>
  <c r="O1735" i="17"/>
  <c r="O1731" i="17"/>
  <c r="O1727" i="17"/>
  <c r="O1723" i="17"/>
  <c r="O1719" i="17"/>
  <c r="O1715" i="17"/>
  <c r="O1711" i="17"/>
  <c r="O1707" i="17"/>
  <c r="O1703" i="17"/>
  <c r="O1699" i="17"/>
  <c r="O1695" i="17"/>
  <c r="O1691" i="17"/>
  <c r="O1687" i="17"/>
  <c r="O1683" i="17"/>
  <c r="O1679" i="17"/>
  <c r="O1675" i="17"/>
  <c r="O1671" i="17"/>
  <c r="O1667" i="17"/>
  <c r="O1663" i="17"/>
  <c r="O1659" i="17"/>
  <c r="O1655" i="17"/>
  <c r="O1651" i="17"/>
  <c r="O1647" i="17"/>
  <c r="O1643" i="17"/>
  <c r="O1639" i="17"/>
  <c r="O1635" i="17"/>
  <c r="O1631" i="17"/>
  <c r="O1627" i="17"/>
  <c r="O1623" i="17"/>
  <c r="O1619" i="17"/>
  <c r="O1615" i="17"/>
  <c r="O1611" i="17"/>
  <c r="O1607" i="17"/>
  <c r="O1603" i="17"/>
  <c r="O1599" i="17"/>
  <c r="O1595" i="17"/>
  <c r="O1591" i="17"/>
  <c r="O1587" i="17"/>
  <c r="O1583" i="17"/>
  <c r="O1579" i="17"/>
  <c r="O1575" i="17"/>
  <c r="O3220" i="17"/>
  <c r="O2566" i="17"/>
  <c r="O1563" i="17"/>
  <c r="O1559" i="17"/>
  <c r="O1555" i="17"/>
  <c r="O1551" i="17"/>
  <c r="O1547" i="17"/>
  <c r="O1543" i="17"/>
  <c r="O1539" i="17"/>
  <c r="O1535" i="17"/>
  <c r="O1531" i="17"/>
  <c r="O1527" i="17"/>
  <c r="O1523" i="17"/>
  <c r="O1519" i="17"/>
  <c r="O1515" i="17"/>
  <c r="O1511" i="17"/>
  <c r="O1507" i="17"/>
  <c r="O1503" i="17"/>
  <c r="O1499" i="17"/>
  <c r="O1495" i="17"/>
  <c r="O1491" i="17"/>
  <c r="O1487" i="17"/>
  <c r="O1483" i="17"/>
  <c r="O1479" i="17"/>
  <c r="O1475" i="17"/>
  <c r="O1471" i="17"/>
  <c r="O1467" i="17"/>
  <c r="O1463" i="17"/>
  <c r="O1459" i="17"/>
  <c r="O1455" i="17"/>
  <c r="O1451" i="17"/>
  <c r="O1447" i="17"/>
  <c r="O1443" i="17"/>
  <c r="O1439" i="17"/>
  <c r="O1435" i="17"/>
  <c r="O1431" i="17"/>
  <c r="O1427" i="17"/>
  <c r="O1423" i="17"/>
  <c r="O1419" i="17"/>
  <c r="O1415" i="17"/>
  <c r="O1411" i="17"/>
  <c r="O1407" i="17"/>
  <c r="O1403" i="17"/>
  <c r="O1399" i="17"/>
  <c r="O1395" i="17"/>
  <c r="O1391" i="17"/>
  <c r="O1387" i="17"/>
  <c r="O1383" i="17"/>
  <c r="O1379" i="17"/>
  <c r="O1375" i="17"/>
  <c r="O1371" i="17"/>
  <c r="O1367" i="17"/>
  <c r="O1363" i="17"/>
  <c r="O1359" i="17"/>
  <c r="O1355" i="17"/>
  <c r="O1351" i="17"/>
  <c r="O1347" i="17"/>
  <c r="O1343" i="17"/>
  <c r="O1339" i="17"/>
  <c r="O1335" i="17"/>
  <c r="O1331" i="17"/>
  <c r="O1327" i="17"/>
  <c r="O1323" i="17"/>
  <c r="O1319" i="17"/>
  <c r="O1315" i="17"/>
  <c r="O1311" i="17"/>
  <c r="O1307" i="17"/>
  <c r="O1303" i="17"/>
  <c r="O1299" i="17"/>
  <c r="O1295" i="17"/>
  <c r="O1291" i="17"/>
  <c r="O1287" i="17"/>
  <c r="O1283" i="17"/>
  <c r="O1279" i="17"/>
  <c r="O1275" i="17"/>
  <c r="O1271" i="17"/>
  <c r="O1267" i="17"/>
  <c r="O1263" i="17"/>
  <c r="O1259" i="17"/>
  <c r="O1255" i="17"/>
  <c r="O1251" i="17"/>
  <c r="O1247" i="17"/>
  <c r="O1243" i="17"/>
  <c r="O1239" i="17"/>
  <c r="O1235" i="17"/>
  <c r="O1231" i="17"/>
  <c r="O1227" i="17"/>
  <c r="O1223" i="17"/>
  <c r="O1219" i="17"/>
  <c r="O1215" i="17"/>
  <c r="O1211" i="17"/>
  <c r="O1207" i="17"/>
  <c r="O1203" i="17"/>
  <c r="O1199" i="17"/>
  <c r="O1195" i="17"/>
  <c r="O1191" i="17"/>
  <c r="O1187" i="17"/>
  <c r="O1183" i="17"/>
  <c r="O1179" i="17"/>
  <c r="O1175" i="17"/>
  <c r="O1171" i="17"/>
  <c r="O1167" i="17"/>
  <c r="O1163" i="17"/>
  <c r="O1159" i="17"/>
  <c r="O1155" i="17"/>
  <c r="O1151" i="17"/>
  <c r="O1147" i="17"/>
  <c r="O1143" i="17"/>
  <c r="O1139" i="17"/>
  <c r="O1135" i="17"/>
  <c r="O1131" i="17"/>
  <c r="O1127" i="17"/>
  <c r="O1123" i="17"/>
  <c r="O1119" i="17"/>
  <c r="O1115" i="17"/>
  <c r="O1111" i="17"/>
  <c r="O1107" i="17"/>
  <c r="O1103" i="17"/>
  <c r="O1099" i="17"/>
  <c r="O1095" i="17"/>
  <c r="O1091" i="17"/>
  <c r="O1087" i="17"/>
  <c r="O1083" i="17"/>
  <c r="O1079" i="17"/>
  <c r="O1075" i="17"/>
  <c r="O1071" i="17"/>
  <c r="O1067" i="17"/>
  <c r="O1063" i="17"/>
  <c r="O1059" i="17"/>
  <c r="O1055" i="17"/>
  <c r="O1051" i="17"/>
  <c r="O1047" i="17"/>
  <c r="O1043" i="17"/>
  <c r="O1039" i="17"/>
  <c r="O1035" i="17"/>
  <c r="O1031" i="17"/>
  <c r="O1027" i="17"/>
  <c r="O1023" i="17"/>
  <c r="O1019" i="17"/>
  <c r="O1015" i="17"/>
  <c r="O1011" i="17"/>
  <c r="O1007" i="17"/>
  <c r="O1003" i="17"/>
  <c r="O999" i="17"/>
  <c r="O995" i="17"/>
  <c r="O991" i="17"/>
  <c r="O987" i="17"/>
  <c r="O983" i="17"/>
  <c r="O979" i="17"/>
  <c r="O975" i="17"/>
  <c r="O971" i="17"/>
  <c r="O967" i="17"/>
  <c r="O963" i="17"/>
  <c r="O959" i="17"/>
  <c r="O955" i="17"/>
  <c r="O951" i="17"/>
  <c r="O947" i="17"/>
  <c r="O943" i="17"/>
  <c r="O939" i="17"/>
  <c r="O935" i="17"/>
  <c r="O931" i="17"/>
  <c r="O927" i="17"/>
  <c r="O923" i="17"/>
  <c r="O919" i="17"/>
  <c r="O915" i="17"/>
  <c r="O911" i="17"/>
  <c r="O907" i="17"/>
  <c r="O903" i="17"/>
  <c r="O899" i="17"/>
  <c r="O895" i="17"/>
  <c r="O891" i="17"/>
  <c r="O887" i="17"/>
  <c r="O883" i="17"/>
  <c r="O879" i="17"/>
  <c r="O875" i="17"/>
  <c r="O871" i="17"/>
  <c r="O867" i="17"/>
  <c r="O863" i="17"/>
  <c r="O859" i="17"/>
  <c r="O855" i="17"/>
  <c r="O851" i="17"/>
  <c r="O847" i="17"/>
  <c r="O843" i="17"/>
  <c r="O839" i="17"/>
  <c r="O835" i="17"/>
  <c r="O831" i="17"/>
  <c r="O827" i="17"/>
  <c r="O823" i="17"/>
  <c r="O819" i="17"/>
  <c r="O815" i="17"/>
  <c r="O811" i="17"/>
  <c r="O807" i="17"/>
  <c r="O803" i="17"/>
  <c r="O799" i="17"/>
  <c r="O795" i="17"/>
  <c r="O791" i="17"/>
  <c r="O787" i="17"/>
  <c r="O783" i="17"/>
  <c r="O779" i="17"/>
  <c r="O775" i="17"/>
  <c r="O771" i="17"/>
  <c r="O767" i="17"/>
  <c r="O763" i="17"/>
  <c r="O759" i="17"/>
  <c r="O755" i="17"/>
  <c r="O751" i="17"/>
  <c r="O747" i="17"/>
  <c r="O743" i="17"/>
  <c r="O739" i="17"/>
  <c r="O735" i="17"/>
  <c r="O731" i="17"/>
  <c r="O727" i="17"/>
  <c r="O723" i="17"/>
  <c r="O719" i="17"/>
  <c r="O715" i="17"/>
  <c r="O711" i="17"/>
  <c r="O707" i="17"/>
  <c r="O703" i="17"/>
  <c r="O699" i="17"/>
  <c r="O695" i="17"/>
  <c r="O691" i="17"/>
  <c r="O687" i="17"/>
  <c r="O683" i="17"/>
  <c r="O679" i="17"/>
  <c r="O675" i="17"/>
  <c r="O671" i="17"/>
  <c r="O667" i="17"/>
  <c r="O663" i="17"/>
  <c r="O659" i="17"/>
  <c r="O655" i="17"/>
  <c r="O651" i="17"/>
  <c r="O647" i="17"/>
  <c r="O643" i="17"/>
  <c r="O639" i="17"/>
  <c r="O635" i="17"/>
  <c r="O631" i="17"/>
  <c r="O627" i="17"/>
  <c r="O623" i="17"/>
  <c r="O619" i="17"/>
  <c r="O615" i="17"/>
  <c r="O611" i="17"/>
  <c r="O607" i="17"/>
  <c r="O603" i="17"/>
  <c r="O599" i="17"/>
  <c r="O595" i="17"/>
  <c r="O591" i="17"/>
  <c r="O587" i="17"/>
  <c r="O583" i="17"/>
  <c r="O579" i="17"/>
  <c r="O575" i="17"/>
  <c r="O571" i="17"/>
  <c r="O567" i="17"/>
  <c r="O563" i="17"/>
  <c r="O559" i="17"/>
  <c r="O555" i="17"/>
  <c r="O551" i="17"/>
  <c r="O547" i="17"/>
  <c r="O543" i="17"/>
  <c r="O539" i="17"/>
  <c r="O535" i="17"/>
  <c r="O531" i="17"/>
  <c r="O527" i="17"/>
  <c r="O523" i="17"/>
  <c r="O519" i="17"/>
  <c r="O515" i="17"/>
  <c r="O511" i="17"/>
  <c r="O507" i="17"/>
  <c r="O503" i="17"/>
  <c r="O499" i="17"/>
  <c r="O495" i="17"/>
  <c r="O491" i="17"/>
  <c r="O487" i="17"/>
  <c r="O483" i="17"/>
  <c r="O479" i="17"/>
  <c r="O475" i="17"/>
  <c r="O471" i="17"/>
  <c r="O467" i="17"/>
  <c r="O463" i="17"/>
  <c r="O459" i="17"/>
  <c r="O455" i="17"/>
  <c r="O451" i="17"/>
  <c r="O447" i="17"/>
  <c r="O443" i="17"/>
  <c r="O439" i="17"/>
  <c r="O435" i="17"/>
  <c r="O431" i="17"/>
  <c r="O427" i="17"/>
  <c r="O423" i="17"/>
  <c r="O419" i="17"/>
  <c r="O415" i="17"/>
  <c r="O411" i="17"/>
  <c r="O407" i="17"/>
  <c r="O403" i="17"/>
  <c r="O399" i="17"/>
  <c r="O395" i="17"/>
  <c r="O391" i="17"/>
  <c r="O387" i="17"/>
  <c r="O383" i="17"/>
  <c r="O379" i="17"/>
  <c r="O375" i="17"/>
  <c r="O371" i="17"/>
  <c r="O367" i="17"/>
  <c r="O363" i="17"/>
  <c r="O359" i="17"/>
  <c r="O355" i="17"/>
  <c r="O351" i="17"/>
  <c r="O347" i="17"/>
  <c r="O343" i="17"/>
  <c r="O339" i="17"/>
  <c r="O335" i="17"/>
  <c r="O331" i="17"/>
  <c r="O327" i="17"/>
  <c r="O323" i="17"/>
  <c r="O319" i="17"/>
  <c r="O315" i="17"/>
  <c r="O311" i="17"/>
  <c r="O307" i="17"/>
  <c r="O303" i="17"/>
  <c r="O299" i="17"/>
  <c r="O295" i="17"/>
  <c r="O291" i="17"/>
  <c r="O287" i="17"/>
  <c r="O283" i="17"/>
  <c r="O279" i="17"/>
  <c r="O275" i="17"/>
  <c r="O271" i="17"/>
  <c r="O267" i="17"/>
  <c r="O263" i="17"/>
  <c r="O259" i="17"/>
  <c r="O255" i="17"/>
  <c r="O251" i="17"/>
  <c r="O247" i="17"/>
  <c r="O243" i="17"/>
  <c r="O239" i="17"/>
  <c r="O235" i="17"/>
  <c r="O231" i="17"/>
  <c r="O227" i="17"/>
  <c r="O223" i="17"/>
  <c r="O219" i="17"/>
  <c r="O215" i="17"/>
  <c r="O211" i="17"/>
  <c r="O207" i="17"/>
  <c r="O203" i="17"/>
  <c r="O199" i="17"/>
  <c r="O195" i="17"/>
  <c r="O191" i="17"/>
  <c r="O187" i="17"/>
  <c r="O183" i="17"/>
  <c r="O179" i="17"/>
  <c r="O175" i="17"/>
  <c r="O171" i="17"/>
  <c r="O167" i="17"/>
  <c r="O163" i="17"/>
  <c r="O159" i="17"/>
  <c r="O155" i="17"/>
  <c r="O151" i="17"/>
  <c r="O147" i="17"/>
  <c r="O143" i="17"/>
  <c r="O139" i="17"/>
  <c r="O135" i="17"/>
  <c r="O131" i="17"/>
  <c r="O127" i="17"/>
  <c r="O123" i="17"/>
  <c r="O119" i="17"/>
  <c r="O115" i="17"/>
  <c r="O111" i="17"/>
  <c r="O107" i="17"/>
  <c r="O103" i="17"/>
  <c r="O99" i="17"/>
  <c r="O95" i="17"/>
  <c r="O91" i="17"/>
  <c r="O87" i="17"/>
  <c r="O83" i="17"/>
  <c r="O79" i="17"/>
  <c r="O75" i="17"/>
  <c r="O71" i="17"/>
  <c r="O67" i="17"/>
  <c r="O63" i="17"/>
  <c r="O59" i="17"/>
  <c r="O55" i="17"/>
  <c r="O51" i="17"/>
  <c r="O47" i="17"/>
  <c r="O43" i="17"/>
  <c r="O39" i="17"/>
  <c r="O35" i="17"/>
  <c r="O31" i="17"/>
  <c r="O27" i="17"/>
  <c r="O23" i="17"/>
  <c r="O19" i="17"/>
  <c r="O15" i="17"/>
  <c r="O11" i="17"/>
  <c r="O3690" i="17"/>
  <c r="O3686" i="17"/>
  <c r="O3682" i="17"/>
  <c r="O3678" i="17"/>
  <c r="O3674" i="17"/>
  <c r="O3670" i="17"/>
  <c r="O3666" i="17"/>
  <c r="O3662" i="17"/>
  <c r="O3658" i="17"/>
  <c r="O3654" i="17"/>
  <c r="O3650" i="17"/>
  <c r="O3646" i="17"/>
  <c r="O3642" i="17"/>
  <c r="O3638" i="17"/>
  <c r="O3634" i="17"/>
  <c r="O3630" i="17"/>
  <c r="O3626" i="17"/>
  <c r="O3622" i="17"/>
  <c r="O3618" i="17"/>
  <c r="O3614" i="17"/>
  <c r="O3610" i="17"/>
  <c r="O3606" i="17"/>
  <c r="O3602" i="17"/>
  <c r="O3598" i="17"/>
  <c r="O3594" i="17"/>
  <c r="O3590" i="17"/>
  <c r="O3586" i="17"/>
  <c r="O3582" i="17"/>
  <c r="O3578" i="17"/>
  <c r="O3574" i="17"/>
  <c r="O3570" i="17"/>
  <c r="O3566" i="17"/>
  <c r="O3562" i="17"/>
  <c r="O3558" i="17"/>
  <c r="O3554" i="17"/>
  <c r="O3550" i="17"/>
  <c r="O3546" i="17"/>
  <c r="O3542" i="17"/>
  <c r="O3538" i="17"/>
  <c r="O3534" i="17"/>
  <c r="O3530" i="17"/>
  <c r="O3526" i="17"/>
  <c r="O3522" i="17"/>
  <c r="O3518" i="17"/>
  <c r="O3514" i="17"/>
  <c r="O3510" i="17"/>
  <c r="O3506" i="17"/>
  <c r="O3502" i="17"/>
  <c r="O3498" i="17"/>
  <c r="O3494" i="17"/>
  <c r="O2366" i="17"/>
  <c r="O2078" i="17"/>
  <c r="O3482" i="17"/>
  <c r="O3478" i="17"/>
  <c r="O3474" i="17"/>
  <c r="O3470" i="17"/>
  <c r="O3466" i="17"/>
  <c r="O3462" i="17"/>
  <c r="O3458" i="17"/>
  <c r="O3454" i="17"/>
  <c r="O3450" i="17"/>
  <c r="O3446" i="17"/>
  <c r="O3442" i="17"/>
  <c r="O3438" i="17"/>
  <c r="O3434" i="17"/>
  <c r="O3430" i="17"/>
  <c r="O3426" i="17"/>
  <c r="O3422" i="17"/>
  <c r="O3418" i="17"/>
  <c r="O3414" i="17"/>
  <c r="O3410" i="17"/>
  <c r="O3406" i="17"/>
  <c r="O3402" i="17"/>
  <c r="O3398" i="17"/>
  <c r="O3394" i="17"/>
  <c r="O3390" i="17"/>
  <c r="O3386" i="17"/>
  <c r="O3382" i="17"/>
  <c r="O3378" i="17"/>
  <c r="O3374" i="17"/>
  <c r="O3370" i="17"/>
  <c r="O3366" i="17"/>
  <c r="O3362" i="17"/>
  <c r="O3358" i="17"/>
  <c r="O3354" i="17"/>
  <c r="O3350" i="17"/>
  <c r="O3346" i="17"/>
  <c r="O3342" i="17"/>
  <c r="O3338" i="17"/>
  <c r="O3334" i="17"/>
  <c r="O3330" i="17"/>
  <c r="O3326" i="17"/>
  <c r="O3322" i="17"/>
  <c r="O3318" i="17"/>
  <c r="O3314" i="17"/>
  <c r="O3310" i="17"/>
  <c r="O3306" i="17"/>
  <c r="O3302" i="17"/>
  <c r="O3298" i="17"/>
  <c r="O3294" i="17"/>
  <c r="O3290" i="17"/>
  <c r="O3286" i="17"/>
  <c r="O3282" i="17"/>
  <c r="O3278" i="17"/>
  <c r="O3274" i="17"/>
  <c r="O3270" i="17"/>
  <c r="O3266" i="17"/>
  <c r="O3262" i="17"/>
  <c r="O3258" i="17"/>
  <c r="O3254" i="17"/>
  <c r="O3250" i="17"/>
  <c r="O3246" i="17"/>
  <c r="O3242" i="17"/>
  <c r="O3238" i="17"/>
  <c r="O3234" i="17"/>
  <c r="O3230" i="17"/>
  <c r="O3226" i="17"/>
  <c r="O3222" i="17"/>
  <c r="O3218" i="17"/>
  <c r="O3214" i="17"/>
  <c r="O3210" i="17"/>
  <c r="O3206" i="17"/>
  <c r="O3202" i="17"/>
  <c r="O3198" i="17"/>
  <c r="O3194" i="17"/>
  <c r="O3190" i="17"/>
  <c r="O3186" i="17"/>
  <c r="O3182" i="17"/>
  <c r="O3178" i="17"/>
  <c r="O3174" i="17"/>
  <c r="O3170" i="17"/>
  <c r="O3166" i="17"/>
  <c r="O3162" i="17"/>
  <c r="O3158" i="17"/>
  <c r="O3154" i="17"/>
  <c r="O3150" i="17"/>
  <c r="O3146" i="17"/>
  <c r="O3142" i="17"/>
  <c r="O3138" i="17"/>
  <c r="O3134" i="17"/>
  <c r="O3130" i="17"/>
  <c r="O3126" i="17"/>
  <c r="O3122" i="17"/>
  <c r="O3118" i="17"/>
  <c r="O3114" i="17"/>
  <c r="O3110" i="17"/>
  <c r="O3106" i="17"/>
  <c r="O3102" i="17"/>
  <c r="O3098" i="17"/>
  <c r="O3094" i="17"/>
  <c r="O3090" i="17"/>
  <c r="O3086" i="17"/>
  <c r="O3082" i="17"/>
  <c r="O3078" i="17"/>
  <c r="O3074" i="17"/>
  <c r="O3070" i="17"/>
  <c r="O3066" i="17"/>
  <c r="O3062" i="17"/>
  <c r="O3058" i="17"/>
  <c r="O3054" i="17"/>
  <c r="O3050" i="17"/>
  <c r="O3046" i="17"/>
  <c r="O3042" i="17"/>
  <c r="O3038" i="17"/>
  <c r="O3034" i="17"/>
  <c r="O3030" i="17"/>
  <c r="O3026" i="17"/>
  <c r="O3022" i="17"/>
  <c r="O3018" i="17"/>
  <c r="O3014" i="17"/>
  <c r="O3010" i="17"/>
  <c r="O3006" i="17"/>
  <c r="O3002" i="17"/>
  <c r="O2998" i="17"/>
  <c r="O2994" i="17"/>
  <c r="O2990" i="17"/>
  <c r="O2986" i="17"/>
  <c r="O2982" i="17"/>
  <c r="O2978" i="17"/>
  <c r="O2974" i="17"/>
  <c r="O2970" i="17"/>
  <c r="O2966" i="17"/>
  <c r="O2962" i="17"/>
  <c r="O2958" i="17"/>
  <c r="O2954" i="17"/>
  <c r="O2950" i="17"/>
  <c r="O2946" i="17"/>
  <c r="O2942" i="17"/>
  <c r="O2938" i="17"/>
  <c r="O2934" i="17"/>
  <c r="O2930" i="17"/>
  <c r="O2926" i="17"/>
  <c r="O2922" i="17"/>
  <c r="O2918" i="17"/>
  <c r="O2914" i="17"/>
  <c r="O2910" i="17"/>
  <c r="O2906" i="17"/>
  <c r="O2902" i="17"/>
  <c r="O2898" i="17"/>
  <c r="O2894" i="17"/>
  <c r="O2890" i="17"/>
  <c r="O2886" i="17"/>
  <c r="O2882" i="17"/>
  <c r="O2878" i="17"/>
  <c r="O2874" i="17"/>
  <c r="O2870" i="17"/>
  <c r="O2866" i="17"/>
  <c r="O2862" i="17"/>
  <c r="O2858" i="17"/>
  <c r="O2854" i="17"/>
  <c r="O2850" i="17"/>
  <c r="O2846" i="17"/>
  <c r="O2842" i="17"/>
  <c r="O2838" i="17"/>
  <c r="O2834" i="17"/>
  <c r="O2830" i="17"/>
  <c r="O2826" i="17"/>
  <c r="O2822" i="17"/>
  <c r="O2818" i="17"/>
  <c r="O2814" i="17"/>
  <c r="O2810" i="17"/>
  <c r="O2806" i="17"/>
  <c r="O2802" i="17"/>
  <c r="O2798" i="17"/>
  <c r="O2794" i="17"/>
  <c r="O2790" i="17"/>
  <c r="O2786" i="17"/>
  <c r="O2782" i="17"/>
  <c r="O2778" i="17"/>
  <c r="O2774" i="17"/>
  <c r="O2770" i="17"/>
  <c r="O2766" i="17"/>
  <c r="O2762" i="17"/>
  <c r="O2758" i="17"/>
  <c r="O2754" i="17"/>
  <c r="O2750" i="17"/>
  <c r="O2746" i="17"/>
  <c r="O2742" i="17"/>
  <c r="O2738" i="17"/>
  <c r="O2734" i="17"/>
  <c r="O2730" i="17"/>
  <c r="O2726" i="17"/>
  <c r="O2722" i="17"/>
  <c r="O2718" i="17"/>
  <c r="O2714" i="17"/>
  <c r="O2710" i="17"/>
  <c r="O2706" i="17"/>
  <c r="O2702" i="17"/>
  <c r="O2698" i="17"/>
  <c r="O2694" i="17"/>
  <c r="O2690" i="17"/>
  <c r="O2686" i="17"/>
  <c r="O2682" i="17"/>
  <c r="O2678" i="17"/>
  <c r="O2674" i="17"/>
  <c r="O2670" i="17"/>
  <c r="O2666" i="17"/>
  <c r="O2662" i="17"/>
  <c r="O2658" i="17"/>
  <c r="O2654" i="17"/>
  <c r="O2650" i="17"/>
  <c r="O2646" i="17"/>
  <c r="O2642" i="17"/>
  <c r="O2638" i="17"/>
  <c r="O2634" i="17"/>
  <c r="O2630" i="17"/>
  <c r="O2626" i="17"/>
  <c r="O2622" i="17"/>
  <c r="O2618" i="17"/>
  <c r="O2614" i="17"/>
  <c r="O2610" i="17"/>
  <c r="O2606" i="17"/>
  <c r="O2602" i="17"/>
  <c r="O2598" i="17"/>
  <c r="O2594" i="17"/>
  <c r="O2590" i="17"/>
  <c r="O2586" i="17"/>
  <c r="O2582" i="17"/>
  <c r="O2578" i="17"/>
  <c r="O2574" i="17"/>
  <c r="O2570" i="17"/>
  <c r="O2560" i="17"/>
  <c r="O2452" i="17"/>
  <c r="O2558" i="17"/>
  <c r="O2554" i="17"/>
  <c r="O2550" i="17"/>
  <c r="O2546" i="17"/>
  <c r="O2542" i="17"/>
  <c r="O2538" i="17"/>
  <c r="O2534" i="17"/>
  <c r="O2530" i="17"/>
  <c r="O2526" i="17"/>
  <c r="O2522" i="17"/>
  <c r="O2518" i="17"/>
  <c r="O2514" i="17"/>
  <c r="O2510" i="17"/>
  <c r="O2506" i="17"/>
  <c r="O2502" i="17"/>
  <c r="O2498" i="17"/>
  <c r="O2494" i="17"/>
  <c r="O2490" i="17"/>
  <c r="O2486" i="17"/>
  <c r="O2482" i="17"/>
  <c r="O2478" i="17"/>
  <c r="O2474" i="17"/>
  <c r="O2470" i="17"/>
  <c r="O2466" i="17"/>
  <c r="O2462" i="17"/>
  <c r="O2458" i="17"/>
  <c r="O2448" i="17"/>
  <c r="O2372" i="17"/>
  <c r="O2446" i="17"/>
  <c r="O2442" i="17"/>
  <c r="O2438" i="17"/>
  <c r="O2434" i="17"/>
  <c r="O2430" i="17"/>
  <c r="O2426" i="17"/>
  <c r="O2422" i="17"/>
  <c r="O2418" i="17"/>
  <c r="O2414" i="17"/>
  <c r="O2410" i="17"/>
  <c r="O2406" i="17"/>
  <c r="O2402" i="17"/>
  <c r="O2398" i="17"/>
  <c r="O2394" i="17"/>
  <c r="O2390" i="17"/>
  <c r="O2386" i="17"/>
  <c r="O2382" i="17"/>
  <c r="O2378" i="17"/>
  <c r="O2030" i="17"/>
  <c r="O2026" i="17"/>
  <c r="O2022" i="17"/>
  <c r="O2362" i="17"/>
  <c r="O2358" i="17"/>
  <c r="O2354" i="17"/>
  <c r="O2350" i="17"/>
  <c r="O2346" i="17"/>
  <c r="O2342" i="17"/>
  <c r="O2338" i="17"/>
  <c r="O2334" i="17"/>
  <c r="O2330" i="17"/>
  <c r="O2326" i="17"/>
  <c r="O2322" i="17"/>
  <c r="O2318" i="17"/>
  <c r="O2314" i="17"/>
  <c r="O2310" i="17"/>
  <c r="O2306" i="17"/>
  <c r="O2302" i="17"/>
  <c r="O2298" i="17"/>
  <c r="O2294" i="17"/>
  <c r="O2290" i="17"/>
  <c r="O2286" i="17"/>
  <c r="O2282" i="17"/>
  <c r="O2278" i="17"/>
  <c r="O2274" i="17"/>
  <c r="O2270" i="17"/>
  <c r="O2266" i="17"/>
  <c r="O2262" i="17"/>
  <c r="O2258" i="17"/>
  <c r="O2254" i="17"/>
  <c r="O2250" i="17"/>
  <c r="O2246" i="17"/>
  <c r="O2242" i="17"/>
  <c r="O2238" i="17"/>
  <c r="O2234" i="17"/>
  <c r="O2230" i="17"/>
  <c r="O2226" i="17"/>
  <c r="O2222" i="17"/>
  <c r="O2218" i="17"/>
  <c r="O2214" i="17"/>
  <c r="O2210" i="17"/>
  <c r="O2206" i="17"/>
  <c r="O2202" i="17"/>
  <c r="O2198" i="17"/>
  <c r="O2194" i="17"/>
  <c r="O2190" i="17"/>
  <c r="O2186" i="17"/>
  <c r="O2182" i="17"/>
  <c r="O2178" i="17"/>
  <c r="O2174" i="17"/>
  <c r="O2170" i="17"/>
  <c r="O2166" i="17"/>
  <c r="O2162" i="17"/>
  <c r="O2158" i="17"/>
  <c r="O2154" i="17"/>
  <c r="O2150" i="17"/>
  <c r="O2146" i="17"/>
  <c r="O2142" i="17"/>
  <c r="O2138" i="17"/>
  <c r="O2134" i="17"/>
  <c r="O2130" i="17"/>
  <c r="O2126" i="17"/>
  <c r="O2122" i="17"/>
  <c r="O2118" i="17"/>
  <c r="O2114" i="17"/>
  <c r="O2110" i="17"/>
  <c r="O2106" i="17"/>
  <c r="O2102" i="17"/>
  <c r="O2098" i="17"/>
  <c r="O2094" i="17"/>
  <c r="O2090" i="17"/>
  <c r="O2086" i="17"/>
  <c r="O2082" i="17"/>
  <c r="O3487" i="17"/>
  <c r="O2074" i="17"/>
  <c r="O2070" i="17"/>
  <c r="O2066" i="17"/>
  <c r="O2062" i="17"/>
  <c r="O2058" i="17"/>
  <c r="O2054" i="17"/>
  <c r="O2050" i="17"/>
  <c r="O2046" i="17"/>
  <c r="O2042" i="17"/>
  <c r="O2038" i="17"/>
  <c r="O2034" i="17"/>
  <c r="O1572" i="17"/>
  <c r="O1568" i="17"/>
  <c r="O1564" i="17"/>
  <c r="O2018" i="17"/>
  <c r="O2014" i="17"/>
  <c r="O2010" i="17"/>
  <c r="O2006" i="17"/>
  <c r="O2002" i="17"/>
  <c r="O1998" i="17"/>
  <c r="O1994" i="17"/>
  <c r="O1990" i="17"/>
  <c r="O1986" i="17"/>
  <c r="O1982" i="17"/>
  <c r="O1978" i="17"/>
  <c r="O1974" i="17"/>
  <c r="O1970" i="17"/>
  <c r="O1966" i="17"/>
  <c r="O1962" i="17"/>
  <c r="O1958" i="17"/>
  <c r="O1954" i="17"/>
  <c r="O1950" i="17"/>
  <c r="O1946" i="17"/>
  <c r="O1942" i="17"/>
  <c r="O1938" i="17"/>
  <c r="O1934" i="17"/>
  <c r="O1930" i="17"/>
  <c r="O1926" i="17"/>
  <c r="O1922" i="17"/>
  <c r="O1918" i="17"/>
  <c r="O1914" i="17"/>
  <c r="O1910" i="17"/>
  <c r="O1906" i="17"/>
  <c r="O1902" i="17"/>
  <c r="O1898" i="17"/>
  <c r="O1894" i="17"/>
  <c r="O1890" i="17"/>
  <c r="O1886" i="17"/>
  <c r="O1882" i="17"/>
  <c r="O1878" i="17"/>
  <c r="O1874" i="17"/>
  <c r="O1870" i="17"/>
  <c r="O1866" i="17"/>
  <c r="O1862" i="17"/>
  <c r="O1858" i="17"/>
  <c r="O1854" i="17"/>
  <c r="O1850" i="17"/>
  <c r="O1846" i="17"/>
  <c r="O1842" i="17"/>
  <c r="O1838" i="17"/>
  <c r="O1834" i="17"/>
  <c r="O1830" i="17"/>
  <c r="O1826" i="17"/>
  <c r="O1822" i="17"/>
  <c r="O1818" i="17"/>
  <c r="O1814" i="17"/>
  <c r="O1810" i="17"/>
  <c r="O1806" i="17"/>
  <c r="O1802" i="17"/>
  <c r="O1798" i="17"/>
  <c r="O1794" i="17"/>
  <c r="O1790" i="17"/>
  <c r="O1786" i="17"/>
  <c r="O1782" i="17"/>
  <c r="O1778" i="17"/>
  <c r="O1774" i="17"/>
  <c r="O1770" i="17"/>
  <c r="O1766" i="17"/>
  <c r="O1762" i="17"/>
  <c r="O1758" i="17"/>
  <c r="O1754" i="17"/>
  <c r="O1750" i="17"/>
  <c r="O1746" i="17"/>
  <c r="O1742" i="17"/>
  <c r="O1738" i="17"/>
  <c r="O1734" i="17"/>
  <c r="O1730" i="17"/>
  <c r="O1726" i="17"/>
  <c r="O1722" i="17"/>
  <c r="O1718" i="17"/>
  <c r="O1714" i="17"/>
  <c r="O1710" i="17"/>
  <c r="O1706" i="17"/>
  <c r="O1702" i="17"/>
  <c r="O1698" i="17"/>
  <c r="O1694" i="17"/>
  <c r="O1690" i="17"/>
  <c r="O1686" i="17"/>
  <c r="O1682" i="17"/>
  <c r="O1678" i="17"/>
  <c r="O1674" i="17"/>
  <c r="O1670" i="17"/>
  <c r="O1666" i="17"/>
  <c r="O1662" i="17"/>
  <c r="O1658" i="17"/>
  <c r="O1654" i="17"/>
  <c r="O1650" i="17"/>
  <c r="O1646" i="17"/>
  <c r="O1642" i="17"/>
  <c r="O1638" i="17"/>
  <c r="O1634" i="17"/>
  <c r="O1630" i="17"/>
  <c r="O1626" i="17"/>
  <c r="O1622" i="17"/>
  <c r="O1618" i="17"/>
  <c r="O1614" i="17"/>
  <c r="O1610" i="17"/>
  <c r="O1606" i="17"/>
  <c r="O1602" i="17"/>
  <c r="O1598" i="17"/>
  <c r="O1594" i="17"/>
  <c r="O1590" i="17"/>
  <c r="O1586" i="17"/>
  <c r="O1582" i="17"/>
  <c r="O1578" i="17"/>
  <c r="O1574" i="17"/>
  <c r="O3219" i="17"/>
  <c r="O2565" i="17"/>
  <c r="O1562" i="17"/>
  <c r="O1558" i="17"/>
  <c r="O1554" i="17"/>
  <c r="O1550" i="17"/>
  <c r="O1546" i="17"/>
  <c r="O1542" i="17"/>
  <c r="O1538" i="17"/>
  <c r="O1534" i="17"/>
  <c r="O1530" i="17"/>
  <c r="O1526" i="17"/>
  <c r="O1522" i="17"/>
  <c r="O1518" i="17"/>
  <c r="O1514" i="17"/>
  <c r="O1510" i="17"/>
  <c r="O1506" i="17"/>
  <c r="O1502" i="17"/>
  <c r="O1498" i="17"/>
  <c r="O1494" i="17"/>
  <c r="O1490" i="17"/>
  <c r="O1486" i="17"/>
  <c r="O1482" i="17"/>
  <c r="O1478" i="17"/>
  <c r="O1474" i="17"/>
  <c r="O1470" i="17"/>
  <c r="O1466" i="17"/>
  <c r="O1462" i="17"/>
  <c r="O1458" i="17"/>
  <c r="O1454" i="17"/>
  <c r="O1450" i="17"/>
  <c r="O1446" i="17"/>
  <c r="O1442" i="17"/>
  <c r="O1438" i="17"/>
  <c r="O1434" i="17"/>
  <c r="O1430" i="17"/>
  <c r="O1426" i="17"/>
  <c r="O1422" i="17"/>
  <c r="O1418" i="17"/>
  <c r="O1414" i="17"/>
  <c r="O1410" i="17"/>
  <c r="O1406" i="17"/>
  <c r="O1402" i="17"/>
  <c r="O1398" i="17"/>
  <c r="O1394" i="17"/>
  <c r="O1390" i="17"/>
  <c r="O1386" i="17"/>
  <c r="O1382" i="17"/>
  <c r="O1378" i="17"/>
  <c r="O1374" i="17"/>
  <c r="O1370" i="17"/>
  <c r="O1366" i="17"/>
  <c r="O1362" i="17"/>
  <c r="O1358" i="17"/>
  <c r="O1354" i="17"/>
  <c r="O1350" i="17"/>
  <c r="O1346" i="17"/>
  <c r="O1342" i="17"/>
  <c r="O1338" i="17"/>
  <c r="O1334" i="17"/>
  <c r="O1330" i="17"/>
  <c r="O1326" i="17"/>
  <c r="O1322" i="17"/>
  <c r="O1318" i="17"/>
  <c r="O1314" i="17"/>
  <c r="O1310" i="17"/>
  <c r="O1306" i="17"/>
  <c r="O1302" i="17"/>
  <c r="O1298" i="17"/>
  <c r="O1294" i="17"/>
  <c r="O1290" i="17"/>
  <c r="O1286" i="17"/>
  <c r="O1282" i="17"/>
  <c r="O1278" i="17"/>
  <c r="O1274" i="17"/>
  <c r="O1270" i="17"/>
  <c r="O1266" i="17"/>
  <c r="O1262" i="17"/>
  <c r="O1258" i="17"/>
  <c r="O1254" i="17"/>
  <c r="O1250" i="17"/>
  <c r="O1246" i="17"/>
  <c r="O1242" i="17"/>
  <c r="O1238" i="17"/>
  <c r="O1234" i="17"/>
  <c r="O1230" i="17"/>
  <c r="O1226" i="17"/>
  <c r="O1222" i="17"/>
  <c r="O1218" i="17"/>
  <c r="O1214" i="17"/>
  <c r="O1210" i="17"/>
  <c r="O1206" i="17"/>
  <c r="O1202" i="17"/>
  <c r="O1198" i="17"/>
  <c r="O1194" i="17"/>
  <c r="O1190" i="17"/>
  <c r="O1186" i="17"/>
  <c r="O1182" i="17"/>
  <c r="O1178" i="17"/>
  <c r="O1174" i="17"/>
  <c r="O1170" i="17"/>
  <c r="O1166" i="17"/>
  <c r="O1162" i="17"/>
  <c r="O1158" i="17"/>
  <c r="O1154" i="17"/>
  <c r="O1150" i="17"/>
  <c r="O1146" i="17"/>
  <c r="O1142" i="17"/>
  <c r="O1138" i="17"/>
  <c r="O1134" i="17"/>
  <c r="O1130" i="17"/>
  <c r="O1126" i="17"/>
  <c r="O1122" i="17"/>
  <c r="O1118" i="17"/>
  <c r="O1114" i="17"/>
  <c r="O1110" i="17"/>
  <c r="O1106" i="17"/>
  <c r="O1102" i="17"/>
  <c r="O1098" i="17"/>
  <c r="O1094" i="17"/>
  <c r="O1090" i="17"/>
  <c r="O1086" i="17"/>
  <c r="O1082" i="17"/>
  <c r="O1078" i="17"/>
  <c r="O1074" i="17"/>
  <c r="O1070" i="17"/>
  <c r="O1066" i="17"/>
  <c r="O1062" i="17"/>
  <c r="O1058" i="17"/>
  <c r="O1054" i="17"/>
  <c r="O1050" i="17"/>
  <c r="O1046" i="17"/>
  <c r="O1042" i="17"/>
  <c r="O1038" i="17"/>
  <c r="O1034" i="17"/>
  <c r="O1030" i="17"/>
  <c r="O1026" i="17"/>
  <c r="O1022" i="17"/>
  <c r="O1018" i="17"/>
  <c r="O1014" i="17"/>
  <c r="O1010" i="17"/>
  <c r="O1006" i="17"/>
  <c r="O1002" i="17"/>
  <c r="O998" i="17"/>
  <c r="O994" i="17"/>
  <c r="O990" i="17"/>
  <c r="O986" i="17"/>
  <c r="O982" i="17"/>
  <c r="O978" i="17"/>
  <c r="O974" i="17"/>
  <c r="O970" i="17"/>
  <c r="O966" i="17"/>
  <c r="O962" i="17"/>
  <c r="O958" i="17"/>
  <c r="O954" i="17"/>
  <c r="O950" i="17"/>
  <c r="O946" i="17"/>
  <c r="O942" i="17"/>
  <c r="O938" i="17"/>
  <c r="O934" i="17"/>
  <c r="O930" i="17"/>
  <c r="O926" i="17"/>
  <c r="O922" i="17"/>
  <c r="O918" i="17"/>
  <c r="O914" i="17"/>
  <c r="O910" i="17"/>
  <c r="O906" i="17"/>
  <c r="O902" i="17"/>
  <c r="O898" i="17"/>
  <c r="O894" i="17"/>
  <c r="O890" i="17"/>
  <c r="O886" i="17"/>
  <c r="O882" i="17"/>
  <c r="O878" i="17"/>
  <c r="O874" i="17"/>
  <c r="O870" i="17"/>
  <c r="O866" i="17"/>
  <c r="O862" i="17"/>
  <c r="O858" i="17"/>
  <c r="O854" i="17"/>
  <c r="O850" i="17"/>
  <c r="O846" i="17"/>
  <c r="O842" i="17"/>
  <c r="O838" i="17"/>
  <c r="O834" i="17"/>
  <c r="O830" i="17"/>
  <c r="O826" i="17"/>
  <c r="O822" i="17"/>
  <c r="O818" i="17"/>
  <c r="O814" i="17"/>
  <c r="O810" i="17"/>
  <c r="O806" i="17"/>
  <c r="O802" i="17"/>
  <c r="O798" i="17"/>
  <c r="O794" i="17"/>
  <c r="O790" i="17"/>
  <c r="O786" i="17"/>
  <c r="O782" i="17"/>
  <c r="O778" i="17"/>
  <c r="O774" i="17"/>
  <c r="O770" i="17"/>
  <c r="O766" i="17"/>
  <c r="O762" i="17"/>
  <c r="O758" i="17"/>
  <c r="O754" i="17"/>
  <c r="O750" i="17"/>
  <c r="O746" i="17"/>
  <c r="O742" i="17"/>
  <c r="O738" i="17"/>
  <c r="O734" i="17"/>
  <c r="O730" i="17"/>
  <c r="O726" i="17"/>
  <c r="O722" i="17"/>
  <c r="O718" i="17"/>
  <c r="O714" i="17"/>
  <c r="O710" i="17"/>
  <c r="O706" i="17"/>
  <c r="O702" i="17"/>
  <c r="O698" i="17"/>
  <c r="O694" i="17"/>
  <c r="O690" i="17"/>
  <c r="O686" i="17"/>
  <c r="O682" i="17"/>
  <c r="O678" i="17"/>
  <c r="O674" i="17"/>
  <c r="O670" i="17"/>
  <c r="O666" i="17"/>
  <c r="O662" i="17"/>
  <c r="O658" i="17"/>
  <c r="O654" i="17"/>
  <c r="O650" i="17"/>
  <c r="O646" i="17"/>
  <c r="O642" i="17"/>
  <c r="O638" i="17"/>
  <c r="O634" i="17"/>
  <c r="O630" i="17"/>
  <c r="O626" i="17"/>
  <c r="O622" i="17"/>
  <c r="O618" i="17"/>
  <c r="O614" i="17"/>
  <c r="O610" i="17"/>
  <c r="O606" i="17"/>
  <c r="O602" i="17"/>
  <c r="O598" i="17"/>
  <c r="O594" i="17"/>
  <c r="O590" i="17"/>
  <c r="O586" i="17"/>
  <c r="O582" i="17"/>
  <c r="O578" i="17"/>
  <c r="O574" i="17"/>
  <c r="O570" i="17"/>
  <c r="O566" i="17"/>
  <c r="O562" i="17"/>
  <c r="O558" i="17"/>
  <c r="O554" i="17"/>
  <c r="O550" i="17"/>
  <c r="O546" i="17"/>
  <c r="O542" i="17"/>
  <c r="O538" i="17"/>
  <c r="O534" i="17"/>
  <c r="O530" i="17"/>
  <c r="O526" i="17"/>
  <c r="O522" i="17"/>
  <c r="O518" i="17"/>
  <c r="O514" i="17"/>
  <c r="O510" i="17"/>
  <c r="O506" i="17"/>
  <c r="O502" i="17"/>
  <c r="O498" i="17"/>
  <c r="O494" i="17"/>
  <c r="O490" i="17"/>
  <c r="O486" i="17"/>
  <c r="O482" i="17"/>
  <c r="O478" i="17"/>
  <c r="O474" i="17"/>
  <c r="O470" i="17"/>
  <c r="O466" i="17"/>
  <c r="O462" i="17"/>
  <c r="O458" i="17"/>
  <c r="O454" i="17"/>
  <c r="O450" i="17"/>
  <c r="O446" i="17"/>
  <c r="O442" i="17"/>
  <c r="O438" i="17"/>
  <c r="O434" i="17"/>
  <c r="O430" i="17"/>
  <c r="O426" i="17"/>
  <c r="O422" i="17"/>
  <c r="O418" i="17"/>
  <c r="O414" i="17"/>
  <c r="O410" i="17"/>
  <c r="O406" i="17"/>
  <c r="O402" i="17"/>
  <c r="O398" i="17"/>
  <c r="O394" i="17"/>
  <c r="O390" i="17"/>
  <c r="O386" i="17"/>
  <c r="O382" i="17"/>
  <c r="O378" i="17"/>
  <c r="O374" i="17"/>
  <c r="O370" i="17"/>
  <c r="O366" i="17"/>
  <c r="O362" i="17"/>
  <c r="O358" i="17"/>
  <c r="O354" i="17"/>
  <c r="O350" i="17"/>
  <c r="O346" i="17"/>
  <c r="O342" i="17"/>
  <c r="O338" i="17"/>
  <c r="O334" i="17"/>
  <c r="O330" i="17"/>
  <c r="O326" i="17"/>
  <c r="O322" i="17"/>
  <c r="O318" i="17"/>
  <c r="O314" i="17"/>
  <c r="O310" i="17"/>
  <c r="O306" i="17"/>
  <c r="O302" i="17"/>
  <c r="O298" i="17"/>
  <c r="O294" i="17"/>
  <c r="O290" i="17"/>
  <c r="O286" i="17"/>
  <c r="O282" i="17"/>
  <c r="O278" i="17"/>
  <c r="O274" i="17"/>
  <c r="O270" i="17"/>
  <c r="O266" i="17"/>
  <c r="O262" i="17"/>
  <c r="O258" i="17"/>
  <c r="O254" i="17"/>
  <c r="O250" i="17"/>
  <c r="O246" i="17"/>
  <c r="O242" i="17"/>
  <c r="O238" i="17"/>
  <c r="O234" i="17"/>
  <c r="O230" i="17"/>
  <c r="O226" i="17"/>
  <c r="O222" i="17"/>
  <c r="O218" i="17"/>
  <c r="O214" i="17"/>
  <c r="O210" i="17"/>
  <c r="O206" i="17"/>
  <c r="O202" i="17"/>
  <c r="O198" i="17"/>
  <c r="O194" i="17"/>
  <c r="O190" i="17"/>
  <c r="O186" i="17"/>
  <c r="O182" i="17"/>
  <c r="O178" i="17"/>
  <c r="O174" i="17"/>
  <c r="O170" i="17"/>
  <c r="O166" i="17"/>
  <c r="O162" i="17"/>
  <c r="O158" i="17"/>
  <c r="O154" i="17"/>
  <c r="O150" i="17"/>
  <c r="O146" i="17"/>
  <c r="O142" i="17"/>
  <c r="O138" i="17"/>
  <c r="O134" i="17"/>
  <c r="O130" i="17"/>
  <c r="O126" i="17"/>
  <c r="O122" i="17"/>
  <c r="O118" i="17"/>
  <c r="O114" i="17"/>
  <c r="O110" i="17"/>
  <c r="O106" i="17"/>
  <c r="O102" i="17"/>
  <c r="O98" i="17"/>
  <c r="O94" i="17"/>
  <c r="O90" i="17"/>
  <c r="O86" i="17"/>
  <c r="O82" i="17"/>
  <c r="O78" i="17"/>
  <c r="O74" i="17"/>
  <c r="O70" i="17"/>
  <c r="O66" i="17"/>
  <c r="O62" i="17"/>
  <c r="O58" i="17"/>
  <c r="O54" i="17"/>
  <c r="O50" i="17"/>
  <c r="O46" i="17"/>
  <c r="O42" i="17"/>
  <c r="O38" i="17"/>
  <c r="O34" i="17"/>
  <c r="O30" i="17"/>
  <c r="O26" i="17"/>
  <c r="O22" i="17"/>
  <c r="O18" i="17"/>
  <c r="O14" i="17"/>
  <c r="O10" i="17"/>
  <c r="O6" i="17"/>
  <c r="O2293" i="17"/>
  <c r="O2289" i="17"/>
  <c r="O2285" i="17"/>
  <c r="O2281" i="17"/>
  <c r="O2277" i="17"/>
  <c r="O2273" i="17"/>
  <c r="O2269" i="17"/>
  <c r="O2265" i="17"/>
  <c r="O2261" i="17"/>
  <c r="O2257" i="17"/>
  <c r="O2253" i="17"/>
  <c r="O2249" i="17"/>
  <c r="O2245" i="17"/>
  <c r="O2241" i="17"/>
  <c r="O2237" i="17"/>
  <c r="O2233" i="17"/>
  <c r="O2229" i="17"/>
  <c r="O2225" i="17"/>
  <c r="O2221" i="17"/>
  <c r="O2217" i="17"/>
  <c r="O2213" i="17"/>
  <c r="O2209" i="17"/>
  <c r="O2205" i="17"/>
  <c r="O2201" i="17"/>
  <c r="O2197" i="17"/>
  <c r="O2193" i="17"/>
  <c r="O2189" i="17"/>
  <c r="O2185" i="17"/>
  <c r="O2181" i="17"/>
  <c r="O2177" i="17"/>
  <c r="O2173" i="17"/>
  <c r="O2169" i="17"/>
  <c r="O2165" i="17"/>
  <c r="O2161" i="17"/>
  <c r="O2157" i="17"/>
  <c r="O2153" i="17"/>
  <c r="O2149" i="17"/>
  <c r="O2145" i="17"/>
  <c r="O2141" i="17"/>
  <c r="O2137" i="17"/>
  <c r="O2133" i="17"/>
  <c r="O2129" i="17"/>
  <c r="O2125" i="17"/>
  <c r="O2121" i="17"/>
  <c r="O2117" i="17"/>
  <c r="O2113" i="17"/>
  <c r="O2109" i="17"/>
  <c r="O2105" i="17"/>
  <c r="O2101" i="17"/>
  <c r="O2097" i="17"/>
  <c r="O2093" i="17"/>
  <c r="O2089" i="17"/>
  <c r="O2085" i="17"/>
  <c r="O3490" i="17"/>
  <c r="O3486" i="17"/>
  <c r="O2073" i="17"/>
  <c r="O2069" i="17"/>
  <c r="O2065" i="17"/>
  <c r="O2061" i="17"/>
  <c r="O2057" i="17"/>
  <c r="O2053" i="17"/>
  <c r="O2049" i="17"/>
  <c r="O2045" i="17"/>
  <c r="O2041" i="17"/>
  <c r="O2037" i="17"/>
  <c r="O2033" i="17"/>
  <c r="O1571" i="17"/>
  <c r="O1567" i="17"/>
  <c r="O2021" i="17"/>
  <c r="O2017" i="17"/>
  <c r="O2013" i="17"/>
  <c r="O2009" i="17"/>
  <c r="O2005" i="17"/>
  <c r="O2001" i="17"/>
  <c r="O1997" i="17"/>
  <c r="O1993" i="17"/>
  <c r="O1989" i="17"/>
  <c r="O1985" i="17"/>
  <c r="O1981" i="17"/>
  <c r="O1977" i="17"/>
  <c r="O1973" i="17"/>
  <c r="O1969" i="17"/>
  <c r="O1965" i="17"/>
  <c r="O1961" i="17"/>
  <c r="O1957" i="17"/>
  <c r="O1953" i="17"/>
  <c r="O1949" i="17"/>
  <c r="O1945" i="17"/>
  <c r="O1941" i="17"/>
  <c r="O1937" i="17"/>
  <c r="O1933" i="17"/>
  <c r="O1929" i="17"/>
  <c r="O1925" i="17"/>
  <c r="O1921" i="17"/>
  <c r="O1917" i="17"/>
  <c r="O1913" i="17"/>
  <c r="O1909" i="17"/>
  <c r="O1905" i="17"/>
  <c r="O1901" i="17"/>
  <c r="O1897" i="17"/>
  <c r="O1893" i="17"/>
  <c r="O1889" i="17"/>
  <c r="O1885" i="17"/>
  <c r="O1881" i="17"/>
  <c r="O1877" i="17"/>
  <c r="O1873" i="17"/>
  <c r="O1869" i="17"/>
  <c r="O1865" i="17"/>
  <c r="O1861" i="17"/>
  <c r="O1857" i="17"/>
  <c r="O1853" i="17"/>
  <c r="O1849" i="17"/>
  <c r="O1845" i="17"/>
  <c r="O1841" i="17"/>
  <c r="O1837" i="17"/>
  <c r="O1833" i="17"/>
  <c r="O1829" i="17"/>
  <c r="O1825" i="17"/>
  <c r="O1821" i="17"/>
  <c r="O1817" i="17"/>
  <c r="O1813" i="17"/>
  <c r="O1809" i="17"/>
  <c r="O1805" i="17"/>
  <c r="O1801" i="17"/>
  <c r="O1797" i="17"/>
  <c r="O1793" i="17"/>
  <c r="O1789" i="17"/>
  <c r="O1785" i="17"/>
  <c r="O1781" i="17"/>
  <c r="O1777" i="17"/>
  <c r="O1773" i="17"/>
  <c r="O1769" i="17"/>
  <c r="O1765" i="17"/>
  <c r="O1761" i="17"/>
  <c r="O1757" i="17"/>
  <c r="O1753" i="17"/>
  <c r="O1749" i="17"/>
  <c r="O1745" i="17"/>
  <c r="O1741" i="17"/>
  <c r="O1737" i="17"/>
  <c r="O1733" i="17"/>
  <c r="O1729" i="17"/>
  <c r="O1725" i="17"/>
  <c r="O1721" i="17"/>
  <c r="O1717" i="17"/>
  <c r="O1713" i="17"/>
  <c r="O1709" i="17"/>
  <c r="O1705" i="17"/>
  <c r="O1701" i="17"/>
  <c r="O1697" i="17"/>
  <c r="O1693" i="17"/>
  <c r="O1689" i="17"/>
  <c r="O1685" i="17"/>
  <c r="O1681" i="17"/>
  <c r="O1677" i="17"/>
  <c r="O1673" i="17"/>
  <c r="O1669" i="17"/>
  <c r="O1665" i="17"/>
  <c r="O1661" i="17"/>
  <c r="O1657" i="17"/>
  <c r="O1653" i="17"/>
  <c r="O1649" i="17"/>
  <c r="O1645" i="17"/>
  <c r="O1641" i="17"/>
  <c r="O1637" i="17"/>
  <c r="O1633" i="17"/>
  <c r="O1629" i="17"/>
  <c r="O1625" i="17"/>
  <c r="O1621" i="17"/>
  <c r="O1617" i="17"/>
  <c r="O1613" i="17"/>
  <c r="O1609" i="17"/>
  <c r="O1605" i="17"/>
  <c r="O1601" i="17"/>
  <c r="O1597" i="17"/>
  <c r="O1593" i="17"/>
  <c r="O1589" i="17"/>
  <c r="O1585" i="17"/>
  <c r="O1581" i="17"/>
  <c r="O1577" i="17"/>
  <c r="O1573" i="17"/>
  <c r="O2568" i="17"/>
  <c r="O2564" i="17"/>
  <c r="O1561" i="17"/>
  <c r="O1557" i="17"/>
  <c r="O1553" i="17"/>
  <c r="O1549" i="17"/>
  <c r="O1545" i="17"/>
  <c r="O1541" i="17"/>
  <c r="O1537" i="17"/>
  <c r="O1533" i="17"/>
  <c r="O1529" i="17"/>
  <c r="O1525" i="17"/>
  <c r="O1521" i="17"/>
  <c r="O1517" i="17"/>
  <c r="O1513" i="17"/>
  <c r="O1509" i="17"/>
  <c r="O1505" i="17"/>
  <c r="O1501" i="17"/>
  <c r="O1497" i="17"/>
  <c r="O1493" i="17"/>
  <c r="O1489" i="17"/>
  <c r="O1485" i="17"/>
  <c r="O1481" i="17"/>
  <c r="O1477" i="17"/>
  <c r="O1473" i="17"/>
  <c r="O1469" i="17"/>
  <c r="O1465" i="17"/>
  <c r="O1461" i="17"/>
  <c r="O1457" i="17"/>
  <c r="O1453" i="17"/>
  <c r="O1449" i="17"/>
  <c r="O1445" i="17"/>
  <c r="O1441" i="17"/>
  <c r="O1437" i="17"/>
  <c r="O1433" i="17"/>
  <c r="O1429" i="17"/>
  <c r="O1425" i="17"/>
  <c r="O1421" i="17"/>
  <c r="O1417" i="17"/>
  <c r="O1413" i="17"/>
  <c r="O1409" i="17"/>
  <c r="O1405" i="17"/>
  <c r="O1401" i="17"/>
  <c r="O1397" i="17"/>
  <c r="O1393" i="17"/>
  <c r="O1389" i="17"/>
  <c r="O1385" i="17"/>
  <c r="O1381" i="17"/>
  <c r="O1377" i="17"/>
  <c r="O1373" i="17"/>
  <c r="O1369" i="17"/>
  <c r="O1365" i="17"/>
  <c r="O1361" i="17"/>
  <c r="O1357" i="17"/>
  <c r="O1353" i="17"/>
  <c r="O1349" i="17"/>
  <c r="O1345" i="17"/>
  <c r="O1341" i="17"/>
  <c r="O1337" i="17"/>
  <c r="O1333" i="17"/>
  <c r="O1329" i="17"/>
  <c r="O1325" i="17"/>
  <c r="O1321" i="17"/>
  <c r="O1317" i="17"/>
  <c r="O1313" i="17"/>
  <c r="O1309" i="17"/>
  <c r="O1305" i="17"/>
  <c r="O1301" i="17"/>
  <c r="O1297" i="17"/>
  <c r="O1293" i="17"/>
  <c r="O1289" i="17"/>
  <c r="O1285" i="17"/>
  <c r="O1281" i="17"/>
  <c r="O1277" i="17"/>
  <c r="O1273" i="17"/>
  <c r="O1269" i="17"/>
  <c r="O1265" i="17"/>
  <c r="O1261" i="17"/>
  <c r="O1257" i="17"/>
  <c r="O1253" i="17"/>
  <c r="O1249" i="17"/>
  <c r="O1245" i="17"/>
  <c r="O1241" i="17"/>
  <c r="O1237" i="17"/>
  <c r="O1233" i="17"/>
  <c r="O1229" i="17"/>
  <c r="O1225" i="17"/>
  <c r="O1221" i="17"/>
  <c r="O1217" i="17"/>
  <c r="O1213" i="17"/>
  <c r="O1209" i="17"/>
  <c r="O1205" i="17"/>
  <c r="O1201" i="17"/>
  <c r="O1197" i="17"/>
  <c r="O1193" i="17"/>
  <c r="O1189" i="17"/>
  <c r="O1185" i="17"/>
  <c r="O1181" i="17"/>
  <c r="O1177" i="17"/>
  <c r="O1173" i="17"/>
  <c r="O1169" i="17"/>
  <c r="O1165" i="17"/>
  <c r="O1161" i="17"/>
  <c r="O1157" i="17"/>
  <c r="O1153" i="17"/>
  <c r="O1149" i="17"/>
  <c r="O1145" i="17"/>
  <c r="O1141" i="17"/>
  <c r="O1137" i="17"/>
  <c r="O1133" i="17"/>
  <c r="O1129" i="17"/>
  <c r="O1125" i="17"/>
  <c r="O1121" i="17"/>
  <c r="O1117" i="17"/>
  <c r="O1113" i="17"/>
  <c r="O1109" i="17"/>
  <c r="O1105" i="17"/>
  <c r="O1101" i="17"/>
  <c r="O1097" i="17"/>
  <c r="O1093" i="17"/>
  <c r="O1089" i="17"/>
  <c r="O1085" i="17"/>
  <c r="O1081" i="17"/>
  <c r="O1077" i="17"/>
  <c r="O1073" i="17"/>
  <c r="O1069" i="17"/>
  <c r="O1065" i="17"/>
  <c r="O1061" i="17"/>
  <c r="O1057" i="17"/>
  <c r="O1053" i="17"/>
  <c r="O1049" i="17"/>
  <c r="O1045" i="17"/>
  <c r="O1041" i="17"/>
  <c r="O1037" i="17"/>
  <c r="O1033" i="17"/>
  <c r="O1029" i="17"/>
  <c r="O1025" i="17"/>
  <c r="O1021" i="17"/>
  <c r="O1017" i="17"/>
  <c r="O1013" i="17"/>
  <c r="O1009" i="17"/>
  <c r="O1005" i="17"/>
  <c r="O1001" i="17"/>
  <c r="O997" i="17"/>
  <c r="O993" i="17"/>
  <c r="O989" i="17"/>
  <c r="O985" i="17"/>
  <c r="O981" i="17"/>
  <c r="O977" i="17"/>
  <c r="O973" i="17"/>
  <c r="O969" i="17"/>
  <c r="O965" i="17"/>
  <c r="O961" i="17"/>
  <c r="O957" i="17"/>
  <c r="O953" i="17"/>
  <c r="O949" i="17"/>
  <c r="O945" i="17"/>
  <c r="O941" i="17"/>
  <c r="O937" i="17"/>
  <c r="O933" i="17"/>
  <c r="O929" i="17"/>
  <c r="O925" i="17"/>
  <c r="O921" i="17"/>
  <c r="O917" i="17"/>
  <c r="O913" i="17"/>
  <c r="O909" i="17"/>
  <c r="O905" i="17"/>
  <c r="O901" i="17"/>
  <c r="O897" i="17"/>
  <c r="O893" i="17"/>
  <c r="O889" i="17"/>
  <c r="O885" i="17"/>
  <c r="O881" i="17"/>
  <c r="O877" i="17"/>
  <c r="O873" i="17"/>
  <c r="O869" i="17"/>
  <c r="O865" i="17"/>
  <c r="O861" i="17"/>
  <c r="O857" i="17"/>
  <c r="O853" i="17"/>
  <c r="O849" i="17"/>
  <c r="O845" i="17"/>
  <c r="O841" i="17"/>
  <c r="O837" i="17"/>
  <c r="O833" i="17"/>
  <c r="O829" i="17"/>
  <c r="O825" i="17"/>
  <c r="O821" i="17"/>
  <c r="O817" i="17"/>
  <c r="O813" i="17"/>
  <c r="O809" i="17"/>
  <c r="O805" i="17"/>
  <c r="O801" i="17"/>
  <c r="O797" i="17"/>
  <c r="O793" i="17"/>
  <c r="O789" i="17"/>
  <c r="O785" i="17"/>
  <c r="O781" i="17"/>
  <c r="O777" i="17"/>
  <c r="O773" i="17"/>
  <c r="O769" i="17"/>
  <c r="O765" i="17"/>
  <c r="O761" i="17"/>
  <c r="O757" i="17"/>
  <c r="O753" i="17"/>
  <c r="O749" i="17"/>
  <c r="O745" i="17"/>
  <c r="O741" i="17"/>
  <c r="O737" i="17"/>
  <c r="O733" i="17"/>
  <c r="O729" i="17"/>
  <c r="O725" i="17"/>
  <c r="O721" i="17"/>
  <c r="O717" i="17"/>
  <c r="O713" i="17"/>
  <c r="O709" i="17"/>
  <c r="O705" i="17"/>
  <c r="O701" i="17"/>
  <c r="O697" i="17"/>
  <c r="O693" i="17"/>
  <c r="O689" i="17"/>
  <c r="O685" i="17"/>
  <c r="O681" i="17"/>
  <c r="O677" i="17"/>
  <c r="O673" i="17"/>
  <c r="O669" i="17"/>
  <c r="O665" i="17"/>
  <c r="O661" i="17"/>
  <c r="O657" i="17"/>
  <c r="O653" i="17"/>
  <c r="O649" i="17"/>
  <c r="O645" i="17"/>
  <c r="O641" i="17"/>
  <c r="O637" i="17"/>
  <c r="O633" i="17"/>
  <c r="O629" i="17"/>
  <c r="O625" i="17"/>
  <c r="O621" i="17"/>
  <c r="O617" i="17"/>
  <c r="O613" i="17"/>
  <c r="O609" i="17"/>
  <c r="O605" i="17"/>
  <c r="O601" i="17"/>
  <c r="O597" i="17"/>
  <c r="O593" i="17"/>
  <c r="O589" i="17"/>
  <c r="O585" i="17"/>
  <c r="O581" i="17"/>
  <c r="O577" i="17"/>
  <c r="O573" i="17"/>
  <c r="O569" i="17"/>
  <c r="O565" i="17"/>
  <c r="O561" i="17"/>
  <c r="O557" i="17"/>
  <c r="O553" i="17"/>
  <c r="O549" i="17"/>
  <c r="O545" i="17"/>
  <c r="O541" i="17"/>
  <c r="O537" i="17"/>
  <c r="O533" i="17"/>
  <c r="O529" i="17"/>
  <c r="O525" i="17"/>
  <c r="O521" i="17"/>
  <c r="O517" i="17"/>
  <c r="O513" i="17"/>
  <c r="O509" i="17"/>
  <c r="O505" i="17"/>
  <c r="O501" i="17"/>
  <c r="O497" i="17"/>
  <c r="O493" i="17"/>
  <c r="O489" i="17"/>
  <c r="O485" i="17"/>
  <c r="O481" i="17"/>
  <c r="O477" i="17"/>
  <c r="O473" i="17"/>
  <c r="O469" i="17"/>
  <c r="O465" i="17"/>
  <c r="O461" i="17"/>
  <c r="O457" i="17"/>
  <c r="O453" i="17"/>
  <c r="O2" i="17"/>
  <c r="O56" i="17"/>
  <c r="O52" i="17"/>
  <c r="O48" i="17"/>
  <c r="O44" i="17"/>
  <c r="O40" i="17"/>
  <c r="O36" i="17"/>
  <c r="O32" i="17"/>
  <c r="O28" i="17"/>
  <c r="O24" i="17"/>
  <c r="O20" i="17"/>
  <c r="O16" i="17"/>
  <c r="O12" i="17"/>
  <c r="O8" i="17"/>
  <c r="O4" i="17"/>
  <c r="O7" i="17"/>
  <c r="O3" i="17"/>
  <c r="D10" i="2"/>
  <c r="D11" i="2"/>
  <c r="D4" i="2"/>
  <c r="D5" i="2"/>
  <c r="D6" i="2"/>
  <c r="D7" i="2"/>
  <c r="D8" i="2"/>
  <c r="D9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tc={59E7D4B1-5ADD-7A42-9B1A-9CB450C21A63}</author>
  </authors>
  <commentList>
    <comment ref="R32" authorId="0" shapeId="0" xr:uid="{59E7D4B1-5ADD-7A42-9B1A-9CB450C21A6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figures within 1% of GASB 67 numbers. With the rounding included in the GASB 67 figures, this checks out well.</t>
      </text>
    </comment>
  </commentList>
</comments>
</file>

<file path=xl/sharedStrings.xml><?xml version="1.0" encoding="utf-8"?>
<sst xmlns="http://schemas.openxmlformats.org/spreadsheetml/2006/main" count="19220" uniqueCount="4599">
  <si>
    <t>employer_id</t>
  </si>
  <si>
    <t>1005</t>
  </si>
  <si>
    <t>1006</t>
  </si>
  <si>
    <t>1007</t>
  </si>
  <si>
    <t>2013</t>
  </si>
  <si>
    <t>2016</t>
  </si>
  <si>
    <t>2017</t>
  </si>
  <si>
    <t>2018</t>
  </si>
  <si>
    <t>3011</t>
  </si>
  <si>
    <t>3013</t>
  </si>
  <si>
    <t>4005</t>
  </si>
  <si>
    <t>5003</t>
  </si>
  <si>
    <t>6003</t>
  </si>
  <si>
    <t>6013</t>
  </si>
  <si>
    <t>6015</t>
  </si>
  <si>
    <t>7001</t>
  </si>
  <si>
    <t>8006</t>
  </si>
  <si>
    <t>8009</t>
  </si>
  <si>
    <t>9001</t>
  </si>
  <si>
    <t>9002</t>
  </si>
  <si>
    <t>9003</t>
  </si>
  <si>
    <t>10000</t>
  </si>
  <si>
    <t>10013</t>
  </si>
  <si>
    <t>10016</t>
  </si>
  <si>
    <t>11015</t>
  </si>
  <si>
    <t>12001</t>
  </si>
  <si>
    <t>12002</t>
  </si>
  <si>
    <t>12003</t>
  </si>
  <si>
    <t>12004</t>
  </si>
  <si>
    <t>13009</t>
  </si>
  <si>
    <t>14009</t>
  </si>
  <si>
    <t>14010</t>
  </si>
  <si>
    <t>14011</t>
  </si>
  <si>
    <t>14025</t>
  </si>
  <si>
    <t>15018</t>
  </si>
  <si>
    <t>15020</t>
  </si>
  <si>
    <t>16001</t>
  </si>
  <si>
    <t>16002</t>
  </si>
  <si>
    <t>17001</t>
  </si>
  <si>
    <t>17004</t>
  </si>
  <si>
    <t>17006</t>
  </si>
  <si>
    <t>18005</t>
  </si>
  <si>
    <t>18008</t>
  </si>
  <si>
    <t>18012</t>
  </si>
  <si>
    <t>18014</t>
  </si>
  <si>
    <t>18015</t>
  </si>
  <si>
    <t>18016</t>
  </si>
  <si>
    <t>18017</t>
  </si>
  <si>
    <t>19016</t>
  </si>
  <si>
    <t>19017</t>
  </si>
  <si>
    <t>19019</t>
  </si>
  <si>
    <t>19020</t>
  </si>
  <si>
    <t>20015</t>
  </si>
  <si>
    <t>20018</t>
  </si>
  <si>
    <t>20019</t>
  </si>
  <si>
    <t>20020</t>
  </si>
  <si>
    <t>20021</t>
  </si>
  <si>
    <t>20022</t>
  </si>
  <si>
    <t>20023</t>
  </si>
  <si>
    <t>21010</t>
  </si>
  <si>
    <t>21011</t>
  </si>
  <si>
    <t>22001</t>
  </si>
  <si>
    <t>23001</t>
  </si>
  <si>
    <t>23002</t>
  </si>
  <si>
    <t>23003</t>
  </si>
  <si>
    <t>24015</t>
  </si>
  <si>
    <t>25006</t>
  </si>
  <si>
    <t>25007</t>
  </si>
  <si>
    <t>26013</t>
  </si>
  <si>
    <t>26014</t>
  </si>
  <si>
    <t>26015</t>
  </si>
  <si>
    <t>27011</t>
  </si>
  <si>
    <t>27014</t>
  </si>
  <si>
    <t>27015</t>
  </si>
  <si>
    <t>27016</t>
  </si>
  <si>
    <t>28002</t>
  </si>
  <si>
    <t>28004</t>
  </si>
  <si>
    <t>28005</t>
  </si>
  <si>
    <t>28006</t>
  </si>
  <si>
    <t>28007</t>
  </si>
  <si>
    <t>28008</t>
  </si>
  <si>
    <t>29008</t>
  </si>
  <si>
    <t>29009</t>
  </si>
  <si>
    <t>29012</t>
  </si>
  <si>
    <t>29013</t>
  </si>
  <si>
    <t>29014</t>
  </si>
  <si>
    <t>29015</t>
  </si>
  <si>
    <t>30012</t>
  </si>
  <si>
    <t>30013</t>
  </si>
  <si>
    <t>30014</t>
  </si>
  <si>
    <t>30015</t>
  </si>
  <si>
    <t>30016</t>
  </si>
  <si>
    <t>31001</t>
  </si>
  <si>
    <t>31006</t>
  </si>
  <si>
    <t>31008</t>
  </si>
  <si>
    <t>32004</t>
  </si>
  <si>
    <t>32005</t>
  </si>
  <si>
    <t>32006</t>
  </si>
  <si>
    <t>32007</t>
  </si>
  <si>
    <t>32008</t>
  </si>
  <si>
    <t>32010</t>
  </si>
  <si>
    <t>33001</t>
  </si>
  <si>
    <t>33005</t>
  </si>
  <si>
    <t>33007</t>
  </si>
  <si>
    <t>33008</t>
  </si>
  <si>
    <t>33010</t>
  </si>
  <si>
    <t>34001</t>
  </si>
  <si>
    <t>34002</t>
  </si>
  <si>
    <t>34003</t>
  </si>
  <si>
    <t>34005</t>
  </si>
  <si>
    <t>34007</t>
  </si>
  <si>
    <t>35015</t>
  </si>
  <si>
    <t>35016</t>
  </si>
  <si>
    <t>36001</t>
  </si>
  <si>
    <t>36008</t>
  </si>
  <si>
    <t>36013</t>
  </si>
  <si>
    <t>36014</t>
  </si>
  <si>
    <t>37006</t>
  </si>
  <si>
    <t>37010</t>
  </si>
  <si>
    <t>38011</t>
  </si>
  <si>
    <t>39003</t>
  </si>
  <si>
    <t>39004</t>
  </si>
  <si>
    <t>39005</t>
  </si>
  <si>
    <t>40001</t>
  </si>
  <si>
    <t>41003</t>
  </si>
  <si>
    <t>41005</t>
  </si>
  <si>
    <t>41006</t>
  </si>
  <si>
    <t>41007</t>
  </si>
  <si>
    <t>41009</t>
  </si>
  <si>
    <t>41010</t>
  </si>
  <si>
    <t>41011</t>
  </si>
  <si>
    <t>41012</t>
  </si>
  <si>
    <t>42001</t>
  </si>
  <si>
    <t>42002</t>
  </si>
  <si>
    <t>42003</t>
  </si>
  <si>
    <t>43005</t>
  </si>
  <si>
    <t>43006</t>
  </si>
  <si>
    <t>43007</t>
  </si>
  <si>
    <t>43011</t>
  </si>
  <si>
    <t>44001</t>
  </si>
  <si>
    <t>44002</t>
  </si>
  <si>
    <t>44003</t>
  </si>
  <si>
    <t>45005</t>
  </si>
  <si>
    <t>45013</t>
  </si>
  <si>
    <t>45014</t>
  </si>
  <si>
    <t>45016</t>
  </si>
  <si>
    <t>45017</t>
  </si>
  <si>
    <t>45018</t>
  </si>
  <si>
    <t>45019</t>
  </si>
  <si>
    <t>45020</t>
  </si>
  <si>
    <t>45022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</si>
  <si>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</si>
  <si>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</si>
  <si>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</si>
  <si>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</si>
  <si>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</si>
  <si>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</si>
  <si>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</si>
  <si>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</si>
  <si>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</si>
  <si>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</si>
  <si>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46008</t>
  </si>
  <si>
    <t>46009</t>
  </si>
  <si>
    <t>46014</t>
  </si>
  <si>
    <t>46020</t>
  </si>
  <si>
    <t>46021</t>
  </si>
  <si>
    <t>46022</t>
  </si>
  <si>
    <t>47011</t>
  </si>
  <si>
    <t>47013</t>
  </si>
  <si>
    <t>48014</t>
  </si>
  <si>
    <t>48016</t>
  </si>
  <si>
    <t>48017</t>
  </si>
  <si>
    <t>48020</t>
  </si>
  <si>
    <t>48021</t>
  </si>
  <si>
    <t>49002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</si>
  <si>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</si>
  <si>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</si>
  <si>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</si>
  <si>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</si>
  <si>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</si>
  <si>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</si>
  <si>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</si>
  <si>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</si>
  <si>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</si>
  <si>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49015</t>
  </si>
  <si>
    <t>49016</t>
  </si>
  <si>
    <t>49017</t>
  </si>
  <si>
    <t>-</t>
  </si>
  <si>
    <t>49018</t>
  </si>
  <si>
    <t>50003</t>
  </si>
  <si>
    <t>50004</t>
  </si>
  <si>
    <t>50007</t>
  </si>
  <si>
    <t>50009</t>
  </si>
  <si>
    <t>50010</t>
  </si>
  <si>
    <t>51004</t>
  </si>
  <si>
    <t>51006</t>
  </si>
  <si>
    <t>51008</t>
  </si>
  <si>
    <t>52001</t>
  </si>
  <si>
    <t>52003</t>
  </si>
  <si>
    <t>52004</t>
  </si>
  <si>
    <t>52005</t>
  </si>
  <si>
    <t>53012</t>
  </si>
  <si>
    <t>53013</t>
  </si>
  <si>
    <t>54014</t>
  </si>
  <si>
    <t>54015</t>
  </si>
  <si>
    <t>54016</t>
  </si>
  <si>
    <t>55003</t>
  </si>
  <si>
    <t>55004</t>
  </si>
  <si>
    <t>55005</t>
  </si>
  <si>
    <t>55008</t>
  </si>
  <si>
    <t>56009</t>
  </si>
  <si>
    <t>56010</t>
  </si>
  <si>
    <t>57006</t>
  </si>
  <si>
    <t>57007</t>
  </si>
  <si>
    <t>57009</t>
  </si>
  <si>
    <t>58002</t>
  </si>
  <si>
    <t>59008</t>
  </si>
  <si>
    <t>59010</t>
  </si>
  <si>
    <t>59011</t>
  </si>
  <si>
    <t>59012</t>
  </si>
  <si>
    <t>60008</t>
  </si>
  <si>
    <t>61000</t>
  </si>
  <si>
    <t>61007</t>
  </si>
  <si>
    <t>62002</t>
  </si>
  <si>
    <t>62003</t>
  </si>
  <si>
    <t>62004</t>
  </si>
  <si>
    <t>63013</t>
  </si>
  <si>
    <t>64001</t>
  </si>
  <si>
    <t>64008</t>
  </si>
  <si>
    <t>64009</t>
  </si>
  <si>
    <t>64011</t>
  </si>
  <si>
    <t>64013</t>
  </si>
  <si>
    <t>64015</t>
  </si>
  <si>
    <t>64016</t>
  </si>
  <si>
    <t>64017</t>
  </si>
  <si>
    <t>65001</t>
  </si>
  <si>
    <t>65003</t>
  </si>
  <si>
    <t>66001</t>
  </si>
  <si>
    <t>66002</t>
  </si>
  <si>
    <t>67010</t>
  </si>
  <si>
    <t>67013</t>
  </si>
  <si>
    <t>67014</t>
  </si>
  <si>
    <t>67015</t>
  </si>
  <si>
    <t>67016</t>
  </si>
  <si>
    <t>67017</t>
  </si>
  <si>
    <t>68003</t>
  </si>
  <si>
    <t>68006</t>
  </si>
  <si>
    <t>68007</t>
  </si>
  <si>
    <t>68008</t>
  </si>
  <si>
    <t>68011</t>
  </si>
  <si>
    <t>68012</t>
  </si>
  <si>
    <t>69006</t>
  </si>
  <si>
    <t>69007</t>
  </si>
  <si>
    <t>69008</t>
  </si>
  <si>
    <t>69011</t>
  </si>
  <si>
    <t>69012</t>
  </si>
  <si>
    <t>69014</t>
  </si>
  <si>
    <t>69015</t>
  </si>
  <si>
    <t>69016</t>
  </si>
  <si>
    <t>70015</t>
  </si>
  <si>
    <t>71003</t>
  </si>
  <si>
    <t>71004</t>
  </si>
  <si>
    <t>71006</t>
  </si>
  <si>
    <t>71007</t>
  </si>
  <si>
    <t>71014</t>
  </si>
  <si>
    <t>72007</t>
  </si>
  <si>
    <t>72008</t>
  </si>
  <si>
    <t>73009</t>
  </si>
  <si>
    <t>73010</t>
  </si>
  <si>
    <t>73013</t>
  </si>
  <si>
    <t>73014</t>
  </si>
  <si>
    <t>73015</t>
  </si>
  <si>
    <t>74010</t>
  </si>
  <si>
    <t>74011</t>
  </si>
  <si>
    <t>75010</t>
  </si>
  <si>
    <t>75011</t>
  </si>
  <si>
    <t>75012</t>
  </si>
  <si>
    <t>76002</t>
  </si>
  <si>
    <t>76004</t>
  </si>
  <si>
    <t>76005</t>
  </si>
  <si>
    <t>77011</t>
  </si>
  <si>
    <t>77012</t>
  </si>
  <si>
    <t>78001</t>
  </si>
  <si>
    <t>79001</t>
  </si>
  <si>
    <t>79002</t>
  </si>
  <si>
    <t>79003</t>
  </si>
  <si>
    <t>80003</t>
  </si>
  <si>
    <t>80004</t>
  </si>
  <si>
    <t>81001</t>
  </si>
  <si>
    <t>82001</t>
  </si>
  <si>
    <t>83001</t>
  </si>
  <si>
    <t>83002</t>
  </si>
  <si>
    <t>84001</t>
  </si>
  <si>
    <t>84002</t>
  </si>
  <si>
    <t>85001</t>
  </si>
  <si>
    <t>85002</t>
  </si>
  <si>
    <t>85003</t>
  </si>
  <si>
    <t>85005</t>
  </si>
  <si>
    <t>86005</t>
  </si>
  <si>
    <t>87001</t>
  </si>
  <si>
    <t>88004</t>
  </si>
  <si>
    <t>88006</t>
  </si>
  <si>
    <t>88008</t>
  </si>
  <si>
    <t>88010</t>
  </si>
  <si>
    <t>89001</t>
  </si>
  <si>
    <t>89002</t>
  </si>
  <si>
    <t>89003</t>
  </si>
  <si>
    <t>89004</t>
  </si>
  <si>
    <t>89005</t>
  </si>
  <si>
    <t>90001</t>
  </si>
  <si>
    <t>90002</t>
  </si>
  <si>
    <t>90003</t>
  </si>
  <si>
    <t>91005</t>
  </si>
  <si>
    <t>91006</t>
  </si>
  <si>
    <t>91009</t>
  </si>
  <si>
    <t>91010</t>
  </si>
  <si>
    <t>92014</t>
  </si>
  <si>
    <t>92016</t>
  </si>
  <si>
    <t>97001</t>
  </si>
  <si>
    <t>97002</t>
  </si>
  <si>
    <t>97003</t>
  </si>
  <si>
    <t>97006</t>
  </si>
  <si>
    <t>97007</t>
  </si>
  <si>
    <t>97008</t>
  </si>
  <si>
    <t>97009</t>
  </si>
  <si>
    <t>97010</t>
  </si>
  <si>
    <t>97011</t>
  </si>
  <si>
    <t>97012</t>
  </si>
  <si>
    <t>97016</t>
  </si>
  <si>
    <t>97017</t>
  </si>
  <si>
    <t>97018</t>
  </si>
  <si>
    <t>97019</t>
  </si>
  <si>
    <t>97020</t>
  </si>
  <si>
    <t>97021</t>
  </si>
  <si>
    <t>97022</t>
  </si>
  <si>
    <t>97025</t>
  </si>
  <si>
    <t>97026</t>
  </si>
  <si>
    <t>97028</t>
  </si>
  <si>
    <t>97029</t>
  </si>
  <si>
    <t>97030</t>
  </si>
  <si>
    <t>97033</t>
  </si>
  <si>
    <t>97034</t>
  </si>
  <si>
    <t>97036</t>
  </si>
  <si>
    <t>97037</t>
  </si>
  <si>
    <t>97041</t>
  </si>
  <si>
    <t>97042</t>
  </si>
  <si>
    <t>97043</t>
  </si>
  <si>
    <t>97044</t>
  </si>
  <si>
    <t>97045</t>
  </si>
  <si>
    <t>97046</t>
  </si>
  <si>
    <t>97047</t>
  </si>
  <si>
    <t>97048</t>
  </si>
  <si>
    <t>97049</t>
  </si>
  <si>
    <t>97051</t>
  </si>
  <si>
    <t>97052</t>
  </si>
  <si>
    <t>97053</t>
  </si>
  <si>
    <t>97054</t>
  </si>
  <si>
    <t>97056</t>
  </si>
  <si>
    <t>97057</t>
  </si>
  <si>
    <t>97058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</si>
  <si>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</si>
  <si>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</si>
  <si>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</si>
  <si>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</si>
  <si>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</si>
  <si>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</si>
  <si>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</si>
  <si>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</si>
  <si>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99000</t>
  </si>
  <si>
    <t>99019</t>
  </si>
  <si>
    <t>99022</t>
  </si>
  <si>
    <t>61005</t>
  </si>
  <si>
    <t>61006</t>
  </si>
  <si>
    <t>97068</t>
  </si>
  <si>
    <t>97069</t>
  </si>
  <si>
    <t>97070</t>
  </si>
  <si>
    <t>97071</t>
  </si>
  <si>
    <t>97072</t>
  </si>
  <si>
    <t>97073</t>
  </si>
  <si>
    <t>97074</t>
  </si>
  <si>
    <t>99011</t>
  </si>
  <si>
    <t>97075</t>
  </si>
  <si>
    <t>97076</t>
  </si>
  <si>
    <t>97078</t>
  </si>
  <si>
    <t>97079</t>
  </si>
  <si>
    <t>97080</t>
  </si>
  <si>
    <t>97082</t>
  </si>
  <si>
    <t>97081</t>
  </si>
  <si>
    <t>97083</t>
  </si>
  <si>
    <t>97084</t>
  </si>
  <si>
    <t>97085</t>
  </si>
  <si>
    <t>97086</t>
  </si>
  <si>
    <t>97087</t>
  </si>
  <si>
    <t>97088</t>
  </si>
  <si>
    <t>97090</t>
  </si>
  <si>
    <t>97091</t>
  </si>
  <si>
    <t>$ -</t>
  </si>
  <si>
    <t>97092</t>
  </si>
  <si>
    <t>97093</t>
  </si>
  <si>
    <t>10001</t>
  </si>
  <si>
    <t>10002</t>
  </si>
  <si>
    <t>97039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</si>
  <si>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</si>
  <si>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</si>
  <si>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</si>
  <si>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</si>
  <si>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</si>
  <si>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</si>
  <si>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</si>
  <si>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</si>
  <si>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10017</t>
  </si>
  <si>
    <t>97102</t>
  </si>
  <si>
    <t>97106</t>
  </si>
  <si>
    <t>1996_contribution</t>
  </si>
  <si>
    <t>pre-1996_employer_contribution</t>
  </si>
  <si>
    <t>pre_1996_state_contribution</t>
  </si>
  <si>
    <t>1996 Plan Employer Contributions</t>
  </si>
  <si>
    <t>Year</t>
  </si>
  <si>
    <t>Reported Total</t>
  </si>
  <si>
    <t>Total from Formula</t>
  </si>
  <si>
    <t xml:space="preserve">Difference </t>
  </si>
  <si>
    <t>1996_employer_allocation</t>
  </si>
  <si>
    <t>State Contributions</t>
  </si>
  <si>
    <t>26016</t>
  </si>
  <si>
    <t>28000</t>
  </si>
  <si>
    <t>46001</t>
  </si>
  <si>
    <t>46003</t>
  </si>
  <si>
    <t>46004</t>
  </si>
  <si>
    <t>46018</t>
  </si>
  <si>
    <t>50011</t>
  </si>
  <si>
    <t>55006</t>
  </si>
  <si>
    <t>64005</t>
  </si>
  <si>
    <t>64007</t>
  </si>
  <si>
    <t>64010</t>
  </si>
  <si>
    <t>64014</t>
  </si>
  <si>
    <t>65002</t>
  </si>
  <si>
    <t>73016</t>
  </si>
  <si>
    <t>90004</t>
  </si>
  <si>
    <t>92011</t>
  </si>
  <si>
    <t>92015</t>
  </si>
  <si>
    <t>96001</t>
  </si>
  <si>
    <t>97023</t>
  </si>
  <si>
    <t>97035</t>
  </si>
  <si>
    <t>97038</t>
  </si>
  <si>
    <t>98001</t>
  </si>
  <si>
    <t>98002</t>
  </si>
  <si>
    <t>98004</t>
  </si>
  <si>
    <t>98008</t>
  </si>
  <si>
    <t>98009</t>
  </si>
  <si>
    <t>98012</t>
  </si>
  <si>
    <t>99021</t>
  </si>
  <si>
    <t>99023</t>
  </si>
  <si>
    <t>Pre-1996 State Contributions Check</t>
  </si>
  <si>
    <t>Difference</t>
  </si>
  <si>
    <t>65004</t>
  </si>
  <si>
    <t>97040</t>
  </si>
  <si>
    <t>standardized_employer_name</t>
  </si>
  <si>
    <t>SOUTH ADAMS SCHOOLS</t>
  </si>
  <si>
    <t>FLAT ROCK HAWCREEK SCHOOL CORP</t>
  </si>
  <si>
    <t>BARTHOLOMEW CONS SCHOOL CORP</t>
  </si>
  <si>
    <t>LOGANSPORT COMMUNITY SCHOOL CORPORATION</t>
  </si>
  <si>
    <t>PIONEER REGIONAL SCHOOL CORP</t>
  </si>
  <si>
    <t>SILVER CREEK SCHOOL CORPORATION</t>
  </si>
  <si>
    <t>CLAY COMMUNITY SCHOOLS</t>
  </si>
  <si>
    <t>CLINTON CENTRAL SCHOOL CORP</t>
  </si>
  <si>
    <t>ROSSVILLE CONS SCHOOL</t>
  </si>
  <si>
    <t>GREENSBURG COMMUNITY SCHOOLS</t>
  </si>
  <si>
    <t>DEKALB COUNTY CENTRAL UNITED SCHOOL DISTRICT</t>
  </si>
  <si>
    <t>WES-DEL COMMUNITY SCHOOLS</t>
  </si>
  <si>
    <t>YORKTOWN COMMUNITY SCHOOLS</t>
  </si>
  <si>
    <t>GREATER JASPER SCHOOLS</t>
  </si>
  <si>
    <t>WA-NEE COMMUNITY SCHOOLS</t>
  </si>
  <si>
    <t>BAUGO COMMUNITY SCHOOL</t>
  </si>
  <si>
    <t>SOUTHEAST FOUNTAIN SCHOOL</t>
  </si>
  <si>
    <t>CASTON SCHOOL</t>
  </si>
  <si>
    <t>ROCHESTER COMMUNITY SCHOOL</t>
  </si>
  <si>
    <t>NORTH GIBSON SCHOOL</t>
  </si>
  <si>
    <t>SOUTH GIBSON SCHOOL CORP</t>
  </si>
  <si>
    <t>EAST GIBSON SCHOOL CORP</t>
  </si>
  <si>
    <t>MARION COMMUNITY SCHOOLS</t>
  </si>
  <si>
    <t>MADISON GRANT UNITED SCHOOL CORP</t>
  </si>
  <si>
    <t>EASTERN GREENE SCHOOL</t>
  </si>
  <si>
    <t>LINTON STOCKTON SCH CORP</t>
  </si>
  <si>
    <t>BLOOMFIELD SCHOOL DISTRICT</t>
  </si>
  <si>
    <t>WHITE RIVER VALLEY SCHOOL CORP</t>
  </si>
  <si>
    <t>MSD OF SHAKAMAK SCHOOL</t>
  </si>
  <si>
    <t>GREENE-SULLIVAN SPEC ED COOP</t>
  </si>
  <si>
    <t>NOBLESVILLE SCHOOLS</t>
  </si>
  <si>
    <t>CARMEL CLAY SCHOOLS</t>
  </si>
  <si>
    <t>HAMILTON HEIGHTS SCHOOL CORP</t>
  </si>
  <si>
    <t>HAMILTON SOUTHEASTERN SCHOOLS</t>
  </si>
  <si>
    <t>WESTFIELD WASHINGTON SCHOOLS</t>
  </si>
  <si>
    <t>SHERIDAN COMMUNITY SCHOOLS</t>
  </si>
  <si>
    <t>LANESVILLE COMMUNITY SCHOOL</t>
  </si>
  <si>
    <t>BROWNSBURG COMMUNITY SCHOOL CORP</t>
  </si>
  <si>
    <t>NORTH WEST HENDRICKS</t>
  </si>
  <si>
    <t>BLUE RIVER VALLEY SCHOOLS</t>
  </si>
  <si>
    <t>CHARLES A BEARD MEMORIAL SCHOOL CORP</t>
  </si>
  <si>
    <t>SHENANDOAH SCHOOL CORP</t>
  </si>
  <si>
    <t>SOUTH HENRY SCHOOL</t>
  </si>
  <si>
    <t>EASTERN HOWARD SCHOOL</t>
  </si>
  <si>
    <t>WESTERN SCHOOL CORP</t>
  </si>
  <si>
    <t>KOKOMO SCHOOL CORPORATION</t>
  </si>
  <si>
    <t>RENSSELAER CENTRAL SCHOOL CORP</t>
  </si>
  <si>
    <t>KANKAKEE VALLEY SCHOOL</t>
  </si>
  <si>
    <t>JAY SCHOOL CORPORATION</t>
  </si>
  <si>
    <t>MADISON CONS SCHOOLS</t>
  </si>
  <si>
    <t>NINEVEH HENSLEY JACKSON UNITED SCHOOL CORP</t>
  </si>
  <si>
    <t>EDINBURGH SCHOOL CORP</t>
  </si>
  <si>
    <t>GREENWOOD COMMUNITY SCHOOL CORPORATION</t>
  </si>
  <si>
    <t>NORTH KNOX SCHOOL CORP</t>
  </si>
  <si>
    <t>VINCENNES CSC</t>
  </si>
  <si>
    <t>TIPPECANOE VALLEY SCHOOL</t>
  </si>
  <si>
    <t>LAKELAND SCHOOL</t>
  </si>
  <si>
    <t>WESTVIEW SCHOOL</t>
  </si>
  <si>
    <t>SCHOOL CITY OF EAST CHICAGO</t>
  </si>
  <si>
    <t>GRIFFITH PUBLIC SCHOOLS</t>
  </si>
  <si>
    <t>SCHOOL CITY OF HAMMOND</t>
  </si>
  <si>
    <t>SCHOOL TOWN OF HIGHLAND</t>
  </si>
  <si>
    <t>SCHOOL CITY OF HOBART</t>
  </si>
  <si>
    <t>SCHOOL TOWN OF MUNSTER</t>
  </si>
  <si>
    <t>SCHOOL CITY OF WHITING</t>
  </si>
  <si>
    <t>LAKE RIDGE SCHOOLS</t>
  </si>
  <si>
    <t>TRI CREEK SCHOOL</t>
  </si>
  <si>
    <t>LAKE CENTRAL SCHOOL CORP</t>
  </si>
  <si>
    <t>HANOVER COMMUNITY SCHOOL CORPORATION</t>
  </si>
  <si>
    <t>NORTHWEST INDIANA SPEC ED COOP</t>
  </si>
  <si>
    <t>MSD OF NEW DURHAM TOWNSHIP SCHOOLS</t>
  </si>
  <si>
    <t>TRI-TOWNSHIP CONSOLIDATED SCHOOL CORP</t>
  </si>
  <si>
    <t>NEW PRAIRIE UNITED SCHOOL CORP</t>
  </si>
  <si>
    <t>MICHIGAN CITY AREA SCHOOLS</t>
  </si>
  <si>
    <t>MITCHELL COMMUNITY SCHOOLS</t>
  </si>
  <si>
    <t>NORTH LAWRENCE COMMUNITY SCHOOL</t>
  </si>
  <si>
    <t>FRANKTON-LAPEL COMMUNITY SCHOOLS</t>
  </si>
  <si>
    <t>MSD OF WAYNE TOWNSHIP</t>
  </si>
  <si>
    <t>MSD LAWRENCE TOWNSHIP</t>
  </si>
  <si>
    <t>MSD OF PERRY TOWNSHIP</t>
  </si>
  <si>
    <t>MSD OF PIKE TOWNSHIP SCHOOLS</t>
  </si>
  <si>
    <t>MSD OF WASHINGTON TOWNSHIP</t>
  </si>
  <si>
    <t>BEECH GROVE CITY SCHOOLS</t>
  </si>
  <si>
    <t>INDIANAPOLIS PUBLIC SCHOOLS</t>
  </si>
  <si>
    <t>SCHOOL TOWN OF SPEEDWAY</t>
  </si>
  <si>
    <t>CENTRAL INDIANA EDU SERVICE CENTER</t>
  </si>
  <si>
    <t>SOUTHSIDE SPECIAL SRVS OF MARION COUNTY</t>
  </si>
  <si>
    <t>BREMEN PUBLIC SCHOOLS</t>
  </si>
  <si>
    <t>TRITON SCHOOL CORP</t>
  </si>
  <si>
    <t>SHOALS COMMUNITY SCHOOL CORP</t>
  </si>
  <si>
    <t>DAVIESS-MARTIN SPEC ED SCHOOL</t>
  </si>
  <si>
    <t>MACONAQUAH SCHOOL</t>
  </si>
  <si>
    <t>OAK HILL UNITED SCHOOL CORP</t>
  </si>
  <si>
    <t>RICHLAND BEAN BLOSSOM CSC</t>
  </si>
  <si>
    <t>EMINENCE CONS SCHOOL CORP</t>
  </si>
  <si>
    <t>MSD OF MARTINSVILLE</t>
  </si>
  <si>
    <t>MOORESVILLE CONS SCHOOL</t>
  </si>
  <si>
    <t>MONROE GREGG SCHOOL</t>
  </si>
  <si>
    <t>SOUTH NEWTON SCHOOL</t>
  </si>
  <si>
    <t>NORTH NEWTON SCHOOL</t>
  </si>
  <si>
    <t>EAST NOBLE SCHOOL</t>
  </si>
  <si>
    <t>WEST NOBLE SCHOOL</t>
  </si>
  <si>
    <t>NORTH CENTRAL PARKE COMMUNITY SCHOOL CORP</t>
  </si>
  <si>
    <t>PIKE COUNTY SCHOOL</t>
  </si>
  <si>
    <t>BOONE TOWNSHIP SCHOOLS</t>
  </si>
  <si>
    <t>PORTER TOWNSHIP SCHOOLS</t>
  </si>
  <si>
    <t>PORTAGE TOWNSHIP SCHOOLS</t>
  </si>
  <si>
    <t>PORTER COUNTY EDUCATION SERVICES</t>
  </si>
  <si>
    <t>DUNELAND SCHOOL CORPORATION</t>
  </si>
  <si>
    <t>EAST PORTER COUNTY SCHOOLS</t>
  </si>
  <si>
    <t>MSD OF MT VERNON</t>
  </si>
  <si>
    <t>WEST CENTRAL SCHOOL</t>
  </si>
  <si>
    <t>OLD NATIONAL TRAIL</t>
  </si>
  <si>
    <t>UNION SCHOOL</t>
  </si>
  <si>
    <t>MONROE CENTRAL SCHOOL</t>
  </si>
  <si>
    <t>RANDOLPH EASTERN SCHOOL</t>
  </si>
  <si>
    <t>RANDOLPH CENTRAL SCHOOL</t>
  </si>
  <si>
    <t>RANDOLPH SOUTHERN SCHOOL</t>
  </si>
  <si>
    <t>GREATER RANDOLPH INTERLOCAL</t>
  </si>
  <si>
    <t>JAC CEN DEL CONS SCHOOL</t>
  </si>
  <si>
    <t>SOUTHEASTERN CAREER CENTER</t>
  </si>
  <si>
    <t>RUSH COUNTY SCHOOLS</t>
  </si>
  <si>
    <t>SCHOOL CITY OF MISHAWAKA</t>
  </si>
  <si>
    <t>PENN HARRIS MADISON SCHOOL</t>
  </si>
  <si>
    <t>UNION-NORTH UNITED SCHOOL</t>
  </si>
  <si>
    <t>JOHN GLENN SCHOOL CORP</t>
  </si>
  <si>
    <t>SCOTT COUNTY SCHOOL DIST 2</t>
  </si>
  <si>
    <t>NORTHWESTERN CONS SCHOOL</t>
  </si>
  <si>
    <t>SOUTHWESTERN CONS SCHOOL DIST</t>
  </si>
  <si>
    <t>SHELBYVILLE CENTRAL SCHOOLS</t>
  </si>
  <si>
    <t>SHELBY EASTERN SCHOOLS</t>
  </si>
  <si>
    <t>BLUE RIVER CAREER PROGRAMS</t>
  </si>
  <si>
    <t>NORTH SPENCER CO SCHOOL CORP</t>
  </si>
  <si>
    <t>OREGON DAVIS SCHOOL</t>
  </si>
  <si>
    <t>N JUDSON-SAN PIERRE SCHOOL</t>
  </si>
  <si>
    <t>MSD OF STEUBEN COUNTY</t>
  </si>
  <si>
    <t>FREMONT COMMUNITY SCHOOLS</t>
  </si>
  <si>
    <t>SOUTHWEST SCHOOL CORP</t>
  </si>
  <si>
    <t>NORTHEAST SCHOOL CORP</t>
  </si>
  <si>
    <t>TIPPECANOE SCHOOL</t>
  </si>
  <si>
    <t>LAFAYETTE SCHOOL CORP</t>
  </si>
  <si>
    <t>TRI-CENTRAL COMMUNITY SCHOOLS</t>
  </si>
  <si>
    <t>UNION COUNTY COLLEGE CORNER JSD</t>
  </si>
  <si>
    <t>EVANSVILLE-VANDERBURGH SCHOOL COP</t>
  </si>
  <si>
    <t>VIGO COUNTY SCHOOL CORP</t>
  </si>
  <si>
    <t>COVERED BRIDGE SPEC ED</t>
  </si>
  <si>
    <t>MSD OF WABASH COUNTY</t>
  </si>
  <si>
    <t>WABASH CITY SCHOOLS</t>
  </si>
  <si>
    <t>MSD OF WARREN COUNTY</t>
  </si>
  <si>
    <t>WARRICK COUNTY SCHOOL CORP</t>
  </si>
  <si>
    <t>EAST WASHINGTON SCHOOL</t>
  </si>
  <si>
    <t>WEST WASHINGTON SCHOOL CORP</t>
  </si>
  <si>
    <t>NORTHEASTERN WAYNE SCHOOLS</t>
  </si>
  <si>
    <t>WESTERN WAYNE SCHOOLS</t>
  </si>
  <si>
    <t>BLUFFTON-HARRISON MSD</t>
  </si>
  <si>
    <t>NORTH WHITE SCHOOL</t>
  </si>
  <si>
    <t>TWIN LAKES SCHOOL CORP</t>
  </si>
  <si>
    <t>TRI COUNTY SCHOOL</t>
  </si>
  <si>
    <t>FRONTIER SCHOOL</t>
  </si>
  <si>
    <t>SMITH GREEN SCHOOLS</t>
  </si>
  <si>
    <t>WHITLEY COUNTY CONS</t>
  </si>
  <si>
    <t>ADAMS CENTRAL COMM SCHOOLS</t>
  </si>
  <si>
    <t>NORTH ADAMS COMM SCHOOLS</t>
  </si>
  <si>
    <t>FORT WAYNE COMM SCHOOLS</t>
  </si>
  <si>
    <t>EAST ALLEN CO SCHOOLS</t>
  </si>
  <si>
    <t>NORTHWEST ALLEN CO SCHOOLS</t>
  </si>
  <si>
    <t>MSD OF SOUTHWEST ALLEN CO</t>
  </si>
  <si>
    <t>BENTON COMM SCHOOL CORP</t>
  </si>
  <si>
    <t>BLACKFORD CO SCHOOLS</t>
  </si>
  <si>
    <t>ZIONSVILLE COMM SCHOOLS</t>
  </si>
  <si>
    <t>LEBANON COMM SCHOOL CORP</t>
  </si>
  <si>
    <t>WESTERN BOONE COMM SCHOOL CORP</t>
  </si>
  <si>
    <t>BROWN CO SCHOOL CORP</t>
  </si>
  <si>
    <t>CARROLL CONS SCHOOL CORP</t>
  </si>
  <si>
    <t>DELPHI COMM SCHOOL CORP</t>
  </si>
  <si>
    <t>SOUTHEASTERN</t>
  </si>
  <si>
    <t>WEST CLARK COMM SCHOOLS</t>
  </si>
  <si>
    <t>CLARKSVILLE COMM SCHOOL CORP</t>
  </si>
  <si>
    <t>GREATER CLARK CO SCHOOLS</t>
  </si>
  <si>
    <t>WILSON EDUCATION CENTER</t>
  </si>
  <si>
    <t>CLINTON PRAIRIE SCHOOL</t>
  </si>
  <si>
    <t>COMM SCHOOLS OF FRANKFORT</t>
  </si>
  <si>
    <t>CRAWFORD COUNTY COMM SCHOOL CORP</t>
  </si>
  <si>
    <t>WASHINGTON COMM SCHOOLS</t>
  </si>
  <si>
    <t>BARR REEVE COMM SCHOOLS</t>
  </si>
  <si>
    <t>NORTH DAVIESS CO COMM SCHOOLS</t>
  </si>
  <si>
    <t>TWIN RIVERS VOCATIONAL</t>
  </si>
  <si>
    <t>LAWRENCEBURG COMM SCHOOLS CORP</t>
  </si>
  <si>
    <t>SOUTH DEARBORN COMM SCHOOLS CORP</t>
  </si>
  <si>
    <t>DECATUR CO COMM SCHOOLS</t>
  </si>
  <si>
    <t>DEKALB CO EASTERN COMM SCHOOL DIST</t>
  </si>
  <si>
    <t>GARRETT KEYSER BUTLER COMM SCHOOLS</t>
  </si>
  <si>
    <t>COWAN COMM SCHOOL CORP</t>
  </si>
  <si>
    <t>DALEVILLE COMM SCHOOLS</t>
  </si>
  <si>
    <t>MUNCIE COMM SCHOOLS</t>
  </si>
  <si>
    <t>LIBERTY PERRY COMM SCHOOL</t>
  </si>
  <si>
    <t>DELAWARE COMM SCHOOL</t>
  </si>
  <si>
    <t>SOUTHEAST DUBOIS CO SCHOOL</t>
  </si>
  <si>
    <t>SOUTHWEST DUBOIS CO SCHOOL</t>
  </si>
  <si>
    <t>NORTHEAST DUBOIS CO SCHOOL</t>
  </si>
  <si>
    <t>CONCORD COMM SCHOOLS</t>
  </si>
  <si>
    <t>GOSHEN COMM SCHOOLS</t>
  </si>
  <si>
    <t>MIDDLEBURY COMM SCHOOLS</t>
  </si>
  <si>
    <t>FAIRFIELD COMM SCHOOLS</t>
  </si>
  <si>
    <t>ELKHART COMM SCHOOLS</t>
  </si>
  <si>
    <t>FAYETTE CO SCHOOL</t>
  </si>
  <si>
    <t>EAST CENTRAL INDIANA EDUC SERVICE CENTER INC.</t>
  </si>
  <si>
    <t>NEW ALBANY-FLOYD CO CONS SCHOOLS</t>
  </si>
  <si>
    <t>ATTICA CONS SCHOOL CORP</t>
  </si>
  <si>
    <t>COVINGTON COMM SCHOOL CORP</t>
  </si>
  <si>
    <t>FRANKLIN CO COMM SCHOOL</t>
  </si>
  <si>
    <t>GIBSON-PIKE-WARRICK CORP</t>
  </si>
  <si>
    <t>MISSISSINEWA COMM SCHOOL CORP</t>
  </si>
  <si>
    <t>EASTBROOK COMM SCHOOL CORP</t>
  </si>
  <si>
    <t>GREENE COUNTY SCHOOLS</t>
  </si>
  <si>
    <t>COMMUNITY SCHOOL CORP OF EASTERN HANCOCK CO</t>
  </si>
  <si>
    <t>GREENFIELD CENTRAL COMM SCHOOLS</t>
  </si>
  <si>
    <t>MT VERNON COMM SCHOOL CORP</t>
  </si>
  <si>
    <t>SOUTHERN HANCOCK CO COMM SCHOOLS</t>
  </si>
  <si>
    <t>HANCOCK MADISON SHELBY EDUCATIONAL SERVICES</t>
  </si>
  <si>
    <t>SOUTH HARRISON COMM SCHOOLS</t>
  </si>
  <si>
    <t>N HARRISON COMM SCHOOL CORP</t>
  </si>
  <si>
    <t>AVON COMM SCHOOL CORP</t>
  </si>
  <si>
    <t>DANVILLE COMM SCHOOL</t>
  </si>
  <si>
    <t>PLAINFIELD COMM SCHOOL CORP</t>
  </si>
  <si>
    <t>MILL CREEK COMM SCHOOL</t>
  </si>
  <si>
    <t>NEW CASTLE COMM SCHOOL</t>
  </si>
  <si>
    <t>NORTHWESTERN SCHOOL</t>
  </si>
  <si>
    <t>TAYLOR COMM SCHOOLS CORP</t>
  </si>
  <si>
    <t>HUNTINGTON CO COMM SCHOOL CORP</t>
  </si>
  <si>
    <t>MEDORA COMM SCHOOL CORP</t>
  </si>
  <si>
    <t>CROTHERSVILLE COMM SCHOOLS</t>
  </si>
  <si>
    <t>SEYMOUR COMM SCHOOLS</t>
  </si>
  <si>
    <t>BROWNSTOWN CENTRAL COMM SCHOOLS</t>
  </si>
  <si>
    <t>SOUTHWESTERN JEFFERSON CO SCHOOLS</t>
  </si>
  <si>
    <t>MADISON AREA EDUC SPEC SERV UNIT</t>
  </si>
  <si>
    <t>JENNINGS CO SCHOOLS CORP</t>
  </si>
  <si>
    <t>CENTER GROVE COMM SCHOOL</t>
  </si>
  <si>
    <t>FRANKLIN COMM SCHOOL</t>
  </si>
  <si>
    <t>CENTRAL NINE CAREER CENTER</t>
  </si>
  <si>
    <t>CLARK PLEASANT COMMUNITY SCHOOL CORP</t>
  </si>
  <si>
    <t>SPECIAL SERV JOHNSON CO SCHOOLS</t>
  </si>
  <si>
    <t>SOUTH KNOX SCHOOL</t>
  </si>
  <si>
    <t>WARSAW COMM SCHOOLS</t>
  </si>
  <si>
    <t>WAWASEE COMM SCHOOL</t>
  </si>
  <si>
    <t>WHITKO COMM SCHOOL</t>
  </si>
  <si>
    <t>PRAIRIE HEIGHTS COMM SCHOOL</t>
  </si>
  <si>
    <t>RIVER FOREST COMM SCHOOL CORP</t>
  </si>
  <si>
    <t>LAKE STATION COMM SCHOOLS</t>
  </si>
  <si>
    <t>MERRILLVILLE COMM SCHOOL CORP</t>
  </si>
  <si>
    <t>GARY COMM SCHOOL CORP</t>
  </si>
  <si>
    <t>CROWN POINT COMM SCHOOL</t>
  </si>
  <si>
    <t>CASS TOWNSHIP SCHOOLS</t>
  </si>
  <si>
    <t>DEWEY TOWNSHIP SCHOOLS</t>
  </si>
  <si>
    <t>LAPORTE COUNTY SCHOOLS</t>
  </si>
  <si>
    <t>SOUTH CENTRAL COMM SCHOOL</t>
  </si>
  <si>
    <t>LAPORTE COUNTY AUDITOR</t>
  </si>
  <si>
    <t>LA PORTE COMM SCHOOL CORP</t>
  </si>
  <si>
    <t>ALEXANDRIA COMM SCHOOL CORP</t>
  </si>
  <si>
    <t>ANDERSON COMM SCHOOL CORP</t>
  </si>
  <si>
    <t>ELWOOD COMM SCHOOL</t>
  </si>
  <si>
    <t>SOUTH MADISON COMMUNITY SCHOOL CORP</t>
  </si>
  <si>
    <t>MSD OF DECATUR TOWNSHIP</t>
  </si>
  <si>
    <t>MSD OF WARREN TOWNSHIP</t>
  </si>
  <si>
    <t>FRANKLIN TOWNSHIP COMM SCHOOL CORP</t>
  </si>
  <si>
    <t>INDIANA VIRTUAL PILO SCHOOL</t>
  </si>
  <si>
    <t>CULVER COMM SCHOOL</t>
  </si>
  <si>
    <t>ARGOS COMM SCHOOLS</t>
  </si>
  <si>
    <t>PLYMOUTH COMM SCHOOLS CORP</t>
  </si>
  <si>
    <t>LOOGOOTEE COMM SCHOOL CORP</t>
  </si>
  <si>
    <t>NORTH MIAMI COMM SCHOOLS</t>
  </si>
  <si>
    <t>PERU COMM SCHOOLS</t>
  </si>
  <si>
    <t>MONROE CO COMM SCHOOL CORP</t>
  </si>
  <si>
    <t>CRAWFORDSVILLE COMM SCHOOL CORP</t>
  </si>
  <si>
    <t>SOUTH MONTGOMERY COMM SCHOOL</t>
  </si>
  <si>
    <t>NORTH MONTGOMERY COMM SCHOOL</t>
  </si>
  <si>
    <t>MORGAN COUNTY AUDITOR</t>
  </si>
  <si>
    <t>CENTRAL NOBLE COMM SCHOOL</t>
  </si>
  <si>
    <t>RISING SUN OHIO CO COMM SCHOOL</t>
  </si>
  <si>
    <t>SPRINGS VALLEY COMM SCHOOL</t>
  </si>
  <si>
    <t>ORLEANS COMM SCHOOLS</t>
  </si>
  <si>
    <t>PAOLI COMM SCHOOL</t>
  </si>
  <si>
    <t>LOST RIVER CAREER COOPERATIVE</t>
  </si>
  <si>
    <t>SPENCER OWEN COMM SCHOOLS</t>
  </si>
  <si>
    <t>SOUTHWEST PARKE COMM SCHOOL CORP</t>
  </si>
  <si>
    <t>TURKEY RUN COMM SCHOOL CORP</t>
  </si>
  <si>
    <t>ROCKVILLE COMMUNITY SCHOOLS</t>
  </si>
  <si>
    <t>CANNELTON CITY SCHS</t>
  </si>
  <si>
    <t>TELL CITY TROY TWP SCHOOL CORP</t>
  </si>
  <si>
    <t>PERRY CENTRAL COMM SCHOOL</t>
  </si>
  <si>
    <t>PLEASANT TOWNSHIP SCHOOLS</t>
  </si>
  <si>
    <t>UNION TOWNSHIP SCHOOL</t>
  </si>
  <si>
    <t>WASHINGTON TOWNSHIP SCHOOLS</t>
  </si>
  <si>
    <t>VALPARAISO COMM SCHOOLS</t>
  </si>
  <si>
    <t>PORTER COUNTY AUDITOR</t>
  </si>
  <si>
    <t>MSD OF NORTH POSEY CO</t>
  </si>
  <si>
    <t>EASTERN PULASKI COMM SCHOOL</t>
  </si>
  <si>
    <t>CLOVERDALE COMMUNITY SCHOOLS</t>
  </si>
  <si>
    <t>GREENCASTLE COMM SCHOOLS CORP</t>
  </si>
  <si>
    <t>SOUTH PUTNAM COMM SCHOOLS</t>
  </si>
  <si>
    <t>N PUTNAM COMM SCHOOL CORP</t>
  </si>
  <si>
    <t>WEST CENTRAL INDIANA EDU SER CENTER</t>
  </si>
  <si>
    <t>BATESVILLE COMM SCHOOL</t>
  </si>
  <si>
    <t>MILAN COMM SCHOOL</t>
  </si>
  <si>
    <t>SUNMAN DEARBORN COMM SCHOOL</t>
  </si>
  <si>
    <t>SOUTH RIPLEY COMM SCHOOL</t>
  </si>
  <si>
    <t>INDIANA VIRTUAL ACADEMY</t>
  </si>
  <si>
    <t>RIPLEY-OHIO-DEARBORN SPECIAL ED COOP</t>
  </si>
  <si>
    <t>SOUTH BEND COMM SCHOOL CORP</t>
  </si>
  <si>
    <t>SCOTT CO SCHOOL DIST 1</t>
  </si>
  <si>
    <t>BLUE RIVER SPECIAL EDUCATION COOPERATIVE</t>
  </si>
  <si>
    <t>S SPENCER COUNTY SCHOOL CORP</t>
  </si>
  <si>
    <t>KNOX COMM SCHOOL CORP</t>
  </si>
  <si>
    <t>HAMILTON COMM SCHOOLS</t>
  </si>
  <si>
    <t>SWITZERLAND CO SCHOOL</t>
  </si>
  <si>
    <t>WEST LAFAYETTE COMM SCHOOL CORP</t>
  </si>
  <si>
    <t>TIPTON COMM SCHOOL</t>
  </si>
  <si>
    <t>NORTH VERMILLION COMM SCHOOL</t>
  </si>
  <si>
    <t>SOUTH VERMILLION COMM SCHOOL</t>
  </si>
  <si>
    <t>MANCHESTER COMM SCHOOLS</t>
  </si>
  <si>
    <t>HEARTLAND CAREER CENTER</t>
  </si>
  <si>
    <t>SALEM COMM SCHOOLS</t>
  </si>
  <si>
    <t>SOUTH CENTRAL AREA SPECIAL EDUCATION COOP</t>
  </si>
  <si>
    <t>CENTERVILLE ABINGTON COMM SCHOOLS</t>
  </si>
  <si>
    <t>NETTLE CREEK SCHOOL</t>
  </si>
  <si>
    <t>RICHMOND COMM SCHOOL</t>
  </si>
  <si>
    <t>NORTHERN WELLS COMM SCHOOLS</t>
  </si>
  <si>
    <t>SOUTHERN WELLS COMM SCHOOLS</t>
  </si>
  <si>
    <t>JOINT SERVICE &amp; SUPPLY</t>
  </si>
  <si>
    <t>COMMUNITY MONTESSORI SCHOOL</t>
  </si>
  <si>
    <t>CHRISTEL HOUSE ACADEMY</t>
  </si>
  <si>
    <t>NEW COMMUNITY SCHOOL</t>
  </si>
  <si>
    <t>SIGNATURE CHARTER SCHOOL</t>
  </si>
  <si>
    <t>OPTIONS CHARTER SCHOOL CARMEL</t>
  </si>
  <si>
    <t>IRVINGTON COMMUNITY SCH</t>
  </si>
  <si>
    <t>FALL CREEK ACADEMY</t>
  </si>
  <si>
    <t>THEA BOWMAN LEADERSHIP ACADEMY</t>
  </si>
  <si>
    <t>AREA 30 CAREER CENTER</t>
  </si>
  <si>
    <t>RURAL COMMUNITY ACADEMY</t>
  </si>
  <si>
    <t>GOODWILL EDUCATION INITIATIVES, INC</t>
  </si>
  <si>
    <t>SOUTHEAST NEIGHBORHOOD SCHOOL OF EXCELLENCE INC</t>
  </si>
  <si>
    <t>CHARLES A TINDLEY ACCELERATED SCH</t>
  </si>
  <si>
    <t>JOSHUA ACADEMY INC</t>
  </si>
  <si>
    <t>INDIANAPOLIS LIGHTHOUSE CHARTER SCHOOL</t>
  </si>
  <si>
    <t>21ST CENTURY CHARTER SCHOOL AT GARY</t>
  </si>
  <si>
    <t>CHALLENGE FOUNDATION ACADEMY</t>
  </si>
  <si>
    <t>HOPE ACADEMY</t>
  </si>
  <si>
    <t>MONUMENT LIGHTHOUSE CHARTER SCHOOL</t>
  </si>
  <si>
    <t>HERRON HIGH SCHOOL</t>
  </si>
  <si>
    <t>LAWRENCE EARLY COLLEGE HIGH SCHOOL</t>
  </si>
  <si>
    <t>HOOSIER ACADEMY INC - INDIANAPOLIS</t>
  </si>
  <si>
    <t>ANDERSON PREPARATORY ACADEMY</t>
  </si>
  <si>
    <t>XAVIER SCHOOL OF EXCELLENCE</t>
  </si>
  <si>
    <t>THE BLOOMINGTON PROJECT SCHOOL</t>
  </si>
  <si>
    <t>PARAMOUNT SCHOOL OF EXCELLENCE</t>
  </si>
  <si>
    <t>HAMMOND URBAN ACADEMY</t>
  </si>
  <si>
    <t>SOUTH BEND CAREER ACADEMY</t>
  </si>
  <si>
    <t>GARY MIDDLE COLLEGE INC</t>
  </si>
  <si>
    <t>CHARTER SCHOOLS USA</t>
  </si>
  <si>
    <t>THEODORE ROOSEVELT COLLEGE AND CAREER ACADEMY</t>
  </si>
  <si>
    <t>ED POWER</t>
  </si>
  <si>
    <t>THUR GOOD MARSHALL LEADERSHIP ACADEMY</t>
  </si>
  <si>
    <t>PHALEN LEADERSHIP ACADEMIES</t>
  </si>
  <si>
    <t>DUGGER UNION COMMUNITY SCHOOLS</t>
  </si>
  <si>
    <t>ALTERNATIVE IN EDUCATION</t>
  </si>
  <si>
    <t>PHALEN LEADERSHIP ACADEMIES FRANCIS SCOTT KEY #103</t>
  </si>
  <si>
    <t>GOODWILL LEADS INC</t>
  </si>
  <si>
    <t>ENLACE ACADEMY</t>
  </si>
  <si>
    <t>SEVEN OAKS CLASSICAL SCHOOLS</t>
  </si>
  <si>
    <t>COLD SPRING SCHOOL INC</t>
  </si>
  <si>
    <t>INSIGHT SCHOOL OF INDIANA</t>
  </si>
  <si>
    <t>EDISON SCHOOL OF THE ARTS</t>
  </si>
  <si>
    <t>NEAR EAST SIDE INNOVATION SCHOOL CORP</t>
  </si>
  <si>
    <t>STATE AUDITOR</t>
  </si>
  <si>
    <t>BALL STATE UNIVERSITY</t>
  </si>
  <si>
    <t>INDIANA STATE UNIVERSITY</t>
  </si>
  <si>
    <t>VINCENNES UNIVERSITY</t>
  </si>
  <si>
    <t>UNIVERSITY OF SOUTHERN INDIANA</t>
  </si>
  <si>
    <t>REGION 8 EDUCATION SERVICE CENTER</t>
  </si>
  <si>
    <t>AMERICAN QUALITY SCHOOLS</t>
  </si>
  <si>
    <t>NORTHWEST INDIANA EDUCATIONAL SERVICE CENTER</t>
  </si>
  <si>
    <t>FLANNER HOUSE ELEMENTARY SCH</t>
  </si>
  <si>
    <t>VERITAS ACADEMY</t>
  </si>
  <si>
    <t>KIPP INDIANAPOLIS COLLEGE PREP</t>
  </si>
  <si>
    <t>FOUNTAIN SQUARE ACADEMY</t>
  </si>
  <si>
    <t>KENNETH A. CHRISTMON STEMM ACADEMY</t>
  </si>
  <si>
    <t>EAST CHICAGO URBAN ENTERPRISE ACADEMY</t>
  </si>
  <si>
    <t>KIPP LEAD COLLEGE PREP CHARTER SCHOOL</t>
  </si>
  <si>
    <t>OPTIONS CHARTER SCHOOL NOBLESVILLE</t>
  </si>
  <si>
    <t>HOOSIER ACADEMY MUNCIE INC</t>
  </si>
  <si>
    <t>RENAISSANCE ACADEMY</t>
  </si>
  <si>
    <t>INDIANA MATH AND SCIENCE ACADEMY</t>
  </si>
  <si>
    <t>BEACON ACADEMY INC</t>
  </si>
  <si>
    <t>INTERNATIONAL SCHOOL OF COLUMBUS</t>
  </si>
  <si>
    <t>DISCOVERY CHARTER SCHOOL</t>
  </si>
  <si>
    <t>CHARTER SCHOOL OF THE DUNES</t>
  </si>
  <si>
    <t>INDIANA MATH &amp; SCIENCE ACADEMY N</t>
  </si>
  <si>
    <t>INSPIRE ACADEMY</t>
  </si>
  <si>
    <t>INDIANA MATH &amp; SCIENCE ACADEMY SOUTH</t>
  </si>
  <si>
    <t>CARPE DIEM INDIANA INC.</t>
  </si>
  <si>
    <t>INDIANA COLLEGE PREPARATORY SCHOOL</t>
  </si>
  <si>
    <t>NORTHERN RUSH COUNTY SCHOOLS</t>
  </si>
  <si>
    <t>GLOBAL PREPARATORY ACADEMY</t>
  </si>
  <si>
    <t>STEEL CITY ACADEMY</t>
  </si>
  <si>
    <t>PURDUE POLYTECHNIC HIGH SCHOOL INDIANAPOLIS</t>
  </si>
  <si>
    <t>KINDEZI ACADEMY</t>
  </si>
  <si>
    <t>IGNITE ACHEIVEMENT ACADEMY</t>
  </si>
  <si>
    <t>OTWELL MILLER ACADEMY, INC</t>
  </si>
  <si>
    <t>CANAAN COMMUNITY ACADEMY</t>
  </si>
  <si>
    <t>INDIANA STATE TEACHERS RETIREMENT FUND</t>
  </si>
  <si>
    <t>BORDEN-HENRYVILLE SCHOOL CORPOATION</t>
  </si>
  <si>
    <t>GEIST MONTESSORI ACADEMY</t>
  </si>
  <si>
    <t>TRIVAL ACADEMY: INDY</t>
  </si>
  <si>
    <t>SUPER SCHOOL INC</t>
  </si>
  <si>
    <t>EAST CHICAGO FOCUS ACADEMY</t>
  </si>
  <si>
    <t>INVENT LEARNING HUB</t>
  </si>
  <si>
    <t>DYNAMIC MINDS ACADEMY</t>
  </si>
  <si>
    <t>GEO ACADEMIES, INC</t>
  </si>
  <si>
    <t>PHALEN LEADERSHIP ACADAMIES - LOUIS B RUSSEL JR #48</t>
  </si>
  <si>
    <t>SANKOFA SCHOOL OF SUCCESS, INC,</t>
  </si>
  <si>
    <t>INDIANAPOLIS (INDY) STEAM ACADEMY</t>
  </si>
  <si>
    <t>VANGUARD COLLEGIATE OF INDIANAPOLIS</t>
  </si>
  <si>
    <t>JESSE SCHOOL PROGRAM</t>
  </si>
  <si>
    <t>MORGAN TOWNSHIP SCHOOLS</t>
  </si>
  <si>
    <t>NEW HARMONY TOWN &amp; TWP CONS SCHOOL</t>
  </si>
  <si>
    <t>POSEY COUNTY AUDITOR</t>
  </si>
  <si>
    <t>ADAM WELLS SPECIAL SERVICES COOPERATIVE</t>
  </si>
  <si>
    <t>WHITLEY COUNTY AUDITOR</t>
  </si>
  <si>
    <t>PRIVASTE SCHOOL TEACHING SERVICE</t>
  </si>
  <si>
    <t>INDIANA HIGH SCHOOL ATHLETIC ASSOCIATION</t>
  </si>
  <si>
    <t xml:space="preserve">INDIANA STATE TEACHERS ASSOCIATION </t>
  </si>
  <si>
    <t>INDIANA RETIRED TEACHERS ASSOCIATION</t>
  </si>
  <si>
    <t>INDIANA ASSOCIATION OF SCHOOL PRINCIPALS</t>
  </si>
  <si>
    <t>INDIANA FEDERATION OF TEACHERS</t>
  </si>
  <si>
    <t>INDIANAPOLIS EDUCATION ASSOCIATION</t>
  </si>
  <si>
    <t>.</t>
  </si>
  <si>
    <t/>
  </si>
  <si>
    <t>GASB 67 Figures</t>
  </si>
  <si>
    <t>District Contributions</t>
  </si>
  <si>
    <t>Check</t>
  </si>
  <si>
    <t>district_contributions</t>
  </si>
  <si>
    <t>state_contributions</t>
  </si>
  <si>
    <t>total_contributions</t>
  </si>
  <si>
    <t>LEAID</t>
  </si>
  <si>
    <t>LEAID Match</t>
  </si>
  <si>
    <t>district_name</t>
  </si>
  <si>
    <t>State</t>
  </si>
  <si>
    <t>Indiana</t>
  </si>
  <si>
    <t>state_abv</t>
  </si>
  <si>
    <t>IN</t>
  </si>
  <si>
    <t>plan</t>
  </si>
  <si>
    <t>Teachers' Retirement Fund 1996 Account &amp; Pre-1996</t>
  </si>
  <si>
    <t>Teachers' Retirement Fund 1996 Account &amp; Pre-1997</t>
  </si>
  <si>
    <t>Teachers' Retirement Fund 1996 Account &amp; Pre-1998</t>
  </si>
  <si>
    <t>Teachers' Retirement Fund 1996 Account &amp; Pre-1999</t>
  </si>
  <si>
    <t>Teachers' Retirement Fund 1996 Account &amp; Pre-2000</t>
  </si>
  <si>
    <t>Teachers' Retirement Fund 1996 Account &amp; Pre-2001</t>
  </si>
  <si>
    <t>Teachers' Retirement Fund 1996 Account &amp; Pre-2002</t>
  </si>
  <si>
    <t>Teachers' Retirement Fund 1996 Account &amp; Pre-2003</t>
  </si>
  <si>
    <t>Teachers' Retirement Fund 1996 Account &amp; Pre-2004</t>
  </si>
  <si>
    <t>Teachers' Retirement Fund 1996 Account &amp; Pre-2005</t>
  </si>
  <si>
    <t>Teachers' Retirement Fund 1996 Account &amp; Pre-2006</t>
  </si>
  <si>
    <t>Teachers' Retirement Fund 1996 Account &amp; Pre-2007</t>
  </si>
  <si>
    <t>Teachers' Retirement Fund 1996 Account &amp; Pre-2008</t>
  </si>
  <si>
    <t>Teachers' Retirement Fund 1996 Account &amp; Pre-2009</t>
  </si>
  <si>
    <t>Teachers' Retirement Fund 1996 Account &amp; Pre-2010</t>
  </si>
  <si>
    <t>Teachers' Retirement Fund 1996 Account &amp; Pre-2011</t>
  </si>
  <si>
    <t>Teachers' Retirement Fund 1996 Account &amp; Pre-2012</t>
  </si>
  <si>
    <t>Teachers' Retirement Fund 1996 Account &amp; Pre-2013</t>
  </si>
  <si>
    <t>Teachers' Retirement Fund 1996 Account &amp; Pre-2014</t>
  </si>
  <si>
    <t>Teachers' Retirement Fund 1996 Account &amp; Pre-2015</t>
  </si>
  <si>
    <t>Teachers' Retirement Fund 1996 Account &amp; Pre-2016</t>
  </si>
  <si>
    <t>Teachers' Retirement Fund 1996 Account &amp; Pre-2017</t>
  </si>
  <si>
    <t>Teachers' Retirement Fund 1996 Account &amp; Pre-2018</t>
  </si>
  <si>
    <t>Teachers' Retirement Fund 1996 Account &amp; Pre-2019</t>
  </si>
  <si>
    <t>Teachers' Retirement Fund 1996 Account &amp; Pre-2020</t>
  </si>
  <si>
    <t>Teachers' Retirement Fund 1996 Account &amp; Pre-2021</t>
  </si>
  <si>
    <t>Teachers' Retirement Fund 1996 Account &amp; Pre-2022</t>
  </si>
  <si>
    <t>Teachers' Retirement Fund 1996 Account &amp; Pre-2023</t>
  </si>
  <si>
    <t>Teachers' Retirement Fund 1996 Account &amp; Pre-2024</t>
  </si>
  <si>
    <t>Teachers' Retirement Fund 1996 Account &amp; Pre-2025</t>
  </si>
  <si>
    <t>Teachers' Retirement Fund 1996 Account &amp; Pre-2026</t>
  </si>
  <si>
    <t>Teachers' Retirement Fund 1996 Account &amp; Pre-2027</t>
  </si>
  <si>
    <t>Teachers' Retirement Fund 1996 Account &amp; Pre-2028</t>
  </si>
  <si>
    <t>Teachers' Retirement Fund 1996 Account &amp; Pre-2029</t>
  </si>
  <si>
    <t>Teachers' Retirement Fund 1996 Account &amp; Pre-2030</t>
  </si>
  <si>
    <t>Teachers' Retirement Fund 1996 Account &amp; Pre-2031</t>
  </si>
  <si>
    <t>Teachers' Retirement Fund 1996 Account &amp; Pre-2032</t>
  </si>
  <si>
    <t>Teachers' Retirement Fund 1996 Account &amp; Pre-2033</t>
  </si>
  <si>
    <t>Teachers' Retirement Fund 1996 Account &amp; Pre-2034</t>
  </si>
  <si>
    <t>Teachers' Retirement Fund 1996 Account &amp; Pre-2035</t>
  </si>
  <si>
    <t>Teachers' Retirement Fund 1996 Account &amp; Pre-2036</t>
  </si>
  <si>
    <t>Teachers' Retirement Fund 1996 Account &amp; Pre-2037</t>
  </si>
  <si>
    <t>Teachers' Retirement Fund 1996 Account &amp; Pre-2038</t>
  </si>
  <si>
    <t>Teachers' Retirement Fund 1996 Account &amp; Pre-2039</t>
  </si>
  <si>
    <t>Teachers' Retirement Fund 1996 Account &amp; Pre-2040</t>
  </si>
  <si>
    <t>Teachers' Retirement Fund 1996 Account &amp; Pre-2041</t>
  </si>
  <si>
    <t>Teachers' Retirement Fund 1996 Account &amp; Pre-2042</t>
  </si>
  <si>
    <t>Teachers' Retirement Fund 1996 Account &amp; Pre-2043</t>
  </si>
  <si>
    <t>Teachers' Retirement Fund 1996 Account &amp; Pre-2044</t>
  </si>
  <si>
    <t>Teachers' Retirement Fund 1996 Account &amp; Pre-2045</t>
  </si>
  <si>
    <t>Teachers' Retirement Fund 1996 Account &amp; Pre-2046</t>
  </si>
  <si>
    <t>Teachers' Retirement Fund 1996 Account &amp; Pre-2047</t>
  </si>
  <si>
    <t>Teachers' Retirement Fund 1996 Account &amp; Pre-2048</t>
  </si>
  <si>
    <t>Teachers' Retirement Fund 1996 Account &amp; Pre-2049</t>
  </si>
  <si>
    <t>Teachers' Retirement Fund 1996 Account &amp; Pre-2050</t>
  </si>
  <si>
    <t>Teachers' Retirement Fund 1996 Account &amp; Pre-2051</t>
  </si>
  <si>
    <t>Teachers' Retirement Fund 1996 Account &amp; Pre-2052</t>
  </si>
  <si>
    <t>Teachers' Retirement Fund 1996 Account &amp; Pre-2053</t>
  </si>
  <si>
    <t>Teachers' Retirement Fund 1996 Account &amp; Pre-2054</t>
  </si>
  <si>
    <t>Teachers' Retirement Fund 1996 Account &amp; Pre-2055</t>
  </si>
  <si>
    <t>Teachers' Retirement Fund 1996 Account &amp; Pre-2056</t>
  </si>
  <si>
    <t>Teachers' Retirement Fund 1996 Account &amp; Pre-2057</t>
  </si>
  <si>
    <t>Teachers' Retirement Fund 1996 Account &amp; Pre-2058</t>
  </si>
  <si>
    <t>Teachers' Retirement Fund 1996 Account &amp; Pre-2059</t>
  </si>
  <si>
    <t>Teachers' Retirement Fund 1996 Account &amp; Pre-2060</t>
  </si>
  <si>
    <t>Teachers' Retirement Fund 1996 Account &amp; Pre-2061</t>
  </si>
  <si>
    <t>Teachers' Retirement Fund 1996 Account &amp; Pre-2062</t>
  </si>
  <si>
    <t>Teachers' Retirement Fund 1996 Account &amp; Pre-2063</t>
  </si>
  <si>
    <t>Teachers' Retirement Fund 1996 Account &amp; Pre-2064</t>
  </si>
  <si>
    <t>Teachers' Retirement Fund 1996 Account &amp; Pre-2065</t>
  </si>
  <si>
    <t>Teachers' Retirement Fund 1996 Account &amp; Pre-2066</t>
  </si>
  <si>
    <t>Teachers' Retirement Fund 1996 Account &amp; Pre-2067</t>
  </si>
  <si>
    <t>Teachers' Retirement Fund 1996 Account &amp; Pre-2068</t>
  </si>
  <si>
    <t>Teachers' Retirement Fund 1996 Account &amp; Pre-2069</t>
  </si>
  <si>
    <t>Teachers' Retirement Fund 1996 Account &amp; Pre-2070</t>
  </si>
  <si>
    <t>Teachers' Retirement Fund 1996 Account &amp; Pre-2071</t>
  </si>
  <si>
    <t>Teachers' Retirement Fund 1996 Account &amp; Pre-2072</t>
  </si>
  <si>
    <t>Teachers' Retirement Fund 1996 Account &amp; Pre-2073</t>
  </si>
  <si>
    <t>Teachers' Retirement Fund 1996 Account &amp; Pre-2074</t>
  </si>
  <si>
    <t>Teachers' Retirement Fund 1996 Account &amp; Pre-2075</t>
  </si>
  <si>
    <t>Teachers' Retirement Fund 1996 Account &amp; Pre-2076</t>
  </si>
  <si>
    <t>Teachers' Retirement Fund 1996 Account &amp; Pre-2077</t>
  </si>
  <si>
    <t>Teachers' Retirement Fund 1996 Account &amp; Pre-2078</t>
  </si>
  <si>
    <t>Teachers' Retirement Fund 1996 Account &amp; Pre-2079</t>
  </si>
  <si>
    <t>Teachers' Retirement Fund 1996 Account &amp; Pre-2080</t>
  </si>
  <si>
    <t>Teachers' Retirement Fund 1996 Account &amp; Pre-2081</t>
  </si>
  <si>
    <t>Teachers' Retirement Fund 1996 Account &amp; Pre-2082</t>
  </si>
  <si>
    <t>Teachers' Retirement Fund 1996 Account &amp; Pre-2083</t>
  </si>
  <si>
    <t>Teachers' Retirement Fund 1996 Account &amp; Pre-2084</t>
  </si>
  <si>
    <t>Teachers' Retirement Fund 1996 Account &amp; Pre-2085</t>
  </si>
  <si>
    <t>Teachers' Retirement Fund 1996 Account &amp; Pre-2086</t>
  </si>
  <si>
    <t>Teachers' Retirement Fund 1996 Account &amp; Pre-2087</t>
  </si>
  <si>
    <t>Teachers' Retirement Fund 1996 Account &amp; Pre-2088</t>
  </si>
  <si>
    <t>Teachers' Retirement Fund 1996 Account &amp; Pre-2089</t>
  </si>
  <si>
    <t>Teachers' Retirement Fund 1996 Account &amp; Pre-2090</t>
  </si>
  <si>
    <t>Teachers' Retirement Fund 1996 Account &amp; Pre-2091</t>
  </si>
  <si>
    <t>Teachers' Retirement Fund 1996 Account &amp; Pre-2092</t>
  </si>
  <si>
    <t>Teachers' Retirement Fund 1996 Account &amp; Pre-2093</t>
  </si>
  <si>
    <t>Teachers' Retirement Fund 1996 Account &amp; Pre-2094</t>
  </si>
  <si>
    <t>Teachers' Retirement Fund 1996 Account &amp; Pre-2095</t>
  </si>
  <si>
    <t>Teachers' Retirement Fund 1996 Account &amp; Pre-2096</t>
  </si>
  <si>
    <t>Teachers' Retirement Fund 1996 Account &amp; Pre-2097</t>
  </si>
  <si>
    <t>Teachers' Retirement Fund 1996 Account &amp; Pre-2098</t>
  </si>
  <si>
    <t>Teachers' Retirement Fund 1996 Account &amp; Pre-2099</t>
  </si>
  <si>
    <t>Teachers' Retirement Fund 1996 Account &amp; Pre-2100</t>
  </si>
  <si>
    <t>Teachers' Retirement Fund 1996 Account &amp; Pre-2101</t>
  </si>
  <si>
    <t>Teachers' Retirement Fund 1996 Account &amp; Pre-2102</t>
  </si>
  <si>
    <t>Teachers' Retirement Fund 1996 Account &amp; Pre-2103</t>
  </si>
  <si>
    <t>Teachers' Retirement Fund 1996 Account &amp; Pre-2104</t>
  </si>
  <si>
    <t>Teachers' Retirement Fund 1996 Account &amp; Pre-2105</t>
  </si>
  <si>
    <t>Teachers' Retirement Fund 1996 Account &amp; Pre-2106</t>
  </si>
  <si>
    <t>Teachers' Retirement Fund 1996 Account &amp; Pre-2107</t>
  </si>
  <si>
    <t>Teachers' Retirement Fund 1996 Account &amp; Pre-2108</t>
  </si>
  <si>
    <t>Teachers' Retirement Fund 1996 Account &amp; Pre-2109</t>
  </si>
  <si>
    <t>Teachers' Retirement Fund 1996 Account &amp; Pre-2110</t>
  </si>
  <si>
    <t>Teachers' Retirement Fund 1996 Account &amp; Pre-2111</t>
  </si>
  <si>
    <t>Teachers' Retirement Fund 1996 Account &amp; Pre-2112</t>
  </si>
  <si>
    <t>Teachers' Retirement Fund 1996 Account &amp; Pre-2113</t>
  </si>
  <si>
    <t>Teachers' Retirement Fund 1996 Account &amp; Pre-2114</t>
  </si>
  <si>
    <t>Teachers' Retirement Fund 1996 Account &amp; Pre-2115</t>
  </si>
  <si>
    <t>Teachers' Retirement Fund 1996 Account &amp; Pre-2116</t>
  </si>
  <si>
    <t>Teachers' Retirement Fund 1996 Account &amp; Pre-2117</t>
  </si>
  <si>
    <t>Teachers' Retirement Fund 1996 Account &amp; Pre-2118</t>
  </si>
  <si>
    <t>Teachers' Retirement Fund 1996 Account &amp; Pre-2119</t>
  </si>
  <si>
    <t>Teachers' Retirement Fund 1996 Account &amp; Pre-2120</t>
  </si>
  <si>
    <t>Teachers' Retirement Fund 1996 Account &amp; Pre-2121</t>
  </si>
  <si>
    <t>Teachers' Retirement Fund 1996 Account &amp; Pre-2122</t>
  </si>
  <si>
    <t>Teachers' Retirement Fund 1996 Account &amp; Pre-2123</t>
  </si>
  <si>
    <t>Teachers' Retirement Fund 1996 Account &amp; Pre-2124</t>
  </si>
  <si>
    <t>Teachers' Retirement Fund 1996 Account &amp; Pre-2125</t>
  </si>
  <si>
    <t>Teachers' Retirement Fund 1996 Account &amp; Pre-2126</t>
  </si>
  <si>
    <t>Teachers' Retirement Fund 1996 Account &amp; Pre-2127</t>
  </si>
  <si>
    <t>Teachers' Retirement Fund 1996 Account &amp; Pre-2128</t>
  </si>
  <si>
    <t>Teachers' Retirement Fund 1996 Account &amp; Pre-2129</t>
  </si>
  <si>
    <t>Teachers' Retirement Fund 1996 Account &amp; Pre-2130</t>
  </si>
  <si>
    <t>Teachers' Retirement Fund 1996 Account &amp; Pre-2131</t>
  </si>
  <si>
    <t>Teachers' Retirement Fund 1996 Account &amp; Pre-2132</t>
  </si>
  <si>
    <t>Teachers' Retirement Fund 1996 Account &amp; Pre-2133</t>
  </si>
  <si>
    <t>Teachers' Retirement Fund 1996 Account &amp; Pre-2134</t>
  </si>
  <si>
    <t>Teachers' Retirement Fund 1996 Account &amp; Pre-2135</t>
  </si>
  <si>
    <t>Teachers' Retirement Fund 1996 Account &amp; Pre-2136</t>
  </si>
  <si>
    <t>Teachers' Retirement Fund 1996 Account &amp; Pre-2137</t>
  </si>
  <si>
    <t>Teachers' Retirement Fund 1996 Account &amp; Pre-2138</t>
  </si>
  <si>
    <t>Teachers' Retirement Fund 1996 Account &amp; Pre-2139</t>
  </si>
  <si>
    <t>Teachers' Retirement Fund 1996 Account &amp; Pre-2140</t>
  </si>
  <si>
    <t>Teachers' Retirement Fund 1996 Account &amp; Pre-2141</t>
  </si>
  <si>
    <t>Teachers' Retirement Fund 1996 Account &amp; Pre-2142</t>
  </si>
  <si>
    <t>Teachers' Retirement Fund 1996 Account &amp; Pre-2143</t>
  </si>
  <si>
    <t>Teachers' Retirement Fund 1996 Account &amp; Pre-2144</t>
  </si>
  <si>
    <t>Teachers' Retirement Fund 1996 Account &amp; Pre-2145</t>
  </si>
  <si>
    <t>Teachers' Retirement Fund 1996 Account &amp; Pre-2146</t>
  </si>
  <si>
    <t>Teachers' Retirement Fund 1996 Account &amp; Pre-2147</t>
  </si>
  <si>
    <t>Teachers' Retirement Fund 1996 Account &amp; Pre-2148</t>
  </si>
  <si>
    <t>Teachers' Retirement Fund 1996 Account &amp; Pre-2149</t>
  </si>
  <si>
    <t>Teachers' Retirement Fund 1996 Account &amp; Pre-2150</t>
  </si>
  <si>
    <t>Teachers' Retirement Fund 1996 Account &amp; Pre-2151</t>
  </si>
  <si>
    <t>Teachers' Retirement Fund 1996 Account &amp; Pre-2152</t>
  </si>
  <si>
    <t>Teachers' Retirement Fund 1996 Account &amp; Pre-2153</t>
  </si>
  <si>
    <t>Teachers' Retirement Fund 1996 Account &amp; Pre-2154</t>
  </si>
  <si>
    <t>Teachers' Retirement Fund 1996 Account &amp; Pre-2155</t>
  </si>
  <si>
    <t>Teachers' Retirement Fund 1996 Account &amp; Pre-2156</t>
  </si>
  <si>
    <t>Teachers' Retirement Fund 1996 Account &amp; Pre-2157</t>
  </si>
  <si>
    <t>Teachers' Retirement Fund 1996 Account &amp; Pre-2158</t>
  </si>
  <si>
    <t>Teachers' Retirement Fund 1996 Account &amp; Pre-2159</t>
  </si>
  <si>
    <t>Teachers' Retirement Fund 1996 Account &amp; Pre-2160</t>
  </si>
  <si>
    <t>Teachers' Retirement Fund 1996 Account &amp; Pre-2161</t>
  </si>
  <si>
    <t>Teachers' Retirement Fund 1996 Account &amp; Pre-2162</t>
  </si>
  <si>
    <t>Teachers' Retirement Fund 1996 Account &amp; Pre-2163</t>
  </si>
  <si>
    <t>Teachers' Retirement Fund 1996 Account &amp; Pre-2164</t>
  </si>
  <si>
    <t>Teachers' Retirement Fund 1996 Account &amp; Pre-2165</t>
  </si>
  <si>
    <t>Teachers' Retirement Fund 1996 Account &amp; Pre-2166</t>
  </si>
  <si>
    <t>Teachers' Retirement Fund 1996 Account &amp; Pre-2167</t>
  </si>
  <si>
    <t>Teachers' Retirement Fund 1996 Account &amp; Pre-2168</t>
  </si>
  <si>
    <t>Teachers' Retirement Fund 1996 Account &amp; Pre-2169</t>
  </si>
  <si>
    <t>Teachers' Retirement Fund 1996 Account &amp; Pre-2170</t>
  </si>
  <si>
    <t>Teachers' Retirement Fund 1996 Account &amp; Pre-2171</t>
  </si>
  <si>
    <t>Teachers' Retirement Fund 1996 Account &amp; Pre-2172</t>
  </si>
  <si>
    <t>Teachers' Retirement Fund 1996 Account &amp; Pre-2173</t>
  </si>
  <si>
    <t>Teachers' Retirement Fund 1996 Account &amp; Pre-2174</t>
  </si>
  <si>
    <t>Teachers' Retirement Fund 1996 Account &amp; Pre-2175</t>
  </si>
  <si>
    <t>Teachers' Retirement Fund 1996 Account &amp; Pre-2176</t>
  </si>
  <si>
    <t>Teachers' Retirement Fund 1996 Account &amp; Pre-2177</t>
  </si>
  <si>
    <t>Teachers' Retirement Fund 1996 Account &amp; Pre-2178</t>
  </si>
  <si>
    <t>Teachers' Retirement Fund 1996 Account &amp; Pre-2179</t>
  </si>
  <si>
    <t>Teachers' Retirement Fund 1996 Account &amp; Pre-2180</t>
  </si>
  <si>
    <t>Teachers' Retirement Fund 1996 Account &amp; Pre-2181</t>
  </si>
  <si>
    <t>Teachers' Retirement Fund 1996 Account &amp; Pre-2182</t>
  </si>
  <si>
    <t>Teachers' Retirement Fund 1996 Account &amp; Pre-2183</t>
  </si>
  <si>
    <t>Teachers' Retirement Fund 1996 Account &amp; Pre-2184</t>
  </si>
  <si>
    <t>Teachers' Retirement Fund 1996 Account &amp; Pre-2185</t>
  </si>
  <si>
    <t>Teachers' Retirement Fund 1996 Account &amp; Pre-2186</t>
  </si>
  <si>
    <t>Teachers' Retirement Fund 1996 Account &amp; Pre-2187</t>
  </si>
  <si>
    <t>Teachers' Retirement Fund 1996 Account &amp; Pre-2188</t>
  </si>
  <si>
    <t>Teachers' Retirement Fund 1996 Account &amp; Pre-2189</t>
  </si>
  <si>
    <t>Teachers' Retirement Fund 1996 Account &amp; Pre-2190</t>
  </si>
  <si>
    <t>Teachers' Retirement Fund 1996 Account &amp; Pre-2191</t>
  </si>
  <si>
    <t>Teachers' Retirement Fund 1996 Account &amp; Pre-2192</t>
  </si>
  <si>
    <t>Teachers' Retirement Fund 1996 Account &amp; Pre-2193</t>
  </si>
  <si>
    <t>Teachers' Retirement Fund 1996 Account &amp; Pre-2194</t>
  </si>
  <si>
    <t>Teachers' Retirement Fund 1996 Account &amp; Pre-2195</t>
  </si>
  <si>
    <t>Teachers' Retirement Fund 1996 Account &amp; Pre-2196</t>
  </si>
  <si>
    <t>Teachers' Retirement Fund 1996 Account &amp; Pre-2197</t>
  </si>
  <si>
    <t>Teachers' Retirement Fund 1996 Account &amp; Pre-2198</t>
  </si>
  <si>
    <t>Teachers' Retirement Fund 1996 Account &amp; Pre-2199</t>
  </si>
  <si>
    <t>Teachers' Retirement Fund 1996 Account &amp; Pre-2200</t>
  </si>
  <si>
    <t>Teachers' Retirement Fund 1996 Account &amp; Pre-2201</t>
  </si>
  <si>
    <t>Teachers' Retirement Fund 1996 Account &amp; Pre-2202</t>
  </si>
  <si>
    <t>Teachers' Retirement Fund 1996 Account &amp; Pre-2203</t>
  </si>
  <si>
    <t>Teachers' Retirement Fund 1996 Account &amp; Pre-2204</t>
  </si>
  <si>
    <t>Teachers' Retirement Fund 1996 Account &amp; Pre-2205</t>
  </si>
  <si>
    <t>Teachers' Retirement Fund 1996 Account &amp; Pre-2206</t>
  </si>
  <si>
    <t>Teachers' Retirement Fund 1996 Account &amp; Pre-2207</t>
  </si>
  <si>
    <t>Teachers' Retirement Fund 1996 Account &amp; Pre-2208</t>
  </si>
  <si>
    <t>Teachers' Retirement Fund 1996 Account &amp; Pre-2209</t>
  </si>
  <si>
    <t>Teachers' Retirement Fund 1996 Account &amp; Pre-2210</t>
  </si>
  <si>
    <t>Teachers' Retirement Fund 1996 Account &amp; Pre-2211</t>
  </si>
  <si>
    <t>Teachers' Retirement Fund 1996 Account &amp; Pre-2212</t>
  </si>
  <si>
    <t>Teachers' Retirement Fund 1996 Account &amp; Pre-2213</t>
  </si>
  <si>
    <t>Teachers' Retirement Fund 1996 Account &amp; Pre-2214</t>
  </si>
  <si>
    <t>Teachers' Retirement Fund 1996 Account &amp; Pre-2215</t>
  </si>
  <si>
    <t>Teachers' Retirement Fund 1996 Account &amp; Pre-2216</t>
  </si>
  <si>
    <t>Teachers' Retirement Fund 1996 Account &amp; Pre-2217</t>
  </si>
  <si>
    <t>Teachers' Retirement Fund 1996 Account &amp; Pre-2218</t>
  </si>
  <si>
    <t>Teachers' Retirement Fund 1996 Account &amp; Pre-2219</t>
  </si>
  <si>
    <t>Teachers' Retirement Fund 1996 Account &amp; Pre-2220</t>
  </si>
  <si>
    <t>Teachers' Retirement Fund 1996 Account &amp; Pre-2221</t>
  </si>
  <si>
    <t>Teachers' Retirement Fund 1996 Account &amp; Pre-2222</t>
  </si>
  <si>
    <t>Teachers' Retirement Fund 1996 Account &amp; Pre-2223</t>
  </si>
  <si>
    <t>Teachers' Retirement Fund 1996 Account &amp; Pre-2224</t>
  </si>
  <si>
    <t>Teachers' Retirement Fund 1996 Account &amp; Pre-2225</t>
  </si>
  <si>
    <t>Teachers' Retirement Fund 1996 Account &amp; Pre-2226</t>
  </si>
  <si>
    <t>Teachers' Retirement Fund 1996 Account &amp; Pre-2227</t>
  </si>
  <si>
    <t>Teachers' Retirement Fund 1996 Account &amp; Pre-2228</t>
  </si>
  <si>
    <t>Teachers' Retirement Fund 1996 Account &amp; Pre-2229</t>
  </si>
  <si>
    <t>Teachers' Retirement Fund 1996 Account &amp; Pre-2230</t>
  </si>
  <si>
    <t>Teachers' Retirement Fund 1996 Account &amp; Pre-2231</t>
  </si>
  <si>
    <t>Teachers' Retirement Fund 1996 Account &amp; Pre-2232</t>
  </si>
  <si>
    <t>Teachers' Retirement Fund 1996 Account &amp; Pre-2233</t>
  </si>
  <si>
    <t>Teachers' Retirement Fund 1996 Account &amp; Pre-2234</t>
  </si>
  <si>
    <t>Teachers' Retirement Fund 1996 Account &amp; Pre-2235</t>
  </si>
  <si>
    <t>Teachers' Retirement Fund 1996 Account &amp; Pre-2236</t>
  </si>
  <si>
    <t>Teachers' Retirement Fund 1996 Account &amp; Pre-2237</t>
  </si>
  <si>
    <t>Teachers' Retirement Fund 1996 Account &amp; Pre-2238</t>
  </si>
  <si>
    <t>Teachers' Retirement Fund 1996 Account &amp; Pre-2239</t>
  </si>
  <si>
    <t>Teachers' Retirement Fund 1996 Account &amp; Pre-2240</t>
  </si>
  <si>
    <t>Teachers' Retirement Fund 1996 Account &amp; Pre-2241</t>
  </si>
  <si>
    <t>Teachers' Retirement Fund 1996 Account &amp; Pre-2242</t>
  </si>
  <si>
    <t>Teachers' Retirement Fund 1996 Account &amp; Pre-2243</t>
  </si>
  <si>
    <t>Teachers' Retirement Fund 1996 Account &amp; Pre-2244</t>
  </si>
  <si>
    <t>Teachers' Retirement Fund 1996 Account &amp; Pre-2245</t>
  </si>
  <si>
    <t>Teachers' Retirement Fund 1996 Account &amp; Pre-2246</t>
  </si>
  <si>
    <t>Teachers' Retirement Fund 1996 Account &amp; Pre-2247</t>
  </si>
  <si>
    <t>Teachers' Retirement Fund 1996 Account &amp; Pre-2248</t>
  </si>
  <si>
    <t>Teachers' Retirement Fund 1996 Account &amp; Pre-2249</t>
  </si>
  <si>
    <t>Teachers' Retirement Fund 1996 Account &amp; Pre-2250</t>
  </si>
  <si>
    <t>Teachers' Retirement Fund 1996 Account &amp; Pre-2251</t>
  </si>
  <si>
    <t>Teachers' Retirement Fund 1996 Account &amp; Pre-2252</t>
  </si>
  <si>
    <t>Teachers' Retirement Fund 1996 Account &amp; Pre-2253</t>
  </si>
  <si>
    <t>Teachers' Retirement Fund 1996 Account &amp; Pre-2254</t>
  </si>
  <si>
    <t>Teachers' Retirement Fund 1996 Account &amp; Pre-2255</t>
  </si>
  <si>
    <t>Teachers' Retirement Fund 1996 Account &amp; Pre-2256</t>
  </si>
  <si>
    <t>Teachers' Retirement Fund 1996 Account &amp; Pre-2257</t>
  </si>
  <si>
    <t>Teachers' Retirement Fund 1996 Account &amp; Pre-2258</t>
  </si>
  <si>
    <t>Teachers' Retirement Fund 1996 Account &amp; Pre-2259</t>
  </si>
  <si>
    <t>Teachers' Retirement Fund 1996 Account &amp; Pre-2260</t>
  </si>
  <si>
    <t>Teachers' Retirement Fund 1996 Account &amp; Pre-2261</t>
  </si>
  <si>
    <t>Teachers' Retirement Fund 1996 Account &amp; Pre-2262</t>
  </si>
  <si>
    <t>Teachers' Retirement Fund 1996 Account &amp; Pre-2263</t>
  </si>
  <si>
    <t>Teachers' Retirement Fund 1996 Account &amp; Pre-2264</t>
  </si>
  <si>
    <t>Teachers' Retirement Fund 1996 Account &amp; Pre-2265</t>
  </si>
  <si>
    <t>Teachers' Retirement Fund 1996 Account &amp; Pre-2266</t>
  </si>
  <si>
    <t>Teachers' Retirement Fund 1996 Account &amp; Pre-2267</t>
  </si>
  <si>
    <t>Teachers' Retirement Fund 1996 Account &amp; Pre-2268</t>
  </si>
  <si>
    <t>Teachers' Retirement Fund 1996 Account &amp; Pre-2269</t>
  </si>
  <si>
    <t>Teachers' Retirement Fund 1996 Account &amp; Pre-2270</t>
  </si>
  <si>
    <t>Teachers' Retirement Fund 1996 Account &amp; Pre-2271</t>
  </si>
  <si>
    <t>Teachers' Retirement Fund 1996 Account &amp; Pre-2272</t>
  </si>
  <si>
    <t>Teachers' Retirement Fund 1996 Account &amp; Pre-2273</t>
  </si>
  <si>
    <t>Teachers' Retirement Fund 1996 Account &amp; Pre-2274</t>
  </si>
  <si>
    <t>Teachers' Retirement Fund 1996 Account &amp; Pre-2275</t>
  </si>
  <si>
    <t>Teachers' Retirement Fund 1996 Account &amp; Pre-2276</t>
  </si>
  <si>
    <t>Teachers' Retirement Fund 1996 Account &amp; Pre-2277</t>
  </si>
  <si>
    <t>Teachers' Retirement Fund 1996 Account &amp; Pre-2278</t>
  </si>
  <si>
    <t>Teachers' Retirement Fund 1996 Account &amp; Pre-2279</t>
  </si>
  <si>
    <t>Teachers' Retirement Fund 1996 Account &amp; Pre-2280</t>
  </si>
  <si>
    <t>Teachers' Retirement Fund 1996 Account &amp; Pre-2281</t>
  </si>
  <si>
    <t>Teachers' Retirement Fund 1996 Account &amp; Pre-2282</t>
  </si>
  <si>
    <t>Teachers' Retirement Fund 1996 Account &amp; Pre-2283</t>
  </si>
  <si>
    <t>Teachers' Retirement Fund 1996 Account &amp; Pre-2284</t>
  </si>
  <si>
    <t>Teachers' Retirement Fund 1996 Account &amp; Pre-2285</t>
  </si>
  <si>
    <t>Teachers' Retirement Fund 1996 Account &amp; Pre-2286</t>
  </si>
  <si>
    <t>Teachers' Retirement Fund 1996 Account &amp; Pre-2287</t>
  </si>
  <si>
    <t>Teachers' Retirement Fund 1996 Account &amp; Pre-2288</t>
  </si>
  <si>
    <t>Teachers' Retirement Fund 1996 Account &amp; Pre-2289</t>
  </si>
  <si>
    <t>Teachers' Retirement Fund 1996 Account &amp; Pre-2290</t>
  </si>
  <si>
    <t>Teachers' Retirement Fund 1996 Account &amp; Pre-2291</t>
  </si>
  <si>
    <t>Teachers' Retirement Fund 1996 Account &amp; Pre-2292</t>
  </si>
  <si>
    <t>Teachers' Retirement Fund 1996 Account &amp; Pre-2293</t>
  </si>
  <si>
    <t>Teachers' Retirement Fund 1996 Account &amp; Pre-2294</t>
  </si>
  <si>
    <t>Teachers' Retirement Fund 1996 Account &amp; Pre-2295</t>
  </si>
  <si>
    <t>Teachers' Retirement Fund 1996 Account &amp; Pre-2296</t>
  </si>
  <si>
    <t>Teachers' Retirement Fund 1996 Account &amp; Pre-2297</t>
  </si>
  <si>
    <t>Teachers' Retirement Fund 1996 Account &amp; Pre-2298</t>
  </si>
  <si>
    <t>Teachers' Retirement Fund 1996 Account &amp; Pre-2299</t>
  </si>
  <si>
    <t>Teachers' Retirement Fund 1996 Account &amp; Pre-2300</t>
  </si>
  <si>
    <t>Teachers' Retirement Fund 1996 Account &amp; Pre-2301</t>
  </si>
  <si>
    <t>Teachers' Retirement Fund 1996 Account &amp; Pre-2302</t>
  </si>
  <si>
    <t>Teachers' Retirement Fund 1996 Account &amp; Pre-2303</t>
  </si>
  <si>
    <t>Teachers' Retirement Fund 1996 Account &amp; Pre-2304</t>
  </si>
  <si>
    <t>Teachers' Retirement Fund 1996 Account &amp; Pre-2305</t>
  </si>
  <si>
    <t>Teachers' Retirement Fund 1996 Account &amp; Pre-2306</t>
  </si>
  <si>
    <t>Teachers' Retirement Fund 1996 Account &amp; Pre-2307</t>
  </si>
  <si>
    <t>Teachers' Retirement Fund 1996 Account &amp; Pre-2308</t>
  </si>
  <si>
    <t>Teachers' Retirement Fund 1996 Account &amp; Pre-2309</t>
  </si>
  <si>
    <t>Teachers' Retirement Fund 1996 Account &amp; Pre-2310</t>
  </si>
  <si>
    <t>Teachers' Retirement Fund 1996 Account &amp; Pre-2311</t>
  </si>
  <si>
    <t>Teachers' Retirement Fund 1996 Account &amp; Pre-2312</t>
  </si>
  <si>
    <t>Teachers' Retirement Fund 1996 Account &amp; Pre-2313</t>
  </si>
  <si>
    <t>Teachers' Retirement Fund 1996 Account &amp; Pre-2314</t>
  </si>
  <si>
    <t>Teachers' Retirement Fund 1996 Account &amp; Pre-2315</t>
  </si>
  <si>
    <t>Teachers' Retirement Fund 1996 Account &amp; Pre-2316</t>
  </si>
  <si>
    <t>Teachers' Retirement Fund 1996 Account &amp; Pre-2317</t>
  </si>
  <si>
    <t>Teachers' Retirement Fund 1996 Account &amp; Pre-2318</t>
  </si>
  <si>
    <t>Teachers' Retirement Fund 1996 Account &amp; Pre-2319</t>
  </si>
  <si>
    <t>Teachers' Retirement Fund 1996 Account &amp; Pre-2320</t>
  </si>
  <si>
    <t>Teachers' Retirement Fund 1996 Account &amp; Pre-2321</t>
  </si>
  <si>
    <t>Teachers' Retirement Fund 1996 Account &amp; Pre-2322</t>
  </si>
  <si>
    <t>Teachers' Retirement Fund 1996 Account &amp; Pre-2323</t>
  </si>
  <si>
    <t>Teachers' Retirement Fund 1996 Account &amp; Pre-2324</t>
  </si>
  <si>
    <t>Teachers' Retirement Fund 1996 Account &amp; Pre-2325</t>
  </si>
  <si>
    <t>Teachers' Retirement Fund 1996 Account &amp; Pre-2326</t>
  </si>
  <si>
    <t>Teachers' Retirement Fund 1996 Account &amp; Pre-2327</t>
  </si>
  <si>
    <t>Teachers' Retirement Fund 1996 Account &amp; Pre-2328</t>
  </si>
  <si>
    <t>Teachers' Retirement Fund 1996 Account &amp; Pre-2329</t>
  </si>
  <si>
    <t>Teachers' Retirement Fund 1996 Account &amp; Pre-2330</t>
  </si>
  <si>
    <t>Teachers' Retirement Fund 1996 Account &amp; Pre-2331</t>
  </si>
  <si>
    <t>Teachers' Retirement Fund 1996 Account &amp; Pre-2332</t>
  </si>
  <si>
    <t>Teachers' Retirement Fund 1996 Account &amp; Pre-2333</t>
  </si>
  <si>
    <t>Teachers' Retirement Fund 1996 Account &amp; Pre-2334</t>
  </si>
  <si>
    <t>Teachers' Retirement Fund 1996 Account &amp; Pre-2335</t>
  </si>
  <si>
    <t>Teachers' Retirement Fund 1996 Account &amp; Pre-2336</t>
  </si>
  <si>
    <t>Teachers' Retirement Fund 1996 Account &amp; Pre-2337</t>
  </si>
  <si>
    <t>Teachers' Retirement Fund 1996 Account &amp; Pre-2338</t>
  </si>
  <si>
    <t>Teachers' Retirement Fund 1996 Account &amp; Pre-2339</t>
  </si>
  <si>
    <t>Teachers' Retirement Fund 1996 Account &amp; Pre-2340</t>
  </si>
  <si>
    <t>Teachers' Retirement Fund 1996 Account &amp; Pre-2341</t>
  </si>
  <si>
    <t>Teachers' Retirement Fund 1996 Account &amp; Pre-2342</t>
  </si>
  <si>
    <t>Teachers' Retirement Fund 1996 Account &amp; Pre-2343</t>
  </si>
  <si>
    <t>Teachers' Retirement Fund 1996 Account &amp; Pre-2344</t>
  </si>
  <si>
    <t>Teachers' Retirement Fund 1996 Account &amp; Pre-2345</t>
  </si>
  <si>
    <t>Teachers' Retirement Fund 1996 Account &amp; Pre-2346</t>
  </si>
  <si>
    <t>Teachers' Retirement Fund 1996 Account &amp; Pre-2347</t>
  </si>
  <si>
    <t>Teachers' Retirement Fund 1996 Account &amp; Pre-2348</t>
  </si>
  <si>
    <t>Teachers' Retirement Fund 1996 Account &amp; Pre-2349</t>
  </si>
  <si>
    <t>Teachers' Retirement Fund 1996 Account &amp; Pre-2350</t>
  </si>
  <si>
    <t>Teachers' Retirement Fund 1996 Account &amp; Pre-2351</t>
  </si>
  <si>
    <t>Teachers' Retirement Fund 1996 Account &amp; Pre-2352</t>
  </si>
  <si>
    <t>Teachers' Retirement Fund 1996 Account &amp; Pre-2353</t>
  </si>
  <si>
    <t>Teachers' Retirement Fund 1996 Account &amp; Pre-2354</t>
  </si>
  <si>
    <t>Teachers' Retirement Fund 1996 Account &amp; Pre-2355</t>
  </si>
  <si>
    <t>Teachers' Retirement Fund 1996 Account &amp; Pre-2356</t>
  </si>
  <si>
    <t>Teachers' Retirement Fund 1996 Account &amp; Pre-2357</t>
  </si>
  <si>
    <t>Teachers' Retirement Fund 1996 Account &amp; Pre-2358</t>
  </si>
  <si>
    <t>Teachers' Retirement Fund 1996 Account &amp; Pre-2359</t>
  </si>
  <si>
    <t>Teachers' Retirement Fund 1996 Account &amp; Pre-2360</t>
  </si>
  <si>
    <t>Teachers' Retirement Fund 1996 Account &amp; Pre-2361</t>
  </si>
  <si>
    <t>Teachers' Retirement Fund 1996 Account &amp; Pre-2362</t>
  </si>
  <si>
    <t>Teachers' Retirement Fund 1996 Account &amp; Pre-2363</t>
  </si>
  <si>
    <t>Teachers' Retirement Fund 1996 Account &amp; Pre-2364</t>
  </si>
  <si>
    <t>Teachers' Retirement Fund 1996 Account &amp; Pre-2365</t>
  </si>
  <si>
    <t>Teachers' Retirement Fund 1996 Account &amp; Pre-2366</t>
  </si>
  <si>
    <t>Teachers' Retirement Fund 1996 Account &amp; Pre-2367</t>
  </si>
  <si>
    <t>Teachers' Retirement Fund 1996 Account &amp; Pre-2368</t>
  </si>
  <si>
    <t>Teachers' Retirement Fund 1996 Account &amp; Pre-2369</t>
  </si>
  <si>
    <t>Teachers' Retirement Fund 1996 Account &amp; Pre-2370</t>
  </si>
  <si>
    <t>Teachers' Retirement Fund 1996 Account &amp; Pre-2371</t>
  </si>
  <si>
    <t>Teachers' Retirement Fund 1996 Account &amp; Pre-2372</t>
  </si>
  <si>
    <t>Teachers' Retirement Fund 1996 Account &amp; Pre-2373</t>
  </si>
  <si>
    <t>Teachers' Retirement Fund 1996 Account &amp; Pre-2374</t>
  </si>
  <si>
    <t>Teachers' Retirement Fund 1996 Account &amp; Pre-2375</t>
  </si>
  <si>
    <t>Teachers' Retirement Fund 1996 Account &amp; Pre-2376</t>
  </si>
  <si>
    <t>Teachers' Retirement Fund 1996 Account &amp; Pre-2377</t>
  </si>
  <si>
    <t>Teachers' Retirement Fund 1996 Account &amp; Pre-2378</t>
  </si>
  <si>
    <t>Teachers' Retirement Fund 1996 Account &amp; Pre-2379</t>
  </si>
  <si>
    <t>Teachers' Retirement Fund 1996 Account &amp; Pre-2380</t>
  </si>
  <si>
    <t>Teachers' Retirement Fund 1996 Account &amp; Pre-2381</t>
  </si>
  <si>
    <t>Teachers' Retirement Fund 1996 Account &amp; Pre-2382</t>
  </si>
  <si>
    <t>Teachers' Retirement Fund 1996 Account &amp; Pre-2383</t>
  </si>
  <si>
    <t>Teachers' Retirement Fund 1996 Account &amp; Pre-2384</t>
  </si>
  <si>
    <t>Teachers' Retirement Fund 1996 Account &amp; Pre-2385</t>
  </si>
  <si>
    <t>Teachers' Retirement Fund 1996 Account &amp; Pre-2386</t>
  </si>
  <si>
    <t>Teachers' Retirement Fund 1996 Account &amp; Pre-2387</t>
  </si>
  <si>
    <t>Teachers' Retirement Fund 1996 Account &amp; Pre-2388</t>
  </si>
  <si>
    <t>Teachers' Retirement Fund 1996 Account &amp; Pre-2389</t>
  </si>
  <si>
    <t>Teachers' Retirement Fund 1996 Account &amp; Pre-2390</t>
  </si>
  <si>
    <t>Teachers' Retirement Fund 1996 Account &amp; Pre-2391</t>
  </si>
  <si>
    <t>Teachers' Retirement Fund 1996 Account &amp; Pre-2392</t>
  </si>
  <si>
    <t>Teachers' Retirement Fund 1996 Account &amp; Pre-2393</t>
  </si>
  <si>
    <t>Teachers' Retirement Fund 1996 Account &amp; Pre-2394</t>
  </si>
  <si>
    <t>Teachers' Retirement Fund 1996 Account &amp; Pre-2395</t>
  </si>
  <si>
    <t>Teachers' Retirement Fund 1996 Account &amp; Pre-2396</t>
  </si>
  <si>
    <t>Teachers' Retirement Fund 1996 Account &amp; Pre-2397</t>
  </si>
  <si>
    <t>Teachers' Retirement Fund 1996 Account &amp; Pre-2398</t>
  </si>
  <si>
    <t>Teachers' Retirement Fund 1996 Account &amp; Pre-2399</t>
  </si>
  <si>
    <t>Teachers' Retirement Fund 1996 Account &amp; Pre-2400</t>
  </si>
  <si>
    <t>Teachers' Retirement Fund 1996 Account &amp; Pre-2401</t>
  </si>
  <si>
    <t>Teachers' Retirement Fund 1996 Account &amp; Pre-2402</t>
  </si>
  <si>
    <t>Teachers' Retirement Fund 1996 Account &amp; Pre-2403</t>
  </si>
  <si>
    <t>Teachers' Retirement Fund 1996 Account &amp; Pre-2404</t>
  </si>
  <si>
    <t>Teachers' Retirement Fund 1996 Account &amp; Pre-2405</t>
  </si>
  <si>
    <t>Teachers' Retirement Fund 1996 Account &amp; Pre-2406</t>
  </si>
  <si>
    <t>Teachers' Retirement Fund 1996 Account &amp; Pre-2407</t>
  </si>
  <si>
    <t>Teachers' Retirement Fund 1996 Account &amp; Pre-2408</t>
  </si>
  <si>
    <t>Teachers' Retirement Fund 1996 Account &amp; Pre-2409</t>
  </si>
  <si>
    <t>Teachers' Retirement Fund 1996 Account &amp; Pre-2410</t>
  </si>
  <si>
    <t>Teachers' Retirement Fund 1996 Account &amp; Pre-2411</t>
  </si>
  <si>
    <t>Teachers' Retirement Fund 1996 Account &amp; Pre-2412</t>
  </si>
  <si>
    <t>Teachers' Retirement Fund 1996 Account &amp; Pre-2413</t>
  </si>
  <si>
    <t>Teachers' Retirement Fund 1996 Account &amp; Pre-2414</t>
  </si>
  <si>
    <t>Teachers' Retirement Fund 1996 Account &amp; Pre-2415</t>
  </si>
  <si>
    <t>Teachers' Retirement Fund 1996 Account &amp; Pre-2416</t>
  </si>
  <si>
    <t>Teachers' Retirement Fund 1996 Account &amp; Pre-2417</t>
  </si>
  <si>
    <t>Teachers' Retirement Fund 1996 Account &amp; Pre-2418</t>
  </si>
  <si>
    <t>Teachers' Retirement Fund 1996 Account &amp; Pre-2419</t>
  </si>
  <si>
    <t>Teachers' Retirement Fund 1996 Account &amp; Pre-2420</t>
  </si>
  <si>
    <t>Teachers' Retirement Fund 1996 Account &amp; Pre-2421</t>
  </si>
  <si>
    <t>Teachers' Retirement Fund 1996 Account &amp; Pre-2422</t>
  </si>
  <si>
    <t>Teachers' Retirement Fund 1996 Account &amp; Pre-2423</t>
  </si>
  <si>
    <t>Teachers' Retirement Fund 1996 Account &amp; Pre-2424</t>
  </si>
  <si>
    <t>Teachers' Retirement Fund 1996 Account &amp; Pre-2425</t>
  </si>
  <si>
    <t>Teachers' Retirement Fund 1996 Account &amp; Pre-2426</t>
  </si>
  <si>
    <t>Teachers' Retirement Fund 1996 Account &amp; Pre-2427</t>
  </si>
  <si>
    <t>Teachers' Retirement Fund 1996 Account &amp; Pre-2428</t>
  </si>
  <si>
    <t>Teachers' Retirement Fund 1996 Account &amp; Pre-2429</t>
  </si>
  <si>
    <t>Teachers' Retirement Fund 1996 Account &amp; Pre-2430</t>
  </si>
  <si>
    <t>Teachers' Retirement Fund 1996 Account &amp; Pre-2431</t>
  </si>
  <si>
    <t>Teachers' Retirement Fund 1996 Account &amp; Pre-2432</t>
  </si>
  <si>
    <t>Teachers' Retirement Fund 1996 Account &amp; Pre-2433</t>
  </si>
  <si>
    <t>Teachers' Retirement Fund 1996 Account &amp; Pre-2434</t>
  </si>
  <si>
    <t>Teachers' Retirement Fund 1996 Account &amp; Pre-2435</t>
  </si>
  <si>
    <t>Teachers' Retirement Fund 1996 Account &amp; Pre-2436</t>
  </si>
  <si>
    <t>Teachers' Retirement Fund 1996 Account &amp; Pre-2437</t>
  </si>
  <si>
    <t>Teachers' Retirement Fund 1996 Account &amp; Pre-2438</t>
  </si>
  <si>
    <t>Teachers' Retirement Fund 1996 Account &amp; Pre-2439</t>
  </si>
  <si>
    <t>Teachers' Retirement Fund 1996 Account &amp; Pre-2440</t>
  </si>
  <si>
    <t>Teachers' Retirement Fund 1996 Account &amp; Pre-2441</t>
  </si>
  <si>
    <t>Teachers' Retirement Fund 1996 Account &amp; Pre-2442</t>
  </si>
  <si>
    <t>Teachers' Retirement Fund 1996 Account &amp; Pre-2443</t>
  </si>
  <si>
    <t>Teachers' Retirement Fund 1996 Account &amp; Pre-2444</t>
  </si>
  <si>
    <t>Teachers' Retirement Fund 1996 Account &amp; Pre-2445</t>
  </si>
  <si>
    <t>Teachers' Retirement Fund 1996 Account &amp; Pre-2446</t>
  </si>
  <si>
    <t>Teachers' Retirement Fund 1996 Account &amp; Pre-2447</t>
  </si>
  <si>
    <t>Teachers' Retirement Fund 1996 Account &amp; Pre-2448</t>
  </si>
  <si>
    <t>Teachers' Retirement Fund 1996 Account &amp; Pre-2449</t>
  </si>
  <si>
    <t>Teachers' Retirement Fund 1996 Account &amp; Pre-2450</t>
  </si>
  <si>
    <t>Teachers' Retirement Fund 1996 Account &amp; Pre-2451</t>
  </si>
  <si>
    <t>Teachers' Retirement Fund 1996 Account &amp; Pre-2452</t>
  </si>
  <si>
    <t>Teachers' Retirement Fund 1996 Account &amp; Pre-2453</t>
  </si>
  <si>
    <t>Teachers' Retirement Fund 1996 Account &amp; Pre-2454</t>
  </si>
  <si>
    <t>Teachers' Retirement Fund 1996 Account &amp; Pre-2455</t>
  </si>
  <si>
    <t>Teachers' Retirement Fund 1996 Account &amp; Pre-2456</t>
  </si>
  <si>
    <t>Teachers' Retirement Fund 1996 Account &amp; Pre-2457</t>
  </si>
  <si>
    <t>Teachers' Retirement Fund 1996 Account &amp; Pre-2458</t>
  </si>
  <si>
    <t>Teachers' Retirement Fund 1996 Account &amp; Pre-2459</t>
  </si>
  <si>
    <t>Teachers' Retirement Fund 1996 Account &amp; Pre-2460</t>
  </si>
  <si>
    <t>Teachers' Retirement Fund 1996 Account &amp; Pre-2461</t>
  </si>
  <si>
    <t>Teachers' Retirement Fund 1996 Account &amp; Pre-2462</t>
  </si>
  <si>
    <t>Teachers' Retirement Fund 1996 Account &amp; Pre-2463</t>
  </si>
  <si>
    <t>Teachers' Retirement Fund 1996 Account &amp; Pre-2464</t>
  </si>
  <si>
    <t>Teachers' Retirement Fund 1996 Account &amp; Pre-2465</t>
  </si>
  <si>
    <t>Teachers' Retirement Fund 1996 Account &amp; Pre-2466</t>
  </si>
  <si>
    <t>Teachers' Retirement Fund 1996 Account &amp; Pre-2467</t>
  </si>
  <si>
    <t>Teachers' Retirement Fund 1996 Account &amp; Pre-2468</t>
  </si>
  <si>
    <t>Teachers' Retirement Fund 1996 Account &amp; Pre-2469</t>
  </si>
  <si>
    <t>Teachers' Retirement Fund 1996 Account &amp; Pre-2470</t>
  </si>
  <si>
    <t>Teachers' Retirement Fund 1996 Account &amp; Pre-2471</t>
  </si>
  <si>
    <t>Teachers' Retirement Fund 1996 Account &amp; Pre-2472</t>
  </si>
  <si>
    <t>Teachers' Retirement Fund 1996 Account &amp; Pre-2473</t>
  </si>
  <si>
    <t>Teachers' Retirement Fund 1996 Account &amp; Pre-2474</t>
  </si>
  <si>
    <t>Teachers' Retirement Fund 1996 Account &amp; Pre-2475</t>
  </si>
  <si>
    <t>Teachers' Retirement Fund 1996 Account &amp; Pre-2476</t>
  </si>
  <si>
    <t>Teachers' Retirement Fund 1996 Account &amp; Pre-2477</t>
  </si>
  <si>
    <t>Teachers' Retirement Fund 1996 Account &amp; Pre-2478</t>
  </si>
  <si>
    <t>Teachers' Retirement Fund 1996 Account &amp; Pre-2479</t>
  </si>
  <si>
    <t>Teachers' Retirement Fund 1996 Account &amp; Pre-2480</t>
  </si>
  <si>
    <t>Teachers' Retirement Fund 1996 Account &amp; Pre-2481</t>
  </si>
  <si>
    <t>Teachers' Retirement Fund 1996 Account &amp; Pre-2482</t>
  </si>
  <si>
    <t>Teachers' Retirement Fund 1996 Account &amp; Pre-2483</t>
  </si>
  <si>
    <t>Teachers' Retirement Fund 1996 Account &amp; Pre-2484</t>
  </si>
  <si>
    <t>Teachers' Retirement Fund 1996 Account &amp; Pre-2485</t>
  </si>
  <si>
    <t>Teachers' Retirement Fund 1996 Account &amp; Pre-2486</t>
  </si>
  <si>
    <t>Teachers' Retirement Fund 1996 Account &amp; Pre-2487</t>
  </si>
  <si>
    <t>Teachers' Retirement Fund 1996 Account &amp; Pre-2488</t>
  </si>
  <si>
    <t>Teachers' Retirement Fund 1996 Account &amp; Pre-2489</t>
  </si>
  <si>
    <t>Teachers' Retirement Fund 1996 Account &amp; Pre-2490</t>
  </si>
  <si>
    <t>Teachers' Retirement Fund 1996 Account &amp; Pre-2491</t>
  </si>
  <si>
    <t>Teachers' Retirement Fund 1996 Account &amp; Pre-2492</t>
  </si>
  <si>
    <t>Teachers' Retirement Fund 1996 Account &amp; Pre-2493</t>
  </si>
  <si>
    <t>Teachers' Retirement Fund 1996 Account &amp; Pre-2494</t>
  </si>
  <si>
    <t>Teachers' Retirement Fund 1996 Account &amp; Pre-2495</t>
  </si>
  <si>
    <t>Teachers' Retirement Fund 1996 Account &amp; Pre-2496</t>
  </si>
  <si>
    <t>Teachers' Retirement Fund 1996 Account &amp; Pre-2497</t>
  </si>
  <si>
    <t>Teachers' Retirement Fund 1996 Account &amp; Pre-2498</t>
  </si>
  <si>
    <t>Teachers' Retirement Fund 1996 Account &amp; Pre-2499</t>
  </si>
  <si>
    <t>Teachers' Retirement Fund 1996 Account &amp; Pre-2500</t>
  </si>
  <si>
    <t>Teachers' Retirement Fund 1996 Account &amp; Pre-2501</t>
  </si>
  <si>
    <t>Teachers' Retirement Fund 1996 Account &amp; Pre-2502</t>
  </si>
  <si>
    <t>Teachers' Retirement Fund 1996 Account &amp; Pre-2503</t>
  </si>
  <si>
    <t>Teachers' Retirement Fund 1996 Account &amp; Pre-2504</t>
  </si>
  <si>
    <t>Teachers' Retirement Fund 1996 Account &amp; Pre-2505</t>
  </si>
  <si>
    <t>Teachers' Retirement Fund 1996 Account &amp; Pre-2506</t>
  </si>
  <si>
    <t>Teachers' Retirement Fund 1996 Account &amp; Pre-2507</t>
  </si>
  <si>
    <t>Teachers' Retirement Fund 1996 Account &amp; Pre-2508</t>
  </si>
  <si>
    <t>Teachers' Retirement Fund 1996 Account &amp; Pre-2509</t>
  </si>
  <si>
    <t>Teachers' Retirement Fund 1996 Account &amp; Pre-2510</t>
  </si>
  <si>
    <t>Teachers' Retirement Fund 1996 Account &amp; Pre-2511</t>
  </si>
  <si>
    <t>Teachers' Retirement Fund 1996 Account &amp; Pre-2512</t>
  </si>
  <si>
    <t>Teachers' Retirement Fund 1996 Account &amp; Pre-2513</t>
  </si>
  <si>
    <t>Teachers' Retirement Fund 1996 Account &amp; Pre-2514</t>
  </si>
  <si>
    <t>Teachers' Retirement Fund 1996 Account &amp; Pre-2515</t>
  </si>
  <si>
    <t>Teachers' Retirement Fund 1996 Account &amp; Pre-2516</t>
  </si>
  <si>
    <t>Teachers' Retirement Fund 1996 Account &amp; Pre-2517</t>
  </si>
  <si>
    <t>Teachers' Retirement Fund 1996 Account &amp; Pre-2518</t>
  </si>
  <si>
    <t>Teachers' Retirement Fund 1996 Account &amp; Pre-2519</t>
  </si>
  <si>
    <t>Teachers' Retirement Fund 1996 Account &amp; Pre-2520</t>
  </si>
  <si>
    <t>Teachers' Retirement Fund 1996 Account &amp; Pre-2521</t>
  </si>
  <si>
    <t>Teachers' Retirement Fund 1996 Account &amp; Pre-2522</t>
  </si>
  <si>
    <t>Teachers' Retirement Fund 1996 Account &amp; Pre-2523</t>
  </si>
  <si>
    <t>Teachers' Retirement Fund 1996 Account &amp; Pre-2524</t>
  </si>
  <si>
    <t>Teachers' Retirement Fund 1996 Account &amp; Pre-2525</t>
  </si>
  <si>
    <t>Teachers' Retirement Fund 1996 Account &amp; Pre-2526</t>
  </si>
  <si>
    <t>Teachers' Retirement Fund 1996 Account &amp; Pre-2527</t>
  </si>
  <si>
    <t>Teachers' Retirement Fund 1996 Account &amp; Pre-2528</t>
  </si>
  <si>
    <t>Teachers' Retirement Fund 1996 Account &amp; Pre-2529</t>
  </si>
  <si>
    <t>Teachers' Retirement Fund 1996 Account &amp; Pre-2530</t>
  </si>
  <si>
    <t>Teachers' Retirement Fund 1996 Account &amp; Pre-2531</t>
  </si>
  <si>
    <t>Teachers' Retirement Fund 1996 Account &amp; Pre-2532</t>
  </si>
  <si>
    <t>Teachers' Retirement Fund 1996 Account &amp; Pre-2533</t>
  </si>
  <si>
    <t>Teachers' Retirement Fund 1996 Account &amp; Pre-2534</t>
  </si>
  <si>
    <t>Teachers' Retirement Fund 1996 Account &amp; Pre-2535</t>
  </si>
  <si>
    <t>Teachers' Retirement Fund 1996 Account &amp; Pre-2536</t>
  </si>
  <si>
    <t>Teachers' Retirement Fund 1996 Account &amp; Pre-2537</t>
  </si>
  <si>
    <t>Teachers' Retirement Fund 1996 Account &amp; Pre-2538</t>
  </si>
  <si>
    <t>Teachers' Retirement Fund 1996 Account &amp; Pre-2539</t>
  </si>
  <si>
    <t>Teachers' Retirement Fund 1996 Account &amp; Pre-2540</t>
  </si>
  <si>
    <t>Teachers' Retirement Fund 1996 Account &amp; Pre-2541</t>
  </si>
  <si>
    <t>Teachers' Retirement Fund 1996 Account &amp; Pre-2542</t>
  </si>
  <si>
    <t>Teachers' Retirement Fund 1996 Account &amp; Pre-2543</t>
  </si>
  <si>
    <t>Teachers' Retirement Fund 1996 Account &amp; Pre-2544</t>
  </si>
  <si>
    <t>Teachers' Retirement Fund 1996 Account &amp; Pre-2545</t>
  </si>
  <si>
    <t>Teachers' Retirement Fund 1996 Account &amp; Pre-2546</t>
  </si>
  <si>
    <t>Teachers' Retirement Fund 1996 Account &amp; Pre-2547</t>
  </si>
  <si>
    <t>Teachers' Retirement Fund 1996 Account &amp; Pre-2548</t>
  </si>
  <si>
    <t>Teachers' Retirement Fund 1996 Account &amp; Pre-2549</t>
  </si>
  <si>
    <t>Teachers' Retirement Fund 1996 Account &amp; Pre-2550</t>
  </si>
  <si>
    <t>Teachers' Retirement Fund 1996 Account &amp; Pre-2551</t>
  </si>
  <si>
    <t>Teachers' Retirement Fund 1996 Account &amp; Pre-2552</t>
  </si>
  <si>
    <t>Teachers' Retirement Fund 1996 Account &amp; Pre-2553</t>
  </si>
  <si>
    <t>Teachers' Retirement Fund 1996 Account &amp; Pre-2554</t>
  </si>
  <si>
    <t>Teachers' Retirement Fund 1996 Account &amp; Pre-2555</t>
  </si>
  <si>
    <t>Teachers' Retirement Fund 1996 Account &amp; Pre-2556</t>
  </si>
  <si>
    <t>Teachers' Retirement Fund 1996 Account &amp; Pre-2557</t>
  </si>
  <si>
    <t>Teachers' Retirement Fund 1996 Account &amp; Pre-2558</t>
  </si>
  <si>
    <t>Teachers' Retirement Fund 1996 Account &amp; Pre-2559</t>
  </si>
  <si>
    <t>Teachers' Retirement Fund 1996 Account &amp; Pre-2560</t>
  </si>
  <si>
    <t>Teachers' Retirement Fund 1996 Account &amp; Pre-2561</t>
  </si>
  <si>
    <t>Teachers' Retirement Fund 1996 Account &amp; Pre-2562</t>
  </si>
  <si>
    <t>Teachers' Retirement Fund 1996 Account &amp; Pre-2563</t>
  </si>
  <si>
    <t>Teachers' Retirement Fund 1996 Account &amp; Pre-2564</t>
  </si>
  <si>
    <t>Teachers' Retirement Fund 1996 Account &amp; Pre-2565</t>
  </si>
  <si>
    <t>Teachers' Retirement Fund 1996 Account &amp; Pre-2566</t>
  </si>
  <si>
    <t>Teachers' Retirement Fund 1996 Account &amp; Pre-2567</t>
  </si>
  <si>
    <t>Teachers' Retirement Fund 1996 Account &amp; Pre-2568</t>
  </si>
  <si>
    <t>Teachers' Retirement Fund 1996 Account &amp; Pre-2569</t>
  </si>
  <si>
    <t>Teachers' Retirement Fund 1996 Account &amp; Pre-2570</t>
  </si>
  <si>
    <t>Teachers' Retirement Fund 1996 Account &amp; Pre-2571</t>
  </si>
  <si>
    <t>Teachers' Retirement Fund 1996 Account &amp; Pre-2572</t>
  </si>
  <si>
    <t>Teachers' Retirement Fund 1996 Account &amp; Pre-2573</t>
  </si>
  <si>
    <t>Teachers' Retirement Fund 1996 Account &amp; Pre-2574</t>
  </si>
  <si>
    <t>Teachers' Retirement Fund 1996 Account &amp; Pre-2575</t>
  </si>
  <si>
    <t>Teachers' Retirement Fund 1996 Account &amp; Pre-2576</t>
  </si>
  <si>
    <t>Teachers' Retirement Fund 1996 Account &amp; Pre-2577</t>
  </si>
  <si>
    <t>Teachers' Retirement Fund 1996 Account &amp; Pre-2578</t>
  </si>
  <si>
    <t>Teachers' Retirement Fund 1996 Account &amp; Pre-2579</t>
  </si>
  <si>
    <t>Teachers' Retirement Fund 1996 Account &amp; Pre-2580</t>
  </si>
  <si>
    <t>Teachers' Retirement Fund 1996 Account &amp; Pre-2581</t>
  </si>
  <si>
    <t>Teachers' Retirement Fund 1996 Account &amp; Pre-2582</t>
  </si>
  <si>
    <t>Teachers' Retirement Fund 1996 Account &amp; Pre-2583</t>
  </si>
  <si>
    <t>Teachers' Retirement Fund 1996 Account &amp; Pre-2584</t>
  </si>
  <si>
    <t>Teachers' Retirement Fund 1996 Account &amp; Pre-2585</t>
  </si>
  <si>
    <t>Teachers' Retirement Fund 1996 Account &amp; Pre-2586</t>
  </si>
  <si>
    <t>Teachers' Retirement Fund 1996 Account &amp; Pre-2587</t>
  </si>
  <si>
    <t>Teachers' Retirement Fund 1996 Account &amp; Pre-2588</t>
  </si>
  <si>
    <t>Teachers' Retirement Fund 1996 Account &amp; Pre-2589</t>
  </si>
  <si>
    <t>Teachers' Retirement Fund 1996 Account &amp; Pre-2590</t>
  </si>
  <si>
    <t>Teachers' Retirement Fund 1996 Account &amp; Pre-2591</t>
  </si>
  <si>
    <t>Teachers' Retirement Fund 1996 Account &amp; Pre-2592</t>
  </si>
  <si>
    <t>Teachers' Retirement Fund 1996 Account &amp; Pre-2593</t>
  </si>
  <si>
    <t>Teachers' Retirement Fund 1996 Account &amp; Pre-2594</t>
  </si>
  <si>
    <t>Teachers' Retirement Fund 1996 Account &amp; Pre-2595</t>
  </si>
  <si>
    <t>Teachers' Retirement Fund 1996 Account &amp; Pre-2596</t>
  </si>
  <si>
    <t>Teachers' Retirement Fund 1996 Account &amp; Pre-2597</t>
  </si>
  <si>
    <t>Teachers' Retirement Fund 1996 Account &amp; Pre-2598</t>
  </si>
  <si>
    <t>Teachers' Retirement Fund 1996 Account &amp; Pre-2599</t>
  </si>
  <si>
    <t>Teachers' Retirement Fund 1996 Account &amp; Pre-2600</t>
  </si>
  <si>
    <t>Teachers' Retirement Fund 1996 Account &amp; Pre-2601</t>
  </si>
  <si>
    <t>Teachers' Retirement Fund 1996 Account &amp; Pre-2602</t>
  </si>
  <si>
    <t>Teachers' Retirement Fund 1996 Account &amp; Pre-2603</t>
  </si>
  <si>
    <t>Teachers' Retirement Fund 1996 Account &amp; Pre-2604</t>
  </si>
  <si>
    <t>Teachers' Retirement Fund 1996 Account &amp; Pre-2605</t>
  </si>
  <si>
    <t>Teachers' Retirement Fund 1996 Account &amp; Pre-2606</t>
  </si>
  <si>
    <t>Teachers' Retirement Fund 1996 Account &amp; Pre-2607</t>
  </si>
  <si>
    <t>Teachers' Retirement Fund 1996 Account &amp; Pre-2608</t>
  </si>
  <si>
    <t>Teachers' Retirement Fund 1996 Account &amp; Pre-2609</t>
  </si>
  <si>
    <t>Teachers' Retirement Fund 1996 Account &amp; Pre-2610</t>
  </si>
  <si>
    <t>Teachers' Retirement Fund 1996 Account &amp; Pre-2611</t>
  </si>
  <si>
    <t>Teachers' Retirement Fund 1996 Account &amp; Pre-2612</t>
  </si>
  <si>
    <t>Teachers' Retirement Fund 1996 Account &amp; Pre-2613</t>
  </si>
  <si>
    <t>Teachers' Retirement Fund 1996 Account &amp; Pre-2614</t>
  </si>
  <si>
    <t>Teachers' Retirement Fund 1996 Account &amp; Pre-2615</t>
  </si>
  <si>
    <t>Teachers' Retirement Fund 1996 Account &amp; Pre-2616</t>
  </si>
  <si>
    <t>Teachers' Retirement Fund 1996 Account &amp; Pre-2617</t>
  </si>
  <si>
    <t>Teachers' Retirement Fund 1996 Account &amp; Pre-2618</t>
  </si>
  <si>
    <t>Teachers' Retirement Fund 1996 Account &amp; Pre-2619</t>
  </si>
  <si>
    <t>Teachers' Retirement Fund 1996 Account &amp; Pre-2620</t>
  </si>
  <si>
    <t>Teachers' Retirement Fund 1996 Account &amp; Pre-2621</t>
  </si>
  <si>
    <t>Teachers' Retirement Fund 1996 Account &amp; Pre-2622</t>
  </si>
  <si>
    <t>Teachers' Retirement Fund 1996 Account &amp; Pre-2623</t>
  </si>
  <si>
    <t>Teachers' Retirement Fund 1996 Account &amp; Pre-2624</t>
  </si>
  <si>
    <t>Teachers' Retirement Fund 1996 Account &amp; Pre-2625</t>
  </si>
  <si>
    <t>Teachers' Retirement Fund 1996 Account &amp; Pre-2626</t>
  </si>
  <si>
    <t>Teachers' Retirement Fund 1996 Account &amp; Pre-2627</t>
  </si>
  <si>
    <t>Teachers' Retirement Fund 1996 Account &amp; Pre-2628</t>
  </si>
  <si>
    <t>Teachers' Retirement Fund 1996 Account &amp; Pre-2629</t>
  </si>
  <si>
    <t>Teachers' Retirement Fund 1996 Account &amp; Pre-2630</t>
  </si>
  <si>
    <t>Teachers' Retirement Fund 1996 Account &amp; Pre-2631</t>
  </si>
  <si>
    <t>Teachers' Retirement Fund 1996 Account &amp; Pre-2632</t>
  </si>
  <si>
    <t>Teachers' Retirement Fund 1996 Account &amp; Pre-2633</t>
  </si>
  <si>
    <t>Teachers' Retirement Fund 1996 Account &amp; Pre-2634</t>
  </si>
  <si>
    <t>Teachers' Retirement Fund 1996 Account &amp; Pre-2635</t>
  </si>
  <si>
    <t>Teachers' Retirement Fund 1996 Account &amp; Pre-2636</t>
  </si>
  <si>
    <t>Teachers' Retirement Fund 1996 Account &amp; Pre-2637</t>
  </si>
  <si>
    <t>Teachers' Retirement Fund 1996 Account &amp; Pre-2638</t>
  </si>
  <si>
    <t>Teachers' Retirement Fund 1996 Account &amp; Pre-2639</t>
  </si>
  <si>
    <t>Teachers' Retirement Fund 1996 Account &amp; Pre-2640</t>
  </si>
  <si>
    <t>Teachers' Retirement Fund 1996 Account &amp; Pre-2641</t>
  </si>
  <si>
    <t>Teachers' Retirement Fund 1996 Account &amp; Pre-2642</t>
  </si>
  <si>
    <t>Teachers' Retirement Fund 1996 Account &amp; Pre-2643</t>
  </si>
  <si>
    <t>Teachers' Retirement Fund 1996 Account &amp; Pre-2644</t>
  </si>
  <si>
    <t>Teachers' Retirement Fund 1996 Account &amp; Pre-2645</t>
  </si>
  <si>
    <t>Teachers' Retirement Fund 1996 Account &amp; Pre-2646</t>
  </si>
  <si>
    <t>Teachers' Retirement Fund 1996 Account &amp; Pre-2647</t>
  </si>
  <si>
    <t>Teachers' Retirement Fund 1996 Account &amp; Pre-2648</t>
  </si>
  <si>
    <t>Teachers' Retirement Fund 1996 Account &amp; Pre-2649</t>
  </si>
  <si>
    <t>Teachers' Retirement Fund 1996 Account &amp; Pre-2650</t>
  </si>
  <si>
    <t>Teachers' Retirement Fund 1996 Account &amp; Pre-2651</t>
  </si>
  <si>
    <t>Teachers' Retirement Fund 1996 Account &amp; Pre-2652</t>
  </si>
  <si>
    <t>Teachers' Retirement Fund 1996 Account &amp; Pre-2653</t>
  </si>
  <si>
    <t>Teachers' Retirement Fund 1996 Account &amp; Pre-2654</t>
  </si>
  <si>
    <t>Teachers' Retirement Fund 1996 Account &amp; Pre-2655</t>
  </si>
  <si>
    <t>Teachers' Retirement Fund 1996 Account &amp; Pre-2656</t>
  </si>
  <si>
    <t>Teachers' Retirement Fund 1996 Account &amp; Pre-2657</t>
  </si>
  <si>
    <t>Teachers' Retirement Fund 1996 Account &amp; Pre-2658</t>
  </si>
  <si>
    <t>Teachers' Retirement Fund 1996 Account &amp; Pre-2659</t>
  </si>
  <si>
    <t>Teachers' Retirement Fund 1996 Account &amp; Pre-2660</t>
  </si>
  <si>
    <t>Teachers' Retirement Fund 1996 Account &amp; Pre-2661</t>
  </si>
  <si>
    <t>Teachers' Retirement Fund 1996 Account &amp; Pre-2662</t>
  </si>
  <si>
    <t>Teachers' Retirement Fund 1996 Account &amp; Pre-2663</t>
  </si>
  <si>
    <t>Teachers' Retirement Fund 1996 Account &amp; Pre-2664</t>
  </si>
  <si>
    <t>Teachers' Retirement Fund 1996 Account &amp; Pre-2665</t>
  </si>
  <si>
    <t>Teachers' Retirement Fund 1996 Account &amp; Pre-2666</t>
  </si>
  <si>
    <t>Teachers' Retirement Fund 1996 Account &amp; Pre-2667</t>
  </si>
  <si>
    <t>Teachers' Retirement Fund 1996 Account &amp; Pre-2668</t>
  </si>
  <si>
    <t>Teachers' Retirement Fund 1996 Account &amp; Pre-2669</t>
  </si>
  <si>
    <t>Teachers' Retirement Fund 1996 Account &amp; Pre-2670</t>
  </si>
  <si>
    <t>Teachers' Retirement Fund 1996 Account &amp; Pre-2671</t>
  </si>
  <si>
    <t>Teachers' Retirement Fund 1996 Account &amp; Pre-2672</t>
  </si>
  <si>
    <t>Teachers' Retirement Fund 1996 Account &amp; Pre-2673</t>
  </si>
  <si>
    <t>Teachers' Retirement Fund 1996 Account &amp; Pre-2674</t>
  </si>
  <si>
    <t>Teachers' Retirement Fund 1996 Account &amp; Pre-2675</t>
  </si>
  <si>
    <t>Teachers' Retirement Fund 1996 Account &amp; Pre-2676</t>
  </si>
  <si>
    <t>Teachers' Retirement Fund 1996 Account &amp; Pre-2677</t>
  </si>
  <si>
    <t>Teachers' Retirement Fund 1996 Account &amp; Pre-2678</t>
  </si>
  <si>
    <t>Teachers' Retirement Fund 1996 Account &amp; Pre-2679</t>
  </si>
  <si>
    <t>Teachers' Retirement Fund 1996 Account &amp; Pre-2680</t>
  </si>
  <si>
    <t>Teachers' Retirement Fund 1996 Account &amp; Pre-2681</t>
  </si>
  <si>
    <t>Teachers' Retirement Fund 1996 Account &amp; Pre-2682</t>
  </si>
  <si>
    <t>Teachers' Retirement Fund 1996 Account &amp; Pre-2683</t>
  </si>
  <si>
    <t>Teachers' Retirement Fund 1996 Account &amp; Pre-2684</t>
  </si>
  <si>
    <t>Teachers' Retirement Fund 1996 Account &amp; Pre-2685</t>
  </si>
  <si>
    <t>Teachers' Retirement Fund 1996 Account &amp; Pre-2686</t>
  </si>
  <si>
    <t>Teachers' Retirement Fund 1996 Account &amp; Pre-2687</t>
  </si>
  <si>
    <t>Teachers' Retirement Fund 1996 Account &amp; Pre-2688</t>
  </si>
  <si>
    <t>Teachers' Retirement Fund 1996 Account &amp; Pre-2689</t>
  </si>
  <si>
    <t>Teachers' Retirement Fund 1996 Account &amp; Pre-2690</t>
  </si>
  <si>
    <t>Teachers' Retirement Fund 1996 Account &amp; Pre-2691</t>
  </si>
  <si>
    <t>Teachers' Retirement Fund 1996 Account &amp; Pre-2692</t>
  </si>
  <si>
    <t>Teachers' Retirement Fund 1996 Account &amp; Pre-2693</t>
  </si>
  <si>
    <t>Teachers' Retirement Fund 1996 Account &amp; Pre-2694</t>
  </si>
  <si>
    <t>Teachers' Retirement Fund 1996 Account &amp; Pre-2695</t>
  </si>
  <si>
    <t>Teachers' Retirement Fund 1996 Account &amp; Pre-2696</t>
  </si>
  <si>
    <t>Teachers' Retirement Fund 1996 Account &amp; Pre-2697</t>
  </si>
  <si>
    <t>Teachers' Retirement Fund 1996 Account &amp; Pre-2698</t>
  </si>
  <si>
    <t>Teachers' Retirement Fund 1996 Account &amp; Pre-2699</t>
  </si>
  <si>
    <t>Teachers' Retirement Fund 1996 Account &amp; Pre-2700</t>
  </si>
  <si>
    <t>Teachers' Retirement Fund 1996 Account &amp; Pre-2701</t>
  </si>
  <si>
    <t>Teachers' Retirement Fund 1996 Account &amp; Pre-2702</t>
  </si>
  <si>
    <t>Teachers' Retirement Fund 1996 Account &amp; Pre-2703</t>
  </si>
  <si>
    <t>Teachers' Retirement Fund 1996 Account &amp; Pre-2704</t>
  </si>
  <si>
    <t>Teachers' Retirement Fund 1996 Account &amp; Pre-2705</t>
  </si>
  <si>
    <t>Teachers' Retirement Fund 1996 Account &amp; Pre-2706</t>
  </si>
  <si>
    <t>Teachers' Retirement Fund 1996 Account &amp; Pre-2707</t>
  </si>
  <si>
    <t>Teachers' Retirement Fund 1996 Account &amp; Pre-2708</t>
  </si>
  <si>
    <t>Teachers' Retirement Fund 1996 Account &amp; Pre-2709</t>
  </si>
  <si>
    <t>Teachers' Retirement Fund 1996 Account &amp; Pre-2710</t>
  </si>
  <si>
    <t>Teachers' Retirement Fund 1996 Account &amp; Pre-2711</t>
  </si>
  <si>
    <t>Teachers' Retirement Fund 1996 Account &amp; Pre-2712</t>
  </si>
  <si>
    <t>Teachers' Retirement Fund 1996 Account &amp; Pre-2713</t>
  </si>
  <si>
    <t>Teachers' Retirement Fund 1996 Account &amp; Pre-2714</t>
  </si>
  <si>
    <t>Teachers' Retirement Fund 1996 Account &amp; Pre-2715</t>
  </si>
  <si>
    <t>Teachers' Retirement Fund 1996 Account &amp; Pre-2716</t>
  </si>
  <si>
    <t>Teachers' Retirement Fund 1996 Account &amp; Pre-2717</t>
  </si>
  <si>
    <t>Teachers' Retirement Fund 1996 Account &amp; Pre-2718</t>
  </si>
  <si>
    <t>Teachers' Retirement Fund 1996 Account &amp; Pre-2719</t>
  </si>
  <si>
    <t>Teachers' Retirement Fund 1996 Account &amp; Pre-2720</t>
  </si>
  <si>
    <t>Teachers' Retirement Fund 1996 Account &amp; Pre-2721</t>
  </si>
  <si>
    <t>Teachers' Retirement Fund 1996 Account &amp; Pre-2722</t>
  </si>
  <si>
    <t>Teachers' Retirement Fund 1996 Account &amp; Pre-2723</t>
  </si>
  <si>
    <t>Teachers' Retirement Fund 1996 Account &amp; Pre-2724</t>
  </si>
  <si>
    <t>Teachers' Retirement Fund 1996 Account &amp; Pre-2725</t>
  </si>
  <si>
    <t>Teachers' Retirement Fund 1996 Account &amp; Pre-2726</t>
  </si>
  <si>
    <t>Teachers' Retirement Fund 1996 Account &amp; Pre-2727</t>
  </si>
  <si>
    <t>Teachers' Retirement Fund 1996 Account &amp; Pre-2728</t>
  </si>
  <si>
    <t>Teachers' Retirement Fund 1996 Account &amp; Pre-2729</t>
  </si>
  <si>
    <t>Teachers' Retirement Fund 1996 Account &amp; Pre-2730</t>
  </si>
  <si>
    <t>Teachers' Retirement Fund 1996 Account &amp; Pre-2731</t>
  </si>
  <si>
    <t>Teachers' Retirement Fund 1996 Account &amp; Pre-2732</t>
  </si>
  <si>
    <t>Teachers' Retirement Fund 1996 Account &amp; Pre-2733</t>
  </si>
  <si>
    <t>Teachers' Retirement Fund 1996 Account &amp; Pre-2734</t>
  </si>
  <si>
    <t>Teachers' Retirement Fund 1996 Account &amp; Pre-2735</t>
  </si>
  <si>
    <t>Teachers' Retirement Fund 1996 Account &amp; Pre-2736</t>
  </si>
  <si>
    <t>Teachers' Retirement Fund 1996 Account &amp; Pre-2737</t>
  </si>
  <si>
    <t>Teachers' Retirement Fund 1996 Account &amp; Pre-2738</t>
  </si>
  <si>
    <t>Teachers' Retirement Fund 1996 Account &amp; Pre-2739</t>
  </si>
  <si>
    <t>Teachers' Retirement Fund 1996 Account &amp; Pre-2740</t>
  </si>
  <si>
    <t>Teachers' Retirement Fund 1996 Account &amp; Pre-2741</t>
  </si>
  <si>
    <t>Teachers' Retirement Fund 1996 Account &amp; Pre-2742</t>
  </si>
  <si>
    <t>Teachers' Retirement Fund 1996 Account &amp; Pre-2743</t>
  </si>
  <si>
    <t>Teachers' Retirement Fund 1996 Account &amp; Pre-2744</t>
  </si>
  <si>
    <t>Teachers' Retirement Fund 1996 Account &amp; Pre-2745</t>
  </si>
  <si>
    <t>Teachers' Retirement Fund 1996 Account &amp; Pre-2746</t>
  </si>
  <si>
    <t>Teachers' Retirement Fund 1996 Account &amp; Pre-2747</t>
  </si>
  <si>
    <t>Teachers' Retirement Fund 1996 Account &amp; Pre-2748</t>
  </si>
  <si>
    <t>Teachers' Retirement Fund 1996 Account &amp; Pre-2749</t>
  </si>
  <si>
    <t>Teachers' Retirement Fund 1996 Account &amp; Pre-2750</t>
  </si>
  <si>
    <t>Teachers' Retirement Fund 1996 Account &amp; Pre-2751</t>
  </si>
  <si>
    <t>Teachers' Retirement Fund 1996 Account &amp; Pre-2752</t>
  </si>
  <si>
    <t>Teachers' Retirement Fund 1996 Account &amp; Pre-2753</t>
  </si>
  <si>
    <t>Teachers' Retirement Fund 1996 Account &amp; Pre-2754</t>
  </si>
  <si>
    <t>Teachers' Retirement Fund 1996 Account &amp; Pre-2755</t>
  </si>
  <si>
    <t>Teachers' Retirement Fund 1996 Account &amp; Pre-2756</t>
  </si>
  <si>
    <t>Teachers' Retirement Fund 1996 Account &amp; Pre-2757</t>
  </si>
  <si>
    <t>Teachers' Retirement Fund 1996 Account &amp; Pre-2758</t>
  </si>
  <si>
    <t>Teachers' Retirement Fund 1996 Account &amp; Pre-2759</t>
  </si>
  <si>
    <t>Teachers' Retirement Fund 1996 Account &amp; Pre-2760</t>
  </si>
  <si>
    <t>Teachers' Retirement Fund 1996 Account &amp; Pre-2761</t>
  </si>
  <si>
    <t>Teachers' Retirement Fund 1996 Account &amp; Pre-2762</t>
  </si>
  <si>
    <t>Teachers' Retirement Fund 1996 Account &amp; Pre-2763</t>
  </si>
  <si>
    <t>Teachers' Retirement Fund 1996 Account &amp; Pre-2764</t>
  </si>
  <si>
    <t>Teachers' Retirement Fund 1996 Account &amp; Pre-2765</t>
  </si>
  <si>
    <t>Teachers' Retirement Fund 1996 Account &amp; Pre-2766</t>
  </si>
  <si>
    <t>Teachers' Retirement Fund 1996 Account &amp; Pre-2767</t>
  </si>
  <si>
    <t>Teachers' Retirement Fund 1996 Account &amp; Pre-2768</t>
  </si>
  <si>
    <t>Teachers' Retirement Fund 1996 Account &amp; Pre-2769</t>
  </si>
  <si>
    <t>Teachers' Retirement Fund 1996 Account &amp; Pre-2770</t>
  </si>
  <si>
    <t>Teachers' Retirement Fund 1996 Account &amp; Pre-2771</t>
  </si>
  <si>
    <t>Teachers' Retirement Fund 1996 Account &amp; Pre-2772</t>
  </si>
  <si>
    <t>Teachers' Retirement Fund 1996 Account &amp; Pre-2773</t>
  </si>
  <si>
    <t>Teachers' Retirement Fund 1996 Account &amp; Pre-2774</t>
  </si>
  <si>
    <t>Teachers' Retirement Fund 1996 Account &amp; Pre-2775</t>
  </si>
  <si>
    <t>Teachers' Retirement Fund 1996 Account &amp; Pre-2776</t>
  </si>
  <si>
    <t>Teachers' Retirement Fund 1996 Account &amp; Pre-2777</t>
  </si>
  <si>
    <t>Teachers' Retirement Fund 1996 Account &amp; Pre-2778</t>
  </si>
  <si>
    <t>Teachers' Retirement Fund 1996 Account &amp; Pre-2779</t>
  </si>
  <si>
    <t>Teachers' Retirement Fund 1996 Account &amp; Pre-2780</t>
  </si>
  <si>
    <t>Teachers' Retirement Fund 1996 Account &amp; Pre-2781</t>
  </si>
  <si>
    <t>Teachers' Retirement Fund 1996 Account &amp; Pre-2782</t>
  </si>
  <si>
    <t>Teachers' Retirement Fund 1996 Account &amp; Pre-2783</t>
  </si>
  <si>
    <t>Teachers' Retirement Fund 1996 Account &amp; Pre-2784</t>
  </si>
  <si>
    <t>Teachers' Retirement Fund 1996 Account &amp; Pre-2785</t>
  </si>
  <si>
    <t>Teachers' Retirement Fund 1996 Account &amp; Pre-2786</t>
  </si>
  <si>
    <t>Teachers' Retirement Fund 1996 Account &amp; Pre-2787</t>
  </si>
  <si>
    <t>Teachers' Retirement Fund 1996 Account &amp; Pre-2788</t>
  </si>
  <si>
    <t>Teachers' Retirement Fund 1996 Account &amp; Pre-2789</t>
  </si>
  <si>
    <t>Teachers' Retirement Fund 1996 Account &amp; Pre-2790</t>
  </si>
  <si>
    <t>Teachers' Retirement Fund 1996 Account &amp; Pre-2791</t>
  </si>
  <si>
    <t>Teachers' Retirement Fund 1996 Account &amp; Pre-2792</t>
  </si>
  <si>
    <t>Teachers' Retirement Fund 1996 Account &amp; Pre-2793</t>
  </si>
  <si>
    <t>Teachers' Retirement Fund 1996 Account &amp; Pre-2794</t>
  </si>
  <si>
    <t>Teachers' Retirement Fund 1996 Account &amp; Pre-2795</t>
  </si>
  <si>
    <t>Teachers' Retirement Fund 1996 Account &amp; Pre-2796</t>
  </si>
  <si>
    <t>Teachers' Retirement Fund 1996 Account &amp; Pre-2797</t>
  </si>
  <si>
    <t>Teachers' Retirement Fund 1996 Account &amp; Pre-2798</t>
  </si>
  <si>
    <t>Teachers' Retirement Fund 1996 Account &amp; Pre-2799</t>
  </si>
  <si>
    <t>Teachers' Retirement Fund 1996 Account &amp; Pre-2800</t>
  </si>
  <si>
    <t>Teachers' Retirement Fund 1996 Account &amp; Pre-2801</t>
  </si>
  <si>
    <t>Teachers' Retirement Fund 1996 Account &amp; Pre-2802</t>
  </si>
  <si>
    <t>Teachers' Retirement Fund 1996 Account &amp; Pre-2803</t>
  </si>
  <si>
    <t>Teachers' Retirement Fund 1996 Account &amp; Pre-2804</t>
  </si>
  <si>
    <t>Teachers' Retirement Fund 1996 Account &amp; Pre-2805</t>
  </si>
  <si>
    <t>Teachers' Retirement Fund 1996 Account &amp; Pre-2806</t>
  </si>
  <si>
    <t>Teachers' Retirement Fund 1996 Account &amp; Pre-2807</t>
  </si>
  <si>
    <t>Teachers' Retirement Fund 1996 Account &amp; Pre-2808</t>
  </si>
  <si>
    <t>Teachers' Retirement Fund 1996 Account &amp; Pre-2809</t>
  </si>
  <si>
    <t>Teachers' Retirement Fund 1996 Account &amp; Pre-2810</t>
  </si>
  <si>
    <t>Teachers' Retirement Fund 1996 Account &amp; Pre-2811</t>
  </si>
  <si>
    <t>Teachers' Retirement Fund 1996 Account &amp; Pre-2812</t>
  </si>
  <si>
    <t>Teachers' Retirement Fund 1996 Account &amp; Pre-2813</t>
  </si>
  <si>
    <t>Teachers' Retirement Fund 1996 Account &amp; Pre-2814</t>
  </si>
  <si>
    <t>Teachers' Retirement Fund 1996 Account &amp; Pre-2815</t>
  </si>
  <si>
    <t>Teachers' Retirement Fund 1996 Account &amp; Pre-2816</t>
  </si>
  <si>
    <t>Teachers' Retirement Fund 1996 Account &amp; Pre-2817</t>
  </si>
  <si>
    <t>Teachers' Retirement Fund 1996 Account &amp; Pre-2818</t>
  </si>
  <si>
    <t>Teachers' Retirement Fund 1996 Account &amp; Pre-2819</t>
  </si>
  <si>
    <t>Teachers' Retirement Fund 1996 Account &amp; Pre-2820</t>
  </si>
  <si>
    <t>Teachers' Retirement Fund 1996 Account &amp; Pre-2821</t>
  </si>
  <si>
    <t>Teachers' Retirement Fund 1996 Account &amp; Pre-2822</t>
  </si>
  <si>
    <t>Teachers' Retirement Fund 1996 Account &amp; Pre-2823</t>
  </si>
  <si>
    <t>Teachers' Retirement Fund 1996 Account &amp; Pre-2824</t>
  </si>
  <si>
    <t>Teachers' Retirement Fund 1996 Account &amp; Pre-2825</t>
  </si>
  <si>
    <t>Teachers' Retirement Fund 1996 Account &amp; Pre-2826</t>
  </si>
  <si>
    <t>Teachers' Retirement Fund 1996 Account &amp; Pre-2827</t>
  </si>
  <si>
    <t>Teachers' Retirement Fund 1996 Account &amp; Pre-2828</t>
  </si>
  <si>
    <t>Teachers' Retirement Fund 1996 Account &amp; Pre-2829</t>
  </si>
  <si>
    <t>Teachers' Retirement Fund 1996 Account &amp; Pre-2830</t>
  </si>
  <si>
    <t>Teachers' Retirement Fund 1996 Account &amp; Pre-2831</t>
  </si>
  <si>
    <t>Teachers' Retirement Fund 1996 Account &amp; Pre-2832</t>
  </si>
  <si>
    <t>Teachers' Retirement Fund 1996 Account &amp; Pre-2833</t>
  </si>
  <si>
    <t>Teachers' Retirement Fund 1996 Account &amp; Pre-2834</t>
  </si>
  <si>
    <t>Teachers' Retirement Fund 1996 Account &amp; Pre-2835</t>
  </si>
  <si>
    <t>Teachers' Retirement Fund 1996 Account &amp; Pre-2836</t>
  </si>
  <si>
    <t>Teachers' Retirement Fund 1996 Account &amp; Pre-2837</t>
  </si>
  <si>
    <t>Teachers' Retirement Fund 1996 Account &amp; Pre-2838</t>
  </si>
  <si>
    <t>Teachers' Retirement Fund 1996 Account &amp; Pre-2839</t>
  </si>
  <si>
    <t>Teachers' Retirement Fund 1996 Account &amp; Pre-2840</t>
  </si>
  <si>
    <t>Teachers' Retirement Fund 1996 Account &amp; Pre-2841</t>
  </si>
  <si>
    <t>Teachers' Retirement Fund 1996 Account &amp; Pre-2842</t>
  </si>
  <si>
    <t>Teachers' Retirement Fund 1996 Account &amp; Pre-2843</t>
  </si>
  <si>
    <t>Teachers' Retirement Fund 1996 Account &amp; Pre-2844</t>
  </si>
  <si>
    <t>Teachers' Retirement Fund 1996 Account &amp; Pre-2845</t>
  </si>
  <si>
    <t>Teachers' Retirement Fund 1996 Account &amp; Pre-2846</t>
  </si>
  <si>
    <t>Teachers' Retirement Fund 1996 Account &amp; Pre-2847</t>
  </si>
  <si>
    <t>Teachers' Retirement Fund 1996 Account &amp; Pre-2848</t>
  </si>
  <si>
    <t>Teachers' Retirement Fund 1996 Account &amp; Pre-2849</t>
  </si>
  <si>
    <t>Teachers' Retirement Fund 1996 Account &amp; Pre-2850</t>
  </si>
  <si>
    <t>Teachers' Retirement Fund 1996 Account &amp; Pre-2851</t>
  </si>
  <si>
    <t>Teachers' Retirement Fund 1996 Account &amp; Pre-2852</t>
  </si>
  <si>
    <t>Teachers' Retirement Fund 1996 Account &amp; Pre-2853</t>
  </si>
  <si>
    <t>Teachers' Retirement Fund 1996 Account &amp; Pre-2854</t>
  </si>
  <si>
    <t>Teachers' Retirement Fund 1996 Account &amp; Pre-2855</t>
  </si>
  <si>
    <t>Teachers' Retirement Fund 1996 Account &amp; Pre-2856</t>
  </si>
  <si>
    <t>Teachers' Retirement Fund 1996 Account &amp; Pre-2857</t>
  </si>
  <si>
    <t>Teachers' Retirement Fund 1996 Account &amp; Pre-2858</t>
  </si>
  <si>
    <t>Teachers' Retirement Fund 1996 Account &amp; Pre-2859</t>
  </si>
  <si>
    <t>Teachers' Retirement Fund 1996 Account &amp; Pre-2860</t>
  </si>
  <si>
    <t>Teachers' Retirement Fund 1996 Account &amp; Pre-2861</t>
  </si>
  <si>
    <t>Teachers' Retirement Fund 1996 Account &amp; Pre-2862</t>
  </si>
  <si>
    <t>Teachers' Retirement Fund 1996 Account &amp; Pre-2863</t>
  </si>
  <si>
    <t>Teachers' Retirement Fund 1996 Account &amp; Pre-2864</t>
  </si>
  <si>
    <t>Teachers' Retirement Fund 1996 Account &amp; Pre-2865</t>
  </si>
  <si>
    <t>Teachers' Retirement Fund 1996 Account &amp; Pre-2866</t>
  </si>
  <si>
    <t>Teachers' Retirement Fund 1996 Account &amp; Pre-2867</t>
  </si>
  <si>
    <t>Teachers' Retirement Fund 1996 Account &amp; Pre-2868</t>
  </si>
  <si>
    <t>Teachers' Retirement Fund 1996 Account &amp; Pre-2869</t>
  </si>
  <si>
    <t>Teachers' Retirement Fund 1996 Account &amp; Pre-2870</t>
  </si>
  <si>
    <t>Teachers' Retirement Fund 1996 Account &amp; Pre-2871</t>
  </si>
  <si>
    <t>Teachers' Retirement Fund 1996 Account &amp; Pre-2872</t>
  </si>
  <si>
    <t>Teachers' Retirement Fund 1996 Account &amp; Pre-2873</t>
  </si>
  <si>
    <t>Teachers' Retirement Fund 1996 Account &amp; Pre-2874</t>
  </si>
  <si>
    <t>Teachers' Retirement Fund 1996 Account &amp; Pre-2875</t>
  </si>
  <si>
    <t>Teachers' Retirement Fund 1996 Account &amp; Pre-2876</t>
  </si>
  <si>
    <t>Teachers' Retirement Fund 1996 Account &amp; Pre-2877</t>
  </si>
  <si>
    <t>Teachers' Retirement Fund 1996 Account &amp; Pre-2878</t>
  </si>
  <si>
    <t>Teachers' Retirement Fund 1996 Account &amp; Pre-2879</t>
  </si>
  <si>
    <t>Teachers' Retirement Fund 1996 Account &amp; Pre-2880</t>
  </si>
  <si>
    <t>Teachers' Retirement Fund 1996 Account &amp; Pre-2881</t>
  </si>
  <si>
    <t>Teachers' Retirement Fund 1996 Account &amp; Pre-2882</t>
  </si>
  <si>
    <t>Teachers' Retirement Fund 1996 Account &amp; Pre-2883</t>
  </si>
  <si>
    <t>Teachers' Retirement Fund 1996 Account &amp; Pre-2884</t>
  </si>
  <si>
    <t>Teachers' Retirement Fund 1996 Account &amp; Pre-2885</t>
  </si>
  <si>
    <t>Teachers' Retirement Fund 1996 Account &amp; Pre-2886</t>
  </si>
  <si>
    <t>Teachers' Retirement Fund 1996 Account &amp; Pre-2887</t>
  </si>
  <si>
    <t>Teachers' Retirement Fund 1996 Account &amp; Pre-2888</t>
  </si>
  <si>
    <t>Teachers' Retirement Fund 1996 Account &amp; Pre-2889</t>
  </si>
  <si>
    <t>Teachers' Retirement Fund 1996 Account &amp; Pre-2890</t>
  </si>
  <si>
    <t>Teachers' Retirement Fund 1996 Account &amp; Pre-2891</t>
  </si>
  <si>
    <t>Teachers' Retirement Fund 1996 Account &amp; Pre-2892</t>
  </si>
  <si>
    <t>Teachers' Retirement Fund 1996 Account &amp; Pre-2893</t>
  </si>
  <si>
    <t>Teachers' Retirement Fund 1996 Account &amp; Pre-2894</t>
  </si>
  <si>
    <t>Teachers' Retirement Fund 1996 Account &amp; Pre-2895</t>
  </si>
  <si>
    <t>Teachers' Retirement Fund 1996 Account &amp; Pre-2896</t>
  </si>
  <si>
    <t>Teachers' Retirement Fund 1996 Account &amp; Pre-2897</t>
  </si>
  <si>
    <t>Teachers' Retirement Fund 1996 Account &amp; Pre-2898</t>
  </si>
  <si>
    <t>Teachers' Retirement Fund 1996 Account &amp; Pre-2899</t>
  </si>
  <si>
    <t>Teachers' Retirement Fund 1996 Account &amp; Pre-2900</t>
  </si>
  <si>
    <t>Teachers' Retirement Fund 1996 Account &amp; Pre-2901</t>
  </si>
  <si>
    <t>Teachers' Retirement Fund 1996 Account &amp; Pre-2902</t>
  </si>
  <si>
    <t>Teachers' Retirement Fund 1996 Account &amp; Pre-2903</t>
  </si>
  <si>
    <t>Teachers' Retirement Fund 1996 Account &amp; Pre-2904</t>
  </si>
  <si>
    <t>Teachers' Retirement Fund 1996 Account &amp; Pre-2905</t>
  </si>
  <si>
    <t>Teachers' Retirement Fund 1996 Account &amp; Pre-2906</t>
  </si>
  <si>
    <t>Teachers' Retirement Fund 1996 Account &amp; Pre-2907</t>
  </si>
  <si>
    <t>Teachers' Retirement Fund 1996 Account &amp; Pre-2908</t>
  </si>
  <si>
    <t>Teachers' Retirement Fund 1996 Account &amp; Pre-2909</t>
  </si>
  <si>
    <t>Teachers' Retirement Fund 1996 Account &amp; Pre-2910</t>
  </si>
  <si>
    <t>Teachers' Retirement Fund 1996 Account &amp; Pre-2911</t>
  </si>
  <si>
    <t>Teachers' Retirement Fund 1996 Account &amp; Pre-2912</t>
  </si>
  <si>
    <t>Teachers' Retirement Fund 1996 Account &amp; Pre-2913</t>
  </si>
  <si>
    <t>Teachers' Retirement Fund 1996 Account &amp; Pre-2914</t>
  </si>
  <si>
    <t>Teachers' Retirement Fund 1996 Account &amp; Pre-2915</t>
  </si>
  <si>
    <t>Teachers' Retirement Fund 1996 Account &amp; Pre-2916</t>
  </si>
  <si>
    <t>Teachers' Retirement Fund 1996 Account &amp; Pre-2917</t>
  </si>
  <si>
    <t>Teachers' Retirement Fund 1996 Account &amp; Pre-2918</t>
  </si>
  <si>
    <t>Teachers' Retirement Fund 1996 Account &amp; Pre-2919</t>
  </si>
  <si>
    <t>Teachers' Retirement Fund 1996 Account &amp; Pre-2920</t>
  </si>
  <si>
    <t>Teachers' Retirement Fund 1996 Account &amp; Pre-2921</t>
  </si>
  <si>
    <t>Teachers' Retirement Fund 1996 Account &amp; Pre-2922</t>
  </si>
  <si>
    <t>Teachers' Retirement Fund 1996 Account &amp; Pre-2923</t>
  </si>
  <si>
    <t>Teachers' Retirement Fund 1996 Account &amp; Pre-2924</t>
  </si>
  <si>
    <t>Teachers' Retirement Fund 1996 Account &amp; Pre-2925</t>
  </si>
  <si>
    <t>Teachers' Retirement Fund 1996 Account &amp; Pre-2926</t>
  </si>
  <si>
    <t>Teachers' Retirement Fund 1996 Account &amp; Pre-2927</t>
  </si>
  <si>
    <t>Teachers' Retirement Fund 1996 Account &amp; Pre-2928</t>
  </si>
  <si>
    <t>Teachers' Retirement Fund 1996 Account &amp; Pre-2929</t>
  </si>
  <si>
    <t>Teachers' Retirement Fund 1996 Account &amp; Pre-2930</t>
  </si>
  <si>
    <t>Teachers' Retirement Fund 1996 Account &amp; Pre-2931</t>
  </si>
  <si>
    <t>Teachers' Retirement Fund 1996 Account &amp; Pre-2932</t>
  </si>
  <si>
    <t>Teachers' Retirement Fund 1996 Account &amp; Pre-2933</t>
  </si>
  <si>
    <t>Teachers' Retirement Fund 1996 Account &amp; Pre-2934</t>
  </si>
  <si>
    <t>Teachers' Retirement Fund 1996 Account &amp; Pre-2935</t>
  </si>
  <si>
    <t>Teachers' Retirement Fund 1996 Account &amp; Pre-2936</t>
  </si>
  <si>
    <t>Teachers' Retirement Fund 1996 Account &amp; Pre-2937</t>
  </si>
  <si>
    <t>Teachers' Retirement Fund 1996 Account &amp; Pre-2938</t>
  </si>
  <si>
    <t>Teachers' Retirement Fund 1996 Account &amp; Pre-2939</t>
  </si>
  <si>
    <t>Teachers' Retirement Fund 1996 Account &amp; Pre-2940</t>
  </si>
  <si>
    <t>Teachers' Retirement Fund 1996 Account &amp; Pre-2941</t>
  </si>
  <si>
    <t>Teachers' Retirement Fund 1996 Account &amp; Pre-2942</t>
  </si>
  <si>
    <t>Teachers' Retirement Fund 1996 Account &amp; Pre-2943</t>
  </si>
  <si>
    <t>Teachers' Retirement Fund 1996 Account &amp; Pre-2944</t>
  </si>
  <si>
    <t>Teachers' Retirement Fund 1996 Account &amp; Pre-2945</t>
  </si>
  <si>
    <t>Teachers' Retirement Fund 1996 Account &amp; Pre-2946</t>
  </si>
  <si>
    <t>Teachers' Retirement Fund 1996 Account &amp; Pre-2947</t>
  </si>
  <si>
    <t>Teachers' Retirement Fund 1996 Account &amp; Pre-2948</t>
  </si>
  <si>
    <t>Teachers' Retirement Fund 1996 Account &amp; Pre-2949</t>
  </si>
  <si>
    <t>Teachers' Retirement Fund 1996 Account &amp; Pre-2950</t>
  </si>
  <si>
    <t>Teachers' Retirement Fund 1996 Account &amp; Pre-2951</t>
  </si>
  <si>
    <t>Teachers' Retirement Fund 1996 Account &amp; Pre-2952</t>
  </si>
  <si>
    <t>Teachers' Retirement Fund 1996 Account &amp; Pre-2953</t>
  </si>
  <si>
    <t>Teachers' Retirement Fund 1996 Account &amp; Pre-2954</t>
  </si>
  <si>
    <t>Teachers' Retirement Fund 1996 Account &amp; Pre-2955</t>
  </si>
  <si>
    <t>Teachers' Retirement Fund 1996 Account &amp; Pre-2956</t>
  </si>
  <si>
    <t>Teachers' Retirement Fund 1996 Account &amp; Pre-2957</t>
  </si>
  <si>
    <t>Teachers' Retirement Fund 1996 Account &amp; Pre-2958</t>
  </si>
  <si>
    <t>Teachers' Retirement Fund 1996 Account &amp; Pre-2959</t>
  </si>
  <si>
    <t>Teachers' Retirement Fund 1996 Account &amp; Pre-2960</t>
  </si>
  <si>
    <t>Teachers' Retirement Fund 1996 Account &amp; Pre-2961</t>
  </si>
  <si>
    <t>Teachers' Retirement Fund 1996 Account &amp; Pre-2962</t>
  </si>
  <si>
    <t>Teachers' Retirement Fund 1996 Account &amp; Pre-2963</t>
  </si>
  <si>
    <t>Teachers' Retirement Fund 1996 Account &amp; Pre-2964</t>
  </si>
  <si>
    <t>Teachers' Retirement Fund 1996 Account &amp; Pre-2965</t>
  </si>
  <si>
    <t>Teachers' Retirement Fund 1996 Account &amp; Pre-2966</t>
  </si>
  <si>
    <t>Teachers' Retirement Fund 1996 Account &amp; Pre-2967</t>
  </si>
  <si>
    <t>Teachers' Retirement Fund 1996 Account &amp; Pre-2968</t>
  </si>
  <si>
    <t>Teachers' Retirement Fund 1996 Account &amp; Pre-2969</t>
  </si>
  <si>
    <t>Teachers' Retirement Fund 1996 Account &amp; Pre-2970</t>
  </si>
  <si>
    <t>Teachers' Retirement Fund 1996 Account &amp; Pre-2971</t>
  </si>
  <si>
    <t>Teachers' Retirement Fund 1996 Account &amp; Pre-2972</t>
  </si>
  <si>
    <t>Teachers' Retirement Fund 1996 Account &amp; Pre-2973</t>
  </si>
  <si>
    <t>Teachers' Retirement Fund 1996 Account &amp; Pre-2974</t>
  </si>
  <si>
    <t>Teachers' Retirement Fund 1996 Account &amp; Pre-2975</t>
  </si>
  <si>
    <t>Teachers' Retirement Fund 1996 Account &amp; Pre-2976</t>
  </si>
  <si>
    <t>Teachers' Retirement Fund 1996 Account &amp; Pre-2977</t>
  </si>
  <si>
    <t>Teachers' Retirement Fund 1996 Account &amp; Pre-2978</t>
  </si>
  <si>
    <t>Teachers' Retirement Fund 1996 Account &amp; Pre-2979</t>
  </si>
  <si>
    <t>Teachers' Retirement Fund 1996 Account &amp; Pre-2980</t>
  </si>
  <si>
    <t>Teachers' Retirement Fund 1996 Account &amp; Pre-2981</t>
  </si>
  <si>
    <t>Teachers' Retirement Fund 1996 Account &amp; Pre-2982</t>
  </si>
  <si>
    <t>Teachers' Retirement Fund 1996 Account &amp; Pre-2983</t>
  </si>
  <si>
    <t>Teachers' Retirement Fund 1996 Account &amp; Pre-2984</t>
  </si>
  <si>
    <t>Teachers' Retirement Fund 1996 Account &amp; Pre-2985</t>
  </si>
  <si>
    <t>Teachers' Retirement Fund 1996 Account &amp; Pre-2986</t>
  </si>
  <si>
    <t>Teachers' Retirement Fund 1996 Account &amp; Pre-2987</t>
  </si>
  <si>
    <t>Teachers' Retirement Fund 1996 Account &amp; Pre-2988</t>
  </si>
  <si>
    <t>Teachers' Retirement Fund 1996 Account &amp; Pre-2989</t>
  </si>
  <si>
    <t>Teachers' Retirement Fund 1996 Account &amp; Pre-2990</t>
  </si>
  <si>
    <t>Teachers' Retirement Fund 1996 Account &amp; Pre-2991</t>
  </si>
  <si>
    <t>Teachers' Retirement Fund 1996 Account &amp; Pre-2992</t>
  </si>
  <si>
    <t>Teachers' Retirement Fund 1996 Account &amp; Pre-2993</t>
  </si>
  <si>
    <t>Teachers' Retirement Fund 1996 Account &amp; Pre-2994</t>
  </si>
  <si>
    <t>Teachers' Retirement Fund 1996 Account &amp; Pre-2995</t>
  </si>
  <si>
    <t>Teachers' Retirement Fund 1996 Account &amp; Pre-2996</t>
  </si>
  <si>
    <t>Teachers' Retirement Fund 1996 Account &amp; Pre-2997</t>
  </si>
  <si>
    <t>Teachers' Retirement Fund 1996 Account &amp; Pre-2998</t>
  </si>
  <si>
    <t>Teachers' Retirement Fund 1996 Account &amp; Pre-2999</t>
  </si>
  <si>
    <t>Teachers' Retirement Fund 1996 Account &amp; Pre-3000</t>
  </si>
  <si>
    <t>Teachers' Retirement Fund 1996 Account &amp; Pre-3001</t>
  </si>
  <si>
    <t>Teachers' Retirement Fund 1996 Account &amp; Pre-3002</t>
  </si>
  <si>
    <t>Teachers' Retirement Fund 1996 Account &amp; Pre-3003</t>
  </si>
  <si>
    <t>Teachers' Retirement Fund 1996 Account &amp; Pre-3004</t>
  </si>
  <si>
    <t>Teachers' Retirement Fund 1996 Account &amp; Pre-3005</t>
  </si>
  <si>
    <t>Teachers' Retirement Fund 1996 Account &amp; Pre-3006</t>
  </si>
  <si>
    <t>Teachers' Retirement Fund 1996 Account &amp; Pre-3007</t>
  </si>
  <si>
    <t>Teachers' Retirement Fund 1996 Account &amp; Pre-3008</t>
  </si>
  <si>
    <t>Teachers' Retirement Fund 1996 Account &amp; Pre-3009</t>
  </si>
  <si>
    <t>Teachers' Retirement Fund 1996 Account &amp; Pre-3010</t>
  </si>
  <si>
    <t>Teachers' Retirement Fund 1996 Account &amp; Pre-3011</t>
  </si>
  <si>
    <t>Teachers' Retirement Fund 1996 Account &amp; Pre-3012</t>
  </si>
  <si>
    <t>Teachers' Retirement Fund 1996 Account &amp; Pre-3013</t>
  </si>
  <si>
    <t>Teachers' Retirement Fund 1996 Account &amp; Pre-3014</t>
  </si>
  <si>
    <t>Teachers' Retirement Fund 1996 Account &amp; Pre-3015</t>
  </si>
  <si>
    <t>Teachers' Retirement Fund 1996 Account &amp; Pre-3016</t>
  </si>
  <si>
    <t>Teachers' Retirement Fund 1996 Account &amp; Pre-3017</t>
  </si>
  <si>
    <t>Teachers' Retirement Fund 1996 Account &amp; Pre-3018</t>
  </si>
  <si>
    <t>Teachers' Retirement Fund 1996 Account &amp; Pre-3019</t>
  </si>
  <si>
    <t>Teachers' Retirement Fund 1996 Account &amp; Pre-3020</t>
  </si>
  <si>
    <t>Teachers' Retirement Fund 1996 Account &amp; Pre-3021</t>
  </si>
  <si>
    <t>Teachers' Retirement Fund 1996 Account &amp; Pre-3022</t>
  </si>
  <si>
    <t>Teachers' Retirement Fund 1996 Account &amp; Pre-3023</t>
  </si>
  <si>
    <t>Teachers' Retirement Fund 1996 Account &amp; Pre-3024</t>
  </si>
  <si>
    <t>Teachers' Retirement Fund 1996 Account &amp; Pre-3025</t>
  </si>
  <si>
    <t>Teachers' Retirement Fund 1996 Account &amp; Pre-3026</t>
  </si>
  <si>
    <t>Teachers' Retirement Fund 1996 Account &amp; Pre-3027</t>
  </si>
  <si>
    <t>Teachers' Retirement Fund 1996 Account &amp; Pre-3028</t>
  </si>
  <si>
    <t>Teachers' Retirement Fund 1996 Account &amp; Pre-3029</t>
  </si>
  <si>
    <t>Teachers' Retirement Fund 1996 Account &amp; Pre-3030</t>
  </si>
  <si>
    <t>Teachers' Retirement Fund 1996 Account &amp; Pre-3031</t>
  </si>
  <si>
    <t>Teachers' Retirement Fund 1996 Account &amp; Pre-3032</t>
  </si>
  <si>
    <t>Teachers' Retirement Fund 1996 Account &amp; Pre-3033</t>
  </si>
  <si>
    <t>Teachers' Retirement Fund 1996 Account &amp; Pre-3034</t>
  </si>
  <si>
    <t>Teachers' Retirement Fund 1996 Account &amp; Pre-3035</t>
  </si>
  <si>
    <t>Teachers' Retirement Fund 1996 Account &amp; Pre-3036</t>
  </si>
  <si>
    <t>Teachers' Retirement Fund 1996 Account &amp; Pre-3037</t>
  </si>
  <si>
    <t>Teachers' Retirement Fund 1996 Account &amp; Pre-3038</t>
  </si>
  <si>
    <t>Teachers' Retirement Fund 1996 Account &amp; Pre-3039</t>
  </si>
  <si>
    <t>Teachers' Retirement Fund 1996 Account &amp; Pre-3040</t>
  </si>
  <si>
    <t>Teachers' Retirement Fund 1996 Account &amp; Pre-3041</t>
  </si>
  <si>
    <t>Teachers' Retirement Fund 1996 Account &amp; Pre-3042</t>
  </si>
  <si>
    <t>Teachers' Retirement Fund 1996 Account &amp; Pre-3043</t>
  </si>
  <si>
    <t>Teachers' Retirement Fund 1996 Account &amp; Pre-3044</t>
  </si>
  <si>
    <t>Teachers' Retirement Fund 1996 Account &amp; Pre-3045</t>
  </si>
  <si>
    <t>Teachers' Retirement Fund 1996 Account &amp; Pre-3046</t>
  </si>
  <si>
    <t>Teachers' Retirement Fund 1996 Account &amp; Pre-3047</t>
  </si>
  <si>
    <t>Teachers' Retirement Fund 1996 Account &amp; Pre-3048</t>
  </si>
  <si>
    <t>Teachers' Retirement Fund 1996 Account &amp; Pre-3049</t>
  </si>
  <si>
    <t>Teachers' Retirement Fund 1996 Account &amp; Pre-3050</t>
  </si>
  <si>
    <t>Teachers' Retirement Fund 1996 Account &amp; Pre-3051</t>
  </si>
  <si>
    <t>Teachers' Retirement Fund 1996 Account &amp; Pre-3052</t>
  </si>
  <si>
    <t>Teachers' Retirement Fund 1996 Account &amp; Pre-3053</t>
  </si>
  <si>
    <t>Teachers' Retirement Fund 1996 Account &amp; Pre-3054</t>
  </si>
  <si>
    <t>Teachers' Retirement Fund 1996 Account &amp; Pre-3055</t>
  </si>
  <si>
    <t>Teachers' Retirement Fund 1996 Account &amp; Pre-3056</t>
  </si>
  <si>
    <t>Teachers' Retirement Fund 1996 Account &amp; Pre-3057</t>
  </si>
  <si>
    <t>Teachers' Retirement Fund 1996 Account &amp; Pre-3058</t>
  </si>
  <si>
    <t>Teachers' Retirement Fund 1996 Account &amp; Pre-3059</t>
  </si>
  <si>
    <t>Teachers' Retirement Fund 1996 Account &amp; Pre-3060</t>
  </si>
  <si>
    <t>Teachers' Retirement Fund 1996 Account &amp; Pre-3061</t>
  </si>
  <si>
    <t>Teachers' Retirement Fund 1996 Account &amp; Pre-3062</t>
  </si>
  <si>
    <t>Teachers' Retirement Fund 1996 Account &amp; Pre-3063</t>
  </si>
  <si>
    <t>Teachers' Retirement Fund 1996 Account &amp; Pre-3064</t>
  </si>
  <si>
    <t>Teachers' Retirement Fund 1996 Account &amp; Pre-3065</t>
  </si>
  <si>
    <t>Teachers' Retirement Fund 1996 Account &amp; Pre-3066</t>
  </si>
  <si>
    <t>Teachers' Retirement Fund 1996 Account &amp; Pre-3067</t>
  </si>
  <si>
    <t>Teachers' Retirement Fund 1996 Account &amp; Pre-3068</t>
  </si>
  <si>
    <t>Teachers' Retirement Fund 1996 Account &amp; Pre-3069</t>
  </si>
  <si>
    <t>Teachers' Retirement Fund 1996 Account &amp; Pre-3070</t>
  </si>
  <si>
    <t>Teachers' Retirement Fund 1996 Account &amp; Pre-3071</t>
  </si>
  <si>
    <t>Teachers' Retirement Fund 1996 Account &amp; Pre-3072</t>
  </si>
  <si>
    <t>Teachers' Retirement Fund 1996 Account &amp; Pre-3073</t>
  </si>
  <si>
    <t>Teachers' Retirement Fund 1996 Account &amp; Pre-3074</t>
  </si>
  <si>
    <t>Teachers' Retirement Fund 1996 Account &amp; Pre-3075</t>
  </si>
  <si>
    <t>Teachers' Retirement Fund 1996 Account &amp; Pre-3076</t>
  </si>
  <si>
    <t>Teachers' Retirement Fund 1996 Account &amp; Pre-3077</t>
  </si>
  <si>
    <t>Teachers' Retirement Fund 1996 Account &amp; Pre-3078</t>
  </si>
  <si>
    <t>Teachers' Retirement Fund 1996 Account &amp; Pre-3079</t>
  </si>
  <si>
    <t>Teachers' Retirement Fund 1996 Account &amp; Pre-3080</t>
  </si>
  <si>
    <t>Teachers' Retirement Fund 1996 Account &amp; Pre-3081</t>
  </si>
  <si>
    <t>Teachers' Retirement Fund 1996 Account &amp; Pre-3082</t>
  </si>
  <si>
    <t>Teachers' Retirement Fund 1996 Account &amp; Pre-3083</t>
  </si>
  <si>
    <t>Teachers' Retirement Fund 1996 Account &amp; Pre-3084</t>
  </si>
  <si>
    <t>Teachers' Retirement Fund 1996 Account &amp; Pre-3085</t>
  </si>
  <si>
    <t>Teachers' Retirement Fund 1996 Account &amp; Pre-3086</t>
  </si>
  <si>
    <t>Teachers' Retirement Fund 1996 Account &amp; Pre-3087</t>
  </si>
  <si>
    <t>Teachers' Retirement Fund 1996 Account &amp; Pre-3088</t>
  </si>
  <si>
    <t>Teachers' Retirement Fund 1996 Account &amp; Pre-3089</t>
  </si>
  <si>
    <t>Teachers' Retirement Fund 1996 Account &amp; Pre-3090</t>
  </si>
  <si>
    <t>Teachers' Retirement Fund 1996 Account &amp; Pre-3091</t>
  </si>
  <si>
    <t>Teachers' Retirement Fund 1996 Account &amp; Pre-3092</t>
  </si>
  <si>
    <t>Teachers' Retirement Fund 1996 Account &amp; Pre-3093</t>
  </si>
  <si>
    <t>Teachers' Retirement Fund 1996 Account &amp; Pre-3094</t>
  </si>
  <si>
    <t>Teachers' Retirement Fund 1996 Account &amp; Pre-3095</t>
  </si>
  <si>
    <t>Teachers' Retirement Fund 1996 Account &amp; Pre-3096</t>
  </si>
  <si>
    <t>Teachers' Retirement Fund 1996 Account &amp; Pre-3097</t>
  </si>
  <si>
    <t>Teachers' Retirement Fund 1996 Account &amp; Pre-3098</t>
  </si>
  <si>
    <t>Teachers' Retirement Fund 1996 Account &amp; Pre-3099</t>
  </si>
  <si>
    <t>Teachers' Retirement Fund 1996 Account &amp; Pre-3100</t>
  </si>
  <si>
    <t>Teachers' Retirement Fund 1996 Account &amp; Pre-3101</t>
  </si>
  <si>
    <t>Teachers' Retirement Fund 1996 Account &amp; Pre-3102</t>
  </si>
  <si>
    <t>Teachers' Retirement Fund 1996 Account &amp; Pre-3103</t>
  </si>
  <si>
    <t>Teachers' Retirement Fund 1996 Account &amp; Pre-3104</t>
  </si>
  <si>
    <t>Teachers' Retirement Fund 1996 Account &amp; Pre-3105</t>
  </si>
  <si>
    <t>Teachers' Retirement Fund 1996 Account &amp; Pre-3106</t>
  </si>
  <si>
    <t>Teachers' Retirement Fund 1996 Account &amp; Pre-3107</t>
  </si>
  <si>
    <t>Teachers' Retirement Fund 1996 Account &amp; Pre-3108</t>
  </si>
  <si>
    <t>Teachers' Retirement Fund 1996 Account &amp; Pre-3109</t>
  </si>
  <si>
    <t>Teachers' Retirement Fund 1996 Account &amp; Pre-3110</t>
  </si>
  <si>
    <t>Teachers' Retirement Fund 1996 Account &amp; Pre-3111</t>
  </si>
  <si>
    <t>Teachers' Retirement Fund 1996 Account &amp; Pre-3112</t>
  </si>
  <si>
    <t>Teachers' Retirement Fund 1996 Account &amp; Pre-3113</t>
  </si>
  <si>
    <t>Teachers' Retirement Fund 1996 Account &amp; Pre-3114</t>
  </si>
  <si>
    <t>Teachers' Retirement Fund 1996 Account &amp; Pre-3115</t>
  </si>
  <si>
    <t>Teachers' Retirement Fund 1996 Account &amp; Pre-3116</t>
  </si>
  <si>
    <t>Teachers' Retirement Fund 1996 Account &amp; Pre-3117</t>
  </si>
  <si>
    <t>Teachers' Retirement Fund 1996 Account &amp; Pre-3118</t>
  </si>
  <si>
    <t>Teachers' Retirement Fund 1996 Account &amp; Pre-3119</t>
  </si>
  <si>
    <t>Teachers' Retirement Fund 1996 Account &amp; Pre-3120</t>
  </si>
  <si>
    <t>Teachers' Retirement Fund 1996 Account &amp; Pre-3121</t>
  </si>
  <si>
    <t>Teachers' Retirement Fund 1996 Account &amp; Pre-3122</t>
  </si>
  <si>
    <t>Teachers' Retirement Fund 1996 Account &amp; Pre-3123</t>
  </si>
  <si>
    <t>Teachers' Retirement Fund 1996 Account &amp; Pre-3124</t>
  </si>
  <si>
    <t>Teachers' Retirement Fund 1996 Account &amp; Pre-3125</t>
  </si>
  <si>
    <t>Teachers' Retirement Fund 1996 Account &amp; Pre-3126</t>
  </si>
  <si>
    <t>Teachers' Retirement Fund 1996 Account &amp; Pre-3127</t>
  </si>
  <si>
    <t>Teachers' Retirement Fund 1996 Account &amp; Pre-3128</t>
  </si>
  <si>
    <t>Teachers' Retirement Fund 1996 Account &amp; Pre-3129</t>
  </si>
  <si>
    <t>Teachers' Retirement Fund 1996 Account &amp; Pre-3130</t>
  </si>
  <si>
    <t>Teachers' Retirement Fund 1996 Account &amp; Pre-3131</t>
  </si>
  <si>
    <t>Teachers' Retirement Fund 1996 Account &amp; Pre-3132</t>
  </si>
  <si>
    <t>Teachers' Retirement Fund 1996 Account &amp; Pre-3133</t>
  </si>
  <si>
    <t>Teachers' Retirement Fund 1996 Account &amp; Pre-3134</t>
  </si>
  <si>
    <t>Teachers' Retirement Fund 1996 Account &amp; Pre-3135</t>
  </si>
  <si>
    <t>Teachers' Retirement Fund 1996 Account &amp; Pre-3136</t>
  </si>
  <si>
    <t>Teachers' Retirement Fund 1996 Account &amp; Pre-3137</t>
  </si>
  <si>
    <t>Teachers' Retirement Fund 1996 Account &amp; Pre-3138</t>
  </si>
  <si>
    <t>Teachers' Retirement Fund 1996 Account &amp; Pre-3139</t>
  </si>
  <si>
    <t>Teachers' Retirement Fund 1996 Account &amp; Pre-3140</t>
  </si>
  <si>
    <t>Teachers' Retirement Fund 1996 Account &amp; Pre-3141</t>
  </si>
  <si>
    <t>Teachers' Retirement Fund 1996 Account &amp; Pre-3142</t>
  </si>
  <si>
    <t>Teachers' Retirement Fund 1996 Account &amp; Pre-3143</t>
  </si>
  <si>
    <t>Teachers' Retirement Fund 1996 Account &amp; Pre-3144</t>
  </si>
  <si>
    <t>Teachers' Retirement Fund 1996 Account &amp; Pre-3145</t>
  </si>
  <si>
    <t>Teachers' Retirement Fund 1996 Account &amp; Pre-3146</t>
  </si>
  <si>
    <t>Teachers' Retirement Fund 1996 Account &amp; Pre-3147</t>
  </si>
  <si>
    <t>Teachers' Retirement Fund 1996 Account &amp; Pre-3148</t>
  </si>
  <si>
    <t>Teachers' Retirement Fund 1996 Account &amp; Pre-3149</t>
  </si>
  <si>
    <t>Teachers' Retirement Fund 1996 Account &amp; Pre-3150</t>
  </si>
  <si>
    <t>Teachers' Retirement Fund 1996 Account &amp; Pre-3151</t>
  </si>
  <si>
    <t>Teachers' Retirement Fund 1996 Account &amp; Pre-3152</t>
  </si>
  <si>
    <t>Teachers' Retirement Fund 1996 Account &amp; Pre-3153</t>
  </si>
  <si>
    <t>Teachers' Retirement Fund 1996 Account &amp; Pre-3154</t>
  </si>
  <si>
    <t>Teachers' Retirement Fund 1996 Account &amp; Pre-3155</t>
  </si>
  <si>
    <t>Teachers' Retirement Fund 1996 Account &amp; Pre-3156</t>
  </si>
  <si>
    <t>Teachers' Retirement Fund 1996 Account &amp; Pre-3157</t>
  </si>
  <si>
    <t>Teachers' Retirement Fund 1996 Account &amp; Pre-3158</t>
  </si>
  <si>
    <t>Teachers' Retirement Fund 1996 Account &amp; Pre-3159</t>
  </si>
  <si>
    <t>Teachers' Retirement Fund 1996 Account &amp; Pre-3160</t>
  </si>
  <si>
    <t>Teachers' Retirement Fund 1996 Account &amp; Pre-3161</t>
  </si>
  <si>
    <t>Teachers' Retirement Fund 1996 Account &amp; Pre-3162</t>
  </si>
  <si>
    <t>Teachers' Retirement Fund 1996 Account &amp; Pre-3163</t>
  </si>
  <si>
    <t>Teachers' Retirement Fund 1996 Account &amp; Pre-3164</t>
  </si>
  <si>
    <t>Teachers' Retirement Fund 1996 Account &amp; Pre-3165</t>
  </si>
  <si>
    <t>Teachers' Retirement Fund 1996 Account &amp; Pre-3166</t>
  </si>
  <si>
    <t>Teachers' Retirement Fund 1996 Account &amp; Pre-3167</t>
  </si>
  <si>
    <t>Teachers' Retirement Fund 1996 Account &amp; Pre-3168</t>
  </si>
  <si>
    <t>Teachers' Retirement Fund 1996 Account &amp; Pre-3169</t>
  </si>
  <si>
    <t>Teachers' Retirement Fund 1996 Account &amp; Pre-3170</t>
  </si>
  <si>
    <t>Teachers' Retirement Fund 1996 Account &amp; Pre-3171</t>
  </si>
  <si>
    <t>Teachers' Retirement Fund 1996 Account &amp; Pre-3172</t>
  </si>
  <si>
    <t>Teachers' Retirement Fund 1996 Account &amp; Pre-3173</t>
  </si>
  <si>
    <t>Teachers' Retirement Fund 1996 Account &amp; Pre-3174</t>
  </si>
  <si>
    <t>Teachers' Retirement Fund 1996 Account &amp; Pre-3175</t>
  </si>
  <si>
    <t>Teachers' Retirement Fund 1996 Account &amp; Pre-3176</t>
  </si>
  <si>
    <t>Teachers' Retirement Fund 1996 Account &amp; Pre-3177</t>
  </si>
  <si>
    <t>Teachers' Retirement Fund 1996 Account &amp; Pre-3178</t>
  </si>
  <si>
    <t>Teachers' Retirement Fund 1996 Account &amp; Pre-3179</t>
  </si>
  <si>
    <t>Teachers' Retirement Fund 1996 Account &amp; Pre-3180</t>
  </si>
  <si>
    <t>Teachers' Retirement Fund 1996 Account &amp; Pre-3181</t>
  </si>
  <si>
    <t>Teachers' Retirement Fund 1996 Account &amp; Pre-3182</t>
  </si>
  <si>
    <t>Teachers' Retirement Fund 1996 Account &amp; Pre-3183</t>
  </si>
  <si>
    <t>Teachers' Retirement Fund 1996 Account &amp; Pre-3184</t>
  </si>
  <si>
    <t>Teachers' Retirement Fund 1996 Account &amp; Pre-3185</t>
  </si>
  <si>
    <t>Teachers' Retirement Fund 1996 Account &amp; Pre-3186</t>
  </si>
  <si>
    <t>Teachers' Retirement Fund 1996 Account &amp; Pre-3187</t>
  </si>
  <si>
    <t>Teachers' Retirement Fund 1996 Account &amp; Pre-3188</t>
  </si>
  <si>
    <t>Teachers' Retirement Fund 1996 Account &amp; Pre-3189</t>
  </si>
  <si>
    <t>Teachers' Retirement Fund 1996 Account &amp; Pre-3190</t>
  </si>
  <si>
    <t>Teachers' Retirement Fund 1996 Account &amp; Pre-3191</t>
  </si>
  <si>
    <t>Teachers' Retirement Fund 1996 Account &amp; Pre-3192</t>
  </si>
  <si>
    <t>Teachers' Retirement Fund 1996 Account &amp; Pre-3193</t>
  </si>
  <si>
    <t>Teachers' Retirement Fund 1996 Account &amp; Pre-3194</t>
  </si>
  <si>
    <t>Teachers' Retirement Fund 1996 Account &amp; Pre-3195</t>
  </si>
  <si>
    <t>Teachers' Retirement Fund 1996 Account &amp; Pre-3196</t>
  </si>
  <si>
    <t>Teachers' Retirement Fund 1996 Account &amp; Pre-3197</t>
  </si>
  <si>
    <t>Teachers' Retirement Fund 1996 Account &amp; Pre-3198</t>
  </si>
  <si>
    <t>Teachers' Retirement Fund 1996 Account &amp; Pre-3199</t>
  </si>
  <si>
    <t>Teachers' Retirement Fund 1996 Account &amp; Pre-3200</t>
  </si>
  <si>
    <t>Teachers' Retirement Fund 1996 Account &amp; Pre-3201</t>
  </si>
  <si>
    <t>Teachers' Retirement Fund 1996 Account &amp; Pre-3202</t>
  </si>
  <si>
    <t>Teachers' Retirement Fund 1996 Account &amp; Pre-3203</t>
  </si>
  <si>
    <t>Teachers' Retirement Fund 1996 Account &amp; Pre-3204</t>
  </si>
  <si>
    <t>Teachers' Retirement Fund 1996 Account &amp; Pre-3205</t>
  </si>
  <si>
    <t>Teachers' Retirement Fund 1996 Account &amp; Pre-3206</t>
  </si>
  <si>
    <t>Teachers' Retirement Fund 1996 Account &amp; Pre-3207</t>
  </si>
  <si>
    <t>Teachers' Retirement Fund 1996 Account &amp; Pre-3208</t>
  </si>
  <si>
    <t>Teachers' Retirement Fund 1996 Account &amp; Pre-3209</t>
  </si>
  <si>
    <t>Teachers' Retirement Fund 1996 Account &amp; Pre-3210</t>
  </si>
  <si>
    <t>Teachers' Retirement Fund 1996 Account &amp; Pre-3211</t>
  </si>
  <si>
    <t>Teachers' Retirement Fund 1996 Account &amp; Pre-3212</t>
  </si>
  <si>
    <t>Teachers' Retirement Fund 1996 Account &amp; Pre-3213</t>
  </si>
  <si>
    <t>Teachers' Retirement Fund 1996 Account &amp; Pre-3214</t>
  </si>
  <si>
    <t>Teachers' Retirement Fund 1996 Account &amp; Pre-3215</t>
  </si>
  <si>
    <t>Teachers' Retirement Fund 1996 Account &amp; Pre-3216</t>
  </si>
  <si>
    <t>Teachers' Retirement Fund 1996 Account &amp; Pre-3217</t>
  </si>
  <si>
    <t>Teachers' Retirement Fund 1996 Account &amp; Pre-3218</t>
  </si>
  <si>
    <t>Teachers' Retirement Fund 1996 Account &amp; Pre-3219</t>
  </si>
  <si>
    <t>Teachers' Retirement Fund 1996 Account &amp; Pre-3220</t>
  </si>
  <si>
    <t>Teachers' Retirement Fund 1996 Account &amp; Pre-3221</t>
  </si>
  <si>
    <t>Teachers' Retirement Fund 1996 Account &amp; Pre-3222</t>
  </si>
  <si>
    <t>Teachers' Retirement Fund 1996 Account &amp; Pre-3223</t>
  </si>
  <si>
    <t>Teachers' Retirement Fund 1996 Account &amp; Pre-3224</t>
  </si>
  <si>
    <t>Teachers' Retirement Fund 1996 Account &amp; Pre-3225</t>
  </si>
  <si>
    <t>Teachers' Retirement Fund 1996 Account &amp; Pre-3226</t>
  </si>
  <si>
    <t>Teachers' Retirement Fund 1996 Account &amp; Pre-3227</t>
  </si>
  <si>
    <t>Teachers' Retirement Fund 1996 Account &amp; Pre-3228</t>
  </si>
  <si>
    <t>Teachers' Retirement Fund 1996 Account &amp; Pre-3229</t>
  </si>
  <si>
    <t>Teachers' Retirement Fund 1996 Account &amp; Pre-3230</t>
  </si>
  <si>
    <t>Teachers' Retirement Fund 1996 Account &amp; Pre-3231</t>
  </si>
  <si>
    <t>Teachers' Retirement Fund 1996 Account &amp; Pre-3232</t>
  </si>
  <si>
    <t>Teachers' Retirement Fund 1996 Account &amp; Pre-3233</t>
  </si>
  <si>
    <t>Teachers' Retirement Fund 1996 Account &amp; Pre-3234</t>
  </si>
  <si>
    <t>Teachers' Retirement Fund 1996 Account &amp; Pre-3235</t>
  </si>
  <si>
    <t>Teachers' Retirement Fund 1996 Account &amp; Pre-3236</t>
  </si>
  <si>
    <t>Teachers' Retirement Fund 1996 Account &amp; Pre-3237</t>
  </si>
  <si>
    <t>Teachers' Retirement Fund 1996 Account &amp; Pre-3238</t>
  </si>
  <si>
    <t>Teachers' Retirement Fund 1996 Account &amp; Pre-3239</t>
  </si>
  <si>
    <t>Teachers' Retirement Fund 1996 Account &amp; Pre-3240</t>
  </si>
  <si>
    <t>Teachers' Retirement Fund 1996 Account &amp; Pre-3241</t>
  </si>
  <si>
    <t>Teachers' Retirement Fund 1996 Account &amp; Pre-3242</t>
  </si>
  <si>
    <t>Teachers' Retirement Fund 1996 Account &amp; Pre-3243</t>
  </si>
  <si>
    <t>Teachers' Retirement Fund 1996 Account &amp; Pre-3244</t>
  </si>
  <si>
    <t>Teachers' Retirement Fund 1996 Account &amp; Pre-3245</t>
  </si>
  <si>
    <t>Teachers' Retirement Fund 1996 Account &amp; Pre-3246</t>
  </si>
  <si>
    <t>Teachers' Retirement Fund 1996 Account &amp; Pre-3247</t>
  </si>
  <si>
    <t>Teachers' Retirement Fund 1996 Account &amp; Pre-3248</t>
  </si>
  <si>
    <t>Teachers' Retirement Fund 1996 Account &amp; Pre-3249</t>
  </si>
  <si>
    <t>Teachers' Retirement Fund 1996 Account &amp; Pre-3250</t>
  </si>
  <si>
    <t>Teachers' Retirement Fund 1996 Account &amp; Pre-3251</t>
  </si>
  <si>
    <t>Teachers' Retirement Fund 1996 Account &amp; Pre-3252</t>
  </si>
  <si>
    <t>Teachers' Retirement Fund 1996 Account &amp; Pre-3253</t>
  </si>
  <si>
    <t>Teachers' Retirement Fund 1996 Account &amp; Pre-3254</t>
  </si>
  <si>
    <t>Teachers' Retirement Fund 1996 Account &amp; Pre-3255</t>
  </si>
  <si>
    <t>Teachers' Retirement Fund 1996 Account &amp; Pre-3256</t>
  </si>
  <si>
    <t>Teachers' Retirement Fund 1996 Account &amp; Pre-3257</t>
  </si>
  <si>
    <t>Teachers' Retirement Fund 1996 Account &amp; Pre-3258</t>
  </si>
  <si>
    <t>Teachers' Retirement Fund 1996 Account &amp; Pre-3259</t>
  </si>
  <si>
    <t>Teachers' Retirement Fund 1996 Account &amp; Pre-3260</t>
  </si>
  <si>
    <t>Teachers' Retirement Fund 1996 Account &amp; Pre-3261</t>
  </si>
  <si>
    <t>Teachers' Retirement Fund 1996 Account &amp; Pre-3262</t>
  </si>
  <si>
    <t>Teachers' Retirement Fund 1996 Account &amp; Pre-3263</t>
  </si>
  <si>
    <t>Teachers' Retirement Fund 1996 Account &amp; Pre-3264</t>
  </si>
  <si>
    <t>Teachers' Retirement Fund 1996 Account &amp; Pre-3265</t>
  </si>
  <si>
    <t>Teachers' Retirement Fund 1996 Account &amp; Pre-3266</t>
  </si>
  <si>
    <t>Teachers' Retirement Fund 1996 Account &amp; Pre-3267</t>
  </si>
  <si>
    <t>Teachers' Retirement Fund 1996 Account &amp; Pre-3268</t>
  </si>
  <si>
    <t>Teachers' Retirement Fund 1996 Account &amp; Pre-3269</t>
  </si>
  <si>
    <t>Teachers' Retirement Fund 1996 Account &amp; Pre-3270</t>
  </si>
  <si>
    <t>Teachers' Retirement Fund 1996 Account &amp; Pre-3271</t>
  </si>
  <si>
    <t>Teachers' Retirement Fund 1996 Account &amp; Pre-3272</t>
  </si>
  <si>
    <t>Teachers' Retirement Fund 1996 Account &amp; Pre-3273</t>
  </si>
  <si>
    <t>Teachers' Retirement Fund 1996 Account &amp; Pre-3274</t>
  </si>
  <si>
    <t>Teachers' Retirement Fund 1996 Account &amp; Pre-3275</t>
  </si>
  <si>
    <t>Teachers' Retirement Fund 1996 Account &amp; Pre-3276</t>
  </si>
  <si>
    <t>Teachers' Retirement Fund 1996 Account &amp; Pre-3277</t>
  </si>
  <si>
    <t>Teachers' Retirement Fund 1996 Account &amp; Pre-3278</t>
  </si>
  <si>
    <t>Teachers' Retirement Fund 1996 Account &amp; Pre-3279</t>
  </si>
  <si>
    <t>Teachers' Retirement Fund 1996 Account &amp; Pre-3280</t>
  </si>
  <si>
    <t>Teachers' Retirement Fund 1996 Account &amp; Pre-3281</t>
  </si>
  <si>
    <t>Teachers' Retirement Fund 1996 Account &amp; Pre-3282</t>
  </si>
  <si>
    <t>Teachers' Retirement Fund 1996 Account &amp; Pre-3283</t>
  </si>
  <si>
    <t>Teachers' Retirement Fund 1996 Account &amp; Pre-3284</t>
  </si>
  <si>
    <t>Teachers' Retirement Fund 1996 Account &amp; Pre-3285</t>
  </si>
  <si>
    <t>Teachers' Retirement Fund 1996 Account &amp; Pre-3286</t>
  </si>
  <si>
    <t>Teachers' Retirement Fund 1996 Account &amp; Pre-3287</t>
  </si>
  <si>
    <t>Teachers' Retirement Fund 1996 Account &amp; Pre-3288</t>
  </si>
  <si>
    <t>Teachers' Retirement Fund 1996 Account &amp; Pre-3289</t>
  </si>
  <si>
    <t>Teachers' Retirement Fund 1996 Account &amp; Pre-3290</t>
  </si>
  <si>
    <t>Teachers' Retirement Fund 1996 Account &amp; Pre-3291</t>
  </si>
  <si>
    <t>Teachers' Retirement Fund 1996 Account &amp; Pre-3292</t>
  </si>
  <si>
    <t>Teachers' Retirement Fund 1996 Account &amp; Pre-3293</t>
  </si>
  <si>
    <t>Teachers' Retirement Fund 1996 Account &amp; Pre-3294</t>
  </si>
  <si>
    <t>Teachers' Retirement Fund 1996 Account &amp; Pre-3295</t>
  </si>
  <si>
    <t>Teachers' Retirement Fund 1996 Account &amp; Pre-3296</t>
  </si>
  <si>
    <t>Teachers' Retirement Fund 1996 Account &amp; Pre-3297</t>
  </si>
  <si>
    <t>Teachers' Retirement Fund 1996 Account &amp; Pre-3298</t>
  </si>
  <si>
    <t>Teachers' Retirement Fund 1996 Account &amp; Pre-3299</t>
  </si>
  <si>
    <t>Teachers' Retirement Fund 1996 Account &amp; Pre-3300</t>
  </si>
  <si>
    <t>Teachers' Retirement Fund 1996 Account &amp; Pre-3301</t>
  </si>
  <si>
    <t>Teachers' Retirement Fund 1996 Account &amp; Pre-3302</t>
  </si>
  <si>
    <t>Teachers' Retirement Fund 1996 Account &amp; Pre-3303</t>
  </si>
  <si>
    <t>Teachers' Retirement Fund 1996 Account &amp; Pre-3304</t>
  </si>
  <si>
    <t>Teachers' Retirement Fund 1996 Account &amp; Pre-3305</t>
  </si>
  <si>
    <t>Teachers' Retirement Fund 1996 Account &amp; Pre-3306</t>
  </si>
  <si>
    <t>Teachers' Retirement Fund 1996 Account &amp; Pre-3307</t>
  </si>
  <si>
    <t>Teachers' Retirement Fund 1996 Account &amp; Pre-3308</t>
  </si>
  <si>
    <t>Teachers' Retirement Fund 1996 Account &amp; Pre-3309</t>
  </si>
  <si>
    <t>Teachers' Retirement Fund 1996 Account &amp; Pre-3310</t>
  </si>
  <si>
    <t>Teachers' Retirement Fund 1996 Account &amp; Pre-3311</t>
  </si>
  <si>
    <t>Teachers' Retirement Fund 1996 Account &amp; Pre-3312</t>
  </si>
  <si>
    <t>Teachers' Retirement Fund 1996 Account &amp; Pre-3313</t>
  </si>
  <si>
    <t>Teachers' Retirement Fund 1996 Account &amp; Pre-3314</t>
  </si>
  <si>
    <t>Teachers' Retirement Fund 1996 Account &amp; Pre-3315</t>
  </si>
  <si>
    <t>Teachers' Retirement Fund 1996 Account &amp; Pre-3316</t>
  </si>
  <si>
    <t>Teachers' Retirement Fund 1996 Account &amp; Pre-3317</t>
  </si>
  <si>
    <t>Teachers' Retirement Fund 1996 Account &amp; Pre-3318</t>
  </si>
  <si>
    <t>Teachers' Retirement Fund 1996 Account &amp; Pre-3319</t>
  </si>
  <si>
    <t>Teachers' Retirement Fund 1996 Account &amp; Pre-3320</t>
  </si>
  <si>
    <t>Teachers' Retirement Fund 1996 Account &amp; Pre-3321</t>
  </si>
  <si>
    <t>Teachers' Retirement Fund 1996 Account &amp; Pre-3322</t>
  </si>
  <si>
    <t>Teachers' Retirement Fund 1996 Account &amp; Pre-3323</t>
  </si>
  <si>
    <t>Teachers' Retirement Fund 1996 Account &amp; Pre-3324</t>
  </si>
  <si>
    <t>Teachers' Retirement Fund 1996 Account &amp; Pre-3325</t>
  </si>
  <si>
    <t>Teachers' Retirement Fund 1996 Account &amp; Pre-3326</t>
  </si>
  <si>
    <t>Teachers' Retirement Fund 1996 Account &amp; Pre-3327</t>
  </si>
  <si>
    <t>Teachers' Retirement Fund 1996 Account &amp; Pre-3328</t>
  </si>
  <si>
    <t>Teachers' Retirement Fund 1996 Account &amp; Pre-3329</t>
  </si>
  <si>
    <t>Teachers' Retirement Fund 1996 Account &amp; Pre-3330</t>
  </si>
  <si>
    <t>Teachers' Retirement Fund 1996 Account &amp; Pre-3331</t>
  </si>
  <si>
    <t>Teachers' Retirement Fund 1996 Account &amp; Pre-3332</t>
  </si>
  <si>
    <t>Teachers' Retirement Fund 1996 Account &amp; Pre-3333</t>
  </si>
  <si>
    <t>Teachers' Retirement Fund 1996 Account &amp; Pre-3334</t>
  </si>
  <si>
    <t>Teachers' Retirement Fund 1996 Account &amp; Pre-3335</t>
  </si>
  <si>
    <t>Teachers' Retirement Fund 1996 Account &amp; Pre-3336</t>
  </si>
  <si>
    <t>Teachers' Retirement Fund 1996 Account &amp; Pre-3337</t>
  </si>
  <si>
    <t>Teachers' Retirement Fund 1996 Account &amp; Pre-3338</t>
  </si>
  <si>
    <t>Teachers' Retirement Fund 1996 Account &amp; Pre-3339</t>
  </si>
  <si>
    <t>Teachers' Retirement Fund 1996 Account &amp; Pre-3340</t>
  </si>
  <si>
    <t>Teachers' Retirement Fund 1996 Account &amp; Pre-3341</t>
  </si>
  <si>
    <t>Teachers' Retirement Fund 1996 Account &amp; Pre-3342</t>
  </si>
  <si>
    <t>Teachers' Retirement Fund 1996 Account &amp; Pre-3343</t>
  </si>
  <si>
    <t>Teachers' Retirement Fund 1996 Account &amp; Pre-3344</t>
  </si>
  <si>
    <t>Teachers' Retirement Fund 1996 Account &amp; Pre-3345</t>
  </si>
  <si>
    <t>Teachers' Retirement Fund 1996 Account &amp; Pre-3346</t>
  </si>
  <si>
    <t>Teachers' Retirement Fund 1996 Account &amp; Pre-3347</t>
  </si>
  <si>
    <t>Teachers' Retirement Fund 1996 Account &amp; Pre-3348</t>
  </si>
  <si>
    <t>Teachers' Retirement Fund 1996 Account &amp; Pre-3349</t>
  </si>
  <si>
    <t>Teachers' Retirement Fund 1996 Account &amp; Pre-3350</t>
  </si>
  <si>
    <t>Teachers' Retirement Fund 1996 Account &amp; Pre-3351</t>
  </si>
  <si>
    <t>Teachers' Retirement Fund 1996 Account &amp; Pre-3352</t>
  </si>
  <si>
    <t>Teachers' Retirement Fund 1996 Account &amp; Pre-3353</t>
  </si>
  <si>
    <t>Teachers' Retirement Fund 1996 Account &amp; Pre-3354</t>
  </si>
  <si>
    <t>Teachers' Retirement Fund 1996 Account &amp; Pre-3355</t>
  </si>
  <si>
    <t>Teachers' Retirement Fund 1996 Account &amp; Pre-3356</t>
  </si>
  <si>
    <t>Teachers' Retirement Fund 1996 Account &amp; Pre-3357</t>
  </si>
  <si>
    <t>Teachers' Retirement Fund 1996 Account &amp; Pre-3358</t>
  </si>
  <si>
    <t>Teachers' Retirement Fund 1996 Account &amp; Pre-3359</t>
  </si>
  <si>
    <t>Teachers' Retirement Fund 1996 Account &amp; Pre-3360</t>
  </si>
  <si>
    <t>Teachers' Retirement Fund 1996 Account &amp; Pre-3361</t>
  </si>
  <si>
    <t>Teachers' Retirement Fund 1996 Account &amp; Pre-3362</t>
  </si>
  <si>
    <t>Teachers' Retirement Fund 1996 Account &amp; Pre-3363</t>
  </si>
  <si>
    <t>Teachers' Retirement Fund 1996 Account &amp; Pre-3364</t>
  </si>
  <si>
    <t>Teachers' Retirement Fund 1996 Account &amp; Pre-3365</t>
  </si>
  <si>
    <t>Teachers' Retirement Fund 1996 Account &amp; Pre-3366</t>
  </si>
  <si>
    <t>Teachers' Retirement Fund 1996 Account &amp; Pre-3367</t>
  </si>
  <si>
    <t>Teachers' Retirement Fund 1996 Account &amp; Pre-3368</t>
  </si>
  <si>
    <t>Teachers' Retirement Fund 1996 Account &amp; Pre-3369</t>
  </si>
  <si>
    <t>Teachers' Retirement Fund 1996 Account &amp; Pre-3370</t>
  </si>
  <si>
    <t>Teachers' Retirement Fund 1996 Account &amp; Pre-3371</t>
  </si>
  <si>
    <t>Teachers' Retirement Fund 1996 Account &amp; Pre-3372</t>
  </si>
  <si>
    <t>Teachers' Retirement Fund 1996 Account &amp; Pre-3373</t>
  </si>
  <si>
    <t>Teachers' Retirement Fund 1996 Account &amp; Pre-3374</t>
  </si>
  <si>
    <t>Teachers' Retirement Fund 1996 Account &amp; Pre-3375</t>
  </si>
  <si>
    <t>Teachers' Retirement Fund 1996 Account &amp; Pre-3376</t>
  </si>
  <si>
    <t>Teachers' Retirement Fund 1996 Account &amp; Pre-3377</t>
  </si>
  <si>
    <t>Teachers' Retirement Fund 1996 Account &amp; Pre-3378</t>
  </si>
  <si>
    <t>Teachers' Retirement Fund 1996 Account &amp; Pre-3379</t>
  </si>
  <si>
    <t>Teachers' Retirement Fund 1996 Account &amp; Pre-3380</t>
  </si>
  <si>
    <t>Teachers' Retirement Fund 1996 Account &amp; Pre-3381</t>
  </si>
  <si>
    <t>Teachers' Retirement Fund 1996 Account &amp; Pre-3382</t>
  </si>
  <si>
    <t>Teachers' Retirement Fund 1996 Account &amp; Pre-3383</t>
  </si>
  <si>
    <t>Teachers' Retirement Fund 1996 Account &amp; Pre-3384</t>
  </si>
  <si>
    <t>Teachers' Retirement Fund 1996 Account &amp; Pre-3385</t>
  </si>
  <si>
    <t>Teachers' Retirement Fund 1996 Account &amp; Pre-3386</t>
  </si>
  <si>
    <t>Teachers' Retirement Fund 1996 Account &amp; Pre-3387</t>
  </si>
  <si>
    <t>Teachers' Retirement Fund 1996 Account &amp; Pre-3388</t>
  </si>
  <si>
    <t>Teachers' Retirement Fund 1996 Account &amp; Pre-3389</t>
  </si>
  <si>
    <t>Teachers' Retirement Fund 1996 Account &amp; Pre-3390</t>
  </si>
  <si>
    <t>Teachers' Retirement Fund 1996 Account &amp; Pre-3391</t>
  </si>
  <si>
    <t>Teachers' Retirement Fund 1996 Account &amp; Pre-3392</t>
  </si>
  <si>
    <t>Teachers' Retirement Fund 1996 Account &amp; Pre-3393</t>
  </si>
  <si>
    <t>Teachers' Retirement Fund 1996 Account &amp; Pre-3394</t>
  </si>
  <si>
    <t>Teachers' Retirement Fund 1996 Account &amp; Pre-3395</t>
  </si>
  <si>
    <t>Teachers' Retirement Fund 1996 Account &amp; Pre-3396</t>
  </si>
  <si>
    <t>Teachers' Retirement Fund 1996 Account &amp; Pre-3397</t>
  </si>
  <si>
    <t>Teachers' Retirement Fund 1996 Account &amp; Pre-3398</t>
  </si>
  <si>
    <t>Teachers' Retirement Fund 1996 Account &amp; Pre-3399</t>
  </si>
  <si>
    <t>Teachers' Retirement Fund 1996 Account &amp; Pre-3400</t>
  </si>
  <si>
    <t>Teachers' Retirement Fund 1996 Account &amp; Pre-3401</t>
  </si>
  <si>
    <t>Teachers' Retirement Fund 1996 Account &amp; Pre-3402</t>
  </si>
  <si>
    <t>Teachers' Retirement Fund 1996 Account &amp; Pre-3403</t>
  </si>
  <si>
    <t>Teachers' Retirement Fund 1996 Account &amp; Pre-3404</t>
  </si>
  <si>
    <t>Teachers' Retirement Fund 1996 Account &amp; Pre-3405</t>
  </si>
  <si>
    <t>Teachers' Retirement Fund 1996 Account &amp; Pre-3406</t>
  </si>
  <si>
    <t>Teachers' Retirement Fund 1996 Account &amp; Pre-3407</t>
  </si>
  <si>
    <t>Teachers' Retirement Fund 1996 Account &amp; Pre-3408</t>
  </si>
  <si>
    <t>Teachers' Retirement Fund 1996 Account &amp; Pre-3409</t>
  </si>
  <si>
    <t>Teachers' Retirement Fund 1996 Account &amp; Pre-3410</t>
  </si>
  <si>
    <t>Teachers' Retirement Fund 1996 Account &amp; Pre-3411</t>
  </si>
  <si>
    <t>Teachers' Retirement Fund 1996 Account &amp; Pre-3412</t>
  </si>
  <si>
    <t>Teachers' Retirement Fund 1996 Account &amp; Pre-3413</t>
  </si>
  <si>
    <t>Teachers' Retirement Fund 1996 Account &amp; Pre-3414</t>
  </si>
  <si>
    <t>Teachers' Retirement Fund 1996 Account &amp; Pre-3415</t>
  </si>
  <si>
    <t>Teachers' Retirement Fund 1996 Account &amp; Pre-3416</t>
  </si>
  <si>
    <t>Teachers' Retirement Fund 1996 Account &amp; Pre-3417</t>
  </si>
  <si>
    <t>Teachers' Retirement Fund 1996 Account &amp; Pre-3418</t>
  </si>
  <si>
    <t>Teachers' Retirement Fund 1996 Account &amp; Pre-3419</t>
  </si>
  <si>
    <t>Teachers' Retirement Fund 1996 Account &amp; Pre-3420</t>
  </si>
  <si>
    <t>Teachers' Retirement Fund 1996 Account &amp; Pre-3421</t>
  </si>
  <si>
    <t>Teachers' Retirement Fund 1996 Account &amp; Pre-3422</t>
  </si>
  <si>
    <t>Teachers' Retirement Fund 1996 Account &amp; Pre-3423</t>
  </si>
  <si>
    <t>Teachers' Retirement Fund 1996 Account &amp; Pre-3424</t>
  </si>
  <si>
    <t>Teachers' Retirement Fund 1996 Account &amp; Pre-3425</t>
  </si>
  <si>
    <t>Teachers' Retirement Fund 1996 Account &amp; Pre-3426</t>
  </si>
  <si>
    <t>Teachers' Retirement Fund 1996 Account &amp; Pre-3427</t>
  </si>
  <si>
    <t>Teachers' Retirement Fund 1996 Account &amp; Pre-3428</t>
  </si>
  <si>
    <t>Teachers' Retirement Fund 1996 Account &amp; Pre-3429</t>
  </si>
  <si>
    <t>Teachers' Retirement Fund 1996 Account &amp; Pre-3430</t>
  </si>
  <si>
    <t>Teachers' Retirement Fund 1996 Account &amp; Pre-3431</t>
  </si>
  <si>
    <t>Teachers' Retirement Fund 1996 Account &amp; Pre-3432</t>
  </si>
  <si>
    <t>Teachers' Retirement Fund 1996 Account &amp; Pre-3433</t>
  </si>
  <si>
    <t>Teachers' Retirement Fund 1996 Account &amp; Pre-3434</t>
  </si>
  <si>
    <t>Teachers' Retirement Fund 1996 Account &amp; Pre-3435</t>
  </si>
  <si>
    <t>Teachers' Retirement Fund 1996 Account &amp; Pre-3436</t>
  </si>
  <si>
    <t>Teachers' Retirement Fund 1996 Account &amp; Pre-3437</t>
  </si>
  <si>
    <t>Teachers' Retirement Fund 1996 Account &amp; Pre-3438</t>
  </si>
  <si>
    <t>Teachers' Retirement Fund 1996 Account &amp; Pre-3439</t>
  </si>
  <si>
    <t>Teachers' Retirement Fund 1996 Account &amp; Pre-3440</t>
  </si>
  <si>
    <t>Teachers' Retirement Fund 1996 Account &amp; Pre-3441</t>
  </si>
  <si>
    <t>Teachers' Retirement Fund 1996 Account &amp; Pre-3442</t>
  </si>
  <si>
    <t>Teachers' Retirement Fund 1996 Account &amp; Pre-3443</t>
  </si>
  <si>
    <t>Teachers' Retirement Fund 1996 Account &amp; Pre-3444</t>
  </si>
  <si>
    <t>Teachers' Retirement Fund 1996 Account &amp; Pre-3445</t>
  </si>
  <si>
    <t>Teachers' Retirement Fund 1996 Account &amp; Pre-3446</t>
  </si>
  <si>
    <t>Teachers' Retirement Fund 1996 Account &amp; Pre-3447</t>
  </si>
  <si>
    <t>Teachers' Retirement Fund 1996 Account &amp; Pre-3448</t>
  </si>
  <si>
    <t>Teachers' Retirement Fund 1996 Account &amp; Pre-3449</t>
  </si>
  <si>
    <t>Teachers' Retirement Fund 1996 Account &amp; Pre-3450</t>
  </si>
  <si>
    <t>Teachers' Retirement Fund 1996 Account &amp; Pre-3451</t>
  </si>
  <si>
    <t>Teachers' Retirement Fund 1996 Account &amp; Pre-3452</t>
  </si>
  <si>
    <t>Teachers' Retirement Fund 1996 Account &amp; Pre-3453</t>
  </si>
  <si>
    <t>Teachers' Retirement Fund 1996 Account &amp; Pre-3454</t>
  </si>
  <si>
    <t>Teachers' Retirement Fund 1996 Account &amp; Pre-3455</t>
  </si>
  <si>
    <t>Teachers' Retirement Fund 1996 Account &amp; Pre-3456</t>
  </si>
  <si>
    <t>Teachers' Retirement Fund 1996 Account &amp; Pre-3457</t>
  </si>
  <si>
    <t>Teachers' Retirement Fund 1996 Account &amp; Pre-3458</t>
  </si>
  <si>
    <t>Teachers' Retirement Fund 1996 Account &amp; Pre-3459</t>
  </si>
  <si>
    <t>Teachers' Retirement Fund 1996 Account &amp; Pre-3460</t>
  </si>
  <si>
    <t>Teachers' Retirement Fund 1996 Account &amp; Pre-3461</t>
  </si>
  <si>
    <t>Teachers' Retirement Fund 1996 Account &amp; Pre-3462</t>
  </si>
  <si>
    <t>Teachers' Retirement Fund 1996 Account &amp; Pre-3463</t>
  </si>
  <si>
    <t>Teachers' Retirement Fund 1996 Account &amp; Pre-3464</t>
  </si>
  <si>
    <t>Teachers' Retirement Fund 1996 Account &amp; Pre-3465</t>
  </si>
  <si>
    <t>Teachers' Retirement Fund 1996 Account &amp; Pre-3466</t>
  </si>
  <si>
    <t>Teachers' Retirement Fund 1996 Account &amp; Pre-3467</t>
  </si>
  <si>
    <t>Teachers' Retirement Fund 1996 Account &amp; Pre-3468</t>
  </si>
  <si>
    <t>Teachers' Retirement Fund 1996 Account &amp; Pre-3469</t>
  </si>
  <si>
    <t>Teachers' Retirement Fund 1996 Account &amp; Pre-3470</t>
  </si>
  <si>
    <t>Teachers' Retirement Fund 1996 Account &amp; Pre-3471</t>
  </si>
  <si>
    <t>Teachers' Retirement Fund 1996 Account &amp; Pre-3472</t>
  </si>
  <si>
    <t>Teachers' Retirement Fund 1996 Account &amp; Pre-3473</t>
  </si>
  <si>
    <t>Teachers' Retirement Fund 1996 Account &amp; Pre-3474</t>
  </si>
  <si>
    <t>Teachers' Retirement Fund 1996 Account &amp; Pre-3475</t>
  </si>
  <si>
    <t>Teachers' Retirement Fund 1996 Account &amp; Pre-3476</t>
  </si>
  <si>
    <t>Teachers' Retirement Fund 1996 Account &amp; Pre-3477</t>
  </si>
  <si>
    <t>Teachers' Retirement Fund 1996 Account &amp; Pre-3478</t>
  </si>
  <si>
    <t>Teachers' Retirement Fund 1996 Account &amp; Pre-3479</t>
  </si>
  <si>
    <t>Teachers' Retirement Fund 1996 Account &amp; Pre-3480</t>
  </si>
  <si>
    <t>Teachers' Retirement Fund 1996 Account &amp; Pre-3481</t>
  </si>
  <si>
    <t>Teachers' Retirement Fund 1996 Account &amp; Pre-3482</t>
  </si>
  <si>
    <t>Teachers' Retirement Fund 1996 Account &amp; Pre-3483</t>
  </si>
  <si>
    <t>Teachers' Retirement Fund 1996 Account &amp; Pre-3484</t>
  </si>
  <si>
    <t>Teachers' Retirement Fund 1996 Account &amp; Pre-3485</t>
  </si>
  <si>
    <t>Teachers' Retirement Fund 1996 Account &amp; Pre-3486</t>
  </si>
  <si>
    <t>Teachers' Retirement Fund 1996 Account &amp; Pre-3487</t>
  </si>
  <si>
    <t>Teachers' Retirement Fund 1996 Account &amp; Pre-3488</t>
  </si>
  <si>
    <t>Teachers' Retirement Fund 1996 Account &amp; Pre-3489</t>
  </si>
  <si>
    <t>Teachers' Retirement Fund 1996 Account &amp; Pre-3490</t>
  </si>
  <si>
    <t>Teachers' Retirement Fund 1996 Account &amp; Pre-3491</t>
  </si>
  <si>
    <t>Teachers' Retirement Fund 1996 Account &amp; Pre-3492</t>
  </si>
  <si>
    <t>Teachers' Retirement Fund 1996 Account &amp; Pre-3493</t>
  </si>
  <si>
    <t>Teachers' Retirement Fund 1996 Account &amp; Pre-3494</t>
  </si>
  <si>
    <t>Teachers' Retirement Fund 1996 Account &amp; Pre-3495</t>
  </si>
  <si>
    <t>Teachers' Retirement Fund 1996 Account &amp; Pre-3496</t>
  </si>
  <si>
    <t>Teachers' Retirement Fund 1996 Account &amp; Pre-3497</t>
  </si>
  <si>
    <t>Teachers' Retirement Fund 1996 Account &amp; Pre-3498</t>
  </si>
  <si>
    <t>Teachers' Retirement Fund 1996 Account &amp; Pre-3499</t>
  </si>
  <si>
    <t>Teachers' Retirement Fund 1996 Account &amp; Pre-3500</t>
  </si>
  <si>
    <t>Teachers' Retirement Fund 1996 Account &amp; Pre-3501</t>
  </si>
  <si>
    <t>Teachers' Retirement Fund 1996 Account &amp; Pre-3502</t>
  </si>
  <si>
    <t>Teachers' Retirement Fund 1996 Account &amp; Pre-3503</t>
  </si>
  <si>
    <t>Teachers' Retirement Fund 1996 Account &amp; Pre-3504</t>
  </si>
  <si>
    <t>Teachers' Retirement Fund 1996 Account &amp; Pre-3505</t>
  </si>
  <si>
    <t>Teachers' Retirement Fund 1996 Account &amp; Pre-3506</t>
  </si>
  <si>
    <t>Teachers' Retirement Fund 1996 Account &amp; Pre-3507</t>
  </si>
  <si>
    <t>Teachers' Retirement Fund 1996 Account &amp; Pre-3508</t>
  </si>
  <si>
    <t>Teachers' Retirement Fund 1996 Account &amp; Pre-3509</t>
  </si>
  <si>
    <t>Teachers' Retirement Fund 1996 Account &amp; Pre-3510</t>
  </si>
  <si>
    <t>Teachers' Retirement Fund 1996 Account &amp; Pre-3511</t>
  </si>
  <si>
    <t>Teachers' Retirement Fund 1996 Account &amp; Pre-3512</t>
  </si>
  <si>
    <t>Teachers' Retirement Fund 1996 Account &amp; Pre-3513</t>
  </si>
  <si>
    <t>Teachers' Retirement Fund 1996 Account &amp; Pre-3514</t>
  </si>
  <si>
    <t>Teachers' Retirement Fund 1996 Account &amp; Pre-3515</t>
  </si>
  <si>
    <t>Teachers' Retirement Fund 1996 Account &amp; Pre-3516</t>
  </si>
  <si>
    <t>Teachers' Retirement Fund 1996 Account &amp; Pre-3517</t>
  </si>
  <si>
    <t>Teachers' Retirement Fund 1996 Account &amp; Pre-3518</t>
  </si>
  <si>
    <t>Teachers' Retirement Fund 1996 Account &amp; Pre-3519</t>
  </si>
  <si>
    <t>Teachers' Retirement Fund 1996 Account &amp; Pre-3520</t>
  </si>
  <si>
    <t>Teachers' Retirement Fund 1996 Account &amp; Pre-3521</t>
  </si>
  <si>
    <t>Teachers' Retirement Fund 1996 Account &amp; Pre-3522</t>
  </si>
  <si>
    <t>Teachers' Retirement Fund 1996 Account &amp; Pre-3523</t>
  </si>
  <si>
    <t>Teachers' Retirement Fund 1996 Account &amp; Pre-3524</t>
  </si>
  <si>
    <t>Teachers' Retirement Fund 1996 Account &amp; Pre-3525</t>
  </si>
  <si>
    <t>Teachers' Retirement Fund 1996 Account &amp; Pre-3526</t>
  </si>
  <si>
    <t>Teachers' Retirement Fund 1996 Account &amp; Pre-3527</t>
  </si>
  <si>
    <t>Teachers' Retirement Fund 1996 Account &amp; Pre-3528</t>
  </si>
  <si>
    <t>Teachers' Retirement Fund 1996 Account &amp; Pre-3529</t>
  </si>
  <si>
    <t>Teachers' Retirement Fund 1996 Account &amp; Pre-3530</t>
  </si>
  <si>
    <t>Teachers' Retirement Fund 1996 Account &amp; Pre-3531</t>
  </si>
  <si>
    <t>Teachers' Retirement Fund 1996 Account &amp; Pre-3532</t>
  </si>
  <si>
    <t>Teachers' Retirement Fund 1996 Account &amp; Pre-3533</t>
  </si>
  <si>
    <t>Teachers' Retirement Fund 1996 Account &amp; Pre-3534</t>
  </si>
  <si>
    <t>Teachers' Retirement Fund 1996 Account &amp; Pre-3535</t>
  </si>
  <si>
    <t>Teachers' Retirement Fund 1996 Account &amp; Pre-3536</t>
  </si>
  <si>
    <t>Teachers' Retirement Fund 1996 Account &amp; Pre-3537</t>
  </si>
  <si>
    <t>Teachers' Retirement Fund 1996 Account &amp; Pre-3538</t>
  </si>
  <si>
    <t>Teachers' Retirement Fund 1996 Account &amp; Pre-3539</t>
  </si>
  <si>
    <t>Teachers' Retirement Fund 1996 Account &amp; Pre-3540</t>
  </si>
  <si>
    <t>Teachers' Retirement Fund 1996 Account &amp; Pre-3541</t>
  </si>
  <si>
    <t>Teachers' Retirement Fund 1996 Account &amp; Pre-3542</t>
  </si>
  <si>
    <t>Teachers' Retirement Fund 1996 Account &amp; Pre-3543</t>
  </si>
  <si>
    <t>Teachers' Retirement Fund 1996 Account &amp; Pre-3544</t>
  </si>
  <si>
    <t>Teachers' Retirement Fund 1996 Account &amp; Pre-3545</t>
  </si>
  <si>
    <t>Teachers' Retirement Fund 1996 Account &amp; Pre-3546</t>
  </si>
  <si>
    <t>Teachers' Retirement Fund 1996 Account &amp; Pre-3547</t>
  </si>
  <si>
    <t>Teachers' Retirement Fund 1996 Account &amp; Pre-3548</t>
  </si>
  <si>
    <t>Teachers' Retirement Fund 1996 Account &amp; Pre-3549</t>
  </si>
  <si>
    <t>Teachers' Retirement Fund 1996 Account &amp; Pre-3550</t>
  </si>
  <si>
    <t>Teachers' Retirement Fund 1996 Account &amp; Pre-3551</t>
  </si>
  <si>
    <t>Teachers' Retirement Fund 1996 Account &amp; Pre-3552</t>
  </si>
  <si>
    <t>Teachers' Retirement Fund 1996 Account &amp; Pre-3553</t>
  </si>
  <si>
    <t>Teachers' Retirement Fund 1996 Account &amp; Pre-3554</t>
  </si>
  <si>
    <t>Teachers' Retirement Fund 1996 Account &amp; Pre-3555</t>
  </si>
  <si>
    <t>Teachers' Retirement Fund 1996 Account &amp; Pre-3556</t>
  </si>
  <si>
    <t>Teachers' Retirement Fund 1996 Account &amp; Pre-3557</t>
  </si>
  <si>
    <t>Teachers' Retirement Fund 1996 Account &amp; Pre-3558</t>
  </si>
  <si>
    <t>Teachers' Retirement Fund 1996 Account &amp; Pre-3559</t>
  </si>
  <si>
    <t>Teachers' Retirement Fund 1996 Account &amp; Pre-3560</t>
  </si>
  <si>
    <t>Teachers' Retirement Fund 1996 Account &amp; Pre-3561</t>
  </si>
  <si>
    <t>Teachers' Retirement Fund 1996 Account &amp; Pre-3562</t>
  </si>
  <si>
    <t>Teachers' Retirement Fund 1996 Account &amp; Pre-3563</t>
  </si>
  <si>
    <t>Teachers' Retirement Fund 1996 Account &amp; Pre-3564</t>
  </si>
  <si>
    <t>Teachers' Retirement Fund 1996 Account &amp; Pre-3565</t>
  </si>
  <si>
    <t>Teachers' Retirement Fund 1996 Account &amp; Pre-3566</t>
  </si>
  <si>
    <t>Teachers' Retirement Fund 1996 Account &amp; Pre-3567</t>
  </si>
  <si>
    <t>Teachers' Retirement Fund 1996 Account &amp; Pre-3568</t>
  </si>
  <si>
    <t>Teachers' Retirement Fund 1996 Account &amp; Pre-3569</t>
  </si>
  <si>
    <t>Teachers' Retirement Fund 1996 Account &amp; Pre-3570</t>
  </si>
  <si>
    <t>Teachers' Retirement Fund 1996 Account &amp; Pre-3571</t>
  </si>
  <si>
    <t>Teachers' Retirement Fund 1996 Account &amp; Pre-3572</t>
  </si>
  <si>
    <t>Teachers' Retirement Fund 1996 Account &amp; Pre-3573</t>
  </si>
  <si>
    <t>Teachers' Retirement Fund 1996 Account &amp; Pre-3574</t>
  </si>
  <si>
    <t>Teachers' Retirement Fund 1996 Account &amp; Pre-3575</t>
  </si>
  <si>
    <t>Teachers' Retirement Fund 1996 Account &amp; Pre-3576</t>
  </si>
  <si>
    <t>Teachers' Retirement Fund 1996 Account &amp; Pre-3577</t>
  </si>
  <si>
    <t>Teachers' Retirement Fund 1996 Account &amp; Pre-3578</t>
  </si>
  <si>
    <t>Teachers' Retirement Fund 1996 Account &amp; Pre-3579</t>
  </si>
  <si>
    <t>Teachers' Retirement Fund 1996 Account &amp; Pre-3580</t>
  </si>
  <si>
    <t>Teachers' Retirement Fund 1996 Account &amp; Pre-3581</t>
  </si>
  <si>
    <t>Teachers' Retirement Fund 1996 Account &amp; Pre-3582</t>
  </si>
  <si>
    <t>Teachers' Retirement Fund 1996 Account &amp; Pre-3583</t>
  </si>
  <si>
    <t>Teachers' Retirement Fund 1996 Account &amp; Pre-3584</t>
  </si>
  <si>
    <t>Teachers' Retirement Fund 1996 Account &amp; Pre-3585</t>
  </si>
  <si>
    <t>Teachers' Retirement Fund 1996 Account &amp; Pre-3586</t>
  </si>
  <si>
    <t>Teachers' Retirement Fund 1996 Account &amp; Pre-3587</t>
  </si>
  <si>
    <t>Teachers' Retirement Fund 1996 Account &amp; Pre-3588</t>
  </si>
  <si>
    <t>Teachers' Retirement Fund 1996 Account &amp; Pre-3589</t>
  </si>
  <si>
    <t>Teachers' Retirement Fund 1996 Account &amp; Pre-3590</t>
  </si>
  <si>
    <t>Teachers' Retirement Fund 1996 Account &amp; Pre-3591</t>
  </si>
  <si>
    <t>Teachers' Retirement Fund 1996 Account &amp; Pre-3592</t>
  </si>
  <si>
    <t>Teachers' Retirement Fund 1996 Account &amp; Pre-3593</t>
  </si>
  <si>
    <t>Teachers' Retirement Fund 1996 Account &amp; Pre-3594</t>
  </si>
  <si>
    <t>Teachers' Retirement Fund 1996 Account &amp; Pre-3595</t>
  </si>
  <si>
    <t>Teachers' Retirement Fund 1996 Account &amp; Pre-3596</t>
  </si>
  <si>
    <t>Teachers' Retirement Fund 1996 Account &amp; Pre-3597</t>
  </si>
  <si>
    <t>Teachers' Retirement Fund 1996 Account &amp; Pre-3598</t>
  </si>
  <si>
    <t>Teachers' Retirement Fund 1996 Account &amp; Pre-3599</t>
  </si>
  <si>
    <t>Teachers' Retirement Fund 1996 Account &amp; Pre-3600</t>
  </si>
  <si>
    <t>Teachers' Retirement Fund 1996 Account &amp; Pre-3601</t>
  </si>
  <si>
    <t>Teachers' Retirement Fund 1996 Account &amp; Pre-3602</t>
  </si>
  <si>
    <t>Teachers' Retirement Fund 1996 Account &amp; Pre-3603</t>
  </si>
  <si>
    <t>Teachers' Retirement Fund 1996 Account &amp; Pre-3604</t>
  </si>
  <si>
    <t>Teachers' Retirement Fund 1996 Account &amp; Pre-3605</t>
  </si>
  <si>
    <t>Teachers' Retirement Fund 1996 Account &amp; Pre-3606</t>
  </si>
  <si>
    <t>Teachers' Retirement Fund 1996 Account &amp; Pre-3607</t>
  </si>
  <si>
    <t>Teachers' Retirement Fund 1996 Account &amp; Pre-3608</t>
  </si>
  <si>
    <t>Teachers' Retirement Fund 1996 Account &amp; Pre-3609</t>
  </si>
  <si>
    <t>Teachers' Retirement Fund 1996 Account &amp; Pre-3610</t>
  </si>
  <si>
    <t>Teachers' Retirement Fund 1996 Account &amp; Pre-3611</t>
  </si>
  <si>
    <t>Teachers' Retirement Fund 1996 Account &amp; Pre-3612</t>
  </si>
  <si>
    <t>Teachers' Retirement Fund 1996 Account &amp; Pre-3613</t>
  </si>
  <si>
    <t>Teachers' Retirement Fund 1996 Account &amp; Pre-3614</t>
  </si>
  <si>
    <t>Teachers' Retirement Fund 1996 Account &amp; Pre-3615</t>
  </si>
  <si>
    <t>Teachers' Retirement Fund 1996 Account &amp; Pre-3616</t>
  </si>
  <si>
    <t>Teachers' Retirement Fund 1996 Account &amp; Pre-3617</t>
  </si>
  <si>
    <t>Teachers' Retirement Fund 1996 Account &amp; Pre-3618</t>
  </si>
  <si>
    <t>Teachers' Retirement Fund 1996 Account &amp; Pre-3619</t>
  </si>
  <si>
    <t>Teachers' Retirement Fund 1996 Account &amp; Pre-3620</t>
  </si>
  <si>
    <t>Teachers' Retirement Fund 1996 Account &amp; Pre-3621</t>
  </si>
  <si>
    <t>Teachers' Retirement Fund 1996 Account &amp; Pre-3622</t>
  </si>
  <si>
    <t>Teachers' Retirement Fund 1996 Account &amp; Pre-3623</t>
  </si>
  <si>
    <t>Teachers' Retirement Fund 1996 Account &amp; Pre-3624</t>
  </si>
  <si>
    <t>Teachers' Retirement Fund 1996 Account &amp; Pre-3625</t>
  </si>
  <si>
    <t>Teachers' Retirement Fund 1996 Account &amp; Pre-3626</t>
  </si>
  <si>
    <t>Teachers' Retirement Fund 1996 Account &amp; Pre-3627</t>
  </si>
  <si>
    <t>Teachers' Retirement Fund 1996 Account &amp; Pre-3628</t>
  </si>
  <si>
    <t>Teachers' Retirement Fund 1996 Account &amp; Pre-3629</t>
  </si>
  <si>
    <t>Teachers' Retirement Fund 1996 Account &amp; Pre-3630</t>
  </si>
  <si>
    <t>Teachers' Retirement Fund 1996 Account &amp; Pre-3631</t>
  </si>
  <si>
    <t>Teachers' Retirement Fund 1996 Account &amp; Pre-3632</t>
  </si>
  <si>
    <t>Teachers' Retirement Fund 1996 Account &amp; Pre-3633</t>
  </si>
  <si>
    <t>Teachers' Retirement Fund 1996 Account &amp; Pre-3634</t>
  </si>
  <si>
    <t>Teachers' Retirement Fund 1996 Account &amp; Pre-3635</t>
  </si>
  <si>
    <t>Teachers' Retirement Fund 1996 Account &amp; Pre-3636</t>
  </si>
  <si>
    <t>Teachers' Retirement Fund 1996 Account &amp; Pre-3637</t>
  </si>
  <si>
    <t>Teachers' Retirement Fund 1996 Account &amp; Pre-3638</t>
  </si>
  <si>
    <t>Teachers' Retirement Fund 1996 Account &amp; Pre-3639</t>
  </si>
  <si>
    <t>Teachers' Retirement Fund 1996 Account &amp; Pre-3640</t>
  </si>
  <si>
    <t>Teachers' Retirement Fund 1996 Account &amp; Pre-3641</t>
  </si>
  <si>
    <t>Teachers' Retirement Fund 1996 Account &amp; Pre-3642</t>
  </si>
  <si>
    <t>Teachers' Retirement Fund 1996 Account &amp; Pre-3643</t>
  </si>
  <si>
    <t>Teachers' Retirement Fund 1996 Account &amp; Pre-3644</t>
  </si>
  <si>
    <t>Teachers' Retirement Fund 1996 Account &amp; Pre-3645</t>
  </si>
  <si>
    <t>Teachers' Retirement Fund 1996 Account &amp; Pre-3646</t>
  </si>
  <si>
    <t>Teachers' Retirement Fund 1996 Account &amp; Pre-3647</t>
  </si>
  <si>
    <t>Teachers' Retirement Fund 1996 Account &amp; Pre-3648</t>
  </si>
  <si>
    <t>Teachers' Retirement Fund 1996 Account &amp; Pre-3649</t>
  </si>
  <si>
    <t>Teachers' Retirement Fund 1996 Account &amp; Pre-3650</t>
  </si>
  <si>
    <t>Teachers' Retirement Fund 1996 Account &amp; Pre-3651</t>
  </si>
  <si>
    <t>Teachers' Retirement Fund 1996 Account &amp; Pre-3652</t>
  </si>
  <si>
    <t>Teachers' Retirement Fund 1996 Account &amp; Pre-3653</t>
  </si>
  <si>
    <t>Teachers' Retirement Fund 1996 Account &amp; Pre-3654</t>
  </si>
  <si>
    <t>Teachers' Retirement Fund 1996 Account &amp; Pre-3655</t>
  </si>
  <si>
    <t>Teachers' Retirement Fund 1996 Account &amp; Pre-3656</t>
  </si>
  <si>
    <t>Teachers' Retirement Fund 1996 Account &amp; Pre-3657</t>
  </si>
  <si>
    <t>Teachers' Retirement Fund 1996 Account &amp; Pre-3658</t>
  </si>
  <si>
    <t>Teachers' Retirement Fund 1996 Account &amp; Pre-3659</t>
  </si>
  <si>
    <t>Teachers' Retirement Fund 1996 Account &amp; Pre-3660</t>
  </si>
  <si>
    <t>Teachers' Retirement Fund 1996 Account &amp; Pre-3661</t>
  </si>
  <si>
    <t>Teachers' Retirement Fund 1996 Account &amp; Pre-3662</t>
  </si>
  <si>
    <t>Teachers' Retirement Fund 1996 Account &amp; Pre-3663</t>
  </si>
  <si>
    <t>Teachers' Retirement Fund 1996 Account &amp; Pre-3664</t>
  </si>
  <si>
    <t>Teachers' Retirement Fund 1996 Account &amp; Pre-3665</t>
  </si>
  <si>
    <t>Teachers' Retirement Fund 1996 Account &amp; Pre-3666</t>
  </si>
  <si>
    <t>Teachers' Retirement Fund 1996 Account &amp; Pre-3667</t>
  </si>
  <si>
    <t>Teachers' Retirement Fund 1996 Account &amp; Pre-3668</t>
  </si>
  <si>
    <t>Teachers' Retirement Fund 1996 Account &amp; Pre-3669</t>
  </si>
  <si>
    <t>Teachers' Retirement Fund 1996 Account &amp; Pre-3670</t>
  </si>
  <si>
    <t>Teachers' Retirement Fund 1996 Account &amp; Pre-3671</t>
  </si>
  <si>
    <t>Teachers' Retirement Fund 1996 Account &amp; Pre-3672</t>
  </si>
  <si>
    <t>Teachers' Retirement Fund 1996 Account &amp; Pre-3673</t>
  </si>
  <si>
    <t>Teachers' Retirement Fund 1996 Account &amp; Pre-3674</t>
  </si>
  <si>
    <t>Teachers' Retirement Fund 1996 Account &amp; Pre-3675</t>
  </si>
  <si>
    <t>Teachers' Retirement Fund 1996 Account &amp; Pre-3676</t>
  </si>
  <si>
    <t>Teachers' Retirement Fund 1996 Account &amp; Pre-3677</t>
  </si>
  <si>
    <t>Teachers' Retirement Fund 1996 Account &amp; Pre-3678</t>
  </si>
  <si>
    <t>Teachers' Retirement Fund 1996 Account &amp; Pre-3679</t>
  </si>
  <si>
    <t>Teachers' Retirement Fund 1996 Account &amp; Pre-3680</t>
  </si>
  <si>
    <t>Teachers' Retirement Fund 1996 Account &amp; Pre-3681</t>
  </si>
  <si>
    <t>Teachers' Retirement Fund 1996 Account &amp; Pre-3682</t>
  </si>
  <si>
    <t>Teachers' Retirement Fund 1996 Account &amp; Pre-3683</t>
  </si>
  <si>
    <t>Teachers' Retirement Fund 1996 Account &amp; Pre-3684</t>
  </si>
  <si>
    <t>Teachers' Retirement Fund 1996 Account &amp; Pre-3685</t>
  </si>
  <si>
    <t>Teachers' Retirement Fund 1996 Account &amp; Pre-3686</t>
  </si>
  <si>
    <t>Teachers' Retirement Fund 1996 Account &amp; Pre-3687</t>
  </si>
  <si>
    <t>Teachers' Retirement Fund 1996 Account &amp; Pre-3688</t>
  </si>
  <si>
    <t>Teachers' Retirement Fund 1996 Account &amp; Pre-3689</t>
  </si>
  <si>
    <t>Teachers' Retirement Fund 1996 Account &amp; Pre-3690</t>
  </si>
  <si>
    <t>Teachers' Retirement Fund 1996 Account &amp; Pre-3691</t>
  </si>
  <si>
    <t>Teachers' Retirement Fund 1996 Account &amp; Pre-3692</t>
  </si>
  <si>
    <t>Teachers' Retirement Fund 1996 Account &amp; Pre-3693</t>
  </si>
  <si>
    <t>Teachers' Retirement Fund 1996 Account &amp; Pre-3694</t>
  </si>
  <si>
    <t>Teachers' Retirement Fund 1996 Account &amp; Pre-3695</t>
  </si>
  <si>
    <t>Teachers' Retirement Fund 1996 Account &amp; Pre-3696</t>
  </si>
  <si>
    <t>Teachers' Retirement Fund 1996 Account &amp; Pre-3697</t>
  </si>
  <si>
    <t>Teachers' Retirement Fund 1996 Account &amp; Pre-3698</t>
  </si>
  <si>
    <t>Teachers' Retirement Fund 1996 Account &amp; Pre-3699</t>
  </si>
  <si>
    <t>Teachers' Retirement Fund 1996 Account &amp; Pre-3700</t>
  </si>
  <si>
    <t>Teachers' Retirement Fund 1996 Account &amp; Pre-3701</t>
  </si>
  <si>
    <t>Teachers' Retirement Fund 1996 Account &amp; Pre-3702</t>
  </si>
  <si>
    <t>Teachers' Retirement Fund 1996 Account &amp; Pre-3703</t>
  </si>
  <si>
    <t>Teachers' Retirement Fund 1996 Account &amp; Pre-3704</t>
  </si>
  <si>
    <t>Teachers' Retirement Fund 1996 Account &amp; Pre-3705</t>
  </si>
  <si>
    <t>Teachers' Retirement Fund 1996 Account &amp; Pre-3706</t>
  </si>
  <si>
    <t>Teachers' Retirement Fund 1996 Account &amp; Pre-3707</t>
  </si>
  <si>
    <t>Teachers' Retirement Fund 1996 Account &amp; Pre-3708</t>
  </si>
  <si>
    <t>Teachers' Retirement Fund 1996 Account &amp; Pre-3709</t>
  </si>
  <si>
    <t>Teachers' Retirement Fund 1996 Account &amp; Pre-3710</t>
  </si>
  <si>
    <t>Teachers' Retirement Fund 1996 Account &amp; Pre-3711</t>
  </si>
  <si>
    <t>Teachers' Retirement Fund 1996 Account &amp; Pre-3712</t>
  </si>
  <si>
    <t>Teachers' Retirement Fund 1996 Account &amp; Pre-3713</t>
  </si>
  <si>
    <t>Teachers' Retirement Fund 1996 Account &amp; Pre-3714</t>
  </si>
  <si>
    <t>Teachers' Retirement Fund 1996 Account &amp; Pre-3715</t>
  </si>
  <si>
    <t>Teachers' Retirement Fund 1996 Account &amp; Pre-3716</t>
  </si>
  <si>
    <t>Teachers' Retirement Fund 1996 Account &amp; Pre-3717</t>
  </si>
  <si>
    <t>Teachers' Retirement Fund 1996 Account &amp; Pre-3718</t>
  </si>
  <si>
    <t>Teachers' Retirement Fund 1996 Account &amp; Pre-3719</t>
  </si>
  <si>
    <t>Teachers' Retirement Fund 1996 Account &amp; Pre-3720</t>
  </si>
  <si>
    <t>Teachers' Retirement Fund 1996 Account &amp; Pre-3721</t>
  </si>
  <si>
    <t>Teachers' Retirement Fund 1996 Account &amp; Pre-3722</t>
  </si>
  <si>
    <t>Teachers' Retirement Fund 1996 Account &amp; Pre-3723</t>
  </si>
  <si>
    <t>Teachers' Retirement Fund 1996 Account &amp; Pre-3724</t>
  </si>
  <si>
    <t>Teachers' Retirement Fund 1996 Account &amp; Pre-3725</t>
  </si>
  <si>
    <t>Teachers' Retirement Fund 1996 Account &amp; Pre-3726</t>
  </si>
  <si>
    <t>Teachers' Retirement Fund 1996 Account &amp; Pre-3727</t>
  </si>
  <si>
    <t>Teachers' Retirement Fund 1996 Account &amp; Pre-3728</t>
  </si>
  <si>
    <t>Teachers' Retirement Fund 1996 Account &amp; Pre-3729</t>
  </si>
  <si>
    <t>Teachers' Retirement Fund 1996 Account &amp; Pre-3730</t>
  </si>
  <si>
    <t>Teachers' Retirement Fund 1996 Account &amp; Pre-3731</t>
  </si>
  <si>
    <t>Teachers' Retirement Fund 1996 Account &amp; Pre-3732</t>
  </si>
  <si>
    <t>Teachers' Retirement Fund 1996 Account &amp; Pre-3733</t>
  </si>
  <si>
    <t>Teachers' Retirement Fund 1996 Account &amp; Pre-3734</t>
  </si>
  <si>
    <t>Teachers' Retirement Fund 1996 Account &amp; Pre-3735</t>
  </si>
  <si>
    <t>Teachers' Retirement Fund 1996 Account &amp; Pre-3736</t>
  </si>
  <si>
    <t>Teachers' Retirement Fund 1996 Account &amp; Pre-3737</t>
  </si>
  <si>
    <t>Teachers' Retirement Fund 1996 Account &amp; Pre-3738</t>
  </si>
  <si>
    <t>Teachers' Retirement Fund 1996 Account &amp; Pre-3739</t>
  </si>
  <si>
    <t>Teachers' Retirement Fund 1996 Account &amp; Pre-3740</t>
  </si>
  <si>
    <t>Teachers' Retirement Fund 1996 Account &amp; Pre-3741</t>
  </si>
  <si>
    <t>Teachers' Retirement Fund 1996 Account &amp; Pre-3742</t>
  </si>
  <si>
    <t>Teachers' Retirement Fund 1996 Account &amp; Pre-3743</t>
  </si>
  <si>
    <t>Teachers' Retirement Fund 1996 Account &amp; Pre-3744</t>
  </si>
  <si>
    <t>Teachers' Retirement Fund 1996 Account &amp; Pre-3745</t>
  </si>
  <si>
    <t>Teachers' Retirement Fund 1996 Account &amp; Pre-3746</t>
  </si>
  <si>
    <t>Teachers' Retirement Fund 1996 Account &amp; Pre-3747</t>
  </si>
  <si>
    <t>Teachers' Retirement Fund 1996 Account &amp; Pre-3748</t>
  </si>
  <si>
    <t>Teachers' Retirement Fund 1996 Account &amp; Pre-3749</t>
  </si>
  <si>
    <t>Teachers' Retirement Fund 1996 Account &amp; Pre-3750</t>
  </si>
  <si>
    <t>Teachers' Retirement Fund 1996 Account &amp; Pre-3751</t>
  </si>
  <si>
    <t>Teachers' Retirement Fund 1996 Account &amp; Pre-3752</t>
  </si>
  <si>
    <t>Teachers' Retirement Fund 1996 Account &amp; Pre-3753</t>
  </si>
  <si>
    <t>Teachers' Retirement Fund 1996 Account &amp; Pre-3754</t>
  </si>
  <si>
    <t>Teachers' Retirement Fund 1996 Account &amp; Pre-3755</t>
  </si>
  <si>
    <t>Teachers' Retirement Fund 1996 Account &amp; Pre-3756</t>
  </si>
  <si>
    <t>Teachers' Retirement Fund 1996 Account &amp; Pre-3757</t>
  </si>
  <si>
    <t>Teachers' Retirement Fund 1996 Account &amp; Pre-3758</t>
  </si>
  <si>
    <t>Teachers' Retirement Fund 1996 Account &amp; Pre-3759</t>
  </si>
  <si>
    <t>Teachers' Retirement Fund 1996 Account &amp; Pre-3760</t>
  </si>
  <si>
    <t>Teachers' Retirement Fund 1996 Account &amp; Pre-3761</t>
  </si>
  <si>
    <t>Teachers' Retirement Fund 1996 Account &amp; Pre-3762</t>
  </si>
  <si>
    <t>Teachers' Retirement Fund 1996 Account &amp; Pre-3763</t>
  </si>
  <si>
    <t>Teachers' Retirement Fund 1996 Account &amp; Pre-3764</t>
  </si>
  <si>
    <t>Teachers' Retirement Fund 1996 Account &amp; Pre-3765</t>
  </si>
  <si>
    <t>Teachers' Retirement Fund 1996 Account &amp; Pre-3766</t>
  </si>
  <si>
    <t>Teachers' Retirement Fund 1996 Account &amp; Pre-3767</t>
  </si>
  <si>
    <t>Teachers' Retirement Fund 1996 Account &amp; Pre-3768</t>
  </si>
  <si>
    <t>Teachers' Retirement Fund 1996 Account &amp; Pre-3769</t>
  </si>
  <si>
    <t>Teachers' Retirement Fund 1996 Account &amp; Pre-3770</t>
  </si>
  <si>
    <t>Teachers' Retirement Fund 1996 Account &amp; Pre-3771</t>
  </si>
  <si>
    <t>Teachers' Retirement Fund 1996 Account &amp; Pre-3772</t>
  </si>
  <si>
    <t>Teachers' Retirement Fund 1996 Account &amp; Pre-3773</t>
  </si>
  <si>
    <t>Teachers' Retirement Fund 1996 Account &amp; Pre-3774</t>
  </si>
  <si>
    <t>Teachers' Retirement Fund 1996 Account &amp; Pre-3775</t>
  </si>
  <si>
    <t>Teachers' Retirement Fund 1996 Account &amp; Pre-3776</t>
  </si>
  <si>
    <t>Teachers' Retirement Fund 1996 Account &amp; Pre-3777</t>
  </si>
  <si>
    <t>Teachers' Retirement Fund 1996 Account &amp; Pre-3778</t>
  </si>
  <si>
    <t>Teachers' Retirement Fund 1996 Account &amp; Pre-3779</t>
  </si>
  <si>
    <t>Teachers' Retirement Fund 1996 Account &amp; Pre-3780</t>
  </si>
  <si>
    <t>Teachers' Retirement Fund 1996 Account &amp; Pre-3781</t>
  </si>
  <si>
    <t>Teachers' Retirement Fund 1996 Account &amp; Pre-3782</t>
  </si>
  <si>
    <t>Teachers' Retirement Fund 1996 Account &amp; Pre-3783</t>
  </si>
  <si>
    <t>Teachers' Retirement Fund 1996 Account &amp; Pre-3784</t>
  </si>
  <si>
    <t>Teachers' Retirement Fund 1996 Account &amp; Pre-3785</t>
  </si>
  <si>
    <t>Teachers' Retirement Fund 1996 Account &amp; Pre-3786</t>
  </si>
  <si>
    <t>Teachers' Retirement Fund 1996 Account &amp; Pre-3787</t>
  </si>
  <si>
    <t>Teachers' Retirement Fund 1996 Account &amp; Pre-3788</t>
  </si>
  <si>
    <t>Teachers' Retirement Fund 1996 Account &amp; Pre-3789</t>
  </si>
  <si>
    <t>Teachers' Retirement Fund 1996 Account &amp; Pre-3790</t>
  </si>
  <si>
    <t>Teachers' Retirement Fund 1996 Account &amp; Pre-3791</t>
  </si>
  <si>
    <t>Teachers' Retirement Fund 1996 Account &amp; Pre-3792</t>
  </si>
  <si>
    <t>Teachers' Retirement Fund 1996 Account &amp; Pre-3793</t>
  </si>
  <si>
    <t>Teachers' Retirement Fund 1996 Account &amp; Pre-3794</t>
  </si>
  <si>
    <t>Teachers' Retirement Fund 1996 Account &amp; Pre-3795</t>
  </si>
  <si>
    <t>Teachers' Retirement Fund 1996 Account &amp; Pre-3796</t>
  </si>
  <si>
    <t>Teachers' Retirement Fund 1996 Account &amp; Pre-3797</t>
  </si>
  <si>
    <t>Teachers' Retirement Fund 1996 Account &amp; Pre-3798</t>
  </si>
  <si>
    <t>Teachers' Retirement Fund 1996 Account &amp; Pre-3799</t>
  </si>
  <si>
    <t>Teachers' Retirement Fund 1996 Account &amp; Pre-3800</t>
  </si>
  <si>
    <t>Teachers' Retirement Fund 1996 Account &amp; Pre-3801</t>
  </si>
  <si>
    <t>Teachers' Retirement Fund 1996 Account &amp; Pre-3802</t>
  </si>
  <si>
    <t>Teachers' Retirement Fund 1996 Account &amp; Pre-3803</t>
  </si>
  <si>
    <t>Teachers' Retirement Fund 1996 Account &amp; Pre-3804</t>
  </si>
  <si>
    <t>Teachers' Retirement Fund 1996 Account &amp; Pre-3805</t>
  </si>
  <si>
    <t>Teachers' Retirement Fund 1996 Account &amp; Pre-3806</t>
  </si>
  <si>
    <t>Teachers' Retirement Fund 1996 Account &amp; Pre-3807</t>
  </si>
  <si>
    <t>Teachers' Retirement Fund 1996 Account &amp; Pre-3808</t>
  </si>
  <si>
    <t>Teachers' Retirement Fund 1996 Account &amp; Pre-3809</t>
  </si>
  <si>
    <t>Teachers' Retirement Fund 1996 Account &amp; Pre-3810</t>
  </si>
  <si>
    <t>Teachers' Retirement Fund 1996 Account &amp; Pre-3811</t>
  </si>
  <si>
    <t>Teachers' Retirement Fund 1996 Account &amp; Pre-3812</t>
  </si>
  <si>
    <t>Teachers' Retirement Fund 1996 Account &amp; Pre-3813</t>
  </si>
  <si>
    <t>Teachers' Retirement Fund 1996 Account &amp; Pre-3814</t>
  </si>
  <si>
    <t>Teachers' Retirement Fund 1996 Account &amp; Pre-3815</t>
  </si>
  <si>
    <t>Teachers' Retirement Fund 1996 Account &amp; Pre-3816</t>
  </si>
  <si>
    <t>Teachers' Retirement Fund 1996 Account &amp; Pre-3817</t>
  </si>
  <si>
    <t>Teachers' Retirement Fund 1996 Account &amp; Pre-3818</t>
  </si>
  <si>
    <t>Teachers' Retirement Fund 1996 Account &amp; Pre-3819</t>
  </si>
  <si>
    <t>Teachers' Retirement Fund 1996 Account &amp; Pre-3820</t>
  </si>
  <si>
    <t>Teachers' Retirement Fund 1996 Account &amp; Pre-3821</t>
  </si>
  <si>
    <t>Teachers' Retirement Fund 1996 Account &amp; Pre-3822</t>
  </si>
  <si>
    <t>Teachers' Retirement Fund 1996 Account &amp; Pre-3823</t>
  </si>
  <si>
    <t>Teachers' Retirement Fund 1996 Account &amp; Pre-3824</t>
  </si>
  <si>
    <t>Teachers' Retirement Fund 1996 Account &amp; Pre-3825</t>
  </si>
  <si>
    <t>Teachers' Retirement Fund 1996 Account &amp; Pre-3826</t>
  </si>
  <si>
    <t>Teachers' Retirement Fund 1996 Account &amp; Pre-3827</t>
  </si>
  <si>
    <t>Teachers' Retirement Fund 1996 Account &amp; Pre-3828</t>
  </si>
  <si>
    <t>Teachers' Retirement Fund 1996 Account &amp; Pre-3829</t>
  </si>
  <si>
    <t>Teachers' Retirement Fund 1996 Account &amp; Pre-3830</t>
  </si>
  <si>
    <t>Teachers' Retirement Fund 1996 Account &amp; Pre-3831</t>
  </si>
  <si>
    <t>Teachers' Retirement Fund 1996 Account &amp; Pre-3832</t>
  </si>
  <si>
    <t>Teachers' Retirement Fund 1996 Account &amp; Pre-3833</t>
  </si>
  <si>
    <t>Teachers' Retirement Fund 1996 Account &amp; Pre-3834</t>
  </si>
  <si>
    <t>Teachers' Retirement Fund 1996 Account &amp; Pre-3835</t>
  </si>
  <si>
    <t>Teachers' Retirement Fund 1996 Account &amp; Pre-3836</t>
  </si>
  <si>
    <t>Teachers' Retirement Fund 1996 Account &amp; Pre-3837</t>
  </si>
  <si>
    <t>Teachers' Retirement Fund 1996 Account &amp; Pre-3838</t>
  </si>
  <si>
    <t>Teachers' Retirement Fund 1996 Account &amp; Pre-3839</t>
  </si>
  <si>
    <t>Teachers' Retirement Fund 1996 Account &amp; Pre-3840</t>
  </si>
  <si>
    <t>Teachers' Retirement Fund 1996 Account &amp; Pre-3841</t>
  </si>
  <si>
    <t>Teachers' Retirement Fund 1996 Account &amp; Pre-3842</t>
  </si>
  <si>
    <t>Teachers' Retirement Fund 1996 Account &amp; Pre-3843</t>
  </si>
  <si>
    <t>Teachers' Retirement Fund 1996 Account &amp; Pre-3844</t>
  </si>
  <si>
    <t>Teachers' Retirement Fund 1996 Account &amp; Pre-3845</t>
  </si>
  <si>
    <t>Teachers' Retirement Fund 1996 Account &amp; Pre-3846</t>
  </si>
  <si>
    <t>Teachers' Retirement Fund 1996 Account &amp; Pre-3847</t>
  </si>
  <si>
    <t>Teachers' Retirement Fund 1996 Account &amp; Pre-3848</t>
  </si>
  <si>
    <t>Teachers' Retirement Fund 1996 Account &amp; Pre-3849</t>
  </si>
  <si>
    <t>Teachers' Retirement Fund 1996 Account &amp; Pre-3850</t>
  </si>
  <si>
    <t>Teachers' Retirement Fund 1996 Account &amp; Pre-3851</t>
  </si>
  <si>
    <t>Teachers' Retirement Fund 1996 Account &amp; Pre-3852</t>
  </si>
  <si>
    <t>Teachers' Retirement Fund 1996 Account &amp; Pre-3853</t>
  </si>
  <si>
    <t>Teachers' Retirement Fund 1996 Account &amp; Pre-3854</t>
  </si>
  <si>
    <t>Teachers' Retirement Fund 1996 Account &amp; Pre-3855</t>
  </si>
  <si>
    <t>Teachers' Retirement Fund 1996 Account &amp; Pre-3856</t>
  </si>
  <si>
    <t>Teachers' Retirement Fund 1996 Account &amp; Pre-3857</t>
  </si>
  <si>
    <t>Teachers' Retirement Fund 1996 Account &amp; Pre-3858</t>
  </si>
  <si>
    <t>Teachers' Retirement Fund 1996 Account &amp; Pre-3859</t>
  </si>
  <si>
    <t>Teachers' Retirement Fund 1996 Account &amp; Pre-3860</t>
  </si>
  <si>
    <t>Teachers' Retirement Fund 1996 Account &amp; Pre-3861</t>
  </si>
  <si>
    <t>Teachers' Retirement Fund 1996 Account &amp; Pre-3862</t>
  </si>
  <si>
    <t>Teachers' Retirement Fund 1996 Account &amp; Pre-3863</t>
  </si>
  <si>
    <t>Teachers' Retirement Fund 1996 Account &amp; Pre-3864</t>
  </si>
  <si>
    <t>Teachers' Retirement Fund 1996 Account &amp; Pre-3865</t>
  </si>
  <si>
    <t>Teachers' Retirement Fund 1996 Account &amp; Pre-3866</t>
  </si>
  <si>
    <t>Teachers' Retirement Fund 1996 Account &amp; Pre-3867</t>
  </si>
  <si>
    <t>Teachers' Retirement Fund 1996 Account &amp; Pre-3868</t>
  </si>
  <si>
    <t>Teachers' Retirement Fund 1996 Account &amp; Pre-3869</t>
  </si>
  <si>
    <t>Teachers' Retirement Fund 1996 Account &amp; Pre-3870</t>
  </si>
  <si>
    <t>Teachers' Retirement Fund 1996 Account &amp; Pre-3871</t>
  </si>
  <si>
    <t>Teachers' Retirement Fund 1996 Account &amp; Pre-3872</t>
  </si>
  <si>
    <t>Teachers' Retirement Fund 1996 Account &amp; Pre-3873</t>
  </si>
  <si>
    <t>Teachers' Retirement Fund 1996 Account &amp; Pre-3874</t>
  </si>
  <si>
    <t>Teachers' Retirement Fund 1996 Account &amp; Pre-3875</t>
  </si>
  <si>
    <t>Teachers' Retirement Fund 1996 Account &amp; Pre-3876</t>
  </si>
  <si>
    <t>Teachers' Retirement Fund 1996 Account &amp; Pre-3877</t>
  </si>
  <si>
    <t>Teachers' Retirement Fund 1996 Account &amp; Pre-3878</t>
  </si>
  <si>
    <t>Teachers' Retirement Fund 1996 Account &amp; Pre-3879</t>
  </si>
  <si>
    <t>Teachers' Retirement Fund 1996 Account &amp; Pre-3880</t>
  </si>
  <si>
    <t>Teachers' Retirement Fund 1996 Account &amp; Pre-3881</t>
  </si>
  <si>
    <t>Teachers' Retirement Fund 1996 Account &amp; Pre-3882</t>
  </si>
  <si>
    <t>Teachers' Retirement Fund 1996 Account &amp; Pre-3883</t>
  </si>
  <si>
    <t>Teachers' Retirement Fund 1996 Account &amp; Pre-3884</t>
  </si>
  <si>
    <t>Teachers' Retirement Fund 1996 Account &amp; Pre-3885</t>
  </si>
  <si>
    <t>Teachers' Retirement Fund 1996 Account &amp; Pre-3886</t>
  </si>
  <si>
    <t>Teachers' Retirement Fund 1996 Account &amp; Pre-3887</t>
  </si>
  <si>
    <t>Teachers' Retirement Fund 1996 Account &amp; Pre-3888</t>
  </si>
  <si>
    <t>Teachers' Retirement Fund 1996 Account &amp; Pre-3889</t>
  </si>
  <si>
    <t>Teachers' Retirement Fund 1996 Account &amp; Pre-3890</t>
  </si>
  <si>
    <t>Teachers' Retirement Fund 1996 Account &amp; Pre-3891</t>
  </si>
  <si>
    <t>Teachers' Retirement Fund 1996 Account &amp; Pre-3892</t>
  </si>
  <si>
    <t>Teachers' Retirement Fund 1996 Account &amp; Pre-3893</t>
  </si>
  <si>
    <t>Teachers' Retirement Fund 1996 Account &amp; Pre-3894</t>
  </si>
  <si>
    <t>Teachers' Retirement Fund 1996 Account &amp; Pre-3895</t>
  </si>
  <si>
    <t>Teachers' Retirement Fund 1996 Account &amp; Pre-3896</t>
  </si>
  <si>
    <t>Teachers' Retirement Fund 1996 Account &amp; Pre-3897</t>
  </si>
  <si>
    <t>Teachers' Retirement Fund 1996 Account &amp; Pre-3898</t>
  </si>
  <si>
    <t>Teachers' Retirement Fund 1996 Account &amp; Pre-3899</t>
  </si>
  <si>
    <t>Teachers' Retirement Fund 1996 Account &amp; Pre-3900</t>
  </si>
  <si>
    <t>Teachers' Retirement Fund 1996 Account &amp; Pre-3901</t>
  </si>
  <si>
    <t>Teachers' Retirement Fund 1996 Account &amp; Pre-3902</t>
  </si>
  <si>
    <t>Teachers' Retirement Fund 1996 Account &amp; Pre-3903</t>
  </si>
  <si>
    <t>Teachers' Retirement Fund 1996 Account &amp; Pre-3904</t>
  </si>
  <si>
    <t>Teachers' Retirement Fund 1996 Account &amp; Pre-3905</t>
  </si>
  <si>
    <t>Teachers' Retirement Fund 1996 Account &amp; Pre-3906</t>
  </si>
  <si>
    <t>Teachers' Retirement Fund 1996 Account &amp; Pre-3907</t>
  </si>
  <si>
    <t>Teachers' Retirement Fund 1996 Account &amp; Pre-3908</t>
  </si>
  <si>
    <t>Teachers' Retirement Fund 1996 Account &amp; Pre-3909</t>
  </si>
  <si>
    <t>Teachers' Retirement Fund 1996 Account &amp; Pre-3910</t>
  </si>
  <si>
    <t>Teachers' Retirement Fund 1996 Account &amp; Pre-3911</t>
  </si>
  <si>
    <t>Teachers' Retirement Fund 1996 Account &amp; Pre-3912</t>
  </si>
  <si>
    <t>Teachers' Retirement Fund 1996 Account &amp; Pre-3913</t>
  </si>
  <si>
    <t>Teachers' Retirement Fund 1996 Account &amp; Pre-3914</t>
  </si>
  <si>
    <t>Teachers' Retirement Fund 1996 Account &amp; Pre-3915</t>
  </si>
  <si>
    <t>Teachers' Retirement Fund 1996 Account &amp; Pre-3916</t>
  </si>
  <si>
    <t>Teachers' Retirement Fund 1996 Account &amp; Pre-3917</t>
  </si>
  <si>
    <t>Teachers' Retirement Fund 1996 Account &amp; Pre-3918</t>
  </si>
  <si>
    <t>Teachers' Retirement Fund 1996 Account &amp; Pre-3919</t>
  </si>
  <si>
    <t>Teachers' Retirement Fund 1996 Account &amp; Pre-3920</t>
  </si>
  <si>
    <t>Teachers' Retirement Fund 1996 Account &amp; Pre-3921</t>
  </si>
  <si>
    <t>Teachers' Retirement Fund 1996 Account &amp; Pre-3922</t>
  </si>
  <si>
    <t>Teachers' Retirement Fund 1996 Account &amp; Pre-3923</t>
  </si>
  <si>
    <t>Teachers' Retirement Fund 1996 Account &amp; Pre-3924</t>
  </si>
  <si>
    <t>Teachers' Retirement Fund 1996 Account &amp; Pre-3925</t>
  </si>
  <si>
    <t>Teachers' Retirement Fund 1996 Account &amp; Pre-3926</t>
  </si>
  <si>
    <t>Teachers' Retirement Fund 1996 Account &amp; Pre-3927</t>
  </si>
  <si>
    <t>Teachers' Retirement Fund 1996 Account &amp; Pre-3928</t>
  </si>
  <si>
    <t>Teachers' Retirement Fund 1996 Account &amp; Pre-3929</t>
  </si>
  <si>
    <t>Teachers' Retirement Fund 1996 Account &amp; Pre-3930</t>
  </si>
  <si>
    <t>Teachers' Retirement Fund 1996 Account &amp; Pre-3931</t>
  </si>
  <si>
    <t>Teachers' Retirement Fund 1996 Account &amp; Pre-3932</t>
  </si>
  <si>
    <t>Teachers' Retirement Fund 1996 Account &amp; Pre-3933</t>
  </si>
  <si>
    <t>Teachers' Retirement Fund 1996 Account &amp; Pre-3934</t>
  </si>
  <si>
    <t>Teachers' Retirement Fund 1996 Account &amp; Pre-3935</t>
  </si>
  <si>
    <t>Teachers' Retirement Fund 1996 Account &amp; Pre-3936</t>
  </si>
  <si>
    <t>Teachers' Retirement Fund 1996 Account &amp; Pre-3937</t>
  </si>
  <si>
    <t>Teachers' Retirement Fund 1996 Account &amp; Pre-3938</t>
  </si>
  <si>
    <t>Teachers' Retirement Fund 1996 Account &amp; Pre-3939</t>
  </si>
  <si>
    <t>Teachers' Retirement Fund 1996 Account &amp; Pre-3940</t>
  </si>
  <si>
    <t>Teachers' Retirement Fund 1996 Account &amp; Pre-3941</t>
  </si>
  <si>
    <t>Teachers' Retirement Fund 1996 Account &amp; Pre-3942</t>
  </si>
  <si>
    <t>Teachers' Retirement Fund 1996 Account &amp; Pre-3943</t>
  </si>
  <si>
    <t>Teachers' Retirement Fund 1996 Account &amp; Pre-3944</t>
  </si>
  <si>
    <t>Teachers' Retirement Fund 1996 Account &amp; Pre-3945</t>
  </si>
  <si>
    <t>Teachers' Retirement Fund 1996 Account &amp; Pre-3946</t>
  </si>
  <si>
    <t>Teachers' Retirement Fund 1996 Account &amp; Pre-3947</t>
  </si>
  <si>
    <t>Teachers' Retirement Fund 1996 Account &amp; Pre-3948</t>
  </si>
  <si>
    <t>Teachers' Retirement Fund 1996 Account &amp; Pre-3949</t>
  </si>
  <si>
    <t>Teachers' Retirement Fund 1996 Account &amp; Pre-3950</t>
  </si>
  <si>
    <t>Teachers' Retirement Fund 1996 Account &amp; Pre-3951</t>
  </si>
  <si>
    <t>Teachers' Retirement Fund 1996 Account &amp; Pre-3952</t>
  </si>
  <si>
    <t>Teachers' Retirement Fund 1996 Account &amp; Pre-3953</t>
  </si>
  <si>
    <t>Teachers' Retirement Fund 1996 Account &amp; Pre-3954</t>
  </si>
  <si>
    <t>Teachers' Retirement Fund 1996 Account &amp; Pre-3955</t>
  </si>
  <si>
    <t>Teachers' Retirement Fund 1996 Account &amp; Pre-3956</t>
  </si>
  <si>
    <t>Teachers' Retirement Fund 1996 Account &amp; Pre-3957</t>
  </si>
  <si>
    <t>Teachers' Retirement Fund 1996 Account &amp; Pre-3958</t>
  </si>
  <si>
    <t>Teachers' Retirement Fund 1996 Account &amp; Pre-3959</t>
  </si>
  <si>
    <t>Teachers' Retirement Fund 1996 Account &amp; Pre-3960</t>
  </si>
  <si>
    <t>Teachers' Retirement Fund 1996 Account &amp; Pre-3961</t>
  </si>
  <si>
    <t>Teachers' Retirement Fund 1996 Account &amp; Pre-3962</t>
  </si>
  <si>
    <t>Teachers' Retirement Fund 1996 Account &amp; Pre-3963</t>
  </si>
  <si>
    <t>Teachers' Retirement Fund 1996 Account &amp; Pre-3964</t>
  </si>
  <si>
    <t>Teachers' Retirement Fund 1996 Account &amp; Pre-3965</t>
  </si>
  <si>
    <t>Teachers' Retirement Fund 1996 Account &amp; Pre-3966</t>
  </si>
  <si>
    <t>Teachers' Retirement Fund 1996 Account &amp; Pre-3967</t>
  </si>
  <si>
    <t>Teachers' Retirement Fund 1996 Account &amp; Pre-3968</t>
  </si>
  <si>
    <t>Teachers' Retirement Fund 1996 Account &amp; Pre-3969</t>
  </si>
  <si>
    <t>Teachers' Retirement Fund 1996 Account &amp; Pre-3970</t>
  </si>
  <si>
    <t>Teachers' Retirement Fund 1996 Account &amp; Pre-3971</t>
  </si>
  <si>
    <t>Teachers' Retirement Fund 1996 Account &amp; Pre-3972</t>
  </si>
  <si>
    <t>Teachers' Retirement Fund 1996 Account &amp; Pre-3973</t>
  </si>
  <si>
    <t>Teachers' Retirement Fund 1996 Account &amp; Pre-3974</t>
  </si>
  <si>
    <t>Teachers' Retirement Fund 1996 Account &amp; Pre-3975</t>
  </si>
  <si>
    <t>Teachers' Retirement Fund 1996 Account &amp; Pre-3976</t>
  </si>
  <si>
    <t>Teachers' Retirement Fund 1996 Account &amp; Pre-3977</t>
  </si>
  <si>
    <t>Teachers' Retirement Fund 1996 Account &amp; Pre-3978</t>
  </si>
  <si>
    <t>Teachers' Retirement Fund 1996 Account &amp; Pre-3979</t>
  </si>
  <si>
    <t>Teachers' Retirement Fund 1996 Account &amp; Pre-3980</t>
  </si>
  <si>
    <t>Teachers' Retirement Fund 1996 Account &amp; Pre-3981</t>
  </si>
  <si>
    <t>Teachers' Retirement Fund 1996 Account &amp; Pre-3982</t>
  </si>
  <si>
    <t>Teachers' Retirement Fund 1996 Account &amp; Pre-3983</t>
  </si>
  <si>
    <t>Teachers' Retirement Fund 1996 Account &amp; Pre-3984</t>
  </si>
  <si>
    <t>Teachers' Retirement Fund 1996 Account &amp; Pre-3985</t>
  </si>
  <si>
    <t>Teachers' Retirement Fund 1996 Account &amp; Pre-3986</t>
  </si>
  <si>
    <t>Teachers' Retirement Fund 1996 Account &amp; Pre-3987</t>
  </si>
  <si>
    <t>Teachers' Retirement Fund 1996 Account &amp; Pre-3988</t>
  </si>
  <si>
    <t>Teachers' Retirement Fund 1996 Account &amp; Pre-3989</t>
  </si>
  <si>
    <t>Teachers' Retirement Fund 1996 Account &amp; Pre-3990</t>
  </si>
  <si>
    <t>Teachers' Retirement Fund 1996 Account &amp; Pre-3991</t>
  </si>
  <si>
    <t>Teachers' Retirement Fund 1996 Account &amp; Pre-3992</t>
  </si>
  <si>
    <t>Teachers' Retirement Fund 1996 Account &amp; Pre-3993</t>
  </si>
  <si>
    <t>Teachers' Retirement Fund 1996 Account &amp; Pre-3994</t>
  </si>
  <si>
    <t>Teachers' Retirement Fund 1996 Account &amp; Pre-3995</t>
  </si>
  <si>
    <t>Teachers' Retirement Fund 1996 Account &amp; Pre-3996</t>
  </si>
  <si>
    <t>Teachers' Retirement Fund 1996 Account &amp; Pre-3997</t>
  </si>
  <si>
    <t>Teachers' Retirement Fund 1996 Account &amp; Pre-3998</t>
  </si>
  <si>
    <t>Teachers' Retirement Fund 1996 Account &amp; Pre-3999</t>
  </si>
  <si>
    <t>Teachers' Retirement Fund 1996 Account &amp; Pre-4000</t>
  </si>
  <si>
    <t>Teachers' Retirement Fund 1996 Account &amp; Pre-4001</t>
  </si>
  <si>
    <t>Teachers' Retirement Fund 1996 Account &amp; Pre-4002</t>
  </si>
  <si>
    <t>Teachers' Retirement Fund 1996 Account &amp; Pre-4003</t>
  </si>
  <si>
    <t>Teachers' Retirement Fund 1996 Account &amp; Pre-4004</t>
  </si>
  <si>
    <t>Teachers' Retirement Fund 1996 Account &amp; Pre-4005</t>
  </si>
  <si>
    <t>Teachers' Retirement Fund 1996 Account &amp; Pre-4006</t>
  </si>
  <si>
    <t>Teachers' Retirement Fund 1996 Account &amp; Pre-4007</t>
  </si>
  <si>
    <t>Teachers' Retirement Fund 1996 Account &amp; Pre-4008</t>
  </si>
  <si>
    <t>Teachers' Retirement Fund 1996 Account &amp; Pre-4009</t>
  </si>
  <si>
    <t>Teachers' Retirement Fund 1996 Account &amp; Pre-4010</t>
  </si>
  <si>
    <t>Teachers' Retirement Fund 1996 Account &amp; Pre-4011</t>
  </si>
  <si>
    <t>Teachers' Retirement Fund 1996 Account &amp; Pre-4012</t>
  </si>
  <si>
    <t>Teachers' Retirement Fund 1996 Account &amp; Pre-4013</t>
  </si>
  <si>
    <t>Teachers' Retirement Fund 1996 Account &amp; Pre-4014</t>
  </si>
  <si>
    <t>Teachers' Retirement Fund 1996 Account &amp; Pre-4015</t>
  </si>
  <si>
    <t>Teachers' Retirement Fund 1996 Account &amp; Pre-4016</t>
  </si>
  <si>
    <t>Teachers' Retirement Fund 1996 Account &amp; Pre-4017</t>
  </si>
  <si>
    <t>Teachers' Retirement Fund 1996 Account &amp; Pre-4018</t>
  </si>
  <si>
    <t>Teachers' Retirement Fund 1996 Account &amp; Pre-4019</t>
  </si>
  <si>
    <t>Teachers' Retirement Fund 1996 Account &amp; Pre-4020</t>
  </si>
  <si>
    <t>Teachers' Retirement Fund 1996 Account &amp; Pre-4021</t>
  </si>
  <si>
    <t>Teachers' Retirement Fund 1996 Account &amp; Pre-4022</t>
  </si>
  <si>
    <t>Teachers' Retirement Fund 1996 Account &amp; Pre-4023</t>
  </si>
  <si>
    <t>Teachers' Retirement Fund 1996 Account &amp; Pre-4024</t>
  </si>
  <si>
    <t>Teachers' Retirement Fund 1996 Account &amp; Pre-4025</t>
  </si>
  <si>
    <t>Teachers' Retirement Fund 1996 Account &amp; Pre-4026</t>
  </si>
  <si>
    <t>Teachers' Retirement Fund 1996 Account &amp; Pre-4027</t>
  </si>
  <si>
    <t>Teachers' Retirement Fund 1996 Account &amp; Pre-4028</t>
  </si>
  <si>
    <t>Teachers' Retirement Fund 1996 Account &amp; Pre-4029</t>
  </si>
  <si>
    <t>Teachers' Retirement Fund 1996 Account &amp; Pre-4030</t>
  </si>
  <si>
    <t>Teachers' Retirement Fund 1996 Account &amp; Pre-4031</t>
  </si>
  <si>
    <t>Teachers' Retirement Fund 1996 Account &amp; Pre-4032</t>
  </si>
  <si>
    <t>Teachers' Retirement Fund 1996 Account &amp; Pre-4033</t>
  </si>
  <si>
    <t>Teachers' Retirement Fund 1996 Account &amp; Pre-4034</t>
  </si>
  <si>
    <t>Teachers' Retirement Fund 1996 Account &amp; Pre-4035</t>
  </si>
  <si>
    <t>Teachers' Retirement Fund 1996 Account &amp; Pre-4036</t>
  </si>
  <si>
    <t>Teachers' Retirement Fund 1996 Account &amp; Pre-4037</t>
  </si>
  <si>
    <t>Teachers' Retirement Fund 1996 Account &amp; Pre-4038</t>
  </si>
  <si>
    <t>Teachers' Retirement Fund 1996 Account &amp; Pre-4039</t>
  </si>
  <si>
    <t>Teachers' Retirement Fund 1996 Account &amp; Pre-4040</t>
  </si>
  <si>
    <t>Teachers' Retirement Fund 1996 Account &amp; Pre-4041</t>
  </si>
  <si>
    <t>Teachers' Retirement Fund 1996 Account &amp; Pre-4042</t>
  </si>
  <si>
    <t>Teachers' Retirement Fund 1996 Account &amp; Pre-4043</t>
  </si>
  <si>
    <t>Teachers' Retirement Fund 1996 Account &amp; Pre-4044</t>
  </si>
  <si>
    <t>Teachers' Retirement Fund 1996 Account &amp; Pre-4045</t>
  </si>
  <si>
    <t>Teachers' Retirement Fund 1996 Account &amp; Pre-4046</t>
  </si>
  <si>
    <t>Teachers' Retirement Fund 1996 Account &amp; Pre-4047</t>
  </si>
  <si>
    <t>Teachers' Retirement Fund 1996 Account &amp; Pre-4048</t>
  </si>
  <si>
    <t>Teachers' Retirement Fund 1996 Account &amp; Pre-4049</t>
  </si>
  <si>
    <t>Teachers' Retirement Fund 1996 Account &amp; Pre-4050</t>
  </si>
  <si>
    <t>Teachers' Retirement Fund 1996 Account &amp; Pre-4051</t>
  </si>
  <si>
    <t>Teachers' Retirement Fund 1996 Account &amp; Pre-4052</t>
  </si>
  <si>
    <t>Teachers' Retirement Fund 1996 Account &amp; Pre-4053</t>
  </si>
  <si>
    <t>Teachers' Retirement Fund 1996 Account &amp; Pre-4054</t>
  </si>
  <si>
    <t>Teachers' Retirement Fund 1996 Account &amp; Pre-4055</t>
  </si>
  <si>
    <t>Teachers' Retirement Fund 1996 Account &amp; Pre-4056</t>
  </si>
  <si>
    <t>Teachers' Retirement Fund 1996 Account &amp; Pre-4057</t>
  </si>
  <si>
    <t>Teachers' Retirement Fund 1996 Account &amp; Pre-4058</t>
  </si>
  <si>
    <t>Teachers' Retirement Fund 1996 Account &amp; Pre-4059</t>
  </si>
  <si>
    <t>Teachers' Retirement Fund 1996 Account &amp; Pre-4060</t>
  </si>
  <si>
    <t>Teachers' Retirement Fund 1996 Account &amp; Pre-4061</t>
  </si>
  <si>
    <t>Teachers' Retirement Fund 1996 Account &amp; Pre-4062</t>
  </si>
  <si>
    <t>Teachers' Retirement Fund 1996 Account &amp; Pre-4063</t>
  </si>
  <si>
    <t>Teachers' Retirement Fund 1996 Account &amp; Pre-4064</t>
  </si>
  <si>
    <t>Teachers' Retirement Fund 1996 Account &amp; Pre-4065</t>
  </si>
  <si>
    <t>Teachers' Retirement Fund 1996 Account &amp; Pre-4066</t>
  </si>
  <si>
    <t>Teachers' Retirement Fund 1996 Account &amp; Pre-4067</t>
  </si>
  <si>
    <t>Teachers' Retirement Fund 1996 Account &amp; Pre-4068</t>
  </si>
  <si>
    <t>Teachers' Retirement Fund 1996 Account &amp; Pre-4069</t>
  </si>
  <si>
    <t>Teachers' Retirement Fund 1996 Account &amp; Pre-4070</t>
  </si>
  <si>
    <t>Teachers' Retirement Fund 1996 Account &amp; Pre-4071</t>
  </si>
  <si>
    <t>Teachers' Retirement Fund 1996 Account &amp; Pre-4072</t>
  </si>
  <si>
    <t>Teachers' Retirement Fund 1996 Account &amp; Pre-4073</t>
  </si>
  <si>
    <t>Teachers' Retirement Fund 1996 Account &amp; Pre-4074</t>
  </si>
  <si>
    <t>Teachers' Retirement Fund 1996 Account &amp; Pre-4075</t>
  </si>
  <si>
    <t>Teachers' Retirement Fund 1996 Account &amp; Pre-4076</t>
  </si>
  <si>
    <t>Teachers' Retirement Fund 1996 Account &amp; Pre-4077</t>
  </si>
  <si>
    <t>Teachers' Retirement Fund 1996 Account &amp; Pre-4078</t>
  </si>
  <si>
    <t>Teachers' Retirement Fund 1996 Account &amp; Pre-4079</t>
  </si>
  <si>
    <t>Teachers' Retirement Fund 1996 Account &amp; Pre-4080</t>
  </si>
  <si>
    <t>Teachers' Retirement Fund 1996 Account &amp; Pre-4081</t>
  </si>
  <si>
    <t>Teachers' Retirement Fund 1996 Account &amp; Pre-4082</t>
  </si>
  <si>
    <t>Teachers' Retirement Fund 1996 Account &amp; Pre-4083</t>
  </si>
  <si>
    <t>Teachers' Retirement Fund 1996 Account &amp; Pre-4084</t>
  </si>
  <si>
    <t>Teachers' Retirement Fund 1996 Account &amp; Pre-4085</t>
  </si>
  <si>
    <t>Teachers' Retirement Fund 1996 Account &amp; Pre-4086</t>
  </si>
  <si>
    <t>Teachers' Retirement Fund 1996 Account &amp; Pre-4087</t>
  </si>
  <si>
    <t>Teachers' Retirement Fund 1996 Account &amp; Pre-4088</t>
  </si>
  <si>
    <t>Teachers' Retirement Fund 1996 Account &amp; Pre-4089</t>
  </si>
  <si>
    <t>Teachers' Retirement Fund 1996 Account &amp; Pre-4090</t>
  </si>
  <si>
    <t>Teachers' Retirement Fund 1996 Account &amp; Pre-4091</t>
  </si>
  <si>
    <t>Teachers' Retirement Fund 1996 Account &amp; Pre-4092</t>
  </si>
  <si>
    <t>Teachers' Retirement Fund 1996 Account &amp; Pre-4093</t>
  </si>
  <si>
    <t>Teachers' Retirement Fund 1996 Account &amp; Pre-4094</t>
  </si>
  <si>
    <t>Teachers' Retirement Fund 1996 Account &amp; Pre-4095</t>
  </si>
  <si>
    <t>Teachers' Retirement Fund 1996 Account &amp; Pre-4096</t>
  </si>
  <si>
    <t>Teachers' Retirement Fund 1996 Account &amp; Pre-4097</t>
  </si>
  <si>
    <t>Teachers' Retirement Fund 1996 Account &amp; Pre-4098</t>
  </si>
  <si>
    <t>Teachers' Retirement Fund 1996 Account &amp; Pre-4099</t>
  </si>
  <si>
    <t>Teachers' Retirement Fund 1996 Account &amp; Pre-4100</t>
  </si>
  <si>
    <t>Teachers' Retirement Fund 1996 Account &amp; Pre-4101</t>
  </si>
  <si>
    <t>Teachers' Retirement Fund 1996 Account &amp; Pre-4102</t>
  </si>
  <si>
    <t>Teachers' Retirement Fund 1996 Account &amp; Pre-4103</t>
  </si>
  <si>
    <t>Teachers' Retirement Fund 1996 Account &amp; Pre-4104</t>
  </si>
  <si>
    <t>Teachers' Retirement Fund 1996 Account &amp; Pre-4105</t>
  </si>
  <si>
    <t>Teachers' Retirement Fund 1996 Account &amp; Pre-4106</t>
  </si>
  <si>
    <t>Teachers' Retirement Fund 1996 Account &amp; Pre-4107</t>
  </si>
  <si>
    <t>Teachers' Retirement Fund 1996 Account &amp; Pre-4108</t>
  </si>
  <si>
    <t>Teachers' Retirement Fund 1996 Account &amp; Pre-4109</t>
  </si>
  <si>
    <t>Teachers' Retirement Fund 1996 Account &amp; Pre-4110</t>
  </si>
  <si>
    <t>Teachers' Retirement Fund 1996 Account &amp; Pre-4111</t>
  </si>
  <si>
    <t>Teachers' Retirement Fund 1996 Account &amp; Pre-4112</t>
  </si>
  <si>
    <t>Teachers' Retirement Fund 1996 Account &amp; Pre-4113</t>
  </si>
  <si>
    <t>Teachers' Retirement Fund 1996 Account &amp; Pre-4114</t>
  </si>
  <si>
    <t>Teachers' Retirement Fund 1996 Account &amp; Pre-4115</t>
  </si>
  <si>
    <t>Teachers' Retirement Fund 1996 Account &amp; Pre-4116</t>
  </si>
  <si>
    <t>Teachers' Retirement Fund 1996 Account &amp; Pre-4117</t>
  </si>
  <si>
    <t>Teachers' Retirement Fund 1996 Account &amp; Pre-4118</t>
  </si>
  <si>
    <t>Teachers' Retirement Fund 1996 Account &amp; Pre-4119</t>
  </si>
  <si>
    <t>Teachers' Retirement Fund 1996 Account &amp; Pre-4120</t>
  </si>
  <si>
    <t>Teachers' Retirement Fund 1996 Account &amp; Pre-4121</t>
  </si>
  <si>
    <t>Teachers' Retirement Fund 1996 Account &amp; Pre-4122</t>
  </si>
  <si>
    <t>Teachers' Retirement Fund 1996 Account &amp; Pre-4123</t>
  </si>
  <si>
    <t>Teachers' Retirement Fund 1996 Account &amp; Pre-4124</t>
  </si>
  <si>
    <t>Teachers' Retirement Fund 1996 Account &amp; Pre-4125</t>
  </si>
  <si>
    <t>Teachers' Retirement Fund 1996 Account &amp; Pre-4126</t>
  </si>
  <si>
    <t>Teachers' Retirement Fund 1996 Account &amp; Pre-4127</t>
  </si>
  <si>
    <t>Teachers' Retirement Fund 1996 Account &amp; Pre-4128</t>
  </si>
  <si>
    <t>Teachers' Retirement Fund 1996 Account &amp; Pre-4129</t>
  </si>
  <si>
    <t>Teachers' Retirement Fund 1996 Account &amp; Pre-4130</t>
  </si>
  <si>
    <t>Teachers' Retirement Fund 1996 Account &amp; Pre-4131</t>
  </si>
  <si>
    <t>Teachers' Retirement Fund 1996 Account &amp; Pre-4132</t>
  </si>
  <si>
    <t>Teachers' Retirement Fund 1996 Account &amp; Pre-4133</t>
  </si>
  <si>
    <t>Teachers' Retirement Fund 1996 Account &amp; Pre-4134</t>
  </si>
  <si>
    <t>Teachers' Retirement Fund 1996 Account &amp; Pre-4135</t>
  </si>
  <si>
    <t>Teachers' Retirement Fund 1996 Account &amp; Pre-4136</t>
  </si>
  <si>
    <t>Teachers' Retirement Fund 1996 Account &amp; Pre-4137</t>
  </si>
  <si>
    <t>Teachers' Retirement Fund 1996 Account &amp; Pre-4138</t>
  </si>
  <si>
    <t>Teachers' Retirement Fund 1996 Account &amp; Pre-4139</t>
  </si>
  <si>
    <t>Teachers' Retirement Fund 1996 Account &amp; Pre-4140</t>
  </si>
  <si>
    <t>Teachers' Retirement Fund 1996 Account &amp; Pre-4141</t>
  </si>
  <si>
    <t>Teachers' Retirement Fund 1996 Account &amp; Pre-4142</t>
  </si>
  <si>
    <t>Teachers' Retirement Fund 1996 Account &amp; Pre-4143</t>
  </si>
  <si>
    <t>Teachers' Retirement Fund 1996 Account &amp; Pre-4144</t>
  </si>
  <si>
    <t>Teachers' Retirement Fund 1996 Account &amp; Pre-4145</t>
  </si>
  <si>
    <t>Teachers' Retirement Fund 1996 Account &amp; Pre-4146</t>
  </si>
  <si>
    <t>Teachers' Retirement Fund 1996 Account &amp; Pre-4147</t>
  </si>
  <si>
    <t>Teachers' Retirement Fund 1996 Account &amp; Pre-4148</t>
  </si>
  <si>
    <t>Teachers' Retirement Fund 1996 Account &amp; Pre-4149</t>
  </si>
  <si>
    <t>Teachers' Retirement Fund 1996 Account &amp; Pre-4150</t>
  </si>
  <si>
    <t>Teachers' Retirement Fund 1996 Account &amp; Pre-4151</t>
  </si>
  <si>
    <t>Teachers' Retirement Fund 1996 Account &amp; Pre-4152</t>
  </si>
  <si>
    <t>Teachers' Retirement Fund 1996 Account &amp; Pre-4153</t>
  </si>
  <si>
    <t>Teachers' Retirement Fund 1996 Account &amp; Pre-4154</t>
  </si>
  <si>
    <t>Teachers' Retirement Fund 1996 Account &amp; Pre-4155</t>
  </si>
  <si>
    <t>Teachers' Retirement Fund 1996 Account &amp; Pre-4156</t>
  </si>
  <si>
    <t>Teachers' Retirement Fund 1996 Account &amp; Pre-4157</t>
  </si>
  <si>
    <t>Teachers' Retirement Fund 1996 Account &amp; Pre-4158</t>
  </si>
  <si>
    <t>Teachers' Retirement Fund 1996 Account &amp; Pre-4159</t>
  </si>
  <si>
    <t>Teachers' Retirement Fund 1996 Account &amp; Pre-4160</t>
  </si>
  <si>
    <t>Teachers' Retirement Fund 1996 Account &amp; Pre-4161</t>
  </si>
  <si>
    <t>Teachers' Retirement Fund 1996 Account &amp; Pre-4162</t>
  </si>
  <si>
    <t>Teachers' Retirement Fund 1996 Account &amp; Pre-4163</t>
  </si>
  <si>
    <t>Teachers' Retirement Fund 1996 Account &amp; Pre-4164</t>
  </si>
  <si>
    <t>Teachers' Retirement Fund 1996 Account &amp; Pre-4165</t>
  </si>
  <si>
    <t>Teachers' Retirement Fund 1996 Account &amp; Pre-4166</t>
  </si>
  <si>
    <t>Teachers' Retirement Fund 1996 Account &amp; Pre-4167</t>
  </si>
  <si>
    <t>Teachers' Retirement Fund 1996 Account &amp; Pre-4168</t>
  </si>
  <si>
    <t>Teachers' Retirement Fund 1996 Account &amp; Pre-4169</t>
  </si>
  <si>
    <t>Teachers' Retirement Fund 1996 Account &amp; Pre-4170</t>
  </si>
  <si>
    <t>Teachers' Retirement Fund 1996 Account &amp; Pre-4171</t>
  </si>
  <si>
    <t>Teachers' Retirement Fund 1996 Account &amp; Pre-4172</t>
  </si>
  <si>
    <t>Teachers' Retirement Fund 1996 Account &amp; Pre-4173</t>
  </si>
  <si>
    <t>Teachers' Retirement Fund 1996 Account &amp; Pre-4174</t>
  </si>
  <si>
    <t>Teachers' Retirement Fund 1996 Account &amp; Pre-4175</t>
  </si>
  <si>
    <t>Teachers' Retirement Fund 1996 Account &amp; Pre-4176</t>
  </si>
  <si>
    <t>Teachers' Retirement Fund 1996 Account &amp; Pre-4177</t>
  </si>
  <si>
    <t>Teachers' Retirement Fund 1996 Account &amp; Pre-4178</t>
  </si>
  <si>
    <t>Teachers' Retirement Fund 1996 Account &amp; Pre-4179</t>
  </si>
  <si>
    <t>Teachers' Retirement Fund 1996 Account &amp; Pre-4180</t>
  </si>
  <si>
    <t>Teachers' Retirement Fund 1996 Account &amp; Pre-4181</t>
  </si>
  <si>
    <t>Teachers' Retirement Fund 1996 Account &amp; Pre-4182</t>
  </si>
  <si>
    <t>Teachers' Retirement Fund 1996 Account &amp; Pre-4183</t>
  </si>
  <si>
    <t>Teachers' Retirement Fund 1996 Account &amp; Pre-4184</t>
  </si>
  <si>
    <t>Teachers' Retirement Fund 1996 Account &amp; Pre-4185</t>
  </si>
  <si>
    <t>Teachers' Retirement Fund 1996 Account &amp; Pre-4186</t>
  </si>
  <si>
    <t>Teachers' Retirement Fund 1996 Account &amp; Pre-4187</t>
  </si>
  <si>
    <t>Teachers' Retirement Fund 1996 Account &amp; Pre-4188</t>
  </si>
  <si>
    <t>Teachers' Retirement Fund 1996 Account &amp; Pre-4189</t>
  </si>
  <si>
    <t>Teachers' Retirement Fund 1996 Account &amp; Pre-4190</t>
  </si>
  <si>
    <t>Teachers' Retirement Fund 1996 Account &amp; Pre-4191</t>
  </si>
  <si>
    <t>Teachers' Retirement Fund 1996 Account &amp; Pre-4192</t>
  </si>
  <si>
    <t>Teachers' Retirement Fund 1996 Account &amp; Pre-4193</t>
  </si>
  <si>
    <t>Teachers' Retirement Fund 1996 Account &amp; Pre-4194</t>
  </si>
  <si>
    <t>Teachers' Retirement Fund 1996 Account &amp; Pre-4195</t>
  </si>
  <si>
    <t>Teachers' Retirement Fund 1996 Account &amp; Pre-4196</t>
  </si>
  <si>
    <t>Teachers' Retirement Fund 1996 Account &amp; Pre-4197</t>
  </si>
  <si>
    <t>Teachers' Retirement Fund 1996 Account &amp; Pre-4198</t>
  </si>
  <si>
    <t>Teachers' Retirement Fund 1996 Account &amp; Pre-4199</t>
  </si>
  <si>
    <t>Teachers' Retirement Fund 1996 Account &amp; Pre-4200</t>
  </si>
  <si>
    <t>Teachers' Retirement Fund 1996 Account &amp; Pre-4201</t>
  </si>
  <si>
    <t>Teachers' Retirement Fund 1996 Account &amp; Pre-4202</t>
  </si>
  <si>
    <t>Teachers' Retirement Fund 1996 Account &amp; Pre-4203</t>
  </si>
  <si>
    <t>Teachers' Retirement Fund 1996 Account &amp; Pre-4204</t>
  </si>
  <si>
    <t>Teachers' Retirement Fund 1996 Account &amp; Pre-4205</t>
  </si>
  <si>
    <t>Teachers' Retirement Fund 1996 Account &amp; Pre-4206</t>
  </si>
  <si>
    <t>Teachers' Retirement Fund 1996 Account &amp; Pre-4207</t>
  </si>
  <si>
    <t>Teachers' Retirement Fund 1996 Account &amp; Pre-4208</t>
  </si>
  <si>
    <t>Teachers' Retirement Fund 1996 Account &amp; Pre-4209</t>
  </si>
  <si>
    <t>Teachers' Retirement Fund 1996 Account &amp; Pre-4210</t>
  </si>
  <si>
    <t>Teachers' Retirement Fund 1996 Account &amp; Pre-4211</t>
  </si>
  <si>
    <t>Teachers' Retirement Fund 1996 Account &amp; Pre-4212</t>
  </si>
  <si>
    <t>Teachers' Retirement Fund 1996 Account &amp; Pre-4213</t>
  </si>
  <si>
    <t>Teachers' Retirement Fund 1996 Account &amp; Pre-4214</t>
  </si>
  <si>
    <t>Teachers' Retirement Fund 1996 Account &amp; Pre-4215</t>
  </si>
  <si>
    <t>Teachers' Retirement Fund 1996 Account &amp; Pre-4216</t>
  </si>
  <si>
    <t>Teachers' Retirement Fund 1996 Account &amp; Pre-4217</t>
  </si>
  <si>
    <t>Teachers' Retirement Fund 1996 Account &amp; Pre-4218</t>
  </si>
  <si>
    <t>Teachers' Retirement Fund 1996 Account &amp; Pre-4219</t>
  </si>
  <si>
    <t>Teachers' Retirement Fund 1996 Account &amp; Pre-4220</t>
  </si>
  <si>
    <t>Teachers' Retirement Fund 1996 Account &amp; Pre-4221</t>
  </si>
  <si>
    <t>Teachers' Retirement Fund 1996 Account &amp; Pre-4222</t>
  </si>
  <si>
    <t>Teachers' Retirement Fund 1996 Account &amp; Pre-4223</t>
  </si>
  <si>
    <t>Teachers' Retirement Fund 1996 Account &amp; Pre-4224</t>
  </si>
  <si>
    <t>Teachers' Retirement Fund 1996 Account &amp; Pre-4225</t>
  </si>
  <si>
    <t>Teachers' Retirement Fund 1996 Account &amp; Pre-4226</t>
  </si>
  <si>
    <t>Teachers' Retirement Fund 1996 Account &amp; Pre-4227</t>
  </si>
  <si>
    <t>Teachers' Retirement Fund 1996 Account &amp; Pre-4228</t>
  </si>
  <si>
    <t>Teachers' Retirement Fund 1996 Account &amp; Pre-4229</t>
  </si>
  <si>
    <t>Teachers' Retirement Fund 1996 Account &amp; Pre-4230</t>
  </si>
  <si>
    <t>Teachers' Retirement Fund 1996 Account &amp; Pre-4231</t>
  </si>
  <si>
    <t>Teachers' Retirement Fund 1996 Account &amp; Pre-4232</t>
  </si>
  <si>
    <t>Teachers' Retirement Fund 1996 Account &amp; Pre-4233</t>
  </si>
  <si>
    <t>Teachers' Retirement Fund 1996 Account &amp; Pre-4234</t>
  </si>
  <si>
    <t>Teachers' Retirement Fund 1996 Account &amp; Pre-4235</t>
  </si>
  <si>
    <t>Teachers' Retirement Fund 1996 Account &amp; Pre-4236</t>
  </si>
  <si>
    <t>Teachers' Retirement Fund 1996 Account &amp; Pre-4237</t>
  </si>
  <si>
    <t>Teachers' Retirement Fund 1996 Account &amp; Pre-4238</t>
  </si>
  <si>
    <t>Teachers' Retirement Fund 1996 Account &amp; Pre-4239</t>
  </si>
  <si>
    <t>Teachers' Retirement Fund 1996 Account &amp; Pre-4240</t>
  </si>
  <si>
    <t>Teachers' Retirement Fund 1996 Account &amp; Pre-4241</t>
  </si>
  <si>
    <t>Teachers' Retirement Fund 1996 Account &amp; Pre-4242</t>
  </si>
  <si>
    <t>Teachers' Retirement Fund 1996 Account &amp; Pre-4243</t>
  </si>
  <si>
    <t>Teachers' Retirement Fund 1996 Account &amp; Pre-4244</t>
  </si>
  <si>
    <t>Teachers' Retirement Fund 1996 Account &amp; Pre-4245</t>
  </si>
  <si>
    <t>Teachers' Retirement Fund 1996 Account &amp; Pre-4246</t>
  </si>
  <si>
    <t>Teachers' Retirement Fund 1996 Account &amp; Pre-4247</t>
  </si>
  <si>
    <t>Teachers' Retirement Fund 1996 Account &amp; Pre-4248</t>
  </si>
  <si>
    <t>Teachers' Retirement Fund 1996 Account &amp; Pre-4249</t>
  </si>
  <si>
    <t>Teachers' Retirement Fund 1996 Account &amp; Pre-4250</t>
  </si>
  <si>
    <t>Teachers' Retirement Fund 1996 Account &amp; Pre-4251</t>
  </si>
  <si>
    <t>Teachers' Retirement Fund 1996 Account &amp; Pre-4252</t>
  </si>
  <si>
    <t>Teachers' Retirement Fund 1996 Account &amp; Pre-4253</t>
  </si>
  <si>
    <t>Teachers' Retirement Fund 1996 Account &amp; Pre-4254</t>
  </si>
  <si>
    <t>Teachers' Retirement Fund 1996 Account &amp; Pre-4255</t>
  </si>
  <si>
    <t>Teachers' Retirement Fund 1996 Account &amp; Pre-4256</t>
  </si>
  <si>
    <t>Teachers' Retirement Fund 1996 Account &amp; Pre-4257</t>
  </si>
  <si>
    <t>Teachers' Retirement Fund 1996 Account &amp; Pre-4258</t>
  </si>
  <si>
    <t>Teachers' Retirement Fund 1996 Account &amp; Pre-4259</t>
  </si>
  <si>
    <t>Teachers' Retirement Fund 1996 Account &amp; Pre-4260</t>
  </si>
  <si>
    <t>Teachers' Retirement Fund 1996 Account &amp; Pre-4261</t>
  </si>
  <si>
    <t>Teachers' Retirement Fund 1996 Account &amp; Pre-4262</t>
  </si>
  <si>
    <t>Teachers' Retirement Fund 1996 Account &amp; Pre-4263</t>
  </si>
  <si>
    <t>Teachers' Retirement Fund 1996 Account &amp; Pre-4264</t>
  </si>
  <si>
    <t>Teachers' Retirement Fund 1996 Account &amp; Pre-4265</t>
  </si>
  <si>
    <t>Teachers' Retirement Fund 1996 Account &amp; Pre-4266</t>
  </si>
  <si>
    <t>Teachers' Retirement Fund 1996 Account &amp; Pre-4267</t>
  </si>
  <si>
    <t>Teachers' Retirement Fund 1996 Account &amp; Pre-4268</t>
  </si>
  <si>
    <t>Teachers' Retirement Fund 1996 Account &amp; Pre-4269</t>
  </si>
  <si>
    <t>Teachers' Retirement Fund 1996 Account &amp; Pre-4270</t>
  </si>
  <si>
    <t>Teachers' Retirement Fund 1996 Account &amp; Pre-4271</t>
  </si>
  <si>
    <t>Teachers' Retirement Fund 1996 Account &amp; Pre-4272</t>
  </si>
  <si>
    <t>Teachers' Retirement Fund 1996 Account &amp; Pre-4273</t>
  </si>
  <si>
    <t>Teachers' Retirement Fund 1996 Account &amp; Pre-4274</t>
  </si>
  <si>
    <t>Teachers' Retirement Fund 1996 Account &amp; Pre-4275</t>
  </si>
  <si>
    <t>Teachers' Retirement Fund 1996 Account &amp; Pre-4276</t>
  </si>
  <si>
    <t>Teachers' Retirement Fund 1996 Account &amp; Pre-4277</t>
  </si>
  <si>
    <t>Teachers' Retirement Fund 1996 Account &amp; Pre-4278</t>
  </si>
  <si>
    <t>Teachers' Retirement Fund 1996 Account &amp; Pre-4279</t>
  </si>
  <si>
    <t>Teachers' Retirement Fund 1996 Account &amp; Pre-4280</t>
  </si>
  <si>
    <t>Teachers' Retirement Fund 1996 Account &amp; Pre-4281</t>
  </si>
  <si>
    <t>Teachers' Retirement Fund 1996 Account &amp; Pre-4282</t>
  </si>
  <si>
    <t>Teachers' Retirement Fund 1996 Account &amp; Pre-4283</t>
  </si>
  <si>
    <t>Teachers' Retirement Fund 1996 Account &amp; Pre-4284</t>
  </si>
  <si>
    <t>Teachers' Retirement Fund 1996 Account &amp; Pre-4285</t>
  </si>
  <si>
    <t>Teachers' Retirement Fund 1996 Account &amp; Pre-4286</t>
  </si>
  <si>
    <t>Teachers' Retirement Fund 1996 Account &amp; Pre-4287</t>
  </si>
  <si>
    <t>Teachers' Retirement Fund 1996 Account &amp; Pre-4288</t>
  </si>
  <si>
    <t>Teachers' Retirement Fund 1996 Account &amp; Pre-4289</t>
  </si>
  <si>
    <t>Teachers' Retirement Fund 1996 Account &amp; Pre-4290</t>
  </si>
  <si>
    <t>Teachers' Retirement Fund 1996 Account &amp; Pre-4291</t>
  </si>
  <si>
    <t>Teachers' Retirement Fund 1996 Account &amp; Pre-4292</t>
  </si>
  <si>
    <t>Teachers' Retirement Fund 1996 Account &amp; Pre-4293</t>
  </si>
  <si>
    <t>Teachers' Retirement Fund 1996 Account &amp; Pre-4294</t>
  </si>
  <si>
    <t>Teachers' Retirement Fund 1996 Account &amp; Pre-4295</t>
  </si>
  <si>
    <t>Teachers' Retirement Fund 1996 Account &amp; Pre-4296</t>
  </si>
  <si>
    <t>Teachers' Retirement Fund 1996 Account &amp; Pre-4297</t>
  </si>
  <si>
    <t>Teachers' Retirement Fund 1996 Account &amp; Pre-4298</t>
  </si>
  <si>
    <t>Teachers' Retirement Fund 1996 Account &amp; Pre-4299</t>
  </si>
  <si>
    <t>Teachers' Retirement Fund 1996 Account &amp; Pre-4300</t>
  </si>
  <si>
    <t>Teachers' Retirement Fund 1996 Account &amp; Pre-4301</t>
  </si>
  <si>
    <t>Teachers' Retirement Fund 1996 Account &amp; Pre-4302</t>
  </si>
  <si>
    <t>Teachers' Retirement Fund 1996 Account &amp; Pre-4303</t>
  </si>
  <si>
    <t>Teachers' Retirement Fund 1996 Account &amp; Pre-4304</t>
  </si>
  <si>
    <t>Teachers' Retirement Fund 1996 Account &amp; Pre-4305</t>
  </si>
  <si>
    <t>Teachers' Retirement Fund 1996 Account &amp; Pre-4306</t>
  </si>
  <si>
    <t>Teachers' Retirement Fund 1996 Account &amp; Pre-4307</t>
  </si>
  <si>
    <t>Teachers' Retirement Fund 1996 Account &amp; Pre-4308</t>
  </si>
  <si>
    <t>Teachers' Retirement Fund 1996 Account &amp; Pre-4309</t>
  </si>
  <si>
    <t>Teachers' Retirement Fund 1996 Account &amp; Pre-4310</t>
  </si>
  <si>
    <t>Teachers' Retirement Fund 1996 Account &amp; Pre-4311</t>
  </si>
  <si>
    <t>Teachers' Retirement Fund 1996 Account &amp; Pre-4312</t>
  </si>
  <si>
    <t>Teachers' Retirement Fund 1996 Account &amp; Pre-4313</t>
  </si>
  <si>
    <t>Teachers' Retirement Fund 1996 Account &amp; Pre-4314</t>
  </si>
  <si>
    <t>Teachers' Retirement Fund 1996 Account &amp; Pre-4315</t>
  </si>
  <si>
    <t>Teachers' Retirement Fund 1996 Account &amp; Pre-4316</t>
  </si>
  <si>
    <t>Teachers' Retirement Fund 1996 Account &amp; Pre-4317</t>
  </si>
  <si>
    <t>Teachers' Retirement Fund 1996 Account &amp; Pre-4318</t>
  </si>
  <si>
    <t>Teachers' Retirement Fund 1996 Account &amp; Pre-4319</t>
  </si>
  <si>
    <t>Teachers' Retirement Fund 1996 Account &amp; Pre-4320</t>
  </si>
  <si>
    <t>Teachers' Retirement Fund 1996 Account &amp; Pre-4321</t>
  </si>
  <si>
    <t>Teachers' Retirement Fund 1996 Account &amp; Pre-4322</t>
  </si>
  <si>
    <t>Teachers' Retirement Fund 1996 Account &amp; Pre-4323</t>
  </si>
  <si>
    <t>Teachers' Retirement Fund 1996 Account &amp; Pre-4324</t>
  </si>
  <si>
    <t>Teachers' Retirement Fund 1996 Account &amp; Pre-4325</t>
  </si>
  <si>
    <t>Teachers' Retirement Fund 1996 Account &amp; Pre-4326</t>
  </si>
  <si>
    <t>Teachers' Retirement Fund 1996 Account &amp; Pre-4327</t>
  </si>
  <si>
    <t>Teachers' Retirement Fund 1996 Account &amp; Pre-4328</t>
  </si>
  <si>
    <t>Teachers' Retirement Fund 1996 Account &amp; Pre-4329</t>
  </si>
  <si>
    <t>Teachers' Retirement Fund 1996 Account &amp; Pre-4330</t>
  </si>
  <si>
    <t>Teachers' Retirement Fund 1996 Account &amp; Pre-4331</t>
  </si>
  <si>
    <t>Teachers' Retirement Fund 1996 Account &amp; Pre-4332</t>
  </si>
  <si>
    <t>Teachers' Retirement Fund 1996 Account &amp; Pre-4333</t>
  </si>
  <si>
    <t>Teachers' Retirement Fund 1996 Account &amp; Pre-4334</t>
  </si>
  <si>
    <t>Teachers' Retirement Fund 1996 Account &amp; Pre-4335</t>
  </si>
  <si>
    <t>Teachers' Retirement Fund 1996 Account &amp; Pre-4336</t>
  </si>
  <si>
    <t>Teachers' Retirement Fund 1996 Account &amp; Pre-4337</t>
  </si>
  <si>
    <t>Teachers' Retirement Fund 1996 Account &amp; Pre-4338</t>
  </si>
  <si>
    <t>Teachers' Retirement Fund 1996 Account &amp; Pre-4339</t>
  </si>
  <si>
    <t>Teachers' Retirement Fund 1996 Account &amp; Pre-4340</t>
  </si>
  <si>
    <t>Teachers' Retirement Fund 1996 Account &amp; Pre-4341</t>
  </si>
  <si>
    <t>Teachers' Retirement Fund 1996 Account &amp; Pre-4342</t>
  </si>
  <si>
    <t>Teachers' Retirement Fund 1996 Account &amp; Pre-4343</t>
  </si>
  <si>
    <t>Teachers' Retirement Fund 1996 Account &amp; Pre-4344</t>
  </si>
  <si>
    <t>Teachers' Retirement Fund 1996 Account &amp; Pre-4345</t>
  </si>
  <si>
    <t>Teachers' Retirement Fund 1996 Account &amp; Pre-4346</t>
  </si>
  <si>
    <t>Teachers' Retirement Fund 1996 Account &amp; Pre-4347</t>
  </si>
  <si>
    <t>Teachers' Retirement Fund 1996 Account &amp; Pre-4348</t>
  </si>
  <si>
    <t>Teachers' Retirement Fund 1996 Account &amp; Pre-4349</t>
  </si>
  <si>
    <t>Teachers' Retirement Fund 1996 Account &amp; Pre-4350</t>
  </si>
  <si>
    <t>Teachers' Retirement Fund 1996 Account &amp; Pre-4351</t>
  </si>
  <si>
    <t>Teachers' Retirement Fund 1996 Account &amp; Pre-4352</t>
  </si>
  <si>
    <t>Teachers' Retirement Fund 1996 Account &amp; Pre-4353</t>
  </si>
  <si>
    <t>Teachers' Retirement Fund 1996 Account &amp; Pre-4354</t>
  </si>
  <si>
    <t>Teachers' Retirement Fund 1996 Account &amp; Pre-4355</t>
  </si>
  <si>
    <t>Teachers' Retirement Fund 1996 Account &amp; Pre-4356</t>
  </si>
  <si>
    <t>Teachers' Retirement Fund 1996 Account &amp; Pre-4357</t>
  </si>
  <si>
    <t>Teachers' Retirement Fund 1996 Account &amp; Pre-4358</t>
  </si>
  <si>
    <t>Teachers' Retirement Fund 1996 Account &amp; Pre-4359</t>
  </si>
  <si>
    <t>Teachers' Retirement Fund 1996 Account &amp; Pre-4360</t>
  </si>
  <si>
    <t>Teachers' Retirement Fund 1996 Account &amp; Pre-4361</t>
  </si>
  <si>
    <t>Teachers' Retirement Fund 1996 Account &amp; Pre-4362</t>
  </si>
  <si>
    <t>Teachers' Retirement Fund 1996 Account &amp; Pre-4363</t>
  </si>
  <si>
    <t>Teachers' Retirement Fund 1996 Account &amp; Pre-4364</t>
  </si>
  <si>
    <t>Teachers' Retirement Fund 1996 Account &amp; Pre-4365</t>
  </si>
  <si>
    <t>Teachers' Retirement Fund 1996 Account &amp; Pre-4366</t>
  </si>
  <si>
    <t>Teachers' Retirement Fund 1996 Account &amp; Pre-4367</t>
  </si>
  <si>
    <t>Teachers' Retirement Fund 1996 Account &amp; Pre-4368</t>
  </si>
  <si>
    <t>Teachers' Retirement Fund 1996 Account &amp; Pre-4369</t>
  </si>
  <si>
    <t>Teachers' Retirement Fund 1996 Account &amp; Pre-4370</t>
  </si>
  <si>
    <t>Teachers' Retirement Fund 1996 Account &amp; Pre-4371</t>
  </si>
  <si>
    <t>Teachers' Retirement Fund 1996 Account &amp; Pre-4372</t>
  </si>
  <si>
    <t>Teachers' Retirement Fund 1996 Account &amp; Pre-4373</t>
  </si>
  <si>
    <t>Teachers' Retirement Fund 1996 Account &amp; Pre-4374</t>
  </si>
  <si>
    <t>Teachers' Retirement Fund 1996 Account &amp; Pre-4375</t>
  </si>
  <si>
    <t>Teachers' Retirement Fund 1996 Account &amp; Pre-4376</t>
  </si>
  <si>
    <t>Teachers' Retirement Fund 1996 Account &amp; Pre-4377</t>
  </si>
  <si>
    <t>Teachers' Retirement Fund 1996 Account &amp; Pre-4378</t>
  </si>
  <si>
    <t>Teachers' Retirement Fund 1996 Account &amp; Pre-4379</t>
  </si>
  <si>
    <t>Teachers' Retirement Fund 1996 Account &amp; Pre-4380</t>
  </si>
  <si>
    <t>Teachers' Retirement Fund 1996 Account &amp; Pre-4381</t>
  </si>
  <si>
    <t>Teachers' Retirement Fund 1996 Account &amp; Pre-4382</t>
  </si>
  <si>
    <t>Teachers' Retirement Fund 1996 Account &amp; Pre-4383</t>
  </si>
  <si>
    <t>Teachers' Retirement Fund 1996 Account &amp; Pre-4384</t>
  </si>
  <si>
    <t>Teachers' Retirement Fund 1996 Account &amp; Pre-4385</t>
  </si>
  <si>
    <t>Teachers' Retirement Fund 1996 Account &amp; Pre-4386</t>
  </si>
  <si>
    <t>Teachers' Retirement Fund 1996 Account &amp; Pre-4387</t>
  </si>
  <si>
    <t>Teachers' Retirement Fund 1996 Account &amp; Pre-4388</t>
  </si>
  <si>
    <t>Teachers' Retirement Fund 1996 Account &amp; Pre-4389</t>
  </si>
  <si>
    <t>Teachers' Retirement Fund 1996 Account &amp; Pre-4390</t>
  </si>
  <si>
    <t>Teachers' Retirement Fund 1996 Account &amp; Pre-4391</t>
  </si>
  <si>
    <t>Teachers' Retirement Fund 1996 Account &amp; Pre-4392</t>
  </si>
  <si>
    <t>Teachers' Retirement Fund 1996 Account &amp; Pre-4393</t>
  </si>
  <si>
    <t>Teachers' Retirement Fund 1996 Account &amp; Pre-4394</t>
  </si>
  <si>
    <t>Teachers' Retirement Fund 1996 Account &amp; Pre-4395</t>
  </si>
  <si>
    <t>Teachers' Retirement Fund 1996 Account &amp; Pre-4396</t>
  </si>
  <si>
    <t>Teachers' Retirement Fund 1996 Account &amp; Pre-4397</t>
  </si>
  <si>
    <t>Teachers' Retirement Fund 1996 Account &amp; Pre-4398</t>
  </si>
  <si>
    <t>Teachers' Retirement Fund 1996 Account &amp; Pre-4399</t>
  </si>
  <si>
    <t>Teachers' Retirement Fund 1996 Account &amp; Pre-4400</t>
  </si>
  <si>
    <t>Teachers' Retirement Fund 1996 Account &amp; Pre-4401</t>
  </si>
  <si>
    <t>Teachers' Retirement Fund 1996 Account &amp; Pre-4402</t>
  </si>
  <si>
    <t>Teachers' Retirement Fund 1996 Account &amp; Pre-4403</t>
  </si>
  <si>
    <t>Teachers' Retirement Fund 1996 Account &amp; Pre-4404</t>
  </si>
  <si>
    <t>Teachers' Retirement Fund 1996 Account &amp; Pre-4405</t>
  </si>
  <si>
    <t>Teachers' Retirement Fund 1996 Account &amp; Pre-4406</t>
  </si>
  <si>
    <t>Teachers' Retirement Fund 1996 Account &amp; Pre-4407</t>
  </si>
  <si>
    <t>Teachers' Retirement Fund 1996 Account &amp; Pre-4408</t>
  </si>
  <si>
    <t>Teachers' Retirement Fund 1996 Account &amp; Pre-4409</t>
  </si>
  <si>
    <t>Teachers' Retirement Fund 1996 Account &amp; Pre-4410</t>
  </si>
  <si>
    <t>Teachers' Retirement Fund 1996 Account &amp; Pre-4411</t>
  </si>
  <si>
    <t>Teachers' Retirement Fund 1996 Account &amp; Pre-4412</t>
  </si>
  <si>
    <t>Teachers' Retirement Fund 1996 Account &amp; Pre-4413</t>
  </si>
  <si>
    <t>Teachers' Retirement Fund 1996 Account &amp; Pre-4414</t>
  </si>
  <si>
    <t>Teachers' Retirement Fund 1996 Account &amp; Pre-4415</t>
  </si>
  <si>
    <t>Teachers' Retirement Fund 1996 Account &amp; Pre-4416</t>
  </si>
  <si>
    <t>Teachers' Retirement Fund 1996 Account &amp; Pre-4417</t>
  </si>
  <si>
    <t>Teachers' Retirement Fund 1996 Account &amp; Pre-4418</t>
  </si>
  <si>
    <t>Teachers' Retirement Fund 1996 Account &amp; Pre-4419</t>
  </si>
  <si>
    <t>Teachers' Retirement Fund 1996 Account &amp; Pre-4420</t>
  </si>
  <si>
    <t>Teachers' Retirement Fund 1996 Account &amp; Pre-4421</t>
  </si>
  <si>
    <t>Teachers' Retirement Fund 1996 Account &amp; Pre-4422</t>
  </si>
  <si>
    <t>Teachers' Retirement Fund 1996 Account &amp; Pre-4423</t>
  </si>
  <si>
    <t>Teachers' Retirement Fund 1996 Account &amp; Pre-4424</t>
  </si>
  <si>
    <t>Teachers' Retirement Fund 1996 Account &amp; Pre-4425</t>
  </si>
  <si>
    <t>Teachers' Retirement Fund 1996 Account &amp; Pre-4426</t>
  </si>
  <si>
    <t>Teachers' Retirement Fund 1996 Account &amp; Pre-4427</t>
  </si>
  <si>
    <t>Teachers' Retirement Fund 1996 Account &amp; Pre-4428</t>
  </si>
  <si>
    <t>Teachers' Retirement Fund 1996 Account &amp; Pre-4429</t>
  </si>
  <si>
    <t>Teachers' Retirement Fund 1996 Account &amp; Pre-4430</t>
  </si>
  <si>
    <t>Teachers' Retirement Fund 1996 Account &amp; Pre-4431</t>
  </si>
  <si>
    <t>Teachers' Retirement Fund 1996 Account &amp; Pre-4432</t>
  </si>
  <si>
    <t>Teachers' Retirement Fund 1996 Account &amp; Pre-4433</t>
  </si>
  <si>
    <t>Teachers' Retirement Fund 1996 Account &amp; Pre-4434</t>
  </si>
  <si>
    <t>Teachers' Retirement Fund 1996 Account &amp; Pre-4435</t>
  </si>
  <si>
    <t>Teachers' Retirement Fund 1996 Account &amp; Pre-4436</t>
  </si>
  <si>
    <t>Teachers' Retirement Fund 1996 Account &amp; Pre-4437</t>
  </si>
  <si>
    <t>Teachers' Retirement Fund 1996 Account &amp; Pre-4438</t>
  </si>
  <si>
    <t>Teachers' Retirement Fund 1996 Account &amp; Pre-4439</t>
  </si>
  <si>
    <t>Teachers' Retirement Fund 1996 Account &amp; Pre-4440</t>
  </si>
  <si>
    <t>Teachers' Retirement Fund 1996 Account &amp; Pre-4441</t>
  </si>
  <si>
    <t>Teachers' Retirement Fund 1996 Account &amp; Pre-4442</t>
  </si>
  <si>
    <t>Teachers' Retirement Fund 1996 Account &amp; Pre-4443</t>
  </si>
  <si>
    <t>Teachers' Retirement Fund 1996 Account &amp; Pre-4444</t>
  </si>
  <si>
    <t>Teachers' Retirement Fund 1996 Account &amp; Pre-4445</t>
  </si>
  <si>
    <t>Teachers' Retirement Fund 1996 Account &amp; Pre-4446</t>
  </si>
  <si>
    <t>Teachers' Retirement Fund 1996 Account &amp; Pre-4447</t>
  </si>
  <si>
    <t>Teachers' Retirement Fund 1996 Account &amp; Pre-4448</t>
  </si>
  <si>
    <t>Teachers' Retirement Fund 1996 Account &amp; Pre-4449</t>
  </si>
  <si>
    <t>Teachers' Retirement Fund 1996 Account &amp; Pre-4450</t>
  </si>
  <si>
    <t>Teachers' Retirement Fund 1996 Account &amp; Pre-4451</t>
  </si>
  <si>
    <t>Teachers' Retirement Fund 1996 Account &amp; Pre-4452</t>
  </si>
  <si>
    <t>Teachers' Retirement Fund 1996 Account &amp; Pre-4453</t>
  </si>
  <si>
    <t>Teachers' Retirement Fund 1996 Account &amp; Pre-4454</t>
  </si>
  <si>
    <t>Teachers' Retirement Fund 1996 Account &amp; Pre-4455</t>
  </si>
  <si>
    <t>Teachers' Retirement Fund 1996 Account &amp; Pre-4456</t>
  </si>
  <si>
    <t>Teachers' Retirement Fund 1996 Account &amp; Pre-4457</t>
  </si>
  <si>
    <t>Teachers' Retirement Fund 1996 Account &amp; Pre-4458</t>
  </si>
  <si>
    <t>Teachers' Retirement Fund 1996 Account &amp; Pre-4459</t>
  </si>
  <si>
    <t>Teachers' Retirement Fund 1996 Account &amp; Pre-4460</t>
  </si>
  <si>
    <t>Teachers' Retirement Fund 1996 Account &amp; Pre-4461</t>
  </si>
  <si>
    <t>Teachers' Retirement Fund 1996 Account &amp; Pre-4462</t>
  </si>
  <si>
    <t>Teachers' Retirement Fund 1996 Account &amp; Pre-4463</t>
  </si>
  <si>
    <t>Teachers' Retirement Fund 1996 Account &amp; Pre-4464</t>
  </si>
  <si>
    <t>Teachers' Retirement Fund 1996 Account &amp; Pre-4465</t>
  </si>
  <si>
    <t>Teachers' Retirement Fund 1996 Account &amp; Pre-4466</t>
  </si>
  <si>
    <t>Teachers' Retirement Fund 1996 Account &amp; Pre-4467</t>
  </si>
  <si>
    <t>Teachers' Retirement Fund 1996 Account &amp; Pre-4468</t>
  </si>
  <si>
    <t>Teachers' Retirement Fund 1996 Account &amp; Pre-4469</t>
  </si>
  <si>
    <t>Teachers' Retirement Fund 1996 Account &amp; Pre-4470</t>
  </si>
  <si>
    <t>Teachers' Retirement Fund 1996 Account &amp; Pre-4471</t>
  </si>
  <si>
    <t>Teachers' Retirement Fund 1996 Account &amp; Pre-4472</t>
  </si>
  <si>
    <t>Teachers' Retirement Fund 1996 Account &amp; Pre-4473</t>
  </si>
  <si>
    <t>Teachers' Retirement Fund 1996 Account &amp; Pre-4474</t>
  </si>
  <si>
    <t>Teachers' Retirement Fund 1996 Account &amp; Pre-4475</t>
  </si>
  <si>
    <t>Teachers' Retirement Fund 1996 Account &amp; Pre-4476</t>
  </si>
  <si>
    <t>Teachers' Retirement Fund 1996 Account &amp; Pre-4477</t>
  </si>
  <si>
    <t>Teachers' Retirement Fund 1996 Account &amp; Pre-4478</t>
  </si>
  <si>
    <t>Teachers' Retirement Fund 1996 Account &amp; Pre-4479</t>
  </si>
  <si>
    <t>Teachers' Retirement Fund 1996 Account &amp; Pre-4480</t>
  </si>
  <si>
    <t>Teachers' Retirement Fund 1996 Account &amp; Pre-4481</t>
  </si>
  <si>
    <t>Teachers' Retirement Fund 1996 Account &amp; Pre-4482</t>
  </si>
  <si>
    <t>Teachers' Retirement Fund 1996 Account &amp; Pre-4483</t>
  </si>
  <si>
    <t>Teachers' Retirement Fund 1996 Account &amp; Pre-4484</t>
  </si>
  <si>
    <t>Teachers' Retirement Fund 1996 Account &amp; Pre-4485</t>
  </si>
  <si>
    <t>Teachers' Retirement Fund 1996 Account &amp; Pre-4486</t>
  </si>
  <si>
    <t>Teachers' Retirement Fund 1996 Account &amp; Pre-4487</t>
  </si>
  <si>
    <t>Teachers' Retirement Fund 1996 Account &amp; Pre-4488</t>
  </si>
  <si>
    <t>Teachers' Retirement Fund 1996 Account &amp; Pre-4489</t>
  </si>
  <si>
    <t>Teachers' Retirement Fund 1996 Account &amp; Pre-4490</t>
  </si>
  <si>
    <t>Teachers' Retirement Fund 1996 Account &amp; Pre-4491</t>
  </si>
  <si>
    <t>Teachers' Retirement Fund 1996 Account &amp; Pre-4492</t>
  </si>
  <si>
    <t>Teachers' Retirement Fund 1996 Account &amp; Pre-4493</t>
  </si>
  <si>
    <t>Teachers' Retirement Fund 1996 Account &amp; Pre-4494</t>
  </si>
  <si>
    <t>Teachers' Retirement Fund 1996 Account &amp; Pre-4495</t>
  </si>
  <si>
    <t>Teachers' Retirement Fund 1996 Account &amp; Pre-4496</t>
  </si>
  <si>
    <t>Teachers' Retirement Fund 1996 Account &amp; Pre-4497</t>
  </si>
  <si>
    <t>Teachers' Retirement Fund 1996 Account &amp; Pre-4498</t>
  </si>
  <si>
    <t>Teachers' Retirement Fund 1996 Account &amp; Pre-4499</t>
  </si>
  <si>
    <t>Teachers' Retirement Fund 1996 Account &amp; Pre-4500</t>
  </si>
  <si>
    <t>Teachers' Retirement Fund 1996 Account &amp; Pre-4501</t>
  </si>
  <si>
    <t>Teachers' Retirement Fund 1996 Account &amp; Pre-4502</t>
  </si>
  <si>
    <t>Teachers' Retirement Fund 1996 Account &amp; Pre-4503</t>
  </si>
  <si>
    <t>Teachers' Retirement Fund 1996 Account &amp; Pre-4504</t>
  </si>
  <si>
    <t>Teachers' Retirement Fund 1996 Account &amp; Pre-4505</t>
  </si>
  <si>
    <t>Teachers' Retirement Fund 1996 Account &amp; Pre-4506</t>
  </si>
  <si>
    <t>Teachers' Retirement Fund 1996 Account &amp; Pre-4507</t>
  </si>
  <si>
    <t>Teachers' Retirement Fund 1996 Account &amp; Pre-4508</t>
  </si>
  <si>
    <t>Teachers' Retirement Fund 1996 Account &amp; Pre-4509</t>
  </si>
  <si>
    <t>Teachers' Retirement Fund 1996 Account &amp; Pre-4510</t>
  </si>
  <si>
    <t>Teachers' Retirement Fund 1996 Account &amp; Pre-4511</t>
  </si>
  <si>
    <t>Teachers' Retirement Fund 1996 Account &amp; Pre-4512</t>
  </si>
  <si>
    <t>Teachers' Retirement Fund 1996 Account &amp; Pre-4513</t>
  </si>
  <si>
    <t>Teachers' Retirement Fund 1996 Account &amp; Pre-4514</t>
  </si>
  <si>
    <t>Teachers' Retirement Fund 1996 Account &amp; Pre-4515</t>
  </si>
  <si>
    <t>Teachers' Retirement Fund 1996 Account &amp; Pre-4516</t>
  </si>
  <si>
    <t>Teachers' Retirement Fund 1996 Account &amp; Pre-4517</t>
  </si>
  <si>
    <t>Teachers' Retirement Fund 1996 Account &amp; Pre-4518</t>
  </si>
  <si>
    <t>Teachers' Retirement Fund 1996 Account &amp; Pre-4519</t>
  </si>
  <si>
    <t>Teachers' Retirement Fund 1996 Account &amp; Pre-4520</t>
  </si>
  <si>
    <t>Teachers' Retirement Fund 1996 Account &amp; Pre-4521</t>
  </si>
  <si>
    <t>Teachers' Retirement Fund 1996 Account &amp; Pre-4522</t>
  </si>
  <si>
    <t>Teachers' Retirement Fund 1996 Account &amp; Pre-4523</t>
  </si>
  <si>
    <t>Teachers' Retirement Fund 1996 Account &amp; Pre-4524</t>
  </si>
  <si>
    <t>Teachers' Retirement Fund 1996 Account &amp; Pre-4525</t>
  </si>
  <si>
    <t>Teachers' Retirement Fund 1996 Account &amp; Pre-4526</t>
  </si>
  <si>
    <t>Teachers' Retirement Fund 1996 Account &amp; Pre-4527</t>
  </si>
  <si>
    <t>Teachers' Retirement Fund 1996 Account &amp; Pre-4528</t>
  </si>
  <si>
    <t>Teachers' Retirement Fund 1996 Account &amp; Pre-4529</t>
  </si>
  <si>
    <t>Teachers' Retirement Fund 1996 Account &amp; Pre-4530</t>
  </si>
  <si>
    <t>Teachers' Retirement Fund 1996 Account &amp; Pre-4531</t>
  </si>
  <si>
    <t>Teachers' Retirement Fund 1996 Account &amp; Pre-4532</t>
  </si>
  <si>
    <t>Teachers' Retirement Fund 1996 Account &amp; Pre-4533</t>
  </si>
  <si>
    <t>Teachers' Retirement Fund 1996 Account &amp; Pre-4534</t>
  </si>
  <si>
    <t>Teachers' Retirement Fund 1996 Account &amp; Pre-4535</t>
  </si>
  <si>
    <t>Teachers' Retirement Fund 1996 Account &amp; Pre-4536</t>
  </si>
  <si>
    <t>Teachers' Retirement Fund 1996 Account &amp; Pre-4537</t>
  </si>
  <si>
    <t>Teachers' Retirement Fund 1996 Account &amp; Pre-4538</t>
  </si>
  <si>
    <t>Teachers' Retirement Fund 1996 Account &amp; Pre-4539</t>
  </si>
  <si>
    <t>Teachers' Retirement Fund 1996 Account &amp; Pre-4540</t>
  </si>
  <si>
    <t>Teachers' Retirement Fund 1996 Account &amp; Pre-4541</t>
  </si>
  <si>
    <t>Teachers' Retirement Fund 1996 Account &amp; Pre-4542</t>
  </si>
  <si>
    <t>Teachers' Retirement Fund 1996 Account &amp; Pre-4543</t>
  </si>
  <si>
    <t>Teachers' Retirement Fund 1996 Account &amp; Pre-4544</t>
  </si>
  <si>
    <t>Teachers' Retirement Fund 1996 Account &amp; Pre-4545</t>
  </si>
  <si>
    <t>Teachers' Retirement Fund 1996 Account &amp; Pre-4546</t>
  </si>
  <si>
    <t>Teachers' Retirement Fund 1996 Account &amp; Pre-4547</t>
  </si>
  <si>
    <t>Teachers' Retirement Fund 1996 Account &amp; Pre-4548</t>
  </si>
  <si>
    <t>Teachers' Retirement Fund 1996 Account &amp; Pre-4549</t>
  </si>
  <si>
    <t>Teachers' Retirement Fund 1996 Account &amp; Pre-4550</t>
  </si>
  <si>
    <t>Teachers' Retirement Fund 1996 Account &amp; Pre-4551</t>
  </si>
  <si>
    <t>Teachers' Retirement Fund 1996 Account &amp; Pre-4552</t>
  </si>
  <si>
    <t>Teachers' Retirement Fund 1996 Account &amp; Pre-4553</t>
  </si>
  <si>
    <t>Teachers' Retirement Fund 1996 Account &amp; Pre-4554</t>
  </si>
  <si>
    <t>Teachers' Retirement Fund 1996 Account &amp; Pre-4555</t>
  </si>
  <si>
    <t>Teachers' Retirement Fund 1996 Account &amp; Pre-4556</t>
  </si>
  <si>
    <t>Teachers' Retirement Fund 1996 Account &amp; Pre-4557</t>
  </si>
  <si>
    <t>Teachers' Retirement Fund 1996 Account &amp; Pre-4558</t>
  </si>
  <si>
    <t>Teachers' Retirement Fund 1996 Account &amp; Pre-4559</t>
  </si>
  <si>
    <t>Teachers' Retirement Fund 1996 Account &amp; Pre-4560</t>
  </si>
  <si>
    <t>Teachers' Retirement Fund 1996 Account &amp; Pre-4561</t>
  </si>
  <si>
    <t>Teachers' Retirement Fund 1996 Account &amp; Pre-4562</t>
  </si>
  <si>
    <t>Teachers' Retirement Fund 1996 Account &amp; Pre-4563</t>
  </si>
  <si>
    <t>Teachers' Retirement Fund 1996 Account &amp; Pre-4564</t>
  </si>
  <si>
    <t>Teachers' Retirement Fund 1996 Account &amp; Pre-4565</t>
  </si>
  <si>
    <t>Teachers' Retirement Fund 1996 Account &amp; Pre-4566</t>
  </si>
  <si>
    <t>Teachers' Retirement Fund 1996 Account &amp; Pre-4567</t>
  </si>
  <si>
    <t>Teachers' Retirement Fund 1996 Account &amp; Pre-4568</t>
  </si>
  <si>
    <t>Teachers' Retirement Fund 1996 Account &amp; Pre-4569</t>
  </si>
  <si>
    <t>Teachers' Retirement Fund 1996 Account &amp; Pre-4570</t>
  </si>
  <si>
    <t>Teachers' Retirement Fund 1996 Account &amp; Pre-4571</t>
  </si>
  <si>
    <t>Teachers' Retirement Fund 1996 Account &amp; Pre-4572</t>
  </si>
  <si>
    <t>Teachers' Retirement Fund 1996 Account &amp; Pre-4573</t>
  </si>
  <si>
    <t>Teachers' Retirement Fund 1996 Account &amp; Pre-4574</t>
  </si>
  <si>
    <t>Teachers' Retirement Fund 1996 Account &amp; Pre-4575</t>
  </si>
  <si>
    <t>Teachers' Retirement Fund 1996 Account &amp; Pre-4576</t>
  </si>
  <si>
    <t>Teachers' Retirement Fund 1996 Account &amp; Pre-4577</t>
  </si>
  <si>
    <t>Teachers' Retirement Fund 1996 Account &amp; Pre-4578</t>
  </si>
  <si>
    <t>Teachers' Retirement Fund 1996 Account &amp; Pre-4579</t>
  </si>
  <si>
    <t>Teachers' Retirement Fund 1996 Account &amp; Pre-4580</t>
  </si>
  <si>
    <t>Teachers' Retirement Fund 1996 Account &amp; Pre-4581</t>
  </si>
  <si>
    <t>Teachers' Retirement Fund 1996 Account &amp; Pre-4582</t>
  </si>
  <si>
    <t>Teachers' Retirement Fund 1996 Account &amp; Pre-4583</t>
  </si>
  <si>
    <t>Teachers' Retirement Fund 1996 Account &amp; Pre-4584</t>
  </si>
  <si>
    <t>Teachers' Retirement Fund 1996 Account &amp; Pre-4585</t>
  </si>
  <si>
    <t>Teachers' Retirement Fund 1996 Account &amp; Pre-4586</t>
  </si>
  <si>
    <t>Teachers' Retirement Fund 1996 Account &amp; Pre-4587</t>
  </si>
  <si>
    <t>Teachers' Retirement Fund 1996 Account &amp; Pre-4588</t>
  </si>
  <si>
    <t>Teachers' Retirement Fund 1996 Account &amp; Pre-4589</t>
  </si>
  <si>
    <t>Teachers' Retirement Fund 1996 Account &amp; Pre-4590</t>
  </si>
  <si>
    <t>Teachers' Retirement Fund 1996 Account &amp; Pre-4591</t>
  </si>
  <si>
    <t>Teachers' Retirement Fund 1996 Account &amp; Pre-4592</t>
  </si>
  <si>
    <t>Teachers' Retirement Fund 1996 Account &amp; Pre-4593</t>
  </si>
  <si>
    <t>Teachers' Retirement Fund 1996 Account &amp; Pre-4594</t>
  </si>
  <si>
    <t>Teachers' Retirement Fund 1996 Account &amp; Pre-4595</t>
  </si>
  <si>
    <t>Teachers' Retirement Fund 1996 Account &amp; Pre-4596</t>
  </si>
  <si>
    <t>Teachers' Retirement Fund 1996 Account &amp; Pre-4597</t>
  </si>
  <si>
    <t>Teachers' Retirement Fund 1996 Account &amp; Pre-4598</t>
  </si>
  <si>
    <t>Teachers' Retirement Fund 1996 Account &amp; Pre-4599</t>
  </si>
  <si>
    <t>Teachers' Retirement Fund 1996 Account &amp; Pre-4600</t>
  </si>
  <si>
    <t>Teachers' Retirement Fund 1996 Account &amp; Pre-4601</t>
  </si>
  <si>
    <t>Teachers' Retirement Fund 1996 Account &amp; Pre-4602</t>
  </si>
  <si>
    <t>Teachers' Retirement Fund 1996 Account &amp; Pre-4603</t>
  </si>
  <si>
    <t>Teachers' Retirement Fund 1996 Account &amp; Pre-4604</t>
  </si>
  <si>
    <t>Teachers' Retirement Fund 1996 Account &amp; Pre-4605</t>
  </si>
  <si>
    <t>Teachers' Retirement Fund 1996 Account &amp; Pre-4606</t>
  </si>
  <si>
    <t>Teachers' Retirement Fund 1996 Account &amp; Pre-4607</t>
  </si>
  <si>
    <t>Teachers' Retirement Fund 1996 Account &amp; Pre-4608</t>
  </si>
  <si>
    <t>Teachers' Retirement Fund 1996 Account &amp; Pre-4609</t>
  </si>
  <si>
    <t>Teachers' Retirement Fund 1996 Account &amp; Pre-4610</t>
  </si>
  <si>
    <t>Teachers' Retirement Fund 1996 Account &amp; Pre-4611</t>
  </si>
  <si>
    <t>Teachers' Retirement Fund 1996 Account &amp; Pre-4612</t>
  </si>
  <si>
    <t>Teachers' Retirement Fund 1996 Account &amp; Pre-4613</t>
  </si>
  <si>
    <t>Teachers' Retirement Fund 1996 Account &amp; Pre-4614</t>
  </si>
  <si>
    <t>Teachers' Retirement Fund 1996 Account &amp; Pre-4615</t>
  </si>
  <si>
    <t>Teachers' Retirement Fund 1996 Account &amp; Pre-4616</t>
  </si>
  <si>
    <t>Teachers' Retirement Fund 1996 Account &amp; Pre-4617</t>
  </si>
  <si>
    <t>Teachers' Retirement Fund 1996 Account &amp; Pre-4618</t>
  </si>
  <si>
    <t>Teachers' Retirement Fund 1996 Account &amp; Pre-4619</t>
  </si>
  <si>
    <t>Teachers' Retirement Fund 1996 Account &amp; Pre-4620</t>
  </si>
  <si>
    <t>Teachers' Retirement Fund 1996 Account &amp; Pre-4621</t>
  </si>
  <si>
    <t>Teachers' Retirement Fund 1996 Account &amp; Pre-4622</t>
  </si>
  <si>
    <t>Teachers' Retirement Fund 1996 Account &amp; Pre-4623</t>
  </si>
  <si>
    <t>Teachers' Retirement Fund 1996 Account &amp; Pre-4624</t>
  </si>
  <si>
    <t>Teachers' Retirement Fund 1996 Account &amp; Pre-4625</t>
  </si>
  <si>
    <t>Teachers' Retirement Fund 1996 Account &amp; Pre-4626</t>
  </si>
  <si>
    <t>Teachers' Retirement Fund 1996 Account &amp; Pre-4627</t>
  </si>
  <si>
    <t>Teachers' Retirement Fund 1996 Account &amp; Pre-4628</t>
  </si>
  <si>
    <t>Teachers' Retirement Fund 1996 Account &amp; Pre-4629</t>
  </si>
  <si>
    <t>Teachers' Retirement Fund 1996 Account &amp; Pre-4630</t>
  </si>
  <si>
    <t>Teachers' Retirement Fund 1996 Account &amp; Pre-4631</t>
  </si>
  <si>
    <t>Teachers' Retirement Fund 1996 Account &amp; Pre-4632</t>
  </si>
  <si>
    <t>Teachers' Retirement Fund 1996 Account &amp; Pre-4633</t>
  </si>
  <si>
    <t>Teachers' Retirement Fund 1996 Account &amp; Pre-4634</t>
  </si>
  <si>
    <t>Teachers' Retirement Fund 1996 Account &amp; Pre-4635</t>
  </si>
  <si>
    <t>Teachers' Retirement Fund 1996 Account &amp; Pre-4636</t>
  </si>
  <si>
    <t>Teachers' Retirement Fund 1996 Account &amp; Pre-4637</t>
  </si>
  <si>
    <t>Teachers' Retirement Fund 1996 Account &amp; Pre-4638</t>
  </si>
  <si>
    <t>Teachers' Retirement Fund 1996 Account &amp; Pre-4639</t>
  </si>
  <si>
    <t>Teachers' Retirement Fund 1996 Account &amp; Pre-4640</t>
  </si>
  <si>
    <t>Teachers' Retirement Fund 1996 Account &amp; Pre-4641</t>
  </si>
  <si>
    <t>Teachers' Retirement Fund 1996 Account &amp; Pre-4642</t>
  </si>
  <si>
    <t>Teachers' Retirement Fund 1996 Account &amp; Pre-4643</t>
  </si>
  <si>
    <t>Teachers' Retirement Fund 1996 Account &amp; Pre-4644</t>
  </si>
  <si>
    <t>Teachers' Retirement Fund 1996 Account &amp; Pre-4645</t>
  </si>
  <si>
    <t>Teachers' Retirement Fund 1996 Account &amp; Pre-4646</t>
  </si>
  <si>
    <t>Teachers' Retirement Fund 1996 Account &amp; Pre-4647</t>
  </si>
  <si>
    <t>Teachers' Retirement Fund 1996 Account &amp; Pre-4648</t>
  </si>
  <si>
    <t>Teachers' Retirement Fund 1996 Account &amp; Pre-4649</t>
  </si>
  <si>
    <t>Teachers' Retirement Fund 1996 Account &amp; Pre-4650</t>
  </si>
  <si>
    <t>Teachers' Retirement Fund 1996 Account &amp; Pre-4651</t>
  </si>
  <si>
    <t>Teachers' Retirement Fund 1996 Account &amp; Pre-4652</t>
  </si>
  <si>
    <t>Teachers' Retirement Fund 1996 Account &amp; Pre-4653</t>
  </si>
  <si>
    <t>Teachers' Retirement Fund 1996 Account &amp; Pre-4654</t>
  </si>
  <si>
    <t>Teachers' Retirement Fund 1996 Account &amp; Pre-4655</t>
  </si>
  <si>
    <t>Teachers' Retirement Fund 1996 Account &amp; Pre-4656</t>
  </si>
  <si>
    <t>Teachers' Retirement Fund 1996 Account &amp; Pre-4657</t>
  </si>
  <si>
    <t>Teachers' Retirement Fund 1996 Account &amp; Pre-4658</t>
  </si>
  <si>
    <t>Teachers' Retirement Fund 1996 Account &amp; Pre-4659</t>
  </si>
  <si>
    <t>Teachers' Retirement Fund 1996 Account &amp; Pre-4660</t>
  </si>
  <si>
    <t>Teachers' Retirement Fund 1996 Account &amp; Pre-4661</t>
  </si>
  <si>
    <t>Teachers' Retirement Fund 1996 Account &amp; Pre-4662</t>
  </si>
  <si>
    <t>Teachers' Retirement Fund 1996 Account &amp; Pre-4663</t>
  </si>
  <si>
    <t>Teachers' Retirement Fund 1996 Account &amp; Pre-4664</t>
  </si>
  <si>
    <t>Teachers' Retirement Fund 1996 Account &amp; Pre-4665</t>
  </si>
  <si>
    <t>Teachers' Retirement Fund 1996 Account &amp; Pre-4666</t>
  </si>
  <si>
    <t>Teachers' Retirement Fund 1996 Account &amp; Pre-4667</t>
  </si>
  <si>
    <t>Teachers' Retirement Fund 1996 Account &amp; Pre-4668</t>
  </si>
  <si>
    <t>Teachers' Retirement Fund 1996 Account &amp; Pre-4669</t>
  </si>
  <si>
    <t>Teachers' Retirement Fund 1996 Account &amp; Pre-4670</t>
  </si>
  <si>
    <t>Teachers' Retirement Fund 1996 Account &amp; Pre-4671</t>
  </si>
  <si>
    <t>Teachers' Retirement Fund 1996 Account &amp; Pre-4672</t>
  </si>
  <si>
    <t>Teachers' Retirement Fund 1996 Account &amp; Pre-4673</t>
  </si>
  <si>
    <t>Teachers' Retirement Fund 1996 Account &amp; Pre-4674</t>
  </si>
  <si>
    <t>Teachers' Retirement Fund 1996 Account &amp; Pre-4675</t>
  </si>
  <si>
    <t>Teachers' Retirement Fund 1996 Account &amp; Pre-4676</t>
  </si>
  <si>
    <t>Teachers' Retirement Fund 1996 Account &amp; Pre-4677</t>
  </si>
  <si>
    <t>Teachers' Retirement Fund 1996 Account &amp; Pre-4678</t>
  </si>
  <si>
    <t>Teachers' Retirement Fund 1996 Account &amp; Pre-4679</t>
  </si>
  <si>
    <t>Teachers' Retirement Fund 1996 Account &amp; Pre-4680</t>
  </si>
  <si>
    <t>Teachers' Retirement Fund 1996 Account &amp; Pre-4681</t>
  </si>
  <si>
    <t>Teachers' Retirement Fund 1996 Account &amp; Pre-4682</t>
  </si>
  <si>
    <t>Teachers' Retirement Fund 1996 Account &amp; Pre-4683</t>
  </si>
  <si>
    <t>Teachers' Retirement Fund 1996 Account &amp; Pre-4684</t>
  </si>
  <si>
    <t>Teachers' Retirement Fund 1996 Account &amp; Pre-4685</t>
  </si>
  <si>
    <t>Teachers' Retirement Fund 1996 Account &amp; Pre-4686</t>
  </si>
  <si>
    <t>Teachers' Retirement Fund 1996 Account &amp; Pre-4687</t>
  </si>
  <si>
    <t>Teachers' Retirement Fund 1996 Account &amp; Pre-4688</t>
  </si>
  <si>
    <t>Teachers' Retirement Fund 1996 Account &amp; Pre-4689</t>
  </si>
  <si>
    <t>Teachers' Retirement Fund 1996 Account &amp; Pre-4690</t>
  </si>
  <si>
    <t>Teachers' Retirement Fund 1996 Account &amp; Pre-4691</t>
  </si>
  <si>
    <t>Teachers' Retirement Fund 1996 Account &amp; Pre-4692</t>
  </si>
  <si>
    <t>Teachers' Retirement Fund 1996 Account &amp; Pre-4693</t>
  </si>
  <si>
    <t>Teachers' Retirement Fund 1996 Account &amp; Pre-4694</t>
  </si>
  <si>
    <t>Teachers' Retirement Fund 1996 Account &amp; Pre-4695</t>
  </si>
  <si>
    <t>Teachers' Retirement Fund 1996 Account &amp; Pre-4696</t>
  </si>
  <si>
    <t>Teachers' Retirement Fund 1996 Account &amp; Pre-4697</t>
  </si>
  <si>
    <t>Teachers' Retirement Fund 1996 Account &amp; Pre-4698</t>
  </si>
  <si>
    <t>Teachers' Retirement Fund 1996 Account &amp; Pre-4699</t>
  </si>
  <si>
    <t>Teachers' Retirement Fund 1996 Account &amp; Pre-4700</t>
  </si>
  <si>
    <t>Teachers' Retirement Fund 1996 Account &amp; Pre-4701</t>
  </si>
  <si>
    <t>Teachers' Retirement Fund 1996 Account &amp; Pre-4702</t>
  </si>
  <si>
    <t>Teachers' Retirement Fund 1996 Account &amp; Pre-4703</t>
  </si>
  <si>
    <t>Teachers' Retirement Fund 1996 Account &amp; Pre-4704</t>
  </si>
  <si>
    <t>Teachers' Retirement Fund 1996 Account &amp; Pre-4705</t>
  </si>
  <si>
    <t>Teachers' Retirement Fund 1996 Account &amp; Pre-4706</t>
  </si>
  <si>
    <t>Teachers' Retirement Fund 1996 Account &amp; Pre-4707</t>
  </si>
  <si>
    <t>Teachers' Retirement Fund 1996 Account &amp; Pre-4708</t>
  </si>
  <si>
    <t>Teachers' Retirement Fund 1996 Account &amp; Pre-4709</t>
  </si>
  <si>
    <t>Teachers' Retirement Fund 1996 Account &amp; Pre-4710</t>
  </si>
  <si>
    <t>Teachers' Retirement Fund 1996 Account &amp; Pre-4711</t>
  </si>
  <si>
    <t>Teachers' Retirement Fund 1996 Account &amp; Pre-4712</t>
  </si>
  <si>
    <t>Teachers' Retirement Fund 1996 Account &amp; Pre-4713</t>
  </si>
  <si>
    <t>Teachers' Retirement Fund 1996 Account &amp; Pre-4714</t>
  </si>
  <si>
    <t>Teachers' Retirement Fund 1996 Account &amp; Pre-4715</t>
  </si>
  <si>
    <t>Teachers' Retirement Fund 1996 Account &amp; Pre-4716</t>
  </si>
  <si>
    <t>Teachers' Retirement Fund 1996 Account &amp; Pre-4717</t>
  </si>
  <si>
    <t>Teachers' Retirement Fund 1996 Account &amp; Pre-4718</t>
  </si>
  <si>
    <t>Teachers' Retirement Fund 1996 Account &amp; Pre-4719</t>
  </si>
  <si>
    <t>Teachers' Retirement Fund 1996 Account &amp; Pre-4720</t>
  </si>
  <si>
    <t>Teachers' Retirement Fund 1996 Account &amp; Pre-4721</t>
  </si>
  <si>
    <t>Teachers' Retirement Fund 1996 Account &amp; Pre-4722</t>
  </si>
  <si>
    <t>Teachers' Retirement Fund 1996 Account &amp; Pre-4723</t>
  </si>
  <si>
    <t>Teachers' Retirement Fund 1996 Account &amp; Pre-4724</t>
  </si>
  <si>
    <t>Teachers' Retirement Fund 1996 Account &amp; Pre-4725</t>
  </si>
  <si>
    <t>Teachers' Retirement Fund 1996 Account &amp; Pre-4726</t>
  </si>
  <si>
    <t>Teachers' Retirement Fund 1996 Account &amp; Pre-4727</t>
  </si>
  <si>
    <t>Teachers' Retirement Fund 1996 Account &amp; Pre-4728</t>
  </si>
  <si>
    <t>Teachers' Retirement Fund 1996 Account &amp; Pre-4729</t>
  </si>
  <si>
    <t>Teachers' Retirement Fund 1996 Account &amp; Pre-4730</t>
  </si>
  <si>
    <t>Teachers' Retirement Fund 1996 Account &amp; Pre-4731</t>
  </si>
  <si>
    <t>Teachers' Retirement Fund 1996 Account &amp; Pre-4732</t>
  </si>
  <si>
    <t>Teachers' Retirement Fund 1996 Account &amp; Pre-4733</t>
  </si>
  <si>
    <t>Teachers' Retirement Fund 1996 Account &amp; Pre-4734</t>
  </si>
  <si>
    <t>Teachers' Retirement Fund 1996 Account &amp; Pre-4735</t>
  </si>
  <si>
    <t>Teachers' Retirement Fund 1996 Account &amp; Pre-4736</t>
  </si>
  <si>
    <t>Teachers' Retirement Fund 1996 Account &amp; Pre-4737</t>
  </si>
  <si>
    <t>Teachers' Retirement Fund 1996 Account &amp; Pre-4738</t>
  </si>
  <si>
    <t>Teachers' Retirement Fund 1996 Account &amp; Pre-4739</t>
  </si>
  <si>
    <t>Teachers' Retirement Fund 1996 Account &amp; Pre-4740</t>
  </si>
  <si>
    <t>Teachers' Retirement Fund 1996 Account &amp; Pre-4741</t>
  </si>
  <si>
    <t>Teachers' Retirement Fund 1996 Account &amp; Pre-4742</t>
  </si>
  <si>
    <t>Teachers' Retirement Fund 1996 Account &amp; Pre-4743</t>
  </si>
  <si>
    <t>Teachers' Retirement Fund 1996 Account &amp; Pre-4744</t>
  </si>
  <si>
    <t>Teachers' Retirement Fund 1996 Account &amp; Pre-4745</t>
  </si>
  <si>
    <t>Teachers' Retirement Fund 1996 Account &amp; Pre-4746</t>
  </si>
  <si>
    <t>Teachers' Retirement Fund 1996 Account &amp; Pre-4747</t>
  </si>
  <si>
    <t>Teachers' Retirement Fund 1996 Account &amp; Pre-4748</t>
  </si>
  <si>
    <t>Teachers' Retirement Fund 1996 Account &amp; Pre-4749</t>
  </si>
  <si>
    <t>Teachers' Retirement Fund 1996 Account &amp; Pre-4750</t>
  </si>
  <si>
    <t>Teachers' Retirement Fund 1996 Account &amp; Pre-4751</t>
  </si>
  <si>
    <t>Teachers' Retirement Fund 1996 Account &amp; Pre-4752</t>
  </si>
  <si>
    <t>Teachers' Retirement Fund 1996 Account &amp; Pre-4753</t>
  </si>
  <si>
    <t>Teachers' Retirement Fund 1996 Account &amp; Pre-4754</t>
  </si>
  <si>
    <t>Teachers' Retirement Fund 1996 Account &amp; Pre-4755</t>
  </si>
  <si>
    <t>Teachers' Retirement Fund 1996 Account &amp; Pre-4756</t>
  </si>
  <si>
    <t>Teachers' Retirement Fund 1996 Account &amp; Pre-4757</t>
  </si>
  <si>
    <t>Teachers' Retirement Fund 1996 Account &amp; Pre-4758</t>
  </si>
  <si>
    <t>Teachers' Retirement Fund 1996 Account &amp; Pre-4759</t>
  </si>
  <si>
    <t>Teachers' Retirement Fund 1996 Account &amp; Pre-4760</t>
  </si>
  <si>
    <t>Teachers' Retirement Fund 1996 Account &amp; Pre-4761</t>
  </si>
  <si>
    <t>Teachers' Retirement Fund 1996 Account &amp; Pre-4762</t>
  </si>
  <si>
    <t>Teachers' Retirement Fund 1996 Account &amp; Pre-4763</t>
  </si>
  <si>
    <t>Teachers' Retirement Fund 1996 Account &amp; Pre-4764</t>
  </si>
  <si>
    <t>Teachers' Retirement Fund 1996 Account &amp; Pre-4765</t>
  </si>
  <si>
    <t>Teachers' Retirement Fund 1996 Account &amp; Pre-4766</t>
  </si>
  <si>
    <t>Teachers' Retirement Fund 1996 Account &amp; Pre-4767</t>
  </si>
  <si>
    <t>Teachers' Retirement Fund 1996 Account &amp; Pre-4768</t>
  </si>
  <si>
    <t>Teachers' Retirement Fund 1996 Account &amp; Pre-4769</t>
  </si>
  <si>
    <t>Teachers' Retirement Fund 1996 Account &amp; Pre-4770</t>
  </si>
  <si>
    <t>Teachers' Retirement Fund 1996 Account &amp; Pre-4771</t>
  </si>
  <si>
    <t>Teachers' Retirement Fund 1996 Account &amp; Pre-4772</t>
  </si>
  <si>
    <t>Teachers' Retirement Fund 1996 Account &amp; Pre-4773</t>
  </si>
  <si>
    <t>Teachers' Retirement Fund 1996 Account &amp; Pre-4774</t>
  </si>
  <si>
    <t>Teachers' Retirement Fund 1996 Account &amp; Pre-4775</t>
  </si>
  <si>
    <t>Teachers' Retirement Fund 1996 Account &amp; Pre-4776</t>
  </si>
  <si>
    <t>Teachers' Retirement Fund 1996 Account &amp; Pre-4777</t>
  </si>
  <si>
    <t>Teachers' Retirement Fund 1996 Account &amp; Pre-4778</t>
  </si>
  <si>
    <t>Teachers' Retirement Fund 1996 Account &amp; Pre-4779</t>
  </si>
  <si>
    <t>Teachers' Retirement Fund 1996 Account &amp; Pre-4780</t>
  </si>
  <si>
    <t>Teachers' Retirement Fund 1996 Account &amp; Pre-4781</t>
  </si>
  <si>
    <t>Teachers' Retirement Fund 1996 Account &amp; Pre-4782</t>
  </si>
  <si>
    <t>Teachers' Retirement Fund 1996 Account &amp; Pre-4783</t>
  </si>
  <si>
    <t>Teachers' Retirement Fund 1996 Account &amp; Pre-4784</t>
  </si>
  <si>
    <t>Teachers' Retirement Fund 1996 Account &amp; Pre-4785</t>
  </si>
  <si>
    <t>Teachers' Retirement Fund 1996 Account &amp; Pre-4786</t>
  </si>
  <si>
    <t>Teachers' Retirement Fund 1996 Account &amp; Pre-4787</t>
  </si>
  <si>
    <t>Teachers' Retirement Fund 1996 Account &amp; Pre-4788</t>
  </si>
  <si>
    <t>Teachers' Retirement Fund 1996 Account &amp; Pre-4789</t>
  </si>
  <si>
    <t>Teachers' Retirement Fund 1996 Account &amp; Pre-4790</t>
  </si>
  <si>
    <t>Teachers' Retirement Fund 1996 Account &amp; Pre-4791</t>
  </si>
  <si>
    <t>Teachers' Retirement Fund 1996 Account &amp; Pre-4792</t>
  </si>
  <si>
    <t>Teachers' Retirement Fund 1996 Account &amp; Pre-4793</t>
  </si>
  <si>
    <t>Teachers' Retirement Fund 1996 Account &amp; Pre-4794</t>
  </si>
  <si>
    <t>Teachers' Retirement Fund 1996 Account &amp; Pre-4795</t>
  </si>
  <si>
    <t>Teachers' Retirement Fund 1996 Account &amp; Pre-4796</t>
  </si>
  <si>
    <t>Teachers' Retirement Fund 1996 Account &amp; Pre-4797</t>
  </si>
  <si>
    <t>Teachers' Retirement Fund 1996 Account &amp; Pre-4798</t>
  </si>
  <si>
    <t>Teachers' Retirement Fund 1996 Account &amp; Pre-4799</t>
  </si>
  <si>
    <t>Teachers' Retirement Fund 1996 Account &amp; Pre-4800</t>
  </si>
  <si>
    <t>Teachers' Retirement Fund 1996 Account &amp; Pre-4801</t>
  </si>
  <si>
    <t>Teachers' Retirement Fund 1996 Account &amp; Pre-4802</t>
  </si>
  <si>
    <t>Teachers' Retirement Fund 1996 Account &amp; Pre-4803</t>
  </si>
  <si>
    <t>Teachers' Retirement Fund 1996 Account &amp; Pre-4804</t>
  </si>
  <si>
    <t>Teachers' Retirement Fund 1996 Account &amp; Pre-4805</t>
  </si>
  <si>
    <t>Teachers' Retirement Fund 1996 Account &amp; Pre-4806</t>
  </si>
  <si>
    <t>Teachers' Retirement Fund 1996 Account &amp; Pre-4807</t>
  </si>
  <si>
    <t>Teachers' Retirement Fund 1996 Account &amp; Pre-4808</t>
  </si>
  <si>
    <t>Teachers' Retirement Fund 1996 Account &amp; Pre-4809</t>
  </si>
  <si>
    <t>Teachers' Retirement Fund 1996 Account &amp; Pre-4810</t>
  </si>
  <si>
    <t>Teachers' Retirement Fund 1996 Account &amp; Pre-4811</t>
  </si>
  <si>
    <t>Teachers' Retirement Fund 1996 Account &amp; Pre-4812</t>
  </si>
  <si>
    <t>Teachers' Retirement Fund 1996 Account &amp; Pre-4813</t>
  </si>
  <si>
    <t>Teachers' Retirement Fund 1996 Account &amp; Pre-4814</t>
  </si>
  <si>
    <t>Teachers' Retirement Fund 1996 Account &amp; Pre-4815</t>
  </si>
  <si>
    <t>Teachers' Retirement Fund 1996 Account &amp; Pre-4816</t>
  </si>
  <si>
    <t>Teachers' Retirement Fund 1996 Account &amp; Pre-4817</t>
  </si>
  <si>
    <t>Teachers' Retirement Fund 1996 Account &amp; Pre-4818</t>
  </si>
  <si>
    <t>Teachers' Retirement Fund 1996 Account &amp; Pre-4819</t>
  </si>
  <si>
    <t>Teachers' Retirement Fund 1996 Account &amp; Pre-4820</t>
  </si>
  <si>
    <t>Teachers' Retirement Fund 1996 Account &amp; Pre-4821</t>
  </si>
  <si>
    <t>Teachers' Retirement Fund 1996 Account &amp; Pre-4822</t>
  </si>
  <si>
    <t>Teachers' Retirement Fund 1996 Account &amp; Pre-4823</t>
  </si>
  <si>
    <t>Teachers' Retirement Fund 1996 Account &amp; Pre-4824</t>
  </si>
  <si>
    <t>Teachers' Retirement Fund 1996 Account &amp; Pre-4825</t>
  </si>
  <si>
    <t>Teachers' Retirement Fund 1996 Account &amp; Pre-4826</t>
  </si>
  <si>
    <t>Teachers' Retirement Fund 1996 Account &amp; Pre-4827</t>
  </si>
  <si>
    <t>Teachers' Retirement Fund 1996 Account &amp; Pre-4828</t>
  </si>
  <si>
    <t>Teachers' Retirement Fund 1996 Account &amp; Pre-4829</t>
  </si>
  <si>
    <t>Teachers' Retirement Fund 1996 Account &amp; Pre-4830</t>
  </si>
  <si>
    <t>Teachers' Retirement Fund 1996 Account &amp; Pre-4831</t>
  </si>
  <si>
    <t>Teachers' Retirement Fund 1996 Account &amp; Pre-4832</t>
  </si>
  <si>
    <t>Teachers' Retirement Fund 1996 Account &amp; Pre-4833</t>
  </si>
  <si>
    <t>Teachers' Retirement Fund 1996 Account &amp; Pre-4834</t>
  </si>
  <si>
    <t>Teachers' Retirement Fund 1996 Account &amp; Pre-4835</t>
  </si>
  <si>
    <t>Teachers' Retirement Fund 1996 Account &amp; Pre-4836</t>
  </si>
  <si>
    <t>Teachers' Retirement Fund 1996 Account &amp; Pre-4837</t>
  </si>
  <si>
    <t>Teachers' Retirement Fund 1996 Account &amp; Pre-4838</t>
  </si>
  <si>
    <t>Teachers' Retirement Fund 1996 Account &amp; Pre-4839</t>
  </si>
  <si>
    <t>Teachers' Retirement Fund 1996 Account &amp; Pre-4840</t>
  </si>
  <si>
    <t>Teachers' Retirement Fund 1996 Account &amp; Pre-4841</t>
  </si>
  <si>
    <t>Teachers' Retirement Fund 1996 Account &amp; Pre-4842</t>
  </si>
  <si>
    <t>Teachers' Retirement Fund 1996 Account &amp; Pre-4843</t>
  </si>
  <si>
    <t>Teachers' Retirement Fund 1996 Account &amp; Pre-4844</t>
  </si>
  <si>
    <t>Teachers' Retirement Fund 1996 Account &amp; Pre-4845</t>
  </si>
  <si>
    <t>Teachers' Retirement Fund 1996 Account &amp; Pre-4846</t>
  </si>
  <si>
    <t>Teachers' Retirement Fund 1996 Account &amp; Pre-4847</t>
  </si>
  <si>
    <t>Teachers' Retirement Fund 1996 Account &amp; Pre-4848</t>
  </si>
  <si>
    <t>Teachers' Retirement Fund 1996 Account &amp; Pre-4849</t>
  </si>
  <si>
    <t>Teachers' Retirement Fund 1996 Account &amp; Pre-4850</t>
  </si>
  <si>
    <t>Teachers' Retirement Fund 1996 Account &amp; Pre-4851</t>
  </si>
  <si>
    <t>Teachers' Retirement Fund 1996 Account &amp; Pre-4852</t>
  </si>
  <si>
    <t>Teachers' Retirement Fund 1996 Account &amp; Pre-4853</t>
  </si>
  <si>
    <t>Teachers' Retirement Fund 1996 Account &amp; Pre-4854</t>
  </si>
  <si>
    <t>Teachers' Retirement Fund 1996 Account &amp; Pre-4855</t>
  </si>
  <si>
    <t>Teachers' Retirement Fund 1996 Account &amp; Pre-4856</t>
  </si>
  <si>
    <t>Teachers' Retirement Fund 1996 Account &amp; Pre-4857</t>
  </si>
  <si>
    <t>Teachers' Retirement Fund 1996 Account &amp; Pre-4858</t>
  </si>
  <si>
    <t>Teachers' Retirement Fund 1996 Account &amp; Pre-4859</t>
  </si>
  <si>
    <t>Teachers' Retirement Fund 1996 Account &amp; Pre-4860</t>
  </si>
  <si>
    <t>Teachers' Retirement Fund 1996 Account &amp; Pre-4861</t>
  </si>
  <si>
    <t>Teachers' Retirement Fund 1996 Account &amp; Pre-4862</t>
  </si>
  <si>
    <t>Teachers' Retirement Fund 1996 Account &amp; Pre-4863</t>
  </si>
  <si>
    <t>Teachers' Retirement Fund 1996 Account &amp; Pre-4864</t>
  </si>
  <si>
    <t>Teachers' Retirement Fund 1996 Account &amp; Pre-4865</t>
  </si>
  <si>
    <t>Teachers' Retirement Fund 1996 Account &amp; Pre-4866</t>
  </si>
  <si>
    <t>Teachers' Retirement Fund 1996 Account &amp; Pre-4867</t>
  </si>
  <si>
    <t>Teachers' Retirement Fund 1996 Account &amp; Pre-4868</t>
  </si>
  <si>
    <t>Teachers' Retirement Fund 1996 Account &amp; Pre-4869</t>
  </si>
  <si>
    <t>Teachers' Retirement Fund 1996 Account &amp; Pre-4870</t>
  </si>
  <si>
    <t>Teachers' Retirement Fund 1996 Account &amp; Pre-4871</t>
  </si>
  <si>
    <t>Teachers' Retirement Fund 1996 Account &amp; Pre-4872</t>
  </si>
  <si>
    <t>Teachers' Retirement Fund 1996 Account &amp; Pre-4873</t>
  </si>
  <si>
    <t>Teachers' Retirement Fund 1996 Account &amp; Pre-4874</t>
  </si>
  <si>
    <t>Teachers' Retirement Fund 1996 Account &amp; Pre-4875</t>
  </si>
  <si>
    <t>Teachers' Retirement Fund 1996 Account &amp; Pre-4876</t>
  </si>
  <si>
    <t>Teachers' Retirement Fund 1996 Account &amp; Pre-4877</t>
  </si>
  <si>
    <t>Teachers' Retirement Fund 1996 Account &amp; Pre-4878</t>
  </si>
  <si>
    <t>Teachers' Retirement Fund 1996 Account &amp; Pre-4879</t>
  </si>
  <si>
    <t>Teachers' Retirement Fund 1996 Account &amp; Pre-4880</t>
  </si>
  <si>
    <t>Teachers' Retirement Fund 1996 Account &amp; Pre-4881</t>
  </si>
  <si>
    <t>Teachers' Retirement Fund 1996 Account &amp; Pre-4882</t>
  </si>
  <si>
    <t>Teachers' Retirement Fund 1996 Account &amp; Pre-4883</t>
  </si>
  <si>
    <t>Teachers' Retirement Fund 1996 Account &amp; Pre-4884</t>
  </si>
  <si>
    <t>Teachers' Retirement Fund 1996 Account &amp; Pre-4885</t>
  </si>
  <si>
    <t>Teachers' Retirement Fund 1996 Account &amp; Pre-4886</t>
  </si>
  <si>
    <t>Teachers' Retirement Fund 1996 Account &amp; Pre-4887</t>
  </si>
  <si>
    <t>Teachers' Retirement Fund 1996 Account &amp; Pre-4888</t>
  </si>
  <si>
    <t>Teachers' Retirement Fund 1996 Account &amp; Pre-4889</t>
  </si>
  <si>
    <t>Teachers' Retirement Fund 1996 Account &amp; Pre-4890</t>
  </si>
  <si>
    <t>Teachers' Retirement Fund 1996 Account &amp; Pre-4891</t>
  </si>
  <si>
    <t>Teachers' Retirement Fund 1996 Account &amp; Pre-4892</t>
  </si>
  <si>
    <t>Teachers' Retirement Fund 1996 Account &amp; Pre-4893</t>
  </si>
  <si>
    <t>Teachers' Retirement Fund 1996 Account &amp; Pre-4894</t>
  </si>
  <si>
    <t>Teachers' Retirement Fund 1996 Account &amp; Pre-4895</t>
  </si>
  <si>
    <t>Teachers' Retirement Fund 1996 Account &amp; Pre-4896</t>
  </si>
  <si>
    <t>Teachers' Retirement Fund 1996 Account &amp; Pre-4897</t>
  </si>
  <si>
    <t>Teachers' Retirement Fund 1996 Account &amp; Pre-4898</t>
  </si>
  <si>
    <t>Teachers' Retirement Fund 1996 Account &amp; Pre-4899</t>
  </si>
  <si>
    <t>Teachers' Retirement Fund 1996 Account &amp; Pre-4900</t>
  </si>
  <si>
    <t>Teachers' Retirement Fund 1996 Account &amp; Pre-4901</t>
  </si>
  <si>
    <t>Teachers' Retirement Fund 1996 Account &amp; Pre-4902</t>
  </si>
  <si>
    <t>Teachers' Retirement Fund 1996 Account &amp; Pre-4903</t>
  </si>
  <si>
    <t>Teachers' Retirement Fund 1996 Account &amp; Pre-4904</t>
  </si>
  <si>
    <t>Teachers' Retirement Fund 1996 Account &amp; Pre-4905</t>
  </si>
  <si>
    <t>Teachers' Retirement Fund 1996 Account &amp; Pre-4906</t>
  </si>
  <si>
    <t>Teachers' Retirement Fund 1996 Account &amp; Pre-4907</t>
  </si>
  <si>
    <t>Teachers' Retirement Fund 1996 Account &amp; Pre-4908</t>
  </si>
  <si>
    <t>Teachers' Retirement Fund 1996 Account &amp; Pre-4909</t>
  </si>
  <si>
    <t>Teachers' Retirement Fund 1996 Account &amp; Pre-4910</t>
  </si>
  <si>
    <t>Teachers' Retirement Fund 1996 Account &amp; Pre-4911</t>
  </si>
  <si>
    <t>Teachers' Retirement Fund 1996 Account &amp; Pre-4912</t>
  </si>
  <si>
    <t>Teachers' Retirement Fund 1996 Account &amp; Pre-4913</t>
  </si>
  <si>
    <t>Teachers' Retirement Fund 1996 Account &amp; Pre-4914</t>
  </si>
  <si>
    <t>Teachers' Retirement Fund 1996 Account &amp; Pre-4915</t>
  </si>
  <si>
    <t>Teachers' Retirement Fund 1996 Account &amp; Pre-4916</t>
  </si>
  <si>
    <t>Teachers' Retirement Fund 1996 Account &amp; Pre-4917</t>
  </si>
  <si>
    <t>Teachers' Retirement Fund 1996 Account &amp; Pre-4918</t>
  </si>
  <si>
    <t>Teachers' Retirement Fund 1996 Account &amp; Pre-4919</t>
  </si>
  <si>
    <t>Teachers' Retirement Fund 1996 Account &amp; Pre-4920</t>
  </si>
  <si>
    <t>Teachers' Retirement Fund 1996 Account &amp; Pre-4921</t>
  </si>
  <si>
    <t>Teachers' Retirement Fund 1996 Account &amp; Pre-4922</t>
  </si>
  <si>
    <t>Teachers' Retirement Fund 1996 Account &amp; Pre-4923</t>
  </si>
  <si>
    <t>Teachers' Retirement Fund 1996 Account &amp; Pre-4924</t>
  </si>
  <si>
    <t>Teachers' Retirement Fund 1996 Account &amp; Pre-4925</t>
  </si>
  <si>
    <t>Teachers' Retirement Fund 1996 Account &amp; Pre-4926</t>
  </si>
  <si>
    <t>Teachers' Retirement Fund 1996 Account &amp; Pre-4927</t>
  </si>
  <si>
    <t>Teachers' Retirement Fund 1996 Account &amp; Pre-4928</t>
  </si>
  <si>
    <t>Teachers' Retirement Fund 1996 Account &amp; Pre-4929</t>
  </si>
  <si>
    <t>Teachers' Retirement Fund 1996 Account &amp; Pre-4930</t>
  </si>
  <si>
    <t>Teachers' Retirement Fund 1996 Account &amp; Pre-4931</t>
  </si>
  <si>
    <t>Teachers' Retirement Fund 1996 Account &amp; Pre-4932</t>
  </si>
  <si>
    <t>Teachers' Retirement Fund 1996 Account &amp; Pre-4933</t>
  </si>
  <si>
    <t>Teachers' Retirement Fund 1996 Account &amp; Pre-4934</t>
  </si>
  <si>
    <t>Teachers' Retirement Fund 1996 Account &amp; Pre-4935</t>
  </si>
  <si>
    <t>Teachers' Retirement Fund 1996 Account &amp; Pre-4936</t>
  </si>
  <si>
    <t>Teachers' Retirement Fund 1996 Account &amp; Pre-4937</t>
  </si>
  <si>
    <t>Teachers' Retirement Fund 1996 Account &amp; Pre-4938</t>
  </si>
  <si>
    <t>Teachers' Retirement Fund 1996 Account &amp; Pre-4939</t>
  </si>
  <si>
    <t>Teachers' Retirement Fund 1996 Account &amp; Pre-4940</t>
  </si>
  <si>
    <t>Teachers' Retirement Fund 1996 Account &amp; Pre-4941</t>
  </si>
  <si>
    <t>Teachers' Retirement Fund 1996 Account &amp; Pre-4942</t>
  </si>
  <si>
    <t>Teachers' Retirement Fund 1996 Account &amp; Pre-4943</t>
  </si>
  <si>
    <t>Teachers' Retirement Fund 1996 Account &amp; Pre-4944</t>
  </si>
  <si>
    <t>Teachers' Retirement Fund 1996 Account &amp; Pre-4945</t>
  </si>
  <si>
    <t>Teachers' Retirement Fund 1996 Account &amp; Pre-4946</t>
  </si>
  <si>
    <t>Teachers' Retirement Fund 1996 Account &amp; Pre-4947</t>
  </si>
  <si>
    <t>Teachers' Retirement Fund 1996 Account &amp; Pre-4948</t>
  </si>
  <si>
    <t>Teachers' Retirement Fund 1996 Account &amp; Pre-4949</t>
  </si>
  <si>
    <t>Teachers' Retirement Fund 1996 Account &amp; Pre-4950</t>
  </si>
  <si>
    <t>Teachers' Retirement Fund 1996 Account &amp; Pre-4951</t>
  </si>
  <si>
    <t>Teachers' Retirement Fund 1996 Account &amp; Pre-4952</t>
  </si>
  <si>
    <t>Teachers' Retirement Fund 1996 Account &amp; Pre-4953</t>
  </si>
  <si>
    <t>Teachers' Retirement Fund 1996 Account &amp; Pre-4954</t>
  </si>
  <si>
    <t>Teachers' Retirement Fund 1996 Account &amp; Pre-4955</t>
  </si>
  <si>
    <t>Teachers' Retirement Fund 1996 Account &amp; Pre-4956</t>
  </si>
  <si>
    <t>Teachers' Retirement Fund 1996 Account &amp; Pre-4957</t>
  </si>
  <si>
    <t>Teachers' Retirement Fund 1996 Account &amp; Pre-4958</t>
  </si>
  <si>
    <t>Teachers' Retirement Fund 1996 Account &amp; Pre-4959</t>
  </si>
  <si>
    <t>Teachers' Retirement Fund 1996 Account &amp; Pre-4960</t>
  </si>
  <si>
    <t>Teachers' Retirement Fund 1996 Account &amp; Pre-4961</t>
  </si>
  <si>
    <t>Teachers' Retirement Fund 1996 Account &amp; Pre-4962</t>
  </si>
  <si>
    <t>Teachers' Retirement Fund 1996 Account &amp; Pre-4963</t>
  </si>
  <si>
    <t>Teachers' Retirement Fund 1996 Account &amp; Pre-4964</t>
  </si>
  <si>
    <t>Teachers' Retirement Fund 1996 Account &amp; Pre-4965</t>
  </si>
  <si>
    <t>Teachers' Retirement Fund 1996 Account &amp; Pre-4966</t>
  </si>
  <si>
    <t>Teachers' Retirement Fund 1996 Account &amp; Pre-4967</t>
  </si>
  <si>
    <t>Teachers' Retirement Fund 1996 Account &amp; Pre-4968</t>
  </si>
  <si>
    <t>Teachers' Retirement Fund 1996 Account &amp; Pre-4969</t>
  </si>
  <si>
    <t>Teachers' Retirement Fund 1996 Account &amp; Pre-4970</t>
  </si>
  <si>
    <t>Teachers' Retirement Fund 1996 Account &amp; Pre-4971</t>
  </si>
  <si>
    <t>Teachers' Retirement Fund 1996 Account &amp; Pre-4972</t>
  </si>
  <si>
    <t>Teachers' Retirement Fund 1996 Account &amp; Pre-4973</t>
  </si>
  <si>
    <t>Teachers' Retirement Fund 1996 Account &amp; Pre-4974</t>
  </si>
  <si>
    <t>Teachers' Retirement Fund 1996 Account &amp; Pre-4975</t>
  </si>
  <si>
    <t>Teachers' Retirement Fund 1996 Account &amp; Pre-4976</t>
  </si>
  <si>
    <t>Teachers' Retirement Fund 1996 Account &amp; Pre-4977</t>
  </si>
  <si>
    <t>Teachers' Retirement Fund 1996 Account &amp; Pre-4978</t>
  </si>
  <si>
    <t>Teachers' Retirement Fund 1996 Account &amp; Pre-4979</t>
  </si>
  <si>
    <t>Teachers' Retirement Fund 1996 Account &amp; Pre-4980</t>
  </si>
  <si>
    <t>Teachers' Retirement Fund 1996 Account &amp; Pre-4981</t>
  </si>
  <si>
    <t>Teachers' Retirement Fund 1996 Account &amp; Pre-4982</t>
  </si>
  <si>
    <t>Teachers' Retirement Fund 1996 Account &amp; Pre-4983</t>
  </si>
  <si>
    <t>Teachers' Retirement Fund 1996 Account &amp; Pre-4984</t>
  </si>
  <si>
    <t>Teachers' Retirement Fund 1996 Account &amp; Pre-4985</t>
  </si>
  <si>
    <t>Teachers' Retirement Fund 1996 Account &amp; Pre-4986</t>
  </si>
  <si>
    <t>Teachers' Retirement Fund 1996 Account &amp; Pre-4987</t>
  </si>
  <si>
    <t>Teachers' Retirement Fund 1996 Account &amp; Pre-4988</t>
  </si>
  <si>
    <t>Teachers' Retirement Fund 1996 Account &amp; Pre-4989</t>
  </si>
  <si>
    <t>Teachers' Retirement Fund 1996 Account &amp; Pre-4990</t>
  </si>
  <si>
    <t>Teachers' Retirement Fund 1996 Account &amp; Pre-4991</t>
  </si>
  <si>
    <t>Teachers' Retirement Fund 1996 Account &amp; Pre-4992</t>
  </si>
  <si>
    <t>Teachers' Retirement Fund 1996 Account &amp; Pre-4993</t>
  </si>
  <si>
    <t>Teachers' Retirement Fund 1996 Account &amp; Pre-4994</t>
  </si>
  <si>
    <t>Teachers' Retirement Fund 1996 Account &amp; Pre-4995</t>
  </si>
  <si>
    <t>Teachers' Retirement Fund 1996 Account &amp; Pre-4996</t>
  </si>
  <si>
    <t>Teachers' Retirement Fund 1996 Account &amp; Pre-4997</t>
  </si>
  <si>
    <t>Teachers' Retirement Fund 1996 Account &amp; Pre-4998</t>
  </si>
  <si>
    <t>Teachers' Retirement Fund 1996 Account &amp; Pre-4999</t>
  </si>
  <si>
    <t>Teachers' Retirement Fund 1996 Account &amp; Pre-5000</t>
  </si>
  <si>
    <t>Teachers' Retirement Fund 1996 Account &amp; Pre-5001</t>
  </si>
  <si>
    <t>Teachers' Retirement Fund 1996 Account &amp; Pre-5002</t>
  </si>
  <si>
    <t>Teachers' Retirement Fund 1996 Account &amp; Pre-5003</t>
  </si>
  <si>
    <t>Teachers' Retirement Fund 1996 Account &amp; Pre-5004</t>
  </si>
  <si>
    <t>Teachers' Retirement Fund 1996 Account &amp; Pre-5005</t>
  </si>
  <si>
    <t>Teachers' Retirement Fund 1996 Account &amp; Pre-5006</t>
  </si>
  <si>
    <t>Teachers' Retirement Fund 1996 Account &amp; Pre-5007</t>
  </si>
  <si>
    <t>Teachers' Retirement Fund 1996 Account &amp; Pre-5008</t>
  </si>
  <si>
    <t>Teachers' Retirement Fund 1996 Account &amp; Pre-5009</t>
  </si>
  <si>
    <t>Teachers' Retirement Fund 1996 Account &amp; Pre-5010</t>
  </si>
  <si>
    <t>Teachers' Retirement Fund 1996 Account &amp; Pre-5011</t>
  </si>
  <si>
    <t>Teachers' Retirement Fund 1996 Account &amp; Pre-5012</t>
  </si>
  <si>
    <t>Teachers' Retirement Fund 1996 Account &amp; Pre-5013</t>
  </si>
  <si>
    <t>Teachers' Retirement Fund 1996 Account &amp; Pre-5014</t>
  </si>
  <si>
    <t>Teachers' Retirement Fund 1996 Account &amp; Pre-5015</t>
  </si>
  <si>
    <t>Teachers' Retirement Fund 1996 Account &amp; Pre-5016</t>
  </si>
  <si>
    <t>Teachers' Retirement Fund 1996 Account &amp; Pre-5017</t>
  </si>
  <si>
    <t>Teachers' Retirement Fund 1996 Account &amp; Pre-5018</t>
  </si>
  <si>
    <t>Teachers' Retirement Fund 1996 Account &amp; Pre-5019</t>
  </si>
  <si>
    <t>Teachers' Retirement Fund 1996 Account &amp; Pre-5020</t>
  </si>
  <si>
    <t>Teachers' Retirement Fund 1996 Account &amp; Pre-5021</t>
  </si>
  <si>
    <t>Teachers' Retirement Fund 1996 Account &amp; Pre-5022</t>
  </si>
  <si>
    <t>Teachers' Retirement Fund 1996 Account &amp; Pre-5023</t>
  </si>
  <si>
    <t>Teachers' Retirement Fund 1996 Account &amp; Pre-5024</t>
  </si>
  <si>
    <t>Teachers' Retirement Fund 1996 Account &amp; Pre-5025</t>
  </si>
  <si>
    <t>Teachers' Retirement Fund 1996 Account &amp; Pre-5026</t>
  </si>
  <si>
    <t>Teachers' Retirement Fund 1996 Account &amp; Pre-5027</t>
  </si>
  <si>
    <t>Teachers' Retirement Fund 1996 Account &amp; Pre-5028</t>
  </si>
  <si>
    <t>Teachers' Retirement Fund 1996 Account &amp; Pre-5029</t>
  </si>
  <si>
    <t>Teachers' Retirement Fund 1996 Account &amp; Pre-5030</t>
  </si>
  <si>
    <t>Teachers' Retirement Fund 1996 Account &amp; Pre-5031</t>
  </si>
  <si>
    <t>Teachers' Retirement Fund 1996 Account &amp; Pre-5032</t>
  </si>
  <si>
    <t>Teachers' Retirement Fund 1996 Account &amp; Pre-5033</t>
  </si>
  <si>
    <t>Teachers' Retirement Fund 1996 Account &amp; Pre-5034</t>
  </si>
  <si>
    <t>Teachers' Retirement Fund 1996 Account &amp; Pre-5035</t>
  </si>
  <si>
    <t>Teachers' Retirement Fund 1996 Account &amp; Pre-5036</t>
  </si>
  <si>
    <t>Teachers' Retirement Fund 1996 Account &amp; Pre-5037</t>
  </si>
  <si>
    <t>Teachers' Retirement Fund 1996 Account &amp; Pre-5038</t>
  </si>
  <si>
    <t>Teachers' Retirement Fund 1996 Account &amp; Pre-5039</t>
  </si>
  <si>
    <t>Teachers' Retirement Fund 1996 Account &amp; Pre-5040</t>
  </si>
  <si>
    <t>Teachers' Retirement Fund 1996 Account &amp; Pre-5041</t>
  </si>
  <si>
    <t>Teachers' Retirement Fund 1996 Account &amp; Pre-5042</t>
  </si>
  <si>
    <t>Teachers' Retirement Fund 1996 Account &amp; Pre-5043</t>
  </si>
  <si>
    <t>Teachers' Retirement Fund 1996 Account &amp; Pre-5044</t>
  </si>
  <si>
    <t>Teachers' Retirement Fund 1996 Account &amp; Pre-5045</t>
  </si>
  <si>
    <t>Teachers' Retirement Fund 1996 Account &amp; Pre-5046</t>
  </si>
  <si>
    <t>Teachers' Retirement Fund 1996 Account &amp; Pre-5047</t>
  </si>
  <si>
    <t>Teachers' Retirement Fund 1996 Account &amp; Pre-5048</t>
  </si>
  <si>
    <t>Teachers' Retirement Fund 1996 Account &amp; Pre-5049</t>
  </si>
  <si>
    <t>Teachers' Retirement Fund 1996 Account &amp; Pre-5050</t>
  </si>
  <si>
    <t>Teachers' Retirement Fund 1996 Account &amp; Pre-5051</t>
  </si>
  <si>
    <t>Teachers' Retirement Fund 1996 Account &amp; Pre-5052</t>
  </si>
  <si>
    <t>Teachers' Retirement Fund 1996 Account &amp; Pre-5053</t>
  </si>
  <si>
    <t>Teachers' Retirement Fund 1996 Account &amp; Pre-5054</t>
  </si>
  <si>
    <t>Teachers' Retirement Fund 1996 Account &amp; Pre-5055</t>
  </si>
  <si>
    <t>Teachers' Retirement Fund 1996 Account &amp; Pre-5056</t>
  </si>
  <si>
    <t>Teachers' Retirement Fund 1996 Account &amp; Pre-5057</t>
  </si>
  <si>
    <t>Teachers' Retirement Fund 1996 Account &amp; Pre-5058</t>
  </si>
  <si>
    <t>Teachers' Retirement Fund 1996 Account &amp; Pre-5059</t>
  </si>
  <si>
    <t>Teachers' Retirement Fund 1996 Account &amp; Pre-5060</t>
  </si>
  <si>
    <t>Teachers' Retirement Fund 1996 Account &amp; Pre-5061</t>
  </si>
  <si>
    <t>Teachers' Retirement Fund 1996 Account &amp; Pre-5062</t>
  </si>
  <si>
    <t>Teachers' Retirement Fund 1996 Account &amp; Pre-5063</t>
  </si>
  <si>
    <t>Teachers' Retirement Fund 1996 Account &amp; Pre-5064</t>
  </si>
  <si>
    <t>Teachers' Retirement Fund 1996 Account &amp; Pre-5065</t>
  </si>
  <si>
    <t>Teachers' Retirement Fund 1996 Account &amp; Pre-5066</t>
  </si>
  <si>
    <t>Teachers' Retirement Fund 1996 Account &amp; Pre-5067</t>
  </si>
  <si>
    <t>Teachers' Retirement Fund 1996 Account &amp; Pre-5068</t>
  </si>
  <si>
    <t>Teachers' Retirement Fund 1996 Account &amp; Pre-5069</t>
  </si>
  <si>
    <t>Teachers' Retirement Fund 1996 Account &amp; Pre-5070</t>
  </si>
  <si>
    <t>Teachers' Retirement Fund 1996 Account &amp; Pre-5071</t>
  </si>
  <si>
    <t>Teachers' Retirement Fund 1996 Account &amp; Pre-5072</t>
  </si>
  <si>
    <t>Teachers' Retirement Fund 1996 Account &amp; Pre-5073</t>
  </si>
  <si>
    <t>Teachers' Retirement Fund 1996 Account &amp; Pre-5074</t>
  </si>
  <si>
    <t>Teachers' Retirement Fund 1996 Account &amp; Pre-5075</t>
  </si>
  <si>
    <t>Teachers' Retirement Fund 1996 Account &amp; Pre-5076</t>
  </si>
  <si>
    <t>Teachers' Retirement Fund 1996 Account &amp; Pre-5077</t>
  </si>
  <si>
    <t>Teachers' Retirement Fund 1996 Account &amp; Pre-5078</t>
  </si>
  <si>
    <t>Teachers' Retirement Fund 1996 Account &amp; Pre-5079</t>
  </si>
  <si>
    <t>Teachers' Retirement Fund 1996 Account &amp; Pre-5080</t>
  </si>
  <si>
    <t>Teachers' Retirement Fund 1996 Account &amp; Pre-5081</t>
  </si>
  <si>
    <t>Teachers' Retirement Fund 1996 Account &amp; Pre-5082</t>
  </si>
  <si>
    <t>Teachers' Retirement Fund 1996 Account &amp; Pre-5083</t>
  </si>
  <si>
    <t>Teachers' Retirement Fund 1996 Account &amp; Pre-5084</t>
  </si>
  <si>
    <t>Teachers' Retirement Fund 1996 Account &amp; Pre-5085</t>
  </si>
  <si>
    <t>Teachers' Retirement Fund 1996 Account &amp; Pre-5086</t>
  </si>
  <si>
    <t>Teachers' Retirement Fund 1996 Account &amp; Pre-5087</t>
  </si>
  <si>
    <t>Teachers' Retirement Fund 1996 Account &amp; Pre-5088</t>
  </si>
  <si>
    <t>Teachers' Retirement Fund 1996 Account &amp; Pre-5089</t>
  </si>
  <si>
    <t>Teachers' Retirement Fund 1996 Account &amp; Pre-5090</t>
  </si>
  <si>
    <t>Teachers' Retirement Fund 1996 Account &amp; Pre-5091</t>
  </si>
  <si>
    <t>Teachers' Retirement Fund 1996 Account &amp; Pre-5092</t>
  </si>
  <si>
    <t>Teachers' Retirement Fund 1996 Account &amp; Pre-5093</t>
  </si>
  <si>
    <t>Teachers' Retirement Fund 1996 Account &amp; Pre-5094</t>
  </si>
  <si>
    <t>Teachers' Retirement Fund 1996 Account &amp; Pre-5095</t>
  </si>
  <si>
    <t>Teachers' Retirement Fund 1996 Account &amp; Pre-5096</t>
  </si>
  <si>
    <t>Teachers' Retirement Fund 1996 Account &amp; Pre-5097</t>
  </si>
  <si>
    <t>Teachers' Retirement Fund 1996 Account &amp; Pre-5098</t>
  </si>
  <si>
    <t>Teachers' Retirement Fund 1996 Account &amp; Pre-5099</t>
  </si>
  <si>
    <t>Teachers' Retirement Fund 1996 Account &amp; Pre-5100</t>
  </si>
  <si>
    <t>Teachers' Retirement Fund 1996 Account &amp; Pre-5101</t>
  </si>
  <si>
    <t>Teachers' Retirement Fund 1996 Account &amp; Pre-5102</t>
  </si>
  <si>
    <t>Teachers' Retirement Fund 1996 Account &amp; Pre-5103</t>
  </si>
  <si>
    <t>Teachers' Retirement Fund 1996 Account &amp; Pre-5104</t>
  </si>
  <si>
    <t>Teachers' Retirement Fund 1996 Account &amp; Pre-5105</t>
  </si>
  <si>
    <t>Teachers' Retirement Fund 1996 Account &amp; Pre-5106</t>
  </si>
  <si>
    <t>Teachers' Retirement Fund 1996 Account &amp; Pre-5107</t>
  </si>
  <si>
    <t>Teachers' Retirement Fund 1996 Account &amp; Pre-5108</t>
  </si>
  <si>
    <t>Teachers' Retirement Fund 1996 Account &amp; Pre-5109</t>
  </si>
  <si>
    <t>Teachers' Retirement Fund 1996 Account &amp; Pre-5110</t>
  </si>
  <si>
    <t>Teachers' Retirement Fund 1996 Account &amp; Pre-5111</t>
  </si>
  <si>
    <t>Teachers' Retirement Fund 1996 Account &amp; Pre-5112</t>
  </si>
  <si>
    <t>Teachers' Retirement Fund 1996 Account &amp; Pre-5113</t>
  </si>
  <si>
    <t>Teachers' Retirement Fund 1996 Account &amp; Pre-5114</t>
  </si>
  <si>
    <t>Teachers' Retirement Fund 1996 Account &amp; Pre-5115</t>
  </si>
  <si>
    <t>Teachers' Retirement Fund 1996 Account &amp; Pre-5116</t>
  </si>
  <si>
    <t>Teachers' Retirement Fund 1996 Account &amp; Pre-5117</t>
  </si>
  <si>
    <t>Teachers' Retirement Fund 1996 Account &amp; Pre-5118</t>
  </si>
  <si>
    <t>Teachers' Retirement Fund 1996 Account &amp; Pre-5119</t>
  </si>
  <si>
    <t>Teachers' Retirement Fund 1996 Account &amp; Pre-5120</t>
  </si>
  <si>
    <t>Teachers' Retirement Fund 1996 Account &amp; Pre-5121</t>
  </si>
  <si>
    <t>Teachers' Retirement Fund 1996 Account &amp; Pre-5122</t>
  </si>
  <si>
    <t>Teachers' Retirement Fund 1996 Account &amp; Pre-5123</t>
  </si>
  <si>
    <t>Teachers' Retirement Fund 1996 Account &amp; Pre-5124</t>
  </si>
  <si>
    <t>Teachers' Retirement Fund 1996 Account &amp; Pre-5125</t>
  </si>
  <si>
    <t>Teachers' Retirement Fund 1996 Account &amp; Pre-5126</t>
  </si>
  <si>
    <t>Teachers' Retirement Fund 1996 Account &amp; Pre-5127</t>
  </si>
  <si>
    <t>Teachers' Retirement Fund 1996 Account &amp; Pre-5128</t>
  </si>
  <si>
    <t>Teachers' Retirement Fund 1996 Account &amp; Pre-5129</t>
  </si>
  <si>
    <t>Teachers' Retirement Fund 1996 Account &amp; Pre-5130</t>
  </si>
  <si>
    <t>Teachers' Retirement Fund 1996 Account &amp; Pre-5131</t>
  </si>
  <si>
    <t>Teachers' Retirement Fund 1996 Account &amp; Pre-5132</t>
  </si>
  <si>
    <t>Teachers' Retirement Fund 1996 Account &amp; Pre-5133</t>
  </si>
  <si>
    <t>Teachers' Retirement Fund 1996 Account &amp; Pre-5134</t>
  </si>
  <si>
    <t>Teachers' Retirement Fund 1996 Account &amp; Pre-5135</t>
  </si>
  <si>
    <t>Teachers' Retirement Fund 1996 Account &amp; Pre-5136</t>
  </si>
  <si>
    <t>Teachers' Retirement Fund 1996 Account &amp; Pre-5137</t>
  </si>
  <si>
    <t>Teachers' Retirement Fund 1996 Account &amp; Pre-5138</t>
  </si>
  <si>
    <t>Teachers' Retirement Fund 1996 Account &amp; Pre-5139</t>
  </si>
  <si>
    <t>Teachers' Retirement Fund 1996 Account &amp; Pre-5140</t>
  </si>
  <si>
    <t>Teachers' Retirement Fund 1996 Account &amp; Pre-5141</t>
  </si>
  <si>
    <t>Teachers' Retirement Fund 1996 Account &amp; Pre-5142</t>
  </si>
  <si>
    <t>Teachers' Retirement Fund 1996 Account &amp; Pre-5143</t>
  </si>
  <si>
    <t>Teachers' Retirement Fund 1996 Account &amp; Pre-5144</t>
  </si>
  <si>
    <t>Teachers' Retirement Fund 1996 Account &amp; Pre-5145</t>
  </si>
  <si>
    <t>Teachers' Retirement Fund 1996 Account &amp; Pre-5146</t>
  </si>
  <si>
    <t>Teachers' Retirement Fund 1996 Account &amp; Pre-5147</t>
  </si>
  <si>
    <t>Teachers' Retirement Fund 1996 Account &amp; Pre-5148</t>
  </si>
  <si>
    <t>Teachers' Retirement Fund 1996 Account &amp; Pre-5149</t>
  </si>
  <si>
    <t>Teachers' Retirement Fund 1996 Account &amp; Pre-5150</t>
  </si>
  <si>
    <t>Teachers' Retirement Fund 1996 Account &amp; Pre-5151</t>
  </si>
  <si>
    <t>Teachers' Retirement Fund 1996 Account &amp; Pre-5152</t>
  </si>
  <si>
    <t>Teachers' Retirement Fund 1996 Account &amp; Pre-5153</t>
  </si>
  <si>
    <t>Teachers' Retirement Fund 1996 Account &amp; Pre-5154</t>
  </si>
  <si>
    <t>Teachers' Retirement Fund 1996 Account &amp; Pre-5155</t>
  </si>
  <si>
    <t>Teachers' Retirement Fund 1996 Account &amp; Pre-5156</t>
  </si>
  <si>
    <t>Teachers' Retirement Fund 1996 Account &amp; Pre-5157</t>
  </si>
  <si>
    <t>Teachers' Retirement Fund 1996 Account &amp; Pre-5158</t>
  </si>
  <si>
    <t>Teachers' Retirement Fund 1996 Account &amp; Pre-5159</t>
  </si>
  <si>
    <t>Teachers' Retirement Fund 1996 Account &amp; Pre-5160</t>
  </si>
  <si>
    <t>Teachers' Retirement Fund 1996 Account &amp; Pre-5161</t>
  </si>
  <si>
    <t>Teachers' Retirement Fund 1996 Account &amp; Pre-5162</t>
  </si>
  <si>
    <t>Teachers' Retirement Fund 1996 Account &amp; Pre-5163</t>
  </si>
  <si>
    <t>Teachers' Retirement Fund 1996 Account &amp; Pre-5164</t>
  </si>
  <si>
    <t>Teachers' Retirement Fund 1996 Account &amp; Pre-5165</t>
  </si>
  <si>
    <t>Teachers' Retirement Fund 1996 Account &amp; Pre-5166</t>
  </si>
  <si>
    <t>Teachers' Retirement Fund 1996 Account &amp; Pre-5167</t>
  </si>
  <si>
    <t>Teachers' Retirement Fund 1996 Account &amp; Pre-5168</t>
  </si>
  <si>
    <t>Teachers' Retirement Fund 1996 Account &amp; Pre-5169</t>
  </si>
  <si>
    <t>Teachers' Retirement Fund 1996 Account &amp; Pre-5170</t>
  </si>
  <si>
    <t>Teachers' Retirement Fund 1996 Account &amp; Pre-5171</t>
  </si>
  <si>
    <t>Teachers' Retirement Fund 1996 Account &amp; Pre-5172</t>
  </si>
  <si>
    <t>Teachers' Retirement Fund 1996 Account &amp; Pre-5173</t>
  </si>
  <si>
    <t>Teachers' Retirement Fund 1996 Account &amp; Pre-5174</t>
  </si>
  <si>
    <t>Teachers' Retirement Fund 1996 Account &amp; Pre-5175</t>
  </si>
  <si>
    <t>Teachers' Retirement Fund 1996 Account &amp; Pre-5176</t>
  </si>
  <si>
    <t>Teachers' Retirement Fund 1996 Account &amp; Pre-5177</t>
  </si>
  <si>
    <t>Teachers' Retirement Fund 1996 Account &amp; Pre-5178</t>
  </si>
  <si>
    <t>Teachers' Retirement Fund 1996 Account &amp; Pre-5179</t>
  </si>
  <si>
    <t>Teachers' Retirement Fund 1996 Account &amp; Pre-5180</t>
  </si>
  <si>
    <t>Teachers' Retirement Fund 1996 Account &amp; Pre-5181</t>
  </si>
  <si>
    <t>Teachers' Retirement Fund 1996 Account &amp; Pre-5182</t>
  </si>
  <si>
    <t>Teachers' Retirement Fund 1996 Account &amp; Pre-5183</t>
  </si>
  <si>
    <t>Teachers' Retirement Fund 1996 Account &amp; Pre-5184</t>
  </si>
  <si>
    <t>Teachers' Retirement Fund 1996 Account &amp; Pre-5185</t>
  </si>
  <si>
    <t>Teachers' Retirement Fund 1996 Account &amp; Pre-5186</t>
  </si>
  <si>
    <t>Teachers' Retirement Fund 1996 Account &amp; Pre-5187</t>
  </si>
  <si>
    <t>Teachers' Retirement Fund 1996 Account &amp; Pre-5188</t>
  </si>
  <si>
    <t>Teachers' Retirement Fund 1996 Account &amp; Pre-5189</t>
  </si>
  <si>
    <t>Teachers' Retirement Fund 1996 Account &amp; Pre-5190</t>
  </si>
  <si>
    <t>Teachers' Retirement Fund 1996 Account &amp; Pre-5191</t>
  </si>
  <si>
    <t>Teachers' Retirement Fund 1996 Account &amp; Pre-5192</t>
  </si>
  <si>
    <t>Teachers' Retirement Fund 1996 Account &amp; Pre-5193</t>
  </si>
  <si>
    <t>Teachers' Retirement Fund 1996 Account &amp; Pre-5194</t>
  </si>
  <si>
    <t>Teachers' Retirement Fund 1996 Account &amp; Pre-5195</t>
  </si>
  <si>
    <t>Teachers' Retirement Fund 1996 Account &amp; Pre-5196</t>
  </si>
  <si>
    <t>Teachers' Retirement Fund 1996 Account &amp; Pre-5197</t>
  </si>
  <si>
    <t>Teachers' Retirement Fund 1996 Account &amp; Pre-5198</t>
  </si>
  <si>
    <t>Teachers' Retirement Fund 1996 Account &amp; Pre-5199</t>
  </si>
  <si>
    <t>Teachers' Retirement Fund 1996 Account &amp; Pre-5200</t>
  </si>
  <si>
    <t>Teachers' Retirement Fund 1996 Account &amp; Pre-5201</t>
  </si>
  <si>
    <t>Teachers' Retirement Fund 1996 Account &amp; Pre-5202</t>
  </si>
  <si>
    <t>Teachers' Retirement Fund 1996 Account &amp; Pre-5203</t>
  </si>
  <si>
    <t>Teachers' Retirement Fund 1996 Account &amp; Pre-5204</t>
  </si>
  <si>
    <t>Teachers' Retirement Fund 1996 Account &amp; Pre-5205</t>
  </si>
  <si>
    <t>Teachers' Retirement Fund 1996 Account &amp; Pre-5206</t>
  </si>
  <si>
    <t>Teachers' Retirement Fund 1996 Account &amp; Pre-5207</t>
  </si>
  <si>
    <t>Teachers' Retirement Fund 1996 Account &amp; Pre-5208</t>
  </si>
  <si>
    <t>Teachers' Retirement Fund 1996 Account &amp; Pre-5209</t>
  </si>
  <si>
    <t>Teachers' Retirement Fund 1996 Account &amp; Pre-5210</t>
  </si>
  <si>
    <t>Teachers' Retirement Fund 1996 Account &amp; Pre-5211</t>
  </si>
  <si>
    <t>Teachers' Retirement Fund 1996 Account &amp; Pre-5212</t>
  </si>
  <si>
    <t>Teachers' Retirement Fund 1996 Account &amp; Pre-5213</t>
  </si>
  <si>
    <t>Teachers' Retirement Fund 1996 Account &amp; Pre-5214</t>
  </si>
  <si>
    <t>Teachers' Retirement Fund 1996 Account &amp; Pre-5215</t>
  </si>
  <si>
    <t>Teachers' Retirement Fund 1996 Account &amp; Pre-5216</t>
  </si>
  <si>
    <t>Teachers' Retirement Fund 1996 Account &amp; Pre-5217</t>
  </si>
  <si>
    <t>Teachers' Retirement Fund 1996 Account &amp; Pre-5218</t>
  </si>
  <si>
    <t>Teachers' Retirement Fund 1996 Account &amp; Pre-5219</t>
  </si>
  <si>
    <t>Teachers' Retirement Fund 1996 Account &amp; Pre-5220</t>
  </si>
  <si>
    <t>Teachers' Retirement Fund 1996 Account &amp; Pre-5221</t>
  </si>
  <si>
    <t>Teachers' Retirement Fund 1996 Account &amp; Pre-5222</t>
  </si>
  <si>
    <t>Teachers' Retirement Fund 1996 Account &amp; Pre-5223</t>
  </si>
  <si>
    <t>Teachers' Retirement Fund 1996 Account &amp; Pre-5224</t>
  </si>
  <si>
    <t>Teachers' Retirement Fund 1996 Account &amp; Pre-5225</t>
  </si>
  <si>
    <t>Teachers' Retirement Fund 1996 Account &amp; Pre-5226</t>
  </si>
  <si>
    <t>Teachers' Retirement Fund 1996 Account &amp; Pre-5227</t>
  </si>
  <si>
    <t>Teachers' Retirement Fund 1996 Account &amp; Pre-5228</t>
  </si>
  <si>
    <t>Teachers' Retirement Fund 1996 Account &amp; Pre-5229</t>
  </si>
  <si>
    <t>Teachers' Retirement Fund 1996 Account &amp; Pre-5230</t>
  </si>
  <si>
    <t>Teachers' Retirement Fund 1996 Account &amp; Pre-5231</t>
  </si>
  <si>
    <t>Teachers' Retirement Fund 1996 Account &amp; Pre-5232</t>
  </si>
  <si>
    <t>Teachers' Retirement Fund 1996 Account &amp; Pre-5233</t>
  </si>
  <si>
    <t>Teachers' Retirement Fund 1996 Account &amp; Pre-5234</t>
  </si>
  <si>
    <t>Teachers' Retirement Fund 1996 Account &amp; Pre-5235</t>
  </si>
  <si>
    <t>Teachers' Retirement Fund 1996 Account &amp; Pre-5236</t>
  </si>
  <si>
    <t>Teachers' Retirement Fund 1996 Account &amp; Pre-5237</t>
  </si>
  <si>
    <t>Teachers' Retirement Fund 1996 Account &amp; Pre-5238</t>
  </si>
  <si>
    <t>Teachers' Retirement Fund 1996 Account &amp; Pre-5239</t>
  </si>
  <si>
    <t>Teachers' Retirement Fund 1996 Account &amp; Pre-5240</t>
  </si>
  <si>
    <t>Teachers' Retirement Fund 1996 Account &amp; Pre-5241</t>
  </si>
  <si>
    <t>Teachers' Retirement Fund 1996 Account &amp; Pre-5242</t>
  </si>
  <si>
    <t>Teachers' Retirement Fund 1996 Account &amp; Pre-5243</t>
  </si>
  <si>
    <t>Teachers' Retirement Fund 1996 Account &amp; Pre-5244</t>
  </si>
  <si>
    <t>Teachers' Retirement Fund 1996 Account &amp; Pre-5245</t>
  </si>
  <si>
    <t>Teachers' Retirement Fund 1996 Account &amp; Pre-5246</t>
  </si>
  <si>
    <t>Teachers' Retirement Fund 1996 Account &amp; Pre-5247</t>
  </si>
  <si>
    <t>Teachers' Retirement Fund 1996 Account &amp; Pre-5248</t>
  </si>
  <si>
    <t>Teachers' Retirement Fund 1996 Account &amp; Pre-5249</t>
  </si>
  <si>
    <t>Teachers' Retirement Fund 1996 Account &amp; Pre-5250</t>
  </si>
  <si>
    <t>Teachers' Retirement Fund 1996 Account &amp; Pre-5251</t>
  </si>
  <si>
    <t>Teachers' Retirement Fund 1996 Account &amp; Pre-5252</t>
  </si>
  <si>
    <t>Teachers' Retirement Fund 1996 Account &amp; Pre-5253</t>
  </si>
  <si>
    <t>Teachers' Retirement Fund 1996 Account &amp; Pre-5254</t>
  </si>
  <si>
    <t>Teachers' Retirement Fund 1996 Account &amp; Pre-5255</t>
  </si>
  <si>
    <t>Teachers' Retirement Fund 1996 Account &amp; Pre-5256</t>
  </si>
  <si>
    <t>Teachers' Retirement Fund 1996 Account &amp; Pre-5257</t>
  </si>
  <si>
    <t>Teachers' Retirement Fund 1996 Account &amp; Pre-5258</t>
  </si>
  <si>
    <t>Teachers' Retirement Fund 1996 Account &amp; Pre-5259</t>
  </si>
  <si>
    <t>Teachers' Retirement Fund 1996 Account &amp; Pre-5260</t>
  </si>
  <si>
    <t>Teachers' Retirement Fund 1996 Account &amp; Pre-5261</t>
  </si>
  <si>
    <t>Teachers' Retirement Fund 1996 Account &amp; Pre-5262</t>
  </si>
  <si>
    <t>Teachers' Retirement Fund 1996 Account &amp; Pre-5263</t>
  </si>
  <si>
    <t>Teachers' Retirement Fund 1996 Account &amp; Pre-5264</t>
  </si>
  <si>
    <t>Teachers' Retirement Fund 1996 Account &amp; Pre-5265</t>
  </si>
  <si>
    <t>Teachers' Retirement Fund 1996 Account &amp; Pre-5266</t>
  </si>
  <si>
    <t>Teachers' Retirement Fund 1996 Account &amp; Pre-5267</t>
  </si>
  <si>
    <t>Teachers' Retirement Fund 1996 Account &amp; Pre-5268</t>
  </si>
  <si>
    <t>Teachers' Retirement Fund 1996 Account &amp; Pre-5269</t>
  </si>
  <si>
    <t>Teachers' Retirement Fund 1996 Account &amp; Pre-5270</t>
  </si>
  <si>
    <t>Teachers' Retirement Fund 1996 Account &amp; Pre-5271</t>
  </si>
  <si>
    <t>Teachers' Retirement Fund 1996 Account &amp; Pre-5272</t>
  </si>
  <si>
    <t>Teachers' Retirement Fund 1996 Account &amp; Pre-5273</t>
  </si>
  <si>
    <t>Teachers' Retirement Fund 1996 Account &amp; Pre-5274</t>
  </si>
  <si>
    <t>Teachers' Retirement Fund 1996 Account &amp; Pre-5275</t>
  </si>
  <si>
    <t>Teachers' Retirement Fund 1996 Account &amp; Pre-5276</t>
  </si>
  <si>
    <t>Teachers' Retirement Fund 1996 Account &amp; Pre-5277</t>
  </si>
  <si>
    <t>Teachers' Retirement Fund 1996 Account &amp; Pre-5278</t>
  </si>
  <si>
    <t>Teachers' Retirement Fund 1996 Account &amp; Pre-5279</t>
  </si>
  <si>
    <t>Teachers' Retirement Fund 1996 Account &amp; Pre-5280</t>
  </si>
  <si>
    <t>Teachers' Retirement Fund 1996 Account &amp; Pre-5281</t>
  </si>
  <si>
    <t>Teachers' Retirement Fund 1996 Account &amp; Pre-5282</t>
  </si>
  <si>
    <t>Teachers' Retirement Fund 1996 Account &amp; Pre-5283</t>
  </si>
  <si>
    <t>Teachers' Retirement Fund 1996 Account &amp; Pre-5284</t>
  </si>
  <si>
    <t>Teachers' Retirement Fund 1996 Account &amp; Pre-5285</t>
  </si>
  <si>
    <t>Teachers' Retirement Fund 1996 Account &amp; Pre-5286</t>
  </si>
  <si>
    <t>Teachers' Retirement Fund 1996 Account &amp; Pre-5287</t>
  </si>
  <si>
    <t>Teachers' Retirement Fund 1996 Account &amp; Pre-5288</t>
  </si>
  <si>
    <t>Teachers' Retirement Fund 1996 Account &amp; Pre-5289</t>
  </si>
  <si>
    <t>Teachers' Retirement Fund 1996 Account &amp; Pre-5290</t>
  </si>
  <si>
    <t>Teachers' Retirement Fund 1996 Account &amp; Pre-5291</t>
  </si>
  <si>
    <t>Teachers' Retirement Fund 1996 Account &amp; Pre-5292</t>
  </si>
  <si>
    <t>Teachers' Retirement Fund 1996 Account &amp; Pre-5293</t>
  </si>
  <si>
    <t>Teachers' Retirement Fund 1996 Account &amp; Pre-5294</t>
  </si>
  <si>
    <t>Teachers' Retirement Fund 1996 Account &amp; Pre-5295</t>
  </si>
  <si>
    <t>Teachers' Retirement Fund 1996 Account &amp; Pre-5296</t>
  </si>
  <si>
    <t>Teachers' Retirement Fund 1996 Account &amp; Pre-5297</t>
  </si>
  <si>
    <t>Teachers' Retirement Fund 1996 Account &amp; Pre-5298</t>
  </si>
  <si>
    <t>Teachers' Retirement Fund 1996 Account &amp; Pre-5299</t>
  </si>
  <si>
    <t>Teachers' Retirement Fund 1996 Account &amp; Pre-5300</t>
  </si>
  <si>
    <t>Teachers' Retirement Fund 1996 Account &amp; Pre-5301</t>
  </si>
  <si>
    <t>Teachers' Retirement Fund 1996 Account &amp; Pre-5302</t>
  </si>
  <si>
    <t>Teachers' Retirement Fund 1996 Account &amp; Pre-5303</t>
  </si>
  <si>
    <t>Teachers' Retirement Fund 1996 Account &amp; Pre-5304</t>
  </si>
  <si>
    <t>Teachers' Retirement Fund 1996 Account &amp; Pre-5305</t>
  </si>
  <si>
    <t>Teachers' Retirement Fund 1996 Account &amp; Pre-5306</t>
  </si>
  <si>
    <t>Teachers' Retirement Fund 1996 Account &amp; Pre-5307</t>
  </si>
  <si>
    <t>Teachers' Retirement Fund 1996 Account &amp; Pre-5308</t>
  </si>
  <si>
    <t>Teachers' Retirement Fund 1996 Account &amp; Pre-5309</t>
  </si>
  <si>
    <t>Teachers' Retirement Fund 1996 Account &amp; Pre-5310</t>
  </si>
  <si>
    <t>Teachers' Retirement Fund 1996 Account &amp; Pre-5311</t>
  </si>
  <si>
    <t>Teachers' Retirement Fund 1996 Account &amp; Pre-5312</t>
  </si>
  <si>
    <t>Teachers' Retirement Fund 1996 Account &amp; Pre-5313</t>
  </si>
  <si>
    <t>Teachers' Retirement Fund 1996 Account &amp; Pre-5314</t>
  </si>
  <si>
    <t>Teachers' Retirement Fund 1996 Account &amp; Pre-5315</t>
  </si>
  <si>
    <t>Teachers' Retirement Fund 1996 Account &amp; Pre-5316</t>
  </si>
  <si>
    <t>Teachers' Retirement Fund 1996 Account &amp; Pre-5317</t>
  </si>
  <si>
    <t>Teachers' Retirement Fund 1996 Account &amp; Pre-5318</t>
  </si>
  <si>
    <t>Teachers' Retirement Fund 1996 Account &amp; Pre-5319</t>
  </si>
  <si>
    <t>Teachers' Retirement Fund 1996 Account &amp; Pre-5320</t>
  </si>
  <si>
    <t>Teachers' Retirement Fund 1996 Account &amp; Pre-5321</t>
  </si>
  <si>
    <t>Teachers' Retirement Fund 1996 Account &amp; Pre-5322</t>
  </si>
  <si>
    <t>Teachers' Retirement Fund 1996 Account &amp; Pre-5323</t>
  </si>
  <si>
    <t>Teachers' Retirement Fund 1996 Account &amp; Pre-5324</t>
  </si>
  <si>
    <t>Teachers' Retirement Fund 1996 Account &amp; Pre-5325</t>
  </si>
  <si>
    <t>Teachers' Retirement Fund 1996 Account &amp; Pre-5326</t>
  </si>
  <si>
    <t>Teachers' Retirement Fund 1996 Account &amp; Pre-5327</t>
  </si>
  <si>
    <t>Teachers' Retirement Fund 1996 Account &amp; Pre-5328</t>
  </si>
  <si>
    <t>Teachers' Retirement Fund 1996 Account &amp; Pre-5329</t>
  </si>
  <si>
    <t>Teachers' Retirement Fund 1996 Account &amp; Pre-5330</t>
  </si>
  <si>
    <t>Teachers' Retirement Fund 1996 Account &amp; Pre-5331</t>
  </si>
  <si>
    <t>Teachers' Retirement Fund 1996 Account &amp; Pre-5332</t>
  </si>
  <si>
    <t>Teachers' Retirement Fund 1996 Account &amp; Pre-5333</t>
  </si>
  <si>
    <t>Teachers' Retirement Fund 1996 Account &amp; Pre-5334</t>
  </si>
  <si>
    <t>Teachers' Retirement Fund 1996 Account &amp; Pre-5335</t>
  </si>
  <si>
    <t>Teachers' Retirement Fund 1996 Account &amp; Pre-5336</t>
  </si>
  <si>
    <t>Teachers' Retirement Fund 1996 Account &amp; Pre-5337</t>
  </si>
  <si>
    <t>Teachers' Retirement Fund 1996 Account &amp; Pre-5338</t>
  </si>
  <si>
    <t>Teachers' Retirement Fund 1996 Account &amp; Pre-5339</t>
  </si>
  <si>
    <t>Teachers' Retirement Fund 1996 Account &amp; Pre-5340</t>
  </si>
  <si>
    <t>Teachers' Retirement Fund 1996 Account &amp; Pre-5341</t>
  </si>
  <si>
    <t>Teachers' Retirement Fund 1996 Account &amp; Pre-5342</t>
  </si>
  <si>
    <t>Teachers' Retirement Fund 1996 Account &amp; Pre-5343</t>
  </si>
  <si>
    <t>Teachers' Retirement Fund 1996 Account &amp; Pre-5344</t>
  </si>
  <si>
    <t>Teachers' Retirement Fund 1996 Account &amp; Pre-5345</t>
  </si>
  <si>
    <t>Teachers' Retirement Fund 1996 Account &amp; Pre-5346</t>
  </si>
  <si>
    <t>Teachers' Retirement Fund 1996 Account &amp; Pre-5347</t>
  </si>
  <si>
    <t>Teachers' Retirement Fund 1996 Account &amp; Pre-5348</t>
  </si>
  <si>
    <t>Teachers' Retirement Fund 1996 Account &amp; Pre-5349</t>
  </si>
  <si>
    <t>Teachers' Retirement Fund 1996 Account &amp; Pre-5350</t>
  </si>
  <si>
    <t>Teachers' Retirement Fund 1996 Account &amp; Pre-5351</t>
  </si>
  <si>
    <t>Teachers' Retirement Fund 1996 Account &amp; Pre-5352</t>
  </si>
  <si>
    <t>Teachers' Retirement Fund 1996 Account &amp; Pre-5353</t>
  </si>
  <si>
    <t>Teachers' Retirement Fund 1996 Account &amp; Pre-5354</t>
  </si>
  <si>
    <t>Teachers' Retirement Fund 1996 Account &amp; Pre-5355</t>
  </si>
  <si>
    <t>Teachers' Retirement Fund 1996 Account &amp; Pre-5356</t>
  </si>
  <si>
    <t>Teachers' Retirement Fund 1996 Account &amp; Pre-5357</t>
  </si>
  <si>
    <t>Teachers' Retirement Fund 1996 Account &amp; Pre-5358</t>
  </si>
  <si>
    <t>Teachers' Retirement Fund 1996 Account &amp; Pre-5359</t>
  </si>
  <si>
    <t>Teachers' Retirement Fund 1996 Account &amp; Pre-5360</t>
  </si>
  <si>
    <t>Teachers' Retirement Fund 1996 Account &amp; Pre-5361</t>
  </si>
  <si>
    <t>Teachers' Retirement Fund 1996 Account &amp; Pre-5362</t>
  </si>
  <si>
    <t>Teachers' Retirement Fund 1996 Account &amp; Pre-5363</t>
  </si>
  <si>
    <t>Teachers' Retirement Fund 1996 Account &amp; Pre-5364</t>
  </si>
  <si>
    <t>Teachers' Retirement Fund 1996 Account &amp; Pre-5365</t>
  </si>
  <si>
    <t>Teachers' Retirement Fund 1996 Account &amp; Pre-5366</t>
  </si>
  <si>
    <t>Teachers' Retirement Fund 1996 Account &amp; Pre-5367</t>
  </si>
  <si>
    <t>Teachers' Retirement Fund 1996 Account &amp; Pre-5368</t>
  </si>
  <si>
    <t>Teachers' Retirement Fund 1996 Account &amp; Pre-5369</t>
  </si>
  <si>
    <t>Teachers' Retirement Fund 1996 Account &amp; Pre-5370</t>
  </si>
  <si>
    <t>Teachers' Retirement Fund 1996 Account &amp; Pre-5371</t>
  </si>
  <si>
    <t>Teachers' Retirement Fund 1996 Account &amp; Pre-5372</t>
  </si>
  <si>
    <t>Teachers' Retirement Fund 1996 Account &amp; Pre-5373</t>
  </si>
  <si>
    <t>Teachers' Retirement Fund 1996 Account &amp; Pre-5374</t>
  </si>
  <si>
    <t>Teachers' Retirement Fund 1996 Account &amp; Pre-5375</t>
  </si>
  <si>
    <t>Teachers' Retirement Fund 1996 Account &amp; Pre-5376</t>
  </si>
  <si>
    <t>Teachers' Retirement Fund 1996 Account &amp; Pre-5377</t>
  </si>
  <si>
    <t>Teachers' Retirement Fund 1996 Account &amp; Pre-5378</t>
  </si>
  <si>
    <t>Teachers' Retirement Fund 1996 Account &amp; Pre-5379</t>
  </si>
  <si>
    <t>Teachers' Retirement Fund 1996 Account &amp; Pre-5380</t>
  </si>
  <si>
    <t>Teachers' Retirement Fund 1996 Account &amp; Pre-5381</t>
  </si>
  <si>
    <t>Teachers' Retirement Fund 1996 Account &amp; Pre-5382</t>
  </si>
  <si>
    <t>Teachers' Retirement Fund 1996 Account &amp; Pre-5383</t>
  </si>
  <si>
    <t>Teachers' Retirement Fund 1996 Account &amp; Pre-5384</t>
  </si>
  <si>
    <t>Teachers' Retirement Fund 1996 Account &amp; Pre-5385</t>
  </si>
  <si>
    <t>Teachers' Retirement Fund 1996 Account &amp; Pre-5386</t>
  </si>
  <si>
    <t>Teachers' Retirement Fund 1996 Account &amp; Pre-5387</t>
  </si>
  <si>
    <t>Teachers' Retirement Fund 1996 Account &amp; Pre-5388</t>
  </si>
  <si>
    <t>Teachers' Retirement Fund 1996 Account &amp; Pre-5389</t>
  </si>
  <si>
    <t>Teachers' Retirement Fund 1996 Account &amp; Pre-5390</t>
  </si>
  <si>
    <t>Teachers' Retirement Fund 1996 Account &amp; Pre-5391</t>
  </si>
  <si>
    <t>Teachers' Retirement Fund 1996 Account &amp; Pre-5392</t>
  </si>
  <si>
    <t>Teachers' Retirement Fund 1996 Account &amp; Pre-5393</t>
  </si>
  <si>
    <t>Teachers' Retirement Fund 1996 Account &amp; Pre-5394</t>
  </si>
  <si>
    <t>Teachers' Retirement Fund 1996 Account &amp; Pre-5395</t>
  </si>
  <si>
    <t>Teachers' Retirement Fund 1996 Account &amp; Pre-5396</t>
  </si>
  <si>
    <t>Teachers' Retirement Fund 1996 Account &amp; Pre-5397</t>
  </si>
  <si>
    <t>Teachers' Retirement Fund 1996 Account &amp; Pre-5398</t>
  </si>
  <si>
    <t>Teachers' Retirement Fund 1996 Account &amp; Pre-5399</t>
  </si>
  <si>
    <t>Teachers' Retirement Fund 1996 Account &amp; Pre-5400</t>
  </si>
  <si>
    <t>Teachers' Retirement Fund 1996 Account &amp; Pre-5401</t>
  </si>
  <si>
    <t>Teachers' Retirement Fund 1996 Account &amp; Pre-5402</t>
  </si>
  <si>
    <t>Teachers' Retirement Fund 1996 Account &amp; Pre-5403</t>
  </si>
  <si>
    <t>Teachers' Retirement Fund 1996 Account &amp; Pre-5404</t>
  </si>
  <si>
    <t>Teachers' Retirement Fund 1996 Account &amp; Pre-5405</t>
  </si>
  <si>
    <t>Teachers' Retirement Fund 1996 Account &amp; Pre-5406</t>
  </si>
  <si>
    <t>Teachers' Retirement Fund 1996 Account &amp; Pre-5407</t>
  </si>
  <si>
    <t>Teachers' Retirement Fund 1996 Account &amp; Pre-5408</t>
  </si>
  <si>
    <t>Teachers' Retirement Fund 1996 Account &amp; Pre-5409</t>
  </si>
  <si>
    <t>Teachers' Retirement Fund 1996 Account &amp; Pre-5410</t>
  </si>
  <si>
    <t>Teachers' Retirement Fund 1996 Account &amp; Pre-5411</t>
  </si>
  <si>
    <t>Teachers' Retirement Fund 1996 Account &amp; Pre-5412</t>
  </si>
  <si>
    <t>Teachers' Retirement Fund 1996 Account &amp; Pre-5413</t>
  </si>
  <si>
    <t>Teachers' Retirement Fund 1996 Account &amp; Pre-5414</t>
  </si>
  <si>
    <t>Teachers' Retirement Fund 1996 Account &amp; Pre-5415</t>
  </si>
  <si>
    <t>Teachers' Retirement Fund 1996 Account &amp; Pre-5416</t>
  </si>
  <si>
    <t>Teachers' Retirement Fund 1996 Account &amp; Pre-5417</t>
  </si>
  <si>
    <t>Teachers' Retirement Fund 1996 Account &amp; Pre-5418</t>
  </si>
  <si>
    <t>Teachers' Retirement Fund 1996 Account &amp; Pre-5419</t>
  </si>
  <si>
    <t>Teachers' Retirement Fund 1996 Account &amp; Pre-5420</t>
  </si>
  <si>
    <t>Teachers' Retirement Fund 1996 Account &amp; Pre-5421</t>
  </si>
  <si>
    <t>Teachers' Retirement Fund 1996 Account &amp; Pre-5422</t>
  </si>
  <si>
    <t>Teachers' Retirement Fund 1996 Account &amp; Pre-5423</t>
  </si>
  <si>
    <t>Teachers' Retirement Fund 1996 Account &amp; Pre-5424</t>
  </si>
  <si>
    <t>Teachers' Retirement Fund 1996 Account &amp; Pre-5425</t>
  </si>
  <si>
    <t>Teachers' Retirement Fund 1996 Account &amp; Pre-5426</t>
  </si>
  <si>
    <t>Teachers' Retirement Fund 1996 Account &amp; Pre-5427</t>
  </si>
  <si>
    <t>Teachers' Retirement Fund 1996 Account &amp; Pre-5428</t>
  </si>
  <si>
    <t>Teachers' Retirement Fund 1996 Account &amp; Pre-5429</t>
  </si>
  <si>
    <t>Teachers' Retirement Fund 1996 Account &amp; Pre-5430</t>
  </si>
  <si>
    <t>Teachers' Retirement Fund 1996 Account &amp; Pre-5431</t>
  </si>
  <si>
    <t>Teachers' Retirement Fund 1996 Account &amp; Pre-5432</t>
  </si>
  <si>
    <t>Teachers' Retirement Fund 1996 Account &amp; Pre-5433</t>
  </si>
  <si>
    <t>Teachers' Retirement Fund 1996 Account &amp; Pre-5434</t>
  </si>
  <si>
    <t>Teachers' Retirement Fund 1996 Account &amp; Pre-5435</t>
  </si>
  <si>
    <t>Teachers' Retirement Fund 1996 Account &amp; Pre-5436</t>
  </si>
  <si>
    <t>Teachers' Retirement Fund 1996 Account &amp; Pre-5437</t>
  </si>
  <si>
    <t>Teachers' Retirement Fund 1996 Account &amp; Pre-5438</t>
  </si>
  <si>
    <t>Teachers' Retirement Fund 1996 Account &amp; Pre-5439</t>
  </si>
  <si>
    <t>Teachers' Retirement Fund 1996 Account &amp; Pre-5440</t>
  </si>
  <si>
    <t>Teachers' Retirement Fund 1996 Account &amp; Pre-5441</t>
  </si>
  <si>
    <t>Teachers' Retirement Fund 1996 Account &amp; Pre-5442</t>
  </si>
  <si>
    <t>Teachers' Retirement Fund 1996 Account &amp; Pre-5443</t>
  </si>
  <si>
    <t>Teachers' Retirement Fund 1996 Account &amp; Pre-5444</t>
  </si>
  <si>
    <t>Teachers' Retirement Fund 1996 Account &amp; Pre-5445</t>
  </si>
  <si>
    <t>Teachers' Retirement Fund 1996 Account &amp; Pre-5446</t>
  </si>
  <si>
    <t>Teachers' Retirement Fund 1996 Account &amp; Pre-5447</t>
  </si>
  <si>
    <t>Teachers' Retirement Fund 1996 Account &amp; Pre-5448</t>
  </si>
  <si>
    <t>Teachers' Retirement Fund 1996 Account &amp; Pre-5449</t>
  </si>
  <si>
    <t>Teachers' Retirement Fund 1996 Account &amp; Pre-5450</t>
  </si>
  <si>
    <t>Teachers' Retirement Fund 1996 Account &amp; Pre-5451</t>
  </si>
  <si>
    <t>Teachers' Retirement Fund 1996 Account &amp; Pre-5452</t>
  </si>
  <si>
    <t>Teachers' Retirement Fund 1996 Account &amp; Pre-5453</t>
  </si>
  <si>
    <t>Teachers' Retirement Fund 1996 Account &amp; Pre-5454</t>
  </si>
  <si>
    <t>Teachers' Retirement Fund 1996 Account &amp; Pre-5455</t>
  </si>
  <si>
    <t>Teachers' Retirement Fund 1996 Account &amp; Pre-5456</t>
  </si>
  <si>
    <t>Teachers' Retirement Fund 1996 Account &amp; Pre-5457</t>
  </si>
  <si>
    <t>Teachers' Retirement Fund 1996 Account &amp; Pre-5458</t>
  </si>
  <si>
    <t>Teachers' Retirement Fund 1996 Account &amp; Pre-5459</t>
  </si>
  <si>
    <t>Teachers' Retirement Fund 1996 Account &amp; Pre-5460</t>
  </si>
  <si>
    <t>Teachers' Retirement Fund 1996 Account &amp; Pre-5461</t>
  </si>
  <si>
    <t>Teachers' Retirement Fund 1996 Account &amp; Pre-5462</t>
  </si>
  <si>
    <t>Teachers' Retirement Fund 1996 Account &amp; Pre-5463</t>
  </si>
  <si>
    <t>Teachers' Retirement Fund 1996 Account &amp; Pre-5464</t>
  </si>
  <si>
    <t>Teachers' Retirement Fund 1996 Account &amp; Pre-5465</t>
  </si>
  <si>
    <t>Teachers' Retirement Fund 1996 Account &amp; Pre-5466</t>
  </si>
  <si>
    <t>Teachers' Retirement Fund 1996 Account &amp; Pre-5467</t>
  </si>
  <si>
    <t>Teachers' Retirement Fund 1996 Account &amp; Pre-5468</t>
  </si>
  <si>
    <t>Teachers' Retirement Fund 1996 Account &amp; Pre-5469</t>
  </si>
  <si>
    <t>Teachers' Retirement Fund 1996 Account &amp; Pre-5470</t>
  </si>
  <si>
    <t>Teachers' Retirement Fund 1996 Account &amp; Pre-5471</t>
  </si>
  <si>
    <t>Teachers' Retirement Fund 1996 Account &amp; Pre-5472</t>
  </si>
  <si>
    <t>Teachers' Retirement Fund 1996 Account &amp; Pre-5473</t>
  </si>
  <si>
    <t>Teachers' Retirement Fund 1996 Account &amp; Pre-5474</t>
  </si>
  <si>
    <t>Teachers' Retirement Fund 1996 Account &amp; Pre-5475</t>
  </si>
  <si>
    <t>Teachers' Retirement Fund 1996 Account &amp; Pre-5476</t>
  </si>
  <si>
    <t>Teachers' Retirement Fund 1996 Account &amp; Pre-5477</t>
  </si>
  <si>
    <t>Teachers' Retirement Fund 1996 Account &amp; Pre-5478</t>
  </si>
  <si>
    <t>Teachers' Retirement Fund 1996 Account &amp; Pre-5479</t>
  </si>
  <si>
    <t>Teachers' Retirement Fund 1996 Account &amp; Pre-5480</t>
  </si>
  <si>
    <t>Teachers' Retirement Fund 1996 Account &amp; Pre-5481</t>
  </si>
  <si>
    <t>Teachers' Retirement Fund 1996 Account &amp; Pre-5482</t>
  </si>
  <si>
    <t>Teachers' Retirement Fund 1996 Account &amp; Pre-5483</t>
  </si>
  <si>
    <t>Teachers' Retirement Fund 1996 Account &amp; Pre-5484</t>
  </si>
  <si>
    <t>Teachers' Retirement Fund 1996 Account &amp; Pre-5485</t>
  </si>
  <si>
    <t>Teachers' Retirement Fund 1996 Account &amp; Pre-5486</t>
  </si>
  <si>
    <t>Teachers' Retirement Fund 1996 Account &amp; Pre-5487</t>
  </si>
  <si>
    <t>Teachers' Retirement Fund 1996 Account &amp; Pre-5488</t>
  </si>
  <si>
    <t>Teachers' Retirement Fund 1996 Account &amp; Pre-5489</t>
  </si>
  <si>
    <t>Teachers' Retirement Fund 1996 Account &amp; Pre-5490</t>
  </si>
  <si>
    <t>Teachers' Retirement Fund 1996 Account &amp; Pre-5491</t>
  </si>
  <si>
    <t>Teachers' Retirement Fund 1996 Account &amp; Pre-5492</t>
  </si>
  <si>
    <t>Teachers' Retirement Fund 1996 Account &amp; Pre-5493</t>
  </si>
  <si>
    <t>Teachers' Retirement Fund 1996 Account &amp; Pre-5494</t>
  </si>
  <si>
    <t>Teachers' Retirement Fund 1996 Account &amp; Pre-5495</t>
  </si>
  <si>
    <t>Teachers' Retirement Fund 1996 Account &amp; Pre-5496</t>
  </si>
  <si>
    <t>Teachers' Retirement Fund 1996 Account &amp; Pre-5497</t>
  </si>
  <si>
    <t>Teachers' Retirement Fund 1996 Account &amp; Pre-5498</t>
  </si>
  <si>
    <t>Teachers' Retirement Fund 1996 Account &amp; Pre-5499</t>
  </si>
  <si>
    <t>Teachers' Retirement Fund 1996 Account &amp; Pre-5500</t>
  </si>
  <si>
    <t>Teachers' Retirement Fund 1996 Account &amp; Pre-5501</t>
  </si>
  <si>
    <t>Teachers' Retirement Fund 1996 Account &amp; Pre-5502</t>
  </si>
  <si>
    <t>Teachers' Retirement Fund 1996 Account &amp; Pre-5503</t>
  </si>
  <si>
    <t>Teachers' Retirement Fund 1996 Account &amp; Pre-5504</t>
  </si>
  <si>
    <t>Teachers' Retirement Fund 1996 Account &amp; Pre-5505</t>
  </si>
  <si>
    <t>Teachers' Retirement Fund 1996 Account &amp; Pre-5506</t>
  </si>
  <si>
    <t>Teachers' Retirement Fund 1996 Account &amp; Pre-5507</t>
  </si>
  <si>
    <t>Teachers' Retirement Fund 1996 Account &amp; Pre-5508</t>
  </si>
  <si>
    <t>Teachers' Retirement Fund 1996 Account &amp; Pre-5509</t>
  </si>
  <si>
    <t>Teachers' Retirement Fund 1996 Account &amp; Pre-5510</t>
  </si>
  <si>
    <t>Teachers' Retirement Fund 1996 Account &amp; Pre-5511</t>
  </si>
  <si>
    <t>Teachers' Retirement Fund 1996 Account &amp; Pre-5512</t>
  </si>
  <si>
    <t>Teachers' Retirement Fund 1996 Account &amp; Pre-5513</t>
  </si>
  <si>
    <t>Teachers' Retirement Fund 1996 Account &amp; Pre-5514</t>
  </si>
  <si>
    <t>Teachers' Retirement Fund 1996 Account &amp; Pre-5515</t>
  </si>
  <si>
    <t>Teachers' Retirement Fund 1996 Account &amp; Pre-5516</t>
  </si>
  <si>
    <t>Teachers' Retirement Fund 1996 Account &amp; Pre-5517</t>
  </si>
  <si>
    <t>Teachers' Retirement Fund 1996 Account &amp; Pre-5518</t>
  </si>
  <si>
    <t>Teachers' Retirement Fund 1996 Account &amp; Pre-5519</t>
  </si>
  <si>
    <t>Teachers' Retirement Fund 1996 Account &amp; Pre-5520</t>
  </si>
  <si>
    <t>Teachers' Retirement Fund 1996 Account &amp; Pre-5521</t>
  </si>
  <si>
    <t>Teachers' Retirement Fund 1996 Account &amp; Pre-5522</t>
  </si>
  <si>
    <t>Teachers' Retirement Fund 1996 Account &amp; Pre-5523</t>
  </si>
  <si>
    <t>Teachers' Retirement Fund 1996 Account &amp; Pre-5524</t>
  </si>
  <si>
    <t>Teachers' Retirement Fund 1996 Account &amp; Pre-5525</t>
  </si>
  <si>
    <t>Teachers' Retirement Fund 1996 Account &amp; Pre-5526</t>
  </si>
  <si>
    <t>Teachers' Retirement Fund 1996 Account &amp; Pre-5527</t>
  </si>
  <si>
    <t>Teachers' Retirement Fund 1996 Account &amp; Pre-5528</t>
  </si>
  <si>
    <t>Teachers' Retirement Fund 1996 Account &amp; Pre-5529</t>
  </si>
  <si>
    <t>Teachers' Retirement Fund 1996 Account &amp; Pre-5530</t>
  </si>
  <si>
    <t>Teachers' Retirement Fund 1996 Account &amp; Pre-5531</t>
  </si>
  <si>
    <t>Teachers' Retirement Fund 1996 Account &amp; Pre-5532</t>
  </si>
  <si>
    <t>Teachers' Retirement Fund 1996 Account &amp; Pre-5533</t>
  </si>
  <si>
    <t>Teachers' Retirement Fund 1996 Account &amp; Pre-5534</t>
  </si>
  <si>
    <t>Teachers' Retirement Fund 1996 Account &amp; Pre-5535</t>
  </si>
  <si>
    <t>Teachers' Retirement Fund 1996 Account &amp; Pre-5536</t>
  </si>
  <si>
    <t>Teachers' Retirement Fund 1996 Account &amp; Pre-5537</t>
  </si>
  <si>
    <t>Teachers' Retirement Fund 1996 Account &amp; Pre-5538</t>
  </si>
  <si>
    <t>Teachers' Retirement Fund 1996 Account &amp; Pre-5539</t>
  </si>
  <si>
    <t>Teachers' Retirement Fund 1996 Account &amp; Pre-5540</t>
  </si>
  <si>
    <t>Teachers' Retirement Fund 1996 Account &amp; Pre-5541</t>
  </si>
  <si>
    <t>Teachers' Retirement Fund 1996 Account &amp; Pre-5542</t>
  </si>
  <si>
    <t>Teachers' Retirement Fund 1996 Account &amp; Pre-5543</t>
  </si>
  <si>
    <t>Teachers' Retirement Fund 1996 Account &amp; Pre-5544</t>
  </si>
  <si>
    <t>Teachers' Retirement Fund 1996 Account &amp; Pre-5545</t>
  </si>
  <si>
    <t>Teachers' Retirement Fund 1996 Account &amp; Pre-5546</t>
  </si>
  <si>
    <t>Teachers' Retirement Fund 1996 Account &amp; Pre-5547</t>
  </si>
  <si>
    <t>Teachers' Retirement Fund 1996 Account &amp; Pre-5548</t>
  </si>
  <si>
    <t>Teachers' Retirement Fund 1996 Account &amp; Pre-5549</t>
  </si>
  <si>
    <t>Teachers' Retirement Fund 1996 Account &amp; Pre-5550</t>
  </si>
  <si>
    <t>Teachers' Retirement Fund 1996 Account &amp; Pre-5551</t>
  </si>
  <si>
    <t>Teachers' Retirement Fund 1996 Account &amp; Pre-5552</t>
  </si>
  <si>
    <t>Teachers' Retirement Fund 1996 Account &amp; Pre-5553</t>
  </si>
  <si>
    <t>Teachers' Retirement Fund 1996 Account &amp; Pre-5554</t>
  </si>
  <si>
    <t>Teachers' Retirement Fund 1996 Account &amp; Pre-5555</t>
  </si>
  <si>
    <t>Teachers' Retirement Fund 1996 Account &amp; Pre-5556</t>
  </si>
  <si>
    <t>Teachers' Retirement Fund 1996 Account &amp; Pre-5557</t>
  </si>
  <si>
    <t>Teachers' Retirement Fund 1996 Account &amp; Pre-5558</t>
  </si>
  <si>
    <t>Teachers' Retirement Fund 1996 Account &amp; Pre-5559</t>
  </si>
  <si>
    <t>Teachers' Retirement Fund 1996 Account &amp; Pre-5560</t>
  </si>
  <si>
    <t>Teachers' Retirement Fund 1996 Account &amp; Pre-5561</t>
  </si>
  <si>
    <t>Teachers' Retirement Fund 1996 Account &amp; Pre-5562</t>
  </si>
  <si>
    <t>Teachers' Retirement Fund 1996 Account &amp; Pre-5563</t>
  </si>
  <si>
    <t>Teachers' Retirement Fund 1996 Account &amp; Pre-5564</t>
  </si>
  <si>
    <t>Teachers' Retirement Fund 1996 Account &amp; Pre-5565</t>
  </si>
  <si>
    <t>Teachers' Retirement Fund 1996 Account &amp; Pre-5566</t>
  </si>
  <si>
    <t>Teachers' Retirement Fund 1996 Account &amp; Pre-5567</t>
  </si>
  <si>
    <t>Teachers' Retirement Fund 1996 Account &amp; Pre-5568</t>
  </si>
  <si>
    <t>Teachers' Retirement Fund 1996 Account &amp; Pre-5569</t>
  </si>
  <si>
    <t>Teachers' Retirement Fund 1996 Account &amp; Pre-5570</t>
  </si>
  <si>
    <t>Teachers' Retirement Fund 1996 Account &amp; Pre-5571</t>
  </si>
  <si>
    <t>Teachers' Retirement Fund 1996 Account &amp; Pre-5572</t>
  </si>
  <si>
    <t>Teachers' Retirement Fund 1996 Account &amp; Pre-5573</t>
  </si>
  <si>
    <t>Teachers' Retirement Fund 1996 Account &amp; Pre-5574</t>
  </si>
  <si>
    <t>Teachers' Retirement Fund 1996 Account &amp; Pre-5575</t>
  </si>
  <si>
    <t>Teachers' Retirement Fund 1996 Account &amp; Pre-5576</t>
  </si>
  <si>
    <t>Teachers' Retirement Fund 1996 Account &amp; Pre-5577</t>
  </si>
  <si>
    <t>Teachers' Retirement Fund 1996 Account &amp; Pre-5578</t>
  </si>
  <si>
    <t>Teachers' Retirement Fund 1996 Account &amp; Pre-5579</t>
  </si>
  <si>
    <t>Teachers' Retirement Fund 1996 Account &amp; Pre-5580</t>
  </si>
  <si>
    <t>Teachers' Retirement Fund 1996 Account &amp; Pre-5581</t>
  </si>
  <si>
    <t>Teachers' Retirement Fund 1996 Account &amp; Pre-5582</t>
  </si>
  <si>
    <t>Teachers' Retirement Fund 1996 Account &amp; Pre-5583</t>
  </si>
  <si>
    <t>Teachers' Retirement Fund 1996 Account &amp; Pre-5584</t>
  </si>
  <si>
    <t>Teachers' Retirement Fund 1996 Account &amp; Pre-5585</t>
  </si>
  <si>
    <t>Teachers' Retirement Fund 1996 Account &amp; Pre-5586</t>
  </si>
  <si>
    <t>Teachers' Retirement Fund 1996 Account &amp; Pre-5587</t>
  </si>
  <si>
    <t>Teachers' Retirement Fund 1996 Account &amp; Pre-5588</t>
  </si>
  <si>
    <t>Teachers' Retirement Fund 1996 Account &amp; Pre-5589</t>
  </si>
  <si>
    <t>Teachers' Retirement Fund 1996 Account &amp; Pre-5590</t>
  </si>
  <si>
    <t>Teachers' Retirement Fund 1996 Account &amp; Pre-5591</t>
  </si>
  <si>
    <t>Teachers' Retirement Fund 1996 Account &amp; Pre-5592</t>
  </si>
  <si>
    <t>Teachers' Retirement Fund 1996 Account &amp; Pre-5593</t>
  </si>
  <si>
    <t>Teachers' Retirement Fund 1996 Account &amp; Pre-5594</t>
  </si>
  <si>
    <t>Teachers' Retirement Fund 1996 Account &amp; Pre-5595</t>
  </si>
  <si>
    <t>Teachers' Retirement Fund 1996 Account &amp; Pre-5596</t>
  </si>
  <si>
    <t>Teachers' Retirement Fund 1996 Account &amp; Pre-5597</t>
  </si>
  <si>
    <t>Teachers' Retirement Fund 1996 Account &amp; Pre-5598</t>
  </si>
  <si>
    <t>Teachers' Retirement Fund 1996 Account &amp; Pre-5599</t>
  </si>
  <si>
    <t>Teachers' Retirement Fund 1996 Account &amp; Pre-5600</t>
  </si>
  <si>
    <t>Teachers' Retirement Fund 1996 Account &amp; Pre-5601</t>
  </si>
  <si>
    <t>Teachers' Retirement Fund 1996 Account &amp; Pre-5602</t>
  </si>
  <si>
    <t>Teachers' Retirement Fund 1996 Account &amp; Pre-5603</t>
  </si>
  <si>
    <t>Teachers' Retirement Fund 1996 Account &amp; Pre-5604</t>
  </si>
  <si>
    <t>Teachers' Retirement Fund 1996 Account &amp; Pre-5605</t>
  </si>
  <si>
    <t>Teachers' Retirement Fund 1996 Account &amp; Pre-5606</t>
  </si>
  <si>
    <t>Teachers' Retirement Fund 1996 Account &amp; Pre-5607</t>
  </si>
  <si>
    <t>Teachers' Retirement Fund 1996 Account &amp; Pre-5608</t>
  </si>
  <si>
    <t>Teachers' Retirement Fund 1996 Account &amp; Pre-5609</t>
  </si>
  <si>
    <t>Teachers' Retirement Fund 1996 Account &amp; Pre-5610</t>
  </si>
  <si>
    <t>Teachers' Retirement Fund 1996 Account &amp; Pre-5611</t>
  </si>
  <si>
    <t>Teachers' Retirement Fund 1996 Account &amp; Pre-5612</t>
  </si>
  <si>
    <t>Teachers' Retirement Fund 1996 Account &amp; Pre-5613</t>
  </si>
  <si>
    <t>Teachers' Retirement Fund 1996 Account &amp; Pre-5614</t>
  </si>
  <si>
    <t>Teachers' Retirement Fund 1996 Account &amp; Pre-5615</t>
  </si>
  <si>
    <t>Teachers' Retirement Fund 1996 Account &amp; Pre-5616</t>
  </si>
  <si>
    <t>Teachers' Retirement Fund 1996 Account &amp; Pre-5617</t>
  </si>
  <si>
    <t>Teachers' Retirement Fund 1996 Account &amp; Pre-5618</t>
  </si>
  <si>
    <t>Teachers' Retirement Fund 1996 Account &amp; Pre-5619</t>
  </si>
  <si>
    <t>Teachers' Retirement Fund 1996 Account &amp; Pre-5620</t>
  </si>
  <si>
    <t>Teachers' Retirement Fund 1996 Account &amp; Pre-5621</t>
  </si>
  <si>
    <t>Teachers' Retirement Fund 1996 Account &amp; Pre-5622</t>
  </si>
  <si>
    <t>Teachers' Retirement Fund 1996 Account &amp; Pre-5623</t>
  </si>
  <si>
    <t>Teachers' Retirement Fund 1996 Account &amp; Pre-5624</t>
  </si>
  <si>
    <t>Teachers' Retirement Fund 1996 Account &amp; Pre-5625</t>
  </si>
  <si>
    <t>Teachers' Retirement Fund 1996 Account &amp; Pre-5626</t>
  </si>
  <si>
    <t>Teachers' Retirement Fund 1996 Account &amp; Pre-5627</t>
  </si>
  <si>
    <t>Teachers' Retirement Fund 1996 Account &amp; Pre-5628</t>
  </si>
  <si>
    <t>Teachers' Retirement Fund 1996 Account &amp; Pre-5629</t>
  </si>
  <si>
    <t>Teachers' Retirement Fund 1996 Account &amp; Pre-5630</t>
  </si>
  <si>
    <t>Teachers' Retirement Fund 1996 Account &amp; Pre-5631</t>
  </si>
  <si>
    <t>Teachers' Retirement Fund 1996 Account &amp; Pre-5632</t>
  </si>
  <si>
    <t>Teachers' Retirement Fund 1996 Account &amp; Pre-5633</t>
  </si>
  <si>
    <t>Teachers' Retirement Fund 1996 Account &amp; Pre-5634</t>
  </si>
  <si>
    <t>Teachers' Retirement Fund 1996 Account &amp; Pre-5635</t>
  </si>
  <si>
    <t>Teachers' Retirement Fund 1996 Account &amp; Pre-5636</t>
  </si>
  <si>
    <t>Teachers' Retirement Fund 1996 Account &amp; Pre-5637</t>
  </si>
  <si>
    <t>Teachers' Retirement Fund 1996 Account &amp; Pre-5638</t>
  </si>
  <si>
    <t>Teachers' Retirement Fund 1996 Account &amp; Pre-5639</t>
  </si>
  <si>
    <t>Teachers' Retirement Fund 1996 Account &amp; Pre-5640</t>
  </si>
  <si>
    <t>Teachers' Retirement Fund 1996 Account &amp; Pre-5641</t>
  </si>
  <si>
    <t>Teachers' Retirement Fund 1996 Account &amp; Pre-5642</t>
  </si>
  <si>
    <t>Teachers' Retirement Fund 1996 Account &amp; Pre-5643</t>
  </si>
  <si>
    <t>Teachers' Retirement Fund 1996 Account &amp; Pre-5644</t>
  </si>
  <si>
    <t>Teachers' Retirement Fund 1996 Account &amp; Pre-5645</t>
  </si>
  <si>
    <t>Teachers' Retirement Fund 1996 Account &amp; Pre-5646</t>
  </si>
  <si>
    <t>Teachers' Retirement Fund 1996 Account &amp; Pre-5647</t>
  </si>
  <si>
    <t>Teachers' Retirement Fund 1996 Account &amp; Pre-5648</t>
  </si>
  <si>
    <t>Teachers' Retirement Fund 1996 Account &amp; Pre-5649</t>
  </si>
  <si>
    <t>Teachers' Retirement Fund 1996 Account &amp; Pre-5650</t>
  </si>
  <si>
    <t>Teachers' Retirement Fund 1996 Account &amp; Pre-5651</t>
  </si>
  <si>
    <t>Teachers' Retirement Fund 1996 Account &amp; Pre-5652</t>
  </si>
  <si>
    <t>Teachers' Retirement Fund 1996 Account &amp; Pre-5653</t>
  </si>
  <si>
    <t>Teachers' Retirement Fund 1996 Account &amp; Pre-5654</t>
  </si>
  <si>
    <t>Teachers' Retirement Fund 1996 Account &amp; Pre-5655</t>
  </si>
  <si>
    <t>Teachers' Retirement Fund 1996 Account &amp; Pre-5656</t>
  </si>
  <si>
    <t>Teachers' Retirement Fund 1996 Account &amp; Pre-5657</t>
  </si>
  <si>
    <t>Teachers' Retirement Fund 1996 Account &amp; Pre-5658</t>
  </si>
  <si>
    <t>Teachers' Retirement Fund 1996 Account &amp; Pre-5659</t>
  </si>
  <si>
    <t>Teachers' Retirement Fund 1996 Account &amp; Pre-5660</t>
  </si>
  <si>
    <t>Teachers' Retirement Fund 1996 Account &amp; Pre-5661</t>
  </si>
  <si>
    <t>Teachers' Retirement Fund 1996 Account &amp; Pre-5662</t>
  </si>
  <si>
    <t>Teachers' Retirement Fund 1996 Account &amp; Pre-5663</t>
  </si>
  <si>
    <t>Teachers' Retirement Fund 1996 Account &amp; Pre-5664</t>
  </si>
  <si>
    <t>Teachers' Retirement Fund 1996 Account &amp; Pre-5665</t>
  </si>
  <si>
    <t>Teachers' Retirement Fund 1996 Account &amp; Pre-5666</t>
  </si>
  <si>
    <t>Teachers' Retirement Fund 1996 Account &amp; Pre-5667</t>
  </si>
  <si>
    <t>Teachers' Retirement Fund 1996 Account &amp; Pre-5668</t>
  </si>
  <si>
    <t>Teachers' Retirement Fund 1996 Account &amp; Pre-5669</t>
  </si>
  <si>
    <t>Teachers' Retirement Fund 1996 Account &amp; Pre-5670</t>
  </si>
  <si>
    <t>Teachers' Retirement Fund 1996 Account &amp; Pre-5671</t>
  </si>
  <si>
    <t>Teachers' Retirement Fund 1996 Account &amp; Pre-5672</t>
  </si>
  <si>
    <t>Teachers' Retirement Fund 1996 Account &amp; Pre-5673</t>
  </si>
  <si>
    <t>Teachers' Retirement Fund 1996 Account &amp; Pre-5674</t>
  </si>
  <si>
    <t>Teachers' Retirement Fund 1996 Account &amp; Pre-5675</t>
  </si>
  <si>
    <t>Teachers' Retirement Fund 1996 Account &amp; Pre-5676</t>
  </si>
  <si>
    <t>Teachers' Retirement Fund 1996 Account &amp; Pre-5677</t>
  </si>
  <si>
    <t>Teachers' Retirement Fund 1996 Account &amp; Pre-5678</t>
  </si>
  <si>
    <t>Teachers' Retirement Fund 1996 Account &amp; Pre-5679</t>
  </si>
  <si>
    <t>Teachers' Retirement Fund 1996 Account &amp; Pre-5680</t>
  </si>
  <si>
    <t>Teachers' Retirement Fund 1996 Account &amp; Pre-5681</t>
  </si>
  <si>
    <t>Teachers' Retirement Fund 1996 Account &amp; Pre-5682</t>
  </si>
  <si>
    <t>Teachers' Retirement Fund 1996 Account &amp; Pre-5683</t>
  </si>
  <si>
    <t>Teachers' Retirement Fund 1996 Account &amp; Pre-5684</t>
  </si>
  <si>
    <t>Teachers' Retirement Fund 1996 Account &amp; Pre-5685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</si>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</sst>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0000000000"/>
    <numFmt numFmtId="172" formatCode="0.000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165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1" fontId="0" fillId="0" borderId="0" xfId="0" applyNumberFormat="1"/>
    <xf numFmtId="1" fontId="0" fillId="0" borderId="0" xfId="1" applyNumberFormat="1" applyFont="1"/>
    <xf numFmtId="0" fontId="2" fillId="0" borderId="0" xfId="0" applyFont="1" applyAlignment="1">
      <alignment horizontal="center"/>
    </xf>
    <xf numFmtId="164" fontId="0" fillId="0" borderId="0" xfId="0" applyNumberFormat="1"/>
    <xf numFmtId="172" fontId="0" fillId="0" borderId="0" xfId="3" applyNumberFormat="1" applyFont="1"/>
    <xf numFmtId="0" fontId="5" fillId="0" borderId="0" xfId="0" applyFont="1"/>
    <xf numFmtId="1" fontId="5" fillId="0" borderId="0" xfId="1" applyNumberFormat="1" applyFont="1"/>
    <xf numFmtId="164" fontId="5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Font="1"/>
  </cellXfs>
  <cellStyles count="4">
    <cellStyle name="Comma" xfId="1" builtinId="3"/>
    <cellStyle name="Normal" xfId="0" builtinId="0"/>
    <cellStyle name="Normal 4 3" xfId="2" xr:uid="{7CDBFD9B-4AE4-834F-B4DF-81BE94A5D48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855B6B99-1AAD-2C48-9E5F-E48523475EFB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2" dT="2025-02-21T22:04:14.84" personId="{855B6B99-1AAD-2C48-9E5F-E48523475EFB}" id="{59E7D4B1-5ADD-7A42-9B1A-9CB450C21A63}">
    <text>All figures within 1% of GASB 67 numbers. With the rounding included in the GASB 67 figures, this checks out well.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B223-E5D5-B94F-8475-0270DAA8D15E}">
  <sheetPr>
    <tabColor rgb="FF002060"/>
  </sheetPr>
  <dimension ref="A1:U3691"/>
  <sheetViews>
    <sheetView tabSelected="1" workbookViewId="0">
      <selection activeCell="P3616" sqref="P3616"/>
    </sheetView>
  </sheetViews>
  <sheetFormatPr baseColWidth="10" defaultColWidth="11" defaultRowHeight="16" x14ac:dyDescent="0.2"/>
  <cols>
    <col min="2" max="2" width="7.1640625" bestFit="1" customWidth="1"/>
    <col min="3" max="3" width="13.6640625" customWidth="1"/>
    <col min="4" max="5" width="15.5" customWidth="1"/>
    <col min="6" max="6" width="51.33203125" bestFit="1" customWidth="1"/>
    <col min="7" max="7" width="11" bestFit="1" customWidth="1"/>
    <col min="8" max="8" width="16" style="6" bestFit="1" customWidth="1"/>
    <col min="9" max="9" width="22.83203125" style="6" bestFit="1" customWidth="1"/>
    <col min="10" max="10" width="28.1640625" style="6" bestFit="1" customWidth="1"/>
    <col min="11" max="11" width="24.83203125" style="6" bestFit="1" customWidth="1"/>
    <col min="12" max="12" width="4.6640625" style="6" customWidth="1"/>
    <col min="13" max="15" width="24.83203125" style="6" customWidth="1"/>
    <col min="16" max="16" width="14.33203125" style="6" customWidth="1"/>
    <col min="17" max="17" width="15.83203125" style="6" customWidth="1"/>
    <col min="18" max="18" width="16.33203125" customWidth="1"/>
    <col min="19" max="19" width="19.1640625" bestFit="1" customWidth="1"/>
    <col min="20" max="20" width="14" bestFit="1" customWidth="1"/>
    <col min="21" max="21" width="12.5" bestFit="1" customWidth="1"/>
  </cols>
  <sheetData>
    <row r="1" spans="1:21" x14ac:dyDescent="0.2">
      <c r="A1" t="s">
        <v>900</v>
      </c>
      <c r="B1" t="s">
        <v>417</v>
      </c>
      <c r="C1" t="s">
        <v>903</v>
      </c>
      <c r="D1" t="s">
        <v>905</v>
      </c>
      <c r="E1" t="s">
        <v>907</v>
      </c>
      <c r="F1" t="s">
        <v>456</v>
      </c>
      <c r="G1" t="s">
        <v>0</v>
      </c>
      <c r="H1" s="6" t="s">
        <v>413</v>
      </c>
      <c r="I1" s="6" t="s">
        <v>421</v>
      </c>
      <c r="J1" s="6" t="s">
        <v>414</v>
      </c>
      <c r="K1" s="6" t="s">
        <v>415</v>
      </c>
      <c r="M1" s="6" t="s">
        <v>897</v>
      </c>
      <c r="N1" s="6" t="s">
        <v>898</v>
      </c>
      <c r="O1" s="6" t="s">
        <v>899</v>
      </c>
      <c r="P1" s="6" t="s">
        <v>901</v>
      </c>
      <c r="Q1" s="6" t="s">
        <v>4598</v>
      </c>
      <c r="R1" s="15" t="s">
        <v>895</v>
      </c>
      <c r="S1" s="15"/>
      <c r="T1" s="15"/>
      <c r="U1" s="15"/>
    </row>
    <row r="2" spans="1:21" x14ac:dyDescent="0.2">
      <c r="A2" s="16">
        <f>P2</f>
        <v>1809370</v>
      </c>
      <c r="B2">
        <v>2015</v>
      </c>
      <c r="C2" t="s">
        <v>904</v>
      </c>
      <c r="D2" t="s">
        <v>906</v>
      </c>
      <c r="E2" t="s">
        <v>908</v>
      </c>
      <c r="F2" t="s">
        <v>633</v>
      </c>
      <c r="G2" t="s">
        <v>21</v>
      </c>
      <c r="H2" s="6">
        <v>894023</v>
      </c>
      <c r="I2" s="6">
        <v>4.3473719524016836E-3</v>
      </c>
      <c r="J2" s="6">
        <v>25262.578415406184</v>
      </c>
      <c r="K2" s="6">
        <v>3676207.2809020998</v>
      </c>
      <c r="M2" s="6">
        <f>SUM(H2,J2)</f>
        <v>919285.57841540617</v>
      </c>
      <c r="N2" s="6">
        <f>K2</f>
        <v>3676207.2809020998</v>
      </c>
      <c r="O2" s="6">
        <f>SUM(M2:N2)</f>
        <v>4595492.8593175057</v>
      </c>
      <c r="P2" s="8">
        <f>VLOOKUP(F2,'LEAID Match'!$A$2:$B$436,2,FALSE)</f>
        <v>1809370</v>
      </c>
      <c r="Q2" s="6">
        <f>COUNTIF($P$2:$P$3691,P2)</f>
        <v>9</v>
      </c>
      <c r="R2" s="8">
        <v>2015</v>
      </c>
      <c r="S2" s="6">
        <f>SUMIF($B$2:$B$3691,$R2,$H$2:$H$3691)</f>
        <v>205646770</v>
      </c>
      <c r="T2" s="6">
        <f>SUMIF($B$2:$B$3691,$R2,$J$2:$J$3691)</f>
        <v>5811000.0000000047</v>
      </c>
      <c r="U2" s="10">
        <f>SUM(S2:T2)</f>
        <v>211457770</v>
      </c>
    </row>
    <row r="3" spans="1:21" x14ac:dyDescent="0.2">
      <c r="A3" s="16">
        <f t="shared" ref="A3:A66" si="0">P3</f>
        <v>1809370</v>
      </c>
      <c r="B3">
        <v>2016</v>
      </c>
      <c r="C3" t="s">
        <v>904</v>
      </c>
      <c r="D3" t="s">
        <v>906</v>
      </c>
      <c r="E3" t="s">
        <v>909</v>
      </c>
      <c r="F3" t="s">
        <v>633</v>
      </c>
      <c r="G3" t="s">
        <v>21</v>
      </c>
      <c r="H3" s="6">
        <v>964405</v>
      </c>
      <c r="I3" s="6">
        <v>4.4749576446109244E-3</v>
      </c>
      <c r="J3" s="6">
        <v>22589.586189995945</v>
      </c>
      <c r="K3" s="6">
        <v>3971524.9095921898</v>
      </c>
      <c r="M3" s="6">
        <f t="shared" ref="M3:M66" si="1">SUM(H3,J3)</f>
        <v>986994.58618999599</v>
      </c>
      <c r="N3" s="6">
        <f t="shared" ref="N3:N66" si="2">K3</f>
        <v>3971524.9095921898</v>
      </c>
      <c r="O3" s="6">
        <f t="shared" ref="O3:O66" si="3">SUM(M3:N3)</f>
        <v>4958519.4957821853</v>
      </c>
      <c r="P3" s="8">
        <f>VLOOKUP(F3,'LEAID Match'!$A$2:$B$436,2,FALSE)</f>
        <v>1809370</v>
      </c>
      <c r="Q3" s="6">
        <f t="shared" ref="Q3:Q66" si="4">COUNTIF($P$2:$P$3691,P3)</f>
        <v>9</v>
      </c>
      <c r="R3" s="8">
        <v>2016</v>
      </c>
      <c r="S3" s="6">
        <f>SUMIF($B$2:$B$3691,$R3,$H$2:$H$3691)</f>
        <v>215511537</v>
      </c>
      <c r="T3" s="6">
        <f>SUMIF($B$2:$B$3691,$R3,$J$2:$J$3691)</f>
        <v>5047999.9999999972</v>
      </c>
      <c r="U3" s="10">
        <f t="shared" ref="U3:U9" si="5">SUM(S3:T3)</f>
        <v>220559537</v>
      </c>
    </row>
    <row r="4" spans="1:21" x14ac:dyDescent="0.2">
      <c r="A4" s="16">
        <f t="shared" si="0"/>
        <v>1809370</v>
      </c>
      <c r="B4">
        <v>2017</v>
      </c>
      <c r="C4" t="s">
        <v>904</v>
      </c>
      <c r="D4" t="s">
        <v>906</v>
      </c>
      <c r="E4" t="s">
        <v>910</v>
      </c>
      <c r="F4" t="s">
        <v>633</v>
      </c>
      <c r="G4" t="s">
        <v>21</v>
      </c>
      <c r="H4" s="6">
        <v>1062167</v>
      </c>
      <c r="I4" s="6">
        <v>4.6771757025247437E-3</v>
      </c>
      <c r="J4" s="6">
        <v>21164.220053924466</v>
      </c>
      <c r="K4" s="6">
        <v>4073820.0368990502</v>
      </c>
      <c r="M4" s="6">
        <f t="shared" si="1"/>
        <v>1083331.2200539245</v>
      </c>
      <c r="N4" s="6">
        <f t="shared" si="2"/>
        <v>4073820.0368990502</v>
      </c>
      <c r="O4" s="6">
        <f t="shared" si="3"/>
        <v>5157151.2569529749</v>
      </c>
      <c r="P4" s="8">
        <f>VLOOKUP(F4,'LEAID Match'!$A$2:$B$436,2,FALSE)</f>
        <v>1809370</v>
      </c>
      <c r="Q4" s="6">
        <f t="shared" si="4"/>
        <v>9</v>
      </c>
      <c r="R4" s="8">
        <v>2017</v>
      </c>
      <c r="S4" s="6">
        <f>SUMIF($B$2:$B$3691,$R4,$H$2:$H$3691)</f>
        <v>227095809</v>
      </c>
      <c r="T4" s="6">
        <f>SUMIF($B$2:$B$3691,$R4,$J$2:$J$3691)</f>
        <v>4524999.9999999944</v>
      </c>
      <c r="U4" s="10">
        <f t="shared" si="5"/>
        <v>231620809</v>
      </c>
    </row>
    <row r="5" spans="1:21" x14ac:dyDescent="0.2">
      <c r="A5" s="16">
        <f t="shared" si="0"/>
        <v>1809370</v>
      </c>
      <c r="B5">
        <v>2018</v>
      </c>
      <c r="C5" t="s">
        <v>904</v>
      </c>
      <c r="D5" t="s">
        <v>906</v>
      </c>
      <c r="E5" t="s">
        <v>911</v>
      </c>
      <c r="F5" t="s">
        <v>633</v>
      </c>
      <c r="G5" t="s">
        <v>21</v>
      </c>
      <c r="H5" s="6">
        <v>1144527</v>
      </c>
      <c r="I5" s="6">
        <v>4.8555079468217462E-3</v>
      </c>
      <c r="J5" s="6">
        <v>20237.757122353039</v>
      </c>
      <c r="K5" s="6">
        <v>2894322</v>
      </c>
      <c r="M5" s="6">
        <f t="shared" si="1"/>
        <v>1164764.757122353</v>
      </c>
      <c r="N5" s="6">
        <f t="shared" si="2"/>
        <v>2894322</v>
      </c>
      <c r="O5" s="6">
        <f t="shared" si="3"/>
        <v>4059086.7571223527</v>
      </c>
      <c r="P5" s="8">
        <f>VLOOKUP(F5,'LEAID Match'!$A$2:$B$436,2,FALSE)</f>
        <v>1809370</v>
      </c>
      <c r="Q5" s="6">
        <f t="shared" si="4"/>
        <v>9</v>
      </c>
      <c r="R5" s="8">
        <v>2018</v>
      </c>
      <c r="S5" s="6">
        <f>SUMIF($B$2:$B$3691,$R5,$H$2:$H$3691)</f>
        <v>235717254</v>
      </c>
      <c r="T5" s="6">
        <f>SUMIF($B$2:$B$3691,$R5,$J$2:$J$3691)</f>
        <v>4168000.0000000019</v>
      </c>
      <c r="U5" s="10">
        <f t="shared" si="5"/>
        <v>239885254</v>
      </c>
    </row>
    <row r="6" spans="1:21" x14ac:dyDescent="0.2">
      <c r="A6" s="16">
        <f t="shared" si="0"/>
        <v>1809370</v>
      </c>
      <c r="B6">
        <v>2019</v>
      </c>
      <c r="C6" t="s">
        <v>904</v>
      </c>
      <c r="D6" t="s">
        <v>906</v>
      </c>
      <c r="E6" t="s">
        <v>912</v>
      </c>
      <c r="F6" t="s">
        <v>633</v>
      </c>
      <c r="G6" t="s">
        <v>21</v>
      </c>
      <c r="H6" s="6">
        <v>1104819</v>
      </c>
      <c r="I6" s="6">
        <v>2.8106535440913781E-3</v>
      </c>
      <c r="J6" s="6">
        <v>9851.34067204028</v>
      </c>
      <c r="K6" s="6">
        <v>2652975.8802678501</v>
      </c>
      <c r="M6" s="6">
        <f t="shared" si="1"/>
        <v>1114670.3406720404</v>
      </c>
      <c r="N6" s="6">
        <f t="shared" si="2"/>
        <v>2652975.8802678501</v>
      </c>
      <c r="O6" s="6">
        <f t="shared" si="3"/>
        <v>3767646.2209398905</v>
      </c>
      <c r="P6" s="8">
        <f>VLOOKUP(F6,'LEAID Match'!$A$2:$B$436,2,FALSE)</f>
        <v>1809370</v>
      </c>
      <c r="Q6" s="6">
        <f t="shared" si="4"/>
        <v>9</v>
      </c>
      <c r="R6" s="8">
        <v>2019</v>
      </c>
      <c r="S6" s="6">
        <f>SUMIF($B$2:$B$3691,$R6,$H$2:$H$3691)</f>
        <v>393082599</v>
      </c>
      <c r="T6" s="6">
        <f>SUMIF($B$2:$B$3691,$R6,$J$2:$J$3691)</f>
        <v>3505000.0000000014</v>
      </c>
      <c r="U6" s="10">
        <f t="shared" si="5"/>
        <v>396587599</v>
      </c>
    </row>
    <row r="7" spans="1:21" x14ac:dyDescent="0.2">
      <c r="A7" s="16">
        <f t="shared" si="0"/>
        <v>1809370</v>
      </c>
      <c r="B7">
        <v>2020</v>
      </c>
      <c r="C7" t="s">
        <v>904</v>
      </c>
      <c r="D7" t="s">
        <v>906</v>
      </c>
      <c r="E7" t="s">
        <v>913</v>
      </c>
      <c r="F7" t="s">
        <v>633</v>
      </c>
      <c r="G7" t="s">
        <v>21</v>
      </c>
      <c r="H7" s="6">
        <v>811264</v>
      </c>
      <c r="I7" s="6">
        <v>4.2986508080725301E-3</v>
      </c>
      <c r="J7" s="6">
        <v>10127.621303818882</v>
      </c>
      <c r="K7" s="6">
        <v>2971761</v>
      </c>
      <c r="M7" s="6">
        <f t="shared" si="1"/>
        <v>821391.62130381889</v>
      </c>
      <c r="N7" s="6">
        <f t="shared" si="2"/>
        <v>2971761</v>
      </c>
      <c r="O7" s="6">
        <f t="shared" si="3"/>
        <v>3793152.6213038191</v>
      </c>
      <c r="P7" s="8">
        <f>VLOOKUP(F7,'LEAID Match'!$A$2:$B$436,2,FALSE)</f>
        <v>1809370</v>
      </c>
      <c r="Q7" s="6">
        <f t="shared" si="4"/>
        <v>9</v>
      </c>
      <c r="R7" s="8">
        <v>2020</v>
      </c>
      <c r="S7" s="6">
        <f>SUMIF($B$2:$B$3691,$R7,$H$2:$H$3691)</f>
        <v>188725262</v>
      </c>
      <c r="T7" s="6">
        <f>SUMIF($B$2:$B$3691,$R7,$J$2:$J$3691)</f>
        <v>2356000.0000000009</v>
      </c>
      <c r="U7" s="10">
        <f t="shared" si="5"/>
        <v>191081262</v>
      </c>
    </row>
    <row r="8" spans="1:21" x14ac:dyDescent="0.2">
      <c r="A8" s="16">
        <f t="shared" si="0"/>
        <v>1809370</v>
      </c>
      <c r="B8">
        <v>2021</v>
      </c>
      <c r="C8" t="s">
        <v>904</v>
      </c>
      <c r="D8" t="s">
        <v>906</v>
      </c>
      <c r="E8" t="s">
        <v>914</v>
      </c>
      <c r="F8" t="s">
        <v>633</v>
      </c>
      <c r="G8" t="s">
        <v>21</v>
      </c>
      <c r="H8" s="6">
        <v>100924</v>
      </c>
      <c r="I8" s="6">
        <v>4.9857394582404526E-4</v>
      </c>
      <c r="J8" s="6">
        <v>1123.7856738873979</v>
      </c>
      <c r="K8" s="6">
        <v>3696082</v>
      </c>
      <c r="M8" s="6">
        <f t="shared" si="1"/>
        <v>102047.7856738874</v>
      </c>
      <c r="N8" s="6">
        <f t="shared" si="2"/>
        <v>3696082</v>
      </c>
      <c r="O8" s="6">
        <f t="shared" si="3"/>
        <v>3798129.7856738875</v>
      </c>
      <c r="P8" s="8">
        <f>VLOOKUP(F8,'LEAID Match'!$A$2:$B$436,2,FALSE)</f>
        <v>1809370</v>
      </c>
      <c r="Q8" s="6">
        <f t="shared" si="4"/>
        <v>9</v>
      </c>
      <c r="R8" s="8">
        <v>2021</v>
      </c>
      <c r="S8" s="6">
        <f>SUMIF($B$2:$B$3691,$R8,$H$2:$H$3691)</f>
        <v>202425339</v>
      </c>
      <c r="T8" s="6">
        <f>SUMIF($B$2:$B$3691,$R8,$J$2:$J$3691)</f>
        <v>2254000</v>
      </c>
      <c r="U8" s="10">
        <f t="shared" si="5"/>
        <v>204679339</v>
      </c>
    </row>
    <row r="9" spans="1:21" x14ac:dyDescent="0.2">
      <c r="A9" s="16">
        <f t="shared" si="0"/>
        <v>1809370</v>
      </c>
      <c r="B9">
        <v>2022</v>
      </c>
      <c r="C9" t="s">
        <v>904</v>
      </c>
      <c r="D9" t="s">
        <v>906</v>
      </c>
      <c r="E9" t="s">
        <v>915</v>
      </c>
      <c r="F9" t="s">
        <v>633</v>
      </c>
      <c r="G9" t="s">
        <v>21</v>
      </c>
      <c r="H9" s="6" t="s">
        <v>187</v>
      </c>
      <c r="I9" s="6">
        <v>0</v>
      </c>
      <c r="J9" s="6">
        <v>0</v>
      </c>
      <c r="K9" s="6">
        <v>3496950</v>
      </c>
      <c r="M9" s="6">
        <f t="shared" si="1"/>
        <v>0</v>
      </c>
      <c r="N9" s="6">
        <f t="shared" si="2"/>
        <v>3496950</v>
      </c>
      <c r="O9" s="6">
        <f t="shared" si="3"/>
        <v>3496950</v>
      </c>
      <c r="P9" s="8">
        <f>VLOOKUP(F9,'LEAID Match'!$A$2:$B$436,2,FALSE)</f>
        <v>1809370</v>
      </c>
      <c r="Q9" s="6">
        <f t="shared" si="4"/>
        <v>9</v>
      </c>
      <c r="R9" s="8">
        <v>2022</v>
      </c>
      <c r="S9" s="6">
        <f>SUMIF($B$2:$B$3691,$R9,$H$2:$H$3691)</f>
        <v>210606752</v>
      </c>
      <c r="T9" s="6">
        <f>SUMIF($B$2:$B$3691,$R9,$J$2:$J$3691)</f>
        <v>2205000</v>
      </c>
      <c r="U9" s="10">
        <f t="shared" si="5"/>
        <v>212811752</v>
      </c>
    </row>
    <row r="10" spans="1:21" x14ac:dyDescent="0.2">
      <c r="A10" s="16">
        <f t="shared" si="0"/>
        <v>1809370</v>
      </c>
      <c r="B10">
        <v>2023</v>
      </c>
      <c r="C10" t="s">
        <v>904</v>
      </c>
      <c r="D10" t="s">
        <v>906</v>
      </c>
      <c r="E10" t="s">
        <v>916</v>
      </c>
      <c r="F10" t="s">
        <v>633</v>
      </c>
      <c r="G10" t="s">
        <v>21</v>
      </c>
      <c r="H10" s="6" t="s">
        <v>187</v>
      </c>
      <c r="I10" s="6">
        <v>0</v>
      </c>
      <c r="J10" s="6">
        <v>0</v>
      </c>
      <c r="K10" s="6">
        <v>7589120</v>
      </c>
      <c r="M10" s="6">
        <f t="shared" si="1"/>
        <v>0</v>
      </c>
      <c r="N10" s="6">
        <f t="shared" si="2"/>
        <v>7589120</v>
      </c>
      <c r="O10" s="6">
        <f t="shared" si="3"/>
        <v>7589120</v>
      </c>
      <c r="P10" s="8">
        <f>VLOOKUP(F10,'LEAID Match'!$A$2:$B$436,2,FALSE)</f>
        <v>1809370</v>
      </c>
      <c r="Q10" s="6">
        <f t="shared" si="4"/>
        <v>9</v>
      </c>
    </row>
    <row r="11" spans="1:21" x14ac:dyDescent="0.2">
      <c r="A11" s="16">
        <f t="shared" si="0"/>
        <v>1800212</v>
      </c>
      <c r="B11">
        <v>2021</v>
      </c>
      <c r="C11" t="s">
        <v>904</v>
      </c>
      <c r="D11" t="s">
        <v>906</v>
      </c>
      <c r="E11" t="s">
        <v>917</v>
      </c>
      <c r="F11" t="s">
        <v>867</v>
      </c>
      <c r="G11" t="s">
        <v>399</v>
      </c>
      <c r="H11" s="6">
        <v>269530</v>
      </c>
      <c r="I11" s="6">
        <v>1.3315032660016935E-3</v>
      </c>
      <c r="J11" s="6">
        <v>3001.2083615678171</v>
      </c>
      <c r="K11" s="6">
        <v>430762</v>
      </c>
      <c r="M11" s="6">
        <f t="shared" si="1"/>
        <v>272531.20836156781</v>
      </c>
      <c r="N11" s="6">
        <f t="shared" si="2"/>
        <v>430762</v>
      </c>
      <c r="O11" s="6">
        <f t="shared" si="3"/>
        <v>703293.20836156781</v>
      </c>
      <c r="P11" s="8">
        <f>VLOOKUP(F11,'LEAID Match'!$A$2:$B$436,2,FALSE)</f>
        <v>1800212</v>
      </c>
      <c r="Q11" s="6">
        <f t="shared" si="4"/>
        <v>3</v>
      </c>
      <c r="R11" s="15" t="s">
        <v>422</v>
      </c>
      <c r="S11" s="15"/>
    </row>
    <row r="12" spans="1:21" x14ac:dyDescent="0.2">
      <c r="A12" s="16">
        <f t="shared" si="0"/>
        <v>1800212</v>
      </c>
      <c r="B12">
        <v>2022</v>
      </c>
      <c r="C12" t="s">
        <v>904</v>
      </c>
      <c r="D12" t="s">
        <v>906</v>
      </c>
      <c r="E12" t="s">
        <v>918</v>
      </c>
      <c r="F12" t="s">
        <v>867</v>
      </c>
      <c r="G12" t="s">
        <v>399</v>
      </c>
      <c r="H12" s="6">
        <v>367374</v>
      </c>
      <c r="I12" s="6">
        <v>1.7443600288750477E-3</v>
      </c>
      <c r="J12" s="6">
        <v>3846.3138636694803</v>
      </c>
      <c r="K12" s="6">
        <v>276438</v>
      </c>
      <c r="M12" s="6">
        <f t="shared" si="1"/>
        <v>371220.31386366946</v>
      </c>
      <c r="N12" s="6">
        <f t="shared" si="2"/>
        <v>276438</v>
      </c>
      <c r="O12" s="6">
        <f t="shared" si="3"/>
        <v>647658.31386366952</v>
      </c>
      <c r="P12" s="8">
        <f>VLOOKUP(F12,'LEAID Match'!$A$2:$B$436,2,FALSE)</f>
        <v>1800212</v>
      </c>
      <c r="Q12" s="6">
        <f t="shared" si="4"/>
        <v>3</v>
      </c>
      <c r="R12" s="8">
        <v>2015</v>
      </c>
      <c r="S12" s="6">
        <f>SUMIF($B$2:$B$3691,R12,$K$2:$K$3691)</f>
        <v>845615999.99999809</v>
      </c>
    </row>
    <row r="13" spans="1:21" x14ac:dyDescent="0.2">
      <c r="A13" s="16">
        <f t="shared" si="0"/>
        <v>1800212</v>
      </c>
      <c r="B13">
        <v>2023</v>
      </c>
      <c r="C13" t="s">
        <v>904</v>
      </c>
      <c r="D13" t="s">
        <v>906</v>
      </c>
      <c r="E13" t="s">
        <v>919</v>
      </c>
      <c r="F13" t="s">
        <v>867</v>
      </c>
      <c r="G13" t="s">
        <v>399</v>
      </c>
      <c r="H13" s="6">
        <v>435453</v>
      </c>
      <c r="I13" s="6">
        <v>1.7807635092504271E-3</v>
      </c>
      <c r="J13" s="6">
        <v>4393.1435773208032</v>
      </c>
      <c r="K13" s="6">
        <v>1316238</v>
      </c>
      <c r="M13" s="6">
        <f t="shared" si="1"/>
        <v>439846.14357732079</v>
      </c>
      <c r="N13" s="6">
        <f t="shared" si="2"/>
        <v>1316238</v>
      </c>
      <c r="O13" s="6">
        <f t="shared" si="3"/>
        <v>1756084.1435773207</v>
      </c>
      <c r="P13" s="8">
        <f>VLOOKUP(F13,'LEAID Match'!$A$2:$B$436,2,FALSE)</f>
        <v>1800212</v>
      </c>
      <c r="Q13" s="6">
        <f t="shared" si="4"/>
        <v>3</v>
      </c>
      <c r="R13" s="8">
        <v>2016</v>
      </c>
      <c r="S13" s="6">
        <f t="shared" ref="S13:S19" si="6">SUMIF($B$2:$B$3691,R13,$K$2:$K$3691)</f>
        <v>887499999.99999905</v>
      </c>
    </row>
    <row r="14" spans="1:21" x14ac:dyDescent="0.2">
      <c r="A14" s="16">
        <f t="shared" si="0"/>
        <v>1800213</v>
      </c>
      <c r="B14">
        <v>2021</v>
      </c>
      <c r="C14" t="s">
        <v>904</v>
      </c>
      <c r="D14" t="s">
        <v>906</v>
      </c>
      <c r="E14" t="s">
        <v>920</v>
      </c>
      <c r="F14" t="s">
        <v>462</v>
      </c>
      <c r="G14" t="s">
        <v>400</v>
      </c>
      <c r="H14" s="6">
        <v>466345</v>
      </c>
      <c r="I14" s="6">
        <v>2.3037876695861676E-3</v>
      </c>
      <c r="J14" s="6">
        <v>5192.7374072472221</v>
      </c>
      <c r="K14" s="6">
        <v>656612</v>
      </c>
      <c r="M14" s="6">
        <f t="shared" si="1"/>
        <v>471537.73740724724</v>
      </c>
      <c r="N14" s="6">
        <f t="shared" si="2"/>
        <v>656612</v>
      </c>
      <c r="O14" s="6">
        <f t="shared" si="3"/>
        <v>1128149.7374072473</v>
      </c>
      <c r="P14" s="8">
        <f>VLOOKUP(F14,'LEAID Match'!$A$2:$B$436,2,FALSE)</f>
        <v>1800213</v>
      </c>
      <c r="Q14" s="6">
        <f t="shared" si="4"/>
        <v>3</v>
      </c>
      <c r="R14" s="8">
        <v>2017</v>
      </c>
      <c r="S14" s="6">
        <f t="shared" si="6"/>
        <v>870999999.99999785</v>
      </c>
    </row>
    <row r="15" spans="1:21" x14ac:dyDescent="0.2">
      <c r="A15" s="16">
        <f t="shared" si="0"/>
        <v>1800213</v>
      </c>
      <c r="B15">
        <v>2022</v>
      </c>
      <c r="C15" t="s">
        <v>904</v>
      </c>
      <c r="D15" t="s">
        <v>906</v>
      </c>
      <c r="E15" t="s">
        <v>921</v>
      </c>
      <c r="F15" t="s">
        <v>462</v>
      </c>
      <c r="G15" t="s">
        <v>400</v>
      </c>
      <c r="H15" s="6">
        <v>576146</v>
      </c>
      <c r="I15" s="6">
        <v>2.7356482853883052E-3</v>
      </c>
      <c r="J15" s="6">
        <v>6032.1044692812129</v>
      </c>
      <c r="K15" s="6">
        <v>755670</v>
      </c>
      <c r="M15" s="6">
        <f t="shared" si="1"/>
        <v>582178.10446928116</v>
      </c>
      <c r="N15" s="6">
        <f t="shared" si="2"/>
        <v>755670</v>
      </c>
      <c r="O15" s="6">
        <f t="shared" si="3"/>
        <v>1337848.1044692812</v>
      </c>
      <c r="P15" s="8">
        <f>VLOOKUP(F15,'LEAID Match'!$A$2:$B$436,2,FALSE)</f>
        <v>1800213</v>
      </c>
      <c r="Q15" s="6">
        <f t="shared" si="4"/>
        <v>3</v>
      </c>
      <c r="R15" s="8">
        <v>2018</v>
      </c>
      <c r="S15" s="6">
        <f t="shared" si="6"/>
        <v>917900000</v>
      </c>
    </row>
    <row r="16" spans="1:21" x14ac:dyDescent="0.2">
      <c r="A16" s="16">
        <f t="shared" si="0"/>
        <v>1800213</v>
      </c>
      <c r="B16">
        <v>2023</v>
      </c>
      <c r="C16" t="s">
        <v>904</v>
      </c>
      <c r="D16" t="s">
        <v>906</v>
      </c>
      <c r="E16" t="s">
        <v>922</v>
      </c>
      <c r="F16" t="s">
        <v>462</v>
      </c>
      <c r="G16" t="s">
        <v>400</v>
      </c>
      <c r="H16" s="6">
        <v>682899</v>
      </c>
      <c r="I16" s="6">
        <v>2.792681689421378E-3</v>
      </c>
      <c r="J16" s="6">
        <v>6889.5457278025397</v>
      </c>
      <c r="K16" s="6">
        <v>3113149</v>
      </c>
      <c r="M16" s="6">
        <f t="shared" si="1"/>
        <v>689788.54572780256</v>
      </c>
      <c r="N16" s="6">
        <f t="shared" si="2"/>
        <v>3113149</v>
      </c>
      <c r="O16" s="6">
        <f t="shared" si="3"/>
        <v>3802937.5457278024</v>
      </c>
      <c r="P16" s="8">
        <f>VLOOKUP(F16,'LEAID Match'!$A$2:$B$436,2,FALSE)</f>
        <v>1800213</v>
      </c>
      <c r="Q16" s="6">
        <f t="shared" si="4"/>
        <v>3</v>
      </c>
      <c r="R16" s="8">
        <v>2019</v>
      </c>
      <c r="S16" s="6">
        <f t="shared" si="6"/>
        <v>943899999.99999809</v>
      </c>
    </row>
    <row r="17" spans="1:20" x14ac:dyDescent="0.2">
      <c r="A17" s="16">
        <f t="shared" si="0"/>
        <v>1801920</v>
      </c>
      <c r="B17">
        <v>2015</v>
      </c>
      <c r="C17" t="s">
        <v>904</v>
      </c>
      <c r="D17" t="s">
        <v>906</v>
      </c>
      <c r="E17" t="s">
        <v>923</v>
      </c>
      <c r="F17" t="s">
        <v>634</v>
      </c>
      <c r="G17" t="s">
        <v>22</v>
      </c>
      <c r="H17" s="6">
        <v>322792</v>
      </c>
      <c r="I17" s="6">
        <v>1.5696429367696853E-3</v>
      </c>
      <c r="J17" s="6">
        <v>9121.1951055686404</v>
      </c>
      <c r="K17" s="6">
        <v>1327315.18161943</v>
      </c>
      <c r="M17" s="6">
        <f t="shared" si="1"/>
        <v>331913.19510556862</v>
      </c>
      <c r="N17" s="6">
        <f t="shared" si="2"/>
        <v>1327315.18161943</v>
      </c>
      <c r="O17" s="6">
        <f t="shared" si="3"/>
        <v>1659228.3767249985</v>
      </c>
      <c r="P17" s="8">
        <f>VLOOKUP(F17,'LEAID Match'!$A$2:$B$436,2,FALSE)</f>
        <v>1801920</v>
      </c>
      <c r="Q17" s="6">
        <f t="shared" si="4"/>
        <v>9</v>
      </c>
      <c r="R17" s="8">
        <v>2020</v>
      </c>
      <c r="S17" s="6">
        <f t="shared" si="6"/>
        <v>971132000</v>
      </c>
    </row>
    <row r="18" spans="1:20" x14ac:dyDescent="0.2">
      <c r="A18" s="16">
        <f t="shared" si="0"/>
        <v>1801920</v>
      </c>
      <c r="B18">
        <v>2016</v>
      </c>
      <c r="C18" t="s">
        <v>904</v>
      </c>
      <c r="D18" t="s">
        <v>906</v>
      </c>
      <c r="E18" t="s">
        <v>924</v>
      </c>
      <c r="F18" t="s">
        <v>634</v>
      </c>
      <c r="G18" t="s">
        <v>22</v>
      </c>
      <c r="H18" s="6">
        <v>335892</v>
      </c>
      <c r="I18" s="6">
        <v>1.5585801329977059E-3</v>
      </c>
      <c r="J18" s="6">
        <v>7867.7125113724196</v>
      </c>
      <c r="K18" s="6">
        <v>1383239.8680354599</v>
      </c>
      <c r="M18" s="6">
        <f t="shared" si="1"/>
        <v>343759.7125113724</v>
      </c>
      <c r="N18" s="6">
        <f t="shared" si="2"/>
        <v>1383239.8680354599</v>
      </c>
      <c r="O18" s="6">
        <f t="shared" si="3"/>
        <v>1726999.5805468322</v>
      </c>
      <c r="P18" s="8">
        <f>VLOOKUP(F18,'LEAID Match'!$A$2:$B$436,2,FALSE)</f>
        <v>1801920</v>
      </c>
      <c r="Q18" s="6">
        <f t="shared" si="4"/>
        <v>9</v>
      </c>
      <c r="R18" s="8">
        <v>2021</v>
      </c>
      <c r="S18" s="6">
        <f t="shared" si="6"/>
        <v>1598375000</v>
      </c>
    </row>
    <row r="19" spans="1:20" x14ac:dyDescent="0.2">
      <c r="A19" s="16">
        <f t="shared" si="0"/>
        <v>1801920</v>
      </c>
      <c r="B19">
        <v>2017</v>
      </c>
      <c r="C19" t="s">
        <v>904</v>
      </c>
      <c r="D19" t="s">
        <v>906</v>
      </c>
      <c r="E19" t="s">
        <v>925</v>
      </c>
      <c r="F19" t="s">
        <v>634</v>
      </c>
      <c r="G19" t="s">
        <v>22</v>
      </c>
      <c r="H19" s="6">
        <v>330165</v>
      </c>
      <c r="I19" s="6">
        <v>1.4538577416019158E-3</v>
      </c>
      <c r="J19" s="6">
        <v>6578.7062807486691</v>
      </c>
      <c r="K19" s="6">
        <v>1266310.0929352599</v>
      </c>
      <c r="M19" s="6">
        <f t="shared" si="1"/>
        <v>336743.70628074865</v>
      </c>
      <c r="N19" s="6">
        <f t="shared" si="2"/>
        <v>1266310.0929352599</v>
      </c>
      <c r="O19" s="6">
        <f t="shared" si="3"/>
        <v>1603053.7992160085</v>
      </c>
      <c r="P19" s="8">
        <f>VLOOKUP(F19,'LEAID Match'!$A$2:$B$436,2,FALSE)</f>
        <v>1801920</v>
      </c>
      <c r="Q19" s="6">
        <f t="shared" si="4"/>
        <v>9</v>
      </c>
      <c r="R19" s="8">
        <v>2022</v>
      </c>
      <c r="S19" s="6">
        <f t="shared" si="6"/>
        <v>1550410326</v>
      </c>
    </row>
    <row r="20" spans="1:20" x14ac:dyDescent="0.2">
      <c r="A20" s="16">
        <f t="shared" si="0"/>
        <v>1801920</v>
      </c>
      <c r="B20">
        <v>2018</v>
      </c>
      <c r="C20" t="s">
        <v>904</v>
      </c>
      <c r="D20" t="s">
        <v>906</v>
      </c>
      <c r="E20" t="s">
        <v>926</v>
      </c>
      <c r="F20" t="s">
        <v>634</v>
      </c>
      <c r="G20" t="s">
        <v>22</v>
      </c>
      <c r="H20" s="6">
        <v>467389</v>
      </c>
      <c r="I20" s="6">
        <v>1.9828374549111286E-3</v>
      </c>
      <c r="J20" s="6">
        <v>8264.4665120695845</v>
      </c>
      <c r="K20" s="6">
        <v>1243846</v>
      </c>
      <c r="M20" s="6">
        <f t="shared" si="1"/>
        <v>475653.46651206957</v>
      </c>
      <c r="N20" s="6">
        <f t="shared" si="2"/>
        <v>1243846</v>
      </c>
      <c r="O20" s="6">
        <f t="shared" si="3"/>
        <v>1719499.4665120696</v>
      </c>
      <c r="P20" s="8">
        <f>VLOOKUP(F20,'LEAID Match'!$A$2:$B$436,2,FALSE)</f>
        <v>1801920</v>
      </c>
      <c r="Q20" s="6">
        <f t="shared" si="4"/>
        <v>9</v>
      </c>
    </row>
    <row r="21" spans="1:20" x14ac:dyDescent="0.2">
      <c r="A21" s="16">
        <f t="shared" si="0"/>
        <v>1801920</v>
      </c>
      <c r="B21">
        <v>2019</v>
      </c>
      <c r="C21" t="s">
        <v>904</v>
      </c>
      <c r="D21" t="s">
        <v>906</v>
      </c>
      <c r="E21" t="s">
        <v>927</v>
      </c>
      <c r="F21" t="s">
        <v>634</v>
      </c>
      <c r="G21" t="s">
        <v>22</v>
      </c>
      <c r="H21" s="6">
        <v>318654</v>
      </c>
      <c r="I21" s="6">
        <v>8.1065404780230428E-4</v>
      </c>
      <c r="J21" s="6">
        <v>2841.3424375470763</v>
      </c>
      <c r="K21" s="6">
        <v>765176.35572059499</v>
      </c>
      <c r="M21" s="6">
        <f t="shared" si="1"/>
        <v>321495.34243754705</v>
      </c>
      <c r="N21" s="6">
        <f t="shared" si="2"/>
        <v>765176.35572059499</v>
      </c>
      <c r="O21" s="6">
        <f t="shared" si="3"/>
        <v>1086671.6981581422</v>
      </c>
      <c r="P21" s="8">
        <f>VLOOKUP(F21,'LEAID Match'!$A$2:$B$436,2,FALSE)</f>
        <v>1801920</v>
      </c>
      <c r="Q21" s="6">
        <f t="shared" si="4"/>
        <v>9</v>
      </c>
    </row>
    <row r="22" spans="1:20" x14ac:dyDescent="0.2">
      <c r="A22" s="16">
        <f t="shared" si="0"/>
        <v>1801920</v>
      </c>
      <c r="B22">
        <v>2020</v>
      </c>
      <c r="C22" t="s">
        <v>904</v>
      </c>
      <c r="D22" t="s">
        <v>906</v>
      </c>
      <c r="E22" t="s">
        <v>928</v>
      </c>
      <c r="F22" t="s">
        <v>634</v>
      </c>
      <c r="G22" t="s">
        <v>22</v>
      </c>
      <c r="H22" s="6">
        <v>229561</v>
      </c>
      <c r="I22" s="6">
        <v>1.2163766396042941E-3</v>
      </c>
      <c r="J22" s="6">
        <v>2865.7833629077172</v>
      </c>
      <c r="K22" s="6">
        <v>1287430</v>
      </c>
      <c r="M22" s="6">
        <f t="shared" si="1"/>
        <v>232426.78336290771</v>
      </c>
      <c r="N22" s="6">
        <f t="shared" si="2"/>
        <v>1287430</v>
      </c>
      <c r="O22" s="6">
        <f t="shared" si="3"/>
        <v>1519856.7833629078</v>
      </c>
      <c r="P22" s="8">
        <f>VLOOKUP(F22,'LEAID Match'!$A$2:$B$436,2,FALSE)</f>
        <v>1801920</v>
      </c>
      <c r="Q22" s="6">
        <f t="shared" si="4"/>
        <v>9</v>
      </c>
      <c r="R22" t="s">
        <v>894</v>
      </c>
      <c r="S22" t="s">
        <v>895</v>
      </c>
      <c r="T22" t="s">
        <v>422</v>
      </c>
    </row>
    <row r="23" spans="1:20" x14ac:dyDescent="0.2">
      <c r="A23" s="16">
        <f t="shared" si="0"/>
        <v>1801920</v>
      </c>
      <c r="B23">
        <v>2021</v>
      </c>
      <c r="C23" t="s">
        <v>904</v>
      </c>
      <c r="D23" t="s">
        <v>906</v>
      </c>
      <c r="E23" t="s">
        <v>929</v>
      </c>
      <c r="F23" t="s">
        <v>634</v>
      </c>
      <c r="G23" t="s">
        <v>22</v>
      </c>
      <c r="H23" s="6">
        <v>226616</v>
      </c>
      <c r="I23" s="6">
        <v>1.1195041150455971E-3</v>
      </c>
      <c r="J23" s="6">
        <v>2523.3622753127756</v>
      </c>
      <c r="K23" s="6">
        <v>2019707</v>
      </c>
      <c r="M23" s="6">
        <f t="shared" si="1"/>
        <v>229139.36227531277</v>
      </c>
      <c r="N23" s="6">
        <f t="shared" si="2"/>
        <v>2019707</v>
      </c>
      <c r="O23" s="6">
        <f t="shared" si="3"/>
        <v>2248846.3622753127</v>
      </c>
      <c r="P23" s="8">
        <f>VLOOKUP(F23,'LEAID Match'!$A$2:$B$436,2,FALSE)</f>
        <v>1801920</v>
      </c>
      <c r="Q23" s="6">
        <f t="shared" si="4"/>
        <v>9</v>
      </c>
      <c r="R23" s="8">
        <v>2015</v>
      </c>
      <c r="S23" s="6">
        <v>211574000</v>
      </c>
      <c r="T23" s="6">
        <v>845616000</v>
      </c>
    </row>
    <row r="24" spans="1:20" x14ac:dyDescent="0.2">
      <c r="A24" s="16">
        <f t="shared" si="0"/>
        <v>1801920</v>
      </c>
      <c r="B24">
        <v>2022</v>
      </c>
      <c r="C24" t="s">
        <v>904</v>
      </c>
      <c r="D24" t="s">
        <v>906</v>
      </c>
      <c r="E24" t="s">
        <v>930</v>
      </c>
      <c r="F24" t="s">
        <v>634</v>
      </c>
      <c r="G24" t="s">
        <v>22</v>
      </c>
      <c r="H24" s="6">
        <v>235236</v>
      </c>
      <c r="I24" s="6">
        <v>1.116944246877707E-3</v>
      </c>
      <c r="J24" s="6">
        <v>2462.8620643653439</v>
      </c>
      <c r="K24" s="6">
        <v>1949331</v>
      </c>
      <c r="M24" s="6">
        <f t="shared" si="1"/>
        <v>237698.86206436536</v>
      </c>
      <c r="N24" s="6">
        <f t="shared" si="2"/>
        <v>1949331</v>
      </c>
      <c r="O24" s="6">
        <f t="shared" si="3"/>
        <v>2187029.8620643653</v>
      </c>
      <c r="P24" s="8">
        <f>VLOOKUP(F24,'LEAID Match'!$A$2:$B$436,2,FALSE)</f>
        <v>1801920</v>
      </c>
      <c r="Q24" s="6">
        <f t="shared" si="4"/>
        <v>9</v>
      </c>
      <c r="R24" s="8">
        <v>2016</v>
      </c>
      <c r="S24" s="6">
        <v>220674000</v>
      </c>
      <c r="T24" s="6">
        <v>887500000</v>
      </c>
    </row>
    <row r="25" spans="1:20" x14ac:dyDescent="0.2">
      <c r="A25" s="16">
        <f t="shared" si="0"/>
        <v>1801920</v>
      </c>
      <c r="B25">
        <v>2023</v>
      </c>
      <c r="C25" t="s">
        <v>904</v>
      </c>
      <c r="D25" t="s">
        <v>906</v>
      </c>
      <c r="E25" t="s">
        <v>931</v>
      </c>
      <c r="F25" t="s">
        <v>634</v>
      </c>
      <c r="G25" t="s">
        <v>22</v>
      </c>
      <c r="H25" s="6">
        <v>250626</v>
      </c>
      <c r="I25" s="6">
        <v>1.0249226329119275E-3</v>
      </c>
      <c r="J25" s="6">
        <v>2528.484135393725</v>
      </c>
      <c r="K25" s="6">
        <v>5067601</v>
      </c>
      <c r="M25" s="6">
        <f t="shared" si="1"/>
        <v>253154.48413539372</v>
      </c>
      <c r="N25" s="6">
        <f t="shared" si="2"/>
        <v>5067601</v>
      </c>
      <c r="O25" s="6">
        <f t="shared" si="3"/>
        <v>5320755.484135394</v>
      </c>
      <c r="P25" s="8">
        <f>VLOOKUP(F25,'LEAID Match'!$A$2:$B$436,2,FALSE)</f>
        <v>1801920</v>
      </c>
      <c r="Q25" s="6">
        <f t="shared" si="4"/>
        <v>9</v>
      </c>
      <c r="R25" s="8">
        <v>2017</v>
      </c>
      <c r="S25" s="6">
        <v>231732000</v>
      </c>
      <c r="T25" s="6">
        <v>871000000</v>
      </c>
    </row>
    <row r="26" spans="1:20" x14ac:dyDescent="0.2">
      <c r="A26" s="16">
        <f t="shared" si="0"/>
        <v>1803940</v>
      </c>
      <c r="B26">
        <v>2015</v>
      </c>
      <c r="C26" t="s">
        <v>904</v>
      </c>
      <c r="D26" t="s">
        <v>906</v>
      </c>
      <c r="E26" t="s">
        <v>932</v>
      </c>
      <c r="F26" t="s">
        <v>635</v>
      </c>
      <c r="G26" t="s">
        <v>23</v>
      </c>
      <c r="H26" s="6">
        <v>2474633</v>
      </c>
      <c r="I26" s="6">
        <v>1.2033415355855091E-2</v>
      </c>
      <c r="J26" s="6">
        <v>69926.176632873932</v>
      </c>
      <c r="K26" s="6">
        <v>10175648.5595567</v>
      </c>
      <c r="M26" s="6">
        <f t="shared" si="1"/>
        <v>2544559.1766328737</v>
      </c>
      <c r="N26" s="6">
        <f t="shared" si="2"/>
        <v>10175648.5595567</v>
      </c>
      <c r="O26" s="6">
        <f t="shared" si="3"/>
        <v>12720207.736189574</v>
      </c>
      <c r="P26" s="8">
        <f>VLOOKUP(F26,'LEAID Match'!$A$2:$B$436,2,FALSE)</f>
        <v>1803940</v>
      </c>
      <c r="Q26" s="6">
        <f t="shared" si="4"/>
        <v>9</v>
      </c>
      <c r="R26" s="8">
        <v>2018</v>
      </c>
      <c r="S26" s="6">
        <v>239987000</v>
      </c>
      <c r="T26" s="6">
        <v>917900000</v>
      </c>
    </row>
    <row r="27" spans="1:20" x14ac:dyDescent="0.2">
      <c r="A27" s="16">
        <f t="shared" si="0"/>
        <v>1803940</v>
      </c>
      <c r="B27">
        <v>2016</v>
      </c>
      <c r="C27" t="s">
        <v>904</v>
      </c>
      <c r="D27" t="s">
        <v>906</v>
      </c>
      <c r="E27" t="s">
        <v>933</v>
      </c>
      <c r="F27" t="s">
        <v>635</v>
      </c>
      <c r="G27" t="s">
        <v>23</v>
      </c>
      <c r="H27" s="6">
        <v>2532561</v>
      </c>
      <c r="I27" s="6">
        <v>1.1751394079658946E-2</v>
      </c>
      <c r="J27" s="6">
        <v>59321.037314118359</v>
      </c>
      <c r="K27" s="6">
        <v>10429362.245697301</v>
      </c>
      <c r="M27" s="6">
        <f t="shared" si="1"/>
        <v>2591882.0373141184</v>
      </c>
      <c r="N27" s="6">
        <f t="shared" si="2"/>
        <v>10429362.245697301</v>
      </c>
      <c r="O27" s="6">
        <f t="shared" si="3"/>
        <v>13021244.28301142</v>
      </c>
      <c r="P27" s="8">
        <f>VLOOKUP(F27,'LEAID Match'!$A$2:$B$436,2,FALSE)</f>
        <v>1803940</v>
      </c>
      <c r="Q27" s="6">
        <f t="shared" si="4"/>
        <v>9</v>
      </c>
      <c r="R27" s="8">
        <v>2019</v>
      </c>
      <c r="S27" s="6">
        <v>396677000</v>
      </c>
      <c r="T27" s="6">
        <v>943900000</v>
      </c>
    </row>
    <row r="28" spans="1:20" x14ac:dyDescent="0.2">
      <c r="A28" s="16">
        <f t="shared" si="0"/>
        <v>1803940</v>
      </c>
      <c r="B28">
        <v>2017</v>
      </c>
      <c r="C28" t="s">
        <v>904</v>
      </c>
      <c r="D28" t="s">
        <v>906</v>
      </c>
      <c r="E28" t="s">
        <v>934</v>
      </c>
      <c r="F28" t="s">
        <v>635</v>
      </c>
      <c r="G28" t="s">
        <v>23</v>
      </c>
      <c r="H28" s="6">
        <v>2564127</v>
      </c>
      <c r="I28" s="6">
        <v>1.1290948130178835E-2</v>
      </c>
      <c r="J28" s="6">
        <v>51091.54028905923</v>
      </c>
      <c r="K28" s="6">
        <v>9834415.8213857599</v>
      </c>
      <c r="M28" s="6">
        <f t="shared" si="1"/>
        <v>2615218.5402890593</v>
      </c>
      <c r="N28" s="6">
        <f t="shared" si="2"/>
        <v>9834415.8213857599</v>
      </c>
      <c r="O28" s="6">
        <f t="shared" si="3"/>
        <v>12449634.361674819</v>
      </c>
      <c r="P28" s="8">
        <f>VLOOKUP(F28,'LEAID Match'!$A$2:$B$436,2,FALSE)</f>
        <v>1803940</v>
      </c>
      <c r="Q28" s="6">
        <f t="shared" si="4"/>
        <v>9</v>
      </c>
      <c r="R28" s="8">
        <v>2020</v>
      </c>
      <c r="S28" s="6">
        <v>191145000</v>
      </c>
      <c r="T28" s="6">
        <v>971132000</v>
      </c>
    </row>
    <row r="29" spans="1:20" x14ac:dyDescent="0.2">
      <c r="A29" s="16">
        <f t="shared" si="0"/>
        <v>1803940</v>
      </c>
      <c r="B29">
        <v>2018</v>
      </c>
      <c r="C29" t="s">
        <v>904</v>
      </c>
      <c r="D29" t="s">
        <v>906</v>
      </c>
      <c r="E29" t="s">
        <v>935</v>
      </c>
      <c r="F29" t="s">
        <v>635</v>
      </c>
      <c r="G29" t="s">
        <v>23</v>
      </c>
      <c r="H29" s="6">
        <v>2582134</v>
      </c>
      <c r="I29" s="6">
        <v>1.0954369933394863E-2</v>
      </c>
      <c r="J29" s="6">
        <v>45657.81388238979</v>
      </c>
      <c r="K29" s="6">
        <v>10231189</v>
      </c>
      <c r="M29" s="6">
        <f t="shared" si="1"/>
        <v>2627791.8138823896</v>
      </c>
      <c r="N29" s="6">
        <f t="shared" si="2"/>
        <v>10231189</v>
      </c>
      <c r="O29" s="6">
        <f t="shared" si="3"/>
        <v>12858980.81388239</v>
      </c>
      <c r="P29" s="8">
        <f>VLOOKUP(F29,'LEAID Match'!$A$2:$B$436,2,FALSE)</f>
        <v>1803940</v>
      </c>
      <c r="Q29" s="6">
        <f t="shared" si="4"/>
        <v>9</v>
      </c>
      <c r="R29" s="8">
        <v>2021</v>
      </c>
      <c r="S29" s="6">
        <v>204743000</v>
      </c>
      <c r="T29" s="6">
        <v>1598375000</v>
      </c>
    </row>
    <row r="30" spans="1:20" x14ac:dyDescent="0.2">
      <c r="A30" s="16">
        <f t="shared" si="0"/>
        <v>1803940</v>
      </c>
      <c r="B30">
        <v>2019</v>
      </c>
      <c r="C30" t="s">
        <v>904</v>
      </c>
      <c r="D30" t="s">
        <v>906</v>
      </c>
      <c r="E30" t="s">
        <v>936</v>
      </c>
      <c r="F30" t="s">
        <v>635</v>
      </c>
      <c r="G30" t="s">
        <v>23</v>
      </c>
      <c r="H30" s="6">
        <v>2653384</v>
      </c>
      <c r="I30" s="6">
        <v>6.7501945055573418E-3</v>
      </c>
      <c r="J30" s="6">
        <v>23659.431741978482</v>
      </c>
      <c r="K30" s="6">
        <v>6371508.5937955696</v>
      </c>
      <c r="M30" s="6">
        <f t="shared" si="1"/>
        <v>2677043.4317419785</v>
      </c>
      <c r="N30" s="6">
        <f t="shared" si="2"/>
        <v>6371508.5937955696</v>
      </c>
      <c r="O30" s="6">
        <f t="shared" si="3"/>
        <v>9048552.0255375486</v>
      </c>
      <c r="P30" s="8">
        <f>VLOOKUP(F30,'LEAID Match'!$A$2:$B$436,2,FALSE)</f>
        <v>1803940</v>
      </c>
      <c r="Q30" s="6">
        <f t="shared" si="4"/>
        <v>9</v>
      </c>
      <c r="R30" s="8">
        <v>2022</v>
      </c>
      <c r="S30" s="6">
        <v>212870000</v>
      </c>
      <c r="T30" s="6">
        <v>1550410000</v>
      </c>
    </row>
    <row r="31" spans="1:20" x14ac:dyDescent="0.2">
      <c r="A31" s="16">
        <f t="shared" si="0"/>
        <v>1803940</v>
      </c>
      <c r="B31">
        <v>2020</v>
      </c>
      <c r="C31" t="s">
        <v>904</v>
      </c>
      <c r="D31" t="s">
        <v>906</v>
      </c>
      <c r="E31" t="s">
        <v>937</v>
      </c>
      <c r="F31" t="s">
        <v>635</v>
      </c>
      <c r="G31" t="s">
        <v>23</v>
      </c>
      <c r="H31" s="6">
        <v>1923174</v>
      </c>
      <c r="I31" s="6">
        <v>1.0190336893001637E-2</v>
      </c>
      <c r="J31" s="6">
        <v>24008.433719911856</v>
      </c>
      <c r="K31" s="6">
        <v>10595827</v>
      </c>
      <c r="M31" s="6">
        <f t="shared" si="1"/>
        <v>1947182.4337199118</v>
      </c>
      <c r="N31" s="6">
        <f t="shared" si="2"/>
        <v>10595827</v>
      </c>
      <c r="O31" s="6">
        <f t="shared" si="3"/>
        <v>12543009.433719913</v>
      </c>
      <c r="P31" s="8">
        <f>VLOOKUP(F31,'LEAID Match'!$A$2:$B$436,2,FALSE)</f>
        <v>1803940</v>
      </c>
      <c r="Q31" s="6">
        <f t="shared" si="4"/>
        <v>9</v>
      </c>
      <c r="R31" s="8"/>
      <c r="S31" s="6"/>
      <c r="T31" s="6"/>
    </row>
    <row r="32" spans="1:20" x14ac:dyDescent="0.2">
      <c r="A32" s="16">
        <f t="shared" si="0"/>
        <v>1803940</v>
      </c>
      <c r="B32">
        <v>2021</v>
      </c>
      <c r="C32" t="s">
        <v>904</v>
      </c>
      <c r="D32" t="s">
        <v>906</v>
      </c>
      <c r="E32" t="s">
        <v>938</v>
      </c>
      <c r="F32" t="s">
        <v>635</v>
      </c>
      <c r="G32" t="s">
        <v>23</v>
      </c>
      <c r="H32" s="6">
        <v>2091906</v>
      </c>
      <c r="I32" s="6">
        <v>1.0334210185020365E-2</v>
      </c>
      <c r="J32" s="6">
        <v>23293.309757035902</v>
      </c>
      <c r="K32" s="6">
        <v>16913365</v>
      </c>
      <c r="M32" s="6">
        <f t="shared" si="1"/>
        <v>2115199.3097570357</v>
      </c>
      <c r="N32" s="6">
        <f t="shared" si="2"/>
        <v>16913365</v>
      </c>
      <c r="O32" s="6">
        <f t="shared" si="3"/>
        <v>19028564.309757035</v>
      </c>
      <c r="P32" s="8">
        <f>VLOOKUP(F32,'LEAID Match'!$A$2:$B$436,2,FALSE)</f>
        <v>1803940</v>
      </c>
      <c r="Q32" s="6">
        <f t="shared" si="4"/>
        <v>9</v>
      </c>
      <c r="R32" s="12" t="s">
        <v>896</v>
      </c>
      <c r="S32" s="12"/>
      <c r="T32" s="12"/>
    </row>
    <row r="33" spans="1:20" x14ac:dyDescent="0.2">
      <c r="A33" s="16">
        <f t="shared" si="0"/>
        <v>1803940</v>
      </c>
      <c r="B33">
        <v>2022</v>
      </c>
      <c r="C33" t="s">
        <v>904</v>
      </c>
      <c r="D33" t="s">
        <v>906</v>
      </c>
      <c r="E33" t="s">
        <v>939</v>
      </c>
      <c r="F33" t="s">
        <v>635</v>
      </c>
      <c r="G33" t="s">
        <v>23</v>
      </c>
      <c r="H33" s="6">
        <v>2081418</v>
      </c>
      <c r="I33" s="6">
        <v>9.882959497898719E-3</v>
      </c>
      <c r="J33" s="6">
        <v>21791.925692866676</v>
      </c>
      <c r="K33" s="6">
        <v>16249541</v>
      </c>
      <c r="M33" s="6">
        <f t="shared" si="1"/>
        <v>2103209.9256928666</v>
      </c>
      <c r="N33" s="6">
        <f t="shared" si="2"/>
        <v>16249541</v>
      </c>
      <c r="O33" s="6">
        <f t="shared" si="3"/>
        <v>18352750.925692867</v>
      </c>
      <c r="P33" s="8">
        <f>VLOOKUP(F33,'LEAID Match'!$A$2:$B$436,2,FALSE)</f>
        <v>1803940</v>
      </c>
      <c r="Q33" s="6">
        <f t="shared" si="4"/>
        <v>9</v>
      </c>
      <c r="R33" s="13">
        <v>2015</v>
      </c>
      <c r="S33" s="14">
        <f>U2-S23</f>
        <v>-116230</v>
      </c>
      <c r="T33" s="14">
        <f>S12-T23</f>
        <v>-1.9073486328125E-6</v>
      </c>
    </row>
    <row r="34" spans="1:20" x14ac:dyDescent="0.2">
      <c r="A34" s="16">
        <f t="shared" si="0"/>
        <v>1803940</v>
      </c>
      <c r="B34">
        <v>2023</v>
      </c>
      <c r="C34" t="s">
        <v>904</v>
      </c>
      <c r="D34" t="s">
        <v>906</v>
      </c>
      <c r="E34" t="s">
        <v>940</v>
      </c>
      <c r="F34" t="s">
        <v>635</v>
      </c>
      <c r="G34" t="s">
        <v>23</v>
      </c>
      <c r="H34" s="6">
        <v>2389147</v>
      </c>
      <c r="I34" s="6">
        <v>9.7702985071526204E-3</v>
      </c>
      <c r="J34" s="6">
        <v>24103.326417145516</v>
      </c>
      <c r="K34" s="6">
        <v>41947252</v>
      </c>
      <c r="M34" s="6">
        <f t="shared" si="1"/>
        <v>2413250.3264171453</v>
      </c>
      <c r="N34" s="6">
        <f t="shared" si="2"/>
        <v>41947252</v>
      </c>
      <c r="O34" s="6">
        <f t="shared" si="3"/>
        <v>44360502.326417148</v>
      </c>
      <c r="P34" s="8">
        <f>VLOOKUP(F34,'LEAID Match'!$A$2:$B$436,2,FALSE)</f>
        <v>1803940</v>
      </c>
      <c r="Q34" s="6">
        <f t="shared" si="4"/>
        <v>9</v>
      </c>
      <c r="R34" s="13">
        <v>2016</v>
      </c>
      <c r="S34" s="14">
        <f t="shared" ref="S34:S40" si="7">U3-S24</f>
        <v>-114463</v>
      </c>
      <c r="T34" s="14">
        <f t="shared" ref="T34:T40" si="8">S13-T24</f>
        <v>-9.5367431640625E-7</v>
      </c>
    </row>
    <row r="35" spans="1:20" x14ac:dyDescent="0.2">
      <c r="A35" s="16">
        <f t="shared" si="0"/>
        <v>1800080</v>
      </c>
      <c r="B35">
        <v>2018</v>
      </c>
      <c r="C35" t="s">
        <v>904</v>
      </c>
      <c r="D35" t="s">
        <v>906</v>
      </c>
      <c r="E35" t="s">
        <v>941</v>
      </c>
      <c r="F35" t="s">
        <v>636</v>
      </c>
      <c r="G35" t="s">
        <v>410</v>
      </c>
      <c r="H35" s="6">
        <v>0</v>
      </c>
      <c r="I35" s="6">
        <v>0</v>
      </c>
      <c r="J35" s="6">
        <v>0</v>
      </c>
      <c r="K35" s="6">
        <v>30382</v>
      </c>
      <c r="M35" s="6">
        <f t="shared" si="1"/>
        <v>0</v>
      </c>
      <c r="N35" s="6">
        <f t="shared" si="2"/>
        <v>30382</v>
      </c>
      <c r="O35" s="6">
        <f t="shared" si="3"/>
        <v>30382</v>
      </c>
      <c r="P35" s="8">
        <f>VLOOKUP(F35,'LEAID Match'!$A$2:$B$436,2,FALSE)</f>
        <v>1800080</v>
      </c>
      <c r="Q35" s="6">
        <f t="shared" si="4"/>
        <v>5</v>
      </c>
      <c r="R35" s="13">
        <v>2017</v>
      </c>
      <c r="S35" s="14">
        <f t="shared" si="7"/>
        <v>-111191</v>
      </c>
      <c r="T35" s="14">
        <f t="shared" si="8"/>
        <v>-2.1457672119140625E-6</v>
      </c>
    </row>
    <row r="36" spans="1:20" x14ac:dyDescent="0.2">
      <c r="A36" s="16">
        <f t="shared" si="0"/>
        <v>1800080</v>
      </c>
      <c r="B36">
        <v>2020</v>
      </c>
      <c r="C36" t="s">
        <v>904</v>
      </c>
      <c r="D36" t="s">
        <v>906</v>
      </c>
      <c r="E36" t="s">
        <v>942</v>
      </c>
      <c r="F36" t="s">
        <v>636</v>
      </c>
      <c r="G36" t="s">
        <v>410</v>
      </c>
      <c r="H36" s="6">
        <v>0</v>
      </c>
      <c r="I36" s="6">
        <v>0</v>
      </c>
      <c r="J36" s="6">
        <v>0</v>
      </c>
      <c r="K36" s="6">
        <v>13693</v>
      </c>
      <c r="M36" s="6">
        <f t="shared" si="1"/>
        <v>0</v>
      </c>
      <c r="N36" s="6">
        <f t="shared" si="2"/>
        <v>13693</v>
      </c>
      <c r="O36" s="6">
        <f t="shared" si="3"/>
        <v>13693</v>
      </c>
      <c r="P36" s="8">
        <f>VLOOKUP(F36,'LEAID Match'!$A$2:$B$436,2,FALSE)</f>
        <v>1800080</v>
      </c>
      <c r="Q36" s="6">
        <f t="shared" si="4"/>
        <v>5</v>
      </c>
      <c r="R36" s="13">
        <v>2018</v>
      </c>
      <c r="S36" s="14">
        <f t="shared" si="7"/>
        <v>-101746</v>
      </c>
      <c r="T36" s="14">
        <f t="shared" si="8"/>
        <v>0</v>
      </c>
    </row>
    <row r="37" spans="1:20" x14ac:dyDescent="0.2">
      <c r="A37" s="16">
        <f t="shared" si="0"/>
        <v>1800080</v>
      </c>
      <c r="B37">
        <v>2021</v>
      </c>
      <c r="C37" t="s">
        <v>904</v>
      </c>
      <c r="D37" t="s">
        <v>906</v>
      </c>
      <c r="E37" t="s">
        <v>943</v>
      </c>
      <c r="F37" t="s">
        <v>636</v>
      </c>
      <c r="G37" t="s">
        <v>410</v>
      </c>
      <c r="H37" s="6" t="s">
        <v>893</v>
      </c>
      <c r="K37" s="6">
        <v>21738</v>
      </c>
      <c r="M37" s="6">
        <f t="shared" si="1"/>
        <v>0</v>
      </c>
      <c r="N37" s="6">
        <f t="shared" si="2"/>
        <v>21738</v>
      </c>
      <c r="O37" s="6">
        <f t="shared" si="3"/>
        <v>21738</v>
      </c>
      <c r="P37" s="8">
        <f>VLOOKUP(F37,'LEAID Match'!$A$2:$B$436,2,FALSE)</f>
        <v>1800080</v>
      </c>
      <c r="Q37" s="6">
        <f t="shared" si="4"/>
        <v>5</v>
      </c>
      <c r="R37" s="13">
        <v>2019</v>
      </c>
      <c r="S37" s="14">
        <f t="shared" si="7"/>
        <v>-89401</v>
      </c>
      <c r="T37" s="14">
        <f t="shared" si="8"/>
        <v>-1.9073486328125E-6</v>
      </c>
    </row>
    <row r="38" spans="1:20" x14ac:dyDescent="0.2">
      <c r="A38" s="16">
        <f t="shared" si="0"/>
        <v>1800080</v>
      </c>
      <c r="B38">
        <v>2022</v>
      </c>
      <c r="C38" t="s">
        <v>904</v>
      </c>
      <c r="D38" t="s">
        <v>906</v>
      </c>
      <c r="E38" t="s">
        <v>944</v>
      </c>
      <c r="F38" t="s">
        <v>636</v>
      </c>
      <c r="G38" t="s">
        <v>410</v>
      </c>
      <c r="H38" s="6" t="s">
        <v>893</v>
      </c>
      <c r="K38" s="6">
        <v>21396</v>
      </c>
      <c r="M38" s="6">
        <f t="shared" si="1"/>
        <v>0</v>
      </c>
      <c r="N38" s="6">
        <f t="shared" si="2"/>
        <v>21396</v>
      </c>
      <c r="O38" s="6">
        <f t="shared" si="3"/>
        <v>21396</v>
      </c>
      <c r="P38" s="8">
        <f>VLOOKUP(F38,'LEAID Match'!$A$2:$B$436,2,FALSE)</f>
        <v>1800080</v>
      </c>
      <c r="Q38" s="6">
        <f t="shared" si="4"/>
        <v>5</v>
      </c>
      <c r="R38" s="13">
        <v>2020</v>
      </c>
      <c r="S38" s="14">
        <f t="shared" si="7"/>
        <v>-63738</v>
      </c>
      <c r="T38" s="14">
        <f t="shared" si="8"/>
        <v>0</v>
      </c>
    </row>
    <row r="39" spans="1:20" x14ac:dyDescent="0.2">
      <c r="A39" s="16">
        <f t="shared" si="0"/>
        <v>1800080</v>
      </c>
      <c r="B39">
        <v>2023</v>
      </c>
      <c r="C39" t="s">
        <v>904</v>
      </c>
      <c r="D39" t="s">
        <v>906</v>
      </c>
      <c r="E39" t="s">
        <v>945</v>
      </c>
      <c r="F39" t="s">
        <v>636</v>
      </c>
      <c r="G39" t="s">
        <v>410</v>
      </c>
      <c r="H39" s="6">
        <v>4050</v>
      </c>
      <c r="I39" s="6">
        <v>1.6562274717281152E-5</v>
      </c>
      <c r="J39" s="6">
        <v>40.859131727532599</v>
      </c>
      <c r="K39" s="6">
        <v>425618</v>
      </c>
      <c r="M39" s="6">
        <f t="shared" si="1"/>
        <v>4090.8591317275327</v>
      </c>
      <c r="N39" s="6">
        <f t="shared" si="2"/>
        <v>425618</v>
      </c>
      <c r="O39" s="6">
        <f t="shared" si="3"/>
        <v>429708.85913172754</v>
      </c>
      <c r="P39" s="8">
        <f>VLOOKUP(F39,'LEAID Match'!$A$2:$B$436,2,FALSE)</f>
        <v>1800080</v>
      </c>
      <c r="Q39" s="6">
        <f t="shared" si="4"/>
        <v>5</v>
      </c>
      <c r="R39" s="13">
        <v>2021</v>
      </c>
      <c r="S39" s="14">
        <f t="shared" si="7"/>
        <v>-63661</v>
      </c>
      <c r="T39" s="14">
        <f t="shared" si="8"/>
        <v>0</v>
      </c>
    </row>
    <row r="40" spans="1:20" x14ac:dyDescent="0.2">
      <c r="A40" s="16">
        <f t="shared" si="0"/>
        <v>1800060</v>
      </c>
      <c r="B40">
        <v>2015</v>
      </c>
      <c r="C40" t="s">
        <v>904</v>
      </c>
      <c r="D40" t="s">
        <v>906</v>
      </c>
      <c r="E40" t="s">
        <v>946</v>
      </c>
      <c r="F40" t="s">
        <v>618</v>
      </c>
      <c r="G40" t="s">
        <v>1</v>
      </c>
      <c r="H40" s="6">
        <v>254564</v>
      </c>
      <c r="I40" s="6">
        <v>1.2378701595945299E-3</v>
      </c>
      <c r="J40" s="6">
        <v>7193.2634974038137</v>
      </c>
      <c r="K40" s="6">
        <v>1046762.81287568</v>
      </c>
      <c r="M40" s="6">
        <f t="shared" si="1"/>
        <v>261757.26349740382</v>
      </c>
      <c r="N40" s="6">
        <f t="shared" si="2"/>
        <v>1046762.81287568</v>
      </c>
      <c r="O40" s="6">
        <f t="shared" si="3"/>
        <v>1308520.076373084</v>
      </c>
      <c r="P40" s="8">
        <f>VLOOKUP(F40,'LEAID Match'!$A$2:$B$436,2,FALSE)</f>
        <v>1800060</v>
      </c>
      <c r="Q40" s="6">
        <f t="shared" si="4"/>
        <v>9</v>
      </c>
      <c r="R40" s="13">
        <v>2022</v>
      </c>
      <c r="S40" s="14">
        <f t="shared" si="7"/>
        <v>-58248</v>
      </c>
      <c r="T40" s="14">
        <f t="shared" si="8"/>
        <v>326</v>
      </c>
    </row>
    <row r="41" spans="1:20" x14ac:dyDescent="0.2">
      <c r="A41" s="16">
        <f t="shared" si="0"/>
        <v>1800060</v>
      </c>
      <c r="B41">
        <v>2016</v>
      </c>
      <c r="C41" t="s">
        <v>904</v>
      </c>
      <c r="D41" t="s">
        <v>906</v>
      </c>
      <c r="E41" t="s">
        <v>947</v>
      </c>
      <c r="F41" t="s">
        <v>618</v>
      </c>
      <c r="G41" t="s">
        <v>1</v>
      </c>
      <c r="H41" s="6">
        <v>258057</v>
      </c>
      <c r="I41" s="6">
        <v>1.1974161735944558E-3</v>
      </c>
      <c r="J41" s="6">
        <v>6044.5568443048132</v>
      </c>
      <c r="K41" s="6">
        <v>1062706.8540650699</v>
      </c>
      <c r="M41" s="6">
        <f t="shared" si="1"/>
        <v>264101.55684430484</v>
      </c>
      <c r="N41" s="6">
        <f t="shared" si="2"/>
        <v>1062706.8540650699</v>
      </c>
      <c r="O41" s="6">
        <f t="shared" si="3"/>
        <v>1326808.4109093747</v>
      </c>
      <c r="P41" s="8">
        <f>VLOOKUP(F41,'LEAID Match'!$A$2:$B$436,2,FALSE)</f>
        <v>1800060</v>
      </c>
      <c r="Q41" s="6">
        <f t="shared" si="4"/>
        <v>9</v>
      </c>
    </row>
    <row r="42" spans="1:20" x14ac:dyDescent="0.2">
      <c r="A42" s="16">
        <f t="shared" si="0"/>
        <v>1800060</v>
      </c>
      <c r="B42">
        <v>2017</v>
      </c>
      <c r="C42" t="s">
        <v>904</v>
      </c>
      <c r="D42" t="s">
        <v>906</v>
      </c>
      <c r="E42" t="s">
        <v>948</v>
      </c>
      <c r="F42" t="s">
        <v>618</v>
      </c>
      <c r="G42" t="s">
        <v>1</v>
      </c>
      <c r="H42" s="6">
        <v>260743</v>
      </c>
      <c r="I42" s="6">
        <v>1.1481629764466504E-3</v>
      </c>
      <c r="J42" s="6">
        <v>5195.4374684210934</v>
      </c>
      <c r="K42" s="6">
        <v>1000049.9524850301</v>
      </c>
      <c r="M42" s="6">
        <f t="shared" si="1"/>
        <v>265938.43746842112</v>
      </c>
      <c r="N42" s="6">
        <f t="shared" si="2"/>
        <v>1000049.9524850301</v>
      </c>
      <c r="O42" s="6">
        <f t="shared" si="3"/>
        <v>1265988.3899534512</v>
      </c>
      <c r="P42" s="8">
        <f>VLOOKUP(F42,'LEAID Match'!$A$2:$B$436,2,FALSE)</f>
        <v>1800060</v>
      </c>
      <c r="Q42" s="6">
        <f t="shared" si="4"/>
        <v>9</v>
      </c>
      <c r="S42" s="11"/>
    </row>
    <row r="43" spans="1:20" x14ac:dyDescent="0.2">
      <c r="A43" s="16">
        <f t="shared" si="0"/>
        <v>1800060</v>
      </c>
      <c r="B43">
        <v>2018</v>
      </c>
      <c r="C43" t="s">
        <v>904</v>
      </c>
      <c r="D43" t="s">
        <v>906</v>
      </c>
      <c r="E43" t="s">
        <v>949</v>
      </c>
      <c r="F43" t="s">
        <v>618</v>
      </c>
      <c r="G43" t="s">
        <v>1</v>
      </c>
      <c r="H43" s="6">
        <v>284657</v>
      </c>
      <c r="I43" s="6">
        <v>1.2076205503395183E-3</v>
      </c>
      <c r="J43" s="6">
        <v>5033.3624538151125</v>
      </c>
      <c r="K43" s="6">
        <v>1051363</v>
      </c>
      <c r="M43" s="6">
        <f t="shared" si="1"/>
        <v>289690.36245381512</v>
      </c>
      <c r="N43" s="6">
        <f t="shared" si="2"/>
        <v>1051363</v>
      </c>
      <c r="O43" s="6">
        <f t="shared" si="3"/>
        <v>1341053.3624538151</v>
      </c>
      <c r="P43" s="8">
        <f>VLOOKUP(F43,'LEAID Match'!$A$2:$B$436,2,FALSE)</f>
        <v>1800060</v>
      </c>
      <c r="Q43" s="6">
        <f t="shared" si="4"/>
        <v>9</v>
      </c>
    </row>
    <row r="44" spans="1:20" x14ac:dyDescent="0.2">
      <c r="A44" s="16">
        <f t="shared" si="0"/>
        <v>1800060</v>
      </c>
      <c r="B44">
        <v>2019</v>
      </c>
      <c r="C44" t="s">
        <v>904</v>
      </c>
      <c r="D44" t="s">
        <v>906</v>
      </c>
      <c r="E44" t="s">
        <v>950</v>
      </c>
      <c r="F44" t="s">
        <v>618</v>
      </c>
      <c r="G44" t="s">
        <v>1</v>
      </c>
      <c r="H44" s="6">
        <v>297694</v>
      </c>
      <c r="I44" s="6">
        <v>7.5733192147739924E-4</v>
      </c>
      <c r="J44" s="6">
        <v>2654.4483847782844</v>
      </c>
      <c r="K44" s="6">
        <v>714845.60068251705</v>
      </c>
      <c r="M44" s="6">
        <f t="shared" si="1"/>
        <v>300348.44838477828</v>
      </c>
      <c r="N44" s="6">
        <f t="shared" si="2"/>
        <v>714845.60068251705</v>
      </c>
      <c r="O44" s="6">
        <f t="shared" si="3"/>
        <v>1015194.0490672954</v>
      </c>
      <c r="P44" s="8">
        <f>VLOOKUP(F44,'LEAID Match'!$A$2:$B$436,2,FALSE)</f>
        <v>1800060</v>
      </c>
      <c r="Q44" s="6">
        <f t="shared" si="4"/>
        <v>9</v>
      </c>
    </row>
    <row r="45" spans="1:20" x14ac:dyDescent="0.2">
      <c r="A45" s="16">
        <f t="shared" si="0"/>
        <v>1800060</v>
      </c>
      <c r="B45">
        <v>2020</v>
      </c>
      <c r="C45" t="s">
        <v>904</v>
      </c>
      <c r="D45" t="s">
        <v>906</v>
      </c>
      <c r="E45" t="s">
        <v>951</v>
      </c>
      <c r="F45" t="s">
        <v>618</v>
      </c>
      <c r="G45" t="s">
        <v>1</v>
      </c>
      <c r="H45" s="6">
        <v>239809</v>
      </c>
      <c r="I45" s="6">
        <v>1.2706777961712407E-3</v>
      </c>
      <c r="J45" s="6">
        <v>2993.7168877794429</v>
      </c>
      <c r="K45" s="6">
        <v>1148655</v>
      </c>
      <c r="M45" s="6">
        <f t="shared" si="1"/>
        <v>242802.71688777945</v>
      </c>
      <c r="N45" s="6">
        <f t="shared" si="2"/>
        <v>1148655</v>
      </c>
      <c r="O45" s="6">
        <f t="shared" si="3"/>
        <v>1391457.7168877795</v>
      </c>
      <c r="P45" s="8">
        <f>VLOOKUP(F45,'LEAID Match'!$A$2:$B$436,2,FALSE)</f>
        <v>1800060</v>
      </c>
      <c r="Q45" s="6">
        <f t="shared" si="4"/>
        <v>9</v>
      </c>
    </row>
    <row r="46" spans="1:20" x14ac:dyDescent="0.2">
      <c r="A46" s="16">
        <f t="shared" si="0"/>
        <v>1800060</v>
      </c>
      <c r="B46">
        <v>2021</v>
      </c>
      <c r="C46" t="s">
        <v>904</v>
      </c>
      <c r="D46" t="s">
        <v>906</v>
      </c>
      <c r="E46" t="s">
        <v>952</v>
      </c>
      <c r="F46" t="s">
        <v>618</v>
      </c>
      <c r="G46" t="s">
        <v>1</v>
      </c>
      <c r="H46" s="6">
        <v>267406</v>
      </c>
      <c r="I46" s="6">
        <v>1.3210105084719656E-3</v>
      </c>
      <c r="J46" s="6">
        <v>2977.5576860958104</v>
      </c>
      <c r="K46" s="6">
        <v>1833176</v>
      </c>
      <c r="M46" s="6">
        <f t="shared" si="1"/>
        <v>270383.55768609582</v>
      </c>
      <c r="N46" s="6">
        <f t="shared" si="2"/>
        <v>1833176</v>
      </c>
      <c r="O46" s="6">
        <f t="shared" si="3"/>
        <v>2103559.5576860961</v>
      </c>
      <c r="P46" s="8">
        <f>VLOOKUP(F46,'LEAID Match'!$A$2:$B$436,2,FALSE)</f>
        <v>1800060</v>
      </c>
      <c r="Q46" s="6">
        <f t="shared" si="4"/>
        <v>9</v>
      </c>
    </row>
    <row r="47" spans="1:20" x14ac:dyDescent="0.2">
      <c r="A47" s="16">
        <f t="shared" si="0"/>
        <v>1800060</v>
      </c>
      <c r="B47">
        <v>2022</v>
      </c>
      <c r="C47" t="s">
        <v>904</v>
      </c>
      <c r="D47" t="s">
        <v>906</v>
      </c>
      <c r="E47" t="s">
        <v>953</v>
      </c>
      <c r="F47" t="s">
        <v>618</v>
      </c>
      <c r="G47" t="s">
        <v>1</v>
      </c>
      <c r="H47" s="6">
        <v>285548</v>
      </c>
      <c r="I47" s="6">
        <v>1.3558349734200355E-3</v>
      </c>
      <c r="J47" s="6">
        <v>2989.6161163911784</v>
      </c>
      <c r="K47" s="6">
        <v>1733204</v>
      </c>
      <c r="M47" s="6">
        <f t="shared" si="1"/>
        <v>288537.6161163912</v>
      </c>
      <c r="N47" s="6">
        <f t="shared" si="2"/>
        <v>1733204</v>
      </c>
      <c r="O47" s="6">
        <f t="shared" si="3"/>
        <v>2021741.6161163913</v>
      </c>
      <c r="P47" s="8">
        <f>VLOOKUP(F47,'LEAID Match'!$A$2:$B$436,2,FALSE)</f>
        <v>1800060</v>
      </c>
      <c r="Q47" s="6">
        <f t="shared" si="4"/>
        <v>9</v>
      </c>
    </row>
    <row r="48" spans="1:20" x14ac:dyDescent="0.2">
      <c r="A48" s="16">
        <f t="shared" si="0"/>
        <v>1800060</v>
      </c>
      <c r="B48">
        <v>2023</v>
      </c>
      <c r="C48" t="s">
        <v>904</v>
      </c>
      <c r="D48" t="s">
        <v>906</v>
      </c>
      <c r="E48" t="s">
        <v>954</v>
      </c>
      <c r="F48" t="s">
        <v>618</v>
      </c>
      <c r="G48" t="s">
        <v>1</v>
      </c>
      <c r="H48" s="6">
        <v>325863</v>
      </c>
      <c r="I48" s="6">
        <v>1.3326006237524416E-3</v>
      </c>
      <c r="J48" s="6">
        <v>3287.5257387972733</v>
      </c>
      <c r="K48" s="6">
        <v>4263375</v>
      </c>
      <c r="M48" s="6">
        <f t="shared" si="1"/>
        <v>329150.52573879727</v>
      </c>
      <c r="N48" s="6">
        <f t="shared" si="2"/>
        <v>4263375</v>
      </c>
      <c r="O48" s="6">
        <f t="shared" si="3"/>
        <v>4592525.5257387972</v>
      </c>
      <c r="P48" s="8">
        <f>VLOOKUP(F48,'LEAID Match'!$A$2:$B$436,2,FALSE)</f>
        <v>1800060</v>
      </c>
      <c r="Q48" s="6">
        <f t="shared" si="4"/>
        <v>9</v>
      </c>
    </row>
    <row r="49" spans="1:17" x14ac:dyDescent="0.2">
      <c r="A49" s="16">
        <f t="shared" si="0"/>
        <v>1810260</v>
      </c>
      <c r="B49">
        <v>2015</v>
      </c>
      <c r="C49" t="s">
        <v>904</v>
      </c>
      <c r="D49" t="s">
        <v>906</v>
      </c>
      <c r="E49" t="s">
        <v>955</v>
      </c>
      <c r="F49" t="s">
        <v>457</v>
      </c>
      <c r="G49" t="s">
        <v>2</v>
      </c>
      <c r="H49" s="6">
        <v>238738</v>
      </c>
      <c r="I49" s="6">
        <v>1.1609129576895373E-3</v>
      </c>
      <c r="J49" s="6">
        <v>6746.0651971339012</v>
      </c>
      <c r="K49" s="6">
        <v>981686.57162959501</v>
      </c>
      <c r="M49" s="6">
        <f t="shared" si="1"/>
        <v>245484.0651971339</v>
      </c>
      <c r="N49" s="6">
        <f t="shared" si="2"/>
        <v>981686.57162959501</v>
      </c>
      <c r="O49" s="6">
        <f t="shared" si="3"/>
        <v>1227170.6368267289</v>
      </c>
      <c r="P49" s="8">
        <f>VLOOKUP(F49,'LEAID Match'!$A$2:$B$436,2,FALSE)</f>
        <v>1810260</v>
      </c>
      <c r="Q49" s="6">
        <f t="shared" si="4"/>
        <v>9</v>
      </c>
    </row>
    <row r="50" spans="1:17" x14ac:dyDescent="0.2">
      <c r="A50" s="16">
        <f t="shared" si="0"/>
        <v>1810260</v>
      </c>
      <c r="B50">
        <v>2016</v>
      </c>
      <c r="C50" t="s">
        <v>904</v>
      </c>
      <c r="D50" t="s">
        <v>906</v>
      </c>
      <c r="E50" t="s">
        <v>956</v>
      </c>
      <c r="F50" t="s">
        <v>457</v>
      </c>
      <c r="G50" t="s">
        <v>2</v>
      </c>
      <c r="H50" s="6">
        <v>236383</v>
      </c>
      <c r="I50" s="6">
        <v>1.0968461516749333E-3</v>
      </c>
      <c r="J50" s="6">
        <v>5536.8793736550633</v>
      </c>
      <c r="K50" s="6">
        <v>973450.95961150306</v>
      </c>
      <c r="M50" s="6">
        <f t="shared" si="1"/>
        <v>241919.87937365507</v>
      </c>
      <c r="N50" s="6">
        <f t="shared" si="2"/>
        <v>973450.95961150306</v>
      </c>
      <c r="O50" s="6">
        <f t="shared" si="3"/>
        <v>1215370.8389851581</v>
      </c>
      <c r="P50" s="8">
        <f>VLOOKUP(F50,'LEAID Match'!$A$2:$B$436,2,FALSE)</f>
        <v>1810260</v>
      </c>
      <c r="Q50" s="6">
        <f t="shared" si="4"/>
        <v>9</v>
      </c>
    </row>
    <row r="51" spans="1:17" x14ac:dyDescent="0.2">
      <c r="A51" s="16">
        <f t="shared" si="0"/>
        <v>1810260</v>
      </c>
      <c r="B51">
        <v>2017</v>
      </c>
      <c r="C51" t="s">
        <v>904</v>
      </c>
      <c r="D51" t="s">
        <v>906</v>
      </c>
      <c r="E51" t="s">
        <v>957</v>
      </c>
      <c r="F51" t="s">
        <v>457</v>
      </c>
      <c r="G51" t="s">
        <v>2</v>
      </c>
      <c r="H51" s="6">
        <v>240447</v>
      </c>
      <c r="I51" s="6">
        <v>1.0587910056939888E-3</v>
      </c>
      <c r="J51" s="6">
        <v>4791.029300765299</v>
      </c>
      <c r="K51" s="6">
        <v>922206.96595946397</v>
      </c>
      <c r="M51" s="6">
        <f t="shared" si="1"/>
        <v>245238.02930076531</v>
      </c>
      <c r="N51" s="6">
        <f t="shared" si="2"/>
        <v>922206.96595946397</v>
      </c>
      <c r="O51" s="6">
        <f t="shared" si="3"/>
        <v>1167444.9952602293</v>
      </c>
      <c r="P51" s="8">
        <f>VLOOKUP(F51,'LEAID Match'!$A$2:$B$436,2,FALSE)</f>
        <v>1810260</v>
      </c>
      <c r="Q51" s="6">
        <f t="shared" si="4"/>
        <v>9</v>
      </c>
    </row>
    <row r="52" spans="1:17" x14ac:dyDescent="0.2">
      <c r="A52" s="16">
        <f t="shared" si="0"/>
        <v>1810260</v>
      </c>
      <c r="B52">
        <v>2018</v>
      </c>
      <c r="C52" t="s">
        <v>904</v>
      </c>
      <c r="D52" t="s">
        <v>906</v>
      </c>
      <c r="E52" t="s">
        <v>958</v>
      </c>
      <c r="F52" t="s">
        <v>457</v>
      </c>
      <c r="G52" t="s">
        <v>2</v>
      </c>
      <c r="H52" s="6">
        <v>249440</v>
      </c>
      <c r="I52" s="6">
        <v>1.0582169771925138E-3</v>
      </c>
      <c r="J52" s="6">
        <v>4410.6483609383977</v>
      </c>
      <c r="K52" s="6">
        <v>1493790</v>
      </c>
      <c r="M52" s="6">
        <f t="shared" si="1"/>
        <v>253850.64836093839</v>
      </c>
      <c r="N52" s="6">
        <f t="shared" si="2"/>
        <v>1493790</v>
      </c>
      <c r="O52" s="6">
        <f t="shared" si="3"/>
        <v>1747640.6483609383</v>
      </c>
      <c r="P52" s="8">
        <f>VLOOKUP(F52,'LEAID Match'!$A$2:$B$436,2,FALSE)</f>
        <v>1810260</v>
      </c>
      <c r="Q52" s="6">
        <f t="shared" si="4"/>
        <v>9</v>
      </c>
    </row>
    <row r="53" spans="1:17" x14ac:dyDescent="0.2">
      <c r="A53" s="16">
        <f t="shared" si="0"/>
        <v>1810260</v>
      </c>
      <c r="B53">
        <v>2019</v>
      </c>
      <c r="C53" t="s">
        <v>904</v>
      </c>
      <c r="D53" t="s">
        <v>906</v>
      </c>
      <c r="E53" t="s">
        <v>959</v>
      </c>
      <c r="F53" t="s">
        <v>457</v>
      </c>
      <c r="G53" t="s">
        <v>2</v>
      </c>
      <c r="H53" s="6">
        <v>272658</v>
      </c>
      <c r="I53" s="6">
        <v>6.9364047325839529E-4</v>
      </c>
      <c r="J53" s="6">
        <v>2431.2098587706755</v>
      </c>
      <c r="K53" s="6">
        <v>654727.24270859896</v>
      </c>
      <c r="M53" s="6">
        <f t="shared" si="1"/>
        <v>275089.20985877066</v>
      </c>
      <c r="N53" s="6">
        <f t="shared" si="2"/>
        <v>654727.24270859896</v>
      </c>
      <c r="O53" s="6">
        <f t="shared" si="3"/>
        <v>929816.45256736968</v>
      </c>
      <c r="P53" s="8">
        <f>VLOOKUP(F53,'LEAID Match'!$A$2:$B$436,2,FALSE)</f>
        <v>1810260</v>
      </c>
      <c r="Q53" s="6">
        <f t="shared" si="4"/>
        <v>9</v>
      </c>
    </row>
    <row r="54" spans="1:17" x14ac:dyDescent="0.2">
      <c r="A54" s="16">
        <f t="shared" si="0"/>
        <v>1810260</v>
      </c>
      <c r="B54">
        <v>2020</v>
      </c>
      <c r="C54" t="s">
        <v>904</v>
      </c>
      <c r="D54" t="s">
        <v>906</v>
      </c>
      <c r="E54" t="s">
        <v>960</v>
      </c>
      <c r="F54" t="s">
        <v>457</v>
      </c>
      <c r="G54" t="s">
        <v>2</v>
      </c>
      <c r="H54" s="6">
        <v>205974</v>
      </c>
      <c r="I54" s="6">
        <v>1.0913960209524044E-3</v>
      </c>
      <c r="J54" s="6">
        <v>2571.3290253638647</v>
      </c>
      <c r="K54" s="6">
        <v>1592948</v>
      </c>
      <c r="M54" s="6">
        <f t="shared" si="1"/>
        <v>208545.32902536387</v>
      </c>
      <c r="N54" s="6">
        <f t="shared" si="2"/>
        <v>1592948</v>
      </c>
      <c r="O54" s="6">
        <f t="shared" si="3"/>
        <v>1801493.3290253638</v>
      </c>
      <c r="P54" s="8">
        <f>VLOOKUP(F54,'LEAID Match'!$A$2:$B$436,2,FALSE)</f>
        <v>1810260</v>
      </c>
      <c r="Q54" s="6">
        <f t="shared" si="4"/>
        <v>9</v>
      </c>
    </row>
    <row r="55" spans="1:17" x14ac:dyDescent="0.2">
      <c r="A55" s="16">
        <f t="shared" si="0"/>
        <v>1810260</v>
      </c>
      <c r="B55">
        <v>2021</v>
      </c>
      <c r="C55" t="s">
        <v>904</v>
      </c>
      <c r="D55" t="s">
        <v>906</v>
      </c>
      <c r="E55" t="s">
        <v>961</v>
      </c>
      <c r="F55" t="s">
        <v>457</v>
      </c>
      <c r="G55" t="s">
        <v>2</v>
      </c>
      <c r="H55" s="6">
        <v>241987</v>
      </c>
      <c r="I55" s="6">
        <v>1.1954382845321553E-3</v>
      </c>
      <c r="J55" s="6">
        <v>2694.5178933354778</v>
      </c>
      <c r="K55" s="6">
        <v>2675040</v>
      </c>
      <c r="M55" s="6">
        <f t="shared" si="1"/>
        <v>244681.51789333549</v>
      </c>
      <c r="N55" s="6">
        <f t="shared" si="2"/>
        <v>2675040</v>
      </c>
      <c r="O55" s="6">
        <f t="shared" si="3"/>
        <v>2919721.5178933353</v>
      </c>
      <c r="P55" s="8">
        <f>VLOOKUP(F55,'LEAID Match'!$A$2:$B$436,2,FALSE)</f>
        <v>1810260</v>
      </c>
      <c r="Q55" s="6">
        <f t="shared" si="4"/>
        <v>9</v>
      </c>
    </row>
    <row r="56" spans="1:17" x14ac:dyDescent="0.2">
      <c r="A56" s="16">
        <f t="shared" si="0"/>
        <v>1810260</v>
      </c>
      <c r="B56">
        <v>2022</v>
      </c>
      <c r="C56" t="s">
        <v>904</v>
      </c>
      <c r="D56" t="s">
        <v>906</v>
      </c>
      <c r="E56" t="s">
        <v>962</v>
      </c>
      <c r="F56" t="s">
        <v>457</v>
      </c>
      <c r="G56" t="s">
        <v>2</v>
      </c>
      <c r="H56" s="6">
        <v>254165</v>
      </c>
      <c r="I56" s="6">
        <v>1.2068226568538506E-3</v>
      </c>
      <c r="J56" s="6">
        <v>2661.0439583627403</v>
      </c>
      <c r="K56" s="6">
        <v>2531975</v>
      </c>
      <c r="M56" s="6">
        <f t="shared" si="1"/>
        <v>256826.04395836274</v>
      </c>
      <c r="N56" s="6">
        <f t="shared" si="2"/>
        <v>2531975</v>
      </c>
      <c r="O56" s="6">
        <f t="shared" si="3"/>
        <v>2788801.0439583627</v>
      </c>
      <c r="P56" s="8">
        <f>VLOOKUP(F56,'LEAID Match'!$A$2:$B$436,2,FALSE)</f>
        <v>1810260</v>
      </c>
      <c r="Q56" s="6">
        <f t="shared" si="4"/>
        <v>9</v>
      </c>
    </row>
    <row r="57" spans="1:17" x14ac:dyDescent="0.2">
      <c r="A57" s="16">
        <f t="shared" si="0"/>
        <v>1810260</v>
      </c>
      <c r="B57">
        <v>2023</v>
      </c>
      <c r="C57" t="s">
        <v>904</v>
      </c>
      <c r="D57" t="s">
        <v>906</v>
      </c>
      <c r="E57" t="s">
        <v>963</v>
      </c>
      <c r="F57" t="s">
        <v>457</v>
      </c>
      <c r="G57" t="s">
        <v>2</v>
      </c>
      <c r="H57" s="6">
        <v>292355</v>
      </c>
      <c r="I57" s="6">
        <v>1.1955713148075881E-3</v>
      </c>
      <c r="J57" s="6">
        <v>2949.4744336303197</v>
      </c>
      <c r="K57" s="6">
        <v>7309610</v>
      </c>
      <c r="M57" s="6">
        <f t="shared" si="1"/>
        <v>295304.4744336303</v>
      </c>
      <c r="N57" s="6">
        <f t="shared" si="2"/>
        <v>7309610</v>
      </c>
      <c r="O57" s="6">
        <f t="shared" si="3"/>
        <v>7604914.4744336307</v>
      </c>
      <c r="P57" s="8">
        <f>VLOOKUP(F57,'LEAID Match'!$A$2:$B$436,2,FALSE)</f>
        <v>1810260</v>
      </c>
      <c r="Q57" s="6">
        <f t="shared" si="4"/>
        <v>9</v>
      </c>
    </row>
    <row r="58" spans="1:17" x14ac:dyDescent="0.2">
      <c r="A58" s="16">
        <f t="shared" si="0"/>
        <v>1807680</v>
      </c>
      <c r="B58">
        <v>2015</v>
      </c>
      <c r="C58" t="s">
        <v>904</v>
      </c>
      <c r="D58" t="s">
        <v>906</v>
      </c>
      <c r="E58" t="s">
        <v>964</v>
      </c>
      <c r="F58" t="s">
        <v>619</v>
      </c>
      <c r="G58" t="s">
        <v>3</v>
      </c>
      <c r="H58" s="6">
        <v>314519</v>
      </c>
      <c r="I58" s="6">
        <v>1.5294137612761921E-3</v>
      </c>
      <c r="J58" s="6">
        <v>8887.4233667759527</v>
      </c>
      <c r="K58" s="6">
        <v>1293296.7471553199</v>
      </c>
      <c r="M58" s="6">
        <f t="shared" si="1"/>
        <v>323406.42336677597</v>
      </c>
      <c r="N58" s="6">
        <f t="shared" si="2"/>
        <v>1293296.7471553199</v>
      </c>
      <c r="O58" s="6">
        <f t="shared" si="3"/>
        <v>1616703.1705220959</v>
      </c>
      <c r="P58" s="8">
        <f>VLOOKUP(F58,'LEAID Match'!$A$2:$B$436,2,FALSE)</f>
        <v>1807680</v>
      </c>
      <c r="Q58" s="6">
        <f t="shared" si="4"/>
        <v>9</v>
      </c>
    </row>
    <row r="59" spans="1:17" x14ac:dyDescent="0.2">
      <c r="A59" s="16">
        <f t="shared" si="0"/>
        <v>1807680</v>
      </c>
      <c r="B59">
        <v>2016</v>
      </c>
      <c r="C59" t="s">
        <v>904</v>
      </c>
      <c r="D59" t="s">
        <v>906</v>
      </c>
      <c r="E59" t="s">
        <v>965</v>
      </c>
      <c r="F59" t="s">
        <v>619</v>
      </c>
      <c r="G59" t="s">
        <v>3</v>
      </c>
      <c r="H59" s="6">
        <v>318072</v>
      </c>
      <c r="I59" s="6">
        <v>1.4758931444120321E-3</v>
      </c>
      <c r="J59" s="6">
        <v>7450.308592991938</v>
      </c>
      <c r="K59" s="6">
        <v>1309855.1656656701</v>
      </c>
      <c r="M59" s="6">
        <f t="shared" si="1"/>
        <v>325522.30859299196</v>
      </c>
      <c r="N59" s="6">
        <f t="shared" si="2"/>
        <v>1309855.1656656701</v>
      </c>
      <c r="O59" s="6">
        <f t="shared" si="3"/>
        <v>1635377.474258662</v>
      </c>
      <c r="P59" s="8">
        <f>VLOOKUP(F59,'LEAID Match'!$A$2:$B$436,2,FALSE)</f>
        <v>1807680</v>
      </c>
      <c r="Q59" s="6">
        <f t="shared" si="4"/>
        <v>9</v>
      </c>
    </row>
    <row r="60" spans="1:17" x14ac:dyDescent="0.2">
      <c r="A60" s="16">
        <f t="shared" si="0"/>
        <v>1807680</v>
      </c>
      <c r="B60">
        <v>2017</v>
      </c>
      <c r="C60" t="s">
        <v>904</v>
      </c>
      <c r="D60" t="s">
        <v>906</v>
      </c>
      <c r="E60" t="s">
        <v>966</v>
      </c>
      <c r="F60" t="s">
        <v>619</v>
      </c>
      <c r="G60" t="s">
        <v>3</v>
      </c>
      <c r="H60" s="6">
        <v>320882</v>
      </c>
      <c r="I60" s="6">
        <v>1.4129807212778639E-3</v>
      </c>
      <c r="J60" s="6">
        <v>6393.7377637823338</v>
      </c>
      <c r="K60" s="6">
        <v>1230706.20823302</v>
      </c>
      <c r="M60" s="6">
        <f t="shared" si="1"/>
        <v>327275.73776378232</v>
      </c>
      <c r="N60" s="6">
        <f t="shared" si="2"/>
        <v>1230706.20823302</v>
      </c>
      <c r="O60" s="6">
        <f t="shared" si="3"/>
        <v>1557981.9459968023</v>
      </c>
      <c r="P60" s="8">
        <f>VLOOKUP(F60,'LEAID Match'!$A$2:$B$436,2,FALSE)</f>
        <v>1807680</v>
      </c>
      <c r="Q60" s="6">
        <f t="shared" si="4"/>
        <v>9</v>
      </c>
    </row>
    <row r="61" spans="1:17" x14ac:dyDescent="0.2">
      <c r="A61" s="16">
        <f t="shared" si="0"/>
        <v>1807680</v>
      </c>
      <c r="B61">
        <v>2018</v>
      </c>
      <c r="C61" t="s">
        <v>904</v>
      </c>
      <c r="D61" t="s">
        <v>906</v>
      </c>
      <c r="E61" t="s">
        <v>967</v>
      </c>
      <c r="F61" t="s">
        <v>619</v>
      </c>
      <c r="G61" t="s">
        <v>3</v>
      </c>
      <c r="H61" s="6">
        <v>346247</v>
      </c>
      <c r="I61" s="6">
        <v>1.4689081691067044E-3</v>
      </c>
      <c r="J61" s="6">
        <v>6122.4092488367442</v>
      </c>
      <c r="K61" s="6">
        <v>2219574</v>
      </c>
      <c r="M61" s="6">
        <f t="shared" si="1"/>
        <v>352369.40924883675</v>
      </c>
      <c r="N61" s="6">
        <f t="shared" si="2"/>
        <v>2219574</v>
      </c>
      <c r="O61" s="6">
        <f t="shared" si="3"/>
        <v>2571943.4092488368</v>
      </c>
      <c r="P61" s="8">
        <f>VLOOKUP(F61,'LEAID Match'!$A$2:$B$436,2,FALSE)</f>
        <v>1807680</v>
      </c>
      <c r="Q61" s="6">
        <f t="shared" si="4"/>
        <v>9</v>
      </c>
    </row>
    <row r="62" spans="1:17" x14ac:dyDescent="0.2">
      <c r="A62" s="16">
        <f t="shared" si="0"/>
        <v>1807680</v>
      </c>
      <c r="B62">
        <v>2019</v>
      </c>
      <c r="C62" t="s">
        <v>904</v>
      </c>
      <c r="D62" t="s">
        <v>906</v>
      </c>
      <c r="E62" t="s">
        <v>968</v>
      </c>
      <c r="F62" t="s">
        <v>619</v>
      </c>
      <c r="G62" t="s">
        <v>3</v>
      </c>
      <c r="H62" s="6">
        <v>376478</v>
      </c>
      <c r="I62" s="6">
        <v>9.5775799019788208E-4</v>
      </c>
      <c r="J62" s="6">
        <v>3356.9417556435765</v>
      </c>
      <c r="K62" s="6">
        <v>904027.76694778004</v>
      </c>
      <c r="M62" s="6">
        <f t="shared" si="1"/>
        <v>379834.94175564358</v>
      </c>
      <c r="N62" s="6">
        <f t="shared" si="2"/>
        <v>904027.76694778004</v>
      </c>
      <c r="O62" s="6">
        <f t="shared" si="3"/>
        <v>1283862.7087034236</v>
      </c>
      <c r="P62" s="8">
        <f>VLOOKUP(F62,'LEAID Match'!$A$2:$B$436,2,FALSE)</f>
        <v>1807680</v>
      </c>
      <c r="Q62" s="6">
        <f t="shared" si="4"/>
        <v>9</v>
      </c>
    </row>
    <row r="63" spans="1:17" x14ac:dyDescent="0.2">
      <c r="A63" s="16">
        <f t="shared" si="0"/>
        <v>1807680</v>
      </c>
      <c r="B63">
        <v>2020</v>
      </c>
      <c r="C63" t="s">
        <v>904</v>
      </c>
      <c r="D63" t="s">
        <v>906</v>
      </c>
      <c r="E63" t="s">
        <v>969</v>
      </c>
      <c r="F63" t="s">
        <v>619</v>
      </c>
      <c r="G63" t="s">
        <v>3</v>
      </c>
      <c r="H63" s="6">
        <v>293352</v>
      </c>
      <c r="I63" s="6">
        <v>1.5543865028519606E-3</v>
      </c>
      <c r="J63" s="6">
        <v>3662.1346007192192</v>
      </c>
      <c r="K63" s="6">
        <v>2338874</v>
      </c>
      <c r="M63" s="6">
        <f t="shared" si="1"/>
        <v>297014.1346007192</v>
      </c>
      <c r="N63" s="6">
        <f t="shared" si="2"/>
        <v>2338874</v>
      </c>
      <c r="O63" s="6">
        <f t="shared" si="3"/>
        <v>2635888.1346007194</v>
      </c>
      <c r="P63" s="8">
        <f>VLOOKUP(F63,'LEAID Match'!$A$2:$B$436,2,FALSE)</f>
        <v>1807680</v>
      </c>
      <c r="Q63" s="6">
        <f t="shared" si="4"/>
        <v>9</v>
      </c>
    </row>
    <row r="64" spans="1:17" x14ac:dyDescent="0.2">
      <c r="A64" s="16">
        <f t="shared" si="0"/>
        <v>1807680</v>
      </c>
      <c r="B64">
        <v>2021</v>
      </c>
      <c r="C64" t="s">
        <v>904</v>
      </c>
      <c r="D64" t="s">
        <v>906</v>
      </c>
      <c r="E64" t="s">
        <v>970</v>
      </c>
      <c r="F64" t="s">
        <v>619</v>
      </c>
      <c r="G64" t="s">
        <v>3</v>
      </c>
      <c r="H64" s="6">
        <v>311114</v>
      </c>
      <c r="I64" s="6">
        <v>1.5369320932692126E-3</v>
      </c>
      <c r="J64" s="6">
        <v>3464.2449382288055</v>
      </c>
      <c r="K64" s="6">
        <v>3907547</v>
      </c>
      <c r="M64" s="6">
        <f t="shared" si="1"/>
        <v>314578.2449382288</v>
      </c>
      <c r="N64" s="6">
        <f t="shared" si="2"/>
        <v>3907547</v>
      </c>
      <c r="O64" s="6">
        <f t="shared" si="3"/>
        <v>4222125.2449382292</v>
      </c>
      <c r="P64" s="8">
        <f>VLOOKUP(F64,'LEAID Match'!$A$2:$B$436,2,FALSE)</f>
        <v>1807680</v>
      </c>
      <c r="Q64" s="6">
        <f t="shared" si="4"/>
        <v>9</v>
      </c>
    </row>
    <row r="65" spans="1:17" x14ac:dyDescent="0.2">
      <c r="A65" s="16">
        <f t="shared" si="0"/>
        <v>1807680</v>
      </c>
      <c r="B65">
        <v>2022</v>
      </c>
      <c r="C65" t="s">
        <v>904</v>
      </c>
      <c r="D65" t="s">
        <v>906</v>
      </c>
      <c r="E65" t="s">
        <v>971</v>
      </c>
      <c r="F65" t="s">
        <v>619</v>
      </c>
      <c r="G65" t="s">
        <v>3</v>
      </c>
      <c r="H65" s="6">
        <v>322691</v>
      </c>
      <c r="I65" s="6">
        <v>1.5321968404887608E-3</v>
      </c>
      <c r="J65" s="6">
        <v>3378.4940332777178</v>
      </c>
      <c r="K65" s="6">
        <v>3771993</v>
      </c>
      <c r="M65" s="6">
        <f t="shared" si="1"/>
        <v>326069.49403327773</v>
      </c>
      <c r="N65" s="6">
        <f t="shared" si="2"/>
        <v>3771993</v>
      </c>
      <c r="O65" s="6">
        <f t="shared" si="3"/>
        <v>4098062.494033278</v>
      </c>
      <c r="P65" s="8">
        <f>VLOOKUP(F65,'LEAID Match'!$A$2:$B$436,2,FALSE)</f>
        <v>1807680</v>
      </c>
      <c r="Q65" s="6">
        <f t="shared" si="4"/>
        <v>9</v>
      </c>
    </row>
    <row r="66" spans="1:17" x14ac:dyDescent="0.2">
      <c r="A66" s="16">
        <f t="shared" si="0"/>
        <v>1807680</v>
      </c>
      <c r="B66">
        <v>2023</v>
      </c>
      <c r="C66" t="s">
        <v>904</v>
      </c>
      <c r="D66" t="s">
        <v>906</v>
      </c>
      <c r="E66" t="s">
        <v>972</v>
      </c>
      <c r="F66" t="s">
        <v>619</v>
      </c>
      <c r="G66" t="s">
        <v>3</v>
      </c>
      <c r="H66" s="6">
        <v>373520</v>
      </c>
      <c r="I66" s="6">
        <v>1.5274915684935447E-3</v>
      </c>
      <c r="J66" s="6">
        <v>3768.3216994735749</v>
      </c>
      <c r="K66" s="6">
        <v>10875480</v>
      </c>
      <c r="M66" s="6">
        <f t="shared" si="1"/>
        <v>377288.3216994736</v>
      </c>
      <c r="N66" s="6">
        <f t="shared" si="2"/>
        <v>10875480</v>
      </c>
      <c r="O66" s="6">
        <f t="shared" si="3"/>
        <v>11252768.321699474</v>
      </c>
      <c r="P66" s="8">
        <f>VLOOKUP(F66,'LEAID Match'!$A$2:$B$436,2,FALSE)</f>
        <v>1807680</v>
      </c>
      <c r="Q66" s="6">
        <f t="shared" si="4"/>
        <v>9</v>
      </c>
    </row>
    <row r="67" spans="1:17" x14ac:dyDescent="0.2">
      <c r="A67" s="16">
        <f t="shared" ref="A67:A130" si="9">P67</f>
        <v>1800840</v>
      </c>
      <c r="B67">
        <v>2015</v>
      </c>
      <c r="C67" t="s">
        <v>904</v>
      </c>
      <c r="D67" t="s">
        <v>906</v>
      </c>
      <c r="E67" t="s">
        <v>973</v>
      </c>
      <c r="F67" t="s">
        <v>463</v>
      </c>
      <c r="G67" t="s">
        <v>24</v>
      </c>
      <c r="H67" s="6">
        <v>863170</v>
      </c>
      <c r="I67" s="6">
        <v>4.1973428515312931E-3</v>
      </c>
      <c r="J67" s="6">
        <v>24390.759310248344</v>
      </c>
      <c r="K67" s="6">
        <v>3549340.27274048</v>
      </c>
      <c r="M67" s="6">
        <f t="shared" ref="M67:M130" si="10">SUM(H67,J67)</f>
        <v>887560.75931024831</v>
      </c>
      <c r="N67" s="6">
        <f t="shared" ref="N67:N130" si="11">K67</f>
        <v>3549340.27274048</v>
      </c>
      <c r="O67" s="6">
        <f t="shared" ref="O67:O130" si="12">SUM(M67:N67)</f>
        <v>4436901.0320507288</v>
      </c>
      <c r="P67" s="8">
        <f>VLOOKUP(F67,'LEAID Match'!$A$2:$B$436,2,FALSE)</f>
        <v>1800840</v>
      </c>
      <c r="Q67" s="6">
        <f t="shared" ref="Q67:Q130" si="13">COUNTIF($P$2:$P$3691,P67)</f>
        <v>9</v>
      </c>
    </row>
    <row r="68" spans="1:17" x14ac:dyDescent="0.2">
      <c r="A68" s="16">
        <f t="shared" si="9"/>
        <v>1800840</v>
      </c>
      <c r="B68">
        <v>2016</v>
      </c>
      <c r="C68" t="s">
        <v>904</v>
      </c>
      <c r="D68" t="s">
        <v>906</v>
      </c>
      <c r="E68" t="s">
        <v>974</v>
      </c>
      <c r="F68" t="s">
        <v>463</v>
      </c>
      <c r="G68" t="s">
        <v>24</v>
      </c>
      <c r="H68" s="6">
        <v>924991</v>
      </c>
      <c r="I68" s="6">
        <v>4.2920718439310281E-3</v>
      </c>
      <c r="J68" s="6">
        <v>21666.37866816383</v>
      </c>
      <c r="K68" s="6">
        <v>3809213.7614887799</v>
      </c>
      <c r="M68" s="6">
        <f t="shared" si="10"/>
        <v>946657.37866816379</v>
      </c>
      <c r="N68" s="6">
        <f t="shared" si="11"/>
        <v>3809213.7614887799</v>
      </c>
      <c r="O68" s="6">
        <f t="shared" si="12"/>
        <v>4755871.1401569434</v>
      </c>
      <c r="P68" s="8">
        <f>VLOOKUP(F68,'LEAID Match'!$A$2:$B$436,2,FALSE)</f>
        <v>1800840</v>
      </c>
      <c r="Q68" s="6">
        <f t="shared" si="13"/>
        <v>9</v>
      </c>
    </row>
    <row r="69" spans="1:17" x14ac:dyDescent="0.2">
      <c r="A69" s="16">
        <f t="shared" si="9"/>
        <v>1800840</v>
      </c>
      <c r="B69">
        <v>2017</v>
      </c>
      <c r="C69" t="s">
        <v>904</v>
      </c>
      <c r="D69" t="s">
        <v>906</v>
      </c>
      <c r="E69" t="s">
        <v>975</v>
      </c>
      <c r="F69" t="s">
        <v>463</v>
      </c>
      <c r="G69" t="s">
        <v>24</v>
      </c>
      <c r="H69" s="6">
        <v>1001448</v>
      </c>
      <c r="I69" s="6">
        <v>4.4098039695659903E-3</v>
      </c>
      <c r="J69" s="6">
        <v>19954.362962286104</v>
      </c>
      <c r="K69" s="6">
        <v>3840939.25749197</v>
      </c>
      <c r="M69" s="6">
        <f t="shared" si="10"/>
        <v>1021402.3629622861</v>
      </c>
      <c r="N69" s="6">
        <f t="shared" si="11"/>
        <v>3840939.25749197</v>
      </c>
      <c r="O69" s="6">
        <f t="shared" si="12"/>
        <v>4862341.6204542564</v>
      </c>
      <c r="P69" s="8">
        <f>VLOOKUP(F69,'LEAID Match'!$A$2:$B$436,2,FALSE)</f>
        <v>1800840</v>
      </c>
      <c r="Q69" s="6">
        <f t="shared" si="13"/>
        <v>9</v>
      </c>
    </row>
    <row r="70" spans="1:17" x14ac:dyDescent="0.2">
      <c r="A70" s="16">
        <f t="shared" si="9"/>
        <v>1800840</v>
      </c>
      <c r="B70">
        <v>2018</v>
      </c>
      <c r="C70" t="s">
        <v>904</v>
      </c>
      <c r="D70" t="s">
        <v>906</v>
      </c>
      <c r="E70" t="s">
        <v>976</v>
      </c>
      <c r="F70" t="s">
        <v>463</v>
      </c>
      <c r="G70" t="s">
        <v>24</v>
      </c>
      <c r="H70" s="6">
        <v>992178</v>
      </c>
      <c r="I70" s="6">
        <v>4.2091869948561343E-3</v>
      </c>
      <c r="J70" s="6">
        <v>17543.891394560367</v>
      </c>
      <c r="K70" s="6">
        <v>4344145</v>
      </c>
      <c r="M70" s="6">
        <f t="shared" si="10"/>
        <v>1009721.8913945603</v>
      </c>
      <c r="N70" s="6">
        <f t="shared" si="11"/>
        <v>4344145</v>
      </c>
      <c r="O70" s="6">
        <f t="shared" si="12"/>
        <v>5353866.8913945602</v>
      </c>
      <c r="P70" s="8">
        <f>VLOOKUP(F70,'LEAID Match'!$A$2:$B$436,2,FALSE)</f>
        <v>1800840</v>
      </c>
      <c r="Q70" s="6">
        <f t="shared" si="13"/>
        <v>9</v>
      </c>
    </row>
    <row r="71" spans="1:17" x14ac:dyDescent="0.2">
      <c r="A71" s="16">
        <f t="shared" si="9"/>
        <v>1800840</v>
      </c>
      <c r="B71">
        <v>2019</v>
      </c>
      <c r="C71" t="s">
        <v>904</v>
      </c>
      <c r="D71" t="s">
        <v>906</v>
      </c>
      <c r="E71" t="s">
        <v>977</v>
      </c>
      <c r="F71" t="s">
        <v>463</v>
      </c>
      <c r="G71" t="s">
        <v>24</v>
      </c>
      <c r="H71" s="6">
        <v>1081960</v>
      </c>
      <c r="I71" s="6">
        <v>2.7525003720655669E-3</v>
      </c>
      <c r="J71" s="6">
        <v>9647.5138040898128</v>
      </c>
      <c r="K71" s="6">
        <v>2598085.1011926802</v>
      </c>
      <c r="M71" s="6">
        <f t="shared" si="10"/>
        <v>1091607.5138040897</v>
      </c>
      <c r="N71" s="6">
        <f t="shared" si="11"/>
        <v>2598085.1011926802</v>
      </c>
      <c r="O71" s="6">
        <f t="shared" si="12"/>
        <v>3689692.6149967699</v>
      </c>
      <c r="P71" s="8">
        <f>VLOOKUP(F71,'LEAID Match'!$A$2:$B$436,2,FALSE)</f>
        <v>1800840</v>
      </c>
      <c r="Q71" s="6">
        <f t="shared" si="13"/>
        <v>9</v>
      </c>
    </row>
    <row r="72" spans="1:17" x14ac:dyDescent="0.2">
      <c r="A72" s="16">
        <f t="shared" si="9"/>
        <v>1800840</v>
      </c>
      <c r="B72">
        <v>2020</v>
      </c>
      <c r="C72" t="s">
        <v>904</v>
      </c>
      <c r="D72" t="s">
        <v>906</v>
      </c>
      <c r="E72" t="s">
        <v>978</v>
      </c>
      <c r="F72" t="s">
        <v>463</v>
      </c>
      <c r="G72" t="s">
        <v>24</v>
      </c>
      <c r="H72" s="6">
        <v>811507</v>
      </c>
      <c r="I72" s="6">
        <v>4.2999383940449899E-3</v>
      </c>
      <c r="J72" s="6">
        <v>10130.654856369996</v>
      </c>
      <c r="K72" s="6">
        <v>4288422</v>
      </c>
      <c r="M72" s="6">
        <f t="shared" si="10"/>
        <v>821637.65485636995</v>
      </c>
      <c r="N72" s="6">
        <f t="shared" si="11"/>
        <v>4288422</v>
      </c>
      <c r="O72" s="6">
        <f t="shared" si="12"/>
        <v>5110059.6548563698</v>
      </c>
      <c r="P72" s="8">
        <f>VLOOKUP(F72,'LEAID Match'!$A$2:$B$436,2,FALSE)</f>
        <v>1800840</v>
      </c>
      <c r="Q72" s="6">
        <f t="shared" si="13"/>
        <v>9</v>
      </c>
    </row>
    <row r="73" spans="1:17" x14ac:dyDescent="0.2">
      <c r="A73" s="16">
        <f t="shared" si="9"/>
        <v>1800840</v>
      </c>
      <c r="B73">
        <v>2021</v>
      </c>
      <c r="C73" t="s">
        <v>904</v>
      </c>
      <c r="D73" t="s">
        <v>906</v>
      </c>
      <c r="E73" t="s">
        <v>979</v>
      </c>
      <c r="F73" t="s">
        <v>463</v>
      </c>
      <c r="G73" t="s">
        <v>24</v>
      </c>
      <c r="H73" s="6">
        <v>864959</v>
      </c>
      <c r="I73" s="6">
        <v>4.2729779002617851E-3</v>
      </c>
      <c r="J73" s="6">
        <v>9631.2921871900635</v>
      </c>
      <c r="K73" s="6">
        <v>6961562</v>
      </c>
      <c r="M73" s="6">
        <f t="shared" si="10"/>
        <v>874590.29218719003</v>
      </c>
      <c r="N73" s="6">
        <f t="shared" si="11"/>
        <v>6961562</v>
      </c>
      <c r="O73" s="6">
        <f t="shared" si="12"/>
        <v>7836152.2921871897</v>
      </c>
      <c r="P73" s="8">
        <f>VLOOKUP(F73,'LEAID Match'!$A$2:$B$436,2,FALSE)</f>
        <v>1800840</v>
      </c>
      <c r="Q73" s="6">
        <f t="shared" si="13"/>
        <v>9</v>
      </c>
    </row>
    <row r="74" spans="1:17" x14ac:dyDescent="0.2">
      <c r="A74" s="16">
        <f t="shared" si="9"/>
        <v>1800840</v>
      </c>
      <c r="B74">
        <v>2022</v>
      </c>
      <c r="C74" t="s">
        <v>904</v>
      </c>
      <c r="D74" t="s">
        <v>906</v>
      </c>
      <c r="E74" t="s">
        <v>980</v>
      </c>
      <c r="F74" t="s">
        <v>463</v>
      </c>
      <c r="G74" t="s">
        <v>24</v>
      </c>
      <c r="H74" s="6">
        <v>877013</v>
      </c>
      <c r="I74" s="6">
        <v>4.1642207178618851E-3</v>
      </c>
      <c r="J74" s="6">
        <v>9182.1066828854564</v>
      </c>
      <c r="K74" s="6">
        <v>6698393</v>
      </c>
      <c r="M74" s="6">
        <f t="shared" si="10"/>
        <v>886195.10668288544</v>
      </c>
      <c r="N74" s="6">
        <f t="shared" si="11"/>
        <v>6698393</v>
      </c>
      <c r="O74" s="6">
        <f t="shared" si="12"/>
        <v>7584588.1066828854</v>
      </c>
      <c r="P74" s="8">
        <f>VLOOKUP(F74,'LEAID Match'!$A$2:$B$436,2,FALSE)</f>
        <v>1800840</v>
      </c>
      <c r="Q74" s="6">
        <f t="shared" si="13"/>
        <v>9</v>
      </c>
    </row>
    <row r="75" spans="1:17" x14ac:dyDescent="0.2">
      <c r="A75" s="16">
        <f t="shared" si="9"/>
        <v>1800840</v>
      </c>
      <c r="B75">
        <v>2023</v>
      </c>
      <c r="C75" t="s">
        <v>904</v>
      </c>
      <c r="D75" t="s">
        <v>906</v>
      </c>
      <c r="E75" t="s">
        <v>981</v>
      </c>
      <c r="F75" t="s">
        <v>463</v>
      </c>
      <c r="G75" t="s">
        <v>24</v>
      </c>
      <c r="H75" s="6">
        <v>999763</v>
      </c>
      <c r="I75" s="6">
        <v>4.0884813476970757E-3</v>
      </c>
      <c r="J75" s="6">
        <v>10086.283484768686</v>
      </c>
      <c r="K75" s="6">
        <v>16632963</v>
      </c>
      <c r="M75" s="6">
        <f t="shared" si="10"/>
        <v>1009849.2834847687</v>
      </c>
      <c r="N75" s="6">
        <f t="shared" si="11"/>
        <v>16632963</v>
      </c>
      <c r="O75" s="6">
        <f t="shared" si="12"/>
        <v>17642812.283484768</v>
      </c>
      <c r="P75" s="8">
        <f>VLOOKUP(F75,'LEAID Match'!$A$2:$B$436,2,FALSE)</f>
        <v>1800840</v>
      </c>
      <c r="Q75" s="6">
        <f t="shared" si="13"/>
        <v>9</v>
      </c>
    </row>
    <row r="76" spans="1:17" x14ac:dyDescent="0.2">
      <c r="A76" s="16">
        <f t="shared" si="9"/>
        <v>1802130</v>
      </c>
      <c r="B76">
        <v>2015</v>
      </c>
      <c r="C76" t="s">
        <v>904</v>
      </c>
      <c r="D76" t="s">
        <v>906</v>
      </c>
      <c r="E76" t="s">
        <v>982</v>
      </c>
      <c r="F76" t="s">
        <v>464</v>
      </c>
      <c r="G76" t="s">
        <v>25</v>
      </c>
      <c r="H76" s="6">
        <v>216938</v>
      </c>
      <c r="I76" s="6">
        <v>1.0549059438181305E-3</v>
      </c>
      <c r="J76" s="6">
        <v>6130.0584395271562</v>
      </c>
      <c r="K76" s="6">
        <v>892045.34458771197</v>
      </c>
      <c r="M76" s="6">
        <f t="shared" si="10"/>
        <v>223068.05843952714</v>
      </c>
      <c r="N76" s="6">
        <f t="shared" si="11"/>
        <v>892045.34458771197</v>
      </c>
      <c r="O76" s="6">
        <f t="shared" si="12"/>
        <v>1115113.403027239</v>
      </c>
      <c r="P76" s="8">
        <f>VLOOKUP(F76,'LEAID Match'!$A$2:$B$436,2,FALSE)</f>
        <v>1802130</v>
      </c>
      <c r="Q76" s="6">
        <f t="shared" si="13"/>
        <v>9</v>
      </c>
    </row>
    <row r="77" spans="1:17" x14ac:dyDescent="0.2">
      <c r="A77" s="16">
        <f t="shared" si="9"/>
        <v>1802130</v>
      </c>
      <c r="B77">
        <v>2016</v>
      </c>
      <c r="C77" t="s">
        <v>904</v>
      </c>
      <c r="D77" t="s">
        <v>906</v>
      </c>
      <c r="E77" t="s">
        <v>983</v>
      </c>
      <c r="F77" t="s">
        <v>464</v>
      </c>
      <c r="G77" t="s">
        <v>25</v>
      </c>
      <c r="H77" s="6">
        <v>249292</v>
      </c>
      <c r="I77" s="6">
        <v>1.1567454971099761E-3</v>
      </c>
      <c r="J77" s="6">
        <v>5839.2512694111592</v>
      </c>
      <c r="K77" s="6">
        <v>1026611.6286851</v>
      </c>
      <c r="M77" s="6">
        <f t="shared" si="10"/>
        <v>255131.25126941115</v>
      </c>
      <c r="N77" s="6">
        <f t="shared" si="11"/>
        <v>1026611.6286851</v>
      </c>
      <c r="O77" s="6">
        <f t="shared" si="12"/>
        <v>1281742.8799545111</v>
      </c>
      <c r="P77" s="8">
        <f>VLOOKUP(F77,'LEAID Match'!$A$2:$B$436,2,FALSE)</f>
        <v>1802130</v>
      </c>
      <c r="Q77" s="6">
        <f t="shared" si="13"/>
        <v>9</v>
      </c>
    </row>
    <row r="78" spans="1:17" x14ac:dyDescent="0.2">
      <c r="A78" s="16">
        <f t="shared" si="9"/>
        <v>1802130</v>
      </c>
      <c r="B78">
        <v>2017</v>
      </c>
      <c r="C78" t="s">
        <v>904</v>
      </c>
      <c r="D78" t="s">
        <v>906</v>
      </c>
      <c r="E78" t="s">
        <v>984</v>
      </c>
      <c r="F78" t="s">
        <v>464</v>
      </c>
      <c r="G78" t="s">
        <v>25</v>
      </c>
      <c r="H78" s="6">
        <v>217605</v>
      </c>
      <c r="I78" s="6">
        <v>9.5820790774698975E-4</v>
      </c>
      <c r="J78" s="6">
        <v>4335.8907825551287</v>
      </c>
      <c r="K78" s="6">
        <v>834599.08764762804</v>
      </c>
      <c r="M78" s="6">
        <f t="shared" si="10"/>
        <v>221940.89078255513</v>
      </c>
      <c r="N78" s="6">
        <f t="shared" si="11"/>
        <v>834599.08764762804</v>
      </c>
      <c r="O78" s="6">
        <f t="shared" si="12"/>
        <v>1056539.9784301831</v>
      </c>
      <c r="P78" s="8">
        <f>VLOOKUP(F78,'LEAID Match'!$A$2:$B$436,2,FALSE)</f>
        <v>1802130</v>
      </c>
      <c r="Q78" s="6">
        <f t="shared" si="13"/>
        <v>9</v>
      </c>
    </row>
    <row r="79" spans="1:17" x14ac:dyDescent="0.2">
      <c r="A79" s="16">
        <f t="shared" si="9"/>
        <v>1802130</v>
      </c>
      <c r="B79">
        <v>2018</v>
      </c>
      <c r="C79" t="s">
        <v>904</v>
      </c>
      <c r="D79" t="s">
        <v>906</v>
      </c>
      <c r="E79" t="s">
        <v>985</v>
      </c>
      <c r="F79" t="s">
        <v>464</v>
      </c>
      <c r="G79" t="s">
        <v>25</v>
      </c>
      <c r="H79" s="6">
        <v>213146</v>
      </c>
      <c r="I79" s="6">
        <v>9.0424437067300977E-4</v>
      </c>
      <c r="J79" s="6">
        <v>3768.8905369651047</v>
      </c>
      <c r="K79" s="6">
        <v>891189</v>
      </c>
      <c r="M79" s="6">
        <f t="shared" si="10"/>
        <v>216914.8905369651</v>
      </c>
      <c r="N79" s="6">
        <f t="shared" si="11"/>
        <v>891189</v>
      </c>
      <c r="O79" s="6">
        <f t="shared" si="12"/>
        <v>1108103.8905369651</v>
      </c>
      <c r="P79" s="8">
        <f>VLOOKUP(F79,'LEAID Match'!$A$2:$B$436,2,FALSE)</f>
        <v>1802130</v>
      </c>
      <c r="Q79" s="6">
        <f t="shared" si="13"/>
        <v>9</v>
      </c>
    </row>
    <row r="80" spans="1:17" x14ac:dyDescent="0.2">
      <c r="A80" s="16">
        <f t="shared" si="9"/>
        <v>1802130</v>
      </c>
      <c r="B80">
        <v>2019</v>
      </c>
      <c r="C80" t="s">
        <v>904</v>
      </c>
      <c r="D80" t="s">
        <v>906</v>
      </c>
      <c r="E80" t="s">
        <v>986</v>
      </c>
      <c r="F80" t="s">
        <v>464</v>
      </c>
      <c r="G80" t="s">
        <v>25</v>
      </c>
      <c r="H80" s="6">
        <v>217661</v>
      </c>
      <c r="I80" s="6">
        <v>5.5372840353078059E-4</v>
      </c>
      <c r="J80" s="6">
        <v>1940.8180543753861</v>
      </c>
      <c r="K80" s="6">
        <v>522664.24009270302</v>
      </c>
      <c r="M80" s="6">
        <f t="shared" si="10"/>
        <v>219601.81805437538</v>
      </c>
      <c r="N80" s="6">
        <f t="shared" si="11"/>
        <v>522664.24009270302</v>
      </c>
      <c r="O80" s="6">
        <f t="shared" si="12"/>
        <v>742266.05814707838</v>
      </c>
      <c r="P80" s="8">
        <f>VLOOKUP(F80,'LEAID Match'!$A$2:$B$436,2,FALSE)</f>
        <v>1802130</v>
      </c>
      <c r="Q80" s="6">
        <f t="shared" si="13"/>
        <v>9</v>
      </c>
    </row>
    <row r="81" spans="1:17" x14ac:dyDescent="0.2">
      <c r="A81" s="16">
        <f t="shared" si="9"/>
        <v>1802130</v>
      </c>
      <c r="B81">
        <v>2020</v>
      </c>
      <c r="C81" t="s">
        <v>904</v>
      </c>
      <c r="D81" t="s">
        <v>906</v>
      </c>
      <c r="E81" t="s">
        <v>987</v>
      </c>
      <c r="F81" t="s">
        <v>464</v>
      </c>
      <c r="G81" t="s">
        <v>25</v>
      </c>
      <c r="H81" s="6">
        <v>173113</v>
      </c>
      <c r="I81" s="6">
        <v>9.1727518703881841E-4</v>
      </c>
      <c r="J81" s="6">
        <v>2161.1003406634563</v>
      </c>
      <c r="K81" s="6">
        <v>929762</v>
      </c>
      <c r="M81" s="6">
        <f t="shared" si="10"/>
        <v>175274.10034066346</v>
      </c>
      <c r="N81" s="6">
        <f t="shared" si="11"/>
        <v>929762</v>
      </c>
      <c r="O81" s="6">
        <f t="shared" si="12"/>
        <v>1105036.1003406635</v>
      </c>
      <c r="P81" s="8">
        <f>VLOOKUP(F81,'LEAID Match'!$A$2:$B$436,2,FALSE)</f>
        <v>1802130</v>
      </c>
      <c r="Q81" s="6">
        <f t="shared" si="13"/>
        <v>9</v>
      </c>
    </row>
    <row r="82" spans="1:17" x14ac:dyDescent="0.2">
      <c r="A82" s="16">
        <f t="shared" si="9"/>
        <v>1802130</v>
      </c>
      <c r="B82">
        <v>2021</v>
      </c>
      <c r="C82" t="s">
        <v>904</v>
      </c>
      <c r="D82" t="s">
        <v>906</v>
      </c>
      <c r="E82" t="s">
        <v>988</v>
      </c>
      <c r="F82" t="s">
        <v>464</v>
      </c>
      <c r="G82" t="s">
        <v>25</v>
      </c>
      <c r="H82" s="6">
        <v>180609</v>
      </c>
      <c r="I82" s="6">
        <v>8.9222525644380918E-4</v>
      </c>
      <c r="J82" s="6">
        <v>2011.0757280243458</v>
      </c>
      <c r="K82" s="6">
        <v>1513821</v>
      </c>
      <c r="M82" s="6">
        <f t="shared" si="10"/>
        <v>182620.07572802436</v>
      </c>
      <c r="N82" s="6">
        <f t="shared" si="11"/>
        <v>1513821</v>
      </c>
      <c r="O82" s="6">
        <f t="shared" si="12"/>
        <v>1696441.0757280244</v>
      </c>
      <c r="P82" s="8">
        <f>VLOOKUP(F82,'LEAID Match'!$A$2:$B$436,2,FALSE)</f>
        <v>1802130</v>
      </c>
      <c r="Q82" s="6">
        <f t="shared" si="13"/>
        <v>9</v>
      </c>
    </row>
    <row r="83" spans="1:17" x14ac:dyDescent="0.2">
      <c r="A83" s="16">
        <f t="shared" si="9"/>
        <v>1802130</v>
      </c>
      <c r="B83">
        <v>2022</v>
      </c>
      <c r="C83" t="s">
        <v>904</v>
      </c>
      <c r="D83" t="s">
        <v>906</v>
      </c>
      <c r="E83" t="s">
        <v>989</v>
      </c>
      <c r="F83" t="s">
        <v>464</v>
      </c>
      <c r="G83" t="s">
        <v>25</v>
      </c>
      <c r="H83" s="6">
        <v>196567</v>
      </c>
      <c r="I83" s="6">
        <v>9.3333664820014883E-4</v>
      </c>
      <c r="J83" s="6">
        <v>2058.0073092813282</v>
      </c>
      <c r="K83" s="6">
        <v>1499402</v>
      </c>
      <c r="M83" s="6">
        <f t="shared" si="10"/>
        <v>198625.00730928133</v>
      </c>
      <c r="N83" s="6">
        <f t="shared" si="11"/>
        <v>1499402</v>
      </c>
      <c r="O83" s="6">
        <f t="shared" si="12"/>
        <v>1698027.0073092813</v>
      </c>
      <c r="P83" s="8">
        <f>VLOOKUP(F83,'LEAID Match'!$A$2:$B$436,2,FALSE)</f>
        <v>1802130</v>
      </c>
      <c r="Q83" s="6">
        <f t="shared" si="13"/>
        <v>9</v>
      </c>
    </row>
    <row r="84" spans="1:17" x14ac:dyDescent="0.2">
      <c r="A84" s="16">
        <f t="shared" si="9"/>
        <v>1802130</v>
      </c>
      <c r="B84">
        <v>2023</v>
      </c>
      <c r="C84" t="s">
        <v>904</v>
      </c>
      <c r="D84" t="s">
        <v>906</v>
      </c>
      <c r="E84" t="s">
        <v>990</v>
      </c>
      <c r="F84" t="s">
        <v>464</v>
      </c>
      <c r="G84" t="s">
        <v>25</v>
      </c>
      <c r="H84" s="6">
        <v>243176</v>
      </c>
      <c r="I84" s="6">
        <v>9.9445622633322506E-4</v>
      </c>
      <c r="J84" s="6">
        <v>2453.3235103640664</v>
      </c>
      <c r="K84" s="6">
        <v>3657346</v>
      </c>
      <c r="M84" s="6">
        <f t="shared" si="10"/>
        <v>245629.32351036408</v>
      </c>
      <c r="N84" s="6">
        <f t="shared" si="11"/>
        <v>3657346</v>
      </c>
      <c r="O84" s="6">
        <f t="shared" si="12"/>
        <v>3902975.3235103642</v>
      </c>
      <c r="P84" s="8">
        <f>VLOOKUP(F84,'LEAID Match'!$A$2:$B$436,2,FALSE)</f>
        <v>1802130</v>
      </c>
      <c r="Q84" s="6">
        <f t="shared" si="13"/>
        <v>9</v>
      </c>
    </row>
    <row r="85" spans="1:17" x14ac:dyDescent="0.2">
      <c r="A85" s="16">
        <f t="shared" si="9"/>
        <v>1802160</v>
      </c>
      <c r="B85">
        <v>2015</v>
      </c>
      <c r="C85" t="s">
        <v>904</v>
      </c>
      <c r="D85" t="s">
        <v>906</v>
      </c>
      <c r="E85" t="s">
        <v>991</v>
      </c>
      <c r="F85" t="s">
        <v>637</v>
      </c>
      <c r="G85" t="s">
        <v>26</v>
      </c>
      <c r="H85" s="6">
        <v>190314</v>
      </c>
      <c r="I85" s="6">
        <v>9.2544123109738119E-4</v>
      </c>
      <c r="J85" s="6">
        <v>5377.7389939068817</v>
      </c>
      <c r="K85" s="6">
        <v>782567.91207564296</v>
      </c>
      <c r="M85" s="6">
        <f t="shared" si="10"/>
        <v>195691.73899390688</v>
      </c>
      <c r="N85" s="6">
        <f t="shared" si="11"/>
        <v>782567.91207564296</v>
      </c>
      <c r="O85" s="6">
        <f t="shared" si="12"/>
        <v>978259.65106954984</v>
      </c>
      <c r="P85" s="8">
        <f>VLOOKUP(F85,'LEAID Match'!$A$2:$B$436,2,FALSE)</f>
        <v>1802160</v>
      </c>
      <c r="Q85" s="6">
        <f t="shared" si="13"/>
        <v>9</v>
      </c>
    </row>
    <row r="86" spans="1:17" x14ac:dyDescent="0.2">
      <c r="A86" s="16">
        <f t="shared" si="9"/>
        <v>1802160</v>
      </c>
      <c r="B86">
        <v>2016</v>
      </c>
      <c r="C86" t="s">
        <v>904</v>
      </c>
      <c r="D86" t="s">
        <v>906</v>
      </c>
      <c r="E86" t="s">
        <v>992</v>
      </c>
      <c r="F86" t="s">
        <v>637</v>
      </c>
      <c r="G86" t="s">
        <v>26</v>
      </c>
      <c r="H86" s="6">
        <v>199121</v>
      </c>
      <c r="I86" s="6">
        <v>9.2394589529561934E-4</v>
      </c>
      <c r="J86" s="6">
        <v>4664.0788794522869</v>
      </c>
      <c r="K86" s="6">
        <v>820001.982074862</v>
      </c>
      <c r="M86" s="6">
        <f t="shared" si="10"/>
        <v>203785.07887945228</v>
      </c>
      <c r="N86" s="6">
        <f t="shared" si="11"/>
        <v>820001.982074862</v>
      </c>
      <c r="O86" s="6">
        <f t="shared" si="12"/>
        <v>1023787.0609543143</v>
      </c>
      <c r="P86" s="8">
        <f>VLOOKUP(F86,'LEAID Match'!$A$2:$B$436,2,FALSE)</f>
        <v>1802160</v>
      </c>
      <c r="Q86" s="6">
        <f t="shared" si="13"/>
        <v>9</v>
      </c>
    </row>
    <row r="87" spans="1:17" x14ac:dyDescent="0.2">
      <c r="A87" s="16">
        <f t="shared" si="9"/>
        <v>1802160</v>
      </c>
      <c r="B87">
        <v>2017</v>
      </c>
      <c r="C87" t="s">
        <v>904</v>
      </c>
      <c r="D87" t="s">
        <v>906</v>
      </c>
      <c r="E87" t="s">
        <v>993</v>
      </c>
      <c r="F87" t="s">
        <v>637</v>
      </c>
      <c r="G87" t="s">
        <v>26</v>
      </c>
      <c r="H87" s="6">
        <v>214203</v>
      </c>
      <c r="I87" s="6">
        <v>9.4322744635062816E-4</v>
      </c>
      <c r="J87" s="6">
        <v>4268.104194736592</v>
      </c>
      <c r="K87" s="6">
        <v>821551.10577139701</v>
      </c>
      <c r="M87" s="6">
        <f t="shared" si="10"/>
        <v>218471.1041947366</v>
      </c>
      <c r="N87" s="6">
        <f t="shared" si="11"/>
        <v>821551.10577139701</v>
      </c>
      <c r="O87" s="6">
        <f t="shared" si="12"/>
        <v>1040022.2099661336</v>
      </c>
      <c r="P87" s="8">
        <f>VLOOKUP(F87,'LEAID Match'!$A$2:$B$436,2,FALSE)</f>
        <v>1802160</v>
      </c>
      <c r="Q87" s="6">
        <f t="shared" si="13"/>
        <v>9</v>
      </c>
    </row>
    <row r="88" spans="1:17" x14ac:dyDescent="0.2">
      <c r="A88" s="16">
        <f t="shared" si="9"/>
        <v>1802160</v>
      </c>
      <c r="B88">
        <v>2018</v>
      </c>
      <c r="C88" t="s">
        <v>904</v>
      </c>
      <c r="D88" t="s">
        <v>906</v>
      </c>
      <c r="E88" t="s">
        <v>994</v>
      </c>
      <c r="F88" t="s">
        <v>637</v>
      </c>
      <c r="G88" t="s">
        <v>26</v>
      </c>
      <c r="H88" s="6">
        <v>243483</v>
      </c>
      <c r="I88" s="6">
        <v>1.0329451742213151E-3</v>
      </c>
      <c r="J88" s="6">
        <v>4305.3154861544408</v>
      </c>
      <c r="K88" s="6">
        <v>872189</v>
      </c>
      <c r="M88" s="6">
        <f t="shared" si="10"/>
        <v>247788.31548615443</v>
      </c>
      <c r="N88" s="6">
        <f t="shared" si="11"/>
        <v>872189</v>
      </c>
      <c r="O88" s="6">
        <f t="shared" si="12"/>
        <v>1119977.3154861545</v>
      </c>
      <c r="P88" s="8">
        <f>VLOOKUP(F88,'LEAID Match'!$A$2:$B$436,2,FALSE)</f>
        <v>1802160</v>
      </c>
      <c r="Q88" s="6">
        <f t="shared" si="13"/>
        <v>9</v>
      </c>
    </row>
    <row r="89" spans="1:17" x14ac:dyDescent="0.2">
      <c r="A89" s="16">
        <f t="shared" si="9"/>
        <v>1802160</v>
      </c>
      <c r="B89">
        <v>2019</v>
      </c>
      <c r="C89" t="s">
        <v>904</v>
      </c>
      <c r="D89" t="s">
        <v>906</v>
      </c>
      <c r="E89" t="s">
        <v>995</v>
      </c>
      <c r="F89" t="s">
        <v>637</v>
      </c>
      <c r="G89" t="s">
        <v>26</v>
      </c>
      <c r="H89" s="6">
        <v>248289</v>
      </c>
      <c r="I89" s="6">
        <v>6.3164586942196337E-4</v>
      </c>
      <c r="J89" s="6">
        <v>2213.9187723239816</v>
      </c>
      <c r="K89" s="6">
        <v>596210.53614739096</v>
      </c>
      <c r="M89" s="6">
        <f t="shared" si="10"/>
        <v>250502.91877232399</v>
      </c>
      <c r="N89" s="6">
        <f t="shared" si="11"/>
        <v>596210.53614739096</v>
      </c>
      <c r="O89" s="6">
        <f t="shared" si="12"/>
        <v>846713.45491971495</v>
      </c>
      <c r="P89" s="8">
        <f>VLOOKUP(F89,'LEAID Match'!$A$2:$B$436,2,FALSE)</f>
        <v>1802160</v>
      </c>
      <c r="Q89" s="6">
        <f t="shared" si="13"/>
        <v>9</v>
      </c>
    </row>
    <row r="90" spans="1:17" x14ac:dyDescent="0.2">
      <c r="A90" s="16">
        <f t="shared" si="9"/>
        <v>1802160</v>
      </c>
      <c r="B90">
        <v>2020</v>
      </c>
      <c r="C90" t="s">
        <v>904</v>
      </c>
      <c r="D90" t="s">
        <v>906</v>
      </c>
      <c r="E90" t="s">
        <v>996</v>
      </c>
      <c r="F90" t="s">
        <v>637</v>
      </c>
      <c r="G90" t="s">
        <v>26</v>
      </c>
      <c r="H90" s="6">
        <v>185691</v>
      </c>
      <c r="I90" s="6">
        <v>9.8392233255980318E-4</v>
      </c>
      <c r="J90" s="6">
        <v>2318.1210155108961</v>
      </c>
      <c r="K90" s="6">
        <v>931898</v>
      </c>
      <c r="M90" s="6">
        <f t="shared" si="10"/>
        <v>188009.1210155109</v>
      </c>
      <c r="N90" s="6">
        <f t="shared" si="11"/>
        <v>931898</v>
      </c>
      <c r="O90" s="6">
        <f t="shared" si="12"/>
        <v>1119907.121015511</v>
      </c>
      <c r="P90" s="8">
        <f>VLOOKUP(F90,'LEAID Match'!$A$2:$B$436,2,FALSE)</f>
        <v>1802160</v>
      </c>
      <c r="Q90" s="6">
        <f t="shared" si="13"/>
        <v>9</v>
      </c>
    </row>
    <row r="91" spans="1:17" x14ac:dyDescent="0.2">
      <c r="A91" s="16">
        <f t="shared" si="9"/>
        <v>1802160</v>
      </c>
      <c r="B91">
        <v>2021</v>
      </c>
      <c r="C91" t="s">
        <v>904</v>
      </c>
      <c r="D91" t="s">
        <v>906</v>
      </c>
      <c r="E91" t="s">
        <v>997</v>
      </c>
      <c r="F91" t="s">
        <v>637</v>
      </c>
      <c r="G91" t="s">
        <v>26</v>
      </c>
      <c r="H91" s="6">
        <v>196344</v>
      </c>
      <c r="I91" s="6">
        <v>9.6995761978197793E-4</v>
      </c>
      <c r="J91" s="6">
        <v>2186.284474988578</v>
      </c>
      <c r="K91" s="6">
        <v>1509186</v>
      </c>
      <c r="M91" s="6">
        <f t="shared" si="10"/>
        <v>198530.28447498858</v>
      </c>
      <c r="N91" s="6">
        <f t="shared" si="11"/>
        <v>1509186</v>
      </c>
      <c r="O91" s="6">
        <f t="shared" si="12"/>
        <v>1707716.2844749885</v>
      </c>
      <c r="P91" s="8">
        <f>VLOOKUP(F91,'LEAID Match'!$A$2:$B$436,2,FALSE)</f>
        <v>1802160</v>
      </c>
      <c r="Q91" s="6">
        <f t="shared" si="13"/>
        <v>9</v>
      </c>
    </row>
    <row r="92" spans="1:17" x14ac:dyDescent="0.2">
      <c r="A92" s="16">
        <f t="shared" si="9"/>
        <v>1802160</v>
      </c>
      <c r="B92">
        <v>2022</v>
      </c>
      <c r="C92" t="s">
        <v>904</v>
      </c>
      <c r="D92" t="s">
        <v>906</v>
      </c>
      <c r="E92" t="s">
        <v>998</v>
      </c>
      <c r="F92" t="s">
        <v>637</v>
      </c>
      <c r="G92" t="s">
        <v>26</v>
      </c>
      <c r="H92" s="6">
        <v>210741</v>
      </c>
      <c r="I92" s="6">
        <v>1.0006374344541432E-3</v>
      </c>
      <c r="J92" s="6">
        <v>2206.4055429713858</v>
      </c>
      <c r="K92" s="6">
        <v>1448548</v>
      </c>
      <c r="M92" s="6">
        <f t="shared" si="10"/>
        <v>212947.40554297139</v>
      </c>
      <c r="N92" s="6">
        <f t="shared" si="11"/>
        <v>1448548</v>
      </c>
      <c r="O92" s="6">
        <f t="shared" si="12"/>
        <v>1661495.4055429713</v>
      </c>
      <c r="P92" s="8">
        <f>VLOOKUP(F92,'LEAID Match'!$A$2:$B$436,2,FALSE)</f>
        <v>1802160</v>
      </c>
      <c r="Q92" s="6">
        <f t="shared" si="13"/>
        <v>9</v>
      </c>
    </row>
    <row r="93" spans="1:17" x14ac:dyDescent="0.2">
      <c r="A93" s="16">
        <f t="shared" si="9"/>
        <v>1802160</v>
      </c>
      <c r="B93">
        <v>2023</v>
      </c>
      <c r="C93" t="s">
        <v>904</v>
      </c>
      <c r="D93" t="s">
        <v>906</v>
      </c>
      <c r="E93" t="s">
        <v>999</v>
      </c>
      <c r="F93" t="s">
        <v>637</v>
      </c>
      <c r="G93" t="s">
        <v>26</v>
      </c>
      <c r="H93" s="6">
        <v>257310</v>
      </c>
      <c r="I93" s="6">
        <v>1.0522565203712625E-3</v>
      </c>
      <c r="J93" s="6">
        <v>2595.9168357559047</v>
      </c>
      <c r="K93" s="6">
        <v>4098633</v>
      </c>
      <c r="M93" s="6">
        <f t="shared" si="10"/>
        <v>259905.9168357559</v>
      </c>
      <c r="N93" s="6">
        <f t="shared" si="11"/>
        <v>4098633</v>
      </c>
      <c r="O93" s="6">
        <f t="shared" si="12"/>
        <v>4358538.916835756</v>
      </c>
      <c r="P93" s="8">
        <f>VLOOKUP(F93,'LEAID Match'!$A$2:$B$436,2,FALSE)</f>
        <v>1802160</v>
      </c>
      <c r="Q93" s="6">
        <f t="shared" si="13"/>
        <v>9</v>
      </c>
    </row>
    <row r="94" spans="1:17" x14ac:dyDescent="0.2">
      <c r="A94" s="16">
        <f t="shared" si="9"/>
        <v>1809720</v>
      </c>
      <c r="B94">
        <v>2015</v>
      </c>
      <c r="C94" t="s">
        <v>904</v>
      </c>
      <c r="D94" t="s">
        <v>906</v>
      </c>
      <c r="E94" t="s">
        <v>1000</v>
      </c>
      <c r="F94" t="s">
        <v>465</v>
      </c>
      <c r="G94" t="s">
        <v>27</v>
      </c>
      <c r="H94" s="6">
        <v>168348</v>
      </c>
      <c r="I94" s="6">
        <v>8.1862700785429311E-4</v>
      </c>
      <c r="J94" s="6">
        <v>4757.0415426412974</v>
      </c>
      <c r="K94" s="6">
        <v>692244.09587371501</v>
      </c>
      <c r="M94" s="6">
        <f t="shared" si="10"/>
        <v>173105.04154264129</v>
      </c>
      <c r="N94" s="6">
        <f t="shared" si="11"/>
        <v>692244.09587371501</v>
      </c>
      <c r="O94" s="6">
        <f t="shared" si="12"/>
        <v>865349.13741635624</v>
      </c>
      <c r="P94" s="8">
        <f>VLOOKUP(F94,'LEAID Match'!$A$2:$B$436,2,FALSE)</f>
        <v>1809720</v>
      </c>
      <c r="Q94" s="6">
        <f t="shared" si="13"/>
        <v>9</v>
      </c>
    </row>
    <row r="95" spans="1:17" x14ac:dyDescent="0.2">
      <c r="A95" s="16">
        <f t="shared" si="9"/>
        <v>1809720</v>
      </c>
      <c r="B95">
        <v>2016</v>
      </c>
      <c r="C95" t="s">
        <v>904</v>
      </c>
      <c r="D95" t="s">
        <v>906</v>
      </c>
      <c r="E95" t="s">
        <v>1001</v>
      </c>
      <c r="F95" t="s">
        <v>465</v>
      </c>
      <c r="G95" t="s">
        <v>27</v>
      </c>
      <c r="H95" s="6">
        <v>183408</v>
      </c>
      <c r="I95" s="6">
        <v>8.5103564548379607E-4</v>
      </c>
      <c r="J95" s="6">
        <v>4296.0279384022024</v>
      </c>
      <c r="K95" s="6">
        <v>755294.13536686904</v>
      </c>
      <c r="M95" s="6">
        <f t="shared" si="10"/>
        <v>187704.0279384022</v>
      </c>
      <c r="N95" s="6">
        <f t="shared" si="11"/>
        <v>755294.13536686904</v>
      </c>
      <c r="O95" s="6">
        <f t="shared" si="12"/>
        <v>942998.16330527118</v>
      </c>
      <c r="P95" s="8">
        <f>VLOOKUP(F95,'LEAID Match'!$A$2:$B$436,2,FALSE)</f>
        <v>1809720</v>
      </c>
      <c r="Q95" s="6">
        <f t="shared" si="13"/>
        <v>9</v>
      </c>
    </row>
    <row r="96" spans="1:17" x14ac:dyDescent="0.2">
      <c r="A96" s="16">
        <f t="shared" si="9"/>
        <v>1809720</v>
      </c>
      <c r="B96">
        <v>2017</v>
      </c>
      <c r="C96" t="s">
        <v>904</v>
      </c>
      <c r="D96" t="s">
        <v>906</v>
      </c>
      <c r="E96" t="s">
        <v>1002</v>
      </c>
      <c r="F96" t="s">
        <v>465</v>
      </c>
      <c r="G96" t="s">
        <v>27</v>
      </c>
      <c r="H96" s="6">
        <v>183834</v>
      </c>
      <c r="I96" s="6">
        <v>8.0949974730709369E-4</v>
      </c>
      <c r="J96" s="6">
        <v>3662.9863565645987</v>
      </c>
      <c r="K96" s="6">
        <v>705074.279904478</v>
      </c>
      <c r="M96" s="6">
        <f t="shared" si="10"/>
        <v>187496.98635656459</v>
      </c>
      <c r="N96" s="6">
        <f t="shared" si="11"/>
        <v>705074.279904478</v>
      </c>
      <c r="O96" s="6">
        <f t="shared" si="12"/>
        <v>892571.26626104256</v>
      </c>
      <c r="P96" s="8">
        <f>VLOOKUP(F96,'LEAID Match'!$A$2:$B$436,2,FALSE)</f>
        <v>1809720</v>
      </c>
      <c r="Q96" s="6">
        <f t="shared" si="13"/>
        <v>9</v>
      </c>
    </row>
    <row r="97" spans="1:17" x14ac:dyDescent="0.2">
      <c r="A97" s="16">
        <f t="shared" si="9"/>
        <v>1809720</v>
      </c>
      <c r="B97">
        <v>2018</v>
      </c>
      <c r="C97" t="s">
        <v>904</v>
      </c>
      <c r="D97" t="s">
        <v>906</v>
      </c>
      <c r="E97" t="s">
        <v>1003</v>
      </c>
      <c r="F97" t="s">
        <v>465</v>
      </c>
      <c r="G97" t="s">
        <v>27</v>
      </c>
      <c r="H97" s="6">
        <v>206161</v>
      </c>
      <c r="I97" s="6">
        <v>8.7461141049946219E-4</v>
      </c>
      <c r="J97" s="6">
        <v>3645.3803589617582</v>
      </c>
      <c r="K97" s="6">
        <v>733219</v>
      </c>
      <c r="M97" s="6">
        <f t="shared" si="10"/>
        <v>209806.38035896176</v>
      </c>
      <c r="N97" s="6">
        <f t="shared" si="11"/>
        <v>733219</v>
      </c>
      <c r="O97" s="6">
        <f t="shared" si="12"/>
        <v>943025.38035896176</v>
      </c>
      <c r="P97" s="8">
        <f>VLOOKUP(F97,'LEAID Match'!$A$2:$B$436,2,FALSE)</f>
        <v>1809720</v>
      </c>
      <c r="Q97" s="6">
        <f t="shared" si="13"/>
        <v>9</v>
      </c>
    </row>
    <row r="98" spans="1:17" x14ac:dyDescent="0.2">
      <c r="A98" s="16">
        <f t="shared" si="9"/>
        <v>1809720</v>
      </c>
      <c r="B98">
        <v>2019</v>
      </c>
      <c r="C98" t="s">
        <v>904</v>
      </c>
      <c r="D98" t="s">
        <v>906</v>
      </c>
      <c r="E98" t="s">
        <v>1004</v>
      </c>
      <c r="F98" t="s">
        <v>465</v>
      </c>
      <c r="G98" t="s">
        <v>27</v>
      </c>
      <c r="H98" s="6">
        <v>202947</v>
      </c>
      <c r="I98" s="6">
        <v>5.1629606733113109E-4</v>
      </c>
      <c r="J98" s="6">
        <v>1809.6177159956144</v>
      </c>
      <c r="K98" s="6">
        <v>487331.85795385402</v>
      </c>
      <c r="M98" s="6">
        <f t="shared" si="10"/>
        <v>204756.61771599561</v>
      </c>
      <c r="N98" s="6">
        <f t="shared" si="11"/>
        <v>487331.85795385402</v>
      </c>
      <c r="O98" s="6">
        <f t="shared" si="12"/>
        <v>692088.47566984966</v>
      </c>
      <c r="P98" s="8">
        <f>VLOOKUP(F98,'LEAID Match'!$A$2:$B$436,2,FALSE)</f>
        <v>1809720</v>
      </c>
      <c r="Q98" s="6">
        <f t="shared" si="13"/>
        <v>9</v>
      </c>
    </row>
    <row r="99" spans="1:17" x14ac:dyDescent="0.2">
      <c r="A99" s="16">
        <f t="shared" si="9"/>
        <v>1809720</v>
      </c>
      <c r="B99">
        <v>2020</v>
      </c>
      <c r="C99" t="s">
        <v>904</v>
      </c>
      <c r="D99" t="s">
        <v>906</v>
      </c>
      <c r="E99" t="s">
        <v>1005</v>
      </c>
      <c r="F99" t="s">
        <v>465</v>
      </c>
      <c r="G99" t="s">
        <v>27</v>
      </c>
      <c r="H99" s="6">
        <v>159247</v>
      </c>
      <c r="I99" s="6">
        <v>8.4380330599302601E-4</v>
      </c>
      <c r="J99" s="6">
        <v>1988.0005889195693</v>
      </c>
      <c r="K99" s="6">
        <v>767097</v>
      </c>
      <c r="M99" s="6">
        <f t="shared" si="10"/>
        <v>161235.00058891956</v>
      </c>
      <c r="N99" s="6">
        <f t="shared" si="11"/>
        <v>767097</v>
      </c>
      <c r="O99" s="6">
        <f t="shared" si="12"/>
        <v>928332.0005889195</v>
      </c>
      <c r="P99" s="8">
        <f>VLOOKUP(F99,'LEAID Match'!$A$2:$B$436,2,FALSE)</f>
        <v>1809720</v>
      </c>
      <c r="Q99" s="6">
        <f t="shared" si="13"/>
        <v>9</v>
      </c>
    </row>
    <row r="100" spans="1:17" x14ac:dyDescent="0.2">
      <c r="A100" s="16">
        <f t="shared" si="9"/>
        <v>1809720</v>
      </c>
      <c r="B100">
        <v>2021</v>
      </c>
      <c r="C100" t="s">
        <v>904</v>
      </c>
      <c r="D100" t="s">
        <v>906</v>
      </c>
      <c r="E100" t="s">
        <v>1006</v>
      </c>
      <c r="F100" t="s">
        <v>465</v>
      </c>
      <c r="G100" t="s">
        <v>27</v>
      </c>
      <c r="H100" s="6">
        <v>166045</v>
      </c>
      <c r="I100" s="6">
        <v>8.2027774200738772E-4</v>
      </c>
      <c r="J100" s="6">
        <v>1848.9060304846519</v>
      </c>
      <c r="K100" s="6">
        <v>1288770</v>
      </c>
      <c r="M100" s="6">
        <f t="shared" si="10"/>
        <v>167893.90603048465</v>
      </c>
      <c r="N100" s="6">
        <f t="shared" si="11"/>
        <v>1288770</v>
      </c>
      <c r="O100" s="6">
        <f t="shared" si="12"/>
        <v>1456663.9060304847</v>
      </c>
      <c r="P100" s="8">
        <f>VLOOKUP(F100,'LEAID Match'!$A$2:$B$436,2,FALSE)</f>
        <v>1809720</v>
      </c>
      <c r="Q100" s="6">
        <f t="shared" si="13"/>
        <v>9</v>
      </c>
    </row>
    <row r="101" spans="1:17" x14ac:dyDescent="0.2">
      <c r="A101" s="16">
        <f t="shared" si="9"/>
        <v>1809720</v>
      </c>
      <c r="B101">
        <v>2022</v>
      </c>
      <c r="C101" t="s">
        <v>904</v>
      </c>
      <c r="D101" t="s">
        <v>906</v>
      </c>
      <c r="E101" t="s">
        <v>1007</v>
      </c>
      <c r="F101" t="s">
        <v>465</v>
      </c>
      <c r="G101" t="s">
        <v>27</v>
      </c>
      <c r="H101" s="6">
        <v>176539</v>
      </c>
      <c r="I101" s="6">
        <v>8.3823998197360742E-4</v>
      </c>
      <c r="J101" s="6">
        <v>1848.3191602518043</v>
      </c>
      <c r="K101" s="6">
        <v>1231956</v>
      </c>
      <c r="M101" s="6">
        <f t="shared" si="10"/>
        <v>178387.31916025179</v>
      </c>
      <c r="N101" s="6">
        <f t="shared" si="11"/>
        <v>1231956</v>
      </c>
      <c r="O101" s="6">
        <f t="shared" si="12"/>
        <v>1410343.3191602519</v>
      </c>
      <c r="P101" s="8">
        <f>VLOOKUP(F101,'LEAID Match'!$A$2:$B$436,2,FALSE)</f>
        <v>1809720</v>
      </c>
      <c r="Q101" s="6">
        <f t="shared" si="13"/>
        <v>9</v>
      </c>
    </row>
    <row r="102" spans="1:17" x14ac:dyDescent="0.2">
      <c r="A102" s="16">
        <f t="shared" si="9"/>
        <v>1809720</v>
      </c>
      <c r="B102">
        <v>2023</v>
      </c>
      <c r="C102" t="s">
        <v>904</v>
      </c>
      <c r="D102" t="s">
        <v>906</v>
      </c>
      <c r="E102" t="s">
        <v>1008</v>
      </c>
      <c r="F102" t="s">
        <v>465</v>
      </c>
      <c r="G102" t="s">
        <v>27</v>
      </c>
      <c r="H102" s="6">
        <v>213266</v>
      </c>
      <c r="I102" s="6">
        <v>8.7214076045819314E-4</v>
      </c>
      <c r="J102" s="6">
        <v>2151.5712560503625</v>
      </c>
      <c r="K102" s="6">
        <v>3141523</v>
      </c>
      <c r="M102" s="6">
        <f t="shared" si="10"/>
        <v>215417.57125605037</v>
      </c>
      <c r="N102" s="6">
        <f t="shared" si="11"/>
        <v>3141523</v>
      </c>
      <c r="O102" s="6">
        <f t="shared" si="12"/>
        <v>3356940.5712560504</v>
      </c>
      <c r="P102" s="8">
        <f>VLOOKUP(F102,'LEAID Match'!$A$2:$B$436,2,FALSE)</f>
        <v>1809720</v>
      </c>
      <c r="Q102" s="6">
        <f t="shared" si="13"/>
        <v>9</v>
      </c>
    </row>
    <row r="103" spans="1:17" x14ac:dyDescent="0.2">
      <c r="A103" s="16">
        <f t="shared" si="9"/>
        <v>1803660</v>
      </c>
      <c r="B103">
        <v>2015</v>
      </c>
      <c r="C103" t="s">
        <v>904</v>
      </c>
      <c r="D103" t="s">
        <v>906</v>
      </c>
      <c r="E103" t="s">
        <v>1009</v>
      </c>
      <c r="F103" t="s">
        <v>638</v>
      </c>
      <c r="G103" t="s">
        <v>28</v>
      </c>
      <c r="H103" s="6">
        <v>776520</v>
      </c>
      <c r="I103" s="6">
        <v>3.7759892849277429E-3</v>
      </c>
      <c r="J103" s="6">
        <v>21942.273734715112</v>
      </c>
      <c r="K103" s="6">
        <v>3193036.95516345</v>
      </c>
      <c r="M103" s="6">
        <f t="shared" si="10"/>
        <v>798462.27373471507</v>
      </c>
      <c r="N103" s="6">
        <f t="shared" si="11"/>
        <v>3193036.95516345</v>
      </c>
      <c r="O103" s="6">
        <f t="shared" si="12"/>
        <v>3991499.2288981648</v>
      </c>
      <c r="P103" s="8">
        <f>VLOOKUP(F103,'LEAID Match'!$A$2:$B$436,2,FALSE)</f>
        <v>1803660</v>
      </c>
      <c r="Q103" s="6">
        <f t="shared" si="13"/>
        <v>9</v>
      </c>
    </row>
    <row r="104" spans="1:17" x14ac:dyDescent="0.2">
      <c r="A104" s="16">
        <f t="shared" si="9"/>
        <v>1803660</v>
      </c>
      <c r="B104">
        <v>2016</v>
      </c>
      <c r="C104" t="s">
        <v>904</v>
      </c>
      <c r="D104" t="s">
        <v>906</v>
      </c>
      <c r="E104" t="s">
        <v>1010</v>
      </c>
      <c r="F104" t="s">
        <v>638</v>
      </c>
      <c r="G104" t="s">
        <v>28</v>
      </c>
      <c r="H104" s="6">
        <v>796429</v>
      </c>
      <c r="I104" s="6">
        <v>3.6955283744275836E-3</v>
      </c>
      <c r="J104" s="6">
        <v>18655.027234110443</v>
      </c>
      <c r="K104" s="6">
        <v>3279781.4323044801</v>
      </c>
      <c r="M104" s="6">
        <f t="shared" si="10"/>
        <v>815084.0272341104</v>
      </c>
      <c r="N104" s="6">
        <f t="shared" si="11"/>
        <v>3279781.4323044801</v>
      </c>
      <c r="O104" s="6">
        <f t="shared" si="12"/>
        <v>4094865.4595385906</v>
      </c>
      <c r="P104" s="8">
        <f>VLOOKUP(F104,'LEAID Match'!$A$2:$B$436,2,FALSE)</f>
        <v>1803660</v>
      </c>
      <c r="Q104" s="6">
        <f t="shared" si="13"/>
        <v>9</v>
      </c>
    </row>
    <row r="105" spans="1:17" x14ac:dyDescent="0.2">
      <c r="A105" s="16">
        <f t="shared" si="9"/>
        <v>1803660</v>
      </c>
      <c r="B105">
        <v>2017</v>
      </c>
      <c r="C105" t="s">
        <v>904</v>
      </c>
      <c r="D105" t="s">
        <v>906</v>
      </c>
      <c r="E105" t="s">
        <v>1011</v>
      </c>
      <c r="F105" t="s">
        <v>638</v>
      </c>
      <c r="G105" t="s">
        <v>28</v>
      </c>
      <c r="H105" s="6">
        <v>769736</v>
      </c>
      <c r="I105" s="6">
        <v>3.3894769057583093E-3</v>
      </c>
      <c r="J105" s="6">
        <v>15337.38299855635</v>
      </c>
      <c r="K105" s="6">
        <v>2952234.3849154799</v>
      </c>
      <c r="M105" s="6">
        <f t="shared" si="10"/>
        <v>785073.38299855636</v>
      </c>
      <c r="N105" s="6">
        <f t="shared" si="11"/>
        <v>2952234.3849154799</v>
      </c>
      <c r="O105" s="6">
        <f t="shared" si="12"/>
        <v>3737307.7679140363</v>
      </c>
      <c r="P105" s="8">
        <f>VLOOKUP(F105,'LEAID Match'!$A$2:$B$436,2,FALSE)</f>
        <v>1803660</v>
      </c>
      <c r="Q105" s="6">
        <f t="shared" si="13"/>
        <v>9</v>
      </c>
    </row>
    <row r="106" spans="1:17" x14ac:dyDescent="0.2">
      <c r="A106" s="16">
        <f t="shared" si="9"/>
        <v>1803660</v>
      </c>
      <c r="B106">
        <v>2018</v>
      </c>
      <c r="C106" t="s">
        <v>904</v>
      </c>
      <c r="D106" t="s">
        <v>906</v>
      </c>
      <c r="E106" t="s">
        <v>1012</v>
      </c>
      <c r="F106" t="s">
        <v>638</v>
      </c>
      <c r="G106" t="s">
        <v>28</v>
      </c>
      <c r="H106" s="6">
        <v>790980</v>
      </c>
      <c r="I106" s="6">
        <v>3.3556304707333812E-3</v>
      </c>
      <c r="J106" s="6">
        <v>13986.267802016733</v>
      </c>
      <c r="K106" s="6">
        <v>2401318</v>
      </c>
      <c r="M106" s="6">
        <f t="shared" si="10"/>
        <v>804966.26780201669</v>
      </c>
      <c r="N106" s="6">
        <f t="shared" si="11"/>
        <v>2401318</v>
      </c>
      <c r="O106" s="6">
        <f t="shared" si="12"/>
        <v>3206284.2678020168</v>
      </c>
      <c r="P106" s="8">
        <f>VLOOKUP(F106,'LEAID Match'!$A$2:$B$436,2,FALSE)</f>
        <v>1803660</v>
      </c>
      <c r="Q106" s="6">
        <f t="shared" si="13"/>
        <v>9</v>
      </c>
    </row>
    <row r="107" spans="1:17" x14ac:dyDescent="0.2">
      <c r="A107" s="16">
        <f t="shared" si="9"/>
        <v>1803660</v>
      </c>
      <c r="B107">
        <v>2019</v>
      </c>
      <c r="C107" t="s">
        <v>904</v>
      </c>
      <c r="D107" t="s">
        <v>906</v>
      </c>
      <c r="E107" t="s">
        <v>1013</v>
      </c>
      <c r="F107" t="s">
        <v>638</v>
      </c>
      <c r="G107" t="s">
        <v>28</v>
      </c>
      <c r="H107" s="6">
        <v>812798</v>
      </c>
      <c r="I107" s="6">
        <v>2.06775370384686E-3</v>
      </c>
      <c r="J107" s="6">
        <v>7247.4767319832445</v>
      </c>
      <c r="K107" s="6">
        <v>1951752.72106105</v>
      </c>
      <c r="M107" s="6">
        <f t="shared" si="10"/>
        <v>820045.47673198325</v>
      </c>
      <c r="N107" s="6">
        <f t="shared" si="11"/>
        <v>1951752.72106105</v>
      </c>
      <c r="O107" s="6">
        <f t="shared" si="12"/>
        <v>2771798.197793033</v>
      </c>
      <c r="P107" s="8">
        <f>VLOOKUP(F107,'LEAID Match'!$A$2:$B$436,2,FALSE)</f>
        <v>1803660</v>
      </c>
      <c r="Q107" s="6">
        <f t="shared" si="13"/>
        <v>9</v>
      </c>
    </row>
    <row r="108" spans="1:17" x14ac:dyDescent="0.2">
      <c r="A108" s="16">
        <f t="shared" si="9"/>
        <v>1803660</v>
      </c>
      <c r="B108">
        <v>2020</v>
      </c>
      <c r="C108" t="s">
        <v>904</v>
      </c>
      <c r="D108" t="s">
        <v>906</v>
      </c>
      <c r="E108" t="s">
        <v>1014</v>
      </c>
      <c r="F108" t="s">
        <v>638</v>
      </c>
      <c r="G108" t="s">
        <v>28</v>
      </c>
      <c r="H108" s="6">
        <v>614813</v>
      </c>
      <c r="I108" s="6">
        <v>3.2577143806005156E-3</v>
      </c>
      <c r="J108" s="6">
        <v>7675.1750806948148</v>
      </c>
      <c r="K108" s="6">
        <v>2558836</v>
      </c>
      <c r="M108" s="6">
        <f t="shared" si="10"/>
        <v>622488.17508069484</v>
      </c>
      <c r="N108" s="6">
        <f t="shared" si="11"/>
        <v>2558836</v>
      </c>
      <c r="O108" s="6">
        <f t="shared" si="12"/>
        <v>3181324.1750806947</v>
      </c>
      <c r="P108" s="8">
        <f>VLOOKUP(F108,'LEAID Match'!$A$2:$B$436,2,FALSE)</f>
        <v>1803660</v>
      </c>
      <c r="Q108" s="6">
        <f t="shared" si="13"/>
        <v>9</v>
      </c>
    </row>
    <row r="109" spans="1:17" x14ac:dyDescent="0.2">
      <c r="A109" s="16">
        <f t="shared" si="9"/>
        <v>1803660</v>
      </c>
      <c r="B109">
        <v>2021</v>
      </c>
      <c r="C109" t="s">
        <v>904</v>
      </c>
      <c r="D109" t="s">
        <v>906</v>
      </c>
      <c r="E109" t="s">
        <v>1015</v>
      </c>
      <c r="F109" t="s">
        <v>638</v>
      </c>
      <c r="G109" t="s">
        <v>28</v>
      </c>
      <c r="H109" s="6">
        <v>671548</v>
      </c>
      <c r="I109" s="6">
        <v>3.3175095732456694E-3</v>
      </c>
      <c r="J109" s="6">
        <v>7477.6665780957392</v>
      </c>
      <c r="K109" s="6">
        <v>4038454</v>
      </c>
      <c r="M109" s="6">
        <f t="shared" si="10"/>
        <v>679025.66657809576</v>
      </c>
      <c r="N109" s="6">
        <f t="shared" si="11"/>
        <v>4038454</v>
      </c>
      <c r="O109" s="6">
        <f t="shared" si="12"/>
        <v>4717479.6665780954</v>
      </c>
      <c r="P109" s="8">
        <f>VLOOKUP(F109,'LEAID Match'!$A$2:$B$436,2,FALSE)</f>
        <v>1803660</v>
      </c>
      <c r="Q109" s="6">
        <f t="shared" si="13"/>
        <v>9</v>
      </c>
    </row>
    <row r="110" spans="1:17" x14ac:dyDescent="0.2">
      <c r="A110" s="16">
        <f t="shared" si="9"/>
        <v>1803660</v>
      </c>
      <c r="B110">
        <v>2022</v>
      </c>
      <c r="C110" t="s">
        <v>904</v>
      </c>
      <c r="D110" t="s">
        <v>906</v>
      </c>
      <c r="E110" t="s">
        <v>1016</v>
      </c>
      <c r="F110" t="s">
        <v>638</v>
      </c>
      <c r="G110" t="s">
        <v>28</v>
      </c>
      <c r="H110" s="6">
        <v>603796</v>
      </c>
      <c r="I110" s="6">
        <v>2.8669356241722015E-3</v>
      </c>
      <c r="J110" s="6">
        <v>6321.5930512997047</v>
      </c>
      <c r="K110" s="6">
        <v>4040679</v>
      </c>
      <c r="M110" s="6">
        <f t="shared" si="10"/>
        <v>610117.59305129969</v>
      </c>
      <c r="N110" s="6">
        <f t="shared" si="11"/>
        <v>4040679</v>
      </c>
      <c r="O110" s="6">
        <f t="shared" si="12"/>
        <v>4650796.5930512995</v>
      </c>
      <c r="P110" s="8">
        <f>VLOOKUP(F110,'LEAID Match'!$A$2:$B$436,2,FALSE)</f>
        <v>1803660</v>
      </c>
      <c r="Q110" s="6">
        <f t="shared" si="13"/>
        <v>9</v>
      </c>
    </row>
    <row r="111" spans="1:17" x14ac:dyDescent="0.2">
      <c r="A111" s="16">
        <f t="shared" si="9"/>
        <v>1803660</v>
      </c>
      <c r="B111">
        <v>2023</v>
      </c>
      <c r="C111" t="s">
        <v>904</v>
      </c>
      <c r="D111" t="s">
        <v>906</v>
      </c>
      <c r="E111" t="s">
        <v>1017</v>
      </c>
      <c r="F111" t="s">
        <v>638</v>
      </c>
      <c r="G111" t="s">
        <v>28</v>
      </c>
      <c r="H111" s="6">
        <v>626667</v>
      </c>
      <c r="I111" s="6">
        <v>2.5627237062356614E-3</v>
      </c>
      <c r="J111" s="6">
        <v>6322.2393832833768</v>
      </c>
      <c r="K111" s="6">
        <v>10612487</v>
      </c>
      <c r="M111" s="6">
        <f t="shared" si="10"/>
        <v>632989.23938328342</v>
      </c>
      <c r="N111" s="6">
        <f t="shared" si="11"/>
        <v>10612487</v>
      </c>
      <c r="O111" s="6">
        <f t="shared" si="12"/>
        <v>11245476.239383284</v>
      </c>
      <c r="P111" s="8">
        <f>VLOOKUP(F111,'LEAID Match'!$A$2:$B$436,2,FALSE)</f>
        <v>1803660</v>
      </c>
      <c r="Q111" s="6">
        <f t="shared" si="13"/>
        <v>9</v>
      </c>
    </row>
    <row r="112" spans="1:17" x14ac:dyDescent="0.2">
      <c r="A112" s="16">
        <f t="shared" si="9"/>
        <v>1802440</v>
      </c>
      <c r="B112">
        <v>2015</v>
      </c>
      <c r="C112" t="s">
        <v>904</v>
      </c>
      <c r="D112" t="s">
        <v>906</v>
      </c>
      <c r="E112" t="s">
        <v>1018</v>
      </c>
      <c r="F112" t="s">
        <v>639</v>
      </c>
      <c r="G112" t="s">
        <v>29</v>
      </c>
      <c r="H112" s="6">
        <v>284203</v>
      </c>
      <c r="I112" s="6">
        <v>1.3819959340961203E-3</v>
      </c>
      <c r="J112" s="6">
        <v>8030.7783730325555</v>
      </c>
      <c r="K112" s="6">
        <v>1168637.87380662</v>
      </c>
      <c r="M112" s="6">
        <f t="shared" si="10"/>
        <v>292233.77837303258</v>
      </c>
      <c r="N112" s="6">
        <f t="shared" si="11"/>
        <v>1168637.87380662</v>
      </c>
      <c r="O112" s="6">
        <f t="shared" si="12"/>
        <v>1460871.6521796526</v>
      </c>
      <c r="P112" s="8">
        <f>VLOOKUP(F112,'LEAID Match'!$A$2:$B$436,2,FALSE)</f>
        <v>1802440</v>
      </c>
      <c r="Q112" s="6">
        <f t="shared" si="13"/>
        <v>9</v>
      </c>
    </row>
    <row r="113" spans="1:17" x14ac:dyDescent="0.2">
      <c r="A113" s="16">
        <f t="shared" si="9"/>
        <v>1802440</v>
      </c>
      <c r="B113">
        <v>2016</v>
      </c>
      <c r="C113" t="s">
        <v>904</v>
      </c>
      <c r="D113" t="s">
        <v>906</v>
      </c>
      <c r="E113" t="s">
        <v>1019</v>
      </c>
      <c r="F113" t="s">
        <v>639</v>
      </c>
      <c r="G113" t="s">
        <v>29</v>
      </c>
      <c r="H113" s="6">
        <v>283553</v>
      </c>
      <c r="I113" s="6">
        <v>1.3157207449177072E-3</v>
      </c>
      <c r="J113" s="6">
        <v>6641.7583203445856</v>
      </c>
      <c r="K113" s="6">
        <v>1167702.1611144601</v>
      </c>
      <c r="M113" s="6">
        <f t="shared" si="10"/>
        <v>290194.75832034461</v>
      </c>
      <c r="N113" s="6">
        <f t="shared" si="11"/>
        <v>1167702.1611144601</v>
      </c>
      <c r="O113" s="6">
        <f t="shared" si="12"/>
        <v>1457896.9194348047</v>
      </c>
      <c r="P113" s="8">
        <f>VLOOKUP(F113,'LEAID Match'!$A$2:$B$436,2,FALSE)</f>
        <v>1802440</v>
      </c>
      <c r="Q113" s="6">
        <f t="shared" si="13"/>
        <v>9</v>
      </c>
    </row>
    <row r="114" spans="1:17" x14ac:dyDescent="0.2">
      <c r="A114" s="16">
        <f t="shared" si="9"/>
        <v>1802440</v>
      </c>
      <c r="B114">
        <v>2017</v>
      </c>
      <c r="C114" t="s">
        <v>904</v>
      </c>
      <c r="D114" t="s">
        <v>906</v>
      </c>
      <c r="E114" t="s">
        <v>1020</v>
      </c>
      <c r="F114" t="s">
        <v>639</v>
      </c>
      <c r="G114" t="s">
        <v>29</v>
      </c>
      <c r="H114" s="6">
        <v>294204</v>
      </c>
      <c r="I114" s="6">
        <v>1.2955060742666545E-3</v>
      </c>
      <c r="J114" s="6">
        <v>5862.1649860566122</v>
      </c>
      <c r="K114" s="6">
        <v>1128385.79068625</v>
      </c>
      <c r="M114" s="6">
        <f t="shared" si="10"/>
        <v>300066.16498605662</v>
      </c>
      <c r="N114" s="6">
        <f t="shared" si="11"/>
        <v>1128385.79068625</v>
      </c>
      <c r="O114" s="6">
        <f t="shared" si="12"/>
        <v>1428451.9556723065</v>
      </c>
      <c r="P114" s="8">
        <f>VLOOKUP(F114,'LEAID Match'!$A$2:$B$436,2,FALSE)</f>
        <v>1802440</v>
      </c>
      <c r="Q114" s="6">
        <f t="shared" si="13"/>
        <v>9</v>
      </c>
    </row>
    <row r="115" spans="1:17" x14ac:dyDescent="0.2">
      <c r="A115" s="16">
        <f t="shared" si="9"/>
        <v>1802440</v>
      </c>
      <c r="B115">
        <v>2018</v>
      </c>
      <c r="C115" t="s">
        <v>904</v>
      </c>
      <c r="D115" t="s">
        <v>906</v>
      </c>
      <c r="E115" t="s">
        <v>1021</v>
      </c>
      <c r="F115" t="s">
        <v>639</v>
      </c>
      <c r="G115" t="s">
        <v>29</v>
      </c>
      <c r="H115" s="6">
        <v>342925</v>
      </c>
      <c r="I115" s="6">
        <v>1.4548150132446393E-3</v>
      </c>
      <c r="J115" s="6">
        <v>6063.6689752036564</v>
      </c>
      <c r="K115" s="6">
        <v>1251189</v>
      </c>
      <c r="M115" s="6">
        <f t="shared" si="10"/>
        <v>348988.66897520365</v>
      </c>
      <c r="N115" s="6">
        <f t="shared" si="11"/>
        <v>1251189</v>
      </c>
      <c r="O115" s="6">
        <f t="shared" si="12"/>
        <v>1600177.6689752038</v>
      </c>
      <c r="P115" s="8">
        <f>VLOOKUP(F115,'LEAID Match'!$A$2:$B$436,2,FALSE)</f>
        <v>1802440</v>
      </c>
      <c r="Q115" s="6">
        <f t="shared" si="13"/>
        <v>9</v>
      </c>
    </row>
    <row r="116" spans="1:17" x14ac:dyDescent="0.2">
      <c r="A116" s="16">
        <f t="shared" si="9"/>
        <v>1802440</v>
      </c>
      <c r="B116">
        <v>2019</v>
      </c>
      <c r="C116" t="s">
        <v>904</v>
      </c>
      <c r="D116" t="s">
        <v>906</v>
      </c>
      <c r="E116" t="s">
        <v>1022</v>
      </c>
      <c r="F116" t="s">
        <v>639</v>
      </c>
      <c r="G116" t="s">
        <v>29</v>
      </c>
      <c r="H116" s="6">
        <v>339798</v>
      </c>
      <c r="I116" s="6">
        <v>8.6444426912929819E-4</v>
      </c>
      <c r="J116" s="6">
        <v>3029.8771632981902</v>
      </c>
      <c r="K116" s="6">
        <v>815948.94563114399</v>
      </c>
      <c r="M116" s="6">
        <f t="shared" si="10"/>
        <v>342827.8771632982</v>
      </c>
      <c r="N116" s="6">
        <f t="shared" si="11"/>
        <v>815948.94563114399</v>
      </c>
      <c r="O116" s="6">
        <f t="shared" si="12"/>
        <v>1158776.8227944421</v>
      </c>
      <c r="P116" s="8">
        <f>VLOOKUP(F116,'LEAID Match'!$A$2:$B$436,2,FALSE)</f>
        <v>1802440</v>
      </c>
      <c r="Q116" s="6">
        <f t="shared" si="13"/>
        <v>9</v>
      </c>
    </row>
    <row r="117" spans="1:17" x14ac:dyDescent="0.2">
      <c r="A117" s="16">
        <f t="shared" si="9"/>
        <v>1802440</v>
      </c>
      <c r="B117">
        <v>2020</v>
      </c>
      <c r="C117" t="s">
        <v>904</v>
      </c>
      <c r="D117" t="s">
        <v>906</v>
      </c>
      <c r="E117" t="s">
        <v>1023</v>
      </c>
      <c r="F117" t="s">
        <v>639</v>
      </c>
      <c r="G117" t="s">
        <v>29</v>
      </c>
      <c r="H117" s="6">
        <v>257379</v>
      </c>
      <c r="I117" s="6">
        <v>1.3637760905585601E-3</v>
      </c>
      <c r="J117" s="6">
        <v>3213.0564693559677</v>
      </c>
      <c r="K117" s="6">
        <v>1270241</v>
      </c>
      <c r="M117" s="6">
        <f t="shared" si="10"/>
        <v>260592.05646935597</v>
      </c>
      <c r="N117" s="6">
        <f t="shared" si="11"/>
        <v>1270241</v>
      </c>
      <c r="O117" s="6">
        <f t="shared" si="12"/>
        <v>1530833.0564693559</v>
      </c>
      <c r="P117" s="8">
        <f>VLOOKUP(F117,'LEAID Match'!$A$2:$B$436,2,FALSE)</f>
        <v>1802440</v>
      </c>
      <c r="Q117" s="6">
        <f t="shared" si="13"/>
        <v>9</v>
      </c>
    </row>
    <row r="118" spans="1:17" x14ac:dyDescent="0.2">
      <c r="A118" s="16">
        <f t="shared" si="9"/>
        <v>1802440</v>
      </c>
      <c r="B118">
        <v>2021</v>
      </c>
      <c r="C118" t="s">
        <v>904</v>
      </c>
      <c r="D118" t="s">
        <v>906</v>
      </c>
      <c r="E118" t="s">
        <v>1024</v>
      </c>
      <c r="F118" t="s">
        <v>639</v>
      </c>
      <c r="G118" t="s">
        <v>29</v>
      </c>
      <c r="H118" s="6">
        <v>266985</v>
      </c>
      <c r="I118" s="6">
        <v>1.3189307293194159E-3</v>
      </c>
      <c r="J118" s="6">
        <v>2972.8698638859632</v>
      </c>
      <c r="K118" s="6">
        <v>2018108</v>
      </c>
      <c r="M118" s="6">
        <f t="shared" si="10"/>
        <v>269957.86986388598</v>
      </c>
      <c r="N118" s="6">
        <f t="shared" si="11"/>
        <v>2018108</v>
      </c>
      <c r="O118" s="6">
        <f t="shared" si="12"/>
        <v>2288065.8698638859</v>
      </c>
      <c r="P118" s="8">
        <f>VLOOKUP(F118,'LEAID Match'!$A$2:$B$436,2,FALSE)</f>
        <v>1802440</v>
      </c>
      <c r="Q118" s="6">
        <f t="shared" si="13"/>
        <v>9</v>
      </c>
    </row>
    <row r="119" spans="1:17" x14ac:dyDescent="0.2">
      <c r="A119" s="16">
        <f t="shared" si="9"/>
        <v>1802440</v>
      </c>
      <c r="B119">
        <v>2022</v>
      </c>
      <c r="C119" t="s">
        <v>904</v>
      </c>
      <c r="D119" t="s">
        <v>906</v>
      </c>
      <c r="E119" t="s">
        <v>1025</v>
      </c>
      <c r="F119" t="s">
        <v>639</v>
      </c>
      <c r="G119" t="s">
        <v>29</v>
      </c>
      <c r="H119" s="6">
        <v>296640</v>
      </c>
      <c r="I119" s="6">
        <v>1.4085018508808304E-3</v>
      </c>
      <c r="J119" s="6">
        <v>3105.7465811922311</v>
      </c>
      <c r="K119" s="6">
        <v>1962975</v>
      </c>
      <c r="M119" s="6">
        <f t="shared" si="10"/>
        <v>299745.74658119224</v>
      </c>
      <c r="N119" s="6">
        <f t="shared" si="11"/>
        <v>1962975</v>
      </c>
      <c r="O119" s="6">
        <f t="shared" si="12"/>
        <v>2262720.7465811921</v>
      </c>
      <c r="P119" s="8">
        <f>VLOOKUP(F119,'LEAID Match'!$A$2:$B$436,2,FALSE)</f>
        <v>1802440</v>
      </c>
      <c r="Q119" s="6">
        <f t="shared" si="13"/>
        <v>9</v>
      </c>
    </row>
    <row r="120" spans="1:17" x14ac:dyDescent="0.2">
      <c r="A120" s="16">
        <f t="shared" si="9"/>
        <v>1802440</v>
      </c>
      <c r="B120">
        <v>2023</v>
      </c>
      <c r="C120" t="s">
        <v>904</v>
      </c>
      <c r="D120" t="s">
        <v>906</v>
      </c>
      <c r="E120" t="s">
        <v>1026</v>
      </c>
      <c r="F120" t="s">
        <v>639</v>
      </c>
      <c r="G120" t="s">
        <v>29</v>
      </c>
      <c r="H120" s="6">
        <v>345193</v>
      </c>
      <c r="I120" s="6">
        <v>1.4116497028351686E-3</v>
      </c>
      <c r="J120" s="6">
        <v>3482.5398168943611</v>
      </c>
      <c r="K120" s="6">
        <v>4643678</v>
      </c>
      <c r="M120" s="6">
        <f t="shared" si="10"/>
        <v>348675.53981689434</v>
      </c>
      <c r="N120" s="6">
        <f t="shared" si="11"/>
        <v>4643678</v>
      </c>
      <c r="O120" s="6">
        <f t="shared" si="12"/>
        <v>4992353.5398168946</v>
      </c>
      <c r="P120" s="8">
        <f>VLOOKUP(F120,'LEAID Match'!$A$2:$B$436,2,FALSE)</f>
        <v>1802440</v>
      </c>
      <c r="Q120" s="6">
        <f t="shared" si="13"/>
        <v>9</v>
      </c>
    </row>
    <row r="121" spans="1:17" x14ac:dyDescent="0.2">
      <c r="A121" s="16">
        <f t="shared" si="9"/>
        <v>1812450</v>
      </c>
      <c r="B121">
        <v>2015</v>
      </c>
      <c r="C121" t="s">
        <v>904</v>
      </c>
      <c r="D121" t="s">
        <v>906</v>
      </c>
      <c r="E121" t="s">
        <v>1027</v>
      </c>
      <c r="F121" t="s">
        <v>640</v>
      </c>
      <c r="G121" t="s">
        <v>30</v>
      </c>
      <c r="H121" s="6">
        <v>359961</v>
      </c>
      <c r="I121" s="6">
        <v>1.7503848954204338E-3</v>
      </c>
      <c r="J121" s="6">
        <v>10171.486627288141</v>
      </c>
      <c r="K121" s="6">
        <v>1480153.47372584</v>
      </c>
      <c r="M121" s="6">
        <f t="shared" si="10"/>
        <v>370132.48662728816</v>
      </c>
      <c r="N121" s="6">
        <f t="shared" si="11"/>
        <v>1480153.47372584</v>
      </c>
      <c r="O121" s="6">
        <f t="shared" si="12"/>
        <v>1850285.9603531281</v>
      </c>
      <c r="P121" s="8">
        <f>VLOOKUP(F121,'LEAID Match'!$A$2:$B$436,2,FALSE)</f>
        <v>1812450</v>
      </c>
      <c r="Q121" s="6">
        <f t="shared" si="13"/>
        <v>9</v>
      </c>
    </row>
    <row r="122" spans="1:17" x14ac:dyDescent="0.2">
      <c r="A122" s="16">
        <f t="shared" si="9"/>
        <v>1812450</v>
      </c>
      <c r="B122">
        <v>2016</v>
      </c>
      <c r="C122" t="s">
        <v>904</v>
      </c>
      <c r="D122" t="s">
        <v>906</v>
      </c>
      <c r="E122" t="s">
        <v>1028</v>
      </c>
      <c r="F122" t="s">
        <v>640</v>
      </c>
      <c r="G122" t="s">
        <v>30</v>
      </c>
      <c r="H122" s="6">
        <v>377933</v>
      </c>
      <c r="I122" s="6">
        <v>1.7536555363159049E-3</v>
      </c>
      <c r="J122" s="6">
        <v>8852.4531473226871</v>
      </c>
      <c r="K122" s="6">
        <v>1556369.2884803601</v>
      </c>
      <c r="M122" s="6">
        <f t="shared" si="10"/>
        <v>386785.4531473227</v>
      </c>
      <c r="N122" s="6">
        <f t="shared" si="11"/>
        <v>1556369.2884803601</v>
      </c>
      <c r="O122" s="6">
        <f t="shared" si="12"/>
        <v>1943154.7416276827</v>
      </c>
      <c r="P122" s="8">
        <f>VLOOKUP(F122,'LEAID Match'!$A$2:$B$436,2,FALSE)</f>
        <v>1812450</v>
      </c>
      <c r="Q122" s="6">
        <f t="shared" si="13"/>
        <v>9</v>
      </c>
    </row>
    <row r="123" spans="1:17" x14ac:dyDescent="0.2">
      <c r="A123" s="16">
        <f t="shared" si="9"/>
        <v>1812450</v>
      </c>
      <c r="B123">
        <v>2017</v>
      </c>
      <c r="C123" t="s">
        <v>904</v>
      </c>
      <c r="D123" t="s">
        <v>906</v>
      </c>
      <c r="E123" t="s">
        <v>1029</v>
      </c>
      <c r="F123" t="s">
        <v>640</v>
      </c>
      <c r="G123" t="s">
        <v>30</v>
      </c>
      <c r="H123" s="6">
        <v>399317</v>
      </c>
      <c r="I123" s="6">
        <v>1.7583635812495333E-3</v>
      </c>
      <c r="J123" s="6">
        <v>7956.5952051541381</v>
      </c>
      <c r="K123" s="6">
        <v>1531534.6792683401</v>
      </c>
      <c r="M123" s="6">
        <f t="shared" si="10"/>
        <v>407273.59520515415</v>
      </c>
      <c r="N123" s="6">
        <f t="shared" si="11"/>
        <v>1531534.6792683401</v>
      </c>
      <c r="O123" s="6">
        <f t="shared" si="12"/>
        <v>1938808.2744734944</v>
      </c>
      <c r="P123" s="8">
        <f>VLOOKUP(F123,'LEAID Match'!$A$2:$B$436,2,FALSE)</f>
        <v>1812450</v>
      </c>
      <c r="Q123" s="6">
        <f t="shared" si="13"/>
        <v>9</v>
      </c>
    </row>
    <row r="124" spans="1:17" x14ac:dyDescent="0.2">
      <c r="A124" s="16">
        <f t="shared" si="9"/>
        <v>1812450</v>
      </c>
      <c r="B124">
        <v>2018</v>
      </c>
      <c r="C124" t="s">
        <v>904</v>
      </c>
      <c r="D124" t="s">
        <v>906</v>
      </c>
      <c r="E124" t="s">
        <v>1030</v>
      </c>
      <c r="F124" t="s">
        <v>640</v>
      </c>
      <c r="G124" t="s">
        <v>30</v>
      </c>
      <c r="H124" s="6">
        <v>416190</v>
      </c>
      <c r="I124" s="6">
        <v>1.765632311328385E-3</v>
      </c>
      <c r="J124" s="6">
        <v>7359.1554736167091</v>
      </c>
      <c r="K124" s="6">
        <v>2238850</v>
      </c>
      <c r="M124" s="6">
        <f t="shared" si="10"/>
        <v>423549.15547361673</v>
      </c>
      <c r="N124" s="6">
        <f t="shared" si="11"/>
        <v>2238850</v>
      </c>
      <c r="O124" s="6">
        <f t="shared" si="12"/>
        <v>2662399.1554736169</v>
      </c>
      <c r="P124" s="8">
        <f>VLOOKUP(F124,'LEAID Match'!$A$2:$B$436,2,FALSE)</f>
        <v>1812450</v>
      </c>
      <c r="Q124" s="6">
        <f t="shared" si="13"/>
        <v>9</v>
      </c>
    </row>
    <row r="125" spans="1:17" x14ac:dyDescent="0.2">
      <c r="A125" s="16">
        <f t="shared" si="9"/>
        <v>1812450</v>
      </c>
      <c r="B125">
        <v>2019</v>
      </c>
      <c r="C125" t="s">
        <v>904</v>
      </c>
      <c r="D125" t="s">
        <v>906</v>
      </c>
      <c r="E125" t="s">
        <v>1031</v>
      </c>
      <c r="F125" t="s">
        <v>640</v>
      </c>
      <c r="G125" t="s">
        <v>30</v>
      </c>
      <c r="H125" s="6">
        <v>430220</v>
      </c>
      <c r="I125" s="6">
        <v>1.0944773467319016E-3</v>
      </c>
      <c r="J125" s="6">
        <v>3836.143100295315</v>
      </c>
      <c r="K125" s="6">
        <v>1033077.1675802401</v>
      </c>
      <c r="M125" s="6">
        <f t="shared" si="10"/>
        <v>434056.14310029533</v>
      </c>
      <c r="N125" s="6">
        <f t="shared" si="11"/>
        <v>1033077.1675802401</v>
      </c>
      <c r="O125" s="6">
        <f t="shared" si="12"/>
        <v>1467133.3106805354</v>
      </c>
      <c r="P125" s="8">
        <f>VLOOKUP(F125,'LEAID Match'!$A$2:$B$436,2,FALSE)</f>
        <v>1812450</v>
      </c>
      <c r="Q125" s="6">
        <f t="shared" si="13"/>
        <v>9</v>
      </c>
    </row>
    <row r="126" spans="1:17" x14ac:dyDescent="0.2">
      <c r="A126" s="16">
        <f t="shared" si="9"/>
        <v>1812450</v>
      </c>
      <c r="B126">
        <v>2020</v>
      </c>
      <c r="C126" t="s">
        <v>904</v>
      </c>
      <c r="D126" t="s">
        <v>906</v>
      </c>
      <c r="E126" t="s">
        <v>1032</v>
      </c>
      <c r="F126" t="s">
        <v>640</v>
      </c>
      <c r="G126" t="s">
        <v>30</v>
      </c>
      <c r="H126" s="6">
        <v>337699</v>
      </c>
      <c r="I126" s="6">
        <v>1.7893682934720207E-3</v>
      </c>
      <c r="J126" s="6">
        <v>4215.7516994200805</v>
      </c>
      <c r="K126" s="6">
        <v>2300903</v>
      </c>
      <c r="M126" s="6">
        <f t="shared" si="10"/>
        <v>341914.7516994201</v>
      </c>
      <c r="N126" s="6">
        <f t="shared" si="11"/>
        <v>2300903</v>
      </c>
      <c r="O126" s="6">
        <f t="shared" si="12"/>
        <v>2642817.7516994202</v>
      </c>
      <c r="P126" s="8">
        <f>VLOOKUP(F126,'LEAID Match'!$A$2:$B$436,2,FALSE)</f>
        <v>1812450</v>
      </c>
      <c r="Q126" s="6">
        <f t="shared" si="13"/>
        <v>9</v>
      </c>
    </row>
    <row r="127" spans="1:17" x14ac:dyDescent="0.2">
      <c r="A127" s="16">
        <f t="shared" si="9"/>
        <v>1812450</v>
      </c>
      <c r="B127">
        <v>2021</v>
      </c>
      <c r="C127" t="s">
        <v>904</v>
      </c>
      <c r="D127" t="s">
        <v>906</v>
      </c>
      <c r="E127" t="s">
        <v>1033</v>
      </c>
      <c r="F127" t="s">
        <v>640</v>
      </c>
      <c r="G127" t="s">
        <v>30</v>
      </c>
      <c r="H127" s="6">
        <v>336743</v>
      </c>
      <c r="I127" s="6">
        <v>1.6635417367387984E-3</v>
      </c>
      <c r="J127" s="6">
        <v>3749.6230746092515</v>
      </c>
      <c r="K127" s="6">
        <v>3835620</v>
      </c>
      <c r="M127" s="6">
        <f t="shared" si="10"/>
        <v>340492.62307460926</v>
      </c>
      <c r="N127" s="6">
        <f t="shared" si="11"/>
        <v>3835620</v>
      </c>
      <c r="O127" s="6">
        <f t="shared" si="12"/>
        <v>4176112.6230746093</v>
      </c>
      <c r="P127" s="8">
        <f>VLOOKUP(F127,'LEAID Match'!$A$2:$B$436,2,FALSE)</f>
        <v>1812450</v>
      </c>
      <c r="Q127" s="6">
        <f t="shared" si="13"/>
        <v>9</v>
      </c>
    </row>
    <row r="128" spans="1:17" x14ac:dyDescent="0.2">
      <c r="A128" s="16">
        <f t="shared" si="9"/>
        <v>1812450</v>
      </c>
      <c r="B128">
        <v>2022</v>
      </c>
      <c r="C128" t="s">
        <v>904</v>
      </c>
      <c r="D128" t="s">
        <v>906</v>
      </c>
      <c r="E128" t="s">
        <v>1034</v>
      </c>
      <c r="F128" t="s">
        <v>640</v>
      </c>
      <c r="G128" t="s">
        <v>30</v>
      </c>
      <c r="H128" s="6">
        <v>383385</v>
      </c>
      <c r="I128" s="6">
        <v>1.8203832325375778E-3</v>
      </c>
      <c r="J128" s="6">
        <v>4013.9450277453589</v>
      </c>
      <c r="K128" s="6">
        <v>3758815</v>
      </c>
      <c r="M128" s="6">
        <f t="shared" si="10"/>
        <v>387398.94502774539</v>
      </c>
      <c r="N128" s="6">
        <f t="shared" si="11"/>
        <v>3758815</v>
      </c>
      <c r="O128" s="6">
        <f t="shared" si="12"/>
        <v>4146213.9450277453</v>
      </c>
      <c r="P128" s="8">
        <f>VLOOKUP(F128,'LEAID Match'!$A$2:$B$436,2,FALSE)</f>
        <v>1812450</v>
      </c>
      <c r="Q128" s="6">
        <f t="shared" si="13"/>
        <v>9</v>
      </c>
    </row>
    <row r="129" spans="1:17" x14ac:dyDescent="0.2">
      <c r="A129" s="16">
        <f t="shared" si="9"/>
        <v>1812450</v>
      </c>
      <c r="B129">
        <v>2023</v>
      </c>
      <c r="C129" t="s">
        <v>904</v>
      </c>
      <c r="D129" t="s">
        <v>906</v>
      </c>
      <c r="E129" t="s">
        <v>1035</v>
      </c>
      <c r="F129" t="s">
        <v>640</v>
      </c>
      <c r="G129" t="s">
        <v>30</v>
      </c>
      <c r="H129" s="6">
        <v>442538</v>
      </c>
      <c r="I129" s="6">
        <v>1.8097372663793004E-3</v>
      </c>
      <c r="J129" s="6">
        <v>4464.6218361577339</v>
      </c>
      <c r="K129" s="6">
        <v>10634085</v>
      </c>
      <c r="M129" s="6">
        <f t="shared" si="10"/>
        <v>447002.62183615775</v>
      </c>
      <c r="N129" s="6">
        <f t="shared" si="11"/>
        <v>10634085</v>
      </c>
      <c r="O129" s="6">
        <f t="shared" si="12"/>
        <v>11081087.621836158</v>
      </c>
      <c r="P129" s="8">
        <f>VLOOKUP(F129,'LEAID Match'!$A$2:$B$436,2,FALSE)</f>
        <v>1812450</v>
      </c>
      <c r="Q129" s="6">
        <f t="shared" si="13"/>
        <v>9</v>
      </c>
    </row>
    <row r="130" spans="1:17" x14ac:dyDescent="0.2">
      <c r="A130" s="16">
        <f t="shared" si="9"/>
        <v>1800330</v>
      </c>
      <c r="B130">
        <v>2015</v>
      </c>
      <c r="C130" t="s">
        <v>904</v>
      </c>
      <c r="D130" t="s">
        <v>906</v>
      </c>
      <c r="E130" t="s">
        <v>1036</v>
      </c>
      <c r="F130" t="s">
        <v>641</v>
      </c>
      <c r="G130" t="s">
        <v>31</v>
      </c>
      <c r="H130" s="6">
        <v>165930</v>
      </c>
      <c r="I130" s="6">
        <v>8.0686898218727192E-4</v>
      </c>
      <c r="J130" s="6">
        <v>4688.7156554902367</v>
      </c>
      <c r="K130" s="6">
        <v>682301.32124127203</v>
      </c>
      <c r="M130" s="6">
        <f t="shared" si="10"/>
        <v>170618.71565549023</v>
      </c>
      <c r="N130" s="6">
        <f t="shared" si="11"/>
        <v>682301.32124127203</v>
      </c>
      <c r="O130" s="6">
        <f t="shared" si="12"/>
        <v>852920.03689676221</v>
      </c>
      <c r="P130" s="8">
        <f>VLOOKUP(F130,'LEAID Match'!$A$2:$B$436,2,FALSE)</f>
        <v>1800330</v>
      </c>
      <c r="Q130" s="6">
        <f t="shared" si="13"/>
        <v>9</v>
      </c>
    </row>
    <row r="131" spans="1:17" x14ac:dyDescent="0.2">
      <c r="A131" s="16">
        <f t="shared" ref="A131:A194" si="14">P131</f>
        <v>1800330</v>
      </c>
      <c r="B131">
        <v>2016</v>
      </c>
      <c r="C131" t="s">
        <v>904</v>
      </c>
      <c r="D131" t="s">
        <v>906</v>
      </c>
      <c r="E131" t="s">
        <v>1037</v>
      </c>
      <c r="F131" t="s">
        <v>641</v>
      </c>
      <c r="G131" t="s">
        <v>31</v>
      </c>
      <c r="H131" s="6">
        <v>167182</v>
      </c>
      <c r="I131" s="6">
        <v>7.7574501266723368E-4</v>
      </c>
      <c r="J131" s="6">
        <v>3915.9608239441955</v>
      </c>
      <c r="K131" s="6">
        <v>688473.69874216896</v>
      </c>
      <c r="M131" s="6">
        <f t="shared" ref="M131:M194" si="15">SUM(H131,J131)</f>
        <v>171097.96082394419</v>
      </c>
      <c r="N131" s="6">
        <f t="shared" ref="N131:N194" si="16">K131</f>
        <v>688473.69874216896</v>
      </c>
      <c r="O131" s="6">
        <f t="shared" ref="O131:O194" si="17">SUM(M131:N131)</f>
        <v>859571.65956611314</v>
      </c>
      <c r="P131" s="8">
        <f>VLOOKUP(F131,'LEAID Match'!$A$2:$B$436,2,FALSE)</f>
        <v>1800330</v>
      </c>
      <c r="Q131" s="6">
        <f t="shared" ref="Q131:Q194" si="18">COUNTIF($P$2:$P$3691,P131)</f>
        <v>9</v>
      </c>
    </row>
    <row r="132" spans="1:17" x14ac:dyDescent="0.2">
      <c r="A132" s="16">
        <f t="shared" si="14"/>
        <v>1800330</v>
      </c>
      <c r="B132">
        <v>2017</v>
      </c>
      <c r="C132" t="s">
        <v>904</v>
      </c>
      <c r="D132" t="s">
        <v>906</v>
      </c>
      <c r="E132" t="s">
        <v>1038</v>
      </c>
      <c r="F132" t="s">
        <v>641</v>
      </c>
      <c r="G132" t="s">
        <v>31</v>
      </c>
      <c r="H132" s="6">
        <v>177032</v>
      </c>
      <c r="I132" s="6">
        <v>7.7954763136998267E-4</v>
      </c>
      <c r="J132" s="6">
        <v>3527.4530319491714</v>
      </c>
      <c r="K132" s="6">
        <v>678985.98692325398</v>
      </c>
      <c r="M132" s="6">
        <f t="shared" si="15"/>
        <v>180559.45303194918</v>
      </c>
      <c r="N132" s="6">
        <f t="shared" si="16"/>
        <v>678985.98692325398</v>
      </c>
      <c r="O132" s="6">
        <f t="shared" si="17"/>
        <v>859545.4399552031</v>
      </c>
      <c r="P132" s="8">
        <f>VLOOKUP(F132,'LEAID Match'!$A$2:$B$436,2,FALSE)</f>
        <v>1800330</v>
      </c>
      <c r="Q132" s="6">
        <f t="shared" si="18"/>
        <v>9</v>
      </c>
    </row>
    <row r="133" spans="1:17" x14ac:dyDescent="0.2">
      <c r="A133" s="16">
        <f t="shared" si="14"/>
        <v>1800330</v>
      </c>
      <c r="B133">
        <v>2018</v>
      </c>
      <c r="C133" t="s">
        <v>904</v>
      </c>
      <c r="D133" t="s">
        <v>906</v>
      </c>
      <c r="E133" t="s">
        <v>1039</v>
      </c>
      <c r="F133" t="s">
        <v>641</v>
      </c>
      <c r="G133" t="s">
        <v>31</v>
      </c>
      <c r="H133" s="6">
        <v>188554</v>
      </c>
      <c r="I133" s="6">
        <v>7.9991598748218912E-4</v>
      </c>
      <c r="J133" s="6">
        <v>3334.0498358257641</v>
      </c>
      <c r="K133" s="6">
        <v>733219</v>
      </c>
      <c r="M133" s="6">
        <f t="shared" si="15"/>
        <v>191888.04983582578</v>
      </c>
      <c r="N133" s="6">
        <f t="shared" si="16"/>
        <v>733219</v>
      </c>
      <c r="O133" s="6">
        <f t="shared" si="17"/>
        <v>925107.0498358258</v>
      </c>
      <c r="P133" s="8">
        <f>VLOOKUP(F133,'LEAID Match'!$A$2:$B$436,2,FALSE)</f>
        <v>1800330</v>
      </c>
      <c r="Q133" s="6">
        <f t="shared" si="18"/>
        <v>9</v>
      </c>
    </row>
    <row r="134" spans="1:17" x14ac:dyDescent="0.2">
      <c r="A134" s="16">
        <f t="shared" si="14"/>
        <v>1800330</v>
      </c>
      <c r="B134">
        <v>2019</v>
      </c>
      <c r="C134" t="s">
        <v>904</v>
      </c>
      <c r="D134" t="s">
        <v>906</v>
      </c>
      <c r="E134" t="s">
        <v>1040</v>
      </c>
      <c r="F134" t="s">
        <v>641</v>
      </c>
      <c r="G134" t="s">
        <v>31</v>
      </c>
      <c r="H134" s="6">
        <v>205397</v>
      </c>
      <c r="I134" s="6">
        <v>5.2252885404372731E-4</v>
      </c>
      <c r="J134" s="6">
        <v>1831.4636334232641</v>
      </c>
      <c r="K134" s="6">
        <v>493214.98533187399</v>
      </c>
      <c r="M134" s="6">
        <f t="shared" si="15"/>
        <v>207228.46363342326</v>
      </c>
      <c r="N134" s="6">
        <f t="shared" si="16"/>
        <v>493214.98533187399</v>
      </c>
      <c r="O134" s="6">
        <f t="shared" si="17"/>
        <v>700443.44896529731</v>
      </c>
      <c r="P134" s="8">
        <f>VLOOKUP(F134,'LEAID Match'!$A$2:$B$436,2,FALSE)</f>
        <v>1800330</v>
      </c>
      <c r="Q134" s="6">
        <f t="shared" si="18"/>
        <v>9</v>
      </c>
    </row>
    <row r="135" spans="1:17" x14ac:dyDescent="0.2">
      <c r="A135" s="16">
        <f t="shared" si="14"/>
        <v>1800330</v>
      </c>
      <c r="B135">
        <v>2020</v>
      </c>
      <c r="C135" t="s">
        <v>904</v>
      </c>
      <c r="D135" t="s">
        <v>906</v>
      </c>
      <c r="E135" t="s">
        <v>1041</v>
      </c>
      <c r="F135" t="s">
        <v>641</v>
      </c>
      <c r="G135" t="s">
        <v>31</v>
      </c>
      <c r="H135" s="6">
        <v>162058</v>
      </c>
      <c r="I135" s="6">
        <v>8.5869797335345595E-4</v>
      </c>
      <c r="J135" s="6">
        <v>2023.0924252207421</v>
      </c>
      <c r="K135" s="6">
        <v>745441</v>
      </c>
      <c r="M135" s="6">
        <f t="shared" si="15"/>
        <v>164081.09242522073</v>
      </c>
      <c r="N135" s="6">
        <f t="shared" si="16"/>
        <v>745441</v>
      </c>
      <c r="O135" s="6">
        <f t="shared" si="17"/>
        <v>909522.09242522076</v>
      </c>
      <c r="P135" s="8">
        <f>VLOOKUP(F135,'LEAID Match'!$A$2:$B$436,2,FALSE)</f>
        <v>1800330</v>
      </c>
      <c r="Q135" s="6">
        <f t="shared" si="18"/>
        <v>9</v>
      </c>
    </row>
    <row r="136" spans="1:17" x14ac:dyDescent="0.2">
      <c r="A136" s="16">
        <f t="shared" si="14"/>
        <v>1800330</v>
      </c>
      <c r="B136">
        <v>2021</v>
      </c>
      <c r="C136" t="s">
        <v>904</v>
      </c>
      <c r="D136" t="s">
        <v>906</v>
      </c>
      <c r="E136" t="s">
        <v>1042</v>
      </c>
      <c r="F136" t="s">
        <v>641</v>
      </c>
      <c r="G136" t="s">
        <v>31</v>
      </c>
      <c r="H136" s="6">
        <v>171269</v>
      </c>
      <c r="I136" s="6">
        <v>8.4608478783379981E-4</v>
      </c>
      <c r="J136" s="6">
        <v>1907.0751117773848</v>
      </c>
      <c r="K136" s="6">
        <v>1280778</v>
      </c>
      <c r="M136" s="6">
        <f t="shared" si="15"/>
        <v>173176.07511177738</v>
      </c>
      <c r="N136" s="6">
        <f t="shared" si="16"/>
        <v>1280778</v>
      </c>
      <c r="O136" s="6">
        <f t="shared" si="17"/>
        <v>1453954.0751117773</v>
      </c>
      <c r="P136" s="8">
        <f>VLOOKUP(F136,'LEAID Match'!$A$2:$B$436,2,FALSE)</f>
        <v>1800330</v>
      </c>
      <c r="Q136" s="6">
        <f t="shared" si="18"/>
        <v>9</v>
      </c>
    </row>
    <row r="137" spans="1:17" x14ac:dyDescent="0.2">
      <c r="A137" s="16">
        <f t="shared" si="14"/>
        <v>1800330</v>
      </c>
      <c r="B137">
        <v>2022</v>
      </c>
      <c r="C137" t="s">
        <v>904</v>
      </c>
      <c r="D137" t="s">
        <v>906</v>
      </c>
      <c r="E137" t="s">
        <v>1043</v>
      </c>
      <c r="F137" t="s">
        <v>641</v>
      </c>
      <c r="G137" t="s">
        <v>31</v>
      </c>
      <c r="H137" s="6">
        <v>183813</v>
      </c>
      <c r="I137" s="6">
        <v>8.7277828585476688E-4</v>
      </c>
      <c r="J137" s="6">
        <v>1924.476120309761</v>
      </c>
      <c r="K137" s="6">
        <v>1252421</v>
      </c>
      <c r="M137" s="6">
        <f t="shared" si="15"/>
        <v>185737.47612030976</v>
      </c>
      <c r="N137" s="6">
        <f t="shared" si="16"/>
        <v>1252421</v>
      </c>
      <c r="O137" s="6">
        <f t="shared" si="17"/>
        <v>1438158.4761203097</v>
      </c>
      <c r="P137" s="8">
        <f>VLOOKUP(F137,'LEAID Match'!$A$2:$B$436,2,FALSE)</f>
        <v>1800330</v>
      </c>
      <c r="Q137" s="6">
        <f t="shared" si="18"/>
        <v>9</v>
      </c>
    </row>
    <row r="138" spans="1:17" x14ac:dyDescent="0.2">
      <c r="A138" s="16">
        <f t="shared" si="14"/>
        <v>1800330</v>
      </c>
      <c r="B138">
        <v>2023</v>
      </c>
      <c r="C138" t="s">
        <v>904</v>
      </c>
      <c r="D138" t="s">
        <v>906</v>
      </c>
      <c r="E138" t="s">
        <v>1044</v>
      </c>
      <c r="F138" t="s">
        <v>641</v>
      </c>
      <c r="G138" t="s">
        <v>31</v>
      </c>
      <c r="H138" s="6">
        <v>214957</v>
      </c>
      <c r="I138" s="6">
        <v>8.7905602133397649E-4</v>
      </c>
      <c r="J138" s="6">
        <v>2168.6312046309199</v>
      </c>
      <c r="K138" s="6">
        <v>4149030</v>
      </c>
      <c r="M138" s="6">
        <f t="shared" si="15"/>
        <v>217125.63120463092</v>
      </c>
      <c r="N138" s="6">
        <f t="shared" si="16"/>
        <v>4149030</v>
      </c>
      <c r="O138" s="6">
        <f t="shared" si="17"/>
        <v>4366155.6312046312</v>
      </c>
      <c r="P138" s="8">
        <f>VLOOKUP(F138,'LEAID Match'!$A$2:$B$436,2,FALSE)</f>
        <v>1800330</v>
      </c>
      <c r="Q138" s="6">
        <f t="shared" si="18"/>
        <v>9</v>
      </c>
    </row>
    <row r="139" spans="1:17" x14ac:dyDescent="0.2">
      <c r="A139" s="16">
        <f t="shared" si="14"/>
        <v>1807710</v>
      </c>
      <c r="B139">
        <v>2015</v>
      </c>
      <c r="C139" t="s">
        <v>904</v>
      </c>
      <c r="D139" t="s">
        <v>906</v>
      </c>
      <c r="E139" t="s">
        <v>1045</v>
      </c>
      <c r="F139" t="s">
        <v>642</v>
      </c>
      <c r="G139" t="s">
        <v>32</v>
      </c>
      <c r="H139" s="6">
        <v>201176</v>
      </c>
      <c r="I139" s="6">
        <v>9.7825995516486841E-4</v>
      </c>
      <c r="J139" s="6">
        <v>5684.6685994630507</v>
      </c>
      <c r="K139" s="6">
        <v>827232.27024669503</v>
      </c>
      <c r="M139" s="6">
        <f t="shared" si="15"/>
        <v>206860.66859946304</v>
      </c>
      <c r="N139" s="6">
        <f t="shared" si="16"/>
        <v>827232.27024669503</v>
      </c>
      <c r="O139" s="6">
        <f t="shared" si="17"/>
        <v>1034092.9388461581</v>
      </c>
      <c r="P139" s="8">
        <f>VLOOKUP(F139,'LEAID Match'!$A$2:$B$436,2,FALSE)</f>
        <v>1807710</v>
      </c>
      <c r="Q139" s="6">
        <f t="shared" si="18"/>
        <v>9</v>
      </c>
    </row>
    <row r="140" spans="1:17" x14ac:dyDescent="0.2">
      <c r="A140" s="16">
        <f t="shared" si="14"/>
        <v>1807710</v>
      </c>
      <c r="B140">
        <v>2016</v>
      </c>
      <c r="C140" t="s">
        <v>904</v>
      </c>
      <c r="D140" t="s">
        <v>906</v>
      </c>
      <c r="E140" t="s">
        <v>1046</v>
      </c>
      <c r="F140" t="s">
        <v>642</v>
      </c>
      <c r="G140" t="s">
        <v>32</v>
      </c>
      <c r="H140" s="6">
        <v>211650</v>
      </c>
      <c r="I140" s="6">
        <v>9.8208199406048507E-4</v>
      </c>
      <c r="J140" s="6">
        <v>4957.5499060173288</v>
      </c>
      <c r="K140" s="6">
        <v>871597.76972868002</v>
      </c>
      <c r="M140" s="6">
        <f t="shared" si="15"/>
        <v>216607.54990601732</v>
      </c>
      <c r="N140" s="6">
        <f t="shared" si="16"/>
        <v>871597.76972868002</v>
      </c>
      <c r="O140" s="6">
        <f t="shared" si="17"/>
        <v>1088205.3196346974</v>
      </c>
      <c r="P140" s="8">
        <f>VLOOKUP(F140,'LEAID Match'!$A$2:$B$436,2,FALSE)</f>
        <v>1807710</v>
      </c>
      <c r="Q140" s="6">
        <f t="shared" si="18"/>
        <v>9</v>
      </c>
    </row>
    <row r="141" spans="1:17" x14ac:dyDescent="0.2">
      <c r="A141" s="16">
        <f t="shared" si="14"/>
        <v>1807710</v>
      </c>
      <c r="B141">
        <v>2017</v>
      </c>
      <c r="C141" t="s">
        <v>904</v>
      </c>
      <c r="D141" t="s">
        <v>906</v>
      </c>
      <c r="E141" t="s">
        <v>1047</v>
      </c>
      <c r="F141" t="s">
        <v>642</v>
      </c>
      <c r="G141" t="s">
        <v>32</v>
      </c>
      <c r="H141" s="6">
        <v>232252</v>
      </c>
      <c r="I141" s="6">
        <v>1.0227049148229769E-3</v>
      </c>
      <c r="J141" s="6">
        <v>4627.7397395739699</v>
      </c>
      <c r="K141" s="6">
        <v>890775.98081081198</v>
      </c>
      <c r="M141" s="6">
        <f t="shared" si="15"/>
        <v>236879.73973957397</v>
      </c>
      <c r="N141" s="6">
        <f t="shared" si="16"/>
        <v>890775.98081081198</v>
      </c>
      <c r="O141" s="6">
        <f t="shared" si="17"/>
        <v>1127655.720550386</v>
      </c>
      <c r="P141" s="8">
        <f>VLOOKUP(F141,'LEAID Match'!$A$2:$B$436,2,FALSE)</f>
        <v>1807710</v>
      </c>
      <c r="Q141" s="6">
        <f t="shared" si="18"/>
        <v>9</v>
      </c>
    </row>
    <row r="142" spans="1:17" x14ac:dyDescent="0.2">
      <c r="A142" s="16">
        <f t="shared" si="14"/>
        <v>1807710</v>
      </c>
      <c r="B142">
        <v>2018</v>
      </c>
      <c r="C142" t="s">
        <v>904</v>
      </c>
      <c r="D142" t="s">
        <v>906</v>
      </c>
      <c r="E142" t="s">
        <v>1048</v>
      </c>
      <c r="F142" t="s">
        <v>642</v>
      </c>
      <c r="G142" t="s">
        <v>32</v>
      </c>
      <c r="H142" s="6">
        <v>241770</v>
      </c>
      <c r="I142" s="6">
        <v>1.0256779930076735E-3</v>
      </c>
      <c r="J142" s="6">
        <v>4275.0258748559827</v>
      </c>
      <c r="K142" s="6">
        <v>917992</v>
      </c>
      <c r="M142" s="6">
        <f t="shared" si="15"/>
        <v>246045.02587485599</v>
      </c>
      <c r="N142" s="6">
        <f t="shared" si="16"/>
        <v>917992</v>
      </c>
      <c r="O142" s="6">
        <f t="shared" si="17"/>
        <v>1164037.0258748559</v>
      </c>
      <c r="P142" s="8">
        <f>VLOOKUP(F142,'LEAID Match'!$A$2:$B$436,2,FALSE)</f>
        <v>1807710</v>
      </c>
      <c r="Q142" s="6">
        <f t="shared" si="18"/>
        <v>9</v>
      </c>
    </row>
    <row r="143" spans="1:17" x14ac:dyDescent="0.2">
      <c r="A143" s="16">
        <f t="shared" si="14"/>
        <v>1807710</v>
      </c>
      <c r="B143">
        <v>2019</v>
      </c>
      <c r="C143" t="s">
        <v>904</v>
      </c>
      <c r="D143" t="s">
        <v>906</v>
      </c>
      <c r="E143" t="s">
        <v>1049</v>
      </c>
      <c r="F143" t="s">
        <v>642</v>
      </c>
      <c r="G143" t="s">
        <v>32</v>
      </c>
      <c r="H143" s="6">
        <v>270012</v>
      </c>
      <c r="I143" s="6">
        <v>6.8690906360879128E-4</v>
      </c>
      <c r="J143" s="6">
        <v>2407.6162679488134</v>
      </c>
      <c r="K143" s="6">
        <v>648373.46514033806</v>
      </c>
      <c r="M143" s="6">
        <f t="shared" si="15"/>
        <v>272419.61626794882</v>
      </c>
      <c r="N143" s="6">
        <f t="shared" si="16"/>
        <v>648373.46514033806</v>
      </c>
      <c r="O143" s="6">
        <f t="shared" si="17"/>
        <v>920793.08140828693</v>
      </c>
      <c r="P143" s="8">
        <f>VLOOKUP(F143,'LEAID Match'!$A$2:$B$436,2,FALSE)</f>
        <v>1807710</v>
      </c>
      <c r="Q143" s="6">
        <f t="shared" si="18"/>
        <v>9</v>
      </c>
    </row>
    <row r="144" spans="1:17" x14ac:dyDescent="0.2">
      <c r="A144" s="16">
        <f t="shared" si="14"/>
        <v>1807710</v>
      </c>
      <c r="B144">
        <v>2020</v>
      </c>
      <c r="C144" t="s">
        <v>904</v>
      </c>
      <c r="D144" t="s">
        <v>906</v>
      </c>
      <c r="E144" t="s">
        <v>1050</v>
      </c>
      <c r="F144" t="s">
        <v>642</v>
      </c>
      <c r="G144" t="s">
        <v>32</v>
      </c>
      <c r="H144" s="6">
        <v>208513</v>
      </c>
      <c r="I144" s="6">
        <v>1.1048494398169123E-3</v>
      </c>
      <c r="J144" s="6">
        <v>2603.0252802086452</v>
      </c>
      <c r="K144" s="6">
        <v>933938</v>
      </c>
      <c r="M144" s="6">
        <f t="shared" si="15"/>
        <v>211116.02528020865</v>
      </c>
      <c r="N144" s="6">
        <f t="shared" si="16"/>
        <v>933938</v>
      </c>
      <c r="O144" s="6">
        <f t="shared" si="17"/>
        <v>1145054.0252802086</v>
      </c>
      <c r="P144" s="8">
        <f>VLOOKUP(F144,'LEAID Match'!$A$2:$B$436,2,FALSE)</f>
        <v>1807710</v>
      </c>
      <c r="Q144" s="6">
        <f t="shared" si="18"/>
        <v>9</v>
      </c>
    </row>
    <row r="145" spans="1:17" x14ac:dyDescent="0.2">
      <c r="A145" s="16">
        <f t="shared" si="14"/>
        <v>1807710</v>
      </c>
      <c r="B145">
        <v>2021</v>
      </c>
      <c r="C145" t="s">
        <v>904</v>
      </c>
      <c r="D145" t="s">
        <v>906</v>
      </c>
      <c r="E145" t="s">
        <v>1051</v>
      </c>
      <c r="F145" t="s">
        <v>642</v>
      </c>
      <c r="G145" t="s">
        <v>32</v>
      </c>
      <c r="H145" s="6">
        <v>217920</v>
      </c>
      <c r="I145" s="6">
        <v>1.076545066326899E-3</v>
      </c>
      <c r="J145" s="6">
        <v>2426.5325795008303</v>
      </c>
      <c r="K145" s="6">
        <v>1489526</v>
      </c>
      <c r="M145" s="6">
        <f t="shared" si="15"/>
        <v>220346.53257950084</v>
      </c>
      <c r="N145" s="6">
        <f t="shared" si="16"/>
        <v>1489526</v>
      </c>
      <c r="O145" s="6">
        <f t="shared" si="17"/>
        <v>1709872.5325795009</v>
      </c>
      <c r="P145" s="8">
        <f>VLOOKUP(F145,'LEAID Match'!$A$2:$B$436,2,FALSE)</f>
        <v>1807710</v>
      </c>
      <c r="Q145" s="6">
        <f t="shared" si="18"/>
        <v>9</v>
      </c>
    </row>
    <row r="146" spans="1:17" x14ac:dyDescent="0.2">
      <c r="A146" s="16">
        <f t="shared" si="14"/>
        <v>1807710</v>
      </c>
      <c r="B146">
        <v>2022</v>
      </c>
      <c r="C146" t="s">
        <v>904</v>
      </c>
      <c r="D146" t="s">
        <v>906</v>
      </c>
      <c r="E146" t="s">
        <v>1052</v>
      </c>
      <c r="F146" t="s">
        <v>642</v>
      </c>
      <c r="G146" t="s">
        <v>32</v>
      </c>
      <c r="H146" s="6">
        <v>249061</v>
      </c>
      <c r="I146" s="6">
        <v>1.1825879162696551E-3</v>
      </c>
      <c r="J146" s="6">
        <v>2607.6063553745894</v>
      </c>
      <c r="K146" s="6">
        <v>1412114</v>
      </c>
      <c r="M146" s="6">
        <f t="shared" si="15"/>
        <v>251668.60635537459</v>
      </c>
      <c r="N146" s="6">
        <f t="shared" si="16"/>
        <v>1412114</v>
      </c>
      <c r="O146" s="6">
        <f t="shared" si="17"/>
        <v>1663782.6063553747</v>
      </c>
      <c r="P146" s="8">
        <f>VLOOKUP(F146,'LEAID Match'!$A$2:$B$436,2,FALSE)</f>
        <v>1807710</v>
      </c>
      <c r="Q146" s="6">
        <f t="shared" si="18"/>
        <v>9</v>
      </c>
    </row>
    <row r="147" spans="1:17" x14ac:dyDescent="0.2">
      <c r="A147" s="16">
        <f t="shared" si="14"/>
        <v>1807710</v>
      </c>
      <c r="B147">
        <v>2023</v>
      </c>
      <c r="C147" t="s">
        <v>904</v>
      </c>
      <c r="D147" t="s">
        <v>906</v>
      </c>
      <c r="E147" t="s">
        <v>1053</v>
      </c>
      <c r="F147" t="s">
        <v>642</v>
      </c>
      <c r="G147" t="s">
        <v>32</v>
      </c>
      <c r="H147" s="6">
        <v>275878</v>
      </c>
      <c r="I147" s="6">
        <v>1.1281894381368123E-3</v>
      </c>
      <c r="J147" s="6">
        <v>2783.243343883516</v>
      </c>
      <c r="K147" s="6">
        <v>3609914</v>
      </c>
      <c r="M147" s="6">
        <f t="shared" si="15"/>
        <v>278661.24334388354</v>
      </c>
      <c r="N147" s="6">
        <f t="shared" si="16"/>
        <v>3609914</v>
      </c>
      <c r="O147" s="6">
        <f t="shared" si="17"/>
        <v>3888575.2433438837</v>
      </c>
      <c r="P147" s="8">
        <f>VLOOKUP(F147,'LEAID Match'!$A$2:$B$436,2,FALSE)</f>
        <v>1807710</v>
      </c>
      <c r="Q147" s="6">
        <f t="shared" si="18"/>
        <v>9</v>
      </c>
    </row>
    <row r="148" spans="1:17" x14ac:dyDescent="0.2">
      <c r="A148" s="16">
        <f t="shared" si="14"/>
        <v>1811600</v>
      </c>
      <c r="B148">
        <v>2015</v>
      </c>
      <c r="C148" t="s">
        <v>904</v>
      </c>
      <c r="D148" t="s">
        <v>906</v>
      </c>
      <c r="E148" t="s">
        <v>1054</v>
      </c>
      <c r="F148" t="s">
        <v>643</v>
      </c>
      <c r="G148" t="s">
        <v>33</v>
      </c>
      <c r="H148" s="6">
        <v>23508</v>
      </c>
      <c r="I148" s="6">
        <v>1.1431251752701976E-4</v>
      </c>
      <c r="J148" s="6">
        <v>664.27003934951188</v>
      </c>
      <c r="K148" s="6">
        <v>96664.493821128301</v>
      </c>
      <c r="M148" s="6">
        <f t="shared" si="15"/>
        <v>24172.270039349511</v>
      </c>
      <c r="N148" s="6">
        <f t="shared" si="16"/>
        <v>96664.493821128301</v>
      </c>
      <c r="O148" s="6">
        <f t="shared" si="17"/>
        <v>120836.7638604778</v>
      </c>
      <c r="P148" s="8">
        <f>VLOOKUP(F148,'LEAID Match'!$A$2:$B$436,2,FALSE)</f>
        <v>1811600</v>
      </c>
      <c r="Q148" s="6">
        <f t="shared" si="18"/>
        <v>9</v>
      </c>
    </row>
    <row r="149" spans="1:17" x14ac:dyDescent="0.2">
      <c r="A149" s="16">
        <f t="shared" si="14"/>
        <v>1811600</v>
      </c>
      <c r="B149">
        <v>2016</v>
      </c>
      <c r="C149" t="s">
        <v>904</v>
      </c>
      <c r="D149" t="s">
        <v>906</v>
      </c>
      <c r="E149" t="s">
        <v>1055</v>
      </c>
      <c r="F149" t="s">
        <v>643</v>
      </c>
      <c r="G149" t="s">
        <v>33</v>
      </c>
      <c r="H149" s="6">
        <v>25559</v>
      </c>
      <c r="I149" s="6">
        <v>1.1859689906067534E-4</v>
      </c>
      <c r="J149" s="6">
        <v>598.67714645828914</v>
      </c>
      <c r="K149" s="6">
        <v>105254.74791634901</v>
      </c>
      <c r="M149" s="6">
        <f t="shared" si="15"/>
        <v>26157.677146458289</v>
      </c>
      <c r="N149" s="6">
        <f t="shared" si="16"/>
        <v>105254.74791634901</v>
      </c>
      <c r="O149" s="6">
        <f t="shared" si="17"/>
        <v>131412.42506280731</v>
      </c>
      <c r="P149" s="8">
        <f>VLOOKUP(F149,'LEAID Match'!$A$2:$B$436,2,FALSE)</f>
        <v>1811600</v>
      </c>
      <c r="Q149" s="6">
        <f t="shared" si="18"/>
        <v>9</v>
      </c>
    </row>
    <row r="150" spans="1:17" x14ac:dyDescent="0.2">
      <c r="A150" s="16">
        <f t="shared" si="14"/>
        <v>1811600</v>
      </c>
      <c r="B150">
        <v>2017</v>
      </c>
      <c r="C150" t="s">
        <v>904</v>
      </c>
      <c r="D150" t="s">
        <v>906</v>
      </c>
      <c r="E150" t="s">
        <v>1056</v>
      </c>
      <c r="F150" t="s">
        <v>643</v>
      </c>
      <c r="G150" t="s">
        <v>33</v>
      </c>
      <c r="H150" s="6">
        <v>24324</v>
      </c>
      <c r="I150" s="6">
        <v>1.0710897795564338E-4</v>
      </c>
      <c r="J150" s="6">
        <v>484.66812524928628</v>
      </c>
      <c r="K150" s="6">
        <v>93291.919799365307</v>
      </c>
      <c r="M150" s="6">
        <f t="shared" si="15"/>
        <v>24808.668125249285</v>
      </c>
      <c r="N150" s="6">
        <f t="shared" si="16"/>
        <v>93291.919799365307</v>
      </c>
      <c r="O150" s="6">
        <f t="shared" si="17"/>
        <v>118100.58792461459</v>
      </c>
      <c r="P150" s="8">
        <f>VLOOKUP(F150,'LEAID Match'!$A$2:$B$436,2,FALSE)</f>
        <v>1811600</v>
      </c>
      <c r="Q150" s="6">
        <f t="shared" si="18"/>
        <v>9</v>
      </c>
    </row>
    <row r="151" spans="1:17" x14ac:dyDescent="0.2">
      <c r="A151" s="16">
        <f t="shared" si="14"/>
        <v>1811600</v>
      </c>
      <c r="B151">
        <v>2018</v>
      </c>
      <c r="C151" t="s">
        <v>904</v>
      </c>
      <c r="D151" t="s">
        <v>906</v>
      </c>
      <c r="E151" t="s">
        <v>1057</v>
      </c>
      <c r="F151" t="s">
        <v>643</v>
      </c>
      <c r="G151" t="s">
        <v>33</v>
      </c>
      <c r="H151" s="6">
        <v>27562</v>
      </c>
      <c r="I151" s="6">
        <v>1.1692822452445505E-4</v>
      </c>
      <c r="J151" s="6">
        <v>487.35683981792863</v>
      </c>
      <c r="K151" s="6">
        <v>82978</v>
      </c>
      <c r="M151" s="6">
        <f t="shared" si="15"/>
        <v>28049.356839817927</v>
      </c>
      <c r="N151" s="6">
        <f t="shared" si="16"/>
        <v>82978</v>
      </c>
      <c r="O151" s="6">
        <f t="shared" si="17"/>
        <v>111027.35683981792</v>
      </c>
      <c r="P151" s="8">
        <f>VLOOKUP(F151,'LEAID Match'!$A$2:$B$436,2,FALSE)</f>
        <v>1811600</v>
      </c>
      <c r="Q151" s="6">
        <f t="shared" si="18"/>
        <v>9</v>
      </c>
    </row>
    <row r="152" spans="1:17" x14ac:dyDescent="0.2">
      <c r="A152" s="16">
        <f t="shared" si="14"/>
        <v>1811600</v>
      </c>
      <c r="B152">
        <v>2019</v>
      </c>
      <c r="C152" t="s">
        <v>904</v>
      </c>
      <c r="D152" t="s">
        <v>906</v>
      </c>
      <c r="E152" t="s">
        <v>1058</v>
      </c>
      <c r="F152" t="s">
        <v>643</v>
      </c>
      <c r="G152" t="s">
        <v>33</v>
      </c>
      <c r="H152" s="6">
        <v>33761</v>
      </c>
      <c r="I152" s="6">
        <v>8.5887800899576327E-5</v>
      </c>
      <c r="J152" s="6">
        <v>301.03674215301504</v>
      </c>
      <c r="K152" s="6">
        <v>81069.495269110004</v>
      </c>
      <c r="M152" s="6">
        <f t="shared" si="15"/>
        <v>34062.036742153017</v>
      </c>
      <c r="N152" s="6">
        <f t="shared" si="16"/>
        <v>81069.495269110004</v>
      </c>
      <c r="O152" s="6">
        <f t="shared" si="17"/>
        <v>115131.53201126301</v>
      </c>
      <c r="P152" s="8">
        <f>VLOOKUP(F152,'LEAID Match'!$A$2:$B$436,2,FALSE)</f>
        <v>1811600</v>
      </c>
      <c r="Q152" s="6">
        <f t="shared" si="18"/>
        <v>9</v>
      </c>
    </row>
    <row r="153" spans="1:17" x14ac:dyDescent="0.2">
      <c r="A153" s="16">
        <f t="shared" si="14"/>
        <v>1811600</v>
      </c>
      <c r="B153">
        <v>2020</v>
      </c>
      <c r="C153" t="s">
        <v>904</v>
      </c>
      <c r="D153" t="s">
        <v>906</v>
      </c>
      <c r="E153" t="s">
        <v>1059</v>
      </c>
      <c r="F153" t="s">
        <v>643</v>
      </c>
      <c r="G153" t="s">
        <v>33</v>
      </c>
      <c r="H153" s="6">
        <v>25656</v>
      </c>
      <c r="I153" s="6">
        <v>1.3594364489476771E-4</v>
      </c>
      <c r="J153" s="6">
        <v>320.2832273720727</v>
      </c>
      <c r="K153" s="6">
        <v>71378</v>
      </c>
      <c r="M153" s="6">
        <f t="shared" si="15"/>
        <v>25976.283227372074</v>
      </c>
      <c r="N153" s="6">
        <f t="shared" si="16"/>
        <v>71378</v>
      </c>
      <c r="O153" s="6">
        <f t="shared" si="17"/>
        <v>97354.283227372071</v>
      </c>
      <c r="P153" s="8">
        <f>VLOOKUP(F153,'LEAID Match'!$A$2:$B$436,2,FALSE)</f>
        <v>1811600</v>
      </c>
      <c r="Q153" s="6">
        <f t="shared" si="18"/>
        <v>9</v>
      </c>
    </row>
    <row r="154" spans="1:17" x14ac:dyDescent="0.2">
      <c r="A154" s="16">
        <f t="shared" si="14"/>
        <v>1811600</v>
      </c>
      <c r="B154">
        <v>2021</v>
      </c>
      <c r="C154" t="s">
        <v>904</v>
      </c>
      <c r="D154" t="s">
        <v>906</v>
      </c>
      <c r="E154" t="s">
        <v>1060</v>
      </c>
      <c r="F154" t="s">
        <v>643</v>
      </c>
      <c r="G154" t="s">
        <v>33</v>
      </c>
      <c r="H154" s="6">
        <v>26078</v>
      </c>
      <c r="I154" s="6">
        <v>1.288277452261053E-4</v>
      </c>
      <c r="J154" s="6">
        <v>290.37773773964136</v>
      </c>
      <c r="K154" s="6">
        <v>114124</v>
      </c>
      <c r="M154" s="6">
        <f t="shared" si="15"/>
        <v>26368.37773773964</v>
      </c>
      <c r="N154" s="6">
        <f t="shared" si="16"/>
        <v>114124</v>
      </c>
      <c r="O154" s="6">
        <f t="shared" si="17"/>
        <v>140492.37773773965</v>
      </c>
      <c r="P154" s="8">
        <f>VLOOKUP(F154,'LEAID Match'!$A$2:$B$436,2,FALSE)</f>
        <v>1811600</v>
      </c>
      <c r="Q154" s="6">
        <f t="shared" si="18"/>
        <v>9</v>
      </c>
    </row>
    <row r="155" spans="1:17" x14ac:dyDescent="0.2">
      <c r="A155" s="16">
        <f t="shared" si="14"/>
        <v>1811600</v>
      </c>
      <c r="B155">
        <v>2022</v>
      </c>
      <c r="C155" t="s">
        <v>904</v>
      </c>
      <c r="D155" t="s">
        <v>906</v>
      </c>
      <c r="E155" t="s">
        <v>1061</v>
      </c>
      <c r="F155" t="s">
        <v>643</v>
      </c>
      <c r="G155" t="s">
        <v>33</v>
      </c>
      <c r="H155" s="6">
        <v>28979</v>
      </c>
      <c r="I155" s="6">
        <v>1.3759767778005522E-4</v>
      </c>
      <c r="J155" s="6">
        <v>303.40287950502176</v>
      </c>
      <c r="K155" s="6">
        <v>119382</v>
      </c>
      <c r="M155" s="6">
        <f t="shared" si="15"/>
        <v>29282.402879505022</v>
      </c>
      <c r="N155" s="6">
        <f t="shared" si="16"/>
        <v>119382</v>
      </c>
      <c r="O155" s="6">
        <f t="shared" si="17"/>
        <v>148664.40287950501</v>
      </c>
      <c r="P155" s="8">
        <f>VLOOKUP(F155,'LEAID Match'!$A$2:$B$436,2,FALSE)</f>
        <v>1811600</v>
      </c>
      <c r="Q155" s="6">
        <f t="shared" si="18"/>
        <v>9</v>
      </c>
    </row>
    <row r="156" spans="1:17" x14ac:dyDescent="0.2">
      <c r="A156" s="16">
        <f t="shared" si="14"/>
        <v>1811600</v>
      </c>
      <c r="B156">
        <v>2023</v>
      </c>
      <c r="C156" t="s">
        <v>904</v>
      </c>
      <c r="D156" t="s">
        <v>906</v>
      </c>
      <c r="E156" t="s">
        <v>1062</v>
      </c>
      <c r="F156" t="s">
        <v>643</v>
      </c>
      <c r="G156" t="s">
        <v>33</v>
      </c>
      <c r="H156" s="6">
        <v>31590</v>
      </c>
      <c r="I156" s="6">
        <v>1.2918574279479299E-4</v>
      </c>
      <c r="J156" s="6">
        <v>318.70122747475432</v>
      </c>
      <c r="K156" s="6">
        <v>362093</v>
      </c>
      <c r="M156" s="6">
        <f t="shared" si="15"/>
        <v>31908.701227474754</v>
      </c>
      <c r="N156" s="6">
        <f t="shared" si="16"/>
        <v>362093</v>
      </c>
      <c r="O156" s="6">
        <f t="shared" si="17"/>
        <v>394001.70122747472</v>
      </c>
      <c r="P156" s="8">
        <f>VLOOKUP(F156,'LEAID Match'!$A$2:$B$436,2,FALSE)</f>
        <v>1811600</v>
      </c>
      <c r="Q156" s="6">
        <f t="shared" si="18"/>
        <v>9</v>
      </c>
    </row>
    <row r="157" spans="1:17" x14ac:dyDescent="0.2">
      <c r="A157" s="16">
        <f t="shared" si="14"/>
        <v>1805700</v>
      </c>
      <c r="B157">
        <v>2015</v>
      </c>
      <c r="C157" t="s">
        <v>904</v>
      </c>
      <c r="D157" t="s">
        <v>906</v>
      </c>
      <c r="E157" t="s">
        <v>1063</v>
      </c>
      <c r="F157" t="s">
        <v>644</v>
      </c>
      <c r="G157" t="s">
        <v>34</v>
      </c>
      <c r="H157" s="6">
        <v>445128</v>
      </c>
      <c r="I157" s="6">
        <v>2.1645270674564934E-3</v>
      </c>
      <c r="J157" s="6">
        <v>12578.066788989683</v>
      </c>
      <c r="K157" s="6">
        <v>1830358.7206742901</v>
      </c>
      <c r="M157" s="6">
        <f t="shared" si="15"/>
        <v>457706.0667889897</v>
      </c>
      <c r="N157" s="6">
        <f t="shared" si="16"/>
        <v>1830358.7206742901</v>
      </c>
      <c r="O157" s="6">
        <f t="shared" si="17"/>
        <v>2288064.7874632799</v>
      </c>
      <c r="P157" s="8">
        <f>VLOOKUP(F157,'LEAID Match'!$A$2:$B$436,2,FALSE)</f>
        <v>1805700</v>
      </c>
      <c r="Q157" s="6">
        <f t="shared" si="18"/>
        <v>9</v>
      </c>
    </row>
    <row r="158" spans="1:17" x14ac:dyDescent="0.2">
      <c r="A158" s="16">
        <f t="shared" si="14"/>
        <v>1805700</v>
      </c>
      <c r="B158">
        <v>2016</v>
      </c>
      <c r="C158" t="s">
        <v>904</v>
      </c>
      <c r="D158" t="s">
        <v>906</v>
      </c>
      <c r="E158" t="s">
        <v>1064</v>
      </c>
      <c r="F158" t="s">
        <v>644</v>
      </c>
      <c r="G158" t="s">
        <v>34</v>
      </c>
      <c r="H158" s="6">
        <v>454878</v>
      </c>
      <c r="I158" s="6">
        <v>2.1106897864126874E-3</v>
      </c>
      <c r="J158" s="6">
        <v>10654.762041811246</v>
      </c>
      <c r="K158" s="6">
        <v>1873237.18544126</v>
      </c>
      <c r="M158" s="6">
        <f t="shared" si="15"/>
        <v>465532.76204181125</v>
      </c>
      <c r="N158" s="6">
        <f t="shared" si="16"/>
        <v>1873237.18544126</v>
      </c>
      <c r="O158" s="6">
        <f t="shared" si="17"/>
        <v>2338769.9474830711</v>
      </c>
      <c r="P158" s="8">
        <f>VLOOKUP(F158,'LEAID Match'!$A$2:$B$436,2,FALSE)</f>
        <v>1805700</v>
      </c>
      <c r="Q158" s="6">
        <f t="shared" si="18"/>
        <v>9</v>
      </c>
    </row>
    <row r="159" spans="1:17" x14ac:dyDescent="0.2">
      <c r="A159" s="16">
        <f t="shared" si="14"/>
        <v>1805700</v>
      </c>
      <c r="B159">
        <v>2017</v>
      </c>
      <c r="C159" t="s">
        <v>904</v>
      </c>
      <c r="D159" t="s">
        <v>906</v>
      </c>
      <c r="E159" t="s">
        <v>1065</v>
      </c>
      <c r="F159" t="s">
        <v>644</v>
      </c>
      <c r="G159" t="s">
        <v>34</v>
      </c>
      <c r="H159" s="6">
        <v>486341</v>
      </c>
      <c r="I159" s="6">
        <v>2.1415674826478193E-3</v>
      </c>
      <c r="J159" s="6">
        <v>9690.592858981383</v>
      </c>
      <c r="K159" s="6">
        <v>1865305.27738625</v>
      </c>
      <c r="M159" s="6">
        <f t="shared" si="15"/>
        <v>496031.5928589814</v>
      </c>
      <c r="N159" s="6">
        <f t="shared" si="16"/>
        <v>1865305.27738625</v>
      </c>
      <c r="O159" s="6">
        <f t="shared" si="17"/>
        <v>2361336.8702452313</v>
      </c>
      <c r="P159" s="8">
        <f>VLOOKUP(F159,'LEAID Match'!$A$2:$B$436,2,FALSE)</f>
        <v>1805700</v>
      </c>
      <c r="Q159" s="6">
        <f t="shared" si="18"/>
        <v>9</v>
      </c>
    </row>
    <row r="160" spans="1:17" x14ac:dyDescent="0.2">
      <c r="A160" s="16">
        <f t="shared" si="14"/>
        <v>1805700</v>
      </c>
      <c r="B160">
        <v>2018</v>
      </c>
      <c r="C160" t="s">
        <v>904</v>
      </c>
      <c r="D160" t="s">
        <v>906</v>
      </c>
      <c r="E160" t="s">
        <v>1066</v>
      </c>
      <c r="F160" t="s">
        <v>644</v>
      </c>
      <c r="G160" t="s">
        <v>34</v>
      </c>
      <c r="H160" s="6">
        <v>477518</v>
      </c>
      <c r="I160" s="6">
        <v>2.0258084289408868E-3</v>
      </c>
      <c r="J160" s="6">
        <v>8443.5695318256167</v>
      </c>
      <c r="K160" s="6">
        <v>1440460</v>
      </c>
      <c r="M160" s="6">
        <f t="shared" si="15"/>
        <v>485961.5695318256</v>
      </c>
      <c r="N160" s="6">
        <f t="shared" si="16"/>
        <v>1440460</v>
      </c>
      <c r="O160" s="6">
        <f t="shared" si="17"/>
        <v>1926421.5695318256</v>
      </c>
      <c r="P160" s="8">
        <f>VLOOKUP(F160,'LEAID Match'!$A$2:$B$436,2,FALSE)</f>
        <v>1805700</v>
      </c>
      <c r="Q160" s="6">
        <f t="shared" si="18"/>
        <v>9</v>
      </c>
    </row>
    <row r="161" spans="1:17" x14ac:dyDescent="0.2">
      <c r="A161" s="16">
        <f t="shared" si="14"/>
        <v>1805700</v>
      </c>
      <c r="B161">
        <v>2019</v>
      </c>
      <c r="C161" t="s">
        <v>904</v>
      </c>
      <c r="D161" t="s">
        <v>906</v>
      </c>
      <c r="E161" t="s">
        <v>1067</v>
      </c>
      <c r="F161" t="s">
        <v>644</v>
      </c>
      <c r="G161" t="s">
        <v>34</v>
      </c>
      <c r="H161" s="6">
        <v>500193</v>
      </c>
      <c r="I161" s="6">
        <v>1.2724882792382269E-3</v>
      </c>
      <c r="J161" s="6">
        <v>4460.0714187299855</v>
      </c>
      <c r="K161" s="6">
        <v>1201101.68677296</v>
      </c>
      <c r="M161" s="6">
        <f t="shared" si="15"/>
        <v>504653.07141872996</v>
      </c>
      <c r="N161" s="6">
        <f t="shared" si="16"/>
        <v>1201101.68677296</v>
      </c>
      <c r="O161" s="6">
        <f t="shared" si="17"/>
        <v>1705754.7581916898</v>
      </c>
      <c r="P161" s="8">
        <f>VLOOKUP(F161,'LEAID Match'!$A$2:$B$436,2,FALSE)</f>
        <v>1805700</v>
      </c>
      <c r="Q161" s="6">
        <f t="shared" si="18"/>
        <v>9</v>
      </c>
    </row>
    <row r="162" spans="1:17" x14ac:dyDescent="0.2">
      <c r="A162" s="16">
        <f t="shared" si="14"/>
        <v>1805700</v>
      </c>
      <c r="B162">
        <v>2020</v>
      </c>
      <c r="C162" t="s">
        <v>904</v>
      </c>
      <c r="D162" t="s">
        <v>906</v>
      </c>
      <c r="E162" t="s">
        <v>1068</v>
      </c>
      <c r="F162" t="s">
        <v>644</v>
      </c>
      <c r="G162" t="s">
        <v>34</v>
      </c>
      <c r="H162" s="6">
        <v>376401</v>
      </c>
      <c r="I162" s="6">
        <v>1.9944388790939923E-3</v>
      </c>
      <c r="J162" s="6">
        <v>4698.8979991454462</v>
      </c>
      <c r="K162" s="6">
        <v>1509139</v>
      </c>
      <c r="M162" s="6">
        <f t="shared" si="15"/>
        <v>381099.89799914544</v>
      </c>
      <c r="N162" s="6">
        <f t="shared" si="16"/>
        <v>1509139</v>
      </c>
      <c r="O162" s="6">
        <f t="shared" si="17"/>
        <v>1890238.8979991456</v>
      </c>
      <c r="P162" s="8">
        <f>VLOOKUP(F162,'LEAID Match'!$A$2:$B$436,2,FALSE)</f>
        <v>1805700</v>
      </c>
      <c r="Q162" s="6">
        <f t="shared" si="18"/>
        <v>9</v>
      </c>
    </row>
    <row r="163" spans="1:17" x14ac:dyDescent="0.2">
      <c r="A163" s="16">
        <f t="shared" si="14"/>
        <v>1805700</v>
      </c>
      <c r="B163">
        <v>2021</v>
      </c>
      <c r="C163" t="s">
        <v>904</v>
      </c>
      <c r="D163" t="s">
        <v>906</v>
      </c>
      <c r="E163" t="s">
        <v>1069</v>
      </c>
      <c r="F163" t="s">
        <v>644</v>
      </c>
      <c r="G163" t="s">
        <v>34</v>
      </c>
      <c r="H163" s="6">
        <v>380875</v>
      </c>
      <c r="I163" s="6">
        <v>1.881557920967592E-3</v>
      </c>
      <c r="J163" s="6">
        <v>4241.031553860952</v>
      </c>
      <c r="K163" s="6">
        <v>2345136</v>
      </c>
      <c r="M163" s="6">
        <f t="shared" si="15"/>
        <v>385116.03155386093</v>
      </c>
      <c r="N163" s="6">
        <f t="shared" si="16"/>
        <v>2345136</v>
      </c>
      <c r="O163" s="6">
        <f t="shared" si="17"/>
        <v>2730252.0315538608</v>
      </c>
      <c r="P163" s="8">
        <f>VLOOKUP(F163,'LEAID Match'!$A$2:$B$436,2,FALSE)</f>
        <v>1805700</v>
      </c>
      <c r="Q163" s="6">
        <f t="shared" si="18"/>
        <v>9</v>
      </c>
    </row>
    <row r="164" spans="1:17" x14ac:dyDescent="0.2">
      <c r="A164" s="16">
        <f t="shared" si="14"/>
        <v>1805700</v>
      </c>
      <c r="B164">
        <v>2022</v>
      </c>
      <c r="C164" t="s">
        <v>904</v>
      </c>
      <c r="D164" t="s">
        <v>906</v>
      </c>
      <c r="E164" t="s">
        <v>1070</v>
      </c>
      <c r="F164" t="s">
        <v>644</v>
      </c>
      <c r="G164" t="s">
        <v>34</v>
      </c>
      <c r="H164" s="6">
        <v>374490</v>
      </c>
      <c r="I164" s="6">
        <v>1.7781481193917279E-3</v>
      </c>
      <c r="J164" s="6">
        <v>3920.8166032587601</v>
      </c>
      <c r="K164" s="6">
        <v>2421896</v>
      </c>
      <c r="M164" s="6">
        <f t="shared" si="15"/>
        <v>378410.81660325878</v>
      </c>
      <c r="N164" s="6">
        <f t="shared" si="16"/>
        <v>2421896</v>
      </c>
      <c r="O164" s="6">
        <f t="shared" si="17"/>
        <v>2800306.8166032587</v>
      </c>
      <c r="P164" s="8">
        <f>VLOOKUP(F164,'LEAID Match'!$A$2:$B$436,2,FALSE)</f>
        <v>1805700</v>
      </c>
      <c r="Q164" s="6">
        <f t="shared" si="18"/>
        <v>9</v>
      </c>
    </row>
    <row r="165" spans="1:17" x14ac:dyDescent="0.2">
      <c r="A165" s="16">
        <f t="shared" si="14"/>
        <v>1805700</v>
      </c>
      <c r="B165">
        <v>2023</v>
      </c>
      <c r="C165" t="s">
        <v>904</v>
      </c>
      <c r="D165" t="s">
        <v>906</v>
      </c>
      <c r="E165" t="s">
        <v>1071</v>
      </c>
      <c r="F165" t="s">
        <v>644</v>
      </c>
      <c r="G165" t="s">
        <v>34</v>
      </c>
      <c r="H165" s="6">
        <v>416350</v>
      </c>
      <c r="I165" s="6">
        <v>1.7026427354419774E-3</v>
      </c>
      <c r="J165" s="6">
        <v>4200.4196283353585</v>
      </c>
      <c r="K165" s="6">
        <v>6554086</v>
      </c>
      <c r="M165" s="6">
        <f t="shared" si="15"/>
        <v>420550.41962833534</v>
      </c>
      <c r="N165" s="6">
        <f t="shared" si="16"/>
        <v>6554086</v>
      </c>
      <c r="O165" s="6">
        <f t="shared" si="17"/>
        <v>6974636.4196283352</v>
      </c>
      <c r="P165" s="8">
        <f>VLOOKUP(F165,'LEAID Match'!$A$2:$B$436,2,FALSE)</f>
        <v>1805700</v>
      </c>
      <c r="Q165" s="6">
        <f t="shared" si="18"/>
        <v>9</v>
      </c>
    </row>
    <row r="166" spans="1:17" x14ac:dyDescent="0.2">
      <c r="A166" s="16">
        <f t="shared" si="14"/>
        <v>1800240</v>
      </c>
      <c r="B166">
        <v>2015</v>
      </c>
      <c r="C166" t="s">
        <v>904</v>
      </c>
      <c r="D166" t="s">
        <v>906</v>
      </c>
      <c r="E166" t="s">
        <v>1072</v>
      </c>
      <c r="F166" t="s">
        <v>645</v>
      </c>
      <c r="G166" t="s">
        <v>35</v>
      </c>
      <c r="H166" s="6">
        <v>450264</v>
      </c>
      <c r="I166" s="6">
        <v>2.1895019309080325E-3</v>
      </c>
      <c r="J166" s="6">
        <v>12723.195720506577</v>
      </c>
      <c r="K166" s="6">
        <v>1851477.8648067201</v>
      </c>
      <c r="M166" s="6">
        <f t="shared" si="15"/>
        <v>462987.1957205066</v>
      </c>
      <c r="N166" s="6">
        <f t="shared" si="16"/>
        <v>1851477.8648067201</v>
      </c>
      <c r="O166" s="6">
        <f t="shared" si="17"/>
        <v>2314465.0605272269</v>
      </c>
      <c r="P166" s="8">
        <f>VLOOKUP(F166,'LEAID Match'!$A$2:$B$436,2,FALSE)</f>
        <v>1800240</v>
      </c>
      <c r="Q166" s="6">
        <f t="shared" si="18"/>
        <v>9</v>
      </c>
    </row>
    <row r="167" spans="1:17" x14ac:dyDescent="0.2">
      <c r="A167" s="16">
        <f t="shared" si="14"/>
        <v>1800240</v>
      </c>
      <c r="B167">
        <v>2016</v>
      </c>
      <c r="C167" t="s">
        <v>904</v>
      </c>
      <c r="D167" t="s">
        <v>906</v>
      </c>
      <c r="E167" t="s">
        <v>1073</v>
      </c>
      <c r="F167" t="s">
        <v>645</v>
      </c>
      <c r="G167" t="s">
        <v>35</v>
      </c>
      <c r="H167" s="6">
        <v>491530</v>
      </c>
      <c r="I167" s="6">
        <v>2.2807595678740857E-3</v>
      </c>
      <c r="J167" s="6">
        <v>11513.274298628385</v>
      </c>
      <c r="K167" s="6">
        <v>2024174.11648825</v>
      </c>
      <c r="M167" s="6">
        <f t="shared" si="15"/>
        <v>503043.27429862838</v>
      </c>
      <c r="N167" s="6">
        <f t="shared" si="16"/>
        <v>2024174.11648825</v>
      </c>
      <c r="O167" s="6">
        <f t="shared" si="17"/>
        <v>2527217.3907868783</v>
      </c>
      <c r="P167" s="8">
        <f>VLOOKUP(F167,'LEAID Match'!$A$2:$B$436,2,FALSE)</f>
        <v>1800240</v>
      </c>
      <c r="Q167" s="6">
        <f t="shared" si="18"/>
        <v>9</v>
      </c>
    </row>
    <row r="168" spans="1:17" x14ac:dyDescent="0.2">
      <c r="A168" s="16">
        <f t="shared" si="14"/>
        <v>1800240</v>
      </c>
      <c r="B168">
        <v>2017</v>
      </c>
      <c r="C168" t="s">
        <v>904</v>
      </c>
      <c r="D168" t="s">
        <v>906</v>
      </c>
      <c r="E168" t="s">
        <v>1074</v>
      </c>
      <c r="F168" t="s">
        <v>645</v>
      </c>
      <c r="G168" t="s">
        <v>35</v>
      </c>
      <c r="H168" s="6">
        <v>527763</v>
      </c>
      <c r="I168" s="6">
        <v>2.3239662692322075E-3</v>
      </c>
      <c r="J168" s="6">
        <v>10515.94736827574</v>
      </c>
      <c r="K168" s="6">
        <v>2024174.62050125</v>
      </c>
      <c r="M168" s="6">
        <f t="shared" si="15"/>
        <v>538278.94736827572</v>
      </c>
      <c r="N168" s="6">
        <f t="shared" si="16"/>
        <v>2024174.62050125</v>
      </c>
      <c r="O168" s="6">
        <f t="shared" si="17"/>
        <v>2562453.5678695259</v>
      </c>
      <c r="P168" s="8">
        <f>VLOOKUP(F168,'LEAID Match'!$A$2:$B$436,2,FALSE)</f>
        <v>1800240</v>
      </c>
      <c r="Q168" s="6">
        <f t="shared" si="18"/>
        <v>9</v>
      </c>
    </row>
    <row r="169" spans="1:17" x14ac:dyDescent="0.2">
      <c r="A169" s="16">
        <f t="shared" si="14"/>
        <v>1800240</v>
      </c>
      <c r="B169">
        <v>2018</v>
      </c>
      <c r="C169" t="s">
        <v>904</v>
      </c>
      <c r="D169" t="s">
        <v>906</v>
      </c>
      <c r="E169" t="s">
        <v>1075</v>
      </c>
      <c r="F169" t="s">
        <v>645</v>
      </c>
      <c r="G169" t="s">
        <v>35</v>
      </c>
      <c r="H169" s="6">
        <v>556320</v>
      </c>
      <c r="I169" s="6">
        <v>2.360115734251681E-3</v>
      </c>
      <c r="J169" s="6">
        <v>9836.9623803610066</v>
      </c>
      <c r="K169" s="6">
        <v>2491915</v>
      </c>
      <c r="M169" s="6">
        <f t="shared" si="15"/>
        <v>566156.96238036104</v>
      </c>
      <c r="N169" s="6">
        <f t="shared" si="16"/>
        <v>2491915</v>
      </c>
      <c r="O169" s="6">
        <f t="shared" si="17"/>
        <v>3058071.9623803608</v>
      </c>
      <c r="P169" s="8">
        <f>VLOOKUP(F169,'LEAID Match'!$A$2:$B$436,2,FALSE)</f>
        <v>1800240</v>
      </c>
      <c r="Q169" s="6">
        <f t="shared" si="18"/>
        <v>9</v>
      </c>
    </row>
    <row r="170" spans="1:17" x14ac:dyDescent="0.2">
      <c r="A170" s="16">
        <f t="shared" si="14"/>
        <v>1800240</v>
      </c>
      <c r="B170">
        <v>2019</v>
      </c>
      <c r="C170" t="s">
        <v>904</v>
      </c>
      <c r="D170" t="s">
        <v>906</v>
      </c>
      <c r="E170" t="s">
        <v>1076</v>
      </c>
      <c r="F170" t="s">
        <v>645</v>
      </c>
      <c r="G170" t="s">
        <v>35</v>
      </c>
      <c r="H170" s="6">
        <v>554045</v>
      </c>
      <c r="I170" s="6">
        <v>1.4094874751756691E-3</v>
      </c>
      <c r="J170" s="6">
        <v>4940.2536004907197</v>
      </c>
      <c r="K170" s="6">
        <v>1330415.22781831</v>
      </c>
      <c r="M170" s="6">
        <f t="shared" si="15"/>
        <v>558985.25360049075</v>
      </c>
      <c r="N170" s="6">
        <f t="shared" si="16"/>
        <v>1330415.22781831</v>
      </c>
      <c r="O170" s="6">
        <f t="shared" si="17"/>
        <v>1889400.4814188008</v>
      </c>
      <c r="P170" s="8">
        <f>VLOOKUP(F170,'LEAID Match'!$A$2:$B$436,2,FALSE)</f>
        <v>1800240</v>
      </c>
      <c r="Q170" s="6">
        <f t="shared" si="18"/>
        <v>9</v>
      </c>
    </row>
    <row r="171" spans="1:17" x14ac:dyDescent="0.2">
      <c r="A171" s="16">
        <f t="shared" si="14"/>
        <v>1800240</v>
      </c>
      <c r="B171">
        <v>2020</v>
      </c>
      <c r="C171" t="s">
        <v>904</v>
      </c>
      <c r="D171" t="s">
        <v>906</v>
      </c>
      <c r="E171" t="s">
        <v>1077</v>
      </c>
      <c r="F171" t="s">
        <v>645</v>
      </c>
      <c r="G171" t="s">
        <v>35</v>
      </c>
      <c r="H171" s="6">
        <v>425455</v>
      </c>
      <c r="I171" s="6">
        <v>2.2543616868842924E-3</v>
      </c>
      <c r="J171" s="6">
        <v>5311.2761342993927</v>
      </c>
      <c r="K171" s="6">
        <v>2554854</v>
      </c>
      <c r="M171" s="6">
        <f t="shared" si="15"/>
        <v>430766.27613429941</v>
      </c>
      <c r="N171" s="6">
        <f t="shared" si="16"/>
        <v>2554854</v>
      </c>
      <c r="O171" s="6">
        <f t="shared" si="17"/>
        <v>2985620.2761342996</v>
      </c>
      <c r="P171" s="8">
        <f>VLOOKUP(F171,'LEAID Match'!$A$2:$B$436,2,FALSE)</f>
        <v>1800240</v>
      </c>
      <c r="Q171" s="6">
        <f t="shared" si="18"/>
        <v>9</v>
      </c>
    </row>
    <row r="172" spans="1:17" x14ac:dyDescent="0.2">
      <c r="A172" s="16">
        <f t="shared" si="14"/>
        <v>1800240</v>
      </c>
      <c r="B172">
        <v>2021</v>
      </c>
      <c r="C172" t="s">
        <v>904</v>
      </c>
      <c r="D172" t="s">
        <v>906</v>
      </c>
      <c r="E172" t="s">
        <v>1078</v>
      </c>
      <c r="F172" t="s">
        <v>645</v>
      </c>
      <c r="G172" t="s">
        <v>35</v>
      </c>
      <c r="H172" s="6">
        <v>362410</v>
      </c>
      <c r="I172" s="6">
        <v>1.7903391037423432E-3</v>
      </c>
      <c r="J172" s="6">
        <v>4035.4243398352414</v>
      </c>
      <c r="K172" s="6">
        <v>4119492</v>
      </c>
      <c r="M172" s="6">
        <f t="shared" si="15"/>
        <v>366445.42433983524</v>
      </c>
      <c r="N172" s="6">
        <f t="shared" si="16"/>
        <v>4119492</v>
      </c>
      <c r="O172" s="6">
        <f t="shared" si="17"/>
        <v>4485937.4243398355</v>
      </c>
      <c r="P172" s="8">
        <f>VLOOKUP(F172,'LEAID Match'!$A$2:$B$436,2,FALSE)</f>
        <v>1800240</v>
      </c>
      <c r="Q172" s="6">
        <f t="shared" si="18"/>
        <v>9</v>
      </c>
    </row>
    <row r="173" spans="1:17" x14ac:dyDescent="0.2">
      <c r="A173" s="16">
        <f t="shared" si="14"/>
        <v>1800240</v>
      </c>
      <c r="B173">
        <v>2022</v>
      </c>
      <c r="C173" t="s">
        <v>904</v>
      </c>
      <c r="D173" t="s">
        <v>906</v>
      </c>
      <c r="E173" t="s">
        <v>1079</v>
      </c>
      <c r="F173" t="s">
        <v>645</v>
      </c>
      <c r="G173" t="s">
        <v>35</v>
      </c>
      <c r="H173" s="6">
        <v>362605</v>
      </c>
      <c r="I173" s="6">
        <v>1.7217159305509826E-3</v>
      </c>
      <c r="J173" s="6">
        <v>3796.3836268649166</v>
      </c>
      <c r="K173" s="6">
        <v>3987500</v>
      </c>
      <c r="M173" s="6">
        <f t="shared" si="15"/>
        <v>366401.38362686493</v>
      </c>
      <c r="N173" s="6">
        <f t="shared" si="16"/>
        <v>3987500</v>
      </c>
      <c r="O173" s="6">
        <f t="shared" si="17"/>
        <v>4353901.3836268652</v>
      </c>
      <c r="P173" s="8">
        <f>VLOOKUP(F173,'LEAID Match'!$A$2:$B$436,2,FALSE)</f>
        <v>1800240</v>
      </c>
      <c r="Q173" s="6">
        <f t="shared" si="18"/>
        <v>9</v>
      </c>
    </row>
    <row r="174" spans="1:17" x14ac:dyDescent="0.2">
      <c r="A174" s="16">
        <f t="shared" si="14"/>
        <v>1800240</v>
      </c>
      <c r="B174">
        <v>2023</v>
      </c>
      <c r="C174" t="s">
        <v>904</v>
      </c>
      <c r="D174" t="s">
        <v>906</v>
      </c>
      <c r="E174" t="s">
        <v>1080</v>
      </c>
      <c r="F174" t="s">
        <v>645</v>
      </c>
      <c r="G174" t="s">
        <v>35</v>
      </c>
      <c r="H174" s="6">
        <v>356921</v>
      </c>
      <c r="I174" s="6">
        <v>1.459610778855977E-3</v>
      </c>
      <c r="J174" s="6">
        <v>3600.8597914376951</v>
      </c>
      <c r="K174" s="6">
        <v>10647214</v>
      </c>
      <c r="M174" s="6">
        <f t="shared" si="15"/>
        <v>360521.85979143769</v>
      </c>
      <c r="N174" s="6">
        <f t="shared" si="16"/>
        <v>10647214</v>
      </c>
      <c r="O174" s="6">
        <f t="shared" si="17"/>
        <v>11007735.859791437</v>
      </c>
      <c r="P174" s="8">
        <f>VLOOKUP(F174,'LEAID Match'!$A$2:$B$436,2,FALSE)</f>
        <v>1800240</v>
      </c>
      <c r="Q174" s="6">
        <f t="shared" si="18"/>
        <v>9</v>
      </c>
    </row>
    <row r="175" spans="1:17" x14ac:dyDescent="0.2">
      <c r="A175" s="16">
        <f t="shared" si="14"/>
        <v>1802610</v>
      </c>
      <c r="B175">
        <v>2015</v>
      </c>
      <c r="C175" t="s">
        <v>904</v>
      </c>
      <c r="D175" t="s">
        <v>906</v>
      </c>
      <c r="E175" t="s">
        <v>1081</v>
      </c>
      <c r="F175" t="s">
        <v>646</v>
      </c>
      <c r="G175" t="s">
        <v>36</v>
      </c>
      <c r="H175" s="6">
        <v>390866</v>
      </c>
      <c r="I175" s="6">
        <v>1.9006668570578571E-3</v>
      </c>
      <c r="J175" s="6">
        <v>11044.775106363208</v>
      </c>
      <c r="K175" s="6">
        <v>1607234.30499783</v>
      </c>
      <c r="M175" s="6">
        <f t="shared" si="15"/>
        <v>401910.77510636323</v>
      </c>
      <c r="N175" s="6">
        <f t="shared" si="16"/>
        <v>1607234.30499783</v>
      </c>
      <c r="O175" s="6">
        <f t="shared" si="17"/>
        <v>2009145.0801041932</v>
      </c>
      <c r="P175" s="8">
        <f>VLOOKUP(F175,'LEAID Match'!$A$2:$B$436,2,FALSE)</f>
        <v>1802610</v>
      </c>
      <c r="Q175" s="6">
        <f t="shared" si="18"/>
        <v>9</v>
      </c>
    </row>
    <row r="176" spans="1:17" x14ac:dyDescent="0.2">
      <c r="A176" s="16">
        <f t="shared" si="14"/>
        <v>1802610</v>
      </c>
      <c r="B176">
        <v>2016</v>
      </c>
      <c r="C176" t="s">
        <v>904</v>
      </c>
      <c r="D176" t="s">
        <v>906</v>
      </c>
      <c r="E176" t="s">
        <v>1082</v>
      </c>
      <c r="F176" t="s">
        <v>646</v>
      </c>
      <c r="G176" t="s">
        <v>36</v>
      </c>
      <c r="H176" s="6">
        <v>423629</v>
      </c>
      <c r="I176" s="6">
        <v>1.9656905885275179E-3</v>
      </c>
      <c r="J176" s="6">
        <v>9922.8060908869102</v>
      </c>
      <c r="K176" s="6">
        <v>1744550.3973181699</v>
      </c>
      <c r="M176" s="6">
        <f t="shared" si="15"/>
        <v>433551.80609088694</v>
      </c>
      <c r="N176" s="6">
        <f t="shared" si="16"/>
        <v>1744550.3973181699</v>
      </c>
      <c r="O176" s="6">
        <f t="shared" si="17"/>
        <v>2178102.2034090571</v>
      </c>
      <c r="P176" s="8">
        <f>VLOOKUP(F176,'LEAID Match'!$A$2:$B$436,2,FALSE)</f>
        <v>1802610</v>
      </c>
      <c r="Q176" s="6">
        <f t="shared" si="18"/>
        <v>9</v>
      </c>
    </row>
    <row r="177" spans="1:17" x14ac:dyDescent="0.2">
      <c r="A177" s="16">
        <f t="shared" si="14"/>
        <v>1802610</v>
      </c>
      <c r="B177">
        <v>2017</v>
      </c>
      <c r="C177" t="s">
        <v>904</v>
      </c>
      <c r="D177" t="s">
        <v>906</v>
      </c>
      <c r="E177" t="s">
        <v>1083</v>
      </c>
      <c r="F177" t="s">
        <v>646</v>
      </c>
      <c r="G177" t="s">
        <v>36</v>
      </c>
      <c r="H177" s="6">
        <v>426457</v>
      </c>
      <c r="I177" s="6">
        <v>1.8778726119071621E-3</v>
      </c>
      <c r="J177" s="6">
        <v>8497.3735688799079</v>
      </c>
      <c r="K177" s="6">
        <v>1635627.0449711301</v>
      </c>
      <c r="M177" s="6">
        <f t="shared" si="15"/>
        <v>434954.37356887991</v>
      </c>
      <c r="N177" s="6">
        <f t="shared" si="16"/>
        <v>1635627.0449711301</v>
      </c>
      <c r="O177" s="6">
        <f t="shared" si="17"/>
        <v>2070581.41854001</v>
      </c>
      <c r="P177" s="8">
        <f>VLOOKUP(F177,'LEAID Match'!$A$2:$B$436,2,FALSE)</f>
        <v>1802610</v>
      </c>
      <c r="Q177" s="6">
        <f t="shared" si="18"/>
        <v>9</v>
      </c>
    </row>
    <row r="178" spans="1:17" x14ac:dyDescent="0.2">
      <c r="A178" s="16">
        <f t="shared" si="14"/>
        <v>1802610</v>
      </c>
      <c r="B178">
        <v>2018</v>
      </c>
      <c r="C178" t="s">
        <v>904</v>
      </c>
      <c r="D178" t="s">
        <v>906</v>
      </c>
      <c r="E178" t="s">
        <v>1084</v>
      </c>
      <c r="F178" t="s">
        <v>646</v>
      </c>
      <c r="G178" t="s">
        <v>36</v>
      </c>
      <c r="H178" s="6">
        <v>429692</v>
      </c>
      <c r="I178" s="6">
        <v>1.8229128021319983E-3</v>
      </c>
      <c r="J178" s="6">
        <v>7597.9005592861686</v>
      </c>
      <c r="K178" s="6">
        <v>2051323</v>
      </c>
      <c r="M178" s="6">
        <f t="shared" si="15"/>
        <v>437289.90055928618</v>
      </c>
      <c r="N178" s="6">
        <f t="shared" si="16"/>
        <v>2051323</v>
      </c>
      <c r="O178" s="6">
        <f t="shared" si="17"/>
        <v>2488612.9005592861</v>
      </c>
      <c r="P178" s="8">
        <f>VLOOKUP(F178,'LEAID Match'!$A$2:$B$436,2,FALSE)</f>
        <v>1802610</v>
      </c>
      <c r="Q178" s="6">
        <f t="shared" si="18"/>
        <v>9</v>
      </c>
    </row>
    <row r="179" spans="1:17" x14ac:dyDescent="0.2">
      <c r="A179" s="16">
        <f t="shared" si="14"/>
        <v>1802610</v>
      </c>
      <c r="B179">
        <v>2019</v>
      </c>
      <c r="C179" t="s">
        <v>904</v>
      </c>
      <c r="D179" t="s">
        <v>906</v>
      </c>
      <c r="E179" t="s">
        <v>1085</v>
      </c>
      <c r="F179" t="s">
        <v>646</v>
      </c>
      <c r="G179" t="s">
        <v>36</v>
      </c>
      <c r="H179" s="6">
        <v>459884</v>
      </c>
      <c r="I179" s="6">
        <v>1.169942401851271E-3</v>
      </c>
      <c r="J179" s="6">
        <v>4100.6481184887052</v>
      </c>
      <c r="K179" s="6">
        <v>1104308.63310741</v>
      </c>
      <c r="M179" s="6">
        <f t="shared" si="15"/>
        <v>463984.64811848872</v>
      </c>
      <c r="N179" s="6">
        <f t="shared" si="16"/>
        <v>1104308.63310741</v>
      </c>
      <c r="O179" s="6">
        <f t="shared" si="17"/>
        <v>1568293.2812258988</v>
      </c>
      <c r="P179" s="8">
        <f>VLOOKUP(F179,'LEAID Match'!$A$2:$B$436,2,FALSE)</f>
        <v>1802610</v>
      </c>
      <c r="Q179" s="6">
        <f t="shared" si="18"/>
        <v>9</v>
      </c>
    </row>
    <row r="180" spans="1:17" x14ac:dyDescent="0.2">
      <c r="A180" s="16">
        <f t="shared" si="14"/>
        <v>1802610</v>
      </c>
      <c r="B180">
        <v>2020</v>
      </c>
      <c r="C180" t="s">
        <v>904</v>
      </c>
      <c r="D180" t="s">
        <v>906</v>
      </c>
      <c r="E180" t="s">
        <v>1086</v>
      </c>
      <c r="F180" t="s">
        <v>646</v>
      </c>
      <c r="G180" t="s">
        <v>36</v>
      </c>
      <c r="H180" s="6">
        <v>359113</v>
      </c>
      <c r="I180" s="6">
        <v>1.9028348202796508E-3</v>
      </c>
      <c r="J180" s="6">
        <v>4483.0788365788576</v>
      </c>
      <c r="K180" s="6">
        <v>2082398</v>
      </c>
      <c r="M180" s="6">
        <f t="shared" si="15"/>
        <v>363596.07883657888</v>
      </c>
      <c r="N180" s="6">
        <f t="shared" si="16"/>
        <v>2082398</v>
      </c>
      <c r="O180" s="6">
        <f t="shared" si="17"/>
        <v>2445994.0788365789</v>
      </c>
      <c r="P180" s="8">
        <f>VLOOKUP(F180,'LEAID Match'!$A$2:$B$436,2,FALSE)</f>
        <v>1802610</v>
      </c>
      <c r="Q180" s="6">
        <f t="shared" si="18"/>
        <v>9</v>
      </c>
    </row>
    <row r="181" spans="1:17" x14ac:dyDescent="0.2">
      <c r="A181" s="16">
        <f t="shared" si="14"/>
        <v>1802610</v>
      </c>
      <c r="B181">
        <v>2021</v>
      </c>
      <c r="C181" t="s">
        <v>904</v>
      </c>
      <c r="D181" t="s">
        <v>906</v>
      </c>
      <c r="E181" t="s">
        <v>1087</v>
      </c>
      <c r="F181" t="s">
        <v>646</v>
      </c>
      <c r="G181" t="s">
        <v>36</v>
      </c>
      <c r="H181" s="6">
        <v>372651</v>
      </c>
      <c r="I181" s="6">
        <v>1.8409305961443888E-3</v>
      </c>
      <c r="J181" s="6">
        <v>4149.4575637094522</v>
      </c>
      <c r="K181" s="6">
        <v>3412371</v>
      </c>
      <c r="M181" s="6">
        <f t="shared" si="15"/>
        <v>376800.45756370947</v>
      </c>
      <c r="N181" s="6">
        <f t="shared" si="16"/>
        <v>3412371</v>
      </c>
      <c r="O181" s="6">
        <f t="shared" si="17"/>
        <v>3789171.4575637095</v>
      </c>
      <c r="P181" s="8">
        <f>VLOOKUP(F181,'LEAID Match'!$A$2:$B$436,2,FALSE)</f>
        <v>1802610</v>
      </c>
      <c r="Q181" s="6">
        <f t="shared" si="18"/>
        <v>9</v>
      </c>
    </row>
    <row r="182" spans="1:17" x14ac:dyDescent="0.2">
      <c r="A182" s="16">
        <f t="shared" si="14"/>
        <v>1802610</v>
      </c>
      <c r="B182">
        <v>2022</v>
      </c>
      <c r="C182" t="s">
        <v>904</v>
      </c>
      <c r="D182" t="s">
        <v>906</v>
      </c>
      <c r="E182" t="s">
        <v>1088</v>
      </c>
      <c r="F182" t="s">
        <v>646</v>
      </c>
      <c r="G182" t="s">
        <v>36</v>
      </c>
      <c r="H182" s="6">
        <v>377120</v>
      </c>
      <c r="I182" s="6">
        <v>1.7906358481802141E-3</v>
      </c>
      <c r="J182" s="6">
        <v>3948.3520452373718</v>
      </c>
      <c r="K182" s="6">
        <v>3368577</v>
      </c>
      <c r="M182" s="6">
        <f t="shared" si="15"/>
        <v>381068.35204523738</v>
      </c>
      <c r="N182" s="6">
        <f t="shared" si="16"/>
        <v>3368577</v>
      </c>
      <c r="O182" s="6">
        <f t="shared" si="17"/>
        <v>3749645.3520452376</v>
      </c>
      <c r="P182" s="8">
        <f>VLOOKUP(F182,'LEAID Match'!$A$2:$B$436,2,FALSE)</f>
        <v>1802610</v>
      </c>
      <c r="Q182" s="6">
        <f t="shared" si="18"/>
        <v>9</v>
      </c>
    </row>
    <row r="183" spans="1:17" x14ac:dyDescent="0.2">
      <c r="A183" s="16">
        <f t="shared" si="14"/>
        <v>1802610</v>
      </c>
      <c r="B183">
        <v>2023</v>
      </c>
      <c r="C183" t="s">
        <v>904</v>
      </c>
      <c r="D183" t="s">
        <v>906</v>
      </c>
      <c r="E183" t="s">
        <v>1089</v>
      </c>
      <c r="F183" t="s">
        <v>646</v>
      </c>
      <c r="G183" t="s">
        <v>36</v>
      </c>
      <c r="H183" s="6">
        <v>439897</v>
      </c>
      <c r="I183" s="6">
        <v>1.7989370274834142E-3</v>
      </c>
      <c r="J183" s="6">
        <v>4437.9776468015825</v>
      </c>
      <c r="K183" s="6">
        <v>9675281</v>
      </c>
      <c r="M183" s="6">
        <f t="shared" si="15"/>
        <v>444334.97764680156</v>
      </c>
      <c r="N183" s="6">
        <f t="shared" si="16"/>
        <v>9675281</v>
      </c>
      <c r="O183" s="6">
        <f t="shared" si="17"/>
        <v>10119615.977646802</v>
      </c>
      <c r="P183" s="8">
        <f>VLOOKUP(F183,'LEAID Match'!$A$2:$B$436,2,FALSE)</f>
        <v>1802610</v>
      </c>
      <c r="Q183" s="6">
        <f t="shared" si="18"/>
        <v>9</v>
      </c>
    </row>
    <row r="184" spans="1:17" x14ac:dyDescent="0.2">
      <c r="A184" s="16">
        <f t="shared" si="14"/>
        <v>1804080</v>
      </c>
      <c r="B184">
        <v>2015</v>
      </c>
      <c r="C184" t="s">
        <v>904</v>
      </c>
      <c r="D184" t="s">
        <v>906</v>
      </c>
      <c r="E184" t="s">
        <v>1090</v>
      </c>
      <c r="F184" t="s">
        <v>466</v>
      </c>
      <c r="G184" t="s">
        <v>37</v>
      </c>
      <c r="H184" s="6">
        <v>397650</v>
      </c>
      <c r="I184" s="6">
        <v>1.9336554617415094E-3</v>
      </c>
      <c r="J184" s="6">
        <v>11236.471888179911</v>
      </c>
      <c r="K184" s="6">
        <v>1635129.996936</v>
      </c>
      <c r="M184" s="6">
        <f t="shared" si="15"/>
        <v>408886.47188817989</v>
      </c>
      <c r="N184" s="6">
        <f t="shared" si="16"/>
        <v>1635129.996936</v>
      </c>
      <c r="O184" s="6">
        <f t="shared" si="17"/>
        <v>2044016.4688241798</v>
      </c>
      <c r="P184" s="8">
        <f>VLOOKUP(F184,'LEAID Match'!$A$2:$B$436,2,FALSE)</f>
        <v>1804080</v>
      </c>
      <c r="Q184" s="6">
        <f t="shared" si="18"/>
        <v>9</v>
      </c>
    </row>
    <row r="185" spans="1:17" x14ac:dyDescent="0.2">
      <c r="A185" s="16">
        <f t="shared" si="14"/>
        <v>1804080</v>
      </c>
      <c r="B185">
        <v>2016</v>
      </c>
      <c r="C185" t="s">
        <v>904</v>
      </c>
      <c r="D185" t="s">
        <v>906</v>
      </c>
      <c r="E185" t="s">
        <v>1091</v>
      </c>
      <c r="F185" t="s">
        <v>466</v>
      </c>
      <c r="G185" t="s">
        <v>37</v>
      </c>
      <c r="H185" s="6">
        <v>414763</v>
      </c>
      <c r="I185" s="6">
        <v>1.9245512596385965E-3</v>
      </c>
      <c r="J185" s="6">
        <v>9715.1347586556349</v>
      </c>
      <c r="K185" s="6">
        <v>1708039.24292925</v>
      </c>
      <c r="M185" s="6">
        <f t="shared" si="15"/>
        <v>424478.13475865562</v>
      </c>
      <c r="N185" s="6">
        <f t="shared" si="16"/>
        <v>1708039.24292925</v>
      </c>
      <c r="O185" s="6">
        <f t="shared" si="17"/>
        <v>2132517.3776879054</v>
      </c>
      <c r="P185" s="8">
        <f>VLOOKUP(F185,'LEAID Match'!$A$2:$B$436,2,FALSE)</f>
        <v>1804080</v>
      </c>
      <c r="Q185" s="6">
        <f t="shared" si="18"/>
        <v>9</v>
      </c>
    </row>
    <row r="186" spans="1:17" x14ac:dyDescent="0.2">
      <c r="A186" s="16">
        <f t="shared" si="14"/>
        <v>1804080</v>
      </c>
      <c r="B186">
        <v>2017</v>
      </c>
      <c r="C186" t="s">
        <v>904</v>
      </c>
      <c r="D186" t="s">
        <v>906</v>
      </c>
      <c r="E186" t="s">
        <v>1092</v>
      </c>
      <c r="F186" t="s">
        <v>466</v>
      </c>
      <c r="G186" t="s">
        <v>37</v>
      </c>
      <c r="H186" s="6">
        <v>445443</v>
      </c>
      <c r="I186" s="6">
        <v>1.9614760922338288E-3</v>
      </c>
      <c r="J186" s="6">
        <v>8875.6793173580754</v>
      </c>
      <c r="K186" s="6">
        <v>1708445.67633566</v>
      </c>
      <c r="M186" s="6">
        <f t="shared" si="15"/>
        <v>454318.67931735807</v>
      </c>
      <c r="N186" s="6">
        <f t="shared" si="16"/>
        <v>1708445.67633566</v>
      </c>
      <c r="O186" s="6">
        <f t="shared" si="17"/>
        <v>2162764.3556530182</v>
      </c>
      <c r="P186" s="8">
        <f>VLOOKUP(F186,'LEAID Match'!$A$2:$B$436,2,FALSE)</f>
        <v>1804080</v>
      </c>
      <c r="Q186" s="6">
        <f t="shared" si="18"/>
        <v>9</v>
      </c>
    </row>
    <row r="187" spans="1:17" x14ac:dyDescent="0.2">
      <c r="A187" s="16">
        <f t="shared" si="14"/>
        <v>1804080</v>
      </c>
      <c r="B187">
        <v>2018</v>
      </c>
      <c r="C187" t="s">
        <v>904</v>
      </c>
      <c r="D187" t="s">
        <v>906</v>
      </c>
      <c r="E187" t="s">
        <v>1093</v>
      </c>
      <c r="F187" t="s">
        <v>466</v>
      </c>
      <c r="G187" t="s">
        <v>37</v>
      </c>
      <c r="H187" s="6">
        <v>469606</v>
      </c>
      <c r="I187" s="6">
        <v>1.9922427910177504E-3</v>
      </c>
      <c r="J187" s="6">
        <v>8303.6679529619832</v>
      </c>
      <c r="K187" s="6">
        <v>2194148</v>
      </c>
      <c r="M187" s="6">
        <f t="shared" si="15"/>
        <v>477909.66795296199</v>
      </c>
      <c r="N187" s="6">
        <f t="shared" si="16"/>
        <v>2194148</v>
      </c>
      <c r="O187" s="6">
        <f t="shared" si="17"/>
        <v>2672057.6679529622</v>
      </c>
      <c r="P187" s="8">
        <f>VLOOKUP(F187,'LEAID Match'!$A$2:$B$436,2,FALSE)</f>
        <v>1804080</v>
      </c>
      <c r="Q187" s="6">
        <f t="shared" si="18"/>
        <v>9</v>
      </c>
    </row>
    <row r="188" spans="1:17" x14ac:dyDescent="0.2">
      <c r="A188" s="16">
        <f t="shared" si="14"/>
        <v>1804080</v>
      </c>
      <c r="B188">
        <v>2019</v>
      </c>
      <c r="C188" t="s">
        <v>904</v>
      </c>
      <c r="D188" t="s">
        <v>906</v>
      </c>
      <c r="E188" t="s">
        <v>1094</v>
      </c>
      <c r="F188" t="s">
        <v>466</v>
      </c>
      <c r="G188" t="s">
        <v>37</v>
      </c>
      <c r="H188" s="6">
        <v>489220</v>
      </c>
      <c r="I188" s="6">
        <v>1.2445730267495255E-3</v>
      </c>
      <c r="J188" s="6">
        <v>4362.2284587570866</v>
      </c>
      <c r="K188" s="6">
        <v>1174752.4799488699</v>
      </c>
      <c r="M188" s="6">
        <f t="shared" si="15"/>
        <v>493582.2284587571</v>
      </c>
      <c r="N188" s="6">
        <f t="shared" si="16"/>
        <v>1174752.4799488699</v>
      </c>
      <c r="O188" s="6">
        <f t="shared" si="17"/>
        <v>1668334.708407627</v>
      </c>
      <c r="P188" s="8">
        <f>VLOOKUP(F188,'LEAID Match'!$A$2:$B$436,2,FALSE)</f>
        <v>1804080</v>
      </c>
      <c r="Q188" s="6">
        <f t="shared" si="18"/>
        <v>9</v>
      </c>
    </row>
    <row r="189" spans="1:17" x14ac:dyDescent="0.2">
      <c r="A189" s="16">
        <f t="shared" si="14"/>
        <v>1804080</v>
      </c>
      <c r="B189">
        <v>2020</v>
      </c>
      <c r="C189" t="s">
        <v>904</v>
      </c>
      <c r="D189" t="s">
        <v>906</v>
      </c>
      <c r="E189" t="s">
        <v>1095</v>
      </c>
      <c r="F189" t="s">
        <v>466</v>
      </c>
      <c r="G189" t="s">
        <v>37</v>
      </c>
      <c r="H189" s="6">
        <v>373559</v>
      </c>
      <c r="I189" s="6">
        <v>1.9793799517946889E-3</v>
      </c>
      <c r="J189" s="6">
        <v>4663.4191664282871</v>
      </c>
      <c r="K189" s="6">
        <v>2285462</v>
      </c>
      <c r="M189" s="6">
        <f t="shared" si="15"/>
        <v>378222.41916642827</v>
      </c>
      <c r="N189" s="6">
        <f t="shared" si="16"/>
        <v>2285462</v>
      </c>
      <c r="O189" s="6">
        <f t="shared" si="17"/>
        <v>2663684.419166428</v>
      </c>
      <c r="P189" s="8">
        <f>VLOOKUP(F189,'LEAID Match'!$A$2:$B$436,2,FALSE)</f>
        <v>1804080</v>
      </c>
      <c r="Q189" s="6">
        <f t="shared" si="18"/>
        <v>9</v>
      </c>
    </row>
    <row r="190" spans="1:17" x14ac:dyDescent="0.2">
      <c r="A190" s="16">
        <f t="shared" si="14"/>
        <v>1804080</v>
      </c>
      <c r="B190">
        <v>2021</v>
      </c>
      <c r="C190" t="s">
        <v>904</v>
      </c>
      <c r="D190" t="s">
        <v>906</v>
      </c>
      <c r="E190" t="s">
        <v>1096</v>
      </c>
      <c r="F190" t="s">
        <v>466</v>
      </c>
      <c r="G190" t="s">
        <v>37</v>
      </c>
      <c r="H190" s="6">
        <v>395093</v>
      </c>
      <c r="I190" s="6">
        <v>1.9517961632263834E-3</v>
      </c>
      <c r="J190" s="6">
        <v>4399.3485519122678</v>
      </c>
      <c r="K190" s="6">
        <v>3890605</v>
      </c>
      <c r="M190" s="6">
        <f t="shared" si="15"/>
        <v>399492.34855191229</v>
      </c>
      <c r="N190" s="6">
        <f t="shared" si="16"/>
        <v>3890605</v>
      </c>
      <c r="O190" s="6">
        <f t="shared" si="17"/>
        <v>4290097.3485519122</v>
      </c>
      <c r="P190" s="8">
        <f>VLOOKUP(F190,'LEAID Match'!$A$2:$B$436,2,FALSE)</f>
        <v>1804080</v>
      </c>
      <c r="Q190" s="6">
        <f t="shared" si="18"/>
        <v>9</v>
      </c>
    </row>
    <row r="191" spans="1:17" x14ac:dyDescent="0.2">
      <c r="A191" s="16">
        <f t="shared" si="14"/>
        <v>1804080</v>
      </c>
      <c r="B191">
        <v>2022</v>
      </c>
      <c r="C191" t="s">
        <v>904</v>
      </c>
      <c r="D191" t="s">
        <v>906</v>
      </c>
      <c r="E191" t="s">
        <v>1097</v>
      </c>
      <c r="F191" t="s">
        <v>466</v>
      </c>
      <c r="G191" t="s">
        <v>37</v>
      </c>
      <c r="H191" s="6">
        <v>438344</v>
      </c>
      <c r="I191" s="6">
        <v>2.0813387787301332E-3</v>
      </c>
      <c r="J191" s="6">
        <v>4589.3520070999439</v>
      </c>
      <c r="K191" s="6">
        <v>3709822</v>
      </c>
      <c r="M191" s="6">
        <f t="shared" si="15"/>
        <v>442933.35200709995</v>
      </c>
      <c r="N191" s="6">
        <f t="shared" si="16"/>
        <v>3709822</v>
      </c>
      <c r="O191" s="6">
        <f t="shared" si="17"/>
        <v>4152755.3520070999</v>
      </c>
      <c r="P191" s="8">
        <f>VLOOKUP(F191,'LEAID Match'!$A$2:$B$436,2,FALSE)</f>
        <v>1804080</v>
      </c>
      <c r="Q191" s="6">
        <f t="shared" si="18"/>
        <v>9</v>
      </c>
    </row>
    <row r="192" spans="1:17" x14ac:dyDescent="0.2">
      <c r="A192" s="16">
        <f t="shared" si="14"/>
        <v>1804080</v>
      </c>
      <c r="B192">
        <v>2023</v>
      </c>
      <c r="C192" t="s">
        <v>904</v>
      </c>
      <c r="D192" t="s">
        <v>906</v>
      </c>
      <c r="E192" t="s">
        <v>1098</v>
      </c>
      <c r="F192" t="s">
        <v>466</v>
      </c>
      <c r="G192" t="s">
        <v>37</v>
      </c>
      <c r="H192" s="6">
        <v>510487</v>
      </c>
      <c r="I192" s="6">
        <v>2.0876113416298035E-3</v>
      </c>
      <c r="J192" s="6">
        <v>5150.1371798007249</v>
      </c>
      <c r="K192" s="6">
        <v>10484166</v>
      </c>
      <c r="M192" s="6">
        <f t="shared" si="15"/>
        <v>515637.13717980072</v>
      </c>
      <c r="N192" s="6">
        <f t="shared" si="16"/>
        <v>10484166</v>
      </c>
      <c r="O192" s="6">
        <f t="shared" si="17"/>
        <v>10999803.137179801</v>
      </c>
      <c r="P192" s="8">
        <f>VLOOKUP(F192,'LEAID Match'!$A$2:$B$436,2,FALSE)</f>
        <v>1804080</v>
      </c>
      <c r="Q192" s="6">
        <f t="shared" si="18"/>
        <v>9</v>
      </c>
    </row>
    <row r="193" spans="1:17" x14ac:dyDescent="0.2">
      <c r="A193" s="16">
        <f t="shared" si="14"/>
        <v>1803060</v>
      </c>
      <c r="B193">
        <v>2015</v>
      </c>
      <c r="C193" t="s">
        <v>904</v>
      </c>
      <c r="D193" t="s">
        <v>906</v>
      </c>
      <c r="E193" t="s">
        <v>1099</v>
      </c>
      <c r="F193" t="s">
        <v>647</v>
      </c>
      <c r="G193" t="s">
        <v>38</v>
      </c>
      <c r="H193" s="6">
        <v>481423</v>
      </c>
      <c r="I193" s="6">
        <v>2.3410190201382693E-3</v>
      </c>
      <c r="J193" s="6">
        <v>13603.661526023483</v>
      </c>
      <c r="K193" s="6">
        <v>1979603.13973324</v>
      </c>
      <c r="M193" s="6">
        <f t="shared" si="15"/>
        <v>495026.66152602347</v>
      </c>
      <c r="N193" s="6">
        <f t="shared" si="16"/>
        <v>1979603.13973324</v>
      </c>
      <c r="O193" s="6">
        <f t="shared" si="17"/>
        <v>2474629.8012592634</v>
      </c>
      <c r="P193" s="8">
        <f>VLOOKUP(F193,'LEAID Match'!$A$2:$B$436,2,FALSE)</f>
        <v>1803060</v>
      </c>
      <c r="Q193" s="6">
        <f t="shared" si="18"/>
        <v>9</v>
      </c>
    </row>
    <row r="194" spans="1:17" x14ac:dyDescent="0.2">
      <c r="A194" s="16">
        <f t="shared" si="14"/>
        <v>1803060</v>
      </c>
      <c r="B194">
        <v>2016</v>
      </c>
      <c r="C194" t="s">
        <v>904</v>
      </c>
      <c r="D194" t="s">
        <v>906</v>
      </c>
      <c r="E194" t="s">
        <v>1100</v>
      </c>
      <c r="F194" t="s">
        <v>647</v>
      </c>
      <c r="G194" t="s">
        <v>38</v>
      </c>
      <c r="H194" s="6">
        <v>489350</v>
      </c>
      <c r="I194" s="6">
        <v>2.2706441001346485E-3</v>
      </c>
      <c r="J194" s="6">
        <v>11462.211417479706</v>
      </c>
      <c r="K194" s="6">
        <v>2015196.6388695</v>
      </c>
      <c r="M194" s="6">
        <f t="shared" si="15"/>
        <v>500812.21141747973</v>
      </c>
      <c r="N194" s="6">
        <f t="shared" si="16"/>
        <v>2015196.6388695</v>
      </c>
      <c r="O194" s="6">
        <f t="shared" si="17"/>
        <v>2516008.8502869797</v>
      </c>
      <c r="P194" s="8">
        <f>VLOOKUP(F194,'LEAID Match'!$A$2:$B$436,2,FALSE)</f>
        <v>1803060</v>
      </c>
      <c r="Q194" s="6">
        <f t="shared" si="18"/>
        <v>9</v>
      </c>
    </row>
    <row r="195" spans="1:17" x14ac:dyDescent="0.2">
      <c r="A195" s="16">
        <f t="shared" ref="A195:A258" si="19">P195</f>
        <v>1803060</v>
      </c>
      <c r="B195">
        <v>2017</v>
      </c>
      <c r="C195" t="s">
        <v>904</v>
      </c>
      <c r="D195" t="s">
        <v>906</v>
      </c>
      <c r="E195" t="s">
        <v>1101</v>
      </c>
      <c r="F195" t="s">
        <v>647</v>
      </c>
      <c r="G195" t="s">
        <v>38</v>
      </c>
      <c r="H195" s="6">
        <v>517930</v>
      </c>
      <c r="I195" s="6">
        <v>2.2806673636147994E-3</v>
      </c>
      <c r="J195" s="6">
        <v>10320.019820356967</v>
      </c>
      <c r="K195" s="6">
        <v>1986461.27370849</v>
      </c>
      <c r="M195" s="6">
        <f t="shared" ref="M195:M258" si="20">SUM(H195,J195)</f>
        <v>528250.01982035697</v>
      </c>
      <c r="N195" s="6">
        <f t="shared" ref="N195:N258" si="21">K195</f>
        <v>1986461.27370849</v>
      </c>
      <c r="O195" s="6">
        <f t="shared" ref="O195:O258" si="22">SUM(M195:N195)</f>
        <v>2514711.2935288469</v>
      </c>
      <c r="P195" s="8">
        <f>VLOOKUP(F195,'LEAID Match'!$A$2:$B$436,2,FALSE)</f>
        <v>1803060</v>
      </c>
      <c r="Q195" s="6">
        <f t="shared" ref="Q195:Q258" si="23">COUNTIF($P$2:$P$3691,P195)</f>
        <v>9</v>
      </c>
    </row>
    <row r="196" spans="1:17" x14ac:dyDescent="0.2">
      <c r="A196" s="16">
        <f t="shared" si="19"/>
        <v>1803060</v>
      </c>
      <c r="B196">
        <v>2018</v>
      </c>
      <c r="C196" t="s">
        <v>904</v>
      </c>
      <c r="D196" t="s">
        <v>906</v>
      </c>
      <c r="E196" t="s">
        <v>1102</v>
      </c>
      <c r="F196" t="s">
        <v>647</v>
      </c>
      <c r="G196" t="s">
        <v>38</v>
      </c>
      <c r="H196" s="6">
        <v>539036</v>
      </c>
      <c r="I196" s="6">
        <v>2.2867905970090758E-3</v>
      </c>
      <c r="J196" s="6">
        <v>9531.3432083338284</v>
      </c>
      <c r="K196" s="6">
        <v>2037738</v>
      </c>
      <c r="M196" s="6">
        <f t="shared" si="20"/>
        <v>548567.34320833383</v>
      </c>
      <c r="N196" s="6">
        <f t="shared" si="21"/>
        <v>2037738</v>
      </c>
      <c r="O196" s="6">
        <f t="shared" si="22"/>
        <v>2586305.3432083339</v>
      </c>
      <c r="P196" s="8">
        <f>VLOOKUP(F196,'LEAID Match'!$A$2:$B$436,2,FALSE)</f>
        <v>1803060</v>
      </c>
      <c r="Q196" s="6">
        <f t="shared" si="23"/>
        <v>9</v>
      </c>
    </row>
    <row r="197" spans="1:17" x14ac:dyDescent="0.2">
      <c r="A197" s="16">
        <f t="shared" si="19"/>
        <v>1803060</v>
      </c>
      <c r="B197">
        <v>2019</v>
      </c>
      <c r="C197" t="s">
        <v>904</v>
      </c>
      <c r="D197" t="s">
        <v>906</v>
      </c>
      <c r="E197" t="s">
        <v>1103</v>
      </c>
      <c r="F197" t="s">
        <v>647</v>
      </c>
      <c r="G197" t="s">
        <v>38</v>
      </c>
      <c r="H197" s="6">
        <v>579768</v>
      </c>
      <c r="I197" s="6">
        <v>1.4749266476687766E-3</v>
      </c>
      <c r="J197" s="6">
        <v>5169.6179000790617</v>
      </c>
      <c r="K197" s="6">
        <v>1392183.2627345501</v>
      </c>
      <c r="M197" s="6">
        <f t="shared" si="20"/>
        <v>584937.61790007912</v>
      </c>
      <c r="N197" s="6">
        <f t="shared" si="21"/>
        <v>1392183.2627345501</v>
      </c>
      <c r="O197" s="6">
        <f t="shared" si="22"/>
        <v>1977120.8806346292</v>
      </c>
      <c r="P197" s="8">
        <f>VLOOKUP(F197,'LEAID Match'!$A$2:$B$436,2,FALSE)</f>
        <v>1803060</v>
      </c>
      <c r="Q197" s="6">
        <f t="shared" si="23"/>
        <v>9</v>
      </c>
    </row>
    <row r="198" spans="1:17" x14ac:dyDescent="0.2">
      <c r="A198" s="16">
        <f t="shared" si="19"/>
        <v>1803060</v>
      </c>
      <c r="B198">
        <v>2020</v>
      </c>
      <c r="C198" t="s">
        <v>904</v>
      </c>
      <c r="D198" t="s">
        <v>906</v>
      </c>
      <c r="E198" t="s">
        <v>1104</v>
      </c>
      <c r="F198" t="s">
        <v>647</v>
      </c>
      <c r="G198" t="s">
        <v>38</v>
      </c>
      <c r="H198" s="6">
        <v>457542</v>
      </c>
      <c r="I198" s="6">
        <v>2.4243813210337471E-3</v>
      </c>
      <c r="J198" s="6">
        <v>5711.8423923555083</v>
      </c>
      <c r="K198" s="6">
        <v>2135034</v>
      </c>
      <c r="M198" s="6">
        <f t="shared" si="20"/>
        <v>463253.84239235549</v>
      </c>
      <c r="N198" s="6">
        <f t="shared" si="21"/>
        <v>2135034</v>
      </c>
      <c r="O198" s="6">
        <f t="shared" si="22"/>
        <v>2598287.8423923557</v>
      </c>
      <c r="P198" s="8">
        <f>VLOOKUP(F198,'LEAID Match'!$A$2:$B$436,2,FALSE)</f>
        <v>1803060</v>
      </c>
      <c r="Q198" s="6">
        <f t="shared" si="23"/>
        <v>9</v>
      </c>
    </row>
    <row r="199" spans="1:17" x14ac:dyDescent="0.2">
      <c r="A199" s="16">
        <f t="shared" si="19"/>
        <v>1803060</v>
      </c>
      <c r="B199">
        <v>2021</v>
      </c>
      <c r="C199" t="s">
        <v>904</v>
      </c>
      <c r="D199" t="s">
        <v>906</v>
      </c>
      <c r="E199" t="s">
        <v>1105</v>
      </c>
      <c r="F199" t="s">
        <v>647</v>
      </c>
      <c r="G199" t="s">
        <v>38</v>
      </c>
      <c r="H199" s="6">
        <v>486320</v>
      </c>
      <c r="I199" s="6">
        <v>2.4024660272398014E-3</v>
      </c>
      <c r="J199" s="6">
        <v>5415.158425398512</v>
      </c>
      <c r="K199" s="6">
        <v>3788788</v>
      </c>
      <c r="M199" s="6">
        <f t="shared" si="20"/>
        <v>491735.15842539852</v>
      </c>
      <c r="N199" s="6">
        <f t="shared" si="21"/>
        <v>3788788</v>
      </c>
      <c r="O199" s="6">
        <f t="shared" si="22"/>
        <v>4280523.1584253982</v>
      </c>
      <c r="P199" s="8">
        <f>VLOOKUP(F199,'LEAID Match'!$A$2:$B$436,2,FALSE)</f>
        <v>1803060</v>
      </c>
      <c r="Q199" s="6">
        <f t="shared" si="23"/>
        <v>9</v>
      </c>
    </row>
    <row r="200" spans="1:17" x14ac:dyDescent="0.2">
      <c r="A200" s="16">
        <f t="shared" si="19"/>
        <v>1803060</v>
      </c>
      <c r="B200">
        <v>2022</v>
      </c>
      <c r="C200" t="s">
        <v>904</v>
      </c>
      <c r="D200" t="s">
        <v>906</v>
      </c>
      <c r="E200" t="s">
        <v>1106</v>
      </c>
      <c r="F200" t="s">
        <v>647</v>
      </c>
      <c r="G200" t="s">
        <v>38</v>
      </c>
      <c r="H200" s="6">
        <v>505400</v>
      </c>
      <c r="I200" s="6">
        <v>2.3997331291638743E-3</v>
      </c>
      <c r="J200" s="6">
        <v>5291.4115498063429</v>
      </c>
      <c r="K200" s="6">
        <v>3490594</v>
      </c>
      <c r="M200" s="6">
        <f t="shared" si="20"/>
        <v>510691.41154980636</v>
      </c>
      <c r="N200" s="6">
        <f t="shared" si="21"/>
        <v>3490594</v>
      </c>
      <c r="O200" s="6">
        <f t="shared" si="22"/>
        <v>4001285.4115498066</v>
      </c>
      <c r="P200" s="8">
        <f>VLOOKUP(F200,'LEAID Match'!$A$2:$B$436,2,FALSE)</f>
        <v>1803060</v>
      </c>
      <c r="Q200" s="6">
        <f t="shared" si="23"/>
        <v>9</v>
      </c>
    </row>
    <row r="201" spans="1:17" x14ac:dyDescent="0.2">
      <c r="A201" s="16">
        <f t="shared" si="19"/>
        <v>1803060</v>
      </c>
      <c r="B201">
        <v>2023</v>
      </c>
      <c r="C201" t="s">
        <v>904</v>
      </c>
      <c r="D201" t="s">
        <v>906</v>
      </c>
      <c r="E201" t="s">
        <v>1107</v>
      </c>
      <c r="F201" t="s">
        <v>647</v>
      </c>
      <c r="G201" t="s">
        <v>38</v>
      </c>
      <c r="H201" s="6">
        <v>542220</v>
      </c>
      <c r="I201" s="6">
        <v>2.2173818758528855E-3</v>
      </c>
      <c r="J201" s="6">
        <v>5470.2810877290685</v>
      </c>
      <c r="K201" s="6">
        <v>10517199</v>
      </c>
      <c r="M201" s="6">
        <f t="shared" si="20"/>
        <v>547690.28108772903</v>
      </c>
      <c r="N201" s="6">
        <f t="shared" si="21"/>
        <v>10517199</v>
      </c>
      <c r="O201" s="6">
        <f t="shared" si="22"/>
        <v>11064889.281087728</v>
      </c>
      <c r="P201" s="8">
        <f>VLOOKUP(F201,'LEAID Match'!$A$2:$B$436,2,FALSE)</f>
        <v>1803060</v>
      </c>
      <c r="Q201" s="6">
        <f t="shared" si="23"/>
        <v>9</v>
      </c>
    </row>
    <row r="202" spans="1:17" x14ac:dyDescent="0.2">
      <c r="A202" s="16">
        <f t="shared" si="19"/>
        <v>1803840</v>
      </c>
      <c r="B202">
        <v>2015</v>
      </c>
      <c r="C202" t="s">
        <v>904</v>
      </c>
      <c r="D202" t="s">
        <v>906</v>
      </c>
      <c r="E202" t="s">
        <v>1108</v>
      </c>
      <c r="F202" t="s">
        <v>648</v>
      </c>
      <c r="G202" t="s">
        <v>39</v>
      </c>
      <c r="H202" s="6">
        <v>315020</v>
      </c>
      <c r="I202" s="6">
        <v>1.5318499775124111E-3</v>
      </c>
      <c r="J202" s="6">
        <v>8901.5802193246218</v>
      </c>
      <c r="K202" s="6">
        <v>1295356.85058413</v>
      </c>
      <c r="M202" s="6">
        <f t="shared" si="20"/>
        <v>323921.58021932462</v>
      </c>
      <c r="N202" s="6">
        <f t="shared" si="21"/>
        <v>1295356.85058413</v>
      </c>
      <c r="O202" s="6">
        <f t="shared" si="22"/>
        <v>1619278.4308034547</v>
      </c>
      <c r="P202" s="8">
        <f>VLOOKUP(F202,'LEAID Match'!$A$2:$B$436,2,FALSE)</f>
        <v>1803840</v>
      </c>
      <c r="Q202" s="6">
        <f t="shared" si="23"/>
        <v>9</v>
      </c>
    </row>
    <row r="203" spans="1:17" x14ac:dyDescent="0.2">
      <c r="A203" s="16">
        <f t="shared" si="19"/>
        <v>1803840</v>
      </c>
      <c r="B203">
        <v>2016</v>
      </c>
      <c r="C203" t="s">
        <v>904</v>
      </c>
      <c r="D203" t="s">
        <v>906</v>
      </c>
      <c r="E203" t="s">
        <v>1109</v>
      </c>
      <c r="F203" t="s">
        <v>648</v>
      </c>
      <c r="G203" t="s">
        <v>39</v>
      </c>
      <c r="H203" s="6">
        <v>333518</v>
      </c>
      <c r="I203" s="6">
        <v>1.5475644814319151E-3</v>
      </c>
      <c r="J203" s="6">
        <v>7812.1055022683076</v>
      </c>
      <c r="K203" s="6">
        <v>1373463.4772708199</v>
      </c>
      <c r="M203" s="6">
        <f t="shared" si="20"/>
        <v>341330.1055022683</v>
      </c>
      <c r="N203" s="6">
        <f t="shared" si="21"/>
        <v>1373463.4772708199</v>
      </c>
      <c r="O203" s="6">
        <f t="shared" si="22"/>
        <v>1714793.5827730882</v>
      </c>
      <c r="P203" s="8">
        <f>VLOOKUP(F203,'LEAID Match'!$A$2:$B$436,2,FALSE)</f>
        <v>1803840</v>
      </c>
      <c r="Q203" s="6">
        <f t="shared" si="23"/>
        <v>9</v>
      </c>
    </row>
    <row r="204" spans="1:17" x14ac:dyDescent="0.2">
      <c r="A204" s="16">
        <f t="shared" si="19"/>
        <v>1803840</v>
      </c>
      <c r="B204">
        <v>2017</v>
      </c>
      <c r="C204" t="s">
        <v>904</v>
      </c>
      <c r="D204" t="s">
        <v>906</v>
      </c>
      <c r="E204" t="s">
        <v>1110</v>
      </c>
      <c r="F204" t="s">
        <v>648</v>
      </c>
      <c r="G204" t="s">
        <v>39</v>
      </c>
      <c r="H204" s="6">
        <v>353545</v>
      </c>
      <c r="I204" s="6">
        <v>1.556809883708598E-3</v>
      </c>
      <c r="J204" s="6">
        <v>7044.5647237814055</v>
      </c>
      <c r="K204" s="6">
        <v>1355981.4087101801</v>
      </c>
      <c r="M204" s="6">
        <f t="shared" si="20"/>
        <v>360589.56472378143</v>
      </c>
      <c r="N204" s="6">
        <f t="shared" si="21"/>
        <v>1355981.4087101801</v>
      </c>
      <c r="O204" s="6">
        <f t="shared" si="22"/>
        <v>1716570.9734339616</v>
      </c>
      <c r="P204" s="8">
        <f>VLOOKUP(F204,'LEAID Match'!$A$2:$B$436,2,FALSE)</f>
        <v>1803840</v>
      </c>
      <c r="Q204" s="6">
        <f t="shared" si="23"/>
        <v>9</v>
      </c>
    </row>
    <row r="205" spans="1:17" x14ac:dyDescent="0.2">
      <c r="A205" s="16">
        <f t="shared" si="19"/>
        <v>1803840</v>
      </c>
      <c r="B205">
        <v>2018</v>
      </c>
      <c r="C205" t="s">
        <v>904</v>
      </c>
      <c r="D205" t="s">
        <v>906</v>
      </c>
      <c r="E205" t="s">
        <v>1111</v>
      </c>
      <c r="F205" t="s">
        <v>648</v>
      </c>
      <c r="G205" t="s">
        <v>39</v>
      </c>
      <c r="H205" s="6">
        <v>363405</v>
      </c>
      <c r="I205" s="6">
        <v>1.5416987676260645E-3</v>
      </c>
      <c r="J205" s="6">
        <v>6425.8004634654371</v>
      </c>
      <c r="K205" s="6">
        <v>1450374</v>
      </c>
      <c r="M205" s="6">
        <f t="shared" si="20"/>
        <v>369830.80046346545</v>
      </c>
      <c r="N205" s="6">
        <f t="shared" si="21"/>
        <v>1450374</v>
      </c>
      <c r="O205" s="6">
        <f t="shared" si="22"/>
        <v>1820204.8004634655</v>
      </c>
      <c r="P205" s="8">
        <f>VLOOKUP(F205,'LEAID Match'!$A$2:$B$436,2,FALSE)</f>
        <v>1803840</v>
      </c>
      <c r="Q205" s="6">
        <f t="shared" si="23"/>
        <v>9</v>
      </c>
    </row>
    <row r="206" spans="1:17" x14ac:dyDescent="0.2">
      <c r="A206" s="16">
        <f t="shared" si="19"/>
        <v>1803840</v>
      </c>
      <c r="B206">
        <v>2019</v>
      </c>
      <c r="C206" t="s">
        <v>904</v>
      </c>
      <c r="D206" t="s">
        <v>906</v>
      </c>
      <c r="E206" t="s">
        <v>1112</v>
      </c>
      <c r="F206" t="s">
        <v>648</v>
      </c>
      <c r="G206" t="s">
        <v>39</v>
      </c>
      <c r="H206" s="6">
        <v>374557</v>
      </c>
      <c r="I206" s="6">
        <v>9.5287097661629129E-4</v>
      </c>
      <c r="J206" s="6">
        <v>3339.8127730401011</v>
      </c>
      <c r="K206" s="6">
        <v>899414.91482811701</v>
      </c>
      <c r="M206" s="6">
        <f t="shared" si="20"/>
        <v>377896.81277304009</v>
      </c>
      <c r="N206" s="6">
        <f t="shared" si="21"/>
        <v>899414.91482811701</v>
      </c>
      <c r="O206" s="6">
        <f t="shared" si="22"/>
        <v>1277311.727601157</v>
      </c>
      <c r="P206" s="8">
        <f>VLOOKUP(F206,'LEAID Match'!$A$2:$B$436,2,FALSE)</f>
        <v>1803840</v>
      </c>
      <c r="Q206" s="6">
        <f t="shared" si="23"/>
        <v>9</v>
      </c>
    </row>
    <row r="207" spans="1:17" x14ac:dyDescent="0.2">
      <c r="A207" s="16">
        <f t="shared" si="19"/>
        <v>1803840</v>
      </c>
      <c r="B207">
        <v>2020</v>
      </c>
      <c r="C207" t="s">
        <v>904</v>
      </c>
      <c r="D207" t="s">
        <v>906</v>
      </c>
      <c r="E207" t="s">
        <v>1113</v>
      </c>
      <c r="F207" t="s">
        <v>648</v>
      </c>
      <c r="G207" t="s">
        <v>39</v>
      </c>
      <c r="H207" s="6">
        <v>275521</v>
      </c>
      <c r="I207" s="6">
        <v>1.4599052457534806E-3</v>
      </c>
      <c r="J207" s="6">
        <v>3439.5367589952002</v>
      </c>
      <c r="K207" s="6">
        <v>1547596</v>
      </c>
      <c r="M207" s="6">
        <f t="shared" si="20"/>
        <v>278960.53675899521</v>
      </c>
      <c r="N207" s="6">
        <f t="shared" si="21"/>
        <v>1547596</v>
      </c>
      <c r="O207" s="6">
        <f t="shared" si="22"/>
        <v>1826556.5367589951</v>
      </c>
      <c r="P207" s="8">
        <f>VLOOKUP(F207,'LEAID Match'!$A$2:$B$436,2,FALSE)</f>
        <v>1803840</v>
      </c>
      <c r="Q207" s="6">
        <f t="shared" si="23"/>
        <v>9</v>
      </c>
    </row>
    <row r="208" spans="1:17" x14ac:dyDescent="0.2">
      <c r="A208" s="16">
        <f t="shared" si="19"/>
        <v>1803840</v>
      </c>
      <c r="B208">
        <v>2021</v>
      </c>
      <c r="C208" t="s">
        <v>904</v>
      </c>
      <c r="D208" t="s">
        <v>906</v>
      </c>
      <c r="E208" t="s">
        <v>1114</v>
      </c>
      <c r="F208" t="s">
        <v>648</v>
      </c>
      <c r="G208" t="s">
        <v>39</v>
      </c>
      <c r="H208" s="6">
        <v>294343</v>
      </c>
      <c r="I208" s="6">
        <v>1.454081793584152E-3</v>
      </c>
      <c r="J208" s="6">
        <v>3277.5003627386786</v>
      </c>
      <c r="K208" s="6">
        <v>2591605</v>
      </c>
      <c r="M208" s="6">
        <f t="shared" si="20"/>
        <v>297620.50036273868</v>
      </c>
      <c r="N208" s="6">
        <f t="shared" si="21"/>
        <v>2591605</v>
      </c>
      <c r="O208" s="6">
        <f t="shared" si="22"/>
        <v>2889225.5003627385</v>
      </c>
      <c r="P208" s="8">
        <f>VLOOKUP(F208,'LEAID Match'!$A$2:$B$436,2,FALSE)</f>
        <v>1803840</v>
      </c>
      <c r="Q208" s="6">
        <f t="shared" si="23"/>
        <v>9</v>
      </c>
    </row>
    <row r="209" spans="1:17" x14ac:dyDescent="0.2">
      <c r="A209" s="16">
        <f t="shared" si="19"/>
        <v>1803840</v>
      </c>
      <c r="B209">
        <v>2022</v>
      </c>
      <c r="C209" t="s">
        <v>904</v>
      </c>
      <c r="D209" t="s">
        <v>906</v>
      </c>
      <c r="E209" t="s">
        <v>1115</v>
      </c>
      <c r="F209" t="s">
        <v>648</v>
      </c>
      <c r="G209" t="s">
        <v>39</v>
      </c>
      <c r="H209" s="6">
        <v>308488</v>
      </c>
      <c r="I209" s="6">
        <v>1.4647583568450835E-3</v>
      </c>
      <c r="J209" s="6">
        <v>3229.7921768434089</v>
      </c>
      <c r="K209" s="6">
        <v>2508564</v>
      </c>
      <c r="M209" s="6">
        <f t="shared" si="20"/>
        <v>311717.79217684339</v>
      </c>
      <c r="N209" s="6">
        <f t="shared" si="21"/>
        <v>2508564</v>
      </c>
      <c r="O209" s="6">
        <f t="shared" si="22"/>
        <v>2820281.7921768436</v>
      </c>
      <c r="P209" s="8">
        <f>VLOOKUP(F209,'LEAID Match'!$A$2:$B$436,2,FALSE)</f>
        <v>1803840</v>
      </c>
      <c r="Q209" s="6">
        <f t="shared" si="23"/>
        <v>9</v>
      </c>
    </row>
    <row r="210" spans="1:17" x14ac:dyDescent="0.2">
      <c r="A210" s="16">
        <f t="shared" si="19"/>
        <v>1803840</v>
      </c>
      <c r="B210">
        <v>2023</v>
      </c>
      <c r="C210" t="s">
        <v>904</v>
      </c>
      <c r="D210" t="s">
        <v>906</v>
      </c>
      <c r="E210" t="s">
        <v>1116</v>
      </c>
      <c r="F210" t="s">
        <v>648</v>
      </c>
      <c r="G210" t="s">
        <v>39</v>
      </c>
      <c r="H210" s="6">
        <v>377160</v>
      </c>
      <c r="I210" s="6">
        <v>1.5423771684863604E-3</v>
      </c>
      <c r="J210" s="6">
        <v>3805.044474655851</v>
      </c>
      <c r="K210" s="6">
        <v>7033065</v>
      </c>
      <c r="M210" s="6">
        <f t="shared" si="20"/>
        <v>380965.04447465588</v>
      </c>
      <c r="N210" s="6">
        <f t="shared" si="21"/>
        <v>7033065</v>
      </c>
      <c r="O210" s="6">
        <f t="shared" si="22"/>
        <v>7414030.0444746558</v>
      </c>
      <c r="P210" s="8">
        <f>VLOOKUP(F210,'LEAID Match'!$A$2:$B$436,2,FALSE)</f>
        <v>1803840</v>
      </c>
      <c r="Q210" s="6">
        <f t="shared" si="23"/>
        <v>9</v>
      </c>
    </row>
    <row r="211" spans="1:17" x14ac:dyDescent="0.2">
      <c r="A211" s="16">
        <f t="shared" si="19"/>
        <v>1801590</v>
      </c>
      <c r="B211">
        <v>2015</v>
      </c>
      <c r="C211" t="s">
        <v>904</v>
      </c>
      <c r="D211" t="s">
        <v>906</v>
      </c>
      <c r="E211" t="s">
        <v>1117</v>
      </c>
      <c r="F211" t="s">
        <v>467</v>
      </c>
      <c r="G211" t="s">
        <v>40</v>
      </c>
      <c r="H211" s="6">
        <v>697871</v>
      </c>
      <c r="I211" s="6">
        <v>3.393542237497822E-3</v>
      </c>
      <c r="J211" s="6">
        <v>19719.873942099843</v>
      </c>
      <c r="K211" s="6">
        <v>2869633.6127039501</v>
      </c>
      <c r="M211" s="6">
        <f t="shared" si="20"/>
        <v>717590.87394209986</v>
      </c>
      <c r="N211" s="6">
        <f t="shared" si="21"/>
        <v>2869633.6127039501</v>
      </c>
      <c r="O211" s="6">
        <f t="shared" si="22"/>
        <v>3587224.4866460501</v>
      </c>
      <c r="P211" s="8">
        <f>VLOOKUP(F211,'LEAID Match'!$A$2:$B$436,2,FALSE)</f>
        <v>1801590</v>
      </c>
      <c r="Q211" s="6">
        <f t="shared" si="23"/>
        <v>9</v>
      </c>
    </row>
    <row r="212" spans="1:17" x14ac:dyDescent="0.2">
      <c r="A212" s="16">
        <f t="shared" si="19"/>
        <v>1801590</v>
      </c>
      <c r="B212">
        <v>2016</v>
      </c>
      <c r="C212" t="s">
        <v>904</v>
      </c>
      <c r="D212" t="s">
        <v>906</v>
      </c>
      <c r="E212" t="s">
        <v>1118</v>
      </c>
      <c r="F212" t="s">
        <v>467</v>
      </c>
      <c r="G212" t="s">
        <v>40</v>
      </c>
      <c r="H212" s="6">
        <v>740359</v>
      </c>
      <c r="I212" s="6">
        <v>3.4353566881201352E-3</v>
      </c>
      <c r="J212" s="6">
        <v>17341.680561630441</v>
      </c>
      <c r="K212" s="6">
        <v>3048879.0607066201</v>
      </c>
      <c r="M212" s="6">
        <f t="shared" si="20"/>
        <v>757700.6805616304</v>
      </c>
      <c r="N212" s="6">
        <f t="shared" si="21"/>
        <v>3048879.0607066201</v>
      </c>
      <c r="O212" s="6">
        <f t="shared" si="22"/>
        <v>3806579.7412682506</v>
      </c>
      <c r="P212" s="8">
        <f>VLOOKUP(F212,'LEAID Match'!$A$2:$B$436,2,FALSE)</f>
        <v>1801590</v>
      </c>
      <c r="Q212" s="6">
        <f t="shared" si="23"/>
        <v>9</v>
      </c>
    </row>
    <row r="213" spans="1:17" x14ac:dyDescent="0.2">
      <c r="A213" s="16">
        <f t="shared" si="19"/>
        <v>1801590</v>
      </c>
      <c r="B213">
        <v>2017</v>
      </c>
      <c r="C213" t="s">
        <v>904</v>
      </c>
      <c r="D213" t="s">
        <v>906</v>
      </c>
      <c r="E213" t="s">
        <v>1119</v>
      </c>
      <c r="F213" t="s">
        <v>467</v>
      </c>
      <c r="G213" t="s">
        <v>40</v>
      </c>
      <c r="H213" s="6">
        <v>731322</v>
      </c>
      <c r="I213" s="6">
        <v>3.2203236300146782E-3</v>
      </c>
      <c r="J213" s="6">
        <v>14571.964425816419</v>
      </c>
      <c r="K213" s="6">
        <v>2804901.8817427801</v>
      </c>
      <c r="M213" s="6">
        <f t="shared" si="20"/>
        <v>745893.96442581643</v>
      </c>
      <c r="N213" s="6">
        <f t="shared" si="21"/>
        <v>2804901.8817427801</v>
      </c>
      <c r="O213" s="6">
        <f t="shared" si="22"/>
        <v>3550795.8461685963</v>
      </c>
      <c r="P213" s="8">
        <f>VLOOKUP(F213,'LEAID Match'!$A$2:$B$436,2,FALSE)</f>
        <v>1801590</v>
      </c>
      <c r="Q213" s="6">
        <f t="shared" si="23"/>
        <v>9</v>
      </c>
    </row>
    <row r="214" spans="1:17" x14ac:dyDescent="0.2">
      <c r="A214" s="16">
        <f t="shared" si="19"/>
        <v>1801590</v>
      </c>
      <c r="B214">
        <v>2018</v>
      </c>
      <c r="C214" t="s">
        <v>904</v>
      </c>
      <c r="D214" t="s">
        <v>906</v>
      </c>
      <c r="E214" t="s">
        <v>1120</v>
      </c>
      <c r="F214" t="s">
        <v>467</v>
      </c>
      <c r="G214" t="s">
        <v>40</v>
      </c>
      <c r="H214" s="6">
        <v>725548</v>
      </c>
      <c r="I214" s="6">
        <v>3.0780436632780392E-3</v>
      </c>
      <c r="J214" s="6">
        <v>12829.285988542868</v>
      </c>
      <c r="K214" s="6">
        <v>3114068</v>
      </c>
      <c r="M214" s="6">
        <f t="shared" si="20"/>
        <v>738377.28598854283</v>
      </c>
      <c r="N214" s="6">
        <f t="shared" si="21"/>
        <v>3114068</v>
      </c>
      <c r="O214" s="6">
        <f t="shared" si="22"/>
        <v>3852445.2859885427</v>
      </c>
      <c r="P214" s="8">
        <f>VLOOKUP(F214,'LEAID Match'!$A$2:$B$436,2,FALSE)</f>
        <v>1801590</v>
      </c>
      <c r="Q214" s="6">
        <f t="shared" si="23"/>
        <v>9</v>
      </c>
    </row>
    <row r="215" spans="1:17" x14ac:dyDescent="0.2">
      <c r="A215" s="16">
        <f t="shared" si="19"/>
        <v>1801590</v>
      </c>
      <c r="B215">
        <v>2019</v>
      </c>
      <c r="C215" t="s">
        <v>904</v>
      </c>
      <c r="D215" t="s">
        <v>906</v>
      </c>
      <c r="E215" t="s">
        <v>1121</v>
      </c>
      <c r="F215" t="s">
        <v>467</v>
      </c>
      <c r="G215" t="s">
        <v>40</v>
      </c>
      <c r="H215" s="6">
        <v>761526</v>
      </c>
      <c r="I215" s="6">
        <v>1.9373180139169682E-3</v>
      </c>
      <c r="J215" s="6">
        <v>6790.2996387789735</v>
      </c>
      <c r="K215" s="6">
        <v>1828634.47333622</v>
      </c>
      <c r="M215" s="6">
        <f t="shared" si="20"/>
        <v>768316.29963877902</v>
      </c>
      <c r="N215" s="6">
        <f t="shared" si="21"/>
        <v>1828634.47333622</v>
      </c>
      <c r="O215" s="6">
        <f t="shared" si="22"/>
        <v>2596950.7729749992</v>
      </c>
      <c r="P215" s="8">
        <f>VLOOKUP(F215,'LEAID Match'!$A$2:$B$436,2,FALSE)</f>
        <v>1801590</v>
      </c>
      <c r="Q215" s="6">
        <f t="shared" si="23"/>
        <v>9</v>
      </c>
    </row>
    <row r="216" spans="1:17" x14ac:dyDescent="0.2">
      <c r="A216" s="16">
        <f t="shared" si="19"/>
        <v>1801590</v>
      </c>
      <c r="B216">
        <v>2020</v>
      </c>
      <c r="C216" t="s">
        <v>904</v>
      </c>
      <c r="D216" t="s">
        <v>906</v>
      </c>
      <c r="E216" t="s">
        <v>1122</v>
      </c>
      <c r="F216" t="s">
        <v>467</v>
      </c>
      <c r="G216" t="s">
        <v>40</v>
      </c>
      <c r="H216" s="6">
        <v>598539</v>
      </c>
      <c r="I216" s="6">
        <v>3.1714832113996483E-3</v>
      </c>
      <c r="J216" s="6">
        <v>7472.0144460575711</v>
      </c>
      <c r="K216" s="6">
        <v>3359146</v>
      </c>
      <c r="M216" s="6">
        <f t="shared" si="20"/>
        <v>606011.01444605761</v>
      </c>
      <c r="N216" s="6">
        <f t="shared" si="21"/>
        <v>3359146</v>
      </c>
      <c r="O216" s="6">
        <f t="shared" si="22"/>
        <v>3965157.0144460574</v>
      </c>
      <c r="P216" s="8">
        <f>VLOOKUP(F216,'LEAID Match'!$A$2:$B$436,2,FALSE)</f>
        <v>1801590</v>
      </c>
      <c r="Q216" s="6">
        <f t="shared" si="23"/>
        <v>9</v>
      </c>
    </row>
    <row r="217" spans="1:17" x14ac:dyDescent="0.2">
      <c r="A217" s="16">
        <f t="shared" si="19"/>
        <v>1801590</v>
      </c>
      <c r="B217">
        <v>2021</v>
      </c>
      <c r="C217" t="s">
        <v>904</v>
      </c>
      <c r="D217" t="s">
        <v>906</v>
      </c>
      <c r="E217" t="s">
        <v>1123</v>
      </c>
      <c r="F217" t="s">
        <v>467</v>
      </c>
      <c r="G217" t="s">
        <v>40</v>
      </c>
      <c r="H217" s="6">
        <v>616654</v>
      </c>
      <c r="I217" s="6">
        <v>3.0463281081623875E-3</v>
      </c>
      <c r="J217" s="6">
        <v>6866.4235557980219</v>
      </c>
      <c r="K217" s="6">
        <v>5512795</v>
      </c>
      <c r="M217" s="6">
        <f t="shared" si="20"/>
        <v>623520.42355579801</v>
      </c>
      <c r="N217" s="6">
        <f t="shared" si="21"/>
        <v>5512795</v>
      </c>
      <c r="O217" s="6">
        <f t="shared" si="22"/>
        <v>6136315.4235557979</v>
      </c>
      <c r="P217" s="8">
        <f>VLOOKUP(F217,'LEAID Match'!$A$2:$B$436,2,FALSE)</f>
        <v>1801590</v>
      </c>
      <c r="Q217" s="6">
        <f t="shared" si="23"/>
        <v>9</v>
      </c>
    </row>
    <row r="218" spans="1:17" x14ac:dyDescent="0.2">
      <c r="A218" s="16">
        <f t="shared" si="19"/>
        <v>1801590</v>
      </c>
      <c r="B218">
        <v>2022</v>
      </c>
      <c r="C218" t="s">
        <v>904</v>
      </c>
      <c r="D218" t="s">
        <v>906</v>
      </c>
      <c r="E218" t="s">
        <v>1124</v>
      </c>
      <c r="F218" t="s">
        <v>467</v>
      </c>
      <c r="G218" t="s">
        <v>40</v>
      </c>
      <c r="H218" s="6">
        <v>682923</v>
      </c>
      <c r="I218" s="6">
        <v>3.242645326014999E-3</v>
      </c>
      <c r="J218" s="6">
        <v>7150.0329438630724</v>
      </c>
      <c r="K218" s="6">
        <v>5456669</v>
      </c>
      <c r="M218" s="6">
        <f t="shared" si="20"/>
        <v>690073.03294386307</v>
      </c>
      <c r="N218" s="6">
        <f t="shared" si="21"/>
        <v>5456669</v>
      </c>
      <c r="O218" s="6">
        <f t="shared" si="22"/>
        <v>6146742.0329438634</v>
      </c>
      <c r="P218" s="8">
        <f>VLOOKUP(F218,'LEAID Match'!$A$2:$B$436,2,FALSE)</f>
        <v>1801590</v>
      </c>
      <c r="Q218" s="6">
        <f t="shared" si="23"/>
        <v>9</v>
      </c>
    </row>
    <row r="219" spans="1:17" x14ac:dyDescent="0.2">
      <c r="A219" s="16">
        <f t="shared" si="19"/>
        <v>1801590</v>
      </c>
      <c r="B219">
        <v>2023</v>
      </c>
      <c r="C219" t="s">
        <v>904</v>
      </c>
      <c r="D219" t="s">
        <v>906</v>
      </c>
      <c r="E219" t="s">
        <v>1125</v>
      </c>
      <c r="F219" t="s">
        <v>467</v>
      </c>
      <c r="G219" t="s">
        <v>40</v>
      </c>
      <c r="H219" s="6">
        <v>776605</v>
      </c>
      <c r="I219" s="6">
        <v>3.1758877424232419E-3</v>
      </c>
      <c r="J219" s="6">
        <v>7834.9150605581381</v>
      </c>
      <c r="K219" s="6">
        <v>14931763</v>
      </c>
      <c r="M219" s="6">
        <f t="shared" si="20"/>
        <v>784439.91506055812</v>
      </c>
      <c r="N219" s="6">
        <f t="shared" si="21"/>
        <v>14931763</v>
      </c>
      <c r="O219" s="6">
        <f t="shared" si="22"/>
        <v>15716202.915060557</v>
      </c>
      <c r="P219" s="8">
        <f>VLOOKUP(F219,'LEAID Match'!$A$2:$B$436,2,FALSE)</f>
        <v>1801590</v>
      </c>
      <c r="Q219" s="6">
        <f t="shared" si="23"/>
        <v>9</v>
      </c>
    </row>
    <row r="220" spans="1:17" x14ac:dyDescent="0.2">
      <c r="A220" s="16">
        <f t="shared" si="19"/>
        <v>1807020</v>
      </c>
      <c r="B220">
        <v>2015</v>
      </c>
      <c r="C220" t="s">
        <v>904</v>
      </c>
      <c r="D220" t="s">
        <v>906</v>
      </c>
      <c r="E220" t="s">
        <v>1126</v>
      </c>
      <c r="F220" t="s">
        <v>649</v>
      </c>
      <c r="G220" t="s">
        <v>41</v>
      </c>
      <c r="H220" s="6">
        <v>151626</v>
      </c>
      <c r="I220" s="6">
        <v>7.3731282042504241E-4</v>
      </c>
      <c r="J220" s="6">
        <v>4284.5247994899219</v>
      </c>
      <c r="K220" s="6">
        <v>623483.51795654197</v>
      </c>
      <c r="M220" s="6">
        <f t="shared" si="20"/>
        <v>155910.52479948991</v>
      </c>
      <c r="N220" s="6">
        <f t="shared" si="21"/>
        <v>623483.51795654197</v>
      </c>
      <c r="O220" s="6">
        <f t="shared" si="22"/>
        <v>779394.04275603185</v>
      </c>
      <c r="P220" s="8">
        <f>VLOOKUP(F220,'LEAID Match'!$A$2:$B$436,2,FALSE)</f>
        <v>1807020</v>
      </c>
      <c r="Q220" s="6">
        <f t="shared" si="23"/>
        <v>9</v>
      </c>
    </row>
    <row r="221" spans="1:17" x14ac:dyDescent="0.2">
      <c r="A221" s="16">
        <f t="shared" si="19"/>
        <v>1807020</v>
      </c>
      <c r="B221">
        <v>2016</v>
      </c>
      <c r="C221" t="s">
        <v>904</v>
      </c>
      <c r="D221" t="s">
        <v>906</v>
      </c>
      <c r="E221" t="s">
        <v>1127</v>
      </c>
      <c r="F221" t="s">
        <v>649</v>
      </c>
      <c r="G221" t="s">
        <v>41</v>
      </c>
      <c r="H221" s="6">
        <v>154440</v>
      </c>
      <c r="I221" s="6">
        <v>7.1662056774250563E-4</v>
      </c>
      <c r="J221" s="6">
        <v>3617.5006259641682</v>
      </c>
      <c r="K221" s="6">
        <v>636000.75387147302</v>
      </c>
      <c r="M221" s="6">
        <f t="shared" si="20"/>
        <v>158057.50062596417</v>
      </c>
      <c r="N221" s="6">
        <f t="shared" si="21"/>
        <v>636000.75387147302</v>
      </c>
      <c r="O221" s="6">
        <f t="shared" si="22"/>
        <v>794058.25449743716</v>
      </c>
      <c r="P221" s="8">
        <f>VLOOKUP(F221,'LEAID Match'!$A$2:$B$436,2,FALSE)</f>
        <v>1807020</v>
      </c>
      <c r="Q221" s="6">
        <f t="shared" si="23"/>
        <v>9</v>
      </c>
    </row>
    <row r="222" spans="1:17" x14ac:dyDescent="0.2">
      <c r="A222" s="16">
        <f t="shared" si="19"/>
        <v>1807020</v>
      </c>
      <c r="B222">
        <v>2017</v>
      </c>
      <c r="C222" t="s">
        <v>904</v>
      </c>
      <c r="D222" t="s">
        <v>906</v>
      </c>
      <c r="E222" t="s">
        <v>1128</v>
      </c>
      <c r="F222" t="s">
        <v>649</v>
      </c>
      <c r="G222" t="s">
        <v>41</v>
      </c>
      <c r="H222" s="6">
        <v>176482</v>
      </c>
      <c r="I222" s="6">
        <v>7.7712574607662619E-4</v>
      </c>
      <c r="J222" s="6">
        <v>3516.4940009967336</v>
      </c>
      <c r="K222" s="6">
        <v>676876.52483274101</v>
      </c>
      <c r="M222" s="6">
        <f t="shared" si="20"/>
        <v>179998.49400099672</v>
      </c>
      <c r="N222" s="6">
        <f t="shared" si="21"/>
        <v>676876.52483274101</v>
      </c>
      <c r="O222" s="6">
        <f t="shared" si="22"/>
        <v>856875.0188337377</v>
      </c>
      <c r="P222" s="8">
        <f>VLOOKUP(F222,'LEAID Match'!$A$2:$B$436,2,FALSE)</f>
        <v>1807020</v>
      </c>
      <c r="Q222" s="6">
        <f t="shared" si="23"/>
        <v>9</v>
      </c>
    </row>
    <row r="223" spans="1:17" x14ac:dyDescent="0.2">
      <c r="A223" s="16">
        <f t="shared" si="19"/>
        <v>1807020</v>
      </c>
      <c r="B223">
        <v>2018</v>
      </c>
      <c r="C223" t="s">
        <v>904</v>
      </c>
      <c r="D223" t="s">
        <v>906</v>
      </c>
      <c r="E223" t="s">
        <v>1129</v>
      </c>
      <c r="F223" t="s">
        <v>649</v>
      </c>
      <c r="G223" t="s">
        <v>41</v>
      </c>
      <c r="H223" s="6">
        <v>170745</v>
      </c>
      <c r="I223" s="6">
        <v>7.2436360555939614E-4</v>
      </c>
      <c r="J223" s="6">
        <v>3019.1475079715633</v>
      </c>
      <c r="K223" s="6">
        <v>534126</v>
      </c>
      <c r="M223" s="6">
        <f t="shared" si="20"/>
        <v>173764.14750797156</v>
      </c>
      <c r="N223" s="6">
        <f t="shared" si="21"/>
        <v>534126</v>
      </c>
      <c r="O223" s="6">
        <f t="shared" si="22"/>
        <v>707890.14750797162</v>
      </c>
      <c r="P223" s="8">
        <f>VLOOKUP(F223,'LEAID Match'!$A$2:$B$436,2,FALSE)</f>
        <v>1807020</v>
      </c>
      <c r="Q223" s="6">
        <f t="shared" si="23"/>
        <v>9</v>
      </c>
    </row>
    <row r="224" spans="1:17" x14ac:dyDescent="0.2">
      <c r="A224" s="16">
        <f t="shared" si="19"/>
        <v>1807020</v>
      </c>
      <c r="B224">
        <v>2019</v>
      </c>
      <c r="C224" t="s">
        <v>904</v>
      </c>
      <c r="D224" t="s">
        <v>906</v>
      </c>
      <c r="E224" t="s">
        <v>1130</v>
      </c>
      <c r="F224" t="s">
        <v>649</v>
      </c>
      <c r="G224" t="s">
        <v>41</v>
      </c>
      <c r="H224" s="6">
        <v>181566</v>
      </c>
      <c r="I224" s="6">
        <v>4.6190291928949011E-4</v>
      </c>
      <c r="J224" s="6">
        <v>1618.9697321096628</v>
      </c>
      <c r="K224" s="6">
        <v>435990.16551734903</v>
      </c>
      <c r="M224" s="6">
        <f t="shared" si="20"/>
        <v>183184.96973210966</v>
      </c>
      <c r="N224" s="6">
        <f t="shared" si="21"/>
        <v>435990.16551734903</v>
      </c>
      <c r="O224" s="6">
        <f t="shared" si="22"/>
        <v>619175.13524945872</v>
      </c>
      <c r="P224" s="8">
        <f>VLOOKUP(F224,'LEAID Match'!$A$2:$B$436,2,FALSE)</f>
        <v>1807020</v>
      </c>
      <c r="Q224" s="6">
        <f t="shared" si="23"/>
        <v>9</v>
      </c>
    </row>
    <row r="225" spans="1:17" x14ac:dyDescent="0.2">
      <c r="A225" s="16">
        <f t="shared" si="19"/>
        <v>1807020</v>
      </c>
      <c r="B225">
        <v>2020</v>
      </c>
      <c r="C225" t="s">
        <v>904</v>
      </c>
      <c r="D225" t="s">
        <v>906</v>
      </c>
      <c r="E225" t="s">
        <v>1131</v>
      </c>
      <c r="F225" t="s">
        <v>649</v>
      </c>
      <c r="G225" t="s">
        <v>41</v>
      </c>
      <c r="H225" s="6">
        <v>139537</v>
      </c>
      <c r="I225" s="6">
        <v>7.3936577711573132E-4</v>
      </c>
      <c r="J225" s="6">
        <v>1741.945770884663</v>
      </c>
      <c r="K225" s="6">
        <v>560537</v>
      </c>
      <c r="M225" s="6">
        <f t="shared" si="20"/>
        <v>141278.94577088466</v>
      </c>
      <c r="N225" s="6">
        <f t="shared" si="21"/>
        <v>560537</v>
      </c>
      <c r="O225" s="6">
        <f t="shared" si="22"/>
        <v>701815.94577088463</v>
      </c>
      <c r="P225" s="8">
        <f>VLOOKUP(F225,'LEAID Match'!$A$2:$B$436,2,FALSE)</f>
        <v>1807020</v>
      </c>
      <c r="Q225" s="6">
        <f t="shared" si="23"/>
        <v>9</v>
      </c>
    </row>
    <row r="226" spans="1:17" x14ac:dyDescent="0.2">
      <c r="A226" s="16">
        <f t="shared" si="19"/>
        <v>1807020</v>
      </c>
      <c r="B226">
        <v>2021</v>
      </c>
      <c r="C226" t="s">
        <v>904</v>
      </c>
      <c r="D226" t="s">
        <v>906</v>
      </c>
      <c r="E226" t="s">
        <v>1132</v>
      </c>
      <c r="F226" t="s">
        <v>649</v>
      </c>
      <c r="G226" t="s">
        <v>41</v>
      </c>
      <c r="H226" s="6">
        <v>144200</v>
      </c>
      <c r="I226" s="6">
        <v>7.1236141044575454E-4</v>
      </c>
      <c r="J226" s="6">
        <v>1605.6626191447308</v>
      </c>
      <c r="K226" s="6">
        <v>910434</v>
      </c>
      <c r="M226" s="6">
        <f t="shared" si="20"/>
        <v>145805.66261914474</v>
      </c>
      <c r="N226" s="6">
        <f t="shared" si="21"/>
        <v>910434</v>
      </c>
      <c r="O226" s="6">
        <f t="shared" si="22"/>
        <v>1056239.6626191447</v>
      </c>
      <c r="P226" s="8">
        <f>VLOOKUP(F226,'LEAID Match'!$A$2:$B$436,2,FALSE)</f>
        <v>1807020</v>
      </c>
      <c r="Q226" s="6">
        <f t="shared" si="23"/>
        <v>9</v>
      </c>
    </row>
    <row r="227" spans="1:17" x14ac:dyDescent="0.2">
      <c r="A227" s="16">
        <f t="shared" si="19"/>
        <v>1807020</v>
      </c>
      <c r="B227">
        <v>2022</v>
      </c>
      <c r="C227" t="s">
        <v>904</v>
      </c>
      <c r="D227" t="s">
        <v>906</v>
      </c>
      <c r="E227" t="s">
        <v>1133</v>
      </c>
      <c r="F227" t="s">
        <v>649</v>
      </c>
      <c r="G227" t="s">
        <v>41</v>
      </c>
      <c r="H227" s="6">
        <v>155940</v>
      </c>
      <c r="I227" s="6">
        <v>7.4043210162606755E-4</v>
      </c>
      <c r="J227" s="6">
        <v>1632.652784085479</v>
      </c>
      <c r="K227" s="6">
        <v>864974</v>
      </c>
      <c r="M227" s="6">
        <f t="shared" si="20"/>
        <v>157572.65278408548</v>
      </c>
      <c r="N227" s="6">
        <f t="shared" si="21"/>
        <v>864974</v>
      </c>
      <c r="O227" s="6">
        <f t="shared" si="22"/>
        <v>1022546.6527840855</v>
      </c>
      <c r="P227" s="8">
        <f>VLOOKUP(F227,'LEAID Match'!$A$2:$B$436,2,FALSE)</f>
        <v>1807020</v>
      </c>
      <c r="Q227" s="6">
        <f t="shared" si="23"/>
        <v>9</v>
      </c>
    </row>
    <row r="228" spans="1:17" x14ac:dyDescent="0.2">
      <c r="A228" s="16">
        <f t="shared" si="19"/>
        <v>1807020</v>
      </c>
      <c r="B228">
        <v>2023</v>
      </c>
      <c r="C228" t="s">
        <v>904</v>
      </c>
      <c r="D228" t="s">
        <v>906</v>
      </c>
      <c r="E228" t="s">
        <v>1134</v>
      </c>
      <c r="F228" t="s">
        <v>649</v>
      </c>
      <c r="G228" t="s">
        <v>41</v>
      </c>
      <c r="H228" s="6">
        <v>183194</v>
      </c>
      <c r="I228" s="6">
        <v>7.4916280359446999E-4</v>
      </c>
      <c r="J228" s="6">
        <v>1848.1846364675575</v>
      </c>
      <c r="K228" s="6">
        <v>2346614</v>
      </c>
      <c r="M228" s="6">
        <f t="shared" si="20"/>
        <v>185042.18463646754</v>
      </c>
      <c r="N228" s="6">
        <f t="shared" si="21"/>
        <v>2346614</v>
      </c>
      <c r="O228" s="6">
        <f t="shared" si="22"/>
        <v>2531656.1846364676</v>
      </c>
      <c r="P228" s="8">
        <f>VLOOKUP(F228,'LEAID Match'!$A$2:$B$436,2,FALSE)</f>
        <v>1807020</v>
      </c>
      <c r="Q228" s="6">
        <f t="shared" si="23"/>
        <v>9</v>
      </c>
    </row>
    <row r="229" spans="1:17" x14ac:dyDescent="0.2">
      <c r="A229" s="16">
        <f t="shared" si="19"/>
        <v>1809840</v>
      </c>
      <c r="B229">
        <v>2015</v>
      </c>
      <c r="C229" t="s">
        <v>904</v>
      </c>
      <c r="D229" t="s">
        <v>906</v>
      </c>
      <c r="E229" t="s">
        <v>1135</v>
      </c>
      <c r="F229" t="s">
        <v>650</v>
      </c>
      <c r="G229" t="s">
        <v>42</v>
      </c>
      <c r="H229" s="6">
        <v>152575</v>
      </c>
      <c r="I229" s="6">
        <v>7.4192752942338943E-4</v>
      </c>
      <c r="J229" s="6">
        <v>4311.3408734793156</v>
      </c>
      <c r="K229" s="6">
        <v>627385.78972088802</v>
      </c>
      <c r="M229" s="6">
        <f t="shared" si="20"/>
        <v>156886.34087347932</v>
      </c>
      <c r="N229" s="6">
        <f t="shared" si="21"/>
        <v>627385.78972088802</v>
      </c>
      <c r="O229" s="6">
        <f t="shared" si="22"/>
        <v>784272.13059436739</v>
      </c>
      <c r="P229" s="8">
        <f>VLOOKUP(F229,'LEAID Match'!$A$2:$B$436,2,FALSE)</f>
        <v>1809840</v>
      </c>
      <c r="Q229" s="6">
        <f t="shared" si="23"/>
        <v>9</v>
      </c>
    </row>
    <row r="230" spans="1:17" x14ac:dyDescent="0.2">
      <c r="A230" s="16">
        <f t="shared" si="19"/>
        <v>1809840</v>
      </c>
      <c r="B230">
        <v>2016</v>
      </c>
      <c r="C230" t="s">
        <v>904</v>
      </c>
      <c r="D230" t="s">
        <v>906</v>
      </c>
      <c r="E230" t="s">
        <v>1136</v>
      </c>
      <c r="F230" t="s">
        <v>650</v>
      </c>
      <c r="G230" t="s">
        <v>42</v>
      </c>
      <c r="H230" s="6">
        <v>151902</v>
      </c>
      <c r="I230" s="6">
        <v>7.0484393603484905E-4</v>
      </c>
      <c r="J230" s="6">
        <v>3558.052189103918</v>
      </c>
      <c r="K230" s="6">
        <v>625548.99323092797</v>
      </c>
      <c r="M230" s="6">
        <f t="shared" si="20"/>
        <v>155460.05218910391</v>
      </c>
      <c r="N230" s="6">
        <f t="shared" si="21"/>
        <v>625548.99323092797</v>
      </c>
      <c r="O230" s="6">
        <f t="shared" si="22"/>
        <v>781009.04542003188</v>
      </c>
      <c r="P230" s="8">
        <f>VLOOKUP(F230,'LEAID Match'!$A$2:$B$436,2,FALSE)</f>
        <v>1809840</v>
      </c>
      <c r="Q230" s="6">
        <f t="shared" si="23"/>
        <v>9</v>
      </c>
    </row>
    <row r="231" spans="1:17" x14ac:dyDescent="0.2">
      <c r="A231" s="16">
        <f t="shared" si="19"/>
        <v>1809840</v>
      </c>
      <c r="B231">
        <v>2017</v>
      </c>
      <c r="C231" t="s">
        <v>904</v>
      </c>
      <c r="D231" t="s">
        <v>906</v>
      </c>
      <c r="E231" t="s">
        <v>1137</v>
      </c>
      <c r="F231" t="s">
        <v>650</v>
      </c>
      <c r="G231" t="s">
        <v>42</v>
      </c>
      <c r="H231" s="6">
        <v>187380</v>
      </c>
      <c r="I231" s="6">
        <v>8.2511430230753399E-4</v>
      </c>
      <c r="J231" s="6">
        <v>3733.6422179415913</v>
      </c>
      <c r="K231" s="6">
        <v>718674.55730986199</v>
      </c>
      <c r="M231" s="6">
        <f t="shared" si="20"/>
        <v>191113.64221794158</v>
      </c>
      <c r="N231" s="6">
        <f t="shared" si="21"/>
        <v>718674.55730986199</v>
      </c>
      <c r="O231" s="6">
        <f t="shared" si="22"/>
        <v>909788.19952780358</v>
      </c>
      <c r="P231" s="8">
        <f>VLOOKUP(F231,'LEAID Match'!$A$2:$B$436,2,FALSE)</f>
        <v>1809840</v>
      </c>
      <c r="Q231" s="6">
        <f t="shared" si="23"/>
        <v>9</v>
      </c>
    </row>
    <row r="232" spans="1:17" x14ac:dyDescent="0.2">
      <c r="A232" s="16">
        <f t="shared" si="19"/>
        <v>1809840</v>
      </c>
      <c r="B232">
        <v>2018</v>
      </c>
      <c r="C232" t="s">
        <v>904</v>
      </c>
      <c r="D232" t="s">
        <v>906</v>
      </c>
      <c r="E232" t="s">
        <v>1138</v>
      </c>
      <c r="F232" t="s">
        <v>650</v>
      </c>
      <c r="G232" t="s">
        <v>42</v>
      </c>
      <c r="H232" s="6">
        <v>198525</v>
      </c>
      <c r="I232" s="6">
        <v>8.4221666692248166E-4</v>
      </c>
      <c r="J232" s="6">
        <v>3510.3590677329034</v>
      </c>
      <c r="K232" s="6">
        <v>547711</v>
      </c>
      <c r="M232" s="6">
        <f t="shared" si="20"/>
        <v>202035.3590677329</v>
      </c>
      <c r="N232" s="6">
        <f t="shared" si="21"/>
        <v>547711</v>
      </c>
      <c r="O232" s="6">
        <f t="shared" si="22"/>
        <v>749746.35906773293</v>
      </c>
      <c r="P232" s="8">
        <f>VLOOKUP(F232,'LEAID Match'!$A$2:$B$436,2,FALSE)</f>
        <v>1809840</v>
      </c>
      <c r="Q232" s="6">
        <f t="shared" si="23"/>
        <v>9</v>
      </c>
    </row>
    <row r="233" spans="1:17" x14ac:dyDescent="0.2">
      <c r="A233" s="16">
        <f t="shared" si="19"/>
        <v>1809840</v>
      </c>
      <c r="B233">
        <v>2019</v>
      </c>
      <c r="C233" t="s">
        <v>904</v>
      </c>
      <c r="D233" t="s">
        <v>906</v>
      </c>
      <c r="E233" t="s">
        <v>1139</v>
      </c>
      <c r="F233" t="s">
        <v>650</v>
      </c>
      <c r="G233" t="s">
        <v>42</v>
      </c>
      <c r="H233" s="6">
        <v>195493</v>
      </c>
      <c r="I233" s="6">
        <v>4.9733313175737907E-4</v>
      </c>
      <c r="J233" s="6">
        <v>1743.1526268096136</v>
      </c>
      <c r="K233" s="6">
        <v>469432.74306578998</v>
      </c>
      <c r="M233" s="6">
        <f t="shared" si="20"/>
        <v>197236.15262680961</v>
      </c>
      <c r="N233" s="6">
        <f t="shared" si="21"/>
        <v>469432.74306578998</v>
      </c>
      <c r="O233" s="6">
        <f t="shared" si="22"/>
        <v>666668.89569259959</v>
      </c>
      <c r="P233" s="8">
        <f>VLOOKUP(F233,'LEAID Match'!$A$2:$B$436,2,FALSE)</f>
        <v>1809840</v>
      </c>
      <c r="Q233" s="6">
        <f t="shared" si="23"/>
        <v>9</v>
      </c>
    </row>
    <row r="234" spans="1:17" x14ac:dyDescent="0.2">
      <c r="A234" s="16">
        <f t="shared" si="19"/>
        <v>1809840</v>
      </c>
      <c r="B234">
        <v>2020</v>
      </c>
      <c r="C234" t="s">
        <v>904</v>
      </c>
      <c r="D234" t="s">
        <v>906</v>
      </c>
      <c r="E234" t="s">
        <v>1140</v>
      </c>
      <c r="F234" t="s">
        <v>650</v>
      </c>
      <c r="G234" t="s">
        <v>42</v>
      </c>
      <c r="H234" s="6">
        <v>147758</v>
      </c>
      <c r="I234" s="6">
        <v>7.8292645316343503E-4</v>
      </c>
      <c r="J234" s="6">
        <v>1844.5747236530528</v>
      </c>
      <c r="K234" s="6">
        <v>586661</v>
      </c>
      <c r="M234" s="6">
        <f t="shared" si="20"/>
        <v>149602.57472365306</v>
      </c>
      <c r="N234" s="6">
        <f t="shared" si="21"/>
        <v>586661</v>
      </c>
      <c r="O234" s="6">
        <f t="shared" si="22"/>
        <v>736263.57472365303</v>
      </c>
      <c r="P234" s="8">
        <f>VLOOKUP(F234,'LEAID Match'!$A$2:$B$436,2,FALSE)</f>
        <v>1809840</v>
      </c>
      <c r="Q234" s="6">
        <f t="shared" si="23"/>
        <v>9</v>
      </c>
    </row>
    <row r="235" spans="1:17" x14ac:dyDescent="0.2">
      <c r="A235" s="16">
        <f t="shared" si="19"/>
        <v>1809840</v>
      </c>
      <c r="B235">
        <v>2021</v>
      </c>
      <c r="C235" t="s">
        <v>904</v>
      </c>
      <c r="D235" t="s">
        <v>906</v>
      </c>
      <c r="E235" t="s">
        <v>1141</v>
      </c>
      <c r="F235" t="s">
        <v>650</v>
      </c>
      <c r="G235" t="s">
        <v>42</v>
      </c>
      <c r="H235" s="6">
        <v>158269</v>
      </c>
      <c r="I235" s="6">
        <v>7.8186357884770538E-4</v>
      </c>
      <c r="J235" s="6">
        <v>1762.3205067227279</v>
      </c>
      <c r="K235" s="6">
        <v>946877</v>
      </c>
      <c r="M235" s="6">
        <f t="shared" si="20"/>
        <v>160031.32050672272</v>
      </c>
      <c r="N235" s="6">
        <f t="shared" si="21"/>
        <v>946877</v>
      </c>
      <c r="O235" s="6">
        <f t="shared" si="22"/>
        <v>1106908.3205067227</v>
      </c>
      <c r="P235" s="8">
        <f>VLOOKUP(F235,'LEAID Match'!$A$2:$B$436,2,FALSE)</f>
        <v>1809840</v>
      </c>
      <c r="Q235" s="6">
        <f t="shared" si="23"/>
        <v>9</v>
      </c>
    </row>
    <row r="236" spans="1:17" x14ac:dyDescent="0.2">
      <c r="A236" s="16">
        <f t="shared" si="19"/>
        <v>1809840</v>
      </c>
      <c r="B236">
        <v>2022</v>
      </c>
      <c r="C236" t="s">
        <v>904</v>
      </c>
      <c r="D236" t="s">
        <v>906</v>
      </c>
      <c r="E236" t="s">
        <v>1142</v>
      </c>
      <c r="F236" t="s">
        <v>650</v>
      </c>
      <c r="G236" t="s">
        <v>42</v>
      </c>
      <c r="H236" s="6">
        <v>191930</v>
      </c>
      <c r="I236" s="6">
        <v>9.1131931040843361E-4</v>
      </c>
      <c r="J236" s="6">
        <v>2009.4590794505962</v>
      </c>
      <c r="K236" s="6">
        <v>895207</v>
      </c>
      <c r="M236" s="6">
        <f t="shared" si="20"/>
        <v>193939.45907945061</v>
      </c>
      <c r="N236" s="6">
        <f t="shared" si="21"/>
        <v>895207</v>
      </c>
      <c r="O236" s="6">
        <f t="shared" si="22"/>
        <v>1089146.4590794507</v>
      </c>
      <c r="P236" s="8">
        <f>VLOOKUP(F236,'LEAID Match'!$A$2:$B$436,2,FALSE)</f>
        <v>1809840</v>
      </c>
      <c r="Q236" s="6">
        <f t="shared" si="23"/>
        <v>9</v>
      </c>
    </row>
    <row r="237" spans="1:17" x14ac:dyDescent="0.2">
      <c r="A237" s="16">
        <f t="shared" si="19"/>
        <v>1809840</v>
      </c>
      <c r="B237">
        <v>2023</v>
      </c>
      <c r="C237" t="s">
        <v>904</v>
      </c>
      <c r="D237" t="s">
        <v>906</v>
      </c>
      <c r="E237" t="s">
        <v>1143</v>
      </c>
      <c r="F237" t="s">
        <v>650</v>
      </c>
      <c r="G237" t="s">
        <v>42</v>
      </c>
      <c r="H237" s="6">
        <v>232360</v>
      </c>
      <c r="I237" s="6">
        <v>9.502247292117157E-4</v>
      </c>
      <c r="J237" s="6">
        <v>2344.2044069653025</v>
      </c>
      <c r="K237" s="6">
        <v>2563446</v>
      </c>
      <c r="M237" s="6">
        <f t="shared" si="20"/>
        <v>234704.20440696529</v>
      </c>
      <c r="N237" s="6">
        <f t="shared" si="21"/>
        <v>2563446</v>
      </c>
      <c r="O237" s="6">
        <f t="shared" si="22"/>
        <v>2798150.2044069655</v>
      </c>
      <c r="P237" s="8">
        <f>VLOOKUP(F237,'LEAID Match'!$A$2:$B$436,2,FALSE)</f>
        <v>1809840</v>
      </c>
      <c r="Q237" s="6">
        <f t="shared" si="23"/>
        <v>9</v>
      </c>
    </row>
    <row r="238" spans="1:17" x14ac:dyDescent="0.2">
      <c r="A238" s="16">
        <f t="shared" si="19"/>
        <v>1807320</v>
      </c>
      <c r="B238">
        <v>2015</v>
      </c>
      <c r="C238" t="s">
        <v>904</v>
      </c>
      <c r="D238" t="s">
        <v>906</v>
      </c>
      <c r="E238" t="s">
        <v>1144</v>
      </c>
      <c r="F238" t="s">
        <v>651</v>
      </c>
      <c r="G238" t="s">
        <v>43</v>
      </c>
      <c r="H238" s="6">
        <v>1417271</v>
      </c>
      <c r="I238" s="6">
        <v>6.891773695254246E-3</v>
      </c>
      <c r="J238" s="6">
        <v>40048.096943122422</v>
      </c>
      <c r="K238" s="6">
        <v>5827794.1050861096</v>
      </c>
      <c r="M238" s="6">
        <f t="shared" si="20"/>
        <v>1457319.0969431223</v>
      </c>
      <c r="N238" s="6">
        <f t="shared" si="21"/>
        <v>5827794.1050861096</v>
      </c>
      <c r="O238" s="6">
        <f t="shared" si="22"/>
        <v>7285113.2020292319</v>
      </c>
      <c r="P238" s="8">
        <f>VLOOKUP(F238,'LEAID Match'!$A$2:$B$436,2,FALSE)</f>
        <v>1807320</v>
      </c>
      <c r="Q238" s="6">
        <f t="shared" si="23"/>
        <v>9</v>
      </c>
    </row>
    <row r="239" spans="1:17" x14ac:dyDescent="0.2">
      <c r="A239" s="16">
        <f t="shared" si="19"/>
        <v>1807320</v>
      </c>
      <c r="B239">
        <v>2016</v>
      </c>
      <c r="C239" t="s">
        <v>904</v>
      </c>
      <c r="D239" t="s">
        <v>906</v>
      </c>
      <c r="E239" t="s">
        <v>1145</v>
      </c>
      <c r="F239" t="s">
        <v>651</v>
      </c>
      <c r="G239" t="s">
        <v>43</v>
      </c>
      <c r="H239" s="6">
        <v>1375968</v>
      </c>
      <c r="I239" s="6">
        <v>6.3846605112375032E-3</v>
      </c>
      <c r="J239" s="6">
        <v>32229.766260726916</v>
      </c>
      <c r="K239" s="6">
        <v>5666386.2037232798</v>
      </c>
      <c r="M239" s="6">
        <f t="shared" si="20"/>
        <v>1408197.7662607268</v>
      </c>
      <c r="N239" s="6">
        <f t="shared" si="21"/>
        <v>5666386.2037232798</v>
      </c>
      <c r="O239" s="6">
        <f t="shared" si="22"/>
        <v>7074583.9699840061</v>
      </c>
      <c r="P239" s="8">
        <f>VLOOKUP(F239,'LEAID Match'!$A$2:$B$436,2,FALSE)</f>
        <v>1807320</v>
      </c>
      <c r="Q239" s="6">
        <f t="shared" si="23"/>
        <v>9</v>
      </c>
    </row>
    <row r="240" spans="1:17" x14ac:dyDescent="0.2">
      <c r="A240" s="16">
        <f t="shared" si="19"/>
        <v>1807320</v>
      </c>
      <c r="B240">
        <v>2017</v>
      </c>
      <c r="C240" t="s">
        <v>904</v>
      </c>
      <c r="D240" t="s">
        <v>906</v>
      </c>
      <c r="E240" t="s">
        <v>1146</v>
      </c>
      <c r="F240" t="s">
        <v>651</v>
      </c>
      <c r="G240" t="s">
        <v>43</v>
      </c>
      <c r="H240" s="6">
        <v>1332779</v>
      </c>
      <c r="I240" s="6">
        <v>5.8687961079898219E-3</v>
      </c>
      <c r="J240" s="6">
        <v>26556.302388653945</v>
      </c>
      <c r="K240" s="6">
        <v>5111721.4100591298</v>
      </c>
      <c r="M240" s="6">
        <f t="shared" si="20"/>
        <v>1359335.3023886539</v>
      </c>
      <c r="N240" s="6">
        <f t="shared" si="21"/>
        <v>5111721.4100591298</v>
      </c>
      <c r="O240" s="6">
        <f t="shared" si="22"/>
        <v>6471056.7124477839</v>
      </c>
      <c r="P240" s="8">
        <f>VLOOKUP(F240,'LEAID Match'!$A$2:$B$436,2,FALSE)</f>
        <v>1807320</v>
      </c>
      <c r="Q240" s="6">
        <f t="shared" si="23"/>
        <v>9</v>
      </c>
    </row>
    <row r="241" spans="1:17" x14ac:dyDescent="0.2">
      <c r="A241" s="16">
        <f t="shared" si="19"/>
        <v>1807320</v>
      </c>
      <c r="B241">
        <v>2018</v>
      </c>
      <c r="C241" t="s">
        <v>904</v>
      </c>
      <c r="D241" t="s">
        <v>906</v>
      </c>
      <c r="E241" t="s">
        <v>1147</v>
      </c>
      <c r="F241" t="s">
        <v>651</v>
      </c>
      <c r="G241" t="s">
        <v>43</v>
      </c>
      <c r="H241" s="6">
        <v>1158289</v>
      </c>
      <c r="I241" s="6">
        <v>4.9138914540384051E-3</v>
      </c>
      <c r="J241" s="6">
        <v>20481.099580432074</v>
      </c>
      <c r="K241" s="6">
        <v>9078765</v>
      </c>
      <c r="M241" s="6">
        <f t="shared" si="20"/>
        <v>1178770.0995804321</v>
      </c>
      <c r="N241" s="6">
        <f t="shared" si="21"/>
        <v>9078765</v>
      </c>
      <c r="O241" s="6">
        <f t="shared" si="22"/>
        <v>10257535.099580431</v>
      </c>
      <c r="P241" s="8">
        <f>VLOOKUP(F241,'LEAID Match'!$A$2:$B$436,2,FALSE)</f>
        <v>1807320</v>
      </c>
      <c r="Q241" s="6">
        <f t="shared" si="23"/>
        <v>9</v>
      </c>
    </row>
    <row r="242" spans="1:17" x14ac:dyDescent="0.2">
      <c r="A242" s="16">
        <f t="shared" si="19"/>
        <v>1807320</v>
      </c>
      <c r="B242">
        <v>2019</v>
      </c>
      <c r="C242" t="s">
        <v>904</v>
      </c>
      <c r="D242" t="s">
        <v>906</v>
      </c>
      <c r="E242" t="s">
        <v>1148</v>
      </c>
      <c r="F242" t="s">
        <v>651</v>
      </c>
      <c r="G242" t="s">
        <v>43</v>
      </c>
      <c r="H242" s="6">
        <v>1068799</v>
      </c>
      <c r="I242" s="6">
        <v>2.7190188594433304E-3</v>
      </c>
      <c r="J242" s="6">
        <v>9530.1611023488731</v>
      </c>
      <c r="K242" s="6">
        <v>2566481.9014285598</v>
      </c>
      <c r="M242" s="6">
        <f t="shared" si="20"/>
        <v>1078329.1611023489</v>
      </c>
      <c r="N242" s="6">
        <f t="shared" si="21"/>
        <v>2566481.9014285598</v>
      </c>
      <c r="O242" s="6">
        <f t="shared" si="22"/>
        <v>3644811.0625309087</v>
      </c>
      <c r="P242" s="8">
        <f>VLOOKUP(F242,'LEAID Match'!$A$2:$B$436,2,FALSE)</f>
        <v>1807320</v>
      </c>
      <c r="Q242" s="6">
        <f t="shared" si="23"/>
        <v>9</v>
      </c>
    </row>
    <row r="243" spans="1:17" x14ac:dyDescent="0.2">
      <c r="A243" s="16">
        <f t="shared" si="19"/>
        <v>1807320</v>
      </c>
      <c r="B243">
        <v>2020</v>
      </c>
      <c r="C243" t="s">
        <v>904</v>
      </c>
      <c r="D243" t="s">
        <v>906</v>
      </c>
      <c r="E243" t="s">
        <v>1149</v>
      </c>
      <c r="F243" t="s">
        <v>651</v>
      </c>
      <c r="G243" t="s">
        <v>43</v>
      </c>
      <c r="H243" s="6">
        <v>860225</v>
      </c>
      <c r="I243" s="6">
        <v>4.5580808360462096E-3</v>
      </c>
      <c r="J243" s="6">
        <v>10738.83844972487</v>
      </c>
      <c r="K243" s="6">
        <v>9108441</v>
      </c>
      <c r="M243" s="6">
        <f t="shared" si="20"/>
        <v>870963.83844972483</v>
      </c>
      <c r="N243" s="6">
        <f t="shared" si="21"/>
        <v>9108441</v>
      </c>
      <c r="O243" s="6">
        <f t="shared" si="22"/>
        <v>9979404.838449724</v>
      </c>
      <c r="P243" s="8">
        <f>VLOOKUP(F243,'LEAID Match'!$A$2:$B$436,2,FALSE)</f>
        <v>1807320</v>
      </c>
      <c r="Q243" s="6">
        <f t="shared" si="23"/>
        <v>9</v>
      </c>
    </row>
    <row r="244" spans="1:17" x14ac:dyDescent="0.2">
      <c r="A244" s="16">
        <f t="shared" si="19"/>
        <v>1807320</v>
      </c>
      <c r="B244">
        <v>2021</v>
      </c>
      <c r="C244" t="s">
        <v>904</v>
      </c>
      <c r="D244" t="s">
        <v>906</v>
      </c>
      <c r="E244" t="s">
        <v>1150</v>
      </c>
      <c r="F244" t="s">
        <v>651</v>
      </c>
      <c r="G244" t="s">
        <v>43</v>
      </c>
      <c r="H244" s="6">
        <v>894797</v>
      </c>
      <c r="I244" s="6">
        <v>4.4203803951638684E-3</v>
      </c>
      <c r="J244" s="6">
        <v>9963.5374106993586</v>
      </c>
      <c r="K244" s="6">
        <v>14395764</v>
      </c>
      <c r="M244" s="6">
        <f t="shared" si="20"/>
        <v>904760.53741069941</v>
      </c>
      <c r="N244" s="6">
        <f t="shared" si="21"/>
        <v>14395764</v>
      </c>
      <c r="O244" s="6">
        <f t="shared" si="22"/>
        <v>15300524.537410699</v>
      </c>
      <c r="P244" s="8">
        <f>VLOOKUP(F244,'LEAID Match'!$A$2:$B$436,2,FALSE)</f>
        <v>1807320</v>
      </c>
      <c r="Q244" s="6">
        <f t="shared" si="23"/>
        <v>9</v>
      </c>
    </row>
    <row r="245" spans="1:17" x14ac:dyDescent="0.2">
      <c r="A245" s="16">
        <f t="shared" si="19"/>
        <v>1807320</v>
      </c>
      <c r="B245">
        <v>2022</v>
      </c>
      <c r="C245" t="s">
        <v>904</v>
      </c>
      <c r="D245" t="s">
        <v>906</v>
      </c>
      <c r="E245" t="s">
        <v>1151</v>
      </c>
      <c r="F245" t="s">
        <v>651</v>
      </c>
      <c r="G245" t="s">
        <v>43</v>
      </c>
      <c r="H245" s="6">
        <v>939712</v>
      </c>
      <c r="I245" s="6">
        <v>4.4619272225422286E-3</v>
      </c>
      <c r="J245" s="6">
        <v>9838.5495257056136</v>
      </c>
      <c r="K245" s="6">
        <v>13786404</v>
      </c>
      <c r="M245" s="6">
        <f t="shared" si="20"/>
        <v>949550.54952570563</v>
      </c>
      <c r="N245" s="6">
        <f t="shared" si="21"/>
        <v>13786404</v>
      </c>
      <c r="O245" s="6">
        <f t="shared" si="22"/>
        <v>14735954.549525706</v>
      </c>
      <c r="P245" s="8">
        <f>VLOOKUP(F245,'LEAID Match'!$A$2:$B$436,2,FALSE)</f>
        <v>1807320</v>
      </c>
      <c r="Q245" s="6">
        <f t="shared" si="23"/>
        <v>9</v>
      </c>
    </row>
    <row r="246" spans="1:17" x14ac:dyDescent="0.2">
      <c r="A246" s="16">
        <f t="shared" si="19"/>
        <v>1807320</v>
      </c>
      <c r="B246">
        <v>2023</v>
      </c>
      <c r="C246" t="s">
        <v>904</v>
      </c>
      <c r="D246" t="s">
        <v>906</v>
      </c>
      <c r="E246" t="s">
        <v>1152</v>
      </c>
      <c r="F246" t="s">
        <v>651</v>
      </c>
      <c r="G246" t="s">
        <v>43</v>
      </c>
      <c r="H246" s="6">
        <v>1123900</v>
      </c>
      <c r="I246" s="6">
        <v>4.596133470309207E-3</v>
      </c>
      <c r="J246" s="6">
        <v>11338.661271252813</v>
      </c>
      <c r="K246" s="6">
        <v>33024107</v>
      </c>
      <c r="M246" s="6">
        <f t="shared" si="20"/>
        <v>1135238.6612712529</v>
      </c>
      <c r="N246" s="6">
        <f t="shared" si="21"/>
        <v>33024107</v>
      </c>
      <c r="O246" s="6">
        <f t="shared" si="22"/>
        <v>34159345.661271252</v>
      </c>
      <c r="P246" s="8">
        <f>VLOOKUP(F246,'LEAID Match'!$A$2:$B$436,2,FALSE)</f>
        <v>1807320</v>
      </c>
      <c r="Q246" s="6">
        <f t="shared" si="23"/>
        <v>9</v>
      </c>
    </row>
    <row r="247" spans="1:17" x14ac:dyDescent="0.2">
      <c r="A247" s="16">
        <f t="shared" si="19"/>
        <v>1804500</v>
      </c>
      <c r="B247">
        <v>2015</v>
      </c>
      <c r="C247" t="s">
        <v>904</v>
      </c>
      <c r="D247" t="s">
        <v>906</v>
      </c>
      <c r="E247" t="s">
        <v>1153</v>
      </c>
      <c r="F247" t="s">
        <v>468</v>
      </c>
      <c r="G247" t="s">
        <v>44</v>
      </c>
      <c r="H247" s="6">
        <v>196712</v>
      </c>
      <c r="I247" s="6">
        <v>9.5655283085652155E-4</v>
      </c>
      <c r="J247" s="6">
        <v>5558.5285001072471</v>
      </c>
      <c r="K247" s="6">
        <v>808876.37861756806</v>
      </c>
      <c r="M247" s="6">
        <f t="shared" si="20"/>
        <v>202270.52850010723</v>
      </c>
      <c r="N247" s="6">
        <f t="shared" si="21"/>
        <v>808876.37861756806</v>
      </c>
      <c r="O247" s="6">
        <f t="shared" si="22"/>
        <v>1011146.9071176753</v>
      </c>
      <c r="P247" s="8">
        <f>VLOOKUP(F247,'LEAID Match'!$A$2:$B$436,2,FALSE)</f>
        <v>1804500</v>
      </c>
      <c r="Q247" s="6">
        <f t="shared" si="23"/>
        <v>9</v>
      </c>
    </row>
    <row r="248" spans="1:17" x14ac:dyDescent="0.2">
      <c r="A248" s="16">
        <f t="shared" si="19"/>
        <v>1804500</v>
      </c>
      <c r="B248">
        <v>2016</v>
      </c>
      <c r="C248" t="s">
        <v>904</v>
      </c>
      <c r="D248" t="s">
        <v>906</v>
      </c>
      <c r="E248" t="s">
        <v>1154</v>
      </c>
      <c r="F248" t="s">
        <v>468</v>
      </c>
      <c r="G248" t="s">
        <v>44</v>
      </c>
      <c r="H248" s="6">
        <v>192083</v>
      </c>
      <c r="I248" s="6">
        <v>8.9128871091481287E-4</v>
      </c>
      <c r="J248" s="6">
        <v>4499.2254126979751</v>
      </c>
      <c r="K248" s="6">
        <v>791018.73093689606</v>
      </c>
      <c r="M248" s="6">
        <f t="shared" si="20"/>
        <v>196582.22541269797</v>
      </c>
      <c r="N248" s="6">
        <f t="shared" si="21"/>
        <v>791018.73093689606</v>
      </c>
      <c r="O248" s="6">
        <f t="shared" si="22"/>
        <v>987600.95634959405</v>
      </c>
      <c r="P248" s="8">
        <f>VLOOKUP(F248,'LEAID Match'!$A$2:$B$436,2,FALSE)</f>
        <v>1804500</v>
      </c>
      <c r="Q248" s="6">
        <f t="shared" si="23"/>
        <v>9</v>
      </c>
    </row>
    <row r="249" spans="1:17" x14ac:dyDescent="0.2">
      <c r="A249" s="16">
        <f t="shared" si="19"/>
        <v>1804500</v>
      </c>
      <c r="B249">
        <v>2017</v>
      </c>
      <c r="C249" t="s">
        <v>904</v>
      </c>
      <c r="D249" t="s">
        <v>906</v>
      </c>
      <c r="E249" t="s">
        <v>1155</v>
      </c>
      <c r="F249" t="s">
        <v>468</v>
      </c>
      <c r="G249" t="s">
        <v>44</v>
      </c>
      <c r="H249" s="6">
        <v>200008</v>
      </c>
      <c r="I249" s="6">
        <v>8.8072078864299952E-4</v>
      </c>
      <c r="J249" s="6">
        <v>3985.2615686095728</v>
      </c>
      <c r="K249" s="6">
        <v>767107.80690805195</v>
      </c>
      <c r="M249" s="6">
        <f t="shared" si="20"/>
        <v>203993.26156860957</v>
      </c>
      <c r="N249" s="6">
        <f t="shared" si="21"/>
        <v>767107.80690805195</v>
      </c>
      <c r="O249" s="6">
        <f t="shared" si="22"/>
        <v>971101.06847666157</v>
      </c>
      <c r="P249" s="8">
        <f>VLOOKUP(F249,'LEAID Match'!$A$2:$B$436,2,FALSE)</f>
        <v>1804500</v>
      </c>
      <c r="Q249" s="6">
        <f t="shared" si="23"/>
        <v>9</v>
      </c>
    </row>
    <row r="250" spans="1:17" x14ac:dyDescent="0.2">
      <c r="A250" s="16">
        <f t="shared" si="19"/>
        <v>1804500</v>
      </c>
      <c r="B250">
        <v>2018</v>
      </c>
      <c r="C250" t="s">
        <v>904</v>
      </c>
      <c r="D250" t="s">
        <v>906</v>
      </c>
      <c r="E250" t="s">
        <v>1156</v>
      </c>
      <c r="F250" t="s">
        <v>468</v>
      </c>
      <c r="G250" t="s">
        <v>44</v>
      </c>
      <c r="H250" s="6">
        <v>209497</v>
      </c>
      <c r="I250" s="6">
        <v>8.88763959552999E-4</v>
      </c>
      <c r="J250" s="6">
        <v>3704.3681834168997</v>
      </c>
      <c r="K250" s="6">
        <v>545875</v>
      </c>
      <c r="M250" s="6">
        <f t="shared" si="20"/>
        <v>213201.3681834169</v>
      </c>
      <c r="N250" s="6">
        <f t="shared" si="21"/>
        <v>545875</v>
      </c>
      <c r="O250" s="6">
        <f t="shared" si="22"/>
        <v>759076.3681834169</v>
      </c>
      <c r="P250" s="8">
        <f>VLOOKUP(F250,'LEAID Match'!$A$2:$B$436,2,FALSE)</f>
        <v>1804500</v>
      </c>
      <c r="Q250" s="6">
        <f t="shared" si="23"/>
        <v>9</v>
      </c>
    </row>
    <row r="251" spans="1:17" x14ac:dyDescent="0.2">
      <c r="A251" s="16">
        <f t="shared" si="19"/>
        <v>1804500</v>
      </c>
      <c r="B251">
        <v>2019</v>
      </c>
      <c r="C251" t="s">
        <v>904</v>
      </c>
      <c r="D251" t="s">
        <v>906</v>
      </c>
      <c r="E251" t="s">
        <v>1157</v>
      </c>
      <c r="F251" t="s">
        <v>468</v>
      </c>
      <c r="G251" t="s">
        <v>44</v>
      </c>
      <c r="H251" s="6">
        <v>224827</v>
      </c>
      <c r="I251" s="6">
        <v>5.7195866866648049E-4</v>
      </c>
      <c r="J251" s="6">
        <v>2004.7151336760141</v>
      </c>
      <c r="K251" s="6">
        <v>539871.78735429095</v>
      </c>
      <c r="M251" s="6">
        <f t="shared" si="20"/>
        <v>226831.71513367601</v>
      </c>
      <c r="N251" s="6">
        <f t="shared" si="21"/>
        <v>539871.78735429095</v>
      </c>
      <c r="O251" s="6">
        <f t="shared" si="22"/>
        <v>766703.50248796702</v>
      </c>
      <c r="P251" s="8">
        <f>VLOOKUP(F251,'LEAID Match'!$A$2:$B$436,2,FALSE)</f>
        <v>1804500</v>
      </c>
      <c r="Q251" s="6">
        <f t="shared" si="23"/>
        <v>9</v>
      </c>
    </row>
    <row r="252" spans="1:17" x14ac:dyDescent="0.2">
      <c r="A252" s="16">
        <f t="shared" si="19"/>
        <v>1804500</v>
      </c>
      <c r="B252">
        <v>2020</v>
      </c>
      <c r="C252" t="s">
        <v>904</v>
      </c>
      <c r="D252" t="s">
        <v>906</v>
      </c>
      <c r="E252" t="s">
        <v>1158</v>
      </c>
      <c r="F252" t="s">
        <v>468</v>
      </c>
      <c r="G252" t="s">
        <v>44</v>
      </c>
      <c r="H252" s="6">
        <v>170778</v>
      </c>
      <c r="I252" s="6">
        <v>9.0490270454625203E-4</v>
      </c>
      <c r="J252" s="6">
        <v>2131.9507719109697</v>
      </c>
      <c r="K252" s="6">
        <v>577435</v>
      </c>
      <c r="M252" s="6">
        <f t="shared" si="20"/>
        <v>172909.95077191098</v>
      </c>
      <c r="N252" s="6">
        <f t="shared" si="21"/>
        <v>577435</v>
      </c>
      <c r="O252" s="6">
        <f t="shared" si="22"/>
        <v>750344.95077191095</v>
      </c>
      <c r="P252" s="8">
        <f>VLOOKUP(F252,'LEAID Match'!$A$2:$B$436,2,FALSE)</f>
        <v>1804500</v>
      </c>
      <c r="Q252" s="6">
        <f t="shared" si="23"/>
        <v>9</v>
      </c>
    </row>
    <row r="253" spans="1:17" x14ac:dyDescent="0.2">
      <c r="A253" s="16">
        <f t="shared" si="19"/>
        <v>1804500</v>
      </c>
      <c r="B253">
        <v>2021</v>
      </c>
      <c r="C253" t="s">
        <v>904</v>
      </c>
      <c r="D253" t="s">
        <v>906</v>
      </c>
      <c r="E253" t="s">
        <v>1159</v>
      </c>
      <c r="F253" t="s">
        <v>468</v>
      </c>
      <c r="G253" t="s">
        <v>44</v>
      </c>
      <c r="H253" s="6">
        <v>181773</v>
      </c>
      <c r="I253" s="6">
        <v>8.9797552469456402E-4</v>
      </c>
      <c r="J253" s="6">
        <v>2024.0368326615474</v>
      </c>
      <c r="K253" s="6">
        <v>935369</v>
      </c>
      <c r="M253" s="6">
        <f t="shared" si="20"/>
        <v>183797.03683266154</v>
      </c>
      <c r="N253" s="6">
        <f t="shared" si="21"/>
        <v>935369</v>
      </c>
      <c r="O253" s="6">
        <f t="shared" si="22"/>
        <v>1119166.0368326616</v>
      </c>
      <c r="P253" s="8">
        <f>VLOOKUP(F253,'LEAID Match'!$A$2:$B$436,2,FALSE)</f>
        <v>1804500</v>
      </c>
      <c r="Q253" s="6">
        <f t="shared" si="23"/>
        <v>9</v>
      </c>
    </row>
    <row r="254" spans="1:17" x14ac:dyDescent="0.2">
      <c r="A254" s="16">
        <f t="shared" si="19"/>
        <v>1804500</v>
      </c>
      <c r="B254">
        <v>2022</v>
      </c>
      <c r="C254" t="s">
        <v>904</v>
      </c>
      <c r="D254" t="s">
        <v>906</v>
      </c>
      <c r="E254" t="s">
        <v>1160</v>
      </c>
      <c r="F254" t="s">
        <v>468</v>
      </c>
      <c r="G254" t="s">
        <v>44</v>
      </c>
      <c r="H254" s="6">
        <v>201223</v>
      </c>
      <c r="I254" s="6">
        <v>9.5544420152303574E-4</v>
      </c>
      <c r="J254" s="6">
        <v>2106.7544643582937</v>
      </c>
      <c r="K254" s="6">
        <v>890711</v>
      </c>
      <c r="M254" s="6">
        <f t="shared" si="20"/>
        <v>203329.7544643583</v>
      </c>
      <c r="N254" s="6">
        <f t="shared" si="21"/>
        <v>890711</v>
      </c>
      <c r="O254" s="6">
        <f t="shared" si="22"/>
        <v>1094040.7544643583</v>
      </c>
      <c r="P254" s="8">
        <f>VLOOKUP(F254,'LEAID Match'!$A$2:$B$436,2,FALSE)</f>
        <v>1804500</v>
      </c>
      <c r="Q254" s="6">
        <f t="shared" si="23"/>
        <v>9</v>
      </c>
    </row>
    <row r="255" spans="1:17" x14ac:dyDescent="0.2">
      <c r="A255" s="16">
        <f t="shared" si="19"/>
        <v>1804500</v>
      </c>
      <c r="B255">
        <v>2023</v>
      </c>
      <c r="C255" t="s">
        <v>904</v>
      </c>
      <c r="D255" t="s">
        <v>906</v>
      </c>
      <c r="E255" t="s">
        <v>1161</v>
      </c>
      <c r="F255" t="s">
        <v>468</v>
      </c>
      <c r="G255" t="s">
        <v>44</v>
      </c>
      <c r="H255" s="6">
        <v>222840</v>
      </c>
      <c r="I255" s="6">
        <v>9.1129315999973631E-4</v>
      </c>
      <c r="J255" s="6">
        <v>2248.1602257193495</v>
      </c>
      <c r="K255" s="6">
        <v>1739738</v>
      </c>
      <c r="M255" s="6">
        <f t="shared" si="20"/>
        <v>225088.16022571936</v>
      </c>
      <c r="N255" s="6">
        <f t="shared" si="21"/>
        <v>1739738</v>
      </c>
      <c r="O255" s="6">
        <f t="shared" si="22"/>
        <v>1964826.1602257194</v>
      </c>
      <c r="P255" s="8">
        <f>VLOOKUP(F255,'LEAID Match'!$A$2:$B$436,2,FALSE)</f>
        <v>1804500</v>
      </c>
      <c r="Q255" s="6">
        <f t="shared" si="23"/>
        <v>9</v>
      </c>
    </row>
    <row r="256" spans="1:17" x14ac:dyDescent="0.2">
      <c r="A256" s="16">
        <f t="shared" si="19"/>
        <v>1805880</v>
      </c>
      <c r="B256">
        <v>2015</v>
      </c>
      <c r="C256" t="s">
        <v>904</v>
      </c>
      <c r="D256" t="s">
        <v>906</v>
      </c>
      <c r="E256" t="s">
        <v>1162</v>
      </c>
      <c r="F256" t="s">
        <v>652</v>
      </c>
      <c r="G256" t="s">
        <v>45</v>
      </c>
      <c r="H256" s="6">
        <v>254719</v>
      </c>
      <c r="I256" s="6">
        <v>1.2386238791885717E-3</v>
      </c>
      <c r="J256" s="6">
        <v>7197.6433619647896</v>
      </c>
      <c r="K256" s="6">
        <v>1047400.17022392</v>
      </c>
      <c r="M256" s="6">
        <f t="shared" si="20"/>
        <v>261916.64336196479</v>
      </c>
      <c r="N256" s="6">
        <f t="shared" si="21"/>
        <v>1047400.17022392</v>
      </c>
      <c r="O256" s="6">
        <f t="shared" si="22"/>
        <v>1309316.8135858849</v>
      </c>
      <c r="P256" s="8">
        <f>VLOOKUP(F256,'LEAID Match'!$A$2:$B$436,2,FALSE)</f>
        <v>1805880</v>
      </c>
      <c r="Q256" s="6">
        <f t="shared" si="23"/>
        <v>9</v>
      </c>
    </row>
    <row r="257" spans="1:17" x14ac:dyDescent="0.2">
      <c r="A257" s="16">
        <f t="shared" si="19"/>
        <v>1805880</v>
      </c>
      <c r="B257">
        <v>2016</v>
      </c>
      <c r="C257" t="s">
        <v>904</v>
      </c>
      <c r="D257" t="s">
        <v>906</v>
      </c>
      <c r="E257" t="s">
        <v>1163</v>
      </c>
      <c r="F257" t="s">
        <v>652</v>
      </c>
      <c r="G257" t="s">
        <v>45</v>
      </c>
      <c r="H257" s="6">
        <v>262854</v>
      </c>
      <c r="I257" s="6">
        <v>1.2196748427440336E-3</v>
      </c>
      <c r="J257" s="6">
        <v>6156.9186061718819</v>
      </c>
      <c r="K257" s="6">
        <v>1082461.4229353301</v>
      </c>
      <c r="M257" s="6">
        <f t="shared" si="20"/>
        <v>269010.91860617191</v>
      </c>
      <c r="N257" s="6">
        <f t="shared" si="21"/>
        <v>1082461.4229353301</v>
      </c>
      <c r="O257" s="6">
        <f t="shared" si="22"/>
        <v>1351472.3415415019</v>
      </c>
      <c r="P257" s="8">
        <f>VLOOKUP(F257,'LEAID Match'!$A$2:$B$436,2,FALSE)</f>
        <v>1805880</v>
      </c>
      <c r="Q257" s="6">
        <f t="shared" si="23"/>
        <v>9</v>
      </c>
    </row>
    <row r="258" spans="1:17" x14ac:dyDescent="0.2">
      <c r="A258" s="16">
        <f t="shared" si="19"/>
        <v>1805880</v>
      </c>
      <c r="B258">
        <v>2017</v>
      </c>
      <c r="C258" t="s">
        <v>904</v>
      </c>
      <c r="D258" t="s">
        <v>906</v>
      </c>
      <c r="E258" t="s">
        <v>1164</v>
      </c>
      <c r="F258" t="s">
        <v>652</v>
      </c>
      <c r="G258" t="s">
        <v>45</v>
      </c>
      <c r="H258" s="6">
        <v>265259</v>
      </c>
      <c r="I258" s="6">
        <v>1.1680488564190105E-3</v>
      </c>
      <c r="J258" s="6">
        <v>5285.4210752960225</v>
      </c>
      <c r="K258" s="6">
        <v>1017370.55394095</v>
      </c>
      <c r="M258" s="6">
        <f t="shared" si="20"/>
        <v>270544.42107529601</v>
      </c>
      <c r="N258" s="6">
        <f t="shared" si="21"/>
        <v>1017370.55394095</v>
      </c>
      <c r="O258" s="6">
        <f t="shared" si="22"/>
        <v>1287914.9750162461</v>
      </c>
      <c r="P258" s="8">
        <f>VLOOKUP(F258,'LEAID Match'!$A$2:$B$436,2,FALSE)</f>
        <v>1805880</v>
      </c>
      <c r="Q258" s="6">
        <f t="shared" si="23"/>
        <v>9</v>
      </c>
    </row>
    <row r="259" spans="1:17" x14ac:dyDescent="0.2">
      <c r="A259" s="16">
        <f t="shared" ref="A259:A322" si="24">P259</f>
        <v>1805880</v>
      </c>
      <c r="B259">
        <v>2018</v>
      </c>
      <c r="C259" t="s">
        <v>904</v>
      </c>
      <c r="D259" t="s">
        <v>906</v>
      </c>
      <c r="E259" t="s">
        <v>1165</v>
      </c>
      <c r="F259" t="s">
        <v>652</v>
      </c>
      <c r="G259" t="s">
        <v>45</v>
      </c>
      <c r="H259" s="6">
        <v>276189</v>
      </c>
      <c r="I259" s="6">
        <v>1.1716961542407923E-3</v>
      </c>
      <c r="J259" s="6">
        <v>4883.6295708756224</v>
      </c>
      <c r="K259" s="6">
        <v>988119</v>
      </c>
      <c r="M259" s="6">
        <f t="shared" ref="M259:M322" si="25">SUM(H259,J259)</f>
        <v>281072.62957087561</v>
      </c>
      <c r="N259" s="6">
        <f t="shared" ref="N259:N322" si="26">K259</f>
        <v>988119</v>
      </c>
      <c r="O259" s="6">
        <f t="shared" ref="O259:O322" si="27">SUM(M259:N259)</f>
        <v>1269191.6295708755</v>
      </c>
      <c r="P259" s="8">
        <f>VLOOKUP(F259,'LEAID Match'!$A$2:$B$436,2,FALSE)</f>
        <v>1805880</v>
      </c>
      <c r="Q259" s="6">
        <f t="shared" ref="Q259:Q322" si="28">COUNTIF($P$2:$P$3691,P259)</f>
        <v>9</v>
      </c>
    </row>
    <row r="260" spans="1:17" x14ac:dyDescent="0.2">
      <c r="A260" s="16">
        <f t="shared" si="24"/>
        <v>1805880</v>
      </c>
      <c r="B260">
        <v>2019</v>
      </c>
      <c r="C260" t="s">
        <v>904</v>
      </c>
      <c r="D260" t="s">
        <v>906</v>
      </c>
      <c r="E260" t="s">
        <v>1166</v>
      </c>
      <c r="F260" t="s">
        <v>652</v>
      </c>
      <c r="G260" t="s">
        <v>45</v>
      </c>
      <c r="H260" s="6">
        <v>292578</v>
      </c>
      <c r="I260" s="6">
        <v>7.4431684522366761E-4</v>
      </c>
      <c r="J260" s="6">
        <v>2608.8305425089547</v>
      </c>
      <c r="K260" s="6">
        <v>702560.67020661896</v>
      </c>
      <c r="M260" s="6">
        <f t="shared" si="25"/>
        <v>295186.83054250898</v>
      </c>
      <c r="N260" s="6">
        <f t="shared" si="26"/>
        <v>702560.67020661896</v>
      </c>
      <c r="O260" s="6">
        <f t="shared" si="27"/>
        <v>997747.50074912794</v>
      </c>
      <c r="P260" s="8">
        <f>VLOOKUP(F260,'LEAID Match'!$A$2:$B$436,2,FALSE)</f>
        <v>1805880</v>
      </c>
      <c r="Q260" s="6">
        <f t="shared" si="28"/>
        <v>9</v>
      </c>
    </row>
    <row r="261" spans="1:17" x14ac:dyDescent="0.2">
      <c r="A261" s="16">
        <f t="shared" si="24"/>
        <v>1805880</v>
      </c>
      <c r="B261">
        <v>2020</v>
      </c>
      <c r="C261" t="s">
        <v>904</v>
      </c>
      <c r="D261" t="s">
        <v>906</v>
      </c>
      <c r="E261" t="s">
        <v>1167</v>
      </c>
      <c r="F261" t="s">
        <v>652</v>
      </c>
      <c r="G261" t="s">
        <v>45</v>
      </c>
      <c r="H261" s="6">
        <v>218746</v>
      </c>
      <c r="I261" s="6">
        <v>1.1590711157682748E-3</v>
      </c>
      <c r="J261" s="6">
        <v>2730.7715487500554</v>
      </c>
      <c r="K261" s="6">
        <v>1041928</v>
      </c>
      <c r="M261" s="6">
        <f t="shared" si="25"/>
        <v>221476.77154875005</v>
      </c>
      <c r="N261" s="6">
        <f t="shared" si="26"/>
        <v>1041928</v>
      </c>
      <c r="O261" s="6">
        <f t="shared" si="27"/>
        <v>1263404.7715487501</v>
      </c>
      <c r="P261" s="8">
        <f>VLOOKUP(F261,'LEAID Match'!$A$2:$B$436,2,FALSE)</f>
        <v>1805880</v>
      </c>
      <c r="Q261" s="6">
        <f t="shared" si="28"/>
        <v>9</v>
      </c>
    </row>
    <row r="262" spans="1:17" x14ac:dyDescent="0.2">
      <c r="A262" s="16">
        <f t="shared" si="24"/>
        <v>1805880</v>
      </c>
      <c r="B262">
        <v>2021</v>
      </c>
      <c r="C262" t="s">
        <v>904</v>
      </c>
      <c r="D262" t="s">
        <v>906</v>
      </c>
      <c r="E262" t="s">
        <v>1168</v>
      </c>
      <c r="F262" t="s">
        <v>652</v>
      </c>
      <c r="G262" t="s">
        <v>45</v>
      </c>
      <c r="H262" s="6">
        <v>229159</v>
      </c>
      <c r="I262" s="6">
        <v>1.132066771541877E-3</v>
      </c>
      <c r="J262" s="6">
        <v>2551.6785030553906</v>
      </c>
      <c r="K262" s="6">
        <v>1709622</v>
      </c>
      <c r="M262" s="6">
        <f t="shared" si="25"/>
        <v>231710.67850305539</v>
      </c>
      <c r="N262" s="6">
        <f t="shared" si="26"/>
        <v>1709622</v>
      </c>
      <c r="O262" s="6">
        <f t="shared" si="27"/>
        <v>1941332.6785030554</v>
      </c>
      <c r="P262" s="8">
        <f>VLOOKUP(F262,'LEAID Match'!$A$2:$B$436,2,FALSE)</f>
        <v>1805880</v>
      </c>
      <c r="Q262" s="6">
        <f t="shared" si="28"/>
        <v>9</v>
      </c>
    </row>
    <row r="263" spans="1:17" x14ac:dyDescent="0.2">
      <c r="A263" s="16">
        <f t="shared" si="24"/>
        <v>1805880</v>
      </c>
      <c r="B263">
        <v>2022</v>
      </c>
      <c r="C263" t="s">
        <v>904</v>
      </c>
      <c r="D263" t="s">
        <v>906</v>
      </c>
      <c r="E263" t="s">
        <v>1169</v>
      </c>
      <c r="F263" t="s">
        <v>652</v>
      </c>
      <c r="G263" t="s">
        <v>45</v>
      </c>
      <c r="H263" s="6">
        <v>252147</v>
      </c>
      <c r="I263" s="6">
        <v>1.1972408178062592E-3</v>
      </c>
      <c r="J263" s="6">
        <v>2639.9160032628015</v>
      </c>
      <c r="K263" s="6">
        <v>1675063</v>
      </c>
      <c r="M263" s="6">
        <f t="shared" si="25"/>
        <v>254786.9160032628</v>
      </c>
      <c r="N263" s="6">
        <f t="shared" si="26"/>
        <v>1675063</v>
      </c>
      <c r="O263" s="6">
        <f t="shared" si="27"/>
        <v>1929849.9160032629</v>
      </c>
      <c r="P263" s="8">
        <f>VLOOKUP(F263,'LEAID Match'!$A$2:$B$436,2,FALSE)</f>
        <v>1805880</v>
      </c>
      <c r="Q263" s="6">
        <f t="shared" si="28"/>
        <v>9</v>
      </c>
    </row>
    <row r="264" spans="1:17" x14ac:dyDescent="0.2">
      <c r="A264" s="16">
        <f t="shared" si="24"/>
        <v>1805880</v>
      </c>
      <c r="B264">
        <v>2023</v>
      </c>
      <c r="C264" t="s">
        <v>904</v>
      </c>
      <c r="D264" t="s">
        <v>906</v>
      </c>
      <c r="E264" t="s">
        <v>1170</v>
      </c>
      <c r="F264" t="s">
        <v>652</v>
      </c>
      <c r="G264" t="s">
        <v>45</v>
      </c>
      <c r="H264" s="6">
        <v>298715</v>
      </c>
      <c r="I264" s="6">
        <v>1.2215802202895406E-3</v>
      </c>
      <c r="J264" s="6">
        <v>3013.6384034542966</v>
      </c>
      <c r="K264" s="6">
        <v>4201967</v>
      </c>
      <c r="M264" s="6">
        <f t="shared" si="25"/>
        <v>301728.63840345427</v>
      </c>
      <c r="N264" s="6">
        <f t="shared" si="26"/>
        <v>4201967</v>
      </c>
      <c r="O264" s="6">
        <f t="shared" si="27"/>
        <v>4503695.6384034539</v>
      </c>
      <c r="P264" s="8">
        <f>VLOOKUP(F264,'LEAID Match'!$A$2:$B$436,2,FALSE)</f>
        <v>1805880</v>
      </c>
      <c r="Q264" s="6">
        <f t="shared" si="28"/>
        <v>9</v>
      </c>
    </row>
    <row r="265" spans="1:17" x14ac:dyDescent="0.2">
      <c r="A265" s="16">
        <f t="shared" si="24"/>
        <v>1807230</v>
      </c>
      <c r="B265">
        <v>2015</v>
      </c>
      <c r="C265" t="s">
        <v>904</v>
      </c>
      <c r="D265" t="s">
        <v>906</v>
      </c>
      <c r="E265" t="s">
        <v>1171</v>
      </c>
      <c r="F265" t="s">
        <v>469</v>
      </c>
      <c r="G265" t="s">
        <v>46</v>
      </c>
      <c r="H265" s="6">
        <v>394676</v>
      </c>
      <c r="I265" s="6">
        <v>1.9191937709500616E-3</v>
      </c>
      <c r="J265" s="6">
        <v>11152.435002990807</v>
      </c>
      <c r="K265" s="6">
        <v>1622900.9598157001</v>
      </c>
      <c r="M265" s="6">
        <f t="shared" si="25"/>
        <v>405828.43500299082</v>
      </c>
      <c r="N265" s="6">
        <f t="shared" si="26"/>
        <v>1622900.9598157001</v>
      </c>
      <c r="O265" s="6">
        <f t="shared" si="27"/>
        <v>2028729.3948186908</v>
      </c>
      <c r="P265" s="8">
        <f>VLOOKUP(F265,'LEAID Match'!$A$2:$B$436,2,FALSE)</f>
        <v>1807230</v>
      </c>
      <c r="Q265" s="6">
        <f t="shared" si="28"/>
        <v>9</v>
      </c>
    </row>
    <row r="266" spans="1:17" x14ac:dyDescent="0.2">
      <c r="A266" s="16">
        <f t="shared" si="24"/>
        <v>1807230</v>
      </c>
      <c r="B266">
        <v>2016</v>
      </c>
      <c r="C266" t="s">
        <v>904</v>
      </c>
      <c r="D266" t="s">
        <v>906</v>
      </c>
      <c r="E266" t="s">
        <v>1172</v>
      </c>
      <c r="F266" t="s">
        <v>469</v>
      </c>
      <c r="G266" t="s">
        <v>46</v>
      </c>
      <c r="H266" s="6">
        <v>423005</v>
      </c>
      <c r="I266" s="6">
        <v>1.9627951518901747E-3</v>
      </c>
      <c r="J266" s="6">
        <v>9908.1899267416029</v>
      </c>
      <c r="K266" s="6">
        <v>1741980.6973025301</v>
      </c>
      <c r="M266" s="6">
        <f t="shared" si="25"/>
        <v>432913.18992674159</v>
      </c>
      <c r="N266" s="6">
        <f t="shared" si="26"/>
        <v>1741980.6973025301</v>
      </c>
      <c r="O266" s="6">
        <f t="shared" si="27"/>
        <v>2174893.8872292717</v>
      </c>
      <c r="P266" s="8">
        <f>VLOOKUP(F266,'LEAID Match'!$A$2:$B$436,2,FALSE)</f>
        <v>1807230</v>
      </c>
      <c r="Q266" s="6">
        <f t="shared" si="28"/>
        <v>9</v>
      </c>
    </row>
    <row r="267" spans="1:17" x14ac:dyDescent="0.2">
      <c r="A267" s="16">
        <f t="shared" si="24"/>
        <v>1807230</v>
      </c>
      <c r="B267">
        <v>2017</v>
      </c>
      <c r="C267" t="s">
        <v>904</v>
      </c>
      <c r="D267" t="s">
        <v>906</v>
      </c>
      <c r="E267" t="s">
        <v>1173</v>
      </c>
      <c r="F267" t="s">
        <v>469</v>
      </c>
      <c r="G267" t="s">
        <v>46</v>
      </c>
      <c r="H267" s="6">
        <v>477398</v>
      </c>
      <c r="I267" s="6">
        <v>2.1021876277778424E-3</v>
      </c>
      <c r="J267" s="6">
        <v>9512.3990156947366</v>
      </c>
      <c r="K267" s="6">
        <v>1831005.4237945001</v>
      </c>
      <c r="M267" s="6">
        <f t="shared" si="25"/>
        <v>486910.39901569474</v>
      </c>
      <c r="N267" s="6">
        <f t="shared" si="26"/>
        <v>1831005.4237945001</v>
      </c>
      <c r="O267" s="6">
        <f t="shared" si="27"/>
        <v>2317915.8228101949</v>
      </c>
      <c r="P267" s="8">
        <f>VLOOKUP(F267,'LEAID Match'!$A$2:$B$436,2,FALSE)</f>
        <v>1807230</v>
      </c>
      <c r="Q267" s="6">
        <f t="shared" si="28"/>
        <v>9</v>
      </c>
    </row>
    <row r="268" spans="1:17" x14ac:dyDescent="0.2">
      <c r="A268" s="16">
        <f t="shared" si="24"/>
        <v>1807230</v>
      </c>
      <c r="B268">
        <v>2018</v>
      </c>
      <c r="C268" t="s">
        <v>904</v>
      </c>
      <c r="D268" t="s">
        <v>906</v>
      </c>
      <c r="E268" t="s">
        <v>1174</v>
      </c>
      <c r="F268" t="s">
        <v>469</v>
      </c>
      <c r="G268" t="s">
        <v>46</v>
      </c>
      <c r="H268" s="6">
        <v>535993</v>
      </c>
      <c r="I268" s="6">
        <v>2.2738810626056248E-3</v>
      </c>
      <c r="J268" s="6">
        <v>9477.5362689402446</v>
      </c>
      <c r="K268" s="6">
        <v>1532893</v>
      </c>
      <c r="M268" s="6">
        <f t="shared" si="25"/>
        <v>545470.5362689402</v>
      </c>
      <c r="N268" s="6">
        <f t="shared" si="26"/>
        <v>1532893</v>
      </c>
      <c r="O268" s="6">
        <f t="shared" si="27"/>
        <v>2078363.5362689402</v>
      </c>
      <c r="P268" s="8">
        <f>VLOOKUP(F268,'LEAID Match'!$A$2:$B$436,2,FALSE)</f>
        <v>1807230</v>
      </c>
      <c r="Q268" s="6">
        <f t="shared" si="28"/>
        <v>9</v>
      </c>
    </row>
    <row r="269" spans="1:17" x14ac:dyDescent="0.2">
      <c r="A269" s="16">
        <f t="shared" si="24"/>
        <v>1807230</v>
      </c>
      <c r="B269">
        <v>2019</v>
      </c>
      <c r="C269" t="s">
        <v>904</v>
      </c>
      <c r="D269" t="s">
        <v>906</v>
      </c>
      <c r="E269" t="s">
        <v>1175</v>
      </c>
      <c r="F269" t="s">
        <v>469</v>
      </c>
      <c r="G269" t="s">
        <v>46</v>
      </c>
      <c r="H269" s="6">
        <v>573949</v>
      </c>
      <c r="I269" s="6">
        <v>1.4601231432277164E-3</v>
      </c>
      <c r="J269" s="6">
        <v>5117.7316170131462</v>
      </c>
      <c r="K269" s="6">
        <v>1378210.23489264</v>
      </c>
      <c r="M269" s="6">
        <f t="shared" si="25"/>
        <v>579066.73161701311</v>
      </c>
      <c r="N269" s="6">
        <f t="shared" si="26"/>
        <v>1378210.23489264</v>
      </c>
      <c r="O269" s="6">
        <f t="shared" si="27"/>
        <v>1957276.9665096533</v>
      </c>
      <c r="P269" s="8">
        <f>VLOOKUP(F269,'LEAID Match'!$A$2:$B$436,2,FALSE)</f>
        <v>1807230</v>
      </c>
      <c r="Q269" s="6">
        <f t="shared" si="28"/>
        <v>9</v>
      </c>
    </row>
    <row r="270" spans="1:17" x14ac:dyDescent="0.2">
      <c r="A270" s="16">
        <f t="shared" si="24"/>
        <v>1807230</v>
      </c>
      <c r="B270">
        <v>2020</v>
      </c>
      <c r="C270" t="s">
        <v>904</v>
      </c>
      <c r="D270" t="s">
        <v>906</v>
      </c>
      <c r="E270" t="s">
        <v>1176</v>
      </c>
      <c r="F270" t="s">
        <v>469</v>
      </c>
      <c r="G270" t="s">
        <v>46</v>
      </c>
      <c r="H270" s="6">
        <v>463589</v>
      </c>
      <c r="I270" s="6">
        <v>2.4564226065294853E-3</v>
      </c>
      <c r="J270" s="6">
        <v>5787.3316609834674</v>
      </c>
      <c r="K270" s="6">
        <v>1710066</v>
      </c>
      <c r="M270" s="6">
        <f t="shared" si="25"/>
        <v>469376.33166098344</v>
      </c>
      <c r="N270" s="6">
        <f t="shared" si="26"/>
        <v>1710066</v>
      </c>
      <c r="O270" s="6">
        <f t="shared" si="27"/>
        <v>2179442.3316609836</v>
      </c>
      <c r="P270" s="8">
        <f>VLOOKUP(F270,'LEAID Match'!$A$2:$B$436,2,FALSE)</f>
        <v>1807230</v>
      </c>
      <c r="Q270" s="6">
        <f t="shared" si="28"/>
        <v>9</v>
      </c>
    </row>
    <row r="271" spans="1:17" x14ac:dyDescent="0.2">
      <c r="A271" s="16">
        <f t="shared" si="24"/>
        <v>1807230</v>
      </c>
      <c r="B271">
        <v>2021</v>
      </c>
      <c r="C271" t="s">
        <v>904</v>
      </c>
      <c r="D271" t="s">
        <v>906</v>
      </c>
      <c r="E271" t="s">
        <v>1177</v>
      </c>
      <c r="F271" t="s">
        <v>469</v>
      </c>
      <c r="G271" t="s">
        <v>46</v>
      </c>
      <c r="H271" s="6">
        <v>518364</v>
      </c>
      <c r="I271" s="6">
        <v>2.5607663672975248E-3</v>
      </c>
      <c r="J271" s="6">
        <v>5771.967391888621</v>
      </c>
      <c r="K271" s="6">
        <v>2760074</v>
      </c>
      <c r="M271" s="6">
        <f t="shared" si="25"/>
        <v>524135.96739188861</v>
      </c>
      <c r="N271" s="6">
        <f t="shared" si="26"/>
        <v>2760074</v>
      </c>
      <c r="O271" s="6">
        <f t="shared" si="27"/>
        <v>3284209.9673918886</v>
      </c>
      <c r="P271" s="8">
        <f>VLOOKUP(F271,'LEAID Match'!$A$2:$B$436,2,FALSE)</f>
        <v>1807230</v>
      </c>
      <c r="Q271" s="6">
        <f t="shared" si="28"/>
        <v>9</v>
      </c>
    </row>
    <row r="272" spans="1:17" x14ac:dyDescent="0.2">
      <c r="A272" s="16">
        <f t="shared" si="24"/>
        <v>1807230</v>
      </c>
      <c r="B272">
        <v>2022</v>
      </c>
      <c r="C272" t="s">
        <v>904</v>
      </c>
      <c r="D272" t="s">
        <v>906</v>
      </c>
      <c r="E272" t="s">
        <v>1178</v>
      </c>
      <c r="F272" t="s">
        <v>469</v>
      </c>
      <c r="G272" t="s">
        <v>46</v>
      </c>
      <c r="H272" s="6">
        <v>543766</v>
      </c>
      <c r="I272" s="6">
        <v>2.5819020275285381E-3</v>
      </c>
      <c r="J272" s="6">
        <v>5693.0939707004263</v>
      </c>
      <c r="K272" s="6">
        <v>2658179</v>
      </c>
      <c r="M272" s="6">
        <f t="shared" si="25"/>
        <v>549459.0939707004</v>
      </c>
      <c r="N272" s="6">
        <f t="shared" si="26"/>
        <v>2658179</v>
      </c>
      <c r="O272" s="6">
        <f t="shared" si="27"/>
        <v>3207638.0939707002</v>
      </c>
      <c r="P272" s="8">
        <f>VLOOKUP(F272,'LEAID Match'!$A$2:$B$436,2,FALSE)</f>
        <v>1807230</v>
      </c>
      <c r="Q272" s="6">
        <f t="shared" si="28"/>
        <v>9</v>
      </c>
    </row>
    <row r="273" spans="1:17" x14ac:dyDescent="0.2">
      <c r="A273" s="16">
        <f t="shared" si="24"/>
        <v>1807230</v>
      </c>
      <c r="B273">
        <v>2023</v>
      </c>
      <c r="C273" t="s">
        <v>904</v>
      </c>
      <c r="D273" t="s">
        <v>906</v>
      </c>
      <c r="E273" t="s">
        <v>1179</v>
      </c>
      <c r="F273" t="s">
        <v>469</v>
      </c>
      <c r="G273" t="s">
        <v>46</v>
      </c>
      <c r="H273" s="6">
        <v>631855</v>
      </c>
      <c r="I273" s="6">
        <v>2.5839397756759709E-3</v>
      </c>
      <c r="J273" s="6">
        <v>6374.5794265926197</v>
      </c>
      <c r="K273" s="6">
        <v>7468423</v>
      </c>
      <c r="M273" s="6">
        <f t="shared" si="25"/>
        <v>638229.57942659257</v>
      </c>
      <c r="N273" s="6">
        <f t="shared" si="26"/>
        <v>7468423</v>
      </c>
      <c r="O273" s="6">
        <f t="shared" si="27"/>
        <v>8106652.5794265922</v>
      </c>
      <c r="P273" s="8">
        <f>VLOOKUP(F273,'LEAID Match'!$A$2:$B$436,2,FALSE)</f>
        <v>1807230</v>
      </c>
      <c r="Q273" s="6">
        <f t="shared" si="28"/>
        <v>9</v>
      </c>
    </row>
    <row r="274" spans="1:17" x14ac:dyDescent="0.2">
      <c r="A274" s="16">
        <f t="shared" si="24"/>
        <v>1802660</v>
      </c>
      <c r="B274">
        <v>2015</v>
      </c>
      <c r="C274" t="s">
        <v>904</v>
      </c>
      <c r="D274" t="s">
        <v>906</v>
      </c>
      <c r="E274" t="s">
        <v>1180</v>
      </c>
      <c r="F274" t="s">
        <v>653</v>
      </c>
      <c r="G274" t="s">
        <v>47</v>
      </c>
      <c r="H274" s="6">
        <v>438858</v>
      </c>
      <c r="I274" s="6">
        <v>2.1340378942008181E-3</v>
      </c>
      <c r="J274" s="6">
        <v>12400.894203200955</v>
      </c>
      <c r="K274" s="6">
        <v>1804576.5879425099</v>
      </c>
      <c r="M274" s="6">
        <f t="shared" si="25"/>
        <v>451258.89420320094</v>
      </c>
      <c r="N274" s="6">
        <f t="shared" si="26"/>
        <v>1804576.5879425099</v>
      </c>
      <c r="O274" s="6">
        <f t="shared" si="27"/>
        <v>2255835.4821457108</v>
      </c>
      <c r="P274" s="8">
        <f>VLOOKUP(F274,'LEAID Match'!$A$2:$B$436,2,FALSE)</f>
        <v>1802660</v>
      </c>
      <c r="Q274" s="6">
        <f t="shared" si="28"/>
        <v>9</v>
      </c>
    </row>
    <row r="275" spans="1:17" x14ac:dyDescent="0.2">
      <c r="A275" s="16">
        <f t="shared" si="24"/>
        <v>1802660</v>
      </c>
      <c r="B275">
        <v>2016</v>
      </c>
      <c r="C275" t="s">
        <v>904</v>
      </c>
      <c r="D275" t="s">
        <v>906</v>
      </c>
      <c r="E275" t="s">
        <v>1181</v>
      </c>
      <c r="F275" t="s">
        <v>653</v>
      </c>
      <c r="G275" t="s">
        <v>47</v>
      </c>
      <c r="H275" s="6">
        <v>470015</v>
      </c>
      <c r="I275" s="6">
        <v>2.1809273254823477E-3</v>
      </c>
      <c r="J275" s="6">
        <v>11009.321139034892</v>
      </c>
      <c r="K275" s="6">
        <v>1935573.0013655799</v>
      </c>
      <c r="M275" s="6">
        <f t="shared" si="25"/>
        <v>481024.32113903487</v>
      </c>
      <c r="N275" s="6">
        <f t="shared" si="26"/>
        <v>1935573.0013655799</v>
      </c>
      <c r="O275" s="6">
        <f t="shared" si="27"/>
        <v>2416597.3225046149</v>
      </c>
      <c r="P275" s="8">
        <f>VLOOKUP(F275,'LEAID Match'!$A$2:$B$436,2,FALSE)</f>
        <v>1802660</v>
      </c>
      <c r="Q275" s="6">
        <f t="shared" si="28"/>
        <v>9</v>
      </c>
    </row>
    <row r="276" spans="1:17" x14ac:dyDescent="0.2">
      <c r="A276" s="16">
        <f t="shared" si="24"/>
        <v>1802660</v>
      </c>
      <c r="B276">
        <v>2017</v>
      </c>
      <c r="C276" t="s">
        <v>904</v>
      </c>
      <c r="D276" t="s">
        <v>906</v>
      </c>
      <c r="E276" t="s">
        <v>1182</v>
      </c>
      <c r="F276" t="s">
        <v>653</v>
      </c>
      <c r="G276" t="s">
        <v>47</v>
      </c>
      <c r="H276" s="6">
        <v>512476</v>
      </c>
      <c r="I276" s="6">
        <v>2.2566510683603149E-3</v>
      </c>
      <c r="J276" s="6">
        <v>10211.346084330426</v>
      </c>
      <c r="K276" s="6">
        <v>1965543.08054183</v>
      </c>
      <c r="M276" s="6">
        <f t="shared" si="25"/>
        <v>522687.34608433041</v>
      </c>
      <c r="N276" s="6">
        <f t="shared" si="26"/>
        <v>1965543.08054183</v>
      </c>
      <c r="O276" s="6">
        <f t="shared" si="27"/>
        <v>2488230.4266261603</v>
      </c>
      <c r="P276" s="8">
        <f>VLOOKUP(F276,'LEAID Match'!$A$2:$B$436,2,FALSE)</f>
        <v>1802660</v>
      </c>
      <c r="Q276" s="6">
        <f t="shared" si="28"/>
        <v>9</v>
      </c>
    </row>
    <row r="277" spans="1:17" x14ac:dyDescent="0.2">
      <c r="A277" s="16">
        <f t="shared" si="24"/>
        <v>1802660</v>
      </c>
      <c r="B277">
        <v>2018</v>
      </c>
      <c r="C277" t="s">
        <v>904</v>
      </c>
      <c r="D277" t="s">
        <v>906</v>
      </c>
      <c r="E277" t="s">
        <v>1183</v>
      </c>
      <c r="F277" t="s">
        <v>653</v>
      </c>
      <c r="G277" t="s">
        <v>47</v>
      </c>
      <c r="H277" s="6">
        <v>552851</v>
      </c>
      <c r="I277" s="6">
        <v>2.3453989498791634E-3</v>
      </c>
      <c r="J277" s="6">
        <v>9775.6228230963534</v>
      </c>
      <c r="K277" s="6">
        <v>2333669</v>
      </c>
      <c r="M277" s="6">
        <f t="shared" si="25"/>
        <v>562626.62282309635</v>
      </c>
      <c r="N277" s="6">
        <f t="shared" si="26"/>
        <v>2333669</v>
      </c>
      <c r="O277" s="6">
        <f t="shared" si="27"/>
        <v>2896295.6228230963</v>
      </c>
      <c r="P277" s="8">
        <f>VLOOKUP(F277,'LEAID Match'!$A$2:$B$436,2,FALSE)</f>
        <v>1802660</v>
      </c>
      <c r="Q277" s="6">
        <f t="shared" si="28"/>
        <v>9</v>
      </c>
    </row>
    <row r="278" spans="1:17" x14ac:dyDescent="0.2">
      <c r="A278" s="16">
        <f t="shared" si="24"/>
        <v>1802660</v>
      </c>
      <c r="B278">
        <v>2019</v>
      </c>
      <c r="C278" t="s">
        <v>904</v>
      </c>
      <c r="D278" t="s">
        <v>906</v>
      </c>
      <c r="E278" t="s">
        <v>1184</v>
      </c>
      <c r="F278" t="s">
        <v>653</v>
      </c>
      <c r="G278" t="s">
        <v>47</v>
      </c>
      <c r="H278" s="6">
        <v>590530</v>
      </c>
      <c r="I278" s="6">
        <v>1.5023051173018219E-3</v>
      </c>
      <c r="J278" s="6">
        <v>5265.5794361428862</v>
      </c>
      <c r="K278" s="6">
        <v>1418025.8002211901</v>
      </c>
      <c r="M278" s="6">
        <f t="shared" si="25"/>
        <v>595795.57943614293</v>
      </c>
      <c r="N278" s="6">
        <f t="shared" si="26"/>
        <v>1418025.8002211901</v>
      </c>
      <c r="O278" s="6">
        <f t="shared" si="27"/>
        <v>2013821.379657333</v>
      </c>
      <c r="P278" s="8">
        <f>VLOOKUP(F278,'LEAID Match'!$A$2:$B$436,2,FALSE)</f>
        <v>1802660</v>
      </c>
      <c r="Q278" s="6">
        <f t="shared" si="28"/>
        <v>9</v>
      </c>
    </row>
    <row r="279" spans="1:17" x14ac:dyDescent="0.2">
      <c r="A279" s="16">
        <f t="shared" si="24"/>
        <v>1802660</v>
      </c>
      <c r="B279">
        <v>2020</v>
      </c>
      <c r="C279" t="s">
        <v>904</v>
      </c>
      <c r="D279" t="s">
        <v>906</v>
      </c>
      <c r="E279" t="s">
        <v>1185</v>
      </c>
      <c r="F279" t="s">
        <v>653</v>
      </c>
      <c r="G279" t="s">
        <v>47</v>
      </c>
      <c r="H279" s="6">
        <v>448417</v>
      </c>
      <c r="I279" s="6">
        <v>2.3760306132201846E-3</v>
      </c>
      <c r="J279" s="6">
        <v>5597.9281247467552</v>
      </c>
      <c r="K279" s="6">
        <v>2472502</v>
      </c>
      <c r="M279" s="6">
        <f t="shared" si="25"/>
        <v>454014.92812474677</v>
      </c>
      <c r="N279" s="6">
        <f t="shared" si="26"/>
        <v>2472502</v>
      </c>
      <c r="O279" s="6">
        <f t="shared" si="27"/>
        <v>2926516.9281247468</v>
      </c>
      <c r="P279" s="8">
        <f>VLOOKUP(F279,'LEAID Match'!$A$2:$B$436,2,FALSE)</f>
        <v>1802660</v>
      </c>
      <c r="Q279" s="6">
        <f t="shared" si="28"/>
        <v>9</v>
      </c>
    </row>
    <row r="280" spans="1:17" x14ac:dyDescent="0.2">
      <c r="A280" s="16">
        <f t="shared" si="24"/>
        <v>1802660</v>
      </c>
      <c r="B280">
        <v>2021</v>
      </c>
      <c r="C280" t="s">
        <v>904</v>
      </c>
      <c r="D280" t="s">
        <v>906</v>
      </c>
      <c r="E280" t="s">
        <v>1186</v>
      </c>
      <c r="F280" t="s">
        <v>653</v>
      </c>
      <c r="G280" t="s">
        <v>47</v>
      </c>
      <c r="H280" s="6">
        <v>481322</v>
      </c>
      <c r="I280" s="6">
        <v>2.3777754424311472E-3</v>
      </c>
      <c r="J280" s="6">
        <v>5359.5058472398059</v>
      </c>
      <c r="K280" s="6">
        <v>3899076</v>
      </c>
      <c r="M280" s="6">
        <f t="shared" si="25"/>
        <v>486681.50584723981</v>
      </c>
      <c r="N280" s="6">
        <f t="shared" si="26"/>
        <v>3899076</v>
      </c>
      <c r="O280" s="6">
        <f t="shared" si="27"/>
        <v>4385757.5058472399</v>
      </c>
      <c r="P280" s="8">
        <f>VLOOKUP(F280,'LEAID Match'!$A$2:$B$436,2,FALSE)</f>
        <v>1802660</v>
      </c>
      <c r="Q280" s="6">
        <f t="shared" si="28"/>
        <v>9</v>
      </c>
    </row>
    <row r="281" spans="1:17" x14ac:dyDescent="0.2">
      <c r="A281" s="16">
        <f t="shared" si="24"/>
        <v>1802660</v>
      </c>
      <c r="B281">
        <v>2022</v>
      </c>
      <c r="C281" t="s">
        <v>904</v>
      </c>
      <c r="D281" t="s">
        <v>906</v>
      </c>
      <c r="E281" t="s">
        <v>1187</v>
      </c>
      <c r="F281" t="s">
        <v>653</v>
      </c>
      <c r="G281" t="s">
        <v>47</v>
      </c>
      <c r="H281" s="6">
        <v>528136</v>
      </c>
      <c r="I281" s="6">
        <v>2.5076878826752907E-3</v>
      </c>
      <c r="J281" s="6">
        <v>5529.4517812990161</v>
      </c>
      <c r="K281" s="6">
        <v>3772458</v>
      </c>
      <c r="M281" s="6">
        <f t="shared" si="25"/>
        <v>533665.45178129897</v>
      </c>
      <c r="N281" s="6">
        <f t="shared" si="26"/>
        <v>3772458</v>
      </c>
      <c r="O281" s="6">
        <f t="shared" si="27"/>
        <v>4306123.451781299</v>
      </c>
      <c r="P281" s="8">
        <f>VLOOKUP(F281,'LEAID Match'!$A$2:$B$436,2,FALSE)</f>
        <v>1802660</v>
      </c>
      <c r="Q281" s="6">
        <f t="shared" si="28"/>
        <v>9</v>
      </c>
    </row>
    <row r="282" spans="1:17" x14ac:dyDescent="0.2">
      <c r="A282" s="16">
        <f t="shared" si="24"/>
        <v>1802660</v>
      </c>
      <c r="B282">
        <v>2023</v>
      </c>
      <c r="C282" t="s">
        <v>904</v>
      </c>
      <c r="D282" t="s">
        <v>906</v>
      </c>
      <c r="E282" t="s">
        <v>1188</v>
      </c>
      <c r="F282" t="s">
        <v>653</v>
      </c>
      <c r="G282" t="s">
        <v>47</v>
      </c>
      <c r="H282" s="6">
        <v>571793</v>
      </c>
      <c r="I282" s="6">
        <v>2.338319196893418E-3</v>
      </c>
      <c r="J282" s="6">
        <v>5768.6334587360625</v>
      </c>
      <c r="K282" s="6">
        <v>10013234</v>
      </c>
      <c r="M282" s="6">
        <f t="shared" si="25"/>
        <v>577561.63345873612</v>
      </c>
      <c r="N282" s="6">
        <f t="shared" si="26"/>
        <v>10013234</v>
      </c>
      <c r="O282" s="6">
        <f t="shared" si="27"/>
        <v>10590795.633458735</v>
      </c>
      <c r="P282" s="8">
        <f>VLOOKUP(F282,'LEAID Match'!$A$2:$B$436,2,FALSE)</f>
        <v>1802660</v>
      </c>
      <c r="Q282" s="6">
        <f t="shared" si="28"/>
        <v>9</v>
      </c>
    </row>
    <row r="283" spans="1:17" x14ac:dyDescent="0.2">
      <c r="A283" s="16">
        <f t="shared" si="24"/>
        <v>1810640</v>
      </c>
      <c r="B283">
        <v>2015</v>
      </c>
      <c r="C283" t="s">
        <v>904</v>
      </c>
      <c r="D283" t="s">
        <v>906</v>
      </c>
      <c r="E283" t="s">
        <v>1189</v>
      </c>
      <c r="F283" t="s">
        <v>654</v>
      </c>
      <c r="G283" t="s">
        <v>48</v>
      </c>
      <c r="H283" s="6">
        <v>226623</v>
      </c>
      <c r="I283" s="6">
        <v>1.1020012616779734E-3</v>
      </c>
      <c r="J283" s="6">
        <v>6403.7293316107034</v>
      </c>
      <c r="K283" s="6">
        <v>931869.89889508102</v>
      </c>
      <c r="M283" s="6">
        <f t="shared" si="25"/>
        <v>233026.7293316107</v>
      </c>
      <c r="N283" s="6">
        <f t="shared" si="26"/>
        <v>931869.89889508102</v>
      </c>
      <c r="O283" s="6">
        <f t="shared" si="27"/>
        <v>1164896.6282266916</v>
      </c>
      <c r="P283" s="8">
        <f>VLOOKUP(F283,'LEAID Match'!$A$2:$B$436,2,FALSE)</f>
        <v>1810640</v>
      </c>
      <c r="Q283" s="6">
        <f t="shared" si="28"/>
        <v>9</v>
      </c>
    </row>
    <row r="284" spans="1:17" x14ac:dyDescent="0.2">
      <c r="A284" s="16">
        <f t="shared" si="24"/>
        <v>1810640</v>
      </c>
      <c r="B284">
        <v>2016</v>
      </c>
      <c r="C284" t="s">
        <v>904</v>
      </c>
      <c r="D284" t="s">
        <v>906</v>
      </c>
      <c r="E284" t="s">
        <v>1190</v>
      </c>
      <c r="F284" t="s">
        <v>654</v>
      </c>
      <c r="G284" t="s">
        <v>48</v>
      </c>
      <c r="H284" s="6">
        <v>234850</v>
      </c>
      <c r="I284" s="6">
        <v>1.0897328433976136E-3</v>
      </c>
      <c r="J284" s="6">
        <v>5500.9713934711535</v>
      </c>
      <c r="K284" s="6">
        <v>967137.89851538197</v>
      </c>
      <c r="M284" s="6">
        <f t="shared" si="25"/>
        <v>240350.97139347115</v>
      </c>
      <c r="N284" s="6">
        <f t="shared" si="26"/>
        <v>967137.89851538197</v>
      </c>
      <c r="O284" s="6">
        <f t="shared" si="27"/>
        <v>1207488.8699088532</v>
      </c>
      <c r="P284" s="8">
        <f>VLOOKUP(F284,'LEAID Match'!$A$2:$B$436,2,FALSE)</f>
        <v>1810640</v>
      </c>
      <c r="Q284" s="6">
        <f t="shared" si="28"/>
        <v>9</v>
      </c>
    </row>
    <row r="285" spans="1:17" x14ac:dyDescent="0.2">
      <c r="A285" s="16">
        <f t="shared" si="24"/>
        <v>1810640</v>
      </c>
      <c r="B285">
        <v>2017</v>
      </c>
      <c r="C285" t="s">
        <v>904</v>
      </c>
      <c r="D285" t="s">
        <v>906</v>
      </c>
      <c r="E285" t="s">
        <v>1191</v>
      </c>
      <c r="F285" t="s">
        <v>654</v>
      </c>
      <c r="G285" t="s">
        <v>48</v>
      </c>
      <c r="H285" s="6">
        <v>245579</v>
      </c>
      <c r="I285" s="6">
        <v>1.0813893971949081E-3</v>
      </c>
      <c r="J285" s="6">
        <v>4893.2870223069594</v>
      </c>
      <c r="K285" s="6">
        <v>941890.16495676502</v>
      </c>
      <c r="M285" s="6">
        <f t="shared" si="25"/>
        <v>250472.28702230696</v>
      </c>
      <c r="N285" s="6">
        <f t="shared" si="26"/>
        <v>941890.16495676502</v>
      </c>
      <c r="O285" s="6">
        <f t="shared" si="27"/>
        <v>1192362.4519790721</v>
      </c>
      <c r="P285" s="8">
        <f>VLOOKUP(F285,'LEAID Match'!$A$2:$B$436,2,FALSE)</f>
        <v>1810640</v>
      </c>
      <c r="Q285" s="6">
        <f t="shared" si="28"/>
        <v>9</v>
      </c>
    </row>
    <row r="286" spans="1:17" x14ac:dyDescent="0.2">
      <c r="A286" s="16">
        <f t="shared" si="24"/>
        <v>1810640</v>
      </c>
      <c r="B286">
        <v>2018</v>
      </c>
      <c r="C286" t="s">
        <v>904</v>
      </c>
      <c r="D286" t="s">
        <v>906</v>
      </c>
      <c r="E286" t="s">
        <v>1192</v>
      </c>
      <c r="F286" t="s">
        <v>654</v>
      </c>
      <c r="G286" t="s">
        <v>48</v>
      </c>
      <c r="H286" s="6">
        <v>261945</v>
      </c>
      <c r="I286" s="6">
        <v>1.1112678242891799E-3</v>
      </c>
      <c r="J286" s="6">
        <v>4631.7642916373015</v>
      </c>
      <c r="K286" s="6">
        <v>1248895</v>
      </c>
      <c r="M286" s="6">
        <f t="shared" si="25"/>
        <v>266576.76429163729</v>
      </c>
      <c r="N286" s="6">
        <f t="shared" si="26"/>
        <v>1248895</v>
      </c>
      <c r="O286" s="6">
        <f t="shared" si="27"/>
        <v>1515471.7642916373</v>
      </c>
      <c r="P286" s="8">
        <f>VLOOKUP(F286,'LEAID Match'!$A$2:$B$436,2,FALSE)</f>
        <v>1810640</v>
      </c>
      <c r="Q286" s="6">
        <f t="shared" si="28"/>
        <v>9</v>
      </c>
    </row>
    <row r="287" spans="1:17" x14ac:dyDescent="0.2">
      <c r="A287" s="16">
        <f t="shared" si="24"/>
        <v>1810640</v>
      </c>
      <c r="B287">
        <v>2019</v>
      </c>
      <c r="C287" t="s">
        <v>904</v>
      </c>
      <c r="D287" t="s">
        <v>906</v>
      </c>
      <c r="E287" t="s">
        <v>1193</v>
      </c>
      <c r="F287" t="s">
        <v>654</v>
      </c>
      <c r="G287" t="s">
        <v>48</v>
      </c>
      <c r="H287" s="6">
        <v>286709</v>
      </c>
      <c r="I287" s="6">
        <v>7.2938614105377885E-4</v>
      </c>
      <c r="J287" s="6">
        <v>2556.498424393495</v>
      </c>
      <c r="K287" s="6">
        <v>688467.57854066102</v>
      </c>
      <c r="M287" s="6">
        <f t="shared" si="25"/>
        <v>289265.49842439347</v>
      </c>
      <c r="N287" s="6">
        <f t="shared" si="26"/>
        <v>688467.57854066102</v>
      </c>
      <c r="O287" s="6">
        <f t="shared" si="27"/>
        <v>977733.0769650545</v>
      </c>
      <c r="P287" s="8">
        <f>VLOOKUP(F287,'LEAID Match'!$A$2:$B$436,2,FALSE)</f>
        <v>1810640</v>
      </c>
      <c r="Q287" s="6">
        <f t="shared" si="28"/>
        <v>9</v>
      </c>
    </row>
    <row r="288" spans="1:17" x14ac:dyDescent="0.2">
      <c r="A288" s="16">
        <f t="shared" si="24"/>
        <v>1810640</v>
      </c>
      <c r="B288">
        <v>2020</v>
      </c>
      <c r="C288" t="s">
        <v>904</v>
      </c>
      <c r="D288" t="s">
        <v>906</v>
      </c>
      <c r="E288" t="s">
        <v>1194</v>
      </c>
      <c r="F288" t="s">
        <v>654</v>
      </c>
      <c r="G288" t="s">
        <v>48</v>
      </c>
      <c r="H288" s="6">
        <v>218049</v>
      </c>
      <c r="I288" s="6">
        <v>1.1553779164974745E-3</v>
      </c>
      <c r="J288" s="6">
        <v>2722.0703712680497</v>
      </c>
      <c r="K288" s="6">
        <v>1233435</v>
      </c>
      <c r="M288" s="6">
        <f t="shared" si="25"/>
        <v>220771.07037126806</v>
      </c>
      <c r="N288" s="6">
        <f t="shared" si="26"/>
        <v>1233435</v>
      </c>
      <c r="O288" s="6">
        <f t="shared" si="27"/>
        <v>1454206.0703712681</v>
      </c>
      <c r="P288" s="8">
        <f>VLOOKUP(F288,'LEAID Match'!$A$2:$B$436,2,FALSE)</f>
        <v>1810640</v>
      </c>
      <c r="Q288" s="6">
        <f t="shared" si="28"/>
        <v>9</v>
      </c>
    </row>
    <row r="289" spans="1:17" x14ac:dyDescent="0.2">
      <c r="A289" s="16">
        <f t="shared" si="24"/>
        <v>1810640</v>
      </c>
      <c r="B289">
        <v>2021</v>
      </c>
      <c r="C289" t="s">
        <v>904</v>
      </c>
      <c r="D289" t="s">
        <v>906</v>
      </c>
      <c r="E289" t="s">
        <v>1195</v>
      </c>
      <c r="F289" t="s">
        <v>654</v>
      </c>
      <c r="G289" t="s">
        <v>48</v>
      </c>
      <c r="H289" s="6">
        <v>233888</v>
      </c>
      <c r="I289" s="6">
        <v>1.1554284713338186E-3</v>
      </c>
      <c r="J289" s="6">
        <v>2604.3357743864271</v>
      </c>
      <c r="K289" s="6">
        <v>1994133</v>
      </c>
      <c r="M289" s="6">
        <f t="shared" si="25"/>
        <v>236492.33577438642</v>
      </c>
      <c r="N289" s="6">
        <f t="shared" si="26"/>
        <v>1994133</v>
      </c>
      <c r="O289" s="6">
        <f t="shared" si="27"/>
        <v>2230625.3357743863</v>
      </c>
      <c r="P289" s="8">
        <f>VLOOKUP(F289,'LEAID Match'!$A$2:$B$436,2,FALSE)</f>
        <v>1810640</v>
      </c>
      <c r="Q289" s="6">
        <f t="shared" si="28"/>
        <v>9</v>
      </c>
    </row>
    <row r="290" spans="1:17" x14ac:dyDescent="0.2">
      <c r="A290" s="16">
        <f t="shared" si="24"/>
        <v>1810640</v>
      </c>
      <c r="B290">
        <v>2022</v>
      </c>
      <c r="C290" t="s">
        <v>904</v>
      </c>
      <c r="D290" t="s">
        <v>906</v>
      </c>
      <c r="E290" t="s">
        <v>1196</v>
      </c>
      <c r="F290" t="s">
        <v>654</v>
      </c>
      <c r="G290" t="s">
        <v>48</v>
      </c>
      <c r="H290" s="6">
        <v>224341</v>
      </c>
      <c r="I290" s="6">
        <v>1.0652127620295858E-3</v>
      </c>
      <c r="J290" s="6">
        <v>2348.7941402752367</v>
      </c>
      <c r="K290" s="6">
        <v>1989952</v>
      </c>
      <c r="M290" s="6">
        <f t="shared" si="25"/>
        <v>226689.79414027525</v>
      </c>
      <c r="N290" s="6">
        <f t="shared" si="26"/>
        <v>1989952</v>
      </c>
      <c r="O290" s="6">
        <f t="shared" si="27"/>
        <v>2216641.7941402751</v>
      </c>
      <c r="P290" s="8">
        <f>VLOOKUP(F290,'LEAID Match'!$A$2:$B$436,2,FALSE)</f>
        <v>1810640</v>
      </c>
      <c r="Q290" s="6">
        <f t="shared" si="28"/>
        <v>9</v>
      </c>
    </row>
    <row r="291" spans="1:17" x14ac:dyDescent="0.2">
      <c r="A291" s="16">
        <f t="shared" si="24"/>
        <v>1810640</v>
      </c>
      <c r="B291">
        <v>2023</v>
      </c>
      <c r="C291" t="s">
        <v>904</v>
      </c>
      <c r="D291" t="s">
        <v>906</v>
      </c>
      <c r="E291" t="s">
        <v>1197</v>
      </c>
      <c r="F291" t="s">
        <v>654</v>
      </c>
      <c r="G291" t="s">
        <v>48</v>
      </c>
      <c r="H291" s="6">
        <v>259806</v>
      </c>
      <c r="I291" s="6">
        <v>1.0624637889377648E-3</v>
      </c>
      <c r="J291" s="6">
        <v>2621.0981673094657</v>
      </c>
      <c r="K291" s="6">
        <v>5370404</v>
      </c>
      <c r="M291" s="6">
        <f t="shared" si="25"/>
        <v>262427.09816730948</v>
      </c>
      <c r="N291" s="6">
        <f t="shared" si="26"/>
        <v>5370404</v>
      </c>
      <c r="O291" s="6">
        <f t="shared" si="27"/>
        <v>5632831.0981673095</v>
      </c>
      <c r="P291" s="8">
        <f>VLOOKUP(F291,'LEAID Match'!$A$2:$B$436,2,FALSE)</f>
        <v>1810640</v>
      </c>
      <c r="Q291" s="6">
        <f t="shared" si="28"/>
        <v>9</v>
      </c>
    </row>
    <row r="292" spans="1:17" x14ac:dyDescent="0.2">
      <c r="A292" s="16">
        <f t="shared" si="24"/>
        <v>1810870</v>
      </c>
      <c r="B292">
        <v>2015</v>
      </c>
      <c r="C292" t="s">
        <v>904</v>
      </c>
      <c r="D292" t="s">
        <v>906</v>
      </c>
      <c r="E292" t="s">
        <v>1198</v>
      </c>
      <c r="F292" t="s">
        <v>655</v>
      </c>
      <c r="G292" t="s">
        <v>49</v>
      </c>
      <c r="H292" s="6">
        <v>297395</v>
      </c>
      <c r="I292" s="6">
        <v>1.4461447656094963E-3</v>
      </c>
      <c r="J292" s="6">
        <v>8403.547232956782</v>
      </c>
      <c r="K292" s="6">
        <v>1222883.15211564</v>
      </c>
      <c r="M292" s="6">
        <f t="shared" si="25"/>
        <v>305798.5472329568</v>
      </c>
      <c r="N292" s="6">
        <f t="shared" si="26"/>
        <v>1222883.15211564</v>
      </c>
      <c r="O292" s="6">
        <f t="shared" si="27"/>
        <v>1528681.6993485969</v>
      </c>
      <c r="P292" s="8">
        <f>VLOOKUP(F292,'LEAID Match'!$A$2:$B$436,2,FALSE)</f>
        <v>1810870</v>
      </c>
      <c r="Q292" s="6">
        <f t="shared" si="28"/>
        <v>9</v>
      </c>
    </row>
    <row r="293" spans="1:17" x14ac:dyDescent="0.2">
      <c r="A293" s="16">
        <f t="shared" si="24"/>
        <v>1810870</v>
      </c>
      <c r="B293">
        <v>2016</v>
      </c>
      <c r="C293" t="s">
        <v>904</v>
      </c>
      <c r="D293" t="s">
        <v>906</v>
      </c>
      <c r="E293" t="s">
        <v>1199</v>
      </c>
      <c r="F293" t="s">
        <v>655</v>
      </c>
      <c r="G293" t="s">
        <v>49</v>
      </c>
      <c r="H293" s="6">
        <v>305745</v>
      </c>
      <c r="I293" s="6">
        <v>1.4186943504560501E-3</v>
      </c>
      <c r="J293" s="6">
        <v>7161.5690811021414</v>
      </c>
      <c r="K293" s="6">
        <v>1259091.23602974</v>
      </c>
      <c r="M293" s="6">
        <f t="shared" si="25"/>
        <v>312906.56908110215</v>
      </c>
      <c r="N293" s="6">
        <f t="shared" si="26"/>
        <v>1259091.23602974</v>
      </c>
      <c r="O293" s="6">
        <f t="shared" si="27"/>
        <v>1571997.805110842</v>
      </c>
      <c r="P293" s="8">
        <f>VLOOKUP(F293,'LEAID Match'!$A$2:$B$436,2,FALSE)</f>
        <v>1810870</v>
      </c>
      <c r="Q293" s="6">
        <f t="shared" si="28"/>
        <v>9</v>
      </c>
    </row>
    <row r="294" spans="1:17" x14ac:dyDescent="0.2">
      <c r="A294" s="16">
        <f t="shared" si="24"/>
        <v>1810870</v>
      </c>
      <c r="B294">
        <v>2017</v>
      </c>
      <c r="C294" t="s">
        <v>904</v>
      </c>
      <c r="D294" t="s">
        <v>906</v>
      </c>
      <c r="E294" t="s">
        <v>1200</v>
      </c>
      <c r="F294" t="s">
        <v>655</v>
      </c>
      <c r="G294" t="s">
        <v>49</v>
      </c>
      <c r="H294" s="6">
        <v>337671</v>
      </c>
      <c r="I294" s="6">
        <v>1.4869098707145231E-3</v>
      </c>
      <c r="J294" s="6">
        <v>6728.2671649832173</v>
      </c>
      <c r="K294" s="6">
        <v>1295098.4973923501</v>
      </c>
      <c r="M294" s="6">
        <f t="shared" si="25"/>
        <v>344399.2671649832</v>
      </c>
      <c r="N294" s="6">
        <f t="shared" si="26"/>
        <v>1295098.4973923501</v>
      </c>
      <c r="O294" s="6">
        <f t="shared" si="27"/>
        <v>1639497.7645573332</v>
      </c>
      <c r="P294" s="8">
        <f>VLOOKUP(F294,'LEAID Match'!$A$2:$B$436,2,FALSE)</f>
        <v>1810870</v>
      </c>
      <c r="Q294" s="6">
        <f t="shared" si="28"/>
        <v>9</v>
      </c>
    </row>
    <row r="295" spans="1:17" x14ac:dyDescent="0.2">
      <c r="A295" s="16">
        <f t="shared" si="24"/>
        <v>1810870</v>
      </c>
      <c r="B295">
        <v>2018</v>
      </c>
      <c r="C295" t="s">
        <v>904</v>
      </c>
      <c r="D295" t="s">
        <v>906</v>
      </c>
      <c r="E295" t="s">
        <v>1201</v>
      </c>
      <c r="F295" t="s">
        <v>655</v>
      </c>
      <c r="G295" t="s">
        <v>49</v>
      </c>
      <c r="H295" s="6">
        <v>348541</v>
      </c>
      <c r="I295" s="6">
        <v>1.4786401677664208E-3</v>
      </c>
      <c r="J295" s="6">
        <v>6162.9722192504423</v>
      </c>
      <c r="K295" s="6">
        <v>1626702</v>
      </c>
      <c r="M295" s="6">
        <f t="shared" si="25"/>
        <v>354703.97221925046</v>
      </c>
      <c r="N295" s="6">
        <f t="shared" si="26"/>
        <v>1626702</v>
      </c>
      <c r="O295" s="6">
        <f t="shared" si="27"/>
        <v>1981405.9722192504</v>
      </c>
      <c r="P295" s="8">
        <f>VLOOKUP(F295,'LEAID Match'!$A$2:$B$436,2,FALSE)</f>
        <v>1810870</v>
      </c>
      <c r="Q295" s="6">
        <f t="shared" si="28"/>
        <v>9</v>
      </c>
    </row>
    <row r="296" spans="1:17" x14ac:dyDescent="0.2">
      <c r="A296" s="16">
        <f t="shared" si="24"/>
        <v>1810870</v>
      </c>
      <c r="B296">
        <v>2019</v>
      </c>
      <c r="C296" t="s">
        <v>904</v>
      </c>
      <c r="D296" t="s">
        <v>906</v>
      </c>
      <c r="E296" t="s">
        <v>1202</v>
      </c>
      <c r="F296" t="s">
        <v>655</v>
      </c>
      <c r="G296" t="s">
        <v>49</v>
      </c>
      <c r="H296" s="6">
        <v>376017</v>
      </c>
      <c r="I296" s="6">
        <v>9.5658520869808337E-4</v>
      </c>
      <c r="J296" s="6">
        <v>3352.8311564867822</v>
      </c>
      <c r="K296" s="6">
        <v>902920.77849011996</v>
      </c>
      <c r="M296" s="6">
        <f t="shared" si="25"/>
        <v>379369.83115648676</v>
      </c>
      <c r="N296" s="6">
        <f t="shared" si="26"/>
        <v>902920.77849011996</v>
      </c>
      <c r="O296" s="6">
        <f t="shared" si="27"/>
        <v>1282290.6096466067</v>
      </c>
      <c r="P296" s="8">
        <f>VLOOKUP(F296,'LEAID Match'!$A$2:$B$436,2,FALSE)</f>
        <v>1810870</v>
      </c>
      <c r="Q296" s="6">
        <f t="shared" si="28"/>
        <v>9</v>
      </c>
    </row>
    <row r="297" spans="1:17" x14ac:dyDescent="0.2">
      <c r="A297" s="16">
        <f t="shared" si="24"/>
        <v>1810870</v>
      </c>
      <c r="B297">
        <v>2020</v>
      </c>
      <c r="C297" t="s">
        <v>904</v>
      </c>
      <c r="D297" t="s">
        <v>906</v>
      </c>
      <c r="E297" t="s">
        <v>1203</v>
      </c>
      <c r="F297" t="s">
        <v>655</v>
      </c>
      <c r="G297" t="s">
        <v>49</v>
      </c>
      <c r="H297" s="6">
        <v>298168</v>
      </c>
      <c r="I297" s="6">
        <v>1.5799050791621102E-3</v>
      </c>
      <c r="J297" s="6">
        <v>3722.2563665059315</v>
      </c>
      <c r="K297" s="6">
        <v>1719583</v>
      </c>
      <c r="M297" s="6">
        <f t="shared" si="25"/>
        <v>301890.25636650593</v>
      </c>
      <c r="N297" s="6">
        <f t="shared" si="26"/>
        <v>1719583</v>
      </c>
      <c r="O297" s="6">
        <f t="shared" si="27"/>
        <v>2021473.256366506</v>
      </c>
      <c r="P297" s="8">
        <f>VLOOKUP(F297,'LEAID Match'!$A$2:$B$436,2,FALSE)</f>
        <v>1810870</v>
      </c>
      <c r="Q297" s="6">
        <f t="shared" si="28"/>
        <v>9</v>
      </c>
    </row>
    <row r="298" spans="1:17" x14ac:dyDescent="0.2">
      <c r="A298" s="16">
        <f t="shared" si="24"/>
        <v>1810870</v>
      </c>
      <c r="B298">
        <v>2021</v>
      </c>
      <c r="C298" t="s">
        <v>904</v>
      </c>
      <c r="D298" t="s">
        <v>906</v>
      </c>
      <c r="E298" t="s">
        <v>1204</v>
      </c>
      <c r="F298" t="s">
        <v>655</v>
      </c>
      <c r="G298" t="s">
        <v>49</v>
      </c>
      <c r="H298" s="6">
        <v>313798</v>
      </c>
      <c r="I298" s="6">
        <v>1.5501913028783418E-3</v>
      </c>
      <c r="J298" s="6">
        <v>3494.1311966877824</v>
      </c>
      <c r="K298" s="6">
        <v>2865087</v>
      </c>
      <c r="M298" s="6">
        <f t="shared" si="25"/>
        <v>317292.13119668775</v>
      </c>
      <c r="N298" s="6">
        <f t="shared" si="26"/>
        <v>2865087</v>
      </c>
      <c r="O298" s="6">
        <f t="shared" si="27"/>
        <v>3182379.1311966879</v>
      </c>
      <c r="P298" s="8">
        <f>VLOOKUP(F298,'LEAID Match'!$A$2:$B$436,2,FALSE)</f>
        <v>1810870</v>
      </c>
      <c r="Q298" s="6">
        <f t="shared" si="28"/>
        <v>9</v>
      </c>
    </row>
    <row r="299" spans="1:17" x14ac:dyDescent="0.2">
      <c r="A299" s="16">
        <f t="shared" si="24"/>
        <v>1810870</v>
      </c>
      <c r="B299">
        <v>2022</v>
      </c>
      <c r="C299" t="s">
        <v>904</v>
      </c>
      <c r="D299" t="s">
        <v>906</v>
      </c>
      <c r="E299" t="s">
        <v>1205</v>
      </c>
      <c r="F299" t="s">
        <v>655</v>
      </c>
      <c r="G299" t="s">
        <v>49</v>
      </c>
      <c r="H299" s="6">
        <v>348220</v>
      </c>
      <c r="I299" s="6">
        <v>1.6534132770823985E-3</v>
      </c>
      <c r="J299" s="6">
        <v>3645.7762759666889</v>
      </c>
      <c r="K299" s="6">
        <v>2898647</v>
      </c>
      <c r="M299" s="6">
        <f t="shared" si="25"/>
        <v>351865.77627596667</v>
      </c>
      <c r="N299" s="6">
        <f t="shared" si="26"/>
        <v>2898647</v>
      </c>
      <c r="O299" s="6">
        <f t="shared" si="27"/>
        <v>3250512.7762759668</v>
      </c>
      <c r="P299" s="8">
        <f>VLOOKUP(F299,'LEAID Match'!$A$2:$B$436,2,FALSE)</f>
        <v>1810870</v>
      </c>
      <c r="Q299" s="6">
        <f t="shared" si="28"/>
        <v>9</v>
      </c>
    </row>
    <row r="300" spans="1:17" x14ac:dyDescent="0.2">
      <c r="A300" s="16">
        <f t="shared" si="24"/>
        <v>1810870</v>
      </c>
      <c r="B300">
        <v>2023</v>
      </c>
      <c r="C300" t="s">
        <v>904</v>
      </c>
      <c r="D300" t="s">
        <v>906</v>
      </c>
      <c r="E300" t="s">
        <v>1206</v>
      </c>
      <c r="F300" t="s">
        <v>655</v>
      </c>
      <c r="G300" t="s">
        <v>49</v>
      </c>
      <c r="H300" s="6">
        <v>388138</v>
      </c>
      <c r="I300" s="6">
        <v>1.5872711565965609E-3</v>
      </c>
      <c r="J300" s="6">
        <v>3915.797943323716</v>
      </c>
      <c r="K300" s="6">
        <v>7987634</v>
      </c>
      <c r="M300" s="6">
        <f t="shared" si="25"/>
        <v>392053.79794332373</v>
      </c>
      <c r="N300" s="6">
        <f t="shared" si="26"/>
        <v>7987634</v>
      </c>
      <c r="O300" s="6">
        <f t="shared" si="27"/>
        <v>8379687.7979433239</v>
      </c>
      <c r="P300" s="8">
        <f>VLOOKUP(F300,'LEAID Match'!$A$2:$B$436,2,FALSE)</f>
        <v>1810870</v>
      </c>
      <c r="Q300" s="6">
        <f t="shared" si="28"/>
        <v>9</v>
      </c>
    </row>
    <row r="301" spans="1:17" x14ac:dyDescent="0.2">
      <c r="A301" s="16">
        <f t="shared" si="24"/>
        <v>1808120</v>
      </c>
      <c r="B301">
        <v>2015</v>
      </c>
      <c r="C301" t="s">
        <v>904</v>
      </c>
      <c r="D301" t="s">
        <v>906</v>
      </c>
      <c r="E301" t="s">
        <v>1207</v>
      </c>
      <c r="F301" t="s">
        <v>656</v>
      </c>
      <c r="G301" t="s">
        <v>50</v>
      </c>
      <c r="H301" s="6">
        <v>163151</v>
      </c>
      <c r="I301" s="6">
        <v>7.9335551927219668E-4</v>
      </c>
      <c r="J301" s="6">
        <v>4610.1889224907345</v>
      </c>
      <c r="K301" s="6">
        <v>670874.12078487698</v>
      </c>
      <c r="M301" s="6">
        <f t="shared" si="25"/>
        <v>167761.18892249072</v>
      </c>
      <c r="N301" s="6">
        <f t="shared" si="26"/>
        <v>670874.12078487698</v>
      </c>
      <c r="O301" s="6">
        <f t="shared" si="27"/>
        <v>838635.30970736768</v>
      </c>
      <c r="P301" s="8">
        <f>VLOOKUP(F301,'LEAID Match'!$A$2:$B$436,2,FALSE)</f>
        <v>1808120</v>
      </c>
      <c r="Q301" s="6">
        <f t="shared" si="28"/>
        <v>9</v>
      </c>
    </row>
    <row r="302" spans="1:17" x14ac:dyDescent="0.2">
      <c r="A302" s="16">
        <f t="shared" si="24"/>
        <v>1808120</v>
      </c>
      <c r="B302">
        <v>2016</v>
      </c>
      <c r="C302" t="s">
        <v>904</v>
      </c>
      <c r="D302" t="s">
        <v>906</v>
      </c>
      <c r="E302" t="s">
        <v>1208</v>
      </c>
      <c r="F302" t="s">
        <v>656</v>
      </c>
      <c r="G302" t="s">
        <v>50</v>
      </c>
      <c r="H302" s="6">
        <v>175325</v>
      </c>
      <c r="I302" s="6">
        <v>8.1352953276000257E-4</v>
      </c>
      <c r="J302" s="6">
        <v>4106.6970813724929</v>
      </c>
      <c r="K302" s="6">
        <v>722007.46032450197</v>
      </c>
      <c r="M302" s="6">
        <f t="shared" si="25"/>
        <v>179431.69708137249</v>
      </c>
      <c r="N302" s="6">
        <f t="shared" si="26"/>
        <v>722007.46032450197</v>
      </c>
      <c r="O302" s="6">
        <f t="shared" si="27"/>
        <v>901439.15740587446</v>
      </c>
      <c r="P302" s="8">
        <f>VLOOKUP(F302,'LEAID Match'!$A$2:$B$436,2,FALSE)</f>
        <v>1808120</v>
      </c>
      <c r="Q302" s="6">
        <f t="shared" si="28"/>
        <v>9</v>
      </c>
    </row>
    <row r="303" spans="1:17" x14ac:dyDescent="0.2">
      <c r="A303" s="16">
        <f t="shared" si="24"/>
        <v>1808120</v>
      </c>
      <c r="B303">
        <v>2017</v>
      </c>
      <c r="C303" t="s">
        <v>904</v>
      </c>
      <c r="D303" t="s">
        <v>906</v>
      </c>
      <c r="E303" t="s">
        <v>1209</v>
      </c>
      <c r="F303" t="s">
        <v>656</v>
      </c>
      <c r="G303" t="s">
        <v>50</v>
      </c>
      <c r="H303" s="6">
        <v>179216</v>
      </c>
      <c r="I303" s="6">
        <v>7.8916471769851116E-4</v>
      </c>
      <c r="J303" s="6">
        <v>3570.9703475857632</v>
      </c>
      <c r="K303" s="6">
        <v>687362.46911540302</v>
      </c>
      <c r="M303" s="6">
        <f t="shared" si="25"/>
        <v>182786.97034758577</v>
      </c>
      <c r="N303" s="6">
        <f t="shared" si="26"/>
        <v>687362.46911540302</v>
      </c>
      <c r="O303" s="6">
        <f t="shared" si="27"/>
        <v>870149.43946298875</v>
      </c>
      <c r="P303" s="8">
        <f>VLOOKUP(F303,'LEAID Match'!$A$2:$B$436,2,FALSE)</f>
        <v>1808120</v>
      </c>
      <c r="Q303" s="6">
        <f t="shared" si="28"/>
        <v>9</v>
      </c>
    </row>
    <row r="304" spans="1:17" x14ac:dyDescent="0.2">
      <c r="A304" s="16">
        <f t="shared" si="24"/>
        <v>1808120</v>
      </c>
      <c r="B304">
        <v>2018</v>
      </c>
      <c r="C304" t="s">
        <v>904</v>
      </c>
      <c r="D304" t="s">
        <v>906</v>
      </c>
      <c r="E304" t="s">
        <v>1210</v>
      </c>
      <c r="F304" t="s">
        <v>656</v>
      </c>
      <c r="G304" t="s">
        <v>50</v>
      </c>
      <c r="H304" s="6">
        <v>177218</v>
      </c>
      <c r="I304" s="6">
        <v>7.5182447187340808E-4</v>
      </c>
      <c r="J304" s="6">
        <v>3133.6043987683647</v>
      </c>
      <c r="K304" s="6">
        <v>1112954</v>
      </c>
      <c r="M304" s="6">
        <f t="shared" si="25"/>
        <v>180351.60439876837</v>
      </c>
      <c r="N304" s="6">
        <f t="shared" si="26"/>
        <v>1112954</v>
      </c>
      <c r="O304" s="6">
        <f t="shared" si="27"/>
        <v>1293305.6043987684</v>
      </c>
      <c r="P304" s="8">
        <f>VLOOKUP(F304,'LEAID Match'!$A$2:$B$436,2,FALSE)</f>
        <v>1808120</v>
      </c>
      <c r="Q304" s="6">
        <f t="shared" si="28"/>
        <v>9</v>
      </c>
    </row>
    <row r="305" spans="1:17" x14ac:dyDescent="0.2">
      <c r="A305" s="16">
        <f t="shared" si="24"/>
        <v>1808120</v>
      </c>
      <c r="B305">
        <v>2019</v>
      </c>
      <c r="C305" t="s">
        <v>904</v>
      </c>
      <c r="D305" t="s">
        <v>906</v>
      </c>
      <c r="E305" t="s">
        <v>1211</v>
      </c>
      <c r="F305" t="s">
        <v>656</v>
      </c>
      <c r="G305" t="s">
        <v>50</v>
      </c>
      <c r="H305" s="6">
        <v>187382</v>
      </c>
      <c r="I305" s="6">
        <v>4.7669879174682062E-4</v>
      </c>
      <c r="J305" s="6">
        <v>1670.8292650726062</v>
      </c>
      <c r="K305" s="6">
        <v>449955.989529824</v>
      </c>
      <c r="M305" s="6">
        <f t="shared" si="25"/>
        <v>189052.82926507259</v>
      </c>
      <c r="N305" s="6">
        <f t="shared" si="26"/>
        <v>449955.989529824</v>
      </c>
      <c r="O305" s="6">
        <f t="shared" si="27"/>
        <v>639008.81879489659</v>
      </c>
      <c r="P305" s="8">
        <f>VLOOKUP(F305,'LEAID Match'!$A$2:$B$436,2,FALSE)</f>
        <v>1808120</v>
      </c>
      <c r="Q305" s="6">
        <f t="shared" si="28"/>
        <v>9</v>
      </c>
    </row>
    <row r="306" spans="1:17" x14ac:dyDescent="0.2">
      <c r="A306" s="16">
        <f t="shared" si="24"/>
        <v>1808120</v>
      </c>
      <c r="B306">
        <v>2020</v>
      </c>
      <c r="C306" t="s">
        <v>904</v>
      </c>
      <c r="D306" t="s">
        <v>906</v>
      </c>
      <c r="E306" t="s">
        <v>1212</v>
      </c>
      <c r="F306" t="s">
        <v>656</v>
      </c>
      <c r="G306" t="s">
        <v>50</v>
      </c>
      <c r="H306" s="6">
        <v>138649</v>
      </c>
      <c r="I306" s="6">
        <v>7.3466052467316217E-4</v>
      </c>
      <c r="J306" s="6">
        <v>1730.8601961299701</v>
      </c>
      <c r="K306" s="6">
        <v>1156715</v>
      </c>
      <c r="M306" s="6">
        <f t="shared" si="25"/>
        <v>140379.86019612997</v>
      </c>
      <c r="N306" s="6">
        <f t="shared" si="26"/>
        <v>1156715</v>
      </c>
      <c r="O306" s="6">
        <f t="shared" si="27"/>
        <v>1297094.8601961299</v>
      </c>
      <c r="P306" s="8">
        <f>VLOOKUP(F306,'LEAID Match'!$A$2:$B$436,2,FALSE)</f>
        <v>1808120</v>
      </c>
      <c r="Q306" s="6">
        <f t="shared" si="28"/>
        <v>9</v>
      </c>
    </row>
    <row r="307" spans="1:17" x14ac:dyDescent="0.2">
      <c r="A307" s="16">
        <f t="shared" si="24"/>
        <v>1808120</v>
      </c>
      <c r="B307">
        <v>2021</v>
      </c>
      <c r="C307" t="s">
        <v>904</v>
      </c>
      <c r="D307" t="s">
        <v>906</v>
      </c>
      <c r="E307" t="s">
        <v>1213</v>
      </c>
      <c r="F307" t="s">
        <v>656</v>
      </c>
      <c r="G307" t="s">
        <v>50</v>
      </c>
      <c r="H307" s="6">
        <v>146751</v>
      </c>
      <c r="I307" s="6">
        <v>7.2496358768602584E-4</v>
      </c>
      <c r="J307" s="6">
        <v>1634.0679266443021</v>
      </c>
      <c r="K307" s="6">
        <v>1938669</v>
      </c>
      <c r="M307" s="6">
        <f t="shared" si="25"/>
        <v>148385.06792664429</v>
      </c>
      <c r="N307" s="6">
        <f t="shared" si="26"/>
        <v>1938669</v>
      </c>
      <c r="O307" s="6">
        <f t="shared" si="27"/>
        <v>2087054.0679266443</v>
      </c>
      <c r="P307" s="8">
        <f>VLOOKUP(F307,'LEAID Match'!$A$2:$B$436,2,FALSE)</f>
        <v>1808120</v>
      </c>
      <c r="Q307" s="6">
        <f t="shared" si="28"/>
        <v>9</v>
      </c>
    </row>
    <row r="308" spans="1:17" x14ac:dyDescent="0.2">
      <c r="A308" s="16">
        <f t="shared" si="24"/>
        <v>1808120</v>
      </c>
      <c r="B308">
        <v>2022</v>
      </c>
      <c r="C308" t="s">
        <v>904</v>
      </c>
      <c r="D308" t="s">
        <v>906</v>
      </c>
      <c r="E308" t="s">
        <v>1214</v>
      </c>
      <c r="F308" t="s">
        <v>656</v>
      </c>
      <c r="G308" t="s">
        <v>50</v>
      </c>
      <c r="H308" s="6">
        <v>161255</v>
      </c>
      <c r="I308" s="6">
        <v>7.6566870942485258E-4</v>
      </c>
      <c r="J308" s="6">
        <v>1688.2995042818</v>
      </c>
      <c r="K308" s="6">
        <v>1911966</v>
      </c>
      <c r="M308" s="6">
        <f t="shared" si="25"/>
        <v>162943.29950428181</v>
      </c>
      <c r="N308" s="6">
        <f t="shared" si="26"/>
        <v>1911966</v>
      </c>
      <c r="O308" s="6">
        <f t="shared" si="27"/>
        <v>2074909.2995042817</v>
      </c>
      <c r="P308" s="8">
        <f>VLOOKUP(F308,'LEAID Match'!$A$2:$B$436,2,FALSE)</f>
        <v>1808120</v>
      </c>
      <c r="Q308" s="6">
        <f t="shared" si="28"/>
        <v>9</v>
      </c>
    </row>
    <row r="309" spans="1:17" x14ac:dyDescent="0.2">
      <c r="A309" s="16">
        <f t="shared" si="24"/>
        <v>1808120</v>
      </c>
      <c r="B309">
        <v>2023</v>
      </c>
      <c r="C309" t="s">
        <v>904</v>
      </c>
      <c r="D309" t="s">
        <v>906</v>
      </c>
      <c r="E309" t="s">
        <v>1215</v>
      </c>
      <c r="F309" t="s">
        <v>656</v>
      </c>
      <c r="G309" t="s">
        <v>50</v>
      </c>
      <c r="H309" s="6">
        <v>200700</v>
      </c>
      <c r="I309" s="6">
        <v>8.2075272487859932E-4</v>
      </c>
      <c r="J309" s="6">
        <v>2024.7969722755045</v>
      </c>
      <c r="K309" s="6">
        <v>5478396</v>
      </c>
      <c r="M309" s="6">
        <f t="shared" si="25"/>
        <v>202724.79697227551</v>
      </c>
      <c r="N309" s="6">
        <f t="shared" si="26"/>
        <v>5478396</v>
      </c>
      <c r="O309" s="6">
        <f t="shared" si="27"/>
        <v>5681120.7969722757</v>
      </c>
      <c r="P309" s="8">
        <f>VLOOKUP(F309,'LEAID Match'!$A$2:$B$436,2,FALSE)</f>
        <v>1808120</v>
      </c>
      <c r="Q309" s="6">
        <f t="shared" si="28"/>
        <v>9</v>
      </c>
    </row>
    <row r="310" spans="1:17" x14ac:dyDescent="0.2">
      <c r="A310" s="16">
        <f t="shared" si="24"/>
        <v>1803960</v>
      </c>
      <c r="B310">
        <v>2015</v>
      </c>
      <c r="C310" t="s">
        <v>904</v>
      </c>
      <c r="D310" t="s">
        <v>906</v>
      </c>
      <c r="E310" t="s">
        <v>1216</v>
      </c>
      <c r="F310" t="s">
        <v>470</v>
      </c>
      <c r="G310" t="s">
        <v>51</v>
      </c>
      <c r="H310" s="6">
        <v>592398</v>
      </c>
      <c r="I310" s="6">
        <v>2.880657935935488E-3</v>
      </c>
      <c r="J310" s="6">
        <v>16739.50326572112</v>
      </c>
      <c r="K310" s="6">
        <v>2435930.4411540199</v>
      </c>
      <c r="M310" s="6">
        <f t="shared" si="25"/>
        <v>609137.50326572114</v>
      </c>
      <c r="N310" s="6">
        <f t="shared" si="26"/>
        <v>2435930.4411540199</v>
      </c>
      <c r="O310" s="6">
        <f t="shared" si="27"/>
        <v>3045067.9444197412</v>
      </c>
      <c r="P310" s="8">
        <f>VLOOKUP(F310,'LEAID Match'!$A$2:$B$436,2,FALSE)</f>
        <v>1803960</v>
      </c>
      <c r="Q310" s="6">
        <f t="shared" si="28"/>
        <v>9</v>
      </c>
    </row>
    <row r="311" spans="1:17" x14ac:dyDescent="0.2">
      <c r="A311" s="16">
        <f t="shared" si="24"/>
        <v>1803960</v>
      </c>
      <c r="B311">
        <v>2016</v>
      </c>
      <c r="C311" t="s">
        <v>904</v>
      </c>
      <c r="D311" t="s">
        <v>906</v>
      </c>
      <c r="E311" t="s">
        <v>1217</v>
      </c>
      <c r="F311" t="s">
        <v>470</v>
      </c>
      <c r="G311" t="s">
        <v>51</v>
      </c>
      <c r="H311" s="6">
        <v>616195</v>
      </c>
      <c r="I311" s="6">
        <v>2.8592204787625825E-3</v>
      </c>
      <c r="J311" s="6">
        <v>14433.344976793516</v>
      </c>
      <c r="K311" s="6">
        <v>2537558.17490179</v>
      </c>
      <c r="M311" s="6">
        <f t="shared" si="25"/>
        <v>630628.34497679351</v>
      </c>
      <c r="N311" s="6">
        <f t="shared" si="26"/>
        <v>2537558.17490179</v>
      </c>
      <c r="O311" s="6">
        <f t="shared" si="27"/>
        <v>3168186.5198785835</v>
      </c>
      <c r="P311" s="8">
        <f>VLOOKUP(F311,'LEAID Match'!$A$2:$B$436,2,FALSE)</f>
        <v>1803960</v>
      </c>
      <c r="Q311" s="6">
        <f t="shared" si="28"/>
        <v>9</v>
      </c>
    </row>
    <row r="312" spans="1:17" x14ac:dyDescent="0.2">
      <c r="A312" s="16">
        <f t="shared" si="24"/>
        <v>1803960</v>
      </c>
      <c r="B312">
        <v>2017</v>
      </c>
      <c r="C312" t="s">
        <v>904</v>
      </c>
      <c r="D312" t="s">
        <v>906</v>
      </c>
      <c r="E312" t="s">
        <v>1218</v>
      </c>
      <c r="F312" t="s">
        <v>470</v>
      </c>
      <c r="G312" t="s">
        <v>51</v>
      </c>
      <c r="H312" s="6">
        <v>665156</v>
      </c>
      <c r="I312" s="6">
        <v>2.9289664257960831E-3</v>
      </c>
      <c r="J312" s="6">
        <v>13253.573076727276</v>
      </c>
      <c r="K312" s="6">
        <v>2551129.7568683801</v>
      </c>
      <c r="M312" s="6">
        <f t="shared" si="25"/>
        <v>678409.57307672733</v>
      </c>
      <c r="N312" s="6">
        <f t="shared" si="26"/>
        <v>2551129.7568683801</v>
      </c>
      <c r="O312" s="6">
        <f t="shared" si="27"/>
        <v>3229539.3299451075</v>
      </c>
      <c r="P312" s="8">
        <f>VLOOKUP(F312,'LEAID Match'!$A$2:$B$436,2,FALSE)</f>
        <v>1803960</v>
      </c>
      <c r="Q312" s="6">
        <f t="shared" si="28"/>
        <v>9</v>
      </c>
    </row>
    <row r="313" spans="1:17" x14ac:dyDescent="0.2">
      <c r="A313" s="16">
        <f t="shared" si="24"/>
        <v>1803960</v>
      </c>
      <c r="B313">
        <v>2018</v>
      </c>
      <c r="C313" t="s">
        <v>904</v>
      </c>
      <c r="D313" t="s">
        <v>906</v>
      </c>
      <c r="E313" t="s">
        <v>1219</v>
      </c>
      <c r="F313" t="s">
        <v>470</v>
      </c>
      <c r="G313" t="s">
        <v>51</v>
      </c>
      <c r="H313" s="6">
        <v>668230</v>
      </c>
      <c r="I313" s="6">
        <v>2.8348794526513533E-3</v>
      </c>
      <c r="J313" s="6">
        <v>11815.77755865084</v>
      </c>
      <c r="K313" s="6">
        <v>3369978</v>
      </c>
      <c r="M313" s="6">
        <f t="shared" si="25"/>
        <v>680045.77755865082</v>
      </c>
      <c r="N313" s="6">
        <f t="shared" si="26"/>
        <v>3369978</v>
      </c>
      <c r="O313" s="6">
        <f t="shared" si="27"/>
        <v>4050023.7775586508</v>
      </c>
      <c r="P313" s="8">
        <f>VLOOKUP(F313,'LEAID Match'!$A$2:$B$436,2,FALSE)</f>
        <v>1803960</v>
      </c>
      <c r="Q313" s="6">
        <f t="shared" si="28"/>
        <v>9</v>
      </c>
    </row>
    <row r="314" spans="1:17" x14ac:dyDescent="0.2">
      <c r="A314" s="16">
        <f t="shared" si="24"/>
        <v>1803960</v>
      </c>
      <c r="B314">
        <v>2019</v>
      </c>
      <c r="C314" t="s">
        <v>904</v>
      </c>
      <c r="D314" t="s">
        <v>906</v>
      </c>
      <c r="E314" t="s">
        <v>1220</v>
      </c>
      <c r="F314" t="s">
        <v>470</v>
      </c>
      <c r="G314" t="s">
        <v>51</v>
      </c>
      <c r="H314" s="6">
        <v>726020</v>
      </c>
      <c r="I314" s="6">
        <v>1.8469909424812772E-3</v>
      </c>
      <c r="J314" s="6">
        <v>6473.7032533968768</v>
      </c>
      <c r="K314" s="6">
        <v>1743374.7506080701</v>
      </c>
      <c r="M314" s="6">
        <f t="shared" si="25"/>
        <v>732493.7032533969</v>
      </c>
      <c r="N314" s="6">
        <f t="shared" si="26"/>
        <v>1743374.7506080701</v>
      </c>
      <c r="O314" s="6">
        <f t="shared" si="27"/>
        <v>2475868.4538614671</v>
      </c>
      <c r="P314" s="8">
        <f>VLOOKUP(F314,'LEAID Match'!$A$2:$B$436,2,FALSE)</f>
        <v>1803960</v>
      </c>
      <c r="Q314" s="6">
        <f t="shared" si="28"/>
        <v>9</v>
      </c>
    </row>
    <row r="315" spans="1:17" x14ac:dyDescent="0.2">
      <c r="A315" s="16">
        <f t="shared" si="24"/>
        <v>1803960</v>
      </c>
      <c r="B315">
        <v>2020</v>
      </c>
      <c r="C315" t="s">
        <v>904</v>
      </c>
      <c r="D315" t="s">
        <v>906</v>
      </c>
      <c r="E315" t="s">
        <v>1221</v>
      </c>
      <c r="F315" t="s">
        <v>470</v>
      </c>
      <c r="G315" t="s">
        <v>51</v>
      </c>
      <c r="H315" s="6">
        <v>580067</v>
      </c>
      <c r="I315" s="6">
        <v>3.0736054826618815E-3</v>
      </c>
      <c r="J315" s="6">
        <v>7241.4145171513928</v>
      </c>
      <c r="K315" s="6">
        <v>3736527</v>
      </c>
      <c r="M315" s="6">
        <f t="shared" si="25"/>
        <v>587308.41451715142</v>
      </c>
      <c r="N315" s="6">
        <f t="shared" si="26"/>
        <v>3736527</v>
      </c>
      <c r="O315" s="6">
        <f t="shared" si="27"/>
        <v>4323835.4145171512</v>
      </c>
      <c r="P315" s="8">
        <f>VLOOKUP(F315,'LEAID Match'!$A$2:$B$436,2,FALSE)</f>
        <v>1803960</v>
      </c>
      <c r="Q315" s="6">
        <f t="shared" si="28"/>
        <v>9</v>
      </c>
    </row>
    <row r="316" spans="1:17" x14ac:dyDescent="0.2">
      <c r="A316" s="16">
        <f t="shared" si="24"/>
        <v>1803960</v>
      </c>
      <c r="B316">
        <v>2021</v>
      </c>
      <c r="C316" t="s">
        <v>904</v>
      </c>
      <c r="D316" t="s">
        <v>906</v>
      </c>
      <c r="E316" t="s">
        <v>1222</v>
      </c>
      <c r="F316" t="s">
        <v>470</v>
      </c>
      <c r="G316" t="s">
        <v>51</v>
      </c>
      <c r="H316" s="6">
        <v>640000</v>
      </c>
      <c r="I316" s="6">
        <v>3.1616595193154151E-3</v>
      </c>
      <c r="J316" s="6">
        <v>7126.3805565369457</v>
      </c>
      <c r="K316" s="6">
        <v>6243253</v>
      </c>
      <c r="M316" s="6">
        <f t="shared" si="25"/>
        <v>647126.38055653695</v>
      </c>
      <c r="N316" s="6">
        <f t="shared" si="26"/>
        <v>6243253</v>
      </c>
      <c r="O316" s="6">
        <f t="shared" si="27"/>
        <v>6890379.3805565368</v>
      </c>
      <c r="P316" s="8">
        <f>VLOOKUP(F316,'LEAID Match'!$A$2:$B$436,2,FALSE)</f>
        <v>1803960</v>
      </c>
      <c r="Q316" s="6">
        <f t="shared" si="28"/>
        <v>9</v>
      </c>
    </row>
    <row r="317" spans="1:17" x14ac:dyDescent="0.2">
      <c r="A317" s="16">
        <f t="shared" si="24"/>
        <v>1803960</v>
      </c>
      <c r="B317">
        <v>2022</v>
      </c>
      <c r="C317" t="s">
        <v>904</v>
      </c>
      <c r="D317" t="s">
        <v>906</v>
      </c>
      <c r="E317" t="s">
        <v>1223</v>
      </c>
      <c r="F317" t="s">
        <v>470</v>
      </c>
      <c r="G317" t="s">
        <v>51</v>
      </c>
      <c r="H317" s="6">
        <v>674516</v>
      </c>
      <c r="I317" s="6">
        <v>3.2027273275645027E-3</v>
      </c>
      <c r="J317" s="6">
        <v>7062.0137572797285</v>
      </c>
      <c r="K317" s="6">
        <v>6076058</v>
      </c>
      <c r="M317" s="6">
        <f t="shared" si="25"/>
        <v>681578.01375727972</v>
      </c>
      <c r="N317" s="6">
        <f t="shared" si="26"/>
        <v>6076058</v>
      </c>
      <c r="O317" s="6">
        <f t="shared" si="27"/>
        <v>6757636.0137572801</v>
      </c>
      <c r="P317" s="8">
        <f>VLOOKUP(F317,'LEAID Match'!$A$2:$B$436,2,FALSE)</f>
        <v>1803960</v>
      </c>
      <c r="Q317" s="6">
        <f t="shared" si="28"/>
        <v>9</v>
      </c>
    </row>
    <row r="318" spans="1:17" x14ac:dyDescent="0.2">
      <c r="A318" s="16">
        <f t="shared" si="24"/>
        <v>1803960</v>
      </c>
      <c r="B318">
        <v>2023</v>
      </c>
      <c r="C318" t="s">
        <v>904</v>
      </c>
      <c r="D318" t="s">
        <v>906</v>
      </c>
      <c r="E318" t="s">
        <v>1224</v>
      </c>
      <c r="F318" t="s">
        <v>470</v>
      </c>
      <c r="G318" t="s">
        <v>51</v>
      </c>
      <c r="H318" s="6">
        <v>765622</v>
      </c>
      <c r="I318" s="6">
        <v>3.1309733070603038E-3</v>
      </c>
      <c r="J318" s="6">
        <v>7724.1111485177698</v>
      </c>
      <c r="K318" s="6">
        <v>17980963</v>
      </c>
      <c r="M318" s="6">
        <f t="shared" si="25"/>
        <v>773346.11114851781</v>
      </c>
      <c r="N318" s="6">
        <f t="shared" si="26"/>
        <v>17980963</v>
      </c>
      <c r="O318" s="6">
        <f t="shared" si="27"/>
        <v>18754309.111148518</v>
      </c>
      <c r="P318" s="8">
        <f>VLOOKUP(F318,'LEAID Match'!$A$2:$B$436,2,FALSE)</f>
        <v>1803960</v>
      </c>
      <c r="Q318" s="6">
        <f t="shared" si="28"/>
        <v>9</v>
      </c>
    </row>
    <row r="319" spans="1:17" x14ac:dyDescent="0.2">
      <c r="A319" s="16">
        <f t="shared" si="24"/>
        <v>1812240</v>
      </c>
      <c r="B319">
        <v>2015</v>
      </c>
      <c r="C319" t="s">
        <v>904</v>
      </c>
      <c r="D319" t="s">
        <v>906</v>
      </c>
      <c r="E319" t="s">
        <v>1225</v>
      </c>
      <c r="F319" t="s">
        <v>471</v>
      </c>
      <c r="G319" t="s">
        <v>52</v>
      </c>
      <c r="H319" s="6">
        <v>495099</v>
      </c>
      <c r="I319" s="6">
        <v>2.4075214018678729E-3</v>
      </c>
      <c r="J319" s="6">
        <v>13990.106866254209</v>
      </c>
      <c r="K319" s="6">
        <v>2035838.6177618999</v>
      </c>
      <c r="M319" s="6">
        <f t="shared" si="25"/>
        <v>509089.10686625424</v>
      </c>
      <c r="N319" s="6">
        <f t="shared" si="26"/>
        <v>2035838.6177618999</v>
      </c>
      <c r="O319" s="6">
        <f t="shared" si="27"/>
        <v>2544927.7246281542</v>
      </c>
      <c r="P319" s="8">
        <f>VLOOKUP(F319,'LEAID Match'!$A$2:$B$436,2,FALSE)</f>
        <v>1812240</v>
      </c>
      <c r="Q319" s="6">
        <f t="shared" si="28"/>
        <v>9</v>
      </c>
    </row>
    <row r="320" spans="1:17" x14ac:dyDescent="0.2">
      <c r="A320" s="16">
        <f t="shared" si="24"/>
        <v>1812240</v>
      </c>
      <c r="B320">
        <v>2016</v>
      </c>
      <c r="C320" t="s">
        <v>904</v>
      </c>
      <c r="D320" t="s">
        <v>906</v>
      </c>
      <c r="E320" t="s">
        <v>1226</v>
      </c>
      <c r="F320" t="s">
        <v>471</v>
      </c>
      <c r="G320" t="s">
        <v>52</v>
      </c>
      <c r="H320" s="6">
        <v>517925</v>
      </c>
      <c r="I320" s="6">
        <v>2.4032356096091506E-3</v>
      </c>
      <c r="J320" s="6">
        <v>12131.533357306993</v>
      </c>
      <c r="K320" s="6">
        <v>2132871.6035281201</v>
      </c>
      <c r="M320" s="6">
        <f t="shared" si="25"/>
        <v>530056.53335730697</v>
      </c>
      <c r="N320" s="6">
        <f t="shared" si="26"/>
        <v>2132871.6035281201</v>
      </c>
      <c r="O320" s="6">
        <f t="shared" si="27"/>
        <v>2662928.1368854269</v>
      </c>
      <c r="P320" s="8">
        <f>VLOOKUP(F320,'LEAID Match'!$A$2:$B$436,2,FALSE)</f>
        <v>1812240</v>
      </c>
      <c r="Q320" s="6">
        <f t="shared" si="28"/>
        <v>9</v>
      </c>
    </row>
    <row r="321" spans="1:17" x14ac:dyDescent="0.2">
      <c r="A321" s="16">
        <f t="shared" si="24"/>
        <v>1812240</v>
      </c>
      <c r="B321">
        <v>2017</v>
      </c>
      <c r="C321" t="s">
        <v>904</v>
      </c>
      <c r="D321" t="s">
        <v>906</v>
      </c>
      <c r="E321" t="s">
        <v>1227</v>
      </c>
      <c r="F321" t="s">
        <v>471</v>
      </c>
      <c r="G321" t="s">
        <v>52</v>
      </c>
      <c r="H321" s="6">
        <v>535212</v>
      </c>
      <c r="I321" s="6">
        <v>2.3567674029598669E-3</v>
      </c>
      <c r="J321" s="6">
        <v>10664.372498393397</v>
      </c>
      <c r="K321" s="6">
        <v>2052744.4079780399</v>
      </c>
      <c r="M321" s="6">
        <f t="shared" si="25"/>
        <v>545876.37249839341</v>
      </c>
      <c r="N321" s="6">
        <f t="shared" si="26"/>
        <v>2052744.4079780399</v>
      </c>
      <c r="O321" s="6">
        <f t="shared" si="27"/>
        <v>2598620.7804764332</v>
      </c>
      <c r="P321" s="8">
        <f>VLOOKUP(F321,'LEAID Match'!$A$2:$B$436,2,FALSE)</f>
        <v>1812240</v>
      </c>
      <c r="Q321" s="6">
        <f t="shared" si="28"/>
        <v>9</v>
      </c>
    </row>
    <row r="322" spans="1:17" x14ac:dyDescent="0.2">
      <c r="A322" s="16">
        <f t="shared" si="24"/>
        <v>1812240</v>
      </c>
      <c r="B322">
        <v>2018</v>
      </c>
      <c r="C322" t="s">
        <v>904</v>
      </c>
      <c r="D322" t="s">
        <v>906</v>
      </c>
      <c r="E322" t="s">
        <v>1228</v>
      </c>
      <c r="F322" t="s">
        <v>471</v>
      </c>
      <c r="G322" t="s">
        <v>52</v>
      </c>
      <c r="H322" s="6">
        <v>565279</v>
      </c>
      <c r="I322" s="6">
        <v>2.3981231344227349E-3</v>
      </c>
      <c r="J322" s="6">
        <v>9995.3772242739597</v>
      </c>
      <c r="K322" s="6">
        <v>2835210</v>
      </c>
      <c r="M322" s="6">
        <f t="shared" si="25"/>
        <v>575274.37722427398</v>
      </c>
      <c r="N322" s="6">
        <f t="shared" si="26"/>
        <v>2835210</v>
      </c>
      <c r="O322" s="6">
        <f t="shared" si="27"/>
        <v>3410484.377224274</v>
      </c>
      <c r="P322" s="8">
        <f>VLOOKUP(F322,'LEAID Match'!$A$2:$B$436,2,FALSE)</f>
        <v>1812240</v>
      </c>
      <c r="Q322" s="6">
        <f t="shared" si="28"/>
        <v>9</v>
      </c>
    </row>
    <row r="323" spans="1:17" x14ac:dyDescent="0.2">
      <c r="A323" s="16">
        <f t="shared" ref="A323:A386" si="29">P323</f>
        <v>1812240</v>
      </c>
      <c r="B323">
        <v>2019</v>
      </c>
      <c r="C323" t="s">
        <v>904</v>
      </c>
      <c r="D323" t="s">
        <v>906</v>
      </c>
      <c r="E323" t="s">
        <v>1229</v>
      </c>
      <c r="F323" t="s">
        <v>471</v>
      </c>
      <c r="G323" t="s">
        <v>52</v>
      </c>
      <c r="H323" s="6">
        <v>599289</v>
      </c>
      <c r="I323" s="6">
        <v>1.5245879657979976E-3</v>
      </c>
      <c r="J323" s="6">
        <v>5343.680820121981</v>
      </c>
      <c r="K323" s="6">
        <v>1439058.58091673</v>
      </c>
      <c r="M323" s="6">
        <f t="shared" ref="M323:M386" si="30">SUM(H323,J323)</f>
        <v>604632.68082012201</v>
      </c>
      <c r="N323" s="6">
        <f t="shared" ref="N323:N386" si="31">K323</f>
        <v>1439058.58091673</v>
      </c>
      <c r="O323" s="6">
        <f t="shared" ref="O323:O386" si="32">SUM(M323:N323)</f>
        <v>2043691.2617368521</v>
      </c>
      <c r="P323" s="8">
        <f>VLOOKUP(F323,'LEAID Match'!$A$2:$B$436,2,FALSE)</f>
        <v>1812240</v>
      </c>
      <c r="Q323" s="6">
        <f t="shared" ref="Q323:Q386" si="33">COUNTIF($P$2:$P$3691,P323)</f>
        <v>9</v>
      </c>
    </row>
    <row r="324" spans="1:17" x14ac:dyDescent="0.2">
      <c r="A324" s="16">
        <f t="shared" si="29"/>
        <v>1812240</v>
      </c>
      <c r="B324">
        <v>2020</v>
      </c>
      <c r="C324" t="s">
        <v>904</v>
      </c>
      <c r="D324" t="s">
        <v>906</v>
      </c>
      <c r="E324" t="s">
        <v>1230</v>
      </c>
      <c r="F324" t="s">
        <v>471</v>
      </c>
      <c r="G324" t="s">
        <v>52</v>
      </c>
      <c r="H324" s="6">
        <v>478196</v>
      </c>
      <c r="I324" s="6">
        <v>2.533820829985124E-3</v>
      </c>
      <c r="J324" s="6">
        <v>5969.6818754449523</v>
      </c>
      <c r="K324" s="6">
        <v>3061008</v>
      </c>
      <c r="M324" s="6">
        <f t="shared" si="30"/>
        <v>484165.68187544495</v>
      </c>
      <c r="N324" s="6">
        <f t="shared" si="31"/>
        <v>3061008</v>
      </c>
      <c r="O324" s="6">
        <f t="shared" si="32"/>
        <v>3545173.6818754449</v>
      </c>
      <c r="P324" s="8">
        <f>VLOOKUP(F324,'LEAID Match'!$A$2:$B$436,2,FALSE)</f>
        <v>1812240</v>
      </c>
      <c r="Q324" s="6">
        <f t="shared" si="33"/>
        <v>9</v>
      </c>
    </row>
    <row r="325" spans="1:17" x14ac:dyDescent="0.2">
      <c r="A325" s="16">
        <f t="shared" si="29"/>
        <v>1812240</v>
      </c>
      <c r="B325">
        <v>2021</v>
      </c>
      <c r="C325" t="s">
        <v>904</v>
      </c>
      <c r="D325" t="s">
        <v>906</v>
      </c>
      <c r="E325" t="s">
        <v>1231</v>
      </c>
      <c r="F325" t="s">
        <v>471</v>
      </c>
      <c r="G325" t="s">
        <v>52</v>
      </c>
      <c r="H325" s="6">
        <v>514804</v>
      </c>
      <c r="I325" s="6">
        <v>2.543179636221333E-3</v>
      </c>
      <c r="J325" s="6">
        <v>5732.3269000428845</v>
      </c>
      <c r="K325" s="6">
        <v>5086349</v>
      </c>
      <c r="M325" s="6">
        <f t="shared" si="30"/>
        <v>520536.32690004288</v>
      </c>
      <c r="N325" s="6">
        <f t="shared" si="31"/>
        <v>5086349</v>
      </c>
      <c r="O325" s="6">
        <f t="shared" si="32"/>
        <v>5606885.3269000426</v>
      </c>
      <c r="P325" s="8">
        <f>VLOOKUP(F325,'LEAID Match'!$A$2:$B$436,2,FALSE)</f>
        <v>1812240</v>
      </c>
      <c r="Q325" s="6">
        <f t="shared" si="33"/>
        <v>9</v>
      </c>
    </row>
    <row r="326" spans="1:17" x14ac:dyDescent="0.2">
      <c r="A326" s="16">
        <f t="shared" si="29"/>
        <v>1812240</v>
      </c>
      <c r="B326">
        <v>2022</v>
      </c>
      <c r="C326" t="s">
        <v>904</v>
      </c>
      <c r="D326" t="s">
        <v>906</v>
      </c>
      <c r="E326" t="s">
        <v>1232</v>
      </c>
      <c r="F326" t="s">
        <v>471</v>
      </c>
      <c r="G326" t="s">
        <v>52</v>
      </c>
      <c r="H326" s="6">
        <v>561120</v>
      </c>
      <c r="I326" s="6">
        <v>2.6643020447891432E-3</v>
      </c>
      <c r="J326" s="6">
        <v>5874.7860087600611</v>
      </c>
      <c r="K326" s="6">
        <v>4848443</v>
      </c>
      <c r="M326" s="6">
        <f t="shared" si="30"/>
        <v>566994.7860087601</v>
      </c>
      <c r="N326" s="6">
        <f t="shared" si="31"/>
        <v>4848443</v>
      </c>
      <c r="O326" s="6">
        <f t="shared" si="32"/>
        <v>5415437.7860087603</v>
      </c>
      <c r="P326" s="8">
        <f>VLOOKUP(F326,'LEAID Match'!$A$2:$B$436,2,FALSE)</f>
        <v>1812240</v>
      </c>
      <c r="Q326" s="6">
        <f t="shared" si="33"/>
        <v>9</v>
      </c>
    </row>
    <row r="327" spans="1:17" x14ac:dyDescent="0.2">
      <c r="A327" s="16">
        <f t="shared" si="29"/>
        <v>1812240</v>
      </c>
      <c r="B327">
        <v>2023</v>
      </c>
      <c r="C327" t="s">
        <v>904</v>
      </c>
      <c r="D327" t="s">
        <v>906</v>
      </c>
      <c r="E327" t="s">
        <v>1233</v>
      </c>
      <c r="F327" t="s">
        <v>471</v>
      </c>
      <c r="G327" t="s">
        <v>52</v>
      </c>
      <c r="H327" s="6">
        <v>642647</v>
      </c>
      <c r="I327" s="6">
        <v>2.6280731259843409E-3</v>
      </c>
      <c r="J327" s="6">
        <v>6483.4564018033689</v>
      </c>
      <c r="K327" s="6">
        <v>12871012</v>
      </c>
      <c r="M327" s="6">
        <f t="shared" si="30"/>
        <v>649130.45640180341</v>
      </c>
      <c r="N327" s="6">
        <f t="shared" si="31"/>
        <v>12871012</v>
      </c>
      <c r="O327" s="6">
        <f t="shared" si="32"/>
        <v>13520142.456401803</v>
      </c>
      <c r="P327" s="8">
        <f>VLOOKUP(F327,'LEAID Match'!$A$2:$B$436,2,FALSE)</f>
        <v>1812240</v>
      </c>
      <c r="Q327" s="6">
        <f t="shared" si="33"/>
        <v>9</v>
      </c>
    </row>
    <row r="328" spans="1:17" x14ac:dyDescent="0.2">
      <c r="A328" s="16">
        <f t="shared" si="29"/>
        <v>1802400</v>
      </c>
      <c r="B328">
        <v>2015</v>
      </c>
      <c r="C328" t="s">
        <v>904</v>
      </c>
      <c r="D328" t="s">
        <v>906</v>
      </c>
      <c r="E328" t="s">
        <v>1234</v>
      </c>
      <c r="F328" t="s">
        <v>657</v>
      </c>
      <c r="G328" t="s">
        <v>53</v>
      </c>
      <c r="H328" s="6">
        <v>950935</v>
      </c>
      <c r="I328" s="6">
        <v>4.6241183365048717E-3</v>
      </c>
      <c r="J328" s="6">
        <v>26870.751653429808</v>
      </c>
      <c r="K328" s="6">
        <v>3910228.4512419002</v>
      </c>
      <c r="M328" s="6">
        <f t="shared" si="30"/>
        <v>977805.75165342982</v>
      </c>
      <c r="N328" s="6">
        <f t="shared" si="31"/>
        <v>3910228.4512419002</v>
      </c>
      <c r="O328" s="6">
        <f t="shared" si="32"/>
        <v>4888034.2028953303</v>
      </c>
      <c r="P328" s="8">
        <f>VLOOKUP(F328,'LEAID Match'!$A$2:$B$436,2,FALSE)</f>
        <v>1802400</v>
      </c>
      <c r="Q328" s="6">
        <f t="shared" si="33"/>
        <v>9</v>
      </c>
    </row>
    <row r="329" spans="1:17" x14ac:dyDescent="0.2">
      <c r="A329" s="16">
        <f t="shared" si="29"/>
        <v>1802400</v>
      </c>
      <c r="B329">
        <v>2016</v>
      </c>
      <c r="C329" t="s">
        <v>904</v>
      </c>
      <c r="D329" t="s">
        <v>906</v>
      </c>
      <c r="E329" t="s">
        <v>1235</v>
      </c>
      <c r="F329" t="s">
        <v>657</v>
      </c>
      <c r="G329" t="s">
        <v>53</v>
      </c>
      <c r="H329" s="6">
        <v>1020492</v>
      </c>
      <c r="I329" s="6">
        <v>4.7352082130062484E-3</v>
      </c>
      <c r="J329" s="6">
        <v>23903.331059255543</v>
      </c>
      <c r="K329" s="6">
        <v>4202497.28904304</v>
      </c>
      <c r="M329" s="6">
        <f t="shared" si="30"/>
        <v>1044395.3310592555</v>
      </c>
      <c r="N329" s="6">
        <f t="shared" si="31"/>
        <v>4202497.28904304</v>
      </c>
      <c r="O329" s="6">
        <f t="shared" si="32"/>
        <v>5246892.6201022957</v>
      </c>
      <c r="P329" s="8">
        <f>VLOOKUP(F329,'LEAID Match'!$A$2:$B$436,2,FALSE)</f>
        <v>1802400</v>
      </c>
      <c r="Q329" s="6">
        <f t="shared" si="33"/>
        <v>9</v>
      </c>
    </row>
    <row r="330" spans="1:17" x14ac:dyDescent="0.2">
      <c r="A330" s="16">
        <f t="shared" si="29"/>
        <v>1802400</v>
      </c>
      <c r="B330">
        <v>2017</v>
      </c>
      <c r="C330" t="s">
        <v>904</v>
      </c>
      <c r="D330" t="s">
        <v>906</v>
      </c>
      <c r="E330" t="s">
        <v>1236</v>
      </c>
      <c r="F330" t="s">
        <v>657</v>
      </c>
      <c r="G330" t="s">
        <v>53</v>
      </c>
      <c r="H330" s="6">
        <v>1119977</v>
      </c>
      <c r="I330" s="6">
        <v>4.9317378639955438E-3</v>
      </c>
      <c r="J330" s="6">
        <v>22316.113834579835</v>
      </c>
      <c r="K330" s="6">
        <v>4295543.6795401098</v>
      </c>
      <c r="M330" s="6">
        <f t="shared" si="30"/>
        <v>1142293.1138345799</v>
      </c>
      <c r="N330" s="6">
        <f t="shared" si="31"/>
        <v>4295543.6795401098</v>
      </c>
      <c r="O330" s="6">
        <f t="shared" si="32"/>
        <v>5437836.7933746893</v>
      </c>
      <c r="P330" s="8">
        <f>VLOOKUP(F330,'LEAID Match'!$A$2:$B$436,2,FALSE)</f>
        <v>1802400</v>
      </c>
      <c r="Q330" s="6">
        <f t="shared" si="33"/>
        <v>9</v>
      </c>
    </row>
    <row r="331" spans="1:17" x14ac:dyDescent="0.2">
      <c r="A331" s="16">
        <f t="shared" si="29"/>
        <v>1802400</v>
      </c>
      <c r="B331">
        <v>2018</v>
      </c>
      <c r="C331" t="s">
        <v>904</v>
      </c>
      <c r="D331" t="s">
        <v>906</v>
      </c>
      <c r="E331" t="s">
        <v>1237</v>
      </c>
      <c r="F331" t="s">
        <v>657</v>
      </c>
      <c r="G331" t="s">
        <v>53</v>
      </c>
      <c r="H331" s="6">
        <v>1217629</v>
      </c>
      <c r="I331" s="6">
        <v>5.165633738461929E-3</v>
      </c>
      <c r="J331" s="6">
        <v>21530.361421909322</v>
      </c>
      <c r="K331" s="6">
        <v>3602299</v>
      </c>
      <c r="M331" s="6">
        <f t="shared" si="30"/>
        <v>1239159.3614219094</v>
      </c>
      <c r="N331" s="6">
        <f t="shared" si="31"/>
        <v>3602299</v>
      </c>
      <c r="O331" s="6">
        <f t="shared" si="32"/>
        <v>4841458.3614219092</v>
      </c>
      <c r="P331" s="8">
        <f>VLOOKUP(F331,'LEAID Match'!$A$2:$B$436,2,FALSE)</f>
        <v>1802400</v>
      </c>
      <c r="Q331" s="6">
        <f t="shared" si="33"/>
        <v>9</v>
      </c>
    </row>
    <row r="332" spans="1:17" x14ac:dyDescent="0.2">
      <c r="A332" s="16">
        <f t="shared" si="29"/>
        <v>1802400</v>
      </c>
      <c r="B332">
        <v>2019</v>
      </c>
      <c r="C332" t="s">
        <v>904</v>
      </c>
      <c r="D332" t="s">
        <v>906</v>
      </c>
      <c r="E332" t="s">
        <v>1238</v>
      </c>
      <c r="F332" t="s">
        <v>657</v>
      </c>
      <c r="G332" t="s">
        <v>53</v>
      </c>
      <c r="H332" s="6">
        <v>1278035</v>
      </c>
      <c r="I332" s="6">
        <v>3.2513141086665098E-3</v>
      </c>
      <c r="J332" s="6">
        <v>11395.855950876117</v>
      </c>
      <c r="K332" s="6">
        <v>3068915.3871703101</v>
      </c>
      <c r="M332" s="6">
        <f t="shared" si="30"/>
        <v>1289430.8559508761</v>
      </c>
      <c r="N332" s="6">
        <f t="shared" si="31"/>
        <v>3068915.3871703101</v>
      </c>
      <c r="O332" s="6">
        <f t="shared" si="32"/>
        <v>4358346.2431211863</v>
      </c>
      <c r="P332" s="8">
        <f>VLOOKUP(F332,'LEAID Match'!$A$2:$B$436,2,FALSE)</f>
        <v>1802400</v>
      </c>
      <c r="Q332" s="6">
        <f t="shared" si="33"/>
        <v>9</v>
      </c>
    </row>
    <row r="333" spans="1:17" x14ac:dyDescent="0.2">
      <c r="A333" s="16">
        <f t="shared" si="29"/>
        <v>1802400</v>
      </c>
      <c r="B333">
        <v>2020</v>
      </c>
      <c r="C333" t="s">
        <v>904</v>
      </c>
      <c r="D333" t="s">
        <v>906</v>
      </c>
      <c r="E333" t="s">
        <v>1239</v>
      </c>
      <c r="F333" t="s">
        <v>657</v>
      </c>
      <c r="G333" t="s">
        <v>53</v>
      </c>
      <c r="H333" s="6">
        <v>963350</v>
      </c>
      <c r="I333" s="6">
        <v>5.1045100681857839E-3</v>
      </c>
      <c r="J333" s="6">
        <v>12026.225720645707</v>
      </c>
      <c r="K333" s="6">
        <v>3781588</v>
      </c>
      <c r="M333" s="6">
        <f t="shared" si="30"/>
        <v>975376.22572064574</v>
      </c>
      <c r="N333" s="6">
        <f t="shared" si="31"/>
        <v>3781588</v>
      </c>
      <c r="O333" s="6">
        <f t="shared" si="32"/>
        <v>4756964.2257206459</v>
      </c>
      <c r="P333" s="8">
        <f>VLOOKUP(F333,'LEAID Match'!$A$2:$B$436,2,FALSE)</f>
        <v>1802400</v>
      </c>
      <c r="Q333" s="6">
        <f t="shared" si="33"/>
        <v>9</v>
      </c>
    </row>
    <row r="334" spans="1:17" x14ac:dyDescent="0.2">
      <c r="A334" s="16">
        <f t="shared" si="29"/>
        <v>1802400</v>
      </c>
      <c r="B334">
        <v>2021</v>
      </c>
      <c r="C334" t="s">
        <v>904</v>
      </c>
      <c r="D334" t="s">
        <v>906</v>
      </c>
      <c r="E334" t="s">
        <v>1240</v>
      </c>
      <c r="F334" t="s">
        <v>657</v>
      </c>
      <c r="G334" t="s">
        <v>53</v>
      </c>
      <c r="H334" s="6">
        <v>981799</v>
      </c>
      <c r="I334" s="6">
        <v>4.8501783662568054E-3</v>
      </c>
      <c r="J334" s="6">
        <v>10932.302037542839</v>
      </c>
      <c r="K334" s="6">
        <v>6281774</v>
      </c>
      <c r="M334" s="6">
        <f t="shared" si="30"/>
        <v>992731.3020375428</v>
      </c>
      <c r="N334" s="6">
        <f t="shared" si="31"/>
        <v>6281774</v>
      </c>
      <c r="O334" s="6">
        <f t="shared" si="32"/>
        <v>7274505.3020375427</v>
      </c>
      <c r="P334" s="8">
        <f>VLOOKUP(F334,'LEAID Match'!$A$2:$B$436,2,FALSE)</f>
        <v>1802400</v>
      </c>
      <c r="Q334" s="6">
        <f t="shared" si="33"/>
        <v>9</v>
      </c>
    </row>
    <row r="335" spans="1:17" x14ac:dyDescent="0.2">
      <c r="A335" s="16">
        <f t="shared" si="29"/>
        <v>1802400</v>
      </c>
      <c r="B335">
        <v>2022</v>
      </c>
      <c r="C335" t="s">
        <v>904</v>
      </c>
      <c r="D335" t="s">
        <v>906</v>
      </c>
      <c r="E335" t="s">
        <v>1241</v>
      </c>
      <c r="F335" t="s">
        <v>657</v>
      </c>
      <c r="G335" t="s">
        <v>53</v>
      </c>
      <c r="H335" s="6">
        <v>1038091</v>
      </c>
      <c r="I335" s="6">
        <v>4.9290489983910869E-3</v>
      </c>
      <c r="J335" s="6">
        <v>10868.553041452347</v>
      </c>
      <c r="K335" s="6">
        <v>6135439</v>
      </c>
      <c r="M335" s="6">
        <f t="shared" si="30"/>
        <v>1048959.5530414523</v>
      </c>
      <c r="N335" s="6">
        <f t="shared" si="31"/>
        <v>6135439</v>
      </c>
      <c r="O335" s="6">
        <f t="shared" si="32"/>
        <v>7184398.5530414525</v>
      </c>
      <c r="P335" s="8">
        <f>VLOOKUP(F335,'LEAID Match'!$A$2:$B$436,2,FALSE)</f>
        <v>1802400</v>
      </c>
      <c r="Q335" s="6">
        <f t="shared" si="33"/>
        <v>9</v>
      </c>
    </row>
    <row r="336" spans="1:17" x14ac:dyDescent="0.2">
      <c r="A336" s="16">
        <f t="shared" si="29"/>
        <v>1802400</v>
      </c>
      <c r="B336">
        <v>2023</v>
      </c>
      <c r="C336" t="s">
        <v>904</v>
      </c>
      <c r="D336" t="s">
        <v>906</v>
      </c>
      <c r="E336" t="s">
        <v>1242</v>
      </c>
      <c r="F336" t="s">
        <v>657</v>
      </c>
      <c r="G336" t="s">
        <v>53</v>
      </c>
      <c r="H336" s="6">
        <v>1209939</v>
      </c>
      <c r="I336" s="6">
        <v>4.9479857059635656E-3</v>
      </c>
      <c r="J336" s="6">
        <v>12206.680736612116</v>
      </c>
      <c r="K336" s="6">
        <v>16393685</v>
      </c>
      <c r="M336" s="6">
        <f t="shared" si="30"/>
        <v>1222145.6807366121</v>
      </c>
      <c r="N336" s="6">
        <f t="shared" si="31"/>
        <v>16393685</v>
      </c>
      <c r="O336" s="6">
        <f t="shared" si="32"/>
        <v>17615830.680736613</v>
      </c>
      <c r="P336" s="8">
        <f>VLOOKUP(F336,'LEAID Match'!$A$2:$B$436,2,FALSE)</f>
        <v>1802400</v>
      </c>
      <c r="Q336" s="6">
        <f t="shared" si="33"/>
        <v>9</v>
      </c>
    </row>
    <row r="337" spans="1:17" x14ac:dyDescent="0.2">
      <c r="A337" s="16">
        <f t="shared" si="29"/>
        <v>1803930</v>
      </c>
      <c r="B337">
        <v>2015</v>
      </c>
      <c r="C337" t="s">
        <v>904</v>
      </c>
      <c r="D337" t="s">
        <v>906</v>
      </c>
      <c r="E337" t="s">
        <v>1243</v>
      </c>
      <c r="F337" t="s">
        <v>658</v>
      </c>
      <c r="G337" t="s">
        <v>54</v>
      </c>
      <c r="H337" s="6">
        <v>1795206</v>
      </c>
      <c r="I337" s="6">
        <v>8.729560887340948E-3</v>
      </c>
      <c r="J337" s="6">
        <v>50727.478316338253</v>
      </c>
      <c r="K337" s="6">
        <v>7381856.3593097003</v>
      </c>
      <c r="M337" s="6">
        <f t="shared" si="30"/>
        <v>1845933.4783163383</v>
      </c>
      <c r="N337" s="6">
        <f t="shared" si="31"/>
        <v>7381856.3593097003</v>
      </c>
      <c r="O337" s="6">
        <f t="shared" si="32"/>
        <v>9227789.8376260381</v>
      </c>
      <c r="P337" s="8">
        <f>VLOOKUP(F337,'LEAID Match'!$A$2:$B$436,2,FALSE)</f>
        <v>1803930</v>
      </c>
      <c r="Q337" s="6">
        <f t="shared" si="33"/>
        <v>9</v>
      </c>
    </row>
    <row r="338" spans="1:17" x14ac:dyDescent="0.2">
      <c r="A338" s="16">
        <f t="shared" si="29"/>
        <v>1803930</v>
      </c>
      <c r="B338">
        <v>2016</v>
      </c>
      <c r="C338" t="s">
        <v>904</v>
      </c>
      <c r="D338" t="s">
        <v>906</v>
      </c>
      <c r="E338" t="s">
        <v>1244</v>
      </c>
      <c r="F338" t="s">
        <v>658</v>
      </c>
      <c r="G338" t="s">
        <v>54</v>
      </c>
      <c r="H338" s="6">
        <v>1832486</v>
      </c>
      <c r="I338" s="6">
        <v>8.502960099068849E-3</v>
      </c>
      <c r="J338" s="6">
        <v>42922.942580099552</v>
      </c>
      <c r="K338" s="6">
        <v>7546377.0879236003</v>
      </c>
      <c r="M338" s="6">
        <f t="shared" si="30"/>
        <v>1875408.9425800995</v>
      </c>
      <c r="N338" s="6">
        <f t="shared" si="31"/>
        <v>7546377.0879236003</v>
      </c>
      <c r="O338" s="6">
        <f t="shared" si="32"/>
        <v>9421786.0305036996</v>
      </c>
      <c r="P338" s="8">
        <f>VLOOKUP(F338,'LEAID Match'!$A$2:$B$436,2,FALSE)</f>
        <v>1803930</v>
      </c>
      <c r="Q338" s="6">
        <f t="shared" si="33"/>
        <v>9</v>
      </c>
    </row>
    <row r="339" spans="1:17" x14ac:dyDescent="0.2">
      <c r="A339" s="16">
        <f t="shared" si="29"/>
        <v>1803930</v>
      </c>
      <c r="B339">
        <v>2017</v>
      </c>
      <c r="C339" t="s">
        <v>904</v>
      </c>
      <c r="D339" t="s">
        <v>906</v>
      </c>
      <c r="E339" t="s">
        <v>1245</v>
      </c>
      <c r="F339" t="s">
        <v>658</v>
      </c>
      <c r="G339" t="s">
        <v>54</v>
      </c>
      <c r="H339" s="6">
        <v>1888131</v>
      </c>
      <c r="I339" s="6">
        <v>8.3142485469645984E-3</v>
      </c>
      <c r="J339" s="6">
        <v>37621.974675014804</v>
      </c>
      <c r="K339" s="6">
        <v>7241710.4844061602</v>
      </c>
      <c r="M339" s="6">
        <f t="shared" si="30"/>
        <v>1925752.9746750148</v>
      </c>
      <c r="N339" s="6">
        <f t="shared" si="31"/>
        <v>7241710.4844061602</v>
      </c>
      <c r="O339" s="6">
        <f t="shared" si="32"/>
        <v>9167463.4590811748</v>
      </c>
      <c r="P339" s="8">
        <f>VLOOKUP(F339,'LEAID Match'!$A$2:$B$436,2,FALSE)</f>
        <v>1803930</v>
      </c>
      <c r="Q339" s="6">
        <f t="shared" si="33"/>
        <v>9</v>
      </c>
    </row>
    <row r="340" spans="1:17" x14ac:dyDescent="0.2">
      <c r="A340" s="16">
        <f t="shared" si="29"/>
        <v>1803930</v>
      </c>
      <c r="B340">
        <v>2018</v>
      </c>
      <c r="C340" t="s">
        <v>904</v>
      </c>
      <c r="D340" t="s">
        <v>906</v>
      </c>
      <c r="E340" t="s">
        <v>1246</v>
      </c>
      <c r="F340" t="s">
        <v>658</v>
      </c>
      <c r="G340" t="s">
        <v>54</v>
      </c>
      <c r="H340" s="6">
        <v>1794715</v>
      </c>
      <c r="I340" s="6">
        <v>7.6138465451493845E-3</v>
      </c>
      <c r="J340" s="6">
        <v>31734.512400182633</v>
      </c>
      <c r="K340" s="6">
        <v>4912325</v>
      </c>
      <c r="M340" s="6">
        <f t="shared" si="30"/>
        <v>1826449.5124001827</v>
      </c>
      <c r="N340" s="6">
        <f t="shared" si="31"/>
        <v>4912325</v>
      </c>
      <c r="O340" s="6">
        <f t="shared" si="32"/>
        <v>6738774.5124001829</v>
      </c>
      <c r="P340" s="8">
        <f>VLOOKUP(F340,'LEAID Match'!$A$2:$B$436,2,FALSE)</f>
        <v>1803930</v>
      </c>
      <c r="Q340" s="6">
        <f t="shared" si="33"/>
        <v>9</v>
      </c>
    </row>
    <row r="341" spans="1:17" x14ac:dyDescent="0.2">
      <c r="A341" s="16">
        <f t="shared" si="29"/>
        <v>1803930</v>
      </c>
      <c r="B341">
        <v>2019</v>
      </c>
      <c r="C341" t="s">
        <v>904</v>
      </c>
      <c r="D341" t="s">
        <v>906</v>
      </c>
      <c r="E341" t="s">
        <v>1247</v>
      </c>
      <c r="F341" t="s">
        <v>658</v>
      </c>
      <c r="G341" t="s">
        <v>54</v>
      </c>
      <c r="H341" s="6">
        <v>1784533</v>
      </c>
      <c r="I341" s="6">
        <v>4.53984227371001E-3</v>
      </c>
      <c r="J341" s="6">
        <v>15912.147169353586</v>
      </c>
      <c r="K341" s="6">
        <v>4285157.1221548701</v>
      </c>
      <c r="M341" s="6">
        <f t="shared" si="30"/>
        <v>1800445.1471693537</v>
      </c>
      <c r="N341" s="6">
        <f t="shared" si="31"/>
        <v>4285157.1221548701</v>
      </c>
      <c r="O341" s="6">
        <f t="shared" si="32"/>
        <v>6085602.2693242235</v>
      </c>
      <c r="P341" s="8">
        <f>VLOOKUP(F341,'LEAID Match'!$A$2:$B$436,2,FALSE)</f>
        <v>1803930</v>
      </c>
      <c r="Q341" s="6">
        <f t="shared" si="33"/>
        <v>9</v>
      </c>
    </row>
    <row r="342" spans="1:17" x14ac:dyDescent="0.2">
      <c r="A342" s="16">
        <f t="shared" si="29"/>
        <v>1803930</v>
      </c>
      <c r="B342">
        <v>2020</v>
      </c>
      <c r="C342" t="s">
        <v>904</v>
      </c>
      <c r="D342" t="s">
        <v>906</v>
      </c>
      <c r="E342" t="s">
        <v>1248</v>
      </c>
      <c r="F342" t="s">
        <v>658</v>
      </c>
      <c r="G342" t="s">
        <v>54</v>
      </c>
      <c r="H342" s="6">
        <v>1363775</v>
      </c>
      <c r="I342" s="6">
        <v>7.2262451011990119E-3</v>
      </c>
      <c r="J342" s="6">
        <v>17025.03345842487</v>
      </c>
      <c r="K342" s="6">
        <v>5143601</v>
      </c>
      <c r="M342" s="6">
        <f t="shared" si="30"/>
        <v>1380800.033458425</v>
      </c>
      <c r="N342" s="6">
        <f t="shared" si="31"/>
        <v>5143601</v>
      </c>
      <c r="O342" s="6">
        <f t="shared" si="32"/>
        <v>6524401.0334584247</v>
      </c>
      <c r="P342" s="8">
        <f>VLOOKUP(F342,'LEAID Match'!$A$2:$B$436,2,FALSE)</f>
        <v>1803930</v>
      </c>
      <c r="Q342" s="6">
        <f t="shared" si="33"/>
        <v>9</v>
      </c>
    </row>
    <row r="343" spans="1:17" x14ac:dyDescent="0.2">
      <c r="A343" s="16">
        <f t="shared" si="29"/>
        <v>1803930</v>
      </c>
      <c r="B343">
        <v>2021</v>
      </c>
      <c r="C343" t="s">
        <v>904</v>
      </c>
      <c r="D343" t="s">
        <v>906</v>
      </c>
      <c r="E343" t="s">
        <v>1249</v>
      </c>
      <c r="F343" t="s">
        <v>658</v>
      </c>
      <c r="G343" t="s">
        <v>54</v>
      </c>
      <c r="H343" s="6">
        <v>1396333</v>
      </c>
      <c r="I343" s="6">
        <v>6.8980148774753936E-3</v>
      </c>
      <c r="J343" s="6">
        <v>15548.125533829538</v>
      </c>
      <c r="K343" s="6">
        <v>8640975</v>
      </c>
      <c r="M343" s="6">
        <f t="shared" si="30"/>
        <v>1411881.1255338294</v>
      </c>
      <c r="N343" s="6">
        <f t="shared" si="31"/>
        <v>8640975</v>
      </c>
      <c r="O343" s="6">
        <f t="shared" si="32"/>
        <v>10052856.12553383</v>
      </c>
      <c r="P343" s="8">
        <f>VLOOKUP(F343,'LEAID Match'!$A$2:$B$436,2,FALSE)</f>
        <v>1803930</v>
      </c>
      <c r="Q343" s="6">
        <f t="shared" si="33"/>
        <v>9</v>
      </c>
    </row>
    <row r="344" spans="1:17" x14ac:dyDescent="0.2">
      <c r="A344" s="16">
        <f t="shared" si="29"/>
        <v>1803930</v>
      </c>
      <c r="B344">
        <v>2022</v>
      </c>
      <c r="C344" t="s">
        <v>904</v>
      </c>
      <c r="D344" t="s">
        <v>906</v>
      </c>
      <c r="E344" t="s">
        <v>1250</v>
      </c>
      <c r="F344" t="s">
        <v>658</v>
      </c>
      <c r="G344" t="s">
        <v>54</v>
      </c>
      <c r="H344" s="6">
        <v>1462534</v>
      </c>
      <c r="I344" s="6">
        <v>6.9443832456045854E-3</v>
      </c>
      <c r="J344" s="6">
        <v>15312.36505655811</v>
      </c>
      <c r="K344" s="6">
        <v>8406480</v>
      </c>
      <c r="M344" s="6">
        <f t="shared" si="30"/>
        <v>1477846.365056558</v>
      </c>
      <c r="N344" s="6">
        <f t="shared" si="31"/>
        <v>8406480</v>
      </c>
      <c r="O344" s="6">
        <f t="shared" si="32"/>
        <v>9884326.3650565576</v>
      </c>
      <c r="P344" s="8">
        <f>VLOOKUP(F344,'LEAID Match'!$A$2:$B$436,2,FALSE)</f>
        <v>1803930</v>
      </c>
      <c r="Q344" s="6">
        <f t="shared" si="33"/>
        <v>9</v>
      </c>
    </row>
    <row r="345" spans="1:17" x14ac:dyDescent="0.2">
      <c r="A345" s="16">
        <f t="shared" si="29"/>
        <v>1803930</v>
      </c>
      <c r="B345">
        <v>2023</v>
      </c>
      <c r="C345" t="s">
        <v>904</v>
      </c>
      <c r="D345" t="s">
        <v>906</v>
      </c>
      <c r="E345" t="s">
        <v>1251</v>
      </c>
      <c r="F345" t="s">
        <v>658</v>
      </c>
      <c r="G345" t="s">
        <v>54</v>
      </c>
      <c r="H345" s="6">
        <v>1510754</v>
      </c>
      <c r="I345" s="6">
        <v>6.1781537724028071E-3</v>
      </c>
      <c r="J345" s="6">
        <v>15241.505356517726</v>
      </c>
      <c r="K345" s="6">
        <v>23111242</v>
      </c>
      <c r="M345" s="6">
        <f t="shared" si="30"/>
        <v>1525995.5053565176</v>
      </c>
      <c r="N345" s="6">
        <f t="shared" si="31"/>
        <v>23111242</v>
      </c>
      <c r="O345" s="6">
        <f t="shared" si="32"/>
        <v>24637237.505356517</v>
      </c>
      <c r="P345" s="8">
        <f>VLOOKUP(F345,'LEAID Match'!$A$2:$B$436,2,FALSE)</f>
        <v>1803930</v>
      </c>
      <c r="Q345" s="6">
        <f t="shared" si="33"/>
        <v>9</v>
      </c>
    </row>
    <row r="346" spans="1:17" x14ac:dyDescent="0.2">
      <c r="A346" s="16">
        <f t="shared" si="29"/>
        <v>1806600</v>
      </c>
      <c r="B346">
        <v>2015</v>
      </c>
      <c r="C346" t="s">
        <v>904</v>
      </c>
      <c r="D346" t="s">
        <v>906</v>
      </c>
      <c r="E346" t="s">
        <v>1252</v>
      </c>
      <c r="F346" t="s">
        <v>659</v>
      </c>
      <c r="G346" t="s">
        <v>55</v>
      </c>
      <c r="H346" s="6">
        <v>760434</v>
      </c>
      <c r="I346" s="6">
        <v>3.6977677791875845E-3</v>
      </c>
      <c r="J346" s="6">
        <v>21487.728564859055</v>
      </c>
      <c r="K346" s="6">
        <v>3126891.5983654801</v>
      </c>
      <c r="M346" s="6">
        <f t="shared" si="30"/>
        <v>781921.72856485902</v>
      </c>
      <c r="N346" s="6">
        <f t="shared" si="31"/>
        <v>3126891.5983654801</v>
      </c>
      <c r="O346" s="6">
        <f t="shared" si="32"/>
        <v>3908813.326930339</v>
      </c>
      <c r="P346" s="8">
        <f>VLOOKUP(F346,'LEAID Match'!$A$2:$B$436,2,FALSE)</f>
        <v>1806600</v>
      </c>
      <c r="Q346" s="6">
        <f t="shared" si="33"/>
        <v>9</v>
      </c>
    </row>
    <row r="347" spans="1:17" x14ac:dyDescent="0.2">
      <c r="A347" s="16">
        <f t="shared" si="29"/>
        <v>1806600</v>
      </c>
      <c r="B347">
        <v>2016</v>
      </c>
      <c r="C347" t="s">
        <v>904</v>
      </c>
      <c r="D347" t="s">
        <v>906</v>
      </c>
      <c r="E347" t="s">
        <v>1253</v>
      </c>
      <c r="F347" t="s">
        <v>659</v>
      </c>
      <c r="G347" t="s">
        <v>55</v>
      </c>
      <c r="H347" s="6">
        <v>809545</v>
      </c>
      <c r="I347" s="6">
        <v>3.7563882252855912E-3</v>
      </c>
      <c r="J347" s="6">
        <v>18962.247761241666</v>
      </c>
      <c r="K347" s="6">
        <v>3333794.54994096</v>
      </c>
      <c r="M347" s="6">
        <f t="shared" si="30"/>
        <v>828507.24776124163</v>
      </c>
      <c r="N347" s="6">
        <f t="shared" si="31"/>
        <v>3333794.54994096</v>
      </c>
      <c r="O347" s="6">
        <f t="shared" si="32"/>
        <v>4162301.7977022016</v>
      </c>
      <c r="P347" s="8">
        <f>VLOOKUP(F347,'LEAID Match'!$A$2:$B$436,2,FALSE)</f>
        <v>1806600</v>
      </c>
      <c r="Q347" s="6">
        <f t="shared" si="33"/>
        <v>9</v>
      </c>
    </row>
    <row r="348" spans="1:17" x14ac:dyDescent="0.2">
      <c r="A348" s="16">
        <f t="shared" si="29"/>
        <v>1806600</v>
      </c>
      <c r="B348">
        <v>2017</v>
      </c>
      <c r="C348" t="s">
        <v>904</v>
      </c>
      <c r="D348" t="s">
        <v>906</v>
      </c>
      <c r="E348" t="s">
        <v>1254</v>
      </c>
      <c r="F348" t="s">
        <v>659</v>
      </c>
      <c r="G348" t="s">
        <v>55</v>
      </c>
      <c r="H348" s="6">
        <v>858184</v>
      </c>
      <c r="I348" s="6">
        <v>3.7789512883524856E-3</v>
      </c>
      <c r="J348" s="6">
        <v>17099.754579794997</v>
      </c>
      <c r="K348" s="6">
        <v>3291466.57215501</v>
      </c>
      <c r="M348" s="6">
        <f t="shared" si="30"/>
        <v>875283.75457979494</v>
      </c>
      <c r="N348" s="6">
        <f t="shared" si="31"/>
        <v>3291466.57215501</v>
      </c>
      <c r="O348" s="6">
        <f t="shared" si="32"/>
        <v>4166750.326734805</v>
      </c>
      <c r="P348" s="8">
        <f>VLOOKUP(F348,'LEAID Match'!$A$2:$B$436,2,FALSE)</f>
        <v>1806600</v>
      </c>
      <c r="Q348" s="6">
        <f t="shared" si="33"/>
        <v>9</v>
      </c>
    </row>
    <row r="349" spans="1:17" x14ac:dyDescent="0.2">
      <c r="A349" s="16">
        <f t="shared" si="29"/>
        <v>1806600</v>
      </c>
      <c r="B349">
        <v>2018</v>
      </c>
      <c r="C349" t="s">
        <v>904</v>
      </c>
      <c r="D349" t="s">
        <v>906</v>
      </c>
      <c r="E349" t="s">
        <v>1255</v>
      </c>
      <c r="F349" t="s">
        <v>659</v>
      </c>
      <c r="G349" t="s">
        <v>55</v>
      </c>
      <c r="H349" s="6">
        <v>901787</v>
      </c>
      <c r="I349" s="6">
        <v>3.8257148541192493E-3</v>
      </c>
      <c r="J349" s="6">
        <v>15945.579511969032</v>
      </c>
      <c r="K349" s="6">
        <v>2566632</v>
      </c>
      <c r="M349" s="6">
        <f t="shared" si="30"/>
        <v>917732.579511969</v>
      </c>
      <c r="N349" s="6">
        <f t="shared" si="31"/>
        <v>2566632</v>
      </c>
      <c r="O349" s="6">
        <f t="shared" si="32"/>
        <v>3484364.5795119689</v>
      </c>
      <c r="P349" s="8">
        <f>VLOOKUP(F349,'LEAID Match'!$A$2:$B$436,2,FALSE)</f>
        <v>1806600</v>
      </c>
      <c r="Q349" s="6">
        <f t="shared" si="33"/>
        <v>9</v>
      </c>
    </row>
    <row r="350" spans="1:17" x14ac:dyDescent="0.2">
      <c r="A350" s="16">
        <f t="shared" si="29"/>
        <v>1806600</v>
      </c>
      <c r="B350">
        <v>2019</v>
      </c>
      <c r="C350" t="s">
        <v>904</v>
      </c>
      <c r="D350" t="s">
        <v>906</v>
      </c>
      <c r="E350" t="s">
        <v>1256</v>
      </c>
      <c r="F350" t="s">
        <v>659</v>
      </c>
      <c r="G350" t="s">
        <v>55</v>
      </c>
      <c r="H350" s="6">
        <v>964141</v>
      </c>
      <c r="I350" s="6">
        <v>2.452769475048678E-3</v>
      </c>
      <c r="J350" s="6">
        <v>8596.9570100456167</v>
      </c>
      <c r="K350" s="6">
        <v>2315169.10749844</v>
      </c>
      <c r="M350" s="6">
        <f t="shared" si="30"/>
        <v>972737.95701004565</v>
      </c>
      <c r="N350" s="6">
        <f t="shared" si="31"/>
        <v>2315169.10749844</v>
      </c>
      <c r="O350" s="6">
        <f t="shared" si="32"/>
        <v>3287907.0645084856</v>
      </c>
      <c r="P350" s="8">
        <f>VLOOKUP(F350,'LEAID Match'!$A$2:$B$436,2,FALSE)</f>
        <v>1806600</v>
      </c>
      <c r="Q350" s="6">
        <f t="shared" si="33"/>
        <v>9</v>
      </c>
    </row>
    <row r="351" spans="1:17" x14ac:dyDescent="0.2">
      <c r="A351" s="16">
        <f t="shared" si="29"/>
        <v>1806600</v>
      </c>
      <c r="B351">
        <v>2020</v>
      </c>
      <c r="C351" t="s">
        <v>904</v>
      </c>
      <c r="D351" t="s">
        <v>906</v>
      </c>
      <c r="E351" t="s">
        <v>1257</v>
      </c>
      <c r="F351" t="s">
        <v>659</v>
      </c>
      <c r="G351" t="s">
        <v>55</v>
      </c>
      <c r="H351" s="6">
        <v>744105</v>
      </c>
      <c r="I351" s="6">
        <v>3.9427948972724173E-3</v>
      </c>
      <c r="J351" s="6">
        <v>9289.2247779738154</v>
      </c>
      <c r="K351" s="6">
        <v>2830947</v>
      </c>
      <c r="M351" s="6">
        <f t="shared" si="30"/>
        <v>753394.22477797384</v>
      </c>
      <c r="N351" s="6">
        <f t="shared" si="31"/>
        <v>2830947</v>
      </c>
      <c r="O351" s="6">
        <f t="shared" si="32"/>
        <v>3584341.2247779737</v>
      </c>
      <c r="P351" s="8">
        <f>VLOOKUP(F351,'LEAID Match'!$A$2:$B$436,2,FALSE)</f>
        <v>1806600</v>
      </c>
      <c r="Q351" s="6">
        <f t="shared" si="33"/>
        <v>9</v>
      </c>
    </row>
    <row r="352" spans="1:17" x14ac:dyDescent="0.2">
      <c r="A352" s="16">
        <f t="shared" si="29"/>
        <v>1806600</v>
      </c>
      <c r="B352">
        <v>2021</v>
      </c>
      <c r="C352" t="s">
        <v>904</v>
      </c>
      <c r="D352" t="s">
        <v>906</v>
      </c>
      <c r="E352" t="s">
        <v>1258</v>
      </c>
      <c r="F352" t="s">
        <v>659</v>
      </c>
      <c r="G352" t="s">
        <v>55</v>
      </c>
      <c r="H352" s="6">
        <v>805107</v>
      </c>
      <c r="I352" s="6">
        <v>3.9773034540898063E-3</v>
      </c>
      <c r="J352" s="6">
        <v>8964.8419855184238</v>
      </c>
      <c r="K352" s="6">
        <v>4861617</v>
      </c>
      <c r="M352" s="6">
        <f t="shared" si="30"/>
        <v>814071.84198551846</v>
      </c>
      <c r="N352" s="6">
        <f t="shared" si="31"/>
        <v>4861617</v>
      </c>
      <c r="O352" s="6">
        <f t="shared" si="32"/>
        <v>5675688.8419855181</v>
      </c>
      <c r="P352" s="8">
        <f>VLOOKUP(F352,'LEAID Match'!$A$2:$B$436,2,FALSE)</f>
        <v>1806600</v>
      </c>
      <c r="Q352" s="6">
        <f t="shared" si="33"/>
        <v>9</v>
      </c>
    </row>
    <row r="353" spans="1:17" x14ac:dyDescent="0.2">
      <c r="A353" s="16">
        <f t="shared" si="29"/>
        <v>1806600</v>
      </c>
      <c r="B353">
        <v>2022</v>
      </c>
      <c r="C353" t="s">
        <v>904</v>
      </c>
      <c r="D353" t="s">
        <v>906</v>
      </c>
      <c r="E353" t="s">
        <v>1259</v>
      </c>
      <c r="F353" t="s">
        <v>659</v>
      </c>
      <c r="G353" t="s">
        <v>55</v>
      </c>
      <c r="H353" s="6">
        <v>845409</v>
      </c>
      <c r="I353" s="6">
        <v>4.0141590522225993E-3</v>
      </c>
      <c r="J353" s="6">
        <v>8851.220710150832</v>
      </c>
      <c r="K353" s="6">
        <v>4475259</v>
      </c>
      <c r="M353" s="6">
        <f t="shared" si="30"/>
        <v>854260.22071015078</v>
      </c>
      <c r="N353" s="6">
        <f t="shared" si="31"/>
        <v>4475259</v>
      </c>
      <c r="O353" s="6">
        <f t="shared" si="32"/>
        <v>5329519.2207101509</v>
      </c>
      <c r="P353" s="8">
        <f>VLOOKUP(F353,'LEAID Match'!$A$2:$B$436,2,FALSE)</f>
        <v>1806600</v>
      </c>
      <c r="Q353" s="6">
        <f t="shared" si="33"/>
        <v>9</v>
      </c>
    </row>
    <row r="354" spans="1:17" x14ac:dyDescent="0.2">
      <c r="A354" s="16">
        <f t="shared" si="29"/>
        <v>1806600</v>
      </c>
      <c r="B354">
        <v>2023</v>
      </c>
      <c r="C354" t="s">
        <v>904</v>
      </c>
      <c r="D354" t="s">
        <v>906</v>
      </c>
      <c r="E354" t="s">
        <v>1260</v>
      </c>
      <c r="F354" t="s">
        <v>659</v>
      </c>
      <c r="G354" t="s">
        <v>55</v>
      </c>
      <c r="H354" s="6">
        <v>980999</v>
      </c>
      <c r="I354" s="6">
        <v>4.0117468976242207E-3</v>
      </c>
      <c r="J354" s="6">
        <v>9896.9795964389523</v>
      </c>
      <c r="K354" s="6">
        <v>12860001</v>
      </c>
      <c r="M354" s="6">
        <f t="shared" si="30"/>
        <v>990895.97959643893</v>
      </c>
      <c r="N354" s="6">
        <f t="shared" si="31"/>
        <v>12860001</v>
      </c>
      <c r="O354" s="6">
        <f t="shared" si="32"/>
        <v>13850896.97959644</v>
      </c>
      <c r="P354" s="8">
        <f>VLOOKUP(F354,'LEAID Match'!$A$2:$B$436,2,FALSE)</f>
        <v>1806600</v>
      </c>
      <c r="Q354" s="6">
        <f t="shared" si="33"/>
        <v>9</v>
      </c>
    </row>
    <row r="355" spans="1:17" x14ac:dyDescent="0.2">
      <c r="A355" s="16">
        <f t="shared" si="29"/>
        <v>1800420</v>
      </c>
      <c r="B355">
        <v>2015</v>
      </c>
      <c r="C355" t="s">
        <v>904</v>
      </c>
      <c r="D355" t="s">
        <v>906</v>
      </c>
      <c r="E355" t="s">
        <v>1261</v>
      </c>
      <c r="F355" t="s">
        <v>472</v>
      </c>
      <c r="G355" t="s">
        <v>56</v>
      </c>
      <c r="H355" s="6">
        <v>283507</v>
      </c>
      <c r="I355" s="6">
        <v>1.3786114899835286E-3</v>
      </c>
      <c r="J355" s="6">
        <v>8011.1113682942851</v>
      </c>
      <c r="K355" s="6">
        <v>1165775.9337139099</v>
      </c>
      <c r="M355" s="6">
        <f t="shared" si="30"/>
        <v>291518.11136829428</v>
      </c>
      <c r="N355" s="6">
        <f t="shared" si="31"/>
        <v>1165775.9337139099</v>
      </c>
      <c r="O355" s="6">
        <f t="shared" si="32"/>
        <v>1457294.0450822043</v>
      </c>
      <c r="P355" s="8">
        <f>VLOOKUP(F355,'LEAID Match'!$A$2:$B$436,2,FALSE)</f>
        <v>1800420</v>
      </c>
      <c r="Q355" s="6">
        <f t="shared" si="33"/>
        <v>9</v>
      </c>
    </row>
    <row r="356" spans="1:17" x14ac:dyDescent="0.2">
      <c r="A356" s="16">
        <f t="shared" si="29"/>
        <v>1800420</v>
      </c>
      <c r="B356">
        <v>2016</v>
      </c>
      <c r="C356" t="s">
        <v>904</v>
      </c>
      <c r="D356" t="s">
        <v>906</v>
      </c>
      <c r="E356" t="s">
        <v>1262</v>
      </c>
      <c r="F356" t="s">
        <v>472</v>
      </c>
      <c r="G356" t="s">
        <v>56</v>
      </c>
      <c r="H356" s="6">
        <v>290976</v>
      </c>
      <c r="I356" s="6">
        <v>1.350164376582772E-3</v>
      </c>
      <c r="J356" s="6">
        <v>6815.6297729898324</v>
      </c>
      <c r="K356" s="6">
        <v>1198270.8842172101</v>
      </c>
      <c r="M356" s="6">
        <f t="shared" si="30"/>
        <v>297791.62977298984</v>
      </c>
      <c r="N356" s="6">
        <f t="shared" si="31"/>
        <v>1198270.8842172101</v>
      </c>
      <c r="O356" s="6">
        <f t="shared" si="32"/>
        <v>1496062.5139901999</v>
      </c>
      <c r="P356" s="8">
        <f>VLOOKUP(F356,'LEAID Match'!$A$2:$B$436,2,FALSE)</f>
        <v>1800420</v>
      </c>
      <c r="Q356" s="6">
        <f t="shared" si="33"/>
        <v>9</v>
      </c>
    </row>
    <row r="357" spans="1:17" x14ac:dyDescent="0.2">
      <c r="A357" s="16">
        <f t="shared" si="29"/>
        <v>1800420</v>
      </c>
      <c r="B357">
        <v>2017</v>
      </c>
      <c r="C357" t="s">
        <v>904</v>
      </c>
      <c r="D357" t="s">
        <v>906</v>
      </c>
      <c r="E357" t="s">
        <v>1263</v>
      </c>
      <c r="F357" t="s">
        <v>472</v>
      </c>
      <c r="G357" t="s">
        <v>56</v>
      </c>
      <c r="H357" s="6">
        <v>305737</v>
      </c>
      <c r="I357" s="6">
        <v>1.3462908071544377E-3</v>
      </c>
      <c r="J357" s="6">
        <v>6091.9659023738304</v>
      </c>
      <c r="K357" s="6">
        <v>1172619.29303151</v>
      </c>
      <c r="M357" s="6">
        <f t="shared" si="30"/>
        <v>311828.96590237383</v>
      </c>
      <c r="N357" s="6">
        <f t="shared" si="31"/>
        <v>1172619.29303151</v>
      </c>
      <c r="O357" s="6">
        <f t="shared" si="32"/>
        <v>1484448.2589338839</v>
      </c>
      <c r="P357" s="8">
        <f>VLOOKUP(F357,'LEAID Match'!$A$2:$B$436,2,FALSE)</f>
        <v>1800420</v>
      </c>
      <c r="Q357" s="6">
        <f t="shared" si="33"/>
        <v>9</v>
      </c>
    </row>
    <row r="358" spans="1:17" x14ac:dyDescent="0.2">
      <c r="A358" s="16">
        <f t="shared" si="29"/>
        <v>1800420</v>
      </c>
      <c r="B358">
        <v>2018</v>
      </c>
      <c r="C358" t="s">
        <v>904</v>
      </c>
      <c r="D358" t="s">
        <v>906</v>
      </c>
      <c r="E358" t="s">
        <v>1264</v>
      </c>
      <c r="F358" t="s">
        <v>472</v>
      </c>
      <c r="G358" t="s">
        <v>56</v>
      </c>
      <c r="H358" s="6">
        <v>322375</v>
      </c>
      <c r="I358" s="6">
        <v>1.3676342929058558E-3</v>
      </c>
      <c r="J358" s="6">
        <v>5700.2997328316069</v>
      </c>
      <c r="K358" s="6">
        <v>1421460</v>
      </c>
      <c r="M358" s="6">
        <f t="shared" si="30"/>
        <v>328075.2997328316</v>
      </c>
      <c r="N358" s="6">
        <f t="shared" si="31"/>
        <v>1421460</v>
      </c>
      <c r="O358" s="6">
        <f t="shared" si="32"/>
        <v>1749535.2997328315</v>
      </c>
      <c r="P358" s="8">
        <f>VLOOKUP(F358,'LEAID Match'!$A$2:$B$436,2,FALSE)</f>
        <v>1800420</v>
      </c>
      <c r="Q358" s="6">
        <f t="shared" si="33"/>
        <v>9</v>
      </c>
    </row>
    <row r="359" spans="1:17" x14ac:dyDescent="0.2">
      <c r="A359" s="16">
        <f t="shared" si="29"/>
        <v>1800420</v>
      </c>
      <c r="B359">
        <v>2019</v>
      </c>
      <c r="C359" t="s">
        <v>904</v>
      </c>
      <c r="D359" t="s">
        <v>906</v>
      </c>
      <c r="E359" t="s">
        <v>1265</v>
      </c>
      <c r="F359" t="s">
        <v>472</v>
      </c>
      <c r="G359" t="s">
        <v>56</v>
      </c>
      <c r="H359" s="6">
        <v>350665</v>
      </c>
      <c r="I359" s="6">
        <v>8.9208985819288328E-4</v>
      </c>
      <c r="J359" s="6">
        <v>3126.7749529660559</v>
      </c>
      <c r="K359" s="6">
        <v>842043.61714826198</v>
      </c>
      <c r="M359" s="6">
        <f t="shared" si="30"/>
        <v>353791.77495296608</v>
      </c>
      <c r="N359" s="6">
        <f t="shared" si="31"/>
        <v>842043.61714826198</v>
      </c>
      <c r="O359" s="6">
        <f t="shared" si="32"/>
        <v>1195835.392101228</v>
      </c>
      <c r="P359" s="8">
        <f>VLOOKUP(F359,'LEAID Match'!$A$2:$B$436,2,FALSE)</f>
        <v>1800420</v>
      </c>
      <c r="Q359" s="6">
        <f t="shared" si="33"/>
        <v>9</v>
      </c>
    </row>
    <row r="360" spans="1:17" x14ac:dyDescent="0.2">
      <c r="A360" s="16">
        <f t="shared" si="29"/>
        <v>1800420</v>
      </c>
      <c r="B360">
        <v>2020</v>
      </c>
      <c r="C360" t="s">
        <v>904</v>
      </c>
      <c r="D360" t="s">
        <v>906</v>
      </c>
      <c r="E360" t="s">
        <v>1266</v>
      </c>
      <c r="F360" t="s">
        <v>472</v>
      </c>
      <c r="G360" t="s">
        <v>56</v>
      </c>
      <c r="H360" s="6">
        <v>267172</v>
      </c>
      <c r="I360" s="6">
        <v>1.4156663351194605E-3</v>
      </c>
      <c r="J360" s="6">
        <v>3335.3098855414491</v>
      </c>
      <c r="K360" s="6">
        <v>1518559</v>
      </c>
      <c r="M360" s="6">
        <f t="shared" si="30"/>
        <v>270507.30988554144</v>
      </c>
      <c r="N360" s="6">
        <f t="shared" si="31"/>
        <v>1518559</v>
      </c>
      <c r="O360" s="6">
        <f t="shared" si="32"/>
        <v>1789066.3098855414</v>
      </c>
      <c r="P360" s="8">
        <f>VLOOKUP(F360,'LEAID Match'!$A$2:$B$436,2,FALSE)</f>
        <v>1800420</v>
      </c>
      <c r="Q360" s="6">
        <f t="shared" si="33"/>
        <v>9</v>
      </c>
    </row>
    <row r="361" spans="1:17" x14ac:dyDescent="0.2">
      <c r="A361" s="16">
        <f t="shared" si="29"/>
        <v>1800420</v>
      </c>
      <c r="B361">
        <v>2021</v>
      </c>
      <c r="C361" t="s">
        <v>904</v>
      </c>
      <c r="D361" t="s">
        <v>906</v>
      </c>
      <c r="E361" t="s">
        <v>1267</v>
      </c>
      <c r="F361" t="s">
        <v>472</v>
      </c>
      <c r="G361" t="s">
        <v>56</v>
      </c>
      <c r="H361" s="6">
        <v>278870</v>
      </c>
      <c r="I361" s="6">
        <v>1.3776437346117029E-3</v>
      </c>
      <c r="J361" s="6">
        <v>3105.2089778147783</v>
      </c>
      <c r="K361" s="6">
        <v>2607589</v>
      </c>
      <c r="M361" s="6">
        <f t="shared" si="30"/>
        <v>281975.20897781476</v>
      </c>
      <c r="N361" s="6">
        <f t="shared" si="31"/>
        <v>2607589</v>
      </c>
      <c r="O361" s="6">
        <f t="shared" si="32"/>
        <v>2889564.2089778148</v>
      </c>
      <c r="P361" s="8">
        <f>VLOOKUP(F361,'LEAID Match'!$A$2:$B$436,2,FALSE)</f>
        <v>1800420</v>
      </c>
      <c r="Q361" s="6">
        <f t="shared" si="33"/>
        <v>9</v>
      </c>
    </row>
    <row r="362" spans="1:17" x14ac:dyDescent="0.2">
      <c r="A362" s="16">
        <f t="shared" si="29"/>
        <v>1800420</v>
      </c>
      <c r="B362">
        <v>2022</v>
      </c>
      <c r="C362" t="s">
        <v>904</v>
      </c>
      <c r="D362" t="s">
        <v>906</v>
      </c>
      <c r="E362" t="s">
        <v>1268</v>
      </c>
      <c r="F362" t="s">
        <v>472</v>
      </c>
      <c r="G362" t="s">
        <v>56</v>
      </c>
      <c r="H362" s="6">
        <v>293955</v>
      </c>
      <c r="I362" s="6">
        <v>1.3957529718705314E-3</v>
      </c>
      <c r="J362" s="6">
        <v>3077.6353029745219</v>
      </c>
      <c r="K362" s="6">
        <v>2636008</v>
      </c>
      <c r="M362" s="6">
        <f t="shared" si="30"/>
        <v>297032.63530297449</v>
      </c>
      <c r="N362" s="6">
        <f t="shared" si="31"/>
        <v>2636008</v>
      </c>
      <c r="O362" s="6">
        <f t="shared" si="32"/>
        <v>2933040.6353029744</v>
      </c>
      <c r="P362" s="8">
        <f>VLOOKUP(F362,'LEAID Match'!$A$2:$B$436,2,FALSE)</f>
        <v>1800420</v>
      </c>
      <c r="Q362" s="6">
        <f t="shared" si="33"/>
        <v>9</v>
      </c>
    </row>
    <row r="363" spans="1:17" x14ac:dyDescent="0.2">
      <c r="A363" s="16">
        <f t="shared" si="29"/>
        <v>1800420</v>
      </c>
      <c r="B363">
        <v>2023</v>
      </c>
      <c r="C363" t="s">
        <v>904</v>
      </c>
      <c r="D363" t="s">
        <v>906</v>
      </c>
      <c r="E363" t="s">
        <v>1269</v>
      </c>
      <c r="F363" t="s">
        <v>472</v>
      </c>
      <c r="G363" t="s">
        <v>56</v>
      </c>
      <c r="H363" s="6">
        <v>356107</v>
      </c>
      <c r="I363" s="6">
        <v>1.4562819661103306E-3</v>
      </c>
      <c r="J363" s="6">
        <v>3592.6476103941859</v>
      </c>
      <c r="K363" s="6">
        <v>7118188</v>
      </c>
      <c r="M363" s="6">
        <f t="shared" si="30"/>
        <v>359699.64761039417</v>
      </c>
      <c r="N363" s="6">
        <f t="shared" si="31"/>
        <v>7118188</v>
      </c>
      <c r="O363" s="6">
        <f t="shared" si="32"/>
        <v>7477887.6476103943</v>
      </c>
      <c r="P363" s="8">
        <f>VLOOKUP(F363,'LEAID Match'!$A$2:$B$436,2,FALSE)</f>
        <v>1800420</v>
      </c>
      <c r="Q363" s="6">
        <f t="shared" si="33"/>
        <v>9</v>
      </c>
    </row>
    <row r="364" spans="1:17" x14ac:dyDescent="0.2">
      <c r="A364" s="16">
        <f t="shared" si="29"/>
        <v>1803480</v>
      </c>
      <c r="B364">
        <v>2015</v>
      </c>
      <c r="C364" t="s">
        <v>904</v>
      </c>
      <c r="D364" t="s">
        <v>906</v>
      </c>
      <c r="E364" t="s">
        <v>1270</v>
      </c>
      <c r="F364" t="s">
        <v>660</v>
      </c>
      <c r="G364" t="s">
        <v>57</v>
      </c>
      <c r="H364" s="6">
        <v>293286</v>
      </c>
      <c r="I364" s="6">
        <v>1.4261639023068536E-3</v>
      </c>
      <c r="J364" s="6">
        <v>8287.4384363051267</v>
      </c>
      <c r="K364" s="6">
        <v>1205987.01441311</v>
      </c>
      <c r="M364" s="6">
        <f t="shared" si="30"/>
        <v>301573.43843630515</v>
      </c>
      <c r="N364" s="6">
        <f t="shared" si="31"/>
        <v>1205987.01441311</v>
      </c>
      <c r="O364" s="6">
        <f t="shared" si="32"/>
        <v>1507560.4528494151</v>
      </c>
      <c r="P364" s="8">
        <f>VLOOKUP(F364,'LEAID Match'!$A$2:$B$436,2,FALSE)</f>
        <v>1803480</v>
      </c>
      <c r="Q364" s="6">
        <f t="shared" si="33"/>
        <v>9</v>
      </c>
    </row>
    <row r="365" spans="1:17" x14ac:dyDescent="0.2">
      <c r="A365" s="16">
        <f t="shared" si="29"/>
        <v>1803480</v>
      </c>
      <c r="B365">
        <v>2016</v>
      </c>
      <c r="C365" t="s">
        <v>904</v>
      </c>
      <c r="D365" t="s">
        <v>906</v>
      </c>
      <c r="E365" t="s">
        <v>1271</v>
      </c>
      <c r="F365" t="s">
        <v>660</v>
      </c>
      <c r="G365" t="s">
        <v>57</v>
      </c>
      <c r="H365" s="6">
        <v>327003</v>
      </c>
      <c r="I365" s="6">
        <v>1.5173340812840103E-3</v>
      </c>
      <c r="J365" s="6">
        <v>7659.5024423216837</v>
      </c>
      <c r="K365" s="6">
        <v>1346633.99713955</v>
      </c>
      <c r="M365" s="6">
        <f t="shared" si="30"/>
        <v>334662.50244232168</v>
      </c>
      <c r="N365" s="6">
        <f t="shared" si="31"/>
        <v>1346633.99713955</v>
      </c>
      <c r="O365" s="6">
        <f t="shared" si="32"/>
        <v>1681296.4995818718</v>
      </c>
      <c r="P365" s="8">
        <f>VLOOKUP(F365,'LEAID Match'!$A$2:$B$436,2,FALSE)</f>
        <v>1803480</v>
      </c>
      <c r="Q365" s="6">
        <f t="shared" si="33"/>
        <v>9</v>
      </c>
    </row>
    <row r="366" spans="1:17" x14ac:dyDescent="0.2">
      <c r="A366" s="16">
        <f t="shared" si="29"/>
        <v>1803480</v>
      </c>
      <c r="B366">
        <v>2017</v>
      </c>
      <c r="C366" t="s">
        <v>904</v>
      </c>
      <c r="D366" t="s">
        <v>906</v>
      </c>
      <c r="E366" t="s">
        <v>1272</v>
      </c>
      <c r="F366" t="s">
        <v>660</v>
      </c>
      <c r="G366" t="s">
        <v>57</v>
      </c>
      <c r="H366" s="6">
        <v>369822</v>
      </c>
      <c r="I366" s="6">
        <v>1.6284844781085325E-3</v>
      </c>
      <c r="J366" s="6">
        <v>7368.8922634411092</v>
      </c>
      <c r="K366" s="6">
        <v>1418409.9804325299</v>
      </c>
      <c r="M366" s="6">
        <f t="shared" si="30"/>
        <v>377190.89226344111</v>
      </c>
      <c r="N366" s="6">
        <f t="shared" si="31"/>
        <v>1418409.9804325299</v>
      </c>
      <c r="O366" s="6">
        <f t="shared" si="32"/>
        <v>1795600.872695971</v>
      </c>
      <c r="P366" s="8">
        <f>VLOOKUP(F366,'LEAID Match'!$A$2:$B$436,2,FALSE)</f>
        <v>1803480</v>
      </c>
      <c r="Q366" s="6">
        <f t="shared" si="33"/>
        <v>9</v>
      </c>
    </row>
    <row r="367" spans="1:17" x14ac:dyDescent="0.2">
      <c r="A367" s="16">
        <f t="shared" si="29"/>
        <v>1803480</v>
      </c>
      <c r="B367">
        <v>2018</v>
      </c>
      <c r="C367" t="s">
        <v>904</v>
      </c>
      <c r="D367" t="s">
        <v>906</v>
      </c>
      <c r="E367" t="s">
        <v>1273</v>
      </c>
      <c r="F367" t="s">
        <v>660</v>
      </c>
      <c r="G367" t="s">
        <v>57</v>
      </c>
      <c r="H367" s="6">
        <v>403149</v>
      </c>
      <c r="I367" s="6">
        <v>1.7103075534725175E-3</v>
      </c>
      <c r="J367" s="6">
        <v>7128.5618828734532</v>
      </c>
      <c r="K367" s="6">
        <v>1539502</v>
      </c>
      <c r="M367" s="6">
        <f t="shared" si="30"/>
        <v>410277.56188287347</v>
      </c>
      <c r="N367" s="6">
        <f t="shared" si="31"/>
        <v>1539502</v>
      </c>
      <c r="O367" s="6">
        <f t="shared" si="32"/>
        <v>1949779.5618828735</v>
      </c>
      <c r="P367" s="8">
        <f>VLOOKUP(F367,'LEAID Match'!$A$2:$B$436,2,FALSE)</f>
        <v>1803480</v>
      </c>
      <c r="Q367" s="6">
        <f t="shared" si="33"/>
        <v>9</v>
      </c>
    </row>
    <row r="368" spans="1:17" x14ac:dyDescent="0.2">
      <c r="A368" s="16">
        <f t="shared" si="29"/>
        <v>1803480</v>
      </c>
      <c r="B368">
        <v>2019</v>
      </c>
      <c r="C368" t="s">
        <v>904</v>
      </c>
      <c r="D368" t="s">
        <v>906</v>
      </c>
      <c r="E368" t="s">
        <v>1274</v>
      </c>
      <c r="F368" t="s">
        <v>660</v>
      </c>
      <c r="G368" t="s">
        <v>57</v>
      </c>
      <c r="H368" s="6">
        <v>435865</v>
      </c>
      <c r="I368" s="6">
        <v>1.1088381961166386E-3</v>
      </c>
      <c r="J368" s="6">
        <v>3886.4778773888183</v>
      </c>
      <c r="K368" s="6">
        <v>1046632.37331449</v>
      </c>
      <c r="M368" s="6">
        <f t="shared" si="30"/>
        <v>439751.47787738882</v>
      </c>
      <c r="N368" s="6">
        <f t="shared" si="31"/>
        <v>1046632.37331449</v>
      </c>
      <c r="O368" s="6">
        <f t="shared" si="32"/>
        <v>1486383.8511918788</v>
      </c>
      <c r="P368" s="8">
        <f>VLOOKUP(F368,'LEAID Match'!$A$2:$B$436,2,FALSE)</f>
        <v>1803480</v>
      </c>
      <c r="Q368" s="6">
        <f t="shared" si="33"/>
        <v>9</v>
      </c>
    </row>
    <row r="369" spans="1:17" x14ac:dyDescent="0.2">
      <c r="A369" s="16">
        <f t="shared" si="29"/>
        <v>1803480</v>
      </c>
      <c r="B369">
        <v>2020</v>
      </c>
      <c r="C369" t="s">
        <v>904</v>
      </c>
      <c r="D369" t="s">
        <v>906</v>
      </c>
      <c r="E369" t="s">
        <v>1275</v>
      </c>
      <c r="F369" t="s">
        <v>660</v>
      </c>
      <c r="G369" t="s">
        <v>57</v>
      </c>
      <c r="H369" s="6">
        <v>341220</v>
      </c>
      <c r="I369" s="6">
        <v>1.8080250433034238E-3</v>
      </c>
      <c r="J369" s="6">
        <v>4259.7070020228666</v>
      </c>
      <c r="K369" s="6">
        <v>1686274</v>
      </c>
      <c r="M369" s="6">
        <f t="shared" si="30"/>
        <v>345479.70700202289</v>
      </c>
      <c r="N369" s="6">
        <f t="shared" si="31"/>
        <v>1686274</v>
      </c>
      <c r="O369" s="6">
        <f t="shared" si="32"/>
        <v>2031753.7070020228</v>
      </c>
      <c r="P369" s="8">
        <f>VLOOKUP(F369,'LEAID Match'!$A$2:$B$436,2,FALSE)</f>
        <v>1803480</v>
      </c>
      <c r="Q369" s="6">
        <f t="shared" si="33"/>
        <v>9</v>
      </c>
    </row>
    <row r="370" spans="1:17" x14ac:dyDescent="0.2">
      <c r="A370" s="16">
        <f t="shared" si="29"/>
        <v>1803480</v>
      </c>
      <c r="B370">
        <v>2021</v>
      </c>
      <c r="C370" t="s">
        <v>904</v>
      </c>
      <c r="D370" t="s">
        <v>906</v>
      </c>
      <c r="E370" t="s">
        <v>1276</v>
      </c>
      <c r="F370" t="s">
        <v>660</v>
      </c>
      <c r="G370" t="s">
        <v>57</v>
      </c>
      <c r="H370" s="6">
        <v>359550</v>
      </c>
      <c r="I370" s="6">
        <v>1.7762104377654026E-3</v>
      </c>
      <c r="J370" s="6">
        <v>4003.5783267232173</v>
      </c>
      <c r="K370" s="6">
        <v>2914477</v>
      </c>
      <c r="M370" s="6">
        <f t="shared" si="30"/>
        <v>363553.57832672319</v>
      </c>
      <c r="N370" s="6">
        <f t="shared" si="31"/>
        <v>2914477</v>
      </c>
      <c r="O370" s="6">
        <f t="shared" si="32"/>
        <v>3278030.5783267231</v>
      </c>
      <c r="P370" s="8">
        <f>VLOOKUP(F370,'LEAID Match'!$A$2:$B$436,2,FALSE)</f>
        <v>1803480</v>
      </c>
      <c r="Q370" s="6">
        <f t="shared" si="33"/>
        <v>9</v>
      </c>
    </row>
    <row r="371" spans="1:17" x14ac:dyDescent="0.2">
      <c r="A371" s="16">
        <f t="shared" si="29"/>
        <v>1803480</v>
      </c>
      <c r="B371">
        <v>2022</v>
      </c>
      <c r="C371" t="s">
        <v>904</v>
      </c>
      <c r="D371" t="s">
        <v>906</v>
      </c>
      <c r="E371" t="s">
        <v>1277</v>
      </c>
      <c r="F371" t="s">
        <v>660</v>
      </c>
      <c r="G371" t="s">
        <v>57</v>
      </c>
      <c r="H371" s="6">
        <v>380152</v>
      </c>
      <c r="I371" s="6">
        <v>1.8050323476808568E-3</v>
      </c>
      <c r="J371" s="6">
        <v>3980.0963266362892</v>
      </c>
      <c r="K371" s="6">
        <v>2800351</v>
      </c>
      <c r="M371" s="6">
        <f t="shared" si="30"/>
        <v>384132.09632663627</v>
      </c>
      <c r="N371" s="6">
        <f t="shared" si="31"/>
        <v>2800351</v>
      </c>
      <c r="O371" s="6">
        <f t="shared" si="32"/>
        <v>3184483.0963266362</v>
      </c>
      <c r="P371" s="8">
        <f>VLOOKUP(F371,'LEAID Match'!$A$2:$B$436,2,FALSE)</f>
        <v>1803480</v>
      </c>
      <c r="Q371" s="6">
        <f t="shared" si="33"/>
        <v>9</v>
      </c>
    </row>
    <row r="372" spans="1:17" x14ac:dyDescent="0.2">
      <c r="A372" s="16">
        <f t="shared" si="29"/>
        <v>1803480</v>
      </c>
      <c r="B372">
        <v>2023</v>
      </c>
      <c r="C372" t="s">
        <v>904</v>
      </c>
      <c r="D372" t="s">
        <v>906</v>
      </c>
      <c r="E372" t="s">
        <v>1278</v>
      </c>
      <c r="F372" t="s">
        <v>660</v>
      </c>
      <c r="G372" t="s">
        <v>57</v>
      </c>
      <c r="H372" s="6">
        <v>437902</v>
      </c>
      <c r="I372" s="6">
        <v>1.7907785736411979E-3</v>
      </c>
      <c r="J372" s="6">
        <v>4417.8507411728351</v>
      </c>
      <c r="K372" s="6">
        <v>8980741</v>
      </c>
      <c r="M372" s="6">
        <f t="shared" si="30"/>
        <v>442319.85074117285</v>
      </c>
      <c r="N372" s="6">
        <f t="shared" si="31"/>
        <v>8980741</v>
      </c>
      <c r="O372" s="6">
        <f t="shared" si="32"/>
        <v>9423060.8507411722</v>
      </c>
      <c r="P372" s="8">
        <f>VLOOKUP(F372,'LEAID Match'!$A$2:$B$436,2,FALSE)</f>
        <v>1803480</v>
      </c>
      <c r="Q372" s="6">
        <f t="shared" si="33"/>
        <v>9</v>
      </c>
    </row>
    <row r="373" spans="1:17" x14ac:dyDescent="0.2">
      <c r="A373" s="16">
        <f t="shared" si="29"/>
        <v>1803270</v>
      </c>
      <c r="B373">
        <v>2015</v>
      </c>
      <c r="C373" t="s">
        <v>904</v>
      </c>
      <c r="D373" t="s">
        <v>906</v>
      </c>
      <c r="E373" t="s">
        <v>1279</v>
      </c>
      <c r="F373" t="s">
        <v>661</v>
      </c>
      <c r="G373" t="s">
        <v>58</v>
      </c>
      <c r="H373" s="6">
        <v>3156620</v>
      </c>
      <c r="I373" s="6">
        <v>1.5349718354438536E-2</v>
      </c>
      <c r="J373" s="6">
        <v>89197.213357642337</v>
      </c>
      <c r="K373" s="6">
        <v>12979967.4360069</v>
      </c>
      <c r="M373" s="6">
        <f t="shared" si="30"/>
        <v>3245817.2133576423</v>
      </c>
      <c r="N373" s="6">
        <f t="shared" si="31"/>
        <v>12979967.4360069</v>
      </c>
      <c r="O373" s="6">
        <f t="shared" si="32"/>
        <v>16225784.649364542</v>
      </c>
      <c r="P373" s="8">
        <f>VLOOKUP(F373,'LEAID Match'!$A$2:$B$436,2,FALSE)</f>
        <v>1803270</v>
      </c>
      <c r="Q373" s="6">
        <f t="shared" si="33"/>
        <v>9</v>
      </c>
    </row>
    <row r="374" spans="1:17" x14ac:dyDescent="0.2">
      <c r="A374" s="16">
        <f t="shared" si="29"/>
        <v>1803270</v>
      </c>
      <c r="B374">
        <v>2016</v>
      </c>
      <c r="C374" t="s">
        <v>904</v>
      </c>
      <c r="D374" t="s">
        <v>906</v>
      </c>
      <c r="E374" t="s">
        <v>1280</v>
      </c>
      <c r="F374" t="s">
        <v>661</v>
      </c>
      <c r="G374" t="s">
        <v>58</v>
      </c>
      <c r="H374" s="6">
        <v>3377247</v>
      </c>
      <c r="I374" s="6">
        <v>1.5670840860830572E-2</v>
      </c>
      <c r="J374" s="6">
        <v>79106.404665472728</v>
      </c>
      <c r="K374" s="6">
        <v>13907871.2639871</v>
      </c>
      <c r="M374" s="6">
        <f t="shared" si="30"/>
        <v>3456353.4046654729</v>
      </c>
      <c r="N374" s="6">
        <f t="shared" si="31"/>
        <v>13907871.2639871</v>
      </c>
      <c r="O374" s="6">
        <f t="shared" si="32"/>
        <v>17364224.668652572</v>
      </c>
      <c r="P374" s="8">
        <f>VLOOKUP(F374,'LEAID Match'!$A$2:$B$436,2,FALSE)</f>
        <v>1803270</v>
      </c>
      <c r="Q374" s="6">
        <f t="shared" si="33"/>
        <v>9</v>
      </c>
    </row>
    <row r="375" spans="1:17" x14ac:dyDescent="0.2">
      <c r="A375" s="16">
        <f t="shared" si="29"/>
        <v>1803270</v>
      </c>
      <c r="B375">
        <v>2017</v>
      </c>
      <c r="C375" t="s">
        <v>904</v>
      </c>
      <c r="D375" t="s">
        <v>906</v>
      </c>
      <c r="E375" t="s">
        <v>1281</v>
      </c>
      <c r="F375" t="s">
        <v>661</v>
      </c>
      <c r="G375" t="s">
        <v>58</v>
      </c>
      <c r="H375" s="6">
        <v>3544986</v>
      </c>
      <c r="I375" s="6">
        <v>1.5610089924644976E-2</v>
      </c>
      <c r="J375" s="6">
        <v>70635.656909018522</v>
      </c>
      <c r="K375" s="6">
        <v>13596388.3243657</v>
      </c>
      <c r="M375" s="6">
        <f t="shared" si="30"/>
        <v>3615621.6569090188</v>
      </c>
      <c r="N375" s="6">
        <f t="shared" si="31"/>
        <v>13596388.3243657</v>
      </c>
      <c r="O375" s="6">
        <f t="shared" si="32"/>
        <v>17212009.981274717</v>
      </c>
      <c r="P375" s="8">
        <f>VLOOKUP(F375,'LEAID Match'!$A$2:$B$436,2,FALSE)</f>
        <v>1803270</v>
      </c>
      <c r="Q375" s="6">
        <f t="shared" si="33"/>
        <v>9</v>
      </c>
    </row>
    <row r="376" spans="1:17" x14ac:dyDescent="0.2">
      <c r="A376" s="16">
        <f t="shared" si="29"/>
        <v>1803270</v>
      </c>
      <c r="B376">
        <v>2018</v>
      </c>
      <c r="C376" t="s">
        <v>904</v>
      </c>
      <c r="D376" t="s">
        <v>906</v>
      </c>
      <c r="E376" t="s">
        <v>1282</v>
      </c>
      <c r="F376" t="s">
        <v>661</v>
      </c>
      <c r="G376" t="s">
        <v>58</v>
      </c>
      <c r="H376" s="6">
        <v>3038452</v>
      </c>
      <c r="I376" s="6">
        <v>1.2890240100964352E-2</v>
      </c>
      <c r="J376" s="6">
        <v>53726.520740819418</v>
      </c>
      <c r="K376" s="6">
        <v>10726029</v>
      </c>
      <c r="M376" s="6">
        <f t="shared" si="30"/>
        <v>3092178.5207408196</v>
      </c>
      <c r="N376" s="6">
        <f t="shared" si="31"/>
        <v>10726029</v>
      </c>
      <c r="O376" s="6">
        <f t="shared" si="32"/>
        <v>13818207.52074082</v>
      </c>
      <c r="P376" s="8">
        <f>VLOOKUP(F376,'LEAID Match'!$A$2:$B$436,2,FALSE)</f>
        <v>1803270</v>
      </c>
      <c r="Q376" s="6">
        <f t="shared" si="33"/>
        <v>9</v>
      </c>
    </row>
    <row r="377" spans="1:17" x14ac:dyDescent="0.2">
      <c r="A377" s="16">
        <f t="shared" si="29"/>
        <v>1803270</v>
      </c>
      <c r="B377">
        <v>2019</v>
      </c>
      <c r="C377" t="s">
        <v>904</v>
      </c>
      <c r="D377" t="s">
        <v>906</v>
      </c>
      <c r="E377" t="s">
        <v>1283</v>
      </c>
      <c r="F377" t="s">
        <v>661</v>
      </c>
      <c r="G377" t="s">
        <v>58</v>
      </c>
      <c r="H377" s="6">
        <v>3219972</v>
      </c>
      <c r="I377" s="6">
        <v>8.1915913047069279E-3</v>
      </c>
      <c r="J377" s="6">
        <v>28711.527522997781</v>
      </c>
      <c r="K377" s="6">
        <v>7732043.0325128697</v>
      </c>
      <c r="M377" s="6">
        <f t="shared" si="30"/>
        <v>3248683.5275229979</v>
      </c>
      <c r="N377" s="6">
        <f t="shared" si="31"/>
        <v>7732043.0325128697</v>
      </c>
      <c r="O377" s="6">
        <f t="shared" si="32"/>
        <v>10980726.560035868</v>
      </c>
      <c r="P377" s="8">
        <f>VLOOKUP(F377,'LEAID Match'!$A$2:$B$436,2,FALSE)</f>
        <v>1803270</v>
      </c>
      <c r="Q377" s="6">
        <f t="shared" si="33"/>
        <v>9</v>
      </c>
    </row>
    <row r="378" spans="1:17" x14ac:dyDescent="0.2">
      <c r="A378" s="16">
        <f t="shared" si="29"/>
        <v>1803270</v>
      </c>
      <c r="B378">
        <v>2020</v>
      </c>
      <c r="C378" t="s">
        <v>904</v>
      </c>
      <c r="D378" t="s">
        <v>906</v>
      </c>
      <c r="E378" t="s">
        <v>1284</v>
      </c>
      <c r="F378" t="s">
        <v>661</v>
      </c>
      <c r="G378" t="s">
        <v>58</v>
      </c>
      <c r="H378" s="6">
        <v>2438595</v>
      </c>
      <c r="I378" s="6">
        <v>1.2921402117327568E-2</v>
      </c>
      <c r="J378" s="6">
        <v>30442.823388423749</v>
      </c>
      <c r="K378" s="6">
        <v>11366032</v>
      </c>
      <c r="M378" s="6">
        <f t="shared" si="30"/>
        <v>2469037.8233884238</v>
      </c>
      <c r="N378" s="6">
        <f t="shared" si="31"/>
        <v>11366032</v>
      </c>
      <c r="O378" s="6">
        <f t="shared" si="32"/>
        <v>13835069.823388424</v>
      </c>
      <c r="P378" s="8">
        <f>VLOOKUP(F378,'LEAID Match'!$A$2:$B$436,2,FALSE)</f>
        <v>1803270</v>
      </c>
      <c r="Q378" s="6">
        <f t="shared" si="33"/>
        <v>9</v>
      </c>
    </row>
    <row r="379" spans="1:17" x14ac:dyDescent="0.2">
      <c r="A379" s="16">
        <f t="shared" si="29"/>
        <v>1803270</v>
      </c>
      <c r="B379">
        <v>2021</v>
      </c>
      <c r="C379" t="s">
        <v>904</v>
      </c>
      <c r="D379" t="s">
        <v>906</v>
      </c>
      <c r="E379" t="s">
        <v>1285</v>
      </c>
      <c r="F379" t="s">
        <v>661</v>
      </c>
      <c r="G379" t="s">
        <v>58</v>
      </c>
      <c r="H379" s="6">
        <v>2471877</v>
      </c>
      <c r="I379" s="6">
        <v>1.2211302261916924E-2</v>
      </c>
      <c r="J379" s="6">
        <v>27524.275298360746</v>
      </c>
      <c r="K379" s="6">
        <v>18733914</v>
      </c>
      <c r="M379" s="6">
        <f t="shared" si="30"/>
        <v>2499401.2752983607</v>
      </c>
      <c r="N379" s="6">
        <f t="shared" si="31"/>
        <v>18733914</v>
      </c>
      <c r="O379" s="6">
        <f t="shared" si="32"/>
        <v>21233315.275298361</v>
      </c>
      <c r="P379" s="8">
        <f>VLOOKUP(F379,'LEAID Match'!$A$2:$B$436,2,FALSE)</f>
        <v>1803270</v>
      </c>
      <c r="Q379" s="6">
        <f t="shared" si="33"/>
        <v>9</v>
      </c>
    </row>
    <row r="380" spans="1:17" x14ac:dyDescent="0.2">
      <c r="A380" s="16">
        <f t="shared" si="29"/>
        <v>1803270</v>
      </c>
      <c r="B380">
        <v>2022</v>
      </c>
      <c r="C380" t="s">
        <v>904</v>
      </c>
      <c r="D380" t="s">
        <v>906</v>
      </c>
      <c r="E380" t="s">
        <v>1286</v>
      </c>
      <c r="F380" t="s">
        <v>661</v>
      </c>
      <c r="G380" t="s">
        <v>58</v>
      </c>
      <c r="H380" s="6">
        <v>2685833</v>
      </c>
      <c r="I380" s="6">
        <v>1.2752834249112773E-2</v>
      </c>
      <c r="J380" s="6">
        <v>28119.999519293666</v>
      </c>
      <c r="K380" s="6">
        <v>18347246</v>
      </c>
      <c r="M380" s="6">
        <f t="shared" si="30"/>
        <v>2713952.9995192937</v>
      </c>
      <c r="N380" s="6">
        <f t="shared" si="31"/>
        <v>18347246</v>
      </c>
      <c r="O380" s="6">
        <f t="shared" si="32"/>
        <v>21061198.999519292</v>
      </c>
      <c r="P380" s="8">
        <f>VLOOKUP(F380,'LEAID Match'!$A$2:$B$436,2,FALSE)</f>
        <v>1803270</v>
      </c>
      <c r="Q380" s="6">
        <f t="shared" si="33"/>
        <v>9</v>
      </c>
    </row>
    <row r="381" spans="1:17" x14ac:dyDescent="0.2">
      <c r="A381" s="16">
        <f t="shared" si="29"/>
        <v>1803270</v>
      </c>
      <c r="B381">
        <v>2023</v>
      </c>
      <c r="C381" t="s">
        <v>904</v>
      </c>
      <c r="D381" t="s">
        <v>906</v>
      </c>
      <c r="E381" t="s">
        <v>1287</v>
      </c>
      <c r="F381" t="s">
        <v>661</v>
      </c>
      <c r="G381" t="s">
        <v>58</v>
      </c>
      <c r="H381" s="6">
        <v>2963369</v>
      </c>
      <c r="I381" s="6">
        <v>1.211855097942586E-2</v>
      </c>
      <c r="J381" s="6">
        <v>29896.465266243598</v>
      </c>
      <c r="K381" s="6">
        <v>50978389</v>
      </c>
      <c r="M381" s="6">
        <f t="shared" si="30"/>
        <v>2993265.4652662436</v>
      </c>
      <c r="N381" s="6">
        <f t="shared" si="31"/>
        <v>50978389</v>
      </c>
      <c r="O381" s="6">
        <f t="shared" si="32"/>
        <v>53971654.465266243</v>
      </c>
      <c r="P381" s="8">
        <f>VLOOKUP(F381,'LEAID Match'!$A$2:$B$436,2,FALSE)</f>
        <v>1803270</v>
      </c>
      <c r="Q381" s="6">
        <f t="shared" si="33"/>
        <v>9</v>
      </c>
    </row>
    <row r="382" spans="1:17" x14ac:dyDescent="0.2">
      <c r="A382" s="16">
        <f t="shared" si="29"/>
        <v>1803630</v>
      </c>
      <c r="B382">
        <v>2015</v>
      </c>
      <c r="C382" t="s">
        <v>904</v>
      </c>
      <c r="D382" t="s">
        <v>906</v>
      </c>
      <c r="E382" t="s">
        <v>1288</v>
      </c>
      <c r="F382" t="s">
        <v>620</v>
      </c>
      <c r="G382" t="s">
        <v>4</v>
      </c>
      <c r="H382" s="6">
        <v>6411243</v>
      </c>
      <c r="I382" s="6">
        <v>3.1175996588713745E-2</v>
      </c>
      <c r="J382" s="6">
        <v>181163.71617701557</v>
      </c>
      <c r="K382" s="6">
        <v>26362921.531361699</v>
      </c>
      <c r="M382" s="6">
        <f t="shared" si="30"/>
        <v>6592406.7161770156</v>
      </c>
      <c r="N382" s="6">
        <f t="shared" si="31"/>
        <v>26362921.531361699</v>
      </c>
      <c r="O382" s="6">
        <f t="shared" si="32"/>
        <v>32955328.247538716</v>
      </c>
      <c r="P382" s="8">
        <f>VLOOKUP(F382,'LEAID Match'!$A$2:$B$436,2,FALSE)</f>
        <v>1803630</v>
      </c>
      <c r="Q382" s="6">
        <f t="shared" si="33"/>
        <v>9</v>
      </c>
    </row>
    <row r="383" spans="1:17" x14ac:dyDescent="0.2">
      <c r="A383" s="16">
        <f t="shared" si="29"/>
        <v>1803630</v>
      </c>
      <c r="B383">
        <v>2016</v>
      </c>
      <c r="C383" t="s">
        <v>904</v>
      </c>
      <c r="D383" t="s">
        <v>906</v>
      </c>
      <c r="E383" t="s">
        <v>1289</v>
      </c>
      <c r="F383" t="s">
        <v>620</v>
      </c>
      <c r="G383" t="s">
        <v>4</v>
      </c>
      <c r="H383" s="6">
        <v>6695548</v>
      </c>
      <c r="I383" s="6">
        <v>3.1068165042134149E-2</v>
      </c>
      <c r="J383" s="6">
        <v>156832.09713269319</v>
      </c>
      <c r="K383" s="6">
        <v>27572996.474893998</v>
      </c>
      <c r="M383" s="6">
        <f t="shared" si="30"/>
        <v>6852380.097132693</v>
      </c>
      <c r="N383" s="6">
        <f t="shared" si="31"/>
        <v>27572996.474893998</v>
      </c>
      <c r="O383" s="6">
        <f t="shared" si="32"/>
        <v>34425376.572026692</v>
      </c>
      <c r="P383" s="8">
        <f>VLOOKUP(F383,'LEAID Match'!$A$2:$B$436,2,FALSE)</f>
        <v>1803630</v>
      </c>
      <c r="Q383" s="6">
        <f t="shared" si="33"/>
        <v>9</v>
      </c>
    </row>
    <row r="384" spans="1:17" x14ac:dyDescent="0.2">
      <c r="A384" s="16">
        <f t="shared" si="29"/>
        <v>1803630</v>
      </c>
      <c r="B384">
        <v>2017</v>
      </c>
      <c r="C384" t="s">
        <v>904</v>
      </c>
      <c r="D384" t="s">
        <v>906</v>
      </c>
      <c r="E384" t="s">
        <v>1290</v>
      </c>
      <c r="F384" t="s">
        <v>620</v>
      </c>
      <c r="G384" t="s">
        <v>4</v>
      </c>
      <c r="H384" s="6">
        <v>6804048</v>
      </c>
      <c r="I384" s="6">
        <v>2.9961134157257829E-2</v>
      </c>
      <c r="J384" s="6">
        <v>135574.13206159166</v>
      </c>
      <c r="K384" s="6">
        <v>26096147.850971501</v>
      </c>
      <c r="M384" s="6">
        <f t="shared" si="30"/>
        <v>6939622.1320615914</v>
      </c>
      <c r="N384" s="6">
        <f t="shared" si="31"/>
        <v>26096147.850971501</v>
      </c>
      <c r="O384" s="6">
        <f t="shared" si="32"/>
        <v>33035769.983033091</v>
      </c>
      <c r="P384" s="8">
        <f>VLOOKUP(F384,'LEAID Match'!$A$2:$B$436,2,FALSE)</f>
        <v>1803630</v>
      </c>
      <c r="Q384" s="6">
        <f t="shared" si="33"/>
        <v>9</v>
      </c>
    </row>
    <row r="385" spans="1:17" x14ac:dyDescent="0.2">
      <c r="A385" s="16">
        <f t="shared" si="29"/>
        <v>1803630</v>
      </c>
      <c r="B385">
        <v>2018</v>
      </c>
      <c r="C385" t="s">
        <v>904</v>
      </c>
      <c r="D385" t="s">
        <v>906</v>
      </c>
      <c r="E385" t="s">
        <v>1291</v>
      </c>
      <c r="F385" t="s">
        <v>620</v>
      </c>
      <c r="G385" t="s">
        <v>4</v>
      </c>
      <c r="H385" s="6">
        <v>7026230</v>
      </c>
      <c r="I385" s="6">
        <v>2.9807873122431675E-2</v>
      </c>
      <c r="J385" s="6">
        <v>124239.21517429523</v>
      </c>
      <c r="K385" s="6">
        <v>28801958</v>
      </c>
      <c r="M385" s="6">
        <f t="shared" si="30"/>
        <v>7150469.215174295</v>
      </c>
      <c r="N385" s="6">
        <f t="shared" si="31"/>
        <v>28801958</v>
      </c>
      <c r="O385" s="6">
        <f t="shared" si="32"/>
        <v>35952427.215174295</v>
      </c>
      <c r="P385" s="8">
        <f>VLOOKUP(F385,'LEAID Match'!$A$2:$B$436,2,FALSE)</f>
        <v>1803630</v>
      </c>
      <c r="Q385" s="6">
        <f t="shared" si="33"/>
        <v>9</v>
      </c>
    </row>
    <row r="386" spans="1:17" x14ac:dyDescent="0.2">
      <c r="A386" s="16">
        <f t="shared" si="29"/>
        <v>1803630</v>
      </c>
      <c r="B386">
        <v>2019</v>
      </c>
      <c r="C386" t="s">
        <v>904</v>
      </c>
      <c r="D386" t="s">
        <v>906</v>
      </c>
      <c r="E386" t="s">
        <v>1292</v>
      </c>
      <c r="F386" t="s">
        <v>620</v>
      </c>
      <c r="G386" t="s">
        <v>4</v>
      </c>
      <c r="H386" s="6">
        <v>6169243</v>
      </c>
      <c r="I386" s="6">
        <v>1.5694520733541807E-2</v>
      </c>
      <c r="J386" s="6">
        <v>55009.295171064034</v>
      </c>
      <c r="K386" s="6">
        <v>14814058.1203901</v>
      </c>
      <c r="M386" s="6">
        <f t="shared" si="30"/>
        <v>6224252.2951710643</v>
      </c>
      <c r="N386" s="6">
        <f t="shared" si="31"/>
        <v>14814058.1203901</v>
      </c>
      <c r="O386" s="6">
        <f t="shared" si="32"/>
        <v>21038310.415561166</v>
      </c>
      <c r="P386" s="8">
        <f>VLOOKUP(F386,'LEAID Match'!$A$2:$B$436,2,FALSE)</f>
        <v>1803630</v>
      </c>
      <c r="Q386" s="6">
        <f t="shared" si="33"/>
        <v>9</v>
      </c>
    </row>
    <row r="387" spans="1:17" x14ac:dyDescent="0.2">
      <c r="A387" s="16">
        <f t="shared" ref="A387:A450" si="34">P387</f>
        <v>1803630</v>
      </c>
      <c r="B387">
        <v>2020</v>
      </c>
      <c r="C387" t="s">
        <v>904</v>
      </c>
      <c r="D387" t="s">
        <v>906</v>
      </c>
      <c r="E387" t="s">
        <v>1293</v>
      </c>
      <c r="F387" t="s">
        <v>620</v>
      </c>
      <c r="G387" t="s">
        <v>4</v>
      </c>
      <c r="H387" s="6">
        <v>5378806</v>
      </c>
      <c r="I387" s="6">
        <v>2.8500720799105317E-2</v>
      </c>
      <c r="J387" s="6">
        <v>67147.698202692132</v>
      </c>
      <c r="K387" s="6">
        <v>31166928</v>
      </c>
      <c r="M387" s="6">
        <f t="shared" ref="M387:M450" si="35">SUM(H387,J387)</f>
        <v>5445953.698202692</v>
      </c>
      <c r="N387" s="6">
        <f t="shared" ref="N387:N450" si="36">K387</f>
        <v>31166928</v>
      </c>
      <c r="O387" s="6">
        <f t="shared" ref="O387:O450" si="37">SUM(M387:N387)</f>
        <v>36612881.698202692</v>
      </c>
      <c r="P387" s="8">
        <f>VLOOKUP(F387,'LEAID Match'!$A$2:$B$436,2,FALSE)</f>
        <v>1803630</v>
      </c>
      <c r="Q387" s="6">
        <f t="shared" ref="Q387:Q450" si="38">COUNTIF($P$2:$P$3691,P387)</f>
        <v>9</v>
      </c>
    </row>
    <row r="388" spans="1:17" x14ac:dyDescent="0.2">
      <c r="A388" s="16">
        <f t="shared" si="34"/>
        <v>1803630</v>
      </c>
      <c r="B388">
        <v>2021</v>
      </c>
      <c r="C388" t="s">
        <v>904</v>
      </c>
      <c r="D388" t="s">
        <v>906</v>
      </c>
      <c r="E388" t="s">
        <v>1294</v>
      </c>
      <c r="F388" t="s">
        <v>620</v>
      </c>
      <c r="G388" t="s">
        <v>4</v>
      </c>
      <c r="H388" s="6">
        <v>5831724</v>
      </c>
      <c r="I388" s="6">
        <v>2.8809258904094019E-2</v>
      </c>
      <c r="J388" s="6">
        <v>64936.069569827916</v>
      </c>
      <c r="K388" s="6">
        <v>52039254</v>
      </c>
      <c r="M388" s="6">
        <f t="shared" si="35"/>
        <v>5896660.069569828</v>
      </c>
      <c r="N388" s="6">
        <f t="shared" si="36"/>
        <v>52039254</v>
      </c>
      <c r="O388" s="6">
        <f t="shared" si="37"/>
        <v>57935914.069569826</v>
      </c>
      <c r="P388" s="8">
        <f>VLOOKUP(F388,'LEAID Match'!$A$2:$B$436,2,FALSE)</f>
        <v>1803630</v>
      </c>
      <c r="Q388" s="6">
        <f t="shared" si="38"/>
        <v>9</v>
      </c>
    </row>
    <row r="389" spans="1:17" x14ac:dyDescent="0.2">
      <c r="A389" s="16">
        <f t="shared" si="34"/>
        <v>1803630</v>
      </c>
      <c r="B389">
        <v>2022</v>
      </c>
      <c r="C389" t="s">
        <v>904</v>
      </c>
      <c r="D389" t="s">
        <v>906</v>
      </c>
      <c r="E389" t="s">
        <v>1295</v>
      </c>
      <c r="F389" t="s">
        <v>620</v>
      </c>
      <c r="G389" t="s">
        <v>4</v>
      </c>
      <c r="H389" s="6">
        <v>6067030</v>
      </c>
      <c r="I389" s="6">
        <v>2.8807386004414522E-2</v>
      </c>
      <c r="J389" s="6">
        <v>63520.286139734017</v>
      </c>
      <c r="K389" s="6">
        <v>50235155</v>
      </c>
      <c r="M389" s="6">
        <f t="shared" si="35"/>
        <v>6130550.2861397341</v>
      </c>
      <c r="N389" s="6">
        <f t="shared" si="36"/>
        <v>50235155</v>
      </c>
      <c r="O389" s="6">
        <f t="shared" si="37"/>
        <v>56365705.286139734</v>
      </c>
      <c r="P389" s="8">
        <f>VLOOKUP(F389,'LEAID Match'!$A$2:$B$436,2,FALSE)</f>
        <v>1803630</v>
      </c>
      <c r="Q389" s="6">
        <f t="shared" si="38"/>
        <v>9</v>
      </c>
    </row>
    <row r="390" spans="1:17" x14ac:dyDescent="0.2">
      <c r="A390" s="16">
        <f t="shared" si="34"/>
        <v>1803630</v>
      </c>
      <c r="B390">
        <v>2023</v>
      </c>
      <c r="C390" t="s">
        <v>904</v>
      </c>
      <c r="D390" t="s">
        <v>906</v>
      </c>
      <c r="E390" t="s">
        <v>1296</v>
      </c>
      <c r="F390" t="s">
        <v>620</v>
      </c>
      <c r="G390" t="s">
        <v>4</v>
      </c>
      <c r="H390" s="6">
        <v>7118573</v>
      </c>
      <c r="I390" s="6">
        <v>2.9111052252103763E-2</v>
      </c>
      <c r="J390" s="6">
        <v>71816.965905939986</v>
      </c>
      <c r="K390" s="6">
        <v>142257462</v>
      </c>
      <c r="M390" s="6">
        <f t="shared" si="35"/>
        <v>7190389.9659059402</v>
      </c>
      <c r="N390" s="6">
        <f t="shared" si="36"/>
        <v>142257462</v>
      </c>
      <c r="O390" s="6">
        <f t="shared" si="37"/>
        <v>149447851.96590593</v>
      </c>
      <c r="P390" s="8">
        <f>VLOOKUP(F390,'LEAID Match'!$A$2:$B$436,2,FALSE)</f>
        <v>1803630</v>
      </c>
      <c r="Q390" s="6">
        <f t="shared" si="38"/>
        <v>9</v>
      </c>
    </row>
    <row r="391" spans="1:17" x14ac:dyDescent="0.2">
      <c r="A391" s="16">
        <f t="shared" si="34"/>
        <v>1802850</v>
      </c>
      <c r="B391">
        <v>2015</v>
      </c>
      <c r="C391" t="s">
        <v>904</v>
      </c>
      <c r="D391" t="s">
        <v>906</v>
      </c>
      <c r="E391" t="s">
        <v>1297</v>
      </c>
      <c r="F391" t="s">
        <v>621</v>
      </c>
      <c r="G391" t="s">
        <v>5</v>
      </c>
      <c r="H391" s="6">
        <v>1806663</v>
      </c>
      <c r="I391" s="6">
        <v>8.7852729221081366E-3</v>
      </c>
      <c r="J391" s="6">
        <v>51051.220950370385</v>
      </c>
      <c r="K391" s="6">
        <v>7428967.34730139</v>
      </c>
      <c r="M391" s="6">
        <f t="shared" si="35"/>
        <v>1857714.2209503704</v>
      </c>
      <c r="N391" s="6">
        <f t="shared" si="36"/>
        <v>7428967.34730139</v>
      </c>
      <c r="O391" s="6">
        <f t="shared" si="37"/>
        <v>9286681.5682517607</v>
      </c>
      <c r="P391" s="8">
        <f>VLOOKUP(F391,'LEAID Match'!$A$2:$B$436,2,FALSE)</f>
        <v>1802850</v>
      </c>
      <c r="Q391" s="6">
        <f t="shared" si="38"/>
        <v>9</v>
      </c>
    </row>
    <row r="392" spans="1:17" x14ac:dyDescent="0.2">
      <c r="A392" s="16">
        <f t="shared" si="34"/>
        <v>1802850</v>
      </c>
      <c r="B392">
        <v>2016</v>
      </c>
      <c r="C392" t="s">
        <v>904</v>
      </c>
      <c r="D392" t="s">
        <v>906</v>
      </c>
      <c r="E392" t="s">
        <v>1298</v>
      </c>
      <c r="F392" t="s">
        <v>621</v>
      </c>
      <c r="G392" t="s">
        <v>5</v>
      </c>
      <c r="H392" s="6">
        <v>1896710</v>
      </c>
      <c r="I392" s="6">
        <v>8.8009673468200447E-3</v>
      </c>
      <c r="J392" s="6">
        <v>44427.283166747584</v>
      </c>
      <c r="K392" s="6">
        <v>7810858.52030278</v>
      </c>
      <c r="M392" s="6">
        <f t="shared" si="35"/>
        <v>1941137.2831667475</v>
      </c>
      <c r="N392" s="6">
        <f t="shared" si="36"/>
        <v>7810858.52030278</v>
      </c>
      <c r="O392" s="6">
        <f t="shared" si="37"/>
        <v>9751995.8034695275</v>
      </c>
      <c r="P392" s="8">
        <f>VLOOKUP(F392,'LEAID Match'!$A$2:$B$436,2,FALSE)</f>
        <v>1802850</v>
      </c>
      <c r="Q392" s="6">
        <f t="shared" si="38"/>
        <v>9</v>
      </c>
    </row>
    <row r="393" spans="1:17" x14ac:dyDescent="0.2">
      <c r="A393" s="16">
        <f t="shared" si="34"/>
        <v>1802850</v>
      </c>
      <c r="B393">
        <v>2017</v>
      </c>
      <c r="C393" t="s">
        <v>904</v>
      </c>
      <c r="D393" t="s">
        <v>906</v>
      </c>
      <c r="E393" t="s">
        <v>1299</v>
      </c>
      <c r="F393" t="s">
        <v>621</v>
      </c>
      <c r="G393" t="s">
        <v>5</v>
      </c>
      <c r="H393" s="6">
        <v>2080250</v>
      </c>
      <c r="I393" s="6">
        <v>9.1602306936452542E-3</v>
      </c>
      <c r="J393" s="6">
        <v>41450.043888744774</v>
      </c>
      <c r="K393" s="6">
        <v>7978560.9341650102</v>
      </c>
      <c r="M393" s="6">
        <f t="shared" si="35"/>
        <v>2121700.0438887449</v>
      </c>
      <c r="N393" s="6">
        <f t="shared" si="36"/>
        <v>7978560.9341650102</v>
      </c>
      <c r="O393" s="6">
        <f t="shared" si="37"/>
        <v>10100260.978053756</v>
      </c>
      <c r="P393" s="8">
        <f>VLOOKUP(F393,'LEAID Match'!$A$2:$B$436,2,FALSE)</f>
        <v>1802850</v>
      </c>
      <c r="Q393" s="6">
        <f t="shared" si="38"/>
        <v>9</v>
      </c>
    </row>
    <row r="394" spans="1:17" x14ac:dyDescent="0.2">
      <c r="A394" s="16">
        <f t="shared" si="34"/>
        <v>1802850</v>
      </c>
      <c r="B394">
        <v>2018</v>
      </c>
      <c r="C394" t="s">
        <v>904</v>
      </c>
      <c r="D394" t="s">
        <v>906</v>
      </c>
      <c r="E394" t="s">
        <v>1300</v>
      </c>
      <c r="F394" t="s">
        <v>621</v>
      </c>
      <c r="G394" t="s">
        <v>5</v>
      </c>
      <c r="H394" s="6">
        <v>2210667</v>
      </c>
      <c r="I394" s="6">
        <v>9.3784691722227521E-3</v>
      </c>
      <c r="J394" s="6">
        <v>39089.459509824432</v>
      </c>
      <c r="K394" s="6">
        <v>9061968</v>
      </c>
      <c r="M394" s="6">
        <f t="shared" si="35"/>
        <v>2249756.4595098244</v>
      </c>
      <c r="N394" s="6">
        <f t="shared" si="36"/>
        <v>9061968</v>
      </c>
      <c r="O394" s="6">
        <f t="shared" si="37"/>
        <v>11311724.459509823</v>
      </c>
      <c r="P394" s="8">
        <f>VLOOKUP(F394,'LEAID Match'!$A$2:$B$436,2,FALSE)</f>
        <v>1802850</v>
      </c>
      <c r="Q394" s="6">
        <f t="shared" si="38"/>
        <v>9</v>
      </c>
    </row>
    <row r="395" spans="1:17" x14ac:dyDescent="0.2">
      <c r="A395" s="16">
        <f t="shared" si="34"/>
        <v>1802850</v>
      </c>
      <c r="B395">
        <v>2019</v>
      </c>
      <c r="C395" t="s">
        <v>904</v>
      </c>
      <c r="D395" t="s">
        <v>906</v>
      </c>
      <c r="E395" t="s">
        <v>1301</v>
      </c>
      <c r="F395" t="s">
        <v>621</v>
      </c>
      <c r="G395" t="s">
        <v>5</v>
      </c>
      <c r="H395" s="6">
        <v>2354748</v>
      </c>
      <c r="I395" s="6">
        <v>5.990466141188814E-3</v>
      </c>
      <c r="J395" s="6">
        <v>20996.583824866793</v>
      </c>
      <c r="K395" s="6">
        <v>5654400.9906681199</v>
      </c>
      <c r="M395" s="6">
        <f t="shared" si="35"/>
        <v>2375744.5838248669</v>
      </c>
      <c r="N395" s="6">
        <f t="shared" si="36"/>
        <v>5654400.9906681199</v>
      </c>
      <c r="O395" s="6">
        <f t="shared" si="37"/>
        <v>8030145.5744929872</v>
      </c>
      <c r="P395" s="8">
        <f>VLOOKUP(F395,'LEAID Match'!$A$2:$B$436,2,FALSE)</f>
        <v>1802850</v>
      </c>
      <c r="Q395" s="6">
        <f t="shared" si="38"/>
        <v>9</v>
      </c>
    </row>
    <row r="396" spans="1:17" x14ac:dyDescent="0.2">
      <c r="A396" s="16">
        <f t="shared" si="34"/>
        <v>1802850</v>
      </c>
      <c r="B396">
        <v>2020</v>
      </c>
      <c r="C396" t="s">
        <v>904</v>
      </c>
      <c r="D396" t="s">
        <v>906</v>
      </c>
      <c r="E396" t="s">
        <v>1302</v>
      </c>
      <c r="F396" t="s">
        <v>621</v>
      </c>
      <c r="G396" t="s">
        <v>5</v>
      </c>
      <c r="H396" s="6">
        <v>1877611</v>
      </c>
      <c r="I396" s="6">
        <v>9.948911873811573E-3</v>
      </c>
      <c r="J396" s="6">
        <v>23439.636374700065</v>
      </c>
      <c r="K396" s="6">
        <v>9795808</v>
      </c>
      <c r="M396" s="6">
        <f t="shared" si="35"/>
        <v>1901050.6363747001</v>
      </c>
      <c r="N396" s="6">
        <f t="shared" si="36"/>
        <v>9795808</v>
      </c>
      <c r="O396" s="6">
        <f t="shared" si="37"/>
        <v>11696858.636374701</v>
      </c>
      <c r="P396" s="8">
        <f>VLOOKUP(F396,'LEAID Match'!$A$2:$B$436,2,FALSE)</f>
        <v>1802850</v>
      </c>
      <c r="Q396" s="6">
        <f t="shared" si="38"/>
        <v>9</v>
      </c>
    </row>
    <row r="397" spans="1:17" x14ac:dyDescent="0.2">
      <c r="A397" s="16">
        <f t="shared" si="34"/>
        <v>1802850</v>
      </c>
      <c r="B397">
        <v>2021</v>
      </c>
      <c r="C397" t="s">
        <v>904</v>
      </c>
      <c r="D397" t="s">
        <v>906</v>
      </c>
      <c r="E397" t="s">
        <v>1303</v>
      </c>
      <c r="F397" t="s">
        <v>621</v>
      </c>
      <c r="G397" t="s">
        <v>5</v>
      </c>
      <c r="H397" s="6">
        <v>1967453</v>
      </c>
      <c r="I397" s="6">
        <v>9.7194007910244868E-3</v>
      </c>
      <c r="J397" s="6">
        <v>21907.529382969195</v>
      </c>
      <c r="K397" s="6">
        <v>16007566</v>
      </c>
      <c r="M397" s="6">
        <f t="shared" si="35"/>
        <v>1989360.5293829693</v>
      </c>
      <c r="N397" s="6">
        <f t="shared" si="36"/>
        <v>16007566</v>
      </c>
      <c r="O397" s="6">
        <f t="shared" si="37"/>
        <v>17996926.52938297</v>
      </c>
      <c r="P397" s="8">
        <f>VLOOKUP(F397,'LEAID Match'!$A$2:$B$436,2,FALSE)</f>
        <v>1802850</v>
      </c>
      <c r="Q397" s="6">
        <f t="shared" si="38"/>
        <v>9</v>
      </c>
    </row>
    <row r="398" spans="1:17" x14ac:dyDescent="0.2">
      <c r="A398" s="16">
        <f t="shared" si="34"/>
        <v>1802850</v>
      </c>
      <c r="B398">
        <v>2022</v>
      </c>
      <c r="C398" t="s">
        <v>904</v>
      </c>
      <c r="D398" t="s">
        <v>906</v>
      </c>
      <c r="E398" t="s">
        <v>1304</v>
      </c>
      <c r="F398" t="s">
        <v>621</v>
      </c>
      <c r="G398" t="s">
        <v>5</v>
      </c>
      <c r="H398" s="6">
        <v>2077400</v>
      </c>
      <c r="I398" s="6">
        <v>9.8638812871488565E-3</v>
      </c>
      <c r="J398" s="6">
        <v>21749.85823816323</v>
      </c>
      <c r="K398" s="6">
        <v>15241619</v>
      </c>
      <c r="M398" s="6">
        <f t="shared" si="35"/>
        <v>2099149.8582381634</v>
      </c>
      <c r="N398" s="6">
        <f t="shared" si="36"/>
        <v>15241619</v>
      </c>
      <c r="O398" s="6">
        <f t="shared" si="37"/>
        <v>17340768.858238164</v>
      </c>
      <c r="P398" s="8">
        <f>VLOOKUP(F398,'LEAID Match'!$A$2:$B$436,2,FALSE)</f>
        <v>1802850</v>
      </c>
      <c r="Q398" s="6">
        <f t="shared" si="38"/>
        <v>9</v>
      </c>
    </row>
    <row r="399" spans="1:17" x14ac:dyDescent="0.2">
      <c r="A399" s="16">
        <f t="shared" si="34"/>
        <v>1802850</v>
      </c>
      <c r="B399">
        <v>2023</v>
      </c>
      <c r="C399" t="s">
        <v>904</v>
      </c>
      <c r="D399" t="s">
        <v>906</v>
      </c>
      <c r="E399" t="s">
        <v>1305</v>
      </c>
      <c r="F399" t="s">
        <v>621</v>
      </c>
      <c r="G399" t="s">
        <v>5</v>
      </c>
      <c r="H399" s="6">
        <v>2389501</v>
      </c>
      <c r="I399" s="6">
        <v>9.771746172646428E-3</v>
      </c>
      <c r="J399" s="6">
        <v>24106.897807918736</v>
      </c>
      <c r="K399" s="6">
        <v>40942286</v>
      </c>
      <c r="M399" s="6">
        <f t="shared" si="35"/>
        <v>2413607.897807919</v>
      </c>
      <c r="N399" s="6">
        <f t="shared" si="36"/>
        <v>40942286</v>
      </c>
      <c r="O399" s="6">
        <f t="shared" si="37"/>
        <v>43355893.897807918</v>
      </c>
      <c r="P399" s="8">
        <f>VLOOKUP(F399,'LEAID Match'!$A$2:$B$436,2,FALSE)</f>
        <v>1802850</v>
      </c>
      <c r="Q399" s="6">
        <f t="shared" si="38"/>
        <v>9</v>
      </c>
    </row>
    <row r="400" spans="1:17" x14ac:dyDescent="0.2">
      <c r="A400" s="16">
        <f t="shared" si="34"/>
        <v>1808250</v>
      </c>
      <c r="B400">
        <v>2015</v>
      </c>
      <c r="C400" t="s">
        <v>904</v>
      </c>
      <c r="D400" t="s">
        <v>906</v>
      </c>
      <c r="E400" t="s">
        <v>1306</v>
      </c>
      <c r="F400" t="s">
        <v>622</v>
      </c>
      <c r="G400" t="s">
        <v>6</v>
      </c>
      <c r="H400" s="6">
        <v>1247621</v>
      </c>
      <c r="I400" s="6">
        <v>6.0668154428100184E-3</v>
      </c>
      <c r="J400" s="6">
        <v>35254.264538169016</v>
      </c>
      <c r="K400" s="6">
        <v>5130196.2074872302</v>
      </c>
      <c r="M400" s="6">
        <f t="shared" si="35"/>
        <v>1282875.2645381689</v>
      </c>
      <c r="N400" s="6">
        <f t="shared" si="36"/>
        <v>5130196.2074872302</v>
      </c>
      <c r="O400" s="6">
        <f t="shared" si="37"/>
        <v>6413071.4720253991</v>
      </c>
      <c r="P400" s="8">
        <f>VLOOKUP(F400,'LEAID Match'!$A$2:$B$436,2,FALSE)</f>
        <v>1808250</v>
      </c>
      <c r="Q400" s="6">
        <f t="shared" si="38"/>
        <v>9</v>
      </c>
    </row>
    <row r="401" spans="1:17" x14ac:dyDescent="0.2">
      <c r="A401" s="16">
        <f t="shared" si="34"/>
        <v>1808250</v>
      </c>
      <c r="B401">
        <v>2016</v>
      </c>
      <c r="C401" t="s">
        <v>904</v>
      </c>
      <c r="D401" t="s">
        <v>906</v>
      </c>
      <c r="E401" t="s">
        <v>1307</v>
      </c>
      <c r="F401" t="s">
        <v>622</v>
      </c>
      <c r="G401" t="s">
        <v>6</v>
      </c>
      <c r="H401" s="6">
        <v>1397494</v>
      </c>
      <c r="I401" s="6">
        <v>6.4845437949802194E-3</v>
      </c>
      <c r="J401" s="6">
        <v>32733.977077060146</v>
      </c>
      <c r="K401" s="6">
        <v>5755032.6180449398</v>
      </c>
      <c r="M401" s="6">
        <f t="shared" si="35"/>
        <v>1430227.9770770601</v>
      </c>
      <c r="N401" s="6">
        <f t="shared" si="36"/>
        <v>5755032.6180449398</v>
      </c>
      <c r="O401" s="6">
        <f t="shared" si="37"/>
        <v>7185260.5951220002</v>
      </c>
      <c r="P401" s="8">
        <f>VLOOKUP(F401,'LEAID Match'!$A$2:$B$436,2,FALSE)</f>
        <v>1808250</v>
      </c>
      <c r="Q401" s="6">
        <f t="shared" si="38"/>
        <v>9</v>
      </c>
    </row>
    <row r="402" spans="1:17" x14ac:dyDescent="0.2">
      <c r="A402" s="16">
        <f t="shared" si="34"/>
        <v>1808250</v>
      </c>
      <c r="B402">
        <v>2017</v>
      </c>
      <c r="C402" t="s">
        <v>904</v>
      </c>
      <c r="D402" t="s">
        <v>906</v>
      </c>
      <c r="E402" t="s">
        <v>1308</v>
      </c>
      <c r="F402" t="s">
        <v>622</v>
      </c>
      <c r="G402" t="s">
        <v>6</v>
      </c>
      <c r="H402" s="6">
        <v>1500566</v>
      </c>
      <c r="I402" s="6">
        <v>6.6076340492923847E-3</v>
      </c>
      <c r="J402" s="6">
        <v>29899.54407304804</v>
      </c>
      <c r="K402" s="6">
        <v>5755249.2569336602</v>
      </c>
      <c r="M402" s="6">
        <f t="shared" si="35"/>
        <v>1530465.544073048</v>
      </c>
      <c r="N402" s="6">
        <f t="shared" si="36"/>
        <v>5755249.2569336602</v>
      </c>
      <c r="O402" s="6">
        <f t="shared" si="37"/>
        <v>7285714.8010067083</v>
      </c>
      <c r="P402" s="8">
        <f>VLOOKUP(F402,'LEAID Match'!$A$2:$B$436,2,FALSE)</f>
        <v>1808250</v>
      </c>
      <c r="Q402" s="6">
        <f t="shared" si="38"/>
        <v>9</v>
      </c>
    </row>
    <row r="403" spans="1:17" x14ac:dyDescent="0.2">
      <c r="A403" s="16">
        <f t="shared" si="34"/>
        <v>1808250</v>
      </c>
      <c r="B403">
        <v>2018</v>
      </c>
      <c r="C403" t="s">
        <v>904</v>
      </c>
      <c r="D403" t="s">
        <v>906</v>
      </c>
      <c r="E403" t="s">
        <v>1309</v>
      </c>
      <c r="F403" t="s">
        <v>622</v>
      </c>
      <c r="G403" t="s">
        <v>6</v>
      </c>
      <c r="H403" s="6">
        <v>1575052</v>
      </c>
      <c r="I403" s="6">
        <v>6.6819546438463091E-3</v>
      </c>
      <c r="J403" s="6">
        <v>27850.386955551417</v>
      </c>
      <c r="K403" s="6">
        <v>3180615</v>
      </c>
      <c r="M403" s="6">
        <f t="shared" si="35"/>
        <v>1602902.3869555513</v>
      </c>
      <c r="N403" s="6">
        <f t="shared" si="36"/>
        <v>3180615</v>
      </c>
      <c r="O403" s="6">
        <f t="shared" si="37"/>
        <v>4783517.3869555518</v>
      </c>
      <c r="P403" s="8">
        <f>VLOOKUP(F403,'LEAID Match'!$A$2:$B$436,2,FALSE)</f>
        <v>1808250</v>
      </c>
      <c r="Q403" s="6">
        <f t="shared" si="38"/>
        <v>9</v>
      </c>
    </row>
    <row r="404" spans="1:17" x14ac:dyDescent="0.2">
      <c r="A404" s="16">
        <f t="shared" si="34"/>
        <v>1808250</v>
      </c>
      <c r="B404">
        <v>2019</v>
      </c>
      <c r="C404" t="s">
        <v>904</v>
      </c>
      <c r="D404" t="s">
        <v>906</v>
      </c>
      <c r="E404" t="s">
        <v>1310</v>
      </c>
      <c r="F404" t="s">
        <v>622</v>
      </c>
      <c r="G404" t="s">
        <v>6</v>
      </c>
      <c r="H404" s="6">
        <v>1683833</v>
      </c>
      <c r="I404" s="6">
        <v>4.2836620198494213E-3</v>
      </c>
      <c r="J404" s="6">
        <v>15014.235379572221</v>
      </c>
      <c r="K404" s="6">
        <v>4043348.5805358598</v>
      </c>
      <c r="M404" s="6">
        <f t="shared" si="35"/>
        <v>1698847.2353795723</v>
      </c>
      <c r="N404" s="6">
        <f t="shared" si="36"/>
        <v>4043348.5805358598</v>
      </c>
      <c r="O404" s="6">
        <f t="shared" si="37"/>
        <v>5742195.8159154318</v>
      </c>
      <c r="P404" s="8">
        <f>VLOOKUP(F404,'LEAID Match'!$A$2:$B$436,2,FALSE)</f>
        <v>1808250</v>
      </c>
      <c r="Q404" s="6">
        <f t="shared" si="38"/>
        <v>9</v>
      </c>
    </row>
    <row r="405" spans="1:17" x14ac:dyDescent="0.2">
      <c r="A405" s="16">
        <f t="shared" si="34"/>
        <v>1808250</v>
      </c>
      <c r="B405">
        <v>2020</v>
      </c>
      <c r="C405" t="s">
        <v>904</v>
      </c>
      <c r="D405" t="s">
        <v>906</v>
      </c>
      <c r="E405" t="s">
        <v>1311</v>
      </c>
      <c r="F405" t="s">
        <v>622</v>
      </c>
      <c r="G405" t="s">
        <v>6</v>
      </c>
      <c r="H405" s="6">
        <v>1304351</v>
      </c>
      <c r="I405" s="6">
        <v>6.9113746945016824E-3</v>
      </c>
      <c r="J405" s="6">
        <v>16283.198780245964</v>
      </c>
      <c r="K405" s="6">
        <v>3461017</v>
      </c>
      <c r="M405" s="6">
        <f t="shared" si="35"/>
        <v>1320634.1987802461</v>
      </c>
      <c r="N405" s="6">
        <f t="shared" si="36"/>
        <v>3461017</v>
      </c>
      <c r="O405" s="6">
        <f t="shared" si="37"/>
        <v>4781651.1987802461</v>
      </c>
      <c r="P405" s="8">
        <f>VLOOKUP(F405,'LEAID Match'!$A$2:$B$436,2,FALSE)</f>
        <v>1808250</v>
      </c>
      <c r="Q405" s="6">
        <f t="shared" si="38"/>
        <v>9</v>
      </c>
    </row>
    <row r="406" spans="1:17" x14ac:dyDescent="0.2">
      <c r="A406" s="16">
        <f t="shared" si="34"/>
        <v>1808250</v>
      </c>
      <c r="B406">
        <v>2021</v>
      </c>
      <c r="C406" t="s">
        <v>904</v>
      </c>
      <c r="D406" t="s">
        <v>906</v>
      </c>
      <c r="E406" t="s">
        <v>1312</v>
      </c>
      <c r="F406" t="s">
        <v>622</v>
      </c>
      <c r="G406" t="s">
        <v>6</v>
      </c>
      <c r="H406" s="6">
        <v>1411569</v>
      </c>
      <c r="I406" s="6">
        <v>6.9732821344070965E-3</v>
      </c>
      <c r="J406" s="6">
        <v>15717.777930953596</v>
      </c>
      <c r="K406" s="6">
        <v>5987992</v>
      </c>
      <c r="M406" s="6">
        <f t="shared" si="35"/>
        <v>1427286.7779309535</v>
      </c>
      <c r="N406" s="6">
        <f t="shared" si="36"/>
        <v>5987992</v>
      </c>
      <c r="O406" s="6">
        <f t="shared" si="37"/>
        <v>7415278.7779309535</v>
      </c>
      <c r="P406" s="8">
        <f>VLOOKUP(F406,'LEAID Match'!$A$2:$B$436,2,FALSE)</f>
        <v>1808250</v>
      </c>
      <c r="Q406" s="6">
        <f t="shared" si="38"/>
        <v>9</v>
      </c>
    </row>
    <row r="407" spans="1:17" x14ac:dyDescent="0.2">
      <c r="A407" s="16">
        <f t="shared" si="34"/>
        <v>1808250</v>
      </c>
      <c r="B407">
        <v>2022</v>
      </c>
      <c r="C407" t="s">
        <v>904</v>
      </c>
      <c r="D407" t="s">
        <v>906</v>
      </c>
      <c r="E407" t="s">
        <v>1313</v>
      </c>
      <c r="F407" t="s">
        <v>622</v>
      </c>
      <c r="G407" t="s">
        <v>6</v>
      </c>
      <c r="H407" s="6">
        <v>1477768</v>
      </c>
      <c r="I407" s="6">
        <v>7.0167171088607837E-3</v>
      </c>
      <c r="J407" s="6">
        <v>15471.861225038028</v>
      </c>
      <c r="K407" s="6">
        <v>5957607</v>
      </c>
      <c r="M407" s="6">
        <f t="shared" si="35"/>
        <v>1493239.8612250381</v>
      </c>
      <c r="N407" s="6">
        <f t="shared" si="36"/>
        <v>5957607</v>
      </c>
      <c r="O407" s="6">
        <f t="shared" si="37"/>
        <v>7450846.8612250378</v>
      </c>
      <c r="P407" s="8">
        <f>VLOOKUP(F407,'LEAID Match'!$A$2:$B$436,2,FALSE)</f>
        <v>1808250</v>
      </c>
      <c r="Q407" s="6">
        <f t="shared" si="38"/>
        <v>9</v>
      </c>
    </row>
    <row r="408" spans="1:17" x14ac:dyDescent="0.2">
      <c r="A408" s="16">
        <f t="shared" si="34"/>
        <v>1808250</v>
      </c>
      <c r="B408">
        <v>2023</v>
      </c>
      <c r="C408" t="s">
        <v>904</v>
      </c>
      <c r="D408" t="s">
        <v>906</v>
      </c>
      <c r="E408" t="s">
        <v>1314</v>
      </c>
      <c r="F408" t="s">
        <v>622</v>
      </c>
      <c r="G408" t="s">
        <v>6</v>
      </c>
      <c r="H408" s="6">
        <v>1712204</v>
      </c>
      <c r="I408" s="6">
        <v>7.0019735851920145E-3</v>
      </c>
      <c r="J408" s="6">
        <v>17273.868834668701</v>
      </c>
      <c r="K408" s="6">
        <v>18592497</v>
      </c>
      <c r="M408" s="6">
        <f t="shared" si="35"/>
        <v>1729477.8688346688</v>
      </c>
      <c r="N408" s="6">
        <f t="shared" si="36"/>
        <v>18592497</v>
      </c>
      <c r="O408" s="6">
        <f t="shared" si="37"/>
        <v>20321974.868834667</v>
      </c>
      <c r="P408" s="8">
        <f>VLOOKUP(F408,'LEAID Match'!$A$2:$B$436,2,FALSE)</f>
        <v>1808250</v>
      </c>
      <c r="Q408" s="6">
        <f t="shared" si="38"/>
        <v>9</v>
      </c>
    </row>
    <row r="409" spans="1:17" x14ac:dyDescent="0.2">
      <c r="A409" s="16">
        <f t="shared" si="34"/>
        <v>1800030</v>
      </c>
      <c r="B409">
        <v>2015</v>
      </c>
      <c r="C409" t="s">
        <v>904</v>
      </c>
      <c r="D409" t="s">
        <v>906</v>
      </c>
      <c r="E409" t="s">
        <v>1315</v>
      </c>
      <c r="F409" t="s">
        <v>623</v>
      </c>
      <c r="G409" t="s">
        <v>7</v>
      </c>
      <c r="H409" s="6">
        <v>1374333</v>
      </c>
      <c r="I409" s="6">
        <v>6.6829787795840414E-3</v>
      </c>
      <c r="J409" s="6">
        <v>38834.789688162862</v>
      </c>
      <c r="K409" s="6">
        <v>5651233.7836767295</v>
      </c>
      <c r="M409" s="6">
        <f t="shared" si="35"/>
        <v>1413167.789688163</v>
      </c>
      <c r="N409" s="6">
        <f t="shared" si="36"/>
        <v>5651233.7836767295</v>
      </c>
      <c r="O409" s="6">
        <f t="shared" si="37"/>
        <v>7064401.573364893</v>
      </c>
      <c r="P409" s="8">
        <f>VLOOKUP(F409,'LEAID Match'!$A$2:$B$436,2,FALSE)</f>
        <v>1800030</v>
      </c>
      <c r="Q409" s="6">
        <f t="shared" si="38"/>
        <v>9</v>
      </c>
    </row>
    <row r="410" spans="1:17" x14ac:dyDescent="0.2">
      <c r="A410" s="16">
        <f t="shared" si="34"/>
        <v>1800030</v>
      </c>
      <c r="B410">
        <v>2016</v>
      </c>
      <c r="C410" t="s">
        <v>904</v>
      </c>
      <c r="D410" t="s">
        <v>906</v>
      </c>
      <c r="E410" t="s">
        <v>1316</v>
      </c>
      <c r="F410" t="s">
        <v>623</v>
      </c>
      <c r="G410" t="s">
        <v>7</v>
      </c>
      <c r="H410" s="6">
        <v>1539354</v>
      </c>
      <c r="I410" s="6">
        <v>7.1427916176942307E-3</v>
      </c>
      <c r="J410" s="6">
        <v>36056.812086120473</v>
      </c>
      <c r="K410" s="6">
        <v>6339227.5607036296</v>
      </c>
      <c r="M410" s="6">
        <f t="shared" si="35"/>
        <v>1575410.8120861205</v>
      </c>
      <c r="N410" s="6">
        <f t="shared" si="36"/>
        <v>6339227.5607036296</v>
      </c>
      <c r="O410" s="6">
        <f t="shared" si="37"/>
        <v>7914638.3727897499</v>
      </c>
      <c r="P410" s="8">
        <f>VLOOKUP(F410,'LEAID Match'!$A$2:$B$436,2,FALSE)</f>
        <v>1800030</v>
      </c>
      <c r="Q410" s="6">
        <f t="shared" si="38"/>
        <v>9</v>
      </c>
    </row>
    <row r="411" spans="1:17" x14ac:dyDescent="0.2">
      <c r="A411" s="16">
        <f t="shared" si="34"/>
        <v>1800030</v>
      </c>
      <c r="B411">
        <v>2017</v>
      </c>
      <c r="C411" t="s">
        <v>904</v>
      </c>
      <c r="D411" t="s">
        <v>906</v>
      </c>
      <c r="E411" t="s">
        <v>1317</v>
      </c>
      <c r="F411" t="s">
        <v>623</v>
      </c>
      <c r="G411" t="s">
        <v>7</v>
      </c>
      <c r="H411" s="6">
        <v>1601639</v>
      </c>
      <c r="I411" s="6">
        <v>7.0527017079386085E-3</v>
      </c>
      <c r="J411" s="6">
        <v>31913.475228422205</v>
      </c>
      <c r="K411" s="6">
        <v>6142903.1876145201</v>
      </c>
      <c r="M411" s="6">
        <f t="shared" si="35"/>
        <v>1633552.4752284223</v>
      </c>
      <c r="N411" s="6">
        <f t="shared" si="36"/>
        <v>6142903.1876145201</v>
      </c>
      <c r="O411" s="6">
        <f t="shared" si="37"/>
        <v>7776455.6628429424</v>
      </c>
      <c r="P411" s="8">
        <f>VLOOKUP(F411,'LEAID Match'!$A$2:$B$436,2,FALSE)</f>
        <v>1800030</v>
      </c>
      <c r="Q411" s="6">
        <f t="shared" si="38"/>
        <v>9</v>
      </c>
    </row>
    <row r="412" spans="1:17" x14ac:dyDescent="0.2">
      <c r="A412" s="16">
        <f t="shared" si="34"/>
        <v>1800030</v>
      </c>
      <c r="B412">
        <v>2018</v>
      </c>
      <c r="C412" t="s">
        <v>904</v>
      </c>
      <c r="D412" t="s">
        <v>906</v>
      </c>
      <c r="E412" t="s">
        <v>1318</v>
      </c>
      <c r="F412" t="s">
        <v>623</v>
      </c>
      <c r="G412" t="s">
        <v>7</v>
      </c>
      <c r="H412" s="6">
        <v>1713310</v>
      </c>
      <c r="I412" s="6">
        <v>7.2684963485956785E-3</v>
      </c>
      <c r="J412" s="6">
        <v>30295.092780946787</v>
      </c>
      <c r="K412" s="6">
        <v>4637965</v>
      </c>
      <c r="M412" s="6">
        <f t="shared" si="35"/>
        <v>1743605.0927809468</v>
      </c>
      <c r="N412" s="6">
        <f t="shared" si="36"/>
        <v>4637965</v>
      </c>
      <c r="O412" s="6">
        <f t="shared" si="37"/>
        <v>6381570.0927809468</v>
      </c>
      <c r="P412" s="8">
        <f>VLOOKUP(F412,'LEAID Match'!$A$2:$B$436,2,FALSE)</f>
        <v>1800030</v>
      </c>
      <c r="Q412" s="6">
        <f t="shared" si="38"/>
        <v>9</v>
      </c>
    </row>
    <row r="413" spans="1:17" x14ac:dyDescent="0.2">
      <c r="A413" s="16">
        <f t="shared" si="34"/>
        <v>1800030</v>
      </c>
      <c r="B413">
        <v>2019</v>
      </c>
      <c r="C413" t="s">
        <v>904</v>
      </c>
      <c r="D413" t="s">
        <v>906</v>
      </c>
      <c r="E413" t="s">
        <v>1319</v>
      </c>
      <c r="F413" t="s">
        <v>623</v>
      </c>
      <c r="G413" t="s">
        <v>7</v>
      </c>
      <c r="H413" s="6">
        <v>1817312</v>
      </c>
      <c r="I413" s="6">
        <v>4.6232318719353948E-3</v>
      </c>
      <c r="J413" s="6">
        <v>16204.427711133558</v>
      </c>
      <c r="K413" s="6">
        <v>4363868.5639198096</v>
      </c>
      <c r="M413" s="6">
        <f t="shared" si="35"/>
        <v>1833516.4277111336</v>
      </c>
      <c r="N413" s="6">
        <f t="shared" si="36"/>
        <v>4363868.5639198096</v>
      </c>
      <c r="O413" s="6">
        <f t="shared" si="37"/>
        <v>6197384.9916309435</v>
      </c>
      <c r="P413" s="8">
        <f>VLOOKUP(F413,'LEAID Match'!$A$2:$B$436,2,FALSE)</f>
        <v>1800030</v>
      </c>
      <c r="Q413" s="6">
        <f t="shared" si="38"/>
        <v>9</v>
      </c>
    </row>
    <row r="414" spans="1:17" x14ac:dyDescent="0.2">
      <c r="A414" s="16">
        <f t="shared" si="34"/>
        <v>1800030</v>
      </c>
      <c r="B414">
        <v>2020</v>
      </c>
      <c r="C414" t="s">
        <v>904</v>
      </c>
      <c r="D414" t="s">
        <v>906</v>
      </c>
      <c r="E414" t="s">
        <v>1320</v>
      </c>
      <c r="F414" t="s">
        <v>623</v>
      </c>
      <c r="G414" t="s">
        <v>7</v>
      </c>
      <c r="H414" s="6">
        <v>1432391</v>
      </c>
      <c r="I414" s="6">
        <v>7.5898212291261782E-3</v>
      </c>
      <c r="J414" s="6">
        <v>17881.618815821275</v>
      </c>
      <c r="K414" s="6">
        <v>5049207</v>
      </c>
      <c r="M414" s="6">
        <f t="shared" si="35"/>
        <v>1450272.6188158214</v>
      </c>
      <c r="N414" s="6">
        <f t="shared" si="36"/>
        <v>5049207</v>
      </c>
      <c r="O414" s="6">
        <f t="shared" si="37"/>
        <v>6499479.6188158216</v>
      </c>
      <c r="P414" s="8">
        <f>VLOOKUP(F414,'LEAID Match'!$A$2:$B$436,2,FALSE)</f>
        <v>1800030</v>
      </c>
      <c r="Q414" s="6">
        <f t="shared" si="38"/>
        <v>9</v>
      </c>
    </row>
    <row r="415" spans="1:17" x14ac:dyDescent="0.2">
      <c r="A415" s="16">
        <f t="shared" si="34"/>
        <v>1800030</v>
      </c>
      <c r="B415">
        <v>2021</v>
      </c>
      <c r="C415" t="s">
        <v>904</v>
      </c>
      <c r="D415" t="s">
        <v>906</v>
      </c>
      <c r="E415" t="s">
        <v>1321</v>
      </c>
      <c r="F415" t="s">
        <v>623</v>
      </c>
      <c r="G415" t="s">
        <v>7</v>
      </c>
      <c r="H415" s="6">
        <v>1580207</v>
      </c>
      <c r="I415" s="6">
        <v>7.80636953756071E-3</v>
      </c>
      <c r="J415" s="6">
        <v>17595.55693766184</v>
      </c>
      <c r="K415" s="6">
        <v>8512785</v>
      </c>
      <c r="M415" s="6">
        <f t="shared" si="35"/>
        <v>1597802.556937662</v>
      </c>
      <c r="N415" s="6">
        <f t="shared" si="36"/>
        <v>8512785</v>
      </c>
      <c r="O415" s="6">
        <f t="shared" si="37"/>
        <v>10110587.556937661</v>
      </c>
      <c r="P415" s="8">
        <f>VLOOKUP(F415,'LEAID Match'!$A$2:$B$436,2,FALSE)</f>
        <v>1800030</v>
      </c>
      <c r="Q415" s="6">
        <f t="shared" si="38"/>
        <v>9</v>
      </c>
    </row>
    <row r="416" spans="1:17" x14ac:dyDescent="0.2">
      <c r="A416" s="16">
        <f t="shared" si="34"/>
        <v>1800030</v>
      </c>
      <c r="B416">
        <v>2022</v>
      </c>
      <c r="C416" t="s">
        <v>904</v>
      </c>
      <c r="D416" t="s">
        <v>906</v>
      </c>
      <c r="E416" t="s">
        <v>1322</v>
      </c>
      <c r="F416" t="s">
        <v>623</v>
      </c>
      <c r="G416" t="s">
        <v>7</v>
      </c>
      <c r="H416" s="6">
        <v>1592865</v>
      </c>
      <c r="I416" s="6">
        <v>7.5632190557689246E-3</v>
      </c>
      <c r="J416" s="6">
        <v>16676.898017970478</v>
      </c>
      <c r="K416" s="6">
        <v>8242291</v>
      </c>
      <c r="M416" s="6">
        <f t="shared" si="35"/>
        <v>1609541.8980179704</v>
      </c>
      <c r="N416" s="6">
        <f t="shared" si="36"/>
        <v>8242291</v>
      </c>
      <c r="O416" s="6">
        <f t="shared" si="37"/>
        <v>9851832.8980179708</v>
      </c>
      <c r="P416" s="8">
        <f>VLOOKUP(F416,'LEAID Match'!$A$2:$B$436,2,FALSE)</f>
        <v>1800030</v>
      </c>
      <c r="Q416" s="6">
        <f t="shared" si="38"/>
        <v>9</v>
      </c>
    </row>
    <row r="417" spans="1:17" x14ac:dyDescent="0.2">
      <c r="A417" s="16">
        <f t="shared" si="34"/>
        <v>1800030</v>
      </c>
      <c r="B417">
        <v>2023</v>
      </c>
      <c r="C417" t="s">
        <v>904</v>
      </c>
      <c r="D417" t="s">
        <v>906</v>
      </c>
      <c r="E417" t="s">
        <v>1323</v>
      </c>
      <c r="F417" t="s">
        <v>623</v>
      </c>
      <c r="G417" t="s">
        <v>7</v>
      </c>
      <c r="H417" s="6">
        <v>1844430</v>
      </c>
      <c r="I417" s="6">
        <v>7.5427052732826858E-3</v>
      </c>
      <c r="J417" s="6">
        <v>18607.853909188387</v>
      </c>
      <c r="K417" s="6">
        <v>25133455</v>
      </c>
      <c r="M417" s="6">
        <f t="shared" si="35"/>
        <v>1863037.8539091884</v>
      </c>
      <c r="N417" s="6">
        <f t="shared" si="36"/>
        <v>25133455</v>
      </c>
      <c r="O417" s="6">
        <f t="shared" si="37"/>
        <v>26996492.853909187</v>
      </c>
      <c r="P417" s="8">
        <f>VLOOKUP(F417,'LEAID Match'!$A$2:$B$436,2,FALSE)</f>
        <v>1800030</v>
      </c>
      <c r="Q417" s="6">
        <f t="shared" si="38"/>
        <v>9</v>
      </c>
    </row>
    <row r="418" spans="1:17" x14ac:dyDescent="0.2">
      <c r="A418" s="16">
        <f t="shared" si="34"/>
        <v>1803510</v>
      </c>
      <c r="B418">
        <v>2015</v>
      </c>
      <c r="C418" t="s">
        <v>904</v>
      </c>
      <c r="D418" t="s">
        <v>906</v>
      </c>
      <c r="E418" t="s">
        <v>1324</v>
      </c>
      <c r="F418" t="s">
        <v>662</v>
      </c>
      <c r="G418" t="s">
        <v>59</v>
      </c>
      <c r="H418" s="6">
        <v>670514</v>
      </c>
      <c r="I418" s="6">
        <v>3.2605131605033233E-3</v>
      </c>
      <c r="J418" s="6">
        <v>18946.841975684812</v>
      </c>
      <c r="K418" s="6">
        <v>2757142.0967321699</v>
      </c>
      <c r="M418" s="6">
        <f t="shared" si="35"/>
        <v>689460.84197568486</v>
      </c>
      <c r="N418" s="6">
        <f t="shared" si="36"/>
        <v>2757142.0967321699</v>
      </c>
      <c r="O418" s="6">
        <f t="shared" si="37"/>
        <v>3446602.9387078546</v>
      </c>
      <c r="P418" s="8">
        <f>VLOOKUP(F418,'LEAID Match'!$A$2:$B$436,2,FALSE)</f>
        <v>1803510</v>
      </c>
      <c r="Q418" s="6">
        <f t="shared" si="38"/>
        <v>9</v>
      </c>
    </row>
    <row r="419" spans="1:17" x14ac:dyDescent="0.2">
      <c r="A419" s="16">
        <f t="shared" si="34"/>
        <v>1803510</v>
      </c>
      <c r="B419">
        <v>2016</v>
      </c>
      <c r="C419" t="s">
        <v>904</v>
      </c>
      <c r="D419" t="s">
        <v>906</v>
      </c>
      <c r="E419" t="s">
        <v>1325</v>
      </c>
      <c r="F419" t="s">
        <v>662</v>
      </c>
      <c r="G419" t="s">
        <v>59</v>
      </c>
      <c r="H419" s="6">
        <v>698460</v>
      </c>
      <c r="I419" s="6">
        <v>3.2409401822418443E-3</v>
      </c>
      <c r="J419" s="6">
        <v>16360.26603995683</v>
      </c>
      <c r="K419" s="6">
        <v>2876334.4117396302</v>
      </c>
      <c r="M419" s="6">
        <f t="shared" si="35"/>
        <v>714820.26603995683</v>
      </c>
      <c r="N419" s="6">
        <f t="shared" si="36"/>
        <v>2876334.4117396302</v>
      </c>
      <c r="O419" s="6">
        <f t="shared" si="37"/>
        <v>3591154.677779587</v>
      </c>
      <c r="P419" s="8">
        <f>VLOOKUP(F419,'LEAID Match'!$A$2:$B$436,2,FALSE)</f>
        <v>1803510</v>
      </c>
      <c r="Q419" s="6">
        <f t="shared" si="38"/>
        <v>9</v>
      </c>
    </row>
    <row r="420" spans="1:17" x14ac:dyDescent="0.2">
      <c r="A420" s="16">
        <f t="shared" si="34"/>
        <v>1803510</v>
      </c>
      <c r="B420">
        <v>2017</v>
      </c>
      <c r="C420" t="s">
        <v>904</v>
      </c>
      <c r="D420" t="s">
        <v>906</v>
      </c>
      <c r="E420" t="s">
        <v>1326</v>
      </c>
      <c r="F420" t="s">
        <v>662</v>
      </c>
      <c r="G420" t="s">
        <v>59</v>
      </c>
      <c r="H420" s="6">
        <v>734249</v>
      </c>
      <c r="I420" s="6">
        <v>3.2332124632031408E-3</v>
      </c>
      <c r="J420" s="6">
        <v>14630.286395994211</v>
      </c>
      <c r="K420" s="6">
        <v>2816128.05544993</v>
      </c>
      <c r="M420" s="6">
        <f t="shared" si="35"/>
        <v>748879.28639599425</v>
      </c>
      <c r="N420" s="6">
        <f t="shared" si="36"/>
        <v>2816128.05544993</v>
      </c>
      <c r="O420" s="6">
        <f t="shared" si="37"/>
        <v>3565007.341845924</v>
      </c>
      <c r="P420" s="8">
        <f>VLOOKUP(F420,'LEAID Match'!$A$2:$B$436,2,FALSE)</f>
        <v>1803510</v>
      </c>
      <c r="Q420" s="6">
        <f t="shared" si="38"/>
        <v>9</v>
      </c>
    </row>
    <row r="421" spans="1:17" x14ac:dyDescent="0.2">
      <c r="A421" s="16">
        <f t="shared" si="34"/>
        <v>1803510</v>
      </c>
      <c r="B421">
        <v>2018</v>
      </c>
      <c r="C421" t="s">
        <v>904</v>
      </c>
      <c r="D421" t="s">
        <v>906</v>
      </c>
      <c r="E421" t="s">
        <v>1327</v>
      </c>
      <c r="F421" t="s">
        <v>662</v>
      </c>
      <c r="G421" t="s">
        <v>59</v>
      </c>
      <c r="H421" s="6">
        <v>767257</v>
      </c>
      <c r="I421" s="6">
        <v>3.2549887077846242E-3</v>
      </c>
      <c r="J421" s="6">
        <v>13566.792934046314</v>
      </c>
      <c r="K421" s="6">
        <v>4675874</v>
      </c>
      <c r="M421" s="6">
        <f t="shared" si="35"/>
        <v>780823.79293404636</v>
      </c>
      <c r="N421" s="6">
        <f t="shared" si="36"/>
        <v>4675874</v>
      </c>
      <c r="O421" s="6">
        <f t="shared" si="37"/>
        <v>5456697.7929340461</v>
      </c>
      <c r="P421" s="8">
        <f>VLOOKUP(F421,'LEAID Match'!$A$2:$B$436,2,FALSE)</f>
        <v>1803510</v>
      </c>
      <c r="Q421" s="6">
        <f t="shared" si="38"/>
        <v>9</v>
      </c>
    </row>
    <row r="422" spans="1:17" x14ac:dyDescent="0.2">
      <c r="A422" s="16">
        <f t="shared" si="34"/>
        <v>1803510</v>
      </c>
      <c r="B422">
        <v>2019</v>
      </c>
      <c r="C422" t="s">
        <v>904</v>
      </c>
      <c r="D422" t="s">
        <v>906</v>
      </c>
      <c r="E422" t="s">
        <v>1328</v>
      </c>
      <c r="F422" t="s">
        <v>662</v>
      </c>
      <c r="G422" t="s">
        <v>59</v>
      </c>
      <c r="H422" s="6">
        <v>812548</v>
      </c>
      <c r="I422" s="6">
        <v>2.0671177052027177E-3</v>
      </c>
      <c r="J422" s="6">
        <v>7245.247556735525</v>
      </c>
      <c r="K422" s="6">
        <v>1951152.4019408401</v>
      </c>
      <c r="M422" s="6">
        <f t="shared" si="35"/>
        <v>819793.24755673553</v>
      </c>
      <c r="N422" s="6">
        <f t="shared" si="36"/>
        <v>1951152.4019408401</v>
      </c>
      <c r="O422" s="6">
        <f t="shared" si="37"/>
        <v>2770945.6494975756</v>
      </c>
      <c r="P422" s="8">
        <f>VLOOKUP(F422,'LEAID Match'!$A$2:$B$436,2,FALSE)</f>
        <v>1803510</v>
      </c>
      <c r="Q422" s="6">
        <f t="shared" si="38"/>
        <v>9</v>
      </c>
    </row>
    <row r="423" spans="1:17" x14ac:dyDescent="0.2">
      <c r="A423" s="16">
        <f t="shared" si="34"/>
        <v>1803510</v>
      </c>
      <c r="B423">
        <v>2020</v>
      </c>
      <c r="C423" t="s">
        <v>904</v>
      </c>
      <c r="D423" t="s">
        <v>906</v>
      </c>
      <c r="E423" t="s">
        <v>1329</v>
      </c>
      <c r="F423" t="s">
        <v>662</v>
      </c>
      <c r="G423" t="s">
        <v>59</v>
      </c>
      <c r="H423" s="6">
        <v>615559</v>
      </c>
      <c r="I423" s="6">
        <v>3.2616672165488901E-3</v>
      </c>
      <c r="J423" s="6">
        <v>7684.4879621891851</v>
      </c>
      <c r="K423" s="6">
        <v>4963359</v>
      </c>
      <c r="M423" s="6">
        <f t="shared" si="35"/>
        <v>623243.48796218913</v>
      </c>
      <c r="N423" s="6">
        <f t="shared" si="36"/>
        <v>4963359</v>
      </c>
      <c r="O423" s="6">
        <f t="shared" si="37"/>
        <v>5586602.4879621891</v>
      </c>
      <c r="P423" s="8">
        <f>VLOOKUP(F423,'LEAID Match'!$A$2:$B$436,2,FALSE)</f>
        <v>1803510</v>
      </c>
      <c r="Q423" s="6">
        <f t="shared" si="38"/>
        <v>9</v>
      </c>
    </row>
    <row r="424" spans="1:17" x14ac:dyDescent="0.2">
      <c r="A424" s="16">
        <f t="shared" si="34"/>
        <v>1803510</v>
      </c>
      <c r="B424">
        <v>2021</v>
      </c>
      <c r="C424" t="s">
        <v>904</v>
      </c>
      <c r="D424" t="s">
        <v>906</v>
      </c>
      <c r="E424" t="s">
        <v>1330</v>
      </c>
      <c r="F424" t="s">
        <v>662</v>
      </c>
      <c r="G424" t="s">
        <v>59</v>
      </c>
      <c r="H424" s="6">
        <v>607235</v>
      </c>
      <c r="I424" s="6">
        <v>2.9997973722054629E-3</v>
      </c>
      <c r="J424" s="6">
        <v>6761.5432769511135</v>
      </c>
      <c r="K424" s="6">
        <v>7891977</v>
      </c>
      <c r="M424" s="6">
        <f t="shared" si="35"/>
        <v>613996.54327695107</v>
      </c>
      <c r="N424" s="6">
        <f t="shared" si="36"/>
        <v>7891977</v>
      </c>
      <c r="O424" s="6">
        <f t="shared" si="37"/>
        <v>8505973.5432769507</v>
      </c>
      <c r="P424" s="8">
        <f>VLOOKUP(F424,'LEAID Match'!$A$2:$B$436,2,FALSE)</f>
        <v>1803510</v>
      </c>
      <c r="Q424" s="6">
        <f t="shared" si="38"/>
        <v>9</v>
      </c>
    </row>
    <row r="425" spans="1:17" x14ac:dyDescent="0.2">
      <c r="A425" s="16">
        <f t="shared" si="34"/>
        <v>1803510</v>
      </c>
      <c r="B425">
        <v>2022</v>
      </c>
      <c r="C425" t="s">
        <v>904</v>
      </c>
      <c r="D425" t="s">
        <v>906</v>
      </c>
      <c r="E425" t="s">
        <v>1331</v>
      </c>
      <c r="F425" t="s">
        <v>662</v>
      </c>
      <c r="G425" t="s">
        <v>59</v>
      </c>
      <c r="H425" s="6">
        <v>642797</v>
      </c>
      <c r="I425" s="6">
        <v>3.0521196205523364E-3</v>
      </c>
      <c r="J425" s="6">
        <v>6729.9237633179018</v>
      </c>
      <c r="K425" s="6">
        <v>7752362</v>
      </c>
      <c r="M425" s="6">
        <f t="shared" si="35"/>
        <v>649526.92376331787</v>
      </c>
      <c r="N425" s="6">
        <f t="shared" si="36"/>
        <v>7752362</v>
      </c>
      <c r="O425" s="6">
        <f t="shared" si="37"/>
        <v>8401888.923763318</v>
      </c>
      <c r="P425" s="8">
        <f>VLOOKUP(F425,'LEAID Match'!$A$2:$B$436,2,FALSE)</f>
        <v>1803510</v>
      </c>
      <c r="Q425" s="6">
        <f t="shared" si="38"/>
        <v>9</v>
      </c>
    </row>
    <row r="426" spans="1:17" x14ac:dyDescent="0.2">
      <c r="A426" s="16">
        <f t="shared" si="34"/>
        <v>1803510</v>
      </c>
      <c r="B426">
        <v>2023</v>
      </c>
      <c r="C426" t="s">
        <v>904</v>
      </c>
      <c r="D426" t="s">
        <v>906</v>
      </c>
      <c r="E426" t="s">
        <v>1332</v>
      </c>
      <c r="F426" t="s">
        <v>662</v>
      </c>
      <c r="G426" t="s">
        <v>59</v>
      </c>
      <c r="H426" s="6">
        <v>762039</v>
      </c>
      <c r="I426" s="6">
        <v>3.1163208057486944E-3</v>
      </c>
      <c r="J426" s="6">
        <v>7687.9634277820296</v>
      </c>
      <c r="K426" s="6">
        <v>19378090</v>
      </c>
      <c r="M426" s="6">
        <f t="shared" si="35"/>
        <v>769726.96342778206</v>
      </c>
      <c r="N426" s="6">
        <f t="shared" si="36"/>
        <v>19378090</v>
      </c>
      <c r="O426" s="6">
        <f t="shared" si="37"/>
        <v>20147816.963427782</v>
      </c>
      <c r="P426" s="8">
        <f>VLOOKUP(F426,'LEAID Match'!$A$2:$B$436,2,FALSE)</f>
        <v>1803510</v>
      </c>
      <c r="Q426" s="6">
        <f t="shared" si="38"/>
        <v>9</v>
      </c>
    </row>
    <row r="427" spans="1:17" x14ac:dyDescent="0.2">
      <c r="A427" s="16">
        <f t="shared" si="34"/>
        <v>1800070</v>
      </c>
      <c r="B427">
        <v>2015</v>
      </c>
      <c r="C427" t="s">
        <v>904</v>
      </c>
      <c r="D427" t="s">
        <v>906</v>
      </c>
      <c r="E427" t="s">
        <v>1333</v>
      </c>
      <c r="F427" t="s">
        <v>663</v>
      </c>
      <c r="G427" t="s">
        <v>60</v>
      </c>
      <c r="H427" s="6">
        <v>13605</v>
      </c>
      <c r="I427" s="6">
        <v>6.6157129528462809E-5</v>
      </c>
      <c r="J427" s="6">
        <v>384.43907968989737</v>
      </c>
      <c r="K427" s="6">
        <v>55943.527243340599</v>
      </c>
      <c r="M427" s="6">
        <f t="shared" si="35"/>
        <v>13989.439079689897</v>
      </c>
      <c r="N427" s="6">
        <f t="shared" si="36"/>
        <v>55943.527243340599</v>
      </c>
      <c r="O427" s="6">
        <f t="shared" si="37"/>
        <v>69932.966323030501</v>
      </c>
      <c r="P427" s="8">
        <f>VLOOKUP(F427,'LEAID Match'!$A$2:$B$436,2,FALSE)</f>
        <v>1800070</v>
      </c>
      <c r="Q427" s="6">
        <f t="shared" si="38"/>
        <v>9</v>
      </c>
    </row>
    <row r="428" spans="1:17" x14ac:dyDescent="0.2">
      <c r="A428" s="16">
        <f t="shared" si="34"/>
        <v>1800070</v>
      </c>
      <c r="B428">
        <v>2016</v>
      </c>
      <c r="C428" t="s">
        <v>904</v>
      </c>
      <c r="D428" t="s">
        <v>906</v>
      </c>
      <c r="E428" t="s">
        <v>1334</v>
      </c>
      <c r="F428" t="s">
        <v>663</v>
      </c>
      <c r="G428" t="s">
        <v>60</v>
      </c>
      <c r="H428" s="6">
        <v>18253</v>
      </c>
      <c r="I428" s="6">
        <v>8.4696161765112377E-5</v>
      </c>
      <c r="J428" s="6">
        <v>427.5462245902873</v>
      </c>
      <c r="K428" s="6">
        <v>75167.843566537194</v>
      </c>
      <c r="M428" s="6">
        <f t="shared" si="35"/>
        <v>18680.546224590289</v>
      </c>
      <c r="N428" s="6">
        <f t="shared" si="36"/>
        <v>75167.843566537194</v>
      </c>
      <c r="O428" s="6">
        <f t="shared" si="37"/>
        <v>93848.389791127483</v>
      </c>
      <c r="P428" s="8">
        <f>VLOOKUP(F428,'LEAID Match'!$A$2:$B$436,2,FALSE)</f>
        <v>1800070</v>
      </c>
      <c r="Q428" s="6">
        <f t="shared" si="38"/>
        <v>9</v>
      </c>
    </row>
    <row r="429" spans="1:17" x14ac:dyDescent="0.2">
      <c r="A429" s="16">
        <f t="shared" si="34"/>
        <v>1800070</v>
      </c>
      <c r="B429">
        <v>2017</v>
      </c>
      <c r="C429" t="s">
        <v>904</v>
      </c>
      <c r="D429" t="s">
        <v>906</v>
      </c>
      <c r="E429" t="s">
        <v>1335</v>
      </c>
      <c r="F429" t="s">
        <v>663</v>
      </c>
      <c r="G429" t="s">
        <v>60</v>
      </c>
      <c r="H429" s="6">
        <v>16188</v>
      </c>
      <c r="I429" s="6">
        <v>7.1282689325191382E-5</v>
      </c>
      <c r="J429" s="6">
        <v>322.55416919649099</v>
      </c>
      <c r="K429" s="6">
        <v>62087.222402241598</v>
      </c>
      <c r="M429" s="6">
        <f t="shared" si="35"/>
        <v>16510.55416919649</v>
      </c>
      <c r="N429" s="6">
        <f t="shared" si="36"/>
        <v>62087.222402241598</v>
      </c>
      <c r="O429" s="6">
        <f t="shared" si="37"/>
        <v>78597.776571438095</v>
      </c>
      <c r="P429" s="8">
        <f>VLOOKUP(F429,'LEAID Match'!$A$2:$B$436,2,FALSE)</f>
        <v>1800070</v>
      </c>
      <c r="Q429" s="6">
        <f t="shared" si="38"/>
        <v>9</v>
      </c>
    </row>
    <row r="430" spans="1:17" x14ac:dyDescent="0.2">
      <c r="A430" s="16">
        <f t="shared" si="34"/>
        <v>1800070</v>
      </c>
      <c r="B430">
        <v>2018</v>
      </c>
      <c r="C430" t="s">
        <v>904</v>
      </c>
      <c r="D430" t="s">
        <v>906</v>
      </c>
      <c r="E430" t="s">
        <v>1336</v>
      </c>
      <c r="F430" t="s">
        <v>663</v>
      </c>
      <c r="G430" t="s">
        <v>60</v>
      </c>
      <c r="H430" s="6">
        <v>16979</v>
      </c>
      <c r="I430" s="6">
        <v>7.2031214142686401E-5</v>
      </c>
      <c r="J430" s="6">
        <v>300.22610054671691</v>
      </c>
      <c r="K430" s="6">
        <v>3121</v>
      </c>
      <c r="M430" s="6">
        <f t="shared" si="35"/>
        <v>17279.226100546715</v>
      </c>
      <c r="N430" s="6">
        <f t="shared" si="36"/>
        <v>3121</v>
      </c>
      <c r="O430" s="6">
        <f t="shared" si="37"/>
        <v>20400.226100546715</v>
      </c>
      <c r="P430" s="8">
        <f>VLOOKUP(F430,'LEAID Match'!$A$2:$B$436,2,FALSE)</f>
        <v>1800070</v>
      </c>
      <c r="Q430" s="6">
        <f t="shared" si="38"/>
        <v>9</v>
      </c>
    </row>
    <row r="431" spans="1:17" x14ac:dyDescent="0.2">
      <c r="A431" s="16">
        <f t="shared" si="34"/>
        <v>1800070</v>
      </c>
      <c r="B431">
        <v>2019</v>
      </c>
      <c r="C431" t="s">
        <v>904</v>
      </c>
      <c r="D431" t="s">
        <v>906</v>
      </c>
      <c r="E431" t="s">
        <v>1337</v>
      </c>
      <c r="F431" t="s">
        <v>663</v>
      </c>
      <c r="G431" t="s">
        <v>60</v>
      </c>
      <c r="H431" s="6">
        <v>3757</v>
      </c>
      <c r="I431" s="6">
        <v>9.5577876241731066E-6</v>
      </c>
      <c r="J431" s="6">
        <v>33.500045622726738</v>
      </c>
      <c r="K431" s="6">
        <v>9021.5957384569901</v>
      </c>
      <c r="M431" s="6">
        <f t="shared" si="35"/>
        <v>3790.5000456227267</v>
      </c>
      <c r="N431" s="6">
        <f t="shared" si="36"/>
        <v>9021.5957384569901</v>
      </c>
      <c r="O431" s="6">
        <f t="shared" si="37"/>
        <v>12812.095784079716</v>
      </c>
      <c r="P431" s="8">
        <f>VLOOKUP(F431,'LEAID Match'!$A$2:$B$436,2,FALSE)</f>
        <v>1800070</v>
      </c>
      <c r="Q431" s="6">
        <f t="shared" si="38"/>
        <v>9</v>
      </c>
    </row>
    <row r="432" spans="1:17" x14ac:dyDescent="0.2">
      <c r="A432" s="16">
        <f t="shared" si="34"/>
        <v>1800070</v>
      </c>
      <c r="B432">
        <v>2020</v>
      </c>
      <c r="C432" t="s">
        <v>904</v>
      </c>
      <c r="D432" t="s">
        <v>906</v>
      </c>
      <c r="E432" t="s">
        <v>1338</v>
      </c>
      <c r="F432" t="s">
        <v>663</v>
      </c>
      <c r="G432" t="s">
        <v>60</v>
      </c>
      <c r="H432" s="6" t="s">
        <v>396</v>
      </c>
      <c r="I432" s="6">
        <v>0</v>
      </c>
      <c r="J432" s="6">
        <v>0</v>
      </c>
      <c r="K432" s="6">
        <v>3302</v>
      </c>
      <c r="M432" s="6">
        <f t="shared" si="35"/>
        <v>0</v>
      </c>
      <c r="N432" s="6">
        <f t="shared" si="36"/>
        <v>3302</v>
      </c>
      <c r="O432" s="6">
        <f t="shared" si="37"/>
        <v>3302</v>
      </c>
      <c r="P432" s="8">
        <f>VLOOKUP(F432,'LEAID Match'!$A$2:$B$436,2,FALSE)</f>
        <v>1800070</v>
      </c>
      <c r="Q432" s="6">
        <f t="shared" si="38"/>
        <v>9</v>
      </c>
    </row>
    <row r="433" spans="1:17" x14ac:dyDescent="0.2">
      <c r="A433" s="16">
        <f t="shared" si="34"/>
        <v>1800070</v>
      </c>
      <c r="B433">
        <v>2021</v>
      </c>
      <c r="C433" t="s">
        <v>904</v>
      </c>
      <c r="D433" t="s">
        <v>906</v>
      </c>
      <c r="E433" t="s">
        <v>1339</v>
      </c>
      <c r="F433" t="s">
        <v>663</v>
      </c>
      <c r="G433" t="s">
        <v>60</v>
      </c>
      <c r="H433" s="6">
        <v>4771</v>
      </c>
      <c r="I433" s="6">
        <v>2.3569183697896637E-5</v>
      </c>
      <c r="J433" s="6">
        <v>53.124940055059021</v>
      </c>
      <c r="K433" s="6">
        <v>5275</v>
      </c>
      <c r="M433" s="6">
        <f t="shared" si="35"/>
        <v>4824.1249400550587</v>
      </c>
      <c r="N433" s="6">
        <f t="shared" si="36"/>
        <v>5275</v>
      </c>
      <c r="O433" s="6">
        <f t="shared" si="37"/>
        <v>10099.124940055059</v>
      </c>
      <c r="P433" s="8">
        <f>VLOOKUP(F433,'LEAID Match'!$A$2:$B$436,2,FALSE)</f>
        <v>1800070</v>
      </c>
      <c r="Q433" s="6">
        <f t="shared" si="38"/>
        <v>9</v>
      </c>
    </row>
    <row r="434" spans="1:17" x14ac:dyDescent="0.2">
      <c r="A434" s="16">
        <f t="shared" si="34"/>
        <v>1800070</v>
      </c>
      <c r="B434">
        <v>2022</v>
      </c>
      <c r="C434" t="s">
        <v>904</v>
      </c>
      <c r="D434" t="s">
        <v>906</v>
      </c>
      <c r="E434" t="s">
        <v>1340</v>
      </c>
      <c r="F434" t="s">
        <v>663</v>
      </c>
      <c r="G434" t="s">
        <v>60</v>
      </c>
      <c r="H434" s="6">
        <v>9890</v>
      </c>
      <c r="I434" s="6">
        <v>4.6959558067729949E-5</v>
      </c>
      <c r="J434" s="6">
        <v>103.54582553934453</v>
      </c>
      <c r="K434" s="6">
        <v>5116</v>
      </c>
      <c r="M434" s="6">
        <f t="shared" si="35"/>
        <v>9993.5458255393442</v>
      </c>
      <c r="N434" s="6">
        <f t="shared" si="36"/>
        <v>5116</v>
      </c>
      <c r="O434" s="6">
        <f t="shared" si="37"/>
        <v>15109.545825539344</v>
      </c>
      <c r="P434" s="8">
        <f>VLOOKUP(F434,'LEAID Match'!$A$2:$B$436,2,FALSE)</f>
        <v>1800070</v>
      </c>
      <c r="Q434" s="6">
        <f t="shared" si="38"/>
        <v>9</v>
      </c>
    </row>
    <row r="435" spans="1:17" x14ac:dyDescent="0.2">
      <c r="A435" s="16">
        <f t="shared" si="34"/>
        <v>1800070</v>
      </c>
      <c r="B435">
        <v>2023</v>
      </c>
      <c r="C435" t="s">
        <v>904</v>
      </c>
      <c r="D435" t="s">
        <v>906</v>
      </c>
      <c r="E435" t="s">
        <v>1341</v>
      </c>
      <c r="F435" t="s">
        <v>663</v>
      </c>
      <c r="G435" t="s">
        <v>60</v>
      </c>
      <c r="H435" s="6">
        <v>16131</v>
      </c>
      <c r="I435" s="6">
        <v>6.5966926781348711E-5</v>
      </c>
      <c r="J435" s="6">
        <v>162.74040836958727</v>
      </c>
      <c r="K435" s="6">
        <v>18634</v>
      </c>
      <c r="M435" s="6">
        <f t="shared" si="35"/>
        <v>16293.740408369587</v>
      </c>
      <c r="N435" s="6">
        <f t="shared" si="36"/>
        <v>18634</v>
      </c>
      <c r="O435" s="6">
        <f t="shared" si="37"/>
        <v>34927.740408369587</v>
      </c>
      <c r="P435" s="8">
        <f>VLOOKUP(F435,'LEAID Match'!$A$2:$B$436,2,FALSE)</f>
        <v>1800070</v>
      </c>
      <c r="Q435" s="6">
        <f t="shared" si="38"/>
        <v>9</v>
      </c>
    </row>
    <row r="436" spans="1:17" x14ac:dyDescent="0.2">
      <c r="A436" s="16">
        <f t="shared" si="34"/>
        <v>1807410</v>
      </c>
      <c r="B436">
        <v>2015</v>
      </c>
      <c r="C436" t="s">
        <v>904</v>
      </c>
      <c r="D436" t="s">
        <v>906</v>
      </c>
      <c r="E436" t="s">
        <v>1342</v>
      </c>
      <c r="F436" t="s">
        <v>664</v>
      </c>
      <c r="G436" t="s">
        <v>61</v>
      </c>
      <c r="H436" s="6">
        <v>2323102</v>
      </c>
      <c r="I436" s="6">
        <v>1.1296564492600589E-2</v>
      </c>
      <c r="J436" s="6">
        <v>65644.336266502025</v>
      </c>
      <c r="K436" s="6">
        <v>9552555.6799749397</v>
      </c>
      <c r="M436" s="6">
        <f t="shared" si="35"/>
        <v>2388746.3362665018</v>
      </c>
      <c r="N436" s="6">
        <f t="shared" si="36"/>
        <v>9552555.6799749397</v>
      </c>
      <c r="O436" s="6">
        <f t="shared" si="37"/>
        <v>11941302.016241442</v>
      </c>
      <c r="P436" s="8">
        <f>VLOOKUP(F436,'LEAID Match'!$A$2:$B$436,2,FALSE)</f>
        <v>1807410</v>
      </c>
      <c r="Q436" s="6">
        <f t="shared" si="38"/>
        <v>9</v>
      </c>
    </row>
    <row r="437" spans="1:17" x14ac:dyDescent="0.2">
      <c r="A437" s="16">
        <f t="shared" si="34"/>
        <v>1807410</v>
      </c>
      <c r="B437">
        <v>2016</v>
      </c>
      <c r="C437" t="s">
        <v>904</v>
      </c>
      <c r="D437" t="s">
        <v>906</v>
      </c>
      <c r="E437" t="s">
        <v>1343</v>
      </c>
      <c r="F437" t="s">
        <v>664</v>
      </c>
      <c r="G437" t="s">
        <v>61</v>
      </c>
      <c r="H437" s="6">
        <v>2474254</v>
      </c>
      <c r="I437" s="6">
        <v>1.1480842438611534E-2</v>
      </c>
      <c r="J437" s="6">
        <v>57955.292630111027</v>
      </c>
      <c r="K437" s="6">
        <v>10189247.6642677</v>
      </c>
      <c r="M437" s="6">
        <f t="shared" si="35"/>
        <v>2532209.2926301109</v>
      </c>
      <c r="N437" s="6">
        <f t="shared" si="36"/>
        <v>10189247.6642677</v>
      </c>
      <c r="O437" s="6">
        <f t="shared" si="37"/>
        <v>12721456.95689781</v>
      </c>
      <c r="P437" s="8">
        <f>VLOOKUP(F437,'LEAID Match'!$A$2:$B$436,2,FALSE)</f>
        <v>1807410</v>
      </c>
      <c r="Q437" s="6">
        <f t="shared" si="38"/>
        <v>9</v>
      </c>
    </row>
    <row r="438" spans="1:17" x14ac:dyDescent="0.2">
      <c r="A438" s="16">
        <f t="shared" si="34"/>
        <v>1807410</v>
      </c>
      <c r="B438">
        <v>2017</v>
      </c>
      <c r="C438" t="s">
        <v>904</v>
      </c>
      <c r="D438" t="s">
        <v>906</v>
      </c>
      <c r="E438" t="s">
        <v>1344</v>
      </c>
      <c r="F438" t="s">
        <v>664</v>
      </c>
      <c r="G438" t="s">
        <v>61</v>
      </c>
      <c r="H438" s="6">
        <v>2692105</v>
      </c>
      <c r="I438" s="6">
        <v>1.1854490013948255E-2</v>
      </c>
      <c r="J438" s="6">
        <v>53641.567313115855</v>
      </c>
      <c r="K438" s="6">
        <v>10325260.802148901</v>
      </c>
      <c r="M438" s="6">
        <f t="shared" si="35"/>
        <v>2745746.567313116</v>
      </c>
      <c r="N438" s="6">
        <f t="shared" si="36"/>
        <v>10325260.802148901</v>
      </c>
      <c r="O438" s="6">
        <f t="shared" si="37"/>
        <v>13071007.369462017</v>
      </c>
      <c r="P438" s="8">
        <f>VLOOKUP(F438,'LEAID Match'!$A$2:$B$436,2,FALSE)</f>
        <v>1807410</v>
      </c>
      <c r="Q438" s="6">
        <f t="shared" si="38"/>
        <v>9</v>
      </c>
    </row>
    <row r="439" spans="1:17" x14ac:dyDescent="0.2">
      <c r="A439" s="16">
        <f t="shared" si="34"/>
        <v>1807410</v>
      </c>
      <c r="B439">
        <v>2018</v>
      </c>
      <c r="C439" t="s">
        <v>904</v>
      </c>
      <c r="D439" t="s">
        <v>906</v>
      </c>
      <c r="E439" t="s">
        <v>1345</v>
      </c>
      <c r="F439" t="s">
        <v>664</v>
      </c>
      <c r="G439" t="s">
        <v>61</v>
      </c>
      <c r="H439" s="6">
        <v>2670434</v>
      </c>
      <c r="I439" s="6">
        <v>1.1328971276748371E-2</v>
      </c>
      <c r="J439" s="6">
        <v>47219.152281487208</v>
      </c>
      <c r="K439" s="6">
        <v>10905478</v>
      </c>
      <c r="M439" s="6">
        <f t="shared" si="35"/>
        <v>2717653.1522814874</v>
      </c>
      <c r="N439" s="6">
        <f t="shared" si="36"/>
        <v>10905478</v>
      </c>
      <c r="O439" s="6">
        <f t="shared" si="37"/>
        <v>13623131.152281487</v>
      </c>
      <c r="P439" s="8">
        <f>VLOOKUP(F439,'LEAID Match'!$A$2:$B$436,2,FALSE)</f>
        <v>1807410</v>
      </c>
      <c r="Q439" s="6">
        <f t="shared" si="38"/>
        <v>9</v>
      </c>
    </row>
    <row r="440" spans="1:17" x14ac:dyDescent="0.2">
      <c r="A440" s="16">
        <f t="shared" si="34"/>
        <v>1807410</v>
      </c>
      <c r="B440">
        <v>2019</v>
      </c>
      <c r="C440" t="s">
        <v>904</v>
      </c>
      <c r="D440" t="s">
        <v>906</v>
      </c>
      <c r="E440" t="s">
        <v>1346</v>
      </c>
      <c r="F440" t="s">
        <v>664</v>
      </c>
      <c r="G440" t="s">
        <v>61</v>
      </c>
      <c r="H440" s="6">
        <v>2569312</v>
      </c>
      <c r="I440" s="6">
        <v>6.5363157935159578E-3</v>
      </c>
      <c r="J440" s="6">
        <v>22909.786856273433</v>
      </c>
      <c r="K440" s="6">
        <v>6169628.4774997104</v>
      </c>
      <c r="M440" s="6">
        <f t="shared" si="35"/>
        <v>2592221.7868562737</v>
      </c>
      <c r="N440" s="6">
        <f t="shared" si="36"/>
        <v>6169628.4774997104</v>
      </c>
      <c r="O440" s="6">
        <f t="shared" si="37"/>
        <v>8761850.2643559836</v>
      </c>
      <c r="P440" s="8">
        <f>VLOOKUP(F440,'LEAID Match'!$A$2:$B$436,2,FALSE)</f>
        <v>1807410</v>
      </c>
      <c r="Q440" s="6">
        <f t="shared" si="38"/>
        <v>9</v>
      </c>
    </row>
    <row r="441" spans="1:17" x14ac:dyDescent="0.2">
      <c r="A441" s="16">
        <f t="shared" si="34"/>
        <v>1807410</v>
      </c>
      <c r="B441">
        <v>2020</v>
      </c>
      <c r="C441" t="s">
        <v>904</v>
      </c>
      <c r="D441" t="s">
        <v>906</v>
      </c>
      <c r="E441" t="s">
        <v>1347</v>
      </c>
      <c r="F441" t="s">
        <v>664</v>
      </c>
      <c r="G441" t="s">
        <v>61</v>
      </c>
      <c r="H441" s="6">
        <v>2288232</v>
      </c>
      <c r="I441" s="6">
        <v>1.2124672530591055E-2</v>
      </c>
      <c r="J441" s="6">
        <v>28565.728482072525</v>
      </c>
      <c r="K441" s="6">
        <v>11784978</v>
      </c>
      <c r="M441" s="6">
        <f t="shared" si="35"/>
        <v>2316797.7284820727</v>
      </c>
      <c r="N441" s="6">
        <f t="shared" si="36"/>
        <v>11784978</v>
      </c>
      <c r="O441" s="6">
        <f t="shared" si="37"/>
        <v>14101775.728482073</v>
      </c>
      <c r="P441" s="8">
        <f>VLOOKUP(F441,'LEAID Match'!$A$2:$B$436,2,FALSE)</f>
        <v>1807410</v>
      </c>
      <c r="Q441" s="6">
        <f t="shared" si="38"/>
        <v>9</v>
      </c>
    </row>
    <row r="442" spans="1:17" x14ac:dyDescent="0.2">
      <c r="A442" s="16">
        <f t="shared" si="34"/>
        <v>1807410</v>
      </c>
      <c r="B442">
        <v>2021</v>
      </c>
      <c r="C442" t="s">
        <v>904</v>
      </c>
      <c r="D442" t="s">
        <v>906</v>
      </c>
      <c r="E442" t="s">
        <v>1348</v>
      </c>
      <c r="F442" t="s">
        <v>664</v>
      </c>
      <c r="G442" t="s">
        <v>61</v>
      </c>
      <c r="H442" s="6">
        <v>2187244</v>
      </c>
      <c r="I442" s="6">
        <v>1.0805188771352385E-2</v>
      </c>
      <c r="J442" s="6">
        <v>24354.895490628274</v>
      </c>
      <c r="K442" s="6">
        <v>18640569</v>
      </c>
      <c r="M442" s="6">
        <f t="shared" si="35"/>
        <v>2211598.8954906282</v>
      </c>
      <c r="N442" s="6">
        <f t="shared" si="36"/>
        <v>18640569</v>
      </c>
      <c r="O442" s="6">
        <f t="shared" si="37"/>
        <v>20852167.895490628</v>
      </c>
      <c r="P442" s="8">
        <f>VLOOKUP(F442,'LEAID Match'!$A$2:$B$436,2,FALSE)</f>
        <v>1807410</v>
      </c>
      <c r="Q442" s="6">
        <f t="shared" si="38"/>
        <v>9</v>
      </c>
    </row>
    <row r="443" spans="1:17" x14ac:dyDescent="0.2">
      <c r="A443" s="16">
        <f t="shared" si="34"/>
        <v>1807410</v>
      </c>
      <c r="B443">
        <v>2022</v>
      </c>
      <c r="C443" t="s">
        <v>904</v>
      </c>
      <c r="D443" t="s">
        <v>906</v>
      </c>
      <c r="E443" t="s">
        <v>1349</v>
      </c>
      <c r="F443" t="s">
        <v>664</v>
      </c>
      <c r="G443" t="s">
        <v>61</v>
      </c>
      <c r="H443" s="6">
        <v>2376220</v>
      </c>
      <c r="I443" s="6">
        <v>1.1282734183185162E-2</v>
      </c>
      <c r="J443" s="6">
        <v>24878.428873923283</v>
      </c>
      <c r="K443" s="6">
        <v>18740120</v>
      </c>
      <c r="M443" s="6">
        <f t="shared" si="35"/>
        <v>2401098.4288739231</v>
      </c>
      <c r="N443" s="6">
        <f t="shared" si="36"/>
        <v>18740120</v>
      </c>
      <c r="O443" s="6">
        <f t="shared" si="37"/>
        <v>21141218.428873923</v>
      </c>
      <c r="P443" s="8">
        <f>VLOOKUP(F443,'LEAID Match'!$A$2:$B$436,2,FALSE)</f>
        <v>1807410</v>
      </c>
      <c r="Q443" s="6">
        <f t="shared" si="38"/>
        <v>9</v>
      </c>
    </row>
    <row r="444" spans="1:17" x14ac:dyDescent="0.2">
      <c r="A444" s="16">
        <f t="shared" si="34"/>
        <v>1807410</v>
      </c>
      <c r="B444">
        <v>2023</v>
      </c>
      <c r="C444" t="s">
        <v>904</v>
      </c>
      <c r="D444" t="s">
        <v>906</v>
      </c>
      <c r="E444" t="s">
        <v>1350</v>
      </c>
      <c r="F444" t="s">
        <v>664</v>
      </c>
      <c r="G444" t="s">
        <v>61</v>
      </c>
      <c r="H444" s="6">
        <v>2763448</v>
      </c>
      <c r="I444" s="6">
        <v>1.1300983936523745E-2</v>
      </c>
      <c r="J444" s="6">
        <v>27879.527371404078</v>
      </c>
      <c r="K444" s="6">
        <v>50061088</v>
      </c>
      <c r="M444" s="6">
        <f t="shared" si="35"/>
        <v>2791327.5273714042</v>
      </c>
      <c r="N444" s="6">
        <f t="shared" si="36"/>
        <v>50061088</v>
      </c>
      <c r="O444" s="6">
        <f t="shared" si="37"/>
        <v>52852415.527371407</v>
      </c>
      <c r="P444" s="8">
        <f>VLOOKUP(F444,'LEAID Match'!$A$2:$B$436,2,FALSE)</f>
        <v>1807410</v>
      </c>
      <c r="Q444" s="6">
        <f t="shared" si="38"/>
        <v>9</v>
      </c>
    </row>
    <row r="445" spans="1:17" x14ac:dyDescent="0.2">
      <c r="A445" s="16">
        <f t="shared" si="34"/>
        <v>1800210</v>
      </c>
      <c r="B445">
        <v>2015</v>
      </c>
      <c r="C445" t="s">
        <v>904</v>
      </c>
      <c r="D445" t="s">
        <v>906</v>
      </c>
      <c r="E445" t="s">
        <v>1351</v>
      </c>
      <c r="F445" t="s">
        <v>665</v>
      </c>
      <c r="G445" t="s">
        <v>62</v>
      </c>
      <c r="H445" s="6">
        <v>162039</v>
      </c>
      <c r="I445" s="6">
        <v>7.8794818902334332E-4</v>
      </c>
      <c r="J445" s="6">
        <v>4578.766926414648</v>
      </c>
      <c r="K445" s="6">
        <v>666301.59580916294</v>
      </c>
      <c r="M445" s="6">
        <f t="shared" si="35"/>
        <v>166617.76692641465</v>
      </c>
      <c r="N445" s="6">
        <f t="shared" si="36"/>
        <v>666301.59580916294</v>
      </c>
      <c r="O445" s="6">
        <f t="shared" si="37"/>
        <v>832919.36273557763</v>
      </c>
      <c r="P445" s="8">
        <f>VLOOKUP(F445,'LEAID Match'!$A$2:$B$436,2,FALSE)</f>
        <v>1800210</v>
      </c>
      <c r="Q445" s="6">
        <f t="shared" si="38"/>
        <v>9</v>
      </c>
    </row>
    <row r="446" spans="1:17" x14ac:dyDescent="0.2">
      <c r="A446" s="16">
        <f t="shared" si="34"/>
        <v>1800210</v>
      </c>
      <c r="B446">
        <v>2016</v>
      </c>
      <c r="C446" t="s">
        <v>904</v>
      </c>
      <c r="D446" t="s">
        <v>906</v>
      </c>
      <c r="E446" t="s">
        <v>1352</v>
      </c>
      <c r="F446" t="s">
        <v>665</v>
      </c>
      <c r="G446" t="s">
        <v>62</v>
      </c>
      <c r="H446" s="6">
        <v>145510</v>
      </c>
      <c r="I446" s="6">
        <v>6.7518427099334366E-4</v>
      </c>
      <c r="J446" s="6">
        <v>3408.330199974399</v>
      </c>
      <c r="K446" s="6">
        <v>599226.04050659202</v>
      </c>
      <c r="M446" s="6">
        <f t="shared" si="35"/>
        <v>148918.33019997439</v>
      </c>
      <c r="N446" s="6">
        <f t="shared" si="36"/>
        <v>599226.04050659202</v>
      </c>
      <c r="O446" s="6">
        <f t="shared" si="37"/>
        <v>748144.37070656638</v>
      </c>
      <c r="P446" s="8">
        <f>VLOOKUP(F446,'LEAID Match'!$A$2:$B$436,2,FALSE)</f>
        <v>1800210</v>
      </c>
      <c r="Q446" s="6">
        <f t="shared" si="38"/>
        <v>9</v>
      </c>
    </row>
    <row r="447" spans="1:17" x14ac:dyDescent="0.2">
      <c r="A447" s="16">
        <f t="shared" si="34"/>
        <v>1800210</v>
      </c>
      <c r="B447">
        <v>2017</v>
      </c>
      <c r="C447" t="s">
        <v>904</v>
      </c>
      <c r="D447" t="s">
        <v>906</v>
      </c>
      <c r="E447" t="s">
        <v>1353</v>
      </c>
      <c r="F447" t="s">
        <v>665</v>
      </c>
      <c r="G447" t="s">
        <v>62</v>
      </c>
      <c r="H447" s="6">
        <v>136382</v>
      </c>
      <c r="I447" s="6">
        <v>6.0054829105190579E-4</v>
      </c>
      <c r="J447" s="6">
        <v>2717.4810170098735</v>
      </c>
      <c r="K447" s="6">
        <v>523077.56150621001</v>
      </c>
      <c r="M447" s="6">
        <f t="shared" si="35"/>
        <v>139099.48101700988</v>
      </c>
      <c r="N447" s="6">
        <f t="shared" si="36"/>
        <v>523077.56150621001</v>
      </c>
      <c r="O447" s="6">
        <f t="shared" si="37"/>
        <v>662177.04252321995</v>
      </c>
      <c r="P447" s="8">
        <f>VLOOKUP(F447,'LEAID Match'!$A$2:$B$436,2,FALSE)</f>
        <v>1800210</v>
      </c>
      <c r="Q447" s="6">
        <f t="shared" si="38"/>
        <v>9</v>
      </c>
    </row>
    <row r="448" spans="1:17" x14ac:dyDescent="0.2">
      <c r="A448" s="16">
        <f t="shared" si="34"/>
        <v>1800210</v>
      </c>
      <c r="B448">
        <v>2018</v>
      </c>
      <c r="C448" t="s">
        <v>904</v>
      </c>
      <c r="D448" t="s">
        <v>906</v>
      </c>
      <c r="E448" t="s">
        <v>1354</v>
      </c>
      <c r="F448" t="s">
        <v>665</v>
      </c>
      <c r="G448" t="s">
        <v>62</v>
      </c>
      <c r="H448" s="6">
        <v>129834</v>
      </c>
      <c r="I448" s="6">
        <v>5.5080397296669679E-4</v>
      </c>
      <c r="J448" s="6">
        <v>2295.7509593251921</v>
      </c>
      <c r="K448" s="6">
        <v>709812</v>
      </c>
      <c r="M448" s="6">
        <f t="shared" si="35"/>
        <v>132129.7509593252</v>
      </c>
      <c r="N448" s="6">
        <f t="shared" si="36"/>
        <v>709812</v>
      </c>
      <c r="O448" s="6">
        <f t="shared" si="37"/>
        <v>841941.75095932523</v>
      </c>
      <c r="P448" s="8">
        <f>VLOOKUP(F448,'LEAID Match'!$A$2:$B$436,2,FALSE)</f>
        <v>1800210</v>
      </c>
      <c r="Q448" s="6">
        <f t="shared" si="38"/>
        <v>9</v>
      </c>
    </row>
    <row r="449" spans="1:17" x14ac:dyDescent="0.2">
      <c r="A449" s="16">
        <f t="shared" si="34"/>
        <v>1800210</v>
      </c>
      <c r="B449">
        <v>2019</v>
      </c>
      <c r="C449" t="s">
        <v>904</v>
      </c>
      <c r="D449" t="s">
        <v>906</v>
      </c>
      <c r="E449" t="s">
        <v>1355</v>
      </c>
      <c r="F449" t="s">
        <v>665</v>
      </c>
      <c r="G449" t="s">
        <v>62</v>
      </c>
      <c r="H449" s="6">
        <v>130947</v>
      </c>
      <c r="I449" s="6">
        <v>3.3312845781809845E-4</v>
      </c>
      <c r="J449" s="6">
        <v>1167.615244652435</v>
      </c>
      <c r="K449" s="6">
        <v>314439.95133450301</v>
      </c>
      <c r="M449" s="6">
        <f t="shared" si="35"/>
        <v>132114.61524465244</v>
      </c>
      <c r="N449" s="6">
        <f t="shared" si="36"/>
        <v>314439.95133450301</v>
      </c>
      <c r="O449" s="6">
        <f t="shared" si="37"/>
        <v>446554.56657915545</v>
      </c>
      <c r="P449" s="8">
        <f>VLOOKUP(F449,'LEAID Match'!$A$2:$B$436,2,FALSE)</f>
        <v>1800210</v>
      </c>
      <c r="Q449" s="6">
        <f t="shared" si="38"/>
        <v>9</v>
      </c>
    </row>
    <row r="450" spans="1:17" x14ac:dyDescent="0.2">
      <c r="A450" s="16">
        <f t="shared" si="34"/>
        <v>1800210</v>
      </c>
      <c r="B450">
        <v>2020</v>
      </c>
      <c r="C450" t="s">
        <v>904</v>
      </c>
      <c r="D450" t="s">
        <v>906</v>
      </c>
      <c r="E450" t="s">
        <v>1356</v>
      </c>
      <c r="F450" t="s">
        <v>665</v>
      </c>
      <c r="G450" t="s">
        <v>62</v>
      </c>
      <c r="H450" s="6">
        <v>98480</v>
      </c>
      <c r="I450" s="6">
        <v>5.2181673484708155E-4</v>
      </c>
      <c r="J450" s="6">
        <v>1229.4002272997241</v>
      </c>
      <c r="K450" s="6">
        <v>788074</v>
      </c>
      <c r="M450" s="6">
        <f t="shared" si="35"/>
        <v>99709.400227299717</v>
      </c>
      <c r="N450" s="6">
        <f t="shared" si="36"/>
        <v>788074</v>
      </c>
      <c r="O450" s="6">
        <f t="shared" si="37"/>
        <v>887783.40022729966</v>
      </c>
      <c r="P450" s="8">
        <f>VLOOKUP(F450,'LEAID Match'!$A$2:$B$436,2,FALSE)</f>
        <v>1800210</v>
      </c>
      <c r="Q450" s="6">
        <f t="shared" si="38"/>
        <v>9</v>
      </c>
    </row>
    <row r="451" spans="1:17" x14ac:dyDescent="0.2">
      <c r="A451" s="16">
        <f t="shared" ref="A451:A514" si="39">P451</f>
        <v>1800210</v>
      </c>
      <c r="B451">
        <v>2021</v>
      </c>
      <c r="C451" t="s">
        <v>904</v>
      </c>
      <c r="D451" t="s">
        <v>906</v>
      </c>
      <c r="E451" t="s">
        <v>1357</v>
      </c>
      <c r="F451" t="s">
        <v>665</v>
      </c>
      <c r="G451" t="s">
        <v>62</v>
      </c>
      <c r="H451" s="6">
        <v>107787</v>
      </c>
      <c r="I451" s="6">
        <v>5.3247780407570419E-4</v>
      </c>
      <c r="J451" s="6">
        <v>1200.2049703866373</v>
      </c>
      <c r="K451" s="6">
        <v>1302676</v>
      </c>
      <c r="M451" s="6">
        <f t="shared" ref="M451:M514" si="40">SUM(H451,J451)</f>
        <v>108987.20497038664</v>
      </c>
      <c r="N451" s="6">
        <f t="shared" ref="N451:N514" si="41">K451</f>
        <v>1302676</v>
      </c>
      <c r="O451" s="6">
        <f t="shared" ref="O451:O514" si="42">SUM(M451:N451)</f>
        <v>1411663.2049703866</v>
      </c>
      <c r="P451" s="8">
        <f>VLOOKUP(F451,'LEAID Match'!$A$2:$B$436,2,FALSE)</f>
        <v>1800210</v>
      </c>
      <c r="Q451" s="6">
        <f t="shared" ref="Q451:Q514" si="43">COUNTIF($P$2:$P$3691,P451)</f>
        <v>9</v>
      </c>
    </row>
    <row r="452" spans="1:17" x14ac:dyDescent="0.2">
      <c r="A452" s="16">
        <f t="shared" si="39"/>
        <v>1800210</v>
      </c>
      <c r="B452">
        <v>2022</v>
      </c>
      <c r="C452" t="s">
        <v>904</v>
      </c>
      <c r="D452" t="s">
        <v>906</v>
      </c>
      <c r="E452" t="s">
        <v>1358</v>
      </c>
      <c r="F452" t="s">
        <v>665</v>
      </c>
      <c r="G452" t="s">
        <v>62</v>
      </c>
      <c r="H452" s="6">
        <v>111087</v>
      </c>
      <c r="I452" s="6">
        <v>5.2746172164508766E-4</v>
      </c>
      <c r="J452" s="6">
        <v>1163.0530962274183</v>
      </c>
      <c r="K452" s="6">
        <v>1314903</v>
      </c>
      <c r="M452" s="6">
        <f t="shared" si="40"/>
        <v>112250.05309622742</v>
      </c>
      <c r="N452" s="6">
        <f t="shared" si="41"/>
        <v>1314903</v>
      </c>
      <c r="O452" s="6">
        <f t="shared" si="42"/>
        <v>1427153.0530962273</v>
      </c>
      <c r="P452" s="8">
        <f>VLOOKUP(F452,'LEAID Match'!$A$2:$B$436,2,FALSE)</f>
        <v>1800210</v>
      </c>
      <c r="Q452" s="6">
        <f t="shared" si="43"/>
        <v>9</v>
      </c>
    </row>
    <row r="453" spans="1:17" x14ac:dyDescent="0.2">
      <c r="A453" s="16">
        <f t="shared" si="39"/>
        <v>1800210</v>
      </c>
      <c r="B453">
        <v>2023</v>
      </c>
      <c r="C453" t="s">
        <v>904</v>
      </c>
      <c r="D453" t="s">
        <v>906</v>
      </c>
      <c r="E453" t="s">
        <v>1359</v>
      </c>
      <c r="F453" t="s">
        <v>665</v>
      </c>
      <c r="G453" t="s">
        <v>62</v>
      </c>
      <c r="H453" s="6">
        <v>131603</v>
      </c>
      <c r="I453" s="6">
        <v>5.3818396039959299E-4</v>
      </c>
      <c r="J453" s="6">
        <v>1327.699830305796</v>
      </c>
      <c r="K453" s="6">
        <v>3482441</v>
      </c>
      <c r="M453" s="6">
        <f t="shared" si="40"/>
        <v>132930.69983030579</v>
      </c>
      <c r="N453" s="6">
        <f t="shared" si="41"/>
        <v>3482441</v>
      </c>
      <c r="O453" s="6">
        <f t="shared" si="42"/>
        <v>3615371.6998303058</v>
      </c>
      <c r="P453" s="8">
        <f>VLOOKUP(F453,'LEAID Match'!$A$2:$B$436,2,FALSE)</f>
        <v>1800210</v>
      </c>
      <c r="Q453" s="6">
        <f t="shared" si="43"/>
        <v>9</v>
      </c>
    </row>
    <row r="454" spans="1:17" x14ac:dyDescent="0.2">
      <c r="A454" s="16">
        <f t="shared" si="39"/>
        <v>1802430</v>
      </c>
      <c r="B454">
        <v>2015</v>
      </c>
      <c r="C454" t="s">
        <v>904</v>
      </c>
      <c r="D454" t="s">
        <v>906</v>
      </c>
      <c r="E454" t="s">
        <v>1360</v>
      </c>
      <c r="F454" t="s">
        <v>666</v>
      </c>
      <c r="G454" t="s">
        <v>63</v>
      </c>
      <c r="H454" s="6">
        <v>173772</v>
      </c>
      <c r="I454" s="6">
        <v>8.4500233093862836E-4</v>
      </c>
      <c r="J454" s="6">
        <v>4910.3085450843691</v>
      </c>
      <c r="K454" s="6">
        <v>714547.49107899901</v>
      </c>
      <c r="M454" s="6">
        <f t="shared" si="40"/>
        <v>178682.30854508438</v>
      </c>
      <c r="N454" s="6">
        <f t="shared" si="41"/>
        <v>714547.49107899901</v>
      </c>
      <c r="O454" s="6">
        <f t="shared" si="42"/>
        <v>893229.79962408333</v>
      </c>
      <c r="P454" s="8">
        <f>VLOOKUP(F454,'LEAID Match'!$A$2:$B$436,2,FALSE)</f>
        <v>1802430</v>
      </c>
      <c r="Q454" s="6">
        <f t="shared" si="43"/>
        <v>9</v>
      </c>
    </row>
    <row r="455" spans="1:17" x14ac:dyDescent="0.2">
      <c r="A455" s="16">
        <f t="shared" si="39"/>
        <v>1802430</v>
      </c>
      <c r="B455">
        <v>2016</v>
      </c>
      <c r="C455" t="s">
        <v>904</v>
      </c>
      <c r="D455" t="s">
        <v>906</v>
      </c>
      <c r="E455" t="s">
        <v>1361</v>
      </c>
      <c r="F455" t="s">
        <v>666</v>
      </c>
      <c r="G455" t="s">
        <v>63</v>
      </c>
      <c r="H455" s="6">
        <v>177977</v>
      </c>
      <c r="I455" s="6">
        <v>8.2583513846871221E-4</v>
      </c>
      <c r="J455" s="6">
        <v>4168.8157789900597</v>
      </c>
      <c r="K455" s="6">
        <v>732928.68539098196</v>
      </c>
      <c r="M455" s="6">
        <f t="shared" si="40"/>
        <v>182145.81577899007</v>
      </c>
      <c r="N455" s="6">
        <f t="shared" si="41"/>
        <v>732928.68539098196</v>
      </c>
      <c r="O455" s="6">
        <f t="shared" si="42"/>
        <v>915074.50116997201</v>
      </c>
      <c r="P455" s="8">
        <f>VLOOKUP(F455,'LEAID Match'!$A$2:$B$436,2,FALSE)</f>
        <v>1802430</v>
      </c>
      <c r="Q455" s="6">
        <f t="shared" si="43"/>
        <v>9</v>
      </c>
    </row>
    <row r="456" spans="1:17" x14ac:dyDescent="0.2">
      <c r="A456" s="16">
        <f t="shared" si="39"/>
        <v>1802430</v>
      </c>
      <c r="B456">
        <v>2017</v>
      </c>
      <c r="C456" t="s">
        <v>904</v>
      </c>
      <c r="D456" t="s">
        <v>906</v>
      </c>
      <c r="E456" t="s">
        <v>1362</v>
      </c>
      <c r="F456" t="s">
        <v>666</v>
      </c>
      <c r="G456" t="s">
        <v>63</v>
      </c>
      <c r="H456" s="6">
        <v>179554</v>
      </c>
      <c r="I456" s="6">
        <v>7.9065307629697383E-4</v>
      </c>
      <c r="J456" s="6">
        <v>3577.7051702438066</v>
      </c>
      <c r="K456" s="6">
        <v>688658.82945466402</v>
      </c>
      <c r="M456" s="6">
        <f t="shared" si="40"/>
        <v>183131.7051702438</v>
      </c>
      <c r="N456" s="6">
        <f t="shared" si="41"/>
        <v>688658.82945466402</v>
      </c>
      <c r="O456" s="6">
        <f t="shared" si="42"/>
        <v>871790.53462490789</v>
      </c>
      <c r="P456" s="8">
        <f>VLOOKUP(F456,'LEAID Match'!$A$2:$B$436,2,FALSE)</f>
        <v>1802430</v>
      </c>
      <c r="Q456" s="6">
        <f t="shared" si="43"/>
        <v>9</v>
      </c>
    </row>
    <row r="457" spans="1:17" x14ac:dyDescent="0.2">
      <c r="A457" s="16">
        <f t="shared" si="39"/>
        <v>1802430</v>
      </c>
      <c r="B457">
        <v>2018</v>
      </c>
      <c r="C457" t="s">
        <v>904</v>
      </c>
      <c r="D457" t="s">
        <v>906</v>
      </c>
      <c r="E457" t="s">
        <v>1363</v>
      </c>
      <c r="F457" t="s">
        <v>666</v>
      </c>
      <c r="G457" t="s">
        <v>63</v>
      </c>
      <c r="H457" s="6">
        <v>211107</v>
      </c>
      <c r="I457" s="6">
        <v>8.9559417657224195E-4</v>
      </c>
      <c r="J457" s="6">
        <v>3732.8365279531045</v>
      </c>
      <c r="K457" s="6">
        <v>761123</v>
      </c>
      <c r="M457" s="6">
        <f t="shared" si="40"/>
        <v>214839.8365279531</v>
      </c>
      <c r="N457" s="6">
        <f t="shared" si="41"/>
        <v>761123</v>
      </c>
      <c r="O457" s="6">
        <f t="shared" si="42"/>
        <v>975962.83652795316</v>
      </c>
      <c r="P457" s="8">
        <f>VLOOKUP(F457,'LEAID Match'!$A$2:$B$436,2,FALSE)</f>
        <v>1802430</v>
      </c>
      <c r="Q457" s="6">
        <f t="shared" si="43"/>
        <v>9</v>
      </c>
    </row>
    <row r="458" spans="1:17" x14ac:dyDescent="0.2">
      <c r="A458" s="16">
        <f t="shared" si="39"/>
        <v>1802430</v>
      </c>
      <c r="B458">
        <v>2019</v>
      </c>
      <c r="C458" t="s">
        <v>904</v>
      </c>
      <c r="D458" t="s">
        <v>906</v>
      </c>
      <c r="E458" t="s">
        <v>1364</v>
      </c>
      <c r="F458" t="s">
        <v>666</v>
      </c>
      <c r="G458" t="s">
        <v>63</v>
      </c>
      <c r="H458" s="6">
        <v>240171</v>
      </c>
      <c r="I458" s="6">
        <v>6.1099372144936899E-4</v>
      </c>
      <c r="J458" s="6">
        <v>2141.5329936800381</v>
      </c>
      <c r="K458" s="6">
        <v>576716.97367605905</v>
      </c>
      <c r="M458" s="6">
        <f t="shared" si="40"/>
        <v>242312.53299368004</v>
      </c>
      <c r="N458" s="6">
        <f t="shared" si="41"/>
        <v>576716.97367605905</v>
      </c>
      <c r="O458" s="6">
        <f t="shared" si="42"/>
        <v>819029.50666973903</v>
      </c>
      <c r="P458" s="8">
        <f>VLOOKUP(F458,'LEAID Match'!$A$2:$B$436,2,FALSE)</f>
        <v>1802430</v>
      </c>
      <c r="Q458" s="6">
        <f t="shared" si="43"/>
        <v>9</v>
      </c>
    </row>
    <row r="459" spans="1:17" x14ac:dyDescent="0.2">
      <c r="A459" s="16">
        <f t="shared" si="39"/>
        <v>1802430</v>
      </c>
      <c r="B459">
        <v>2020</v>
      </c>
      <c r="C459" t="s">
        <v>904</v>
      </c>
      <c r="D459" t="s">
        <v>906</v>
      </c>
      <c r="E459" t="s">
        <v>1365</v>
      </c>
      <c r="F459" t="s">
        <v>666</v>
      </c>
      <c r="G459" t="s">
        <v>63</v>
      </c>
      <c r="H459" s="6">
        <v>181828</v>
      </c>
      <c r="I459" s="6">
        <v>9.6345342469308644E-4</v>
      </c>
      <c r="J459" s="6">
        <v>2269.8962685769116</v>
      </c>
      <c r="K459" s="6">
        <v>788753</v>
      </c>
      <c r="M459" s="6">
        <f t="shared" si="40"/>
        <v>184097.89626857691</v>
      </c>
      <c r="N459" s="6">
        <f t="shared" si="41"/>
        <v>788753</v>
      </c>
      <c r="O459" s="6">
        <f t="shared" si="42"/>
        <v>972850.89626857685</v>
      </c>
      <c r="P459" s="8">
        <f>VLOOKUP(F459,'LEAID Match'!$A$2:$B$436,2,FALSE)</f>
        <v>1802430</v>
      </c>
      <c r="Q459" s="6">
        <f t="shared" si="43"/>
        <v>9</v>
      </c>
    </row>
    <row r="460" spans="1:17" x14ac:dyDescent="0.2">
      <c r="A460" s="16">
        <f t="shared" si="39"/>
        <v>1802430</v>
      </c>
      <c r="B460">
        <v>2021</v>
      </c>
      <c r="C460" t="s">
        <v>904</v>
      </c>
      <c r="D460" t="s">
        <v>906</v>
      </c>
      <c r="E460" t="s">
        <v>1366</v>
      </c>
      <c r="F460" t="s">
        <v>666</v>
      </c>
      <c r="G460" t="s">
        <v>63</v>
      </c>
      <c r="H460" s="6">
        <v>196975</v>
      </c>
      <c r="I460" s="6">
        <v>9.7307481846430305E-4</v>
      </c>
      <c r="J460" s="6">
        <v>2193.310640818539</v>
      </c>
      <c r="K460" s="6">
        <v>1278700</v>
      </c>
      <c r="M460" s="6">
        <f t="shared" si="40"/>
        <v>199168.31064081853</v>
      </c>
      <c r="N460" s="6">
        <f t="shared" si="41"/>
        <v>1278700</v>
      </c>
      <c r="O460" s="6">
        <f t="shared" si="42"/>
        <v>1477868.3106408184</v>
      </c>
      <c r="P460" s="8">
        <f>VLOOKUP(F460,'LEAID Match'!$A$2:$B$436,2,FALSE)</f>
        <v>1802430</v>
      </c>
      <c r="Q460" s="6">
        <f t="shared" si="43"/>
        <v>9</v>
      </c>
    </row>
    <row r="461" spans="1:17" x14ac:dyDescent="0.2">
      <c r="A461" s="16">
        <f t="shared" si="39"/>
        <v>1802430</v>
      </c>
      <c r="B461">
        <v>2022</v>
      </c>
      <c r="C461" t="s">
        <v>904</v>
      </c>
      <c r="D461" t="s">
        <v>906</v>
      </c>
      <c r="E461" t="s">
        <v>1367</v>
      </c>
      <c r="F461" t="s">
        <v>666</v>
      </c>
      <c r="G461" t="s">
        <v>63</v>
      </c>
      <c r="H461" s="6">
        <v>206438</v>
      </c>
      <c r="I461" s="6">
        <v>9.8020599073670735E-4</v>
      </c>
      <c r="J461" s="6">
        <v>2161.3542095744397</v>
      </c>
      <c r="K461" s="6">
        <v>1243119</v>
      </c>
      <c r="M461" s="6">
        <f t="shared" si="40"/>
        <v>208599.35420957443</v>
      </c>
      <c r="N461" s="6">
        <f t="shared" si="41"/>
        <v>1243119</v>
      </c>
      <c r="O461" s="6">
        <f t="shared" si="42"/>
        <v>1451718.3542095744</v>
      </c>
      <c r="P461" s="8">
        <f>VLOOKUP(F461,'LEAID Match'!$A$2:$B$436,2,FALSE)</f>
        <v>1802430</v>
      </c>
      <c r="Q461" s="6">
        <f t="shared" si="43"/>
        <v>9</v>
      </c>
    </row>
    <row r="462" spans="1:17" x14ac:dyDescent="0.2">
      <c r="A462" s="16">
        <f t="shared" si="39"/>
        <v>1802430</v>
      </c>
      <c r="B462">
        <v>2023</v>
      </c>
      <c r="C462" t="s">
        <v>904</v>
      </c>
      <c r="D462" t="s">
        <v>906</v>
      </c>
      <c r="E462" t="s">
        <v>1368</v>
      </c>
      <c r="F462" t="s">
        <v>666</v>
      </c>
      <c r="G462" t="s">
        <v>63</v>
      </c>
      <c r="H462" s="6">
        <v>239142</v>
      </c>
      <c r="I462" s="6">
        <v>9.7795938282470361E-4</v>
      </c>
      <c r="J462" s="6">
        <v>2412.6257974285436</v>
      </c>
      <c r="K462" s="6">
        <v>3118231</v>
      </c>
      <c r="M462" s="6">
        <f t="shared" si="40"/>
        <v>241554.62579742854</v>
      </c>
      <c r="N462" s="6">
        <f t="shared" si="41"/>
        <v>3118231</v>
      </c>
      <c r="O462" s="6">
        <f t="shared" si="42"/>
        <v>3359785.6257974287</v>
      </c>
      <c r="P462" s="8">
        <f>VLOOKUP(F462,'LEAID Match'!$A$2:$B$436,2,FALSE)</f>
        <v>1802430</v>
      </c>
      <c r="Q462" s="6">
        <f t="shared" si="43"/>
        <v>9</v>
      </c>
    </row>
    <row r="463" spans="1:17" x14ac:dyDescent="0.2">
      <c r="A463" s="16">
        <f t="shared" si="39"/>
        <v>1810620</v>
      </c>
      <c r="B463">
        <v>2015</v>
      </c>
      <c r="C463" t="s">
        <v>904</v>
      </c>
      <c r="D463" t="s">
        <v>906</v>
      </c>
      <c r="E463" t="s">
        <v>1369</v>
      </c>
      <c r="F463" t="s">
        <v>473</v>
      </c>
      <c r="G463" t="s">
        <v>64</v>
      </c>
      <c r="H463" s="6">
        <v>206418</v>
      </c>
      <c r="I463" s="6">
        <v>1.0037502655645893E-3</v>
      </c>
      <c r="J463" s="6">
        <v>5832.7927931958284</v>
      </c>
      <c r="K463" s="6">
        <v>848787.28456566494</v>
      </c>
      <c r="M463" s="6">
        <f t="shared" si="40"/>
        <v>212250.79279319584</v>
      </c>
      <c r="N463" s="6">
        <f t="shared" si="41"/>
        <v>848787.28456566494</v>
      </c>
      <c r="O463" s="6">
        <f t="shared" si="42"/>
        <v>1061038.0773588608</v>
      </c>
      <c r="P463" s="8">
        <f>VLOOKUP(F463,'LEAID Match'!$A$2:$B$436,2,FALSE)</f>
        <v>1810620</v>
      </c>
      <c r="Q463" s="6">
        <f t="shared" si="43"/>
        <v>9</v>
      </c>
    </row>
    <row r="464" spans="1:17" x14ac:dyDescent="0.2">
      <c r="A464" s="16">
        <f t="shared" si="39"/>
        <v>1810620</v>
      </c>
      <c r="B464">
        <v>2016</v>
      </c>
      <c r="C464" t="s">
        <v>904</v>
      </c>
      <c r="D464" t="s">
        <v>906</v>
      </c>
      <c r="E464" t="s">
        <v>1370</v>
      </c>
      <c r="F464" t="s">
        <v>473</v>
      </c>
      <c r="G464" t="s">
        <v>64</v>
      </c>
      <c r="H464" s="6">
        <v>223211</v>
      </c>
      <c r="I464" s="6">
        <v>1.0357264539392153E-3</v>
      </c>
      <c r="J464" s="6">
        <v>5228.3471394851586</v>
      </c>
      <c r="K464" s="6">
        <v>919207.22787105304</v>
      </c>
      <c r="M464" s="6">
        <f t="shared" si="40"/>
        <v>228439.34713948515</v>
      </c>
      <c r="N464" s="6">
        <f t="shared" si="41"/>
        <v>919207.22787105304</v>
      </c>
      <c r="O464" s="6">
        <f t="shared" si="42"/>
        <v>1147646.5750105381</v>
      </c>
      <c r="P464" s="8">
        <f>VLOOKUP(F464,'LEAID Match'!$A$2:$B$436,2,FALSE)</f>
        <v>1810620</v>
      </c>
      <c r="Q464" s="6">
        <f t="shared" si="43"/>
        <v>9</v>
      </c>
    </row>
    <row r="465" spans="1:17" x14ac:dyDescent="0.2">
      <c r="A465" s="16">
        <f t="shared" si="39"/>
        <v>1810620</v>
      </c>
      <c r="B465">
        <v>2017</v>
      </c>
      <c r="C465" t="s">
        <v>904</v>
      </c>
      <c r="D465" t="s">
        <v>906</v>
      </c>
      <c r="E465" t="s">
        <v>1371</v>
      </c>
      <c r="F465" t="s">
        <v>473</v>
      </c>
      <c r="G465" t="s">
        <v>64</v>
      </c>
      <c r="H465" s="6">
        <v>223367</v>
      </c>
      <c r="I465" s="6">
        <v>9.8358045876575386E-4</v>
      </c>
      <c r="J465" s="6">
        <v>4450.7015759150363</v>
      </c>
      <c r="K465" s="6">
        <v>856698.57958497095</v>
      </c>
      <c r="M465" s="6">
        <f t="shared" si="40"/>
        <v>227817.70157591504</v>
      </c>
      <c r="N465" s="6">
        <f t="shared" si="41"/>
        <v>856698.57958497095</v>
      </c>
      <c r="O465" s="6">
        <f t="shared" si="42"/>
        <v>1084516.2811608859</v>
      </c>
      <c r="P465" s="8">
        <f>VLOOKUP(F465,'LEAID Match'!$A$2:$B$436,2,FALSE)</f>
        <v>1810620</v>
      </c>
      <c r="Q465" s="6">
        <f t="shared" si="43"/>
        <v>9</v>
      </c>
    </row>
    <row r="466" spans="1:17" x14ac:dyDescent="0.2">
      <c r="A466" s="16">
        <f t="shared" si="39"/>
        <v>1810620</v>
      </c>
      <c r="B466">
        <v>2018</v>
      </c>
      <c r="C466" t="s">
        <v>904</v>
      </c>
      <c r="D466" t="s">
        <v>906</v>
      </c>
      <c r="E466" t="s">
        <v>1372</v>
      </c>
      <c r="F466" t="s">
        <v>473</v>
      </c>
      <c r="G466" t="s">
        <v>64</v>
      </c>
      <c r="H466" s="6">
        <v>229191</v>
      </c>
      <c r="I466" s="6">
        <v>9.7231321047037142E-4</v>
      </c>
      <c r="J466" s="6">
        <v>4052.6014612405079</v>
      </c>
      <c r="K466" s="6">
        <v>982428</v>
      </c>
      <c r="M466" s="6">
        <f t="shared" si="40"/>
        <v>233243.6014612405</v>
      </c>
      <c r="N466" s="6">
        <f t="shared" si="41"/>
        <v>982428</v>
      </c>
      <c r="O466" s="6">
        <f t="shared" si="42"/>
        <v>1215671.6014612406</v>
      </c>
      <c r="P466" s="8">
        <f>VLOOKUP(F466,'LEAID Match'!$A$2:$B$436,2,FALSE)</f>
        <v>1810620</v>
      </c>
      <c r="Q466" s="6">
        <f t="shared" si="43"/>
        <v>9</v>
      </c>
    </row>
    <row r="467" spans="1:17" x14ac:dyDescent="0.2">
      <c r="A467" s="16">
        <f t="shared" si="39"/>
        <v>1810620</v>
      </c>
      <c r="B467">
        <v>2019</v>
      </c>
      <c r="C467" t="s">
        <v>904</v>
      </c>
      <c r="D467" t="s">
        <v>906</v>
      </c>
      <c r="E467" t="s">
        <v>1373</v>
      </c>
      <c r="F467" t="s">
        <v>473</v>
      </c>
      <c r="G467" t="s">
        <v>64</v>
      </c>
      <c r="H467" s="6">
        <v>238098</v>
      </c>
      <c r="I467" s="6">
        <v>6.0572002069213954E-4</v>
      </c>
      <c r="J467" s="6">
        <v>2123.0486725259489</v>
      </c>
      <c r="K467" s="6">
        <v>571739.12753130996</v>
      </c>
      <c r="M467" s="6">
        <f t="shared" si="40"/>
        <v>240221.04867252594</v>
      </c>
      <c r="N467" s="6">
        <f t="shared" si="41"/>
        <v>571739.12753130996</v>
      </c>
      <c r="O467" s="6">
        <f t="shared" si="42"/>
        <v>811960.17620383587</v>
      </c>
      <c r="P467" s="8">
        <f>VLOOKUP(F467,'LEAID Match'!$A$2:$B$436,2,FALSE)</f>
        <v>1810620</v>
      </c>
      <c r="Q467" s="6">
        <f t="shared" si="43"/>
        <v>9</v>
      </c>
    </row>
    <row r="468" spans="1:17" x14ac:dyDescent="0.2">
      <c r="A468" s="16">
        <f t="shared" si="39"/>
        <v>1810620</v>
      </c>
      <c r="B468">
        <v>2020</v>
      </c>
      <c r="C468" t="s">
        <v>904</v>
      </c>
      <c r="D468" t="s">
        <v>906</v>
      </c>
      <c r="E468" t="s">
        <v>1374</v>
      </c>
      <c r="F468" t="s">
        <v>473</v>
      </c>
      <c r="G468" t="s">
        <v>64</v>
      </c>
      <c r="H468" s="6">
        <v>178240</v>
      </c>
      <c r="I468" s="6">
        <v>9.4444166144540839E-4</v>
      </c>
      <c r="J468" s="6">
        <v>2225.1045543653822</v>
      </c>
      <c r="K468" s="6">
        <v>1066303</v>
      </c>
      <c r="M468" s="6">
        <f t="shared" si="40"/>
        <v>180465.10455436539</v>
      </c>
      <c r="N468" s="6">
        <f t="shared" si="41"/>
        <v>1066303</v>
      </c>
      <c r="O468" s="6">
        <f t="shared" si="42"/>
        <v>1246768.1045543654</v>
      </c>
      <c r="P468" s="8">
        <f>VLOOKUP(F468,'LEAID Match'!$A$2:$B$436,2,FALSE)</f>
        <v>1810620</v>
      </c>
      <c r="Q468" s="6">
        <f t="shared" si="43"/>
        <v>9</v>
      </c>
    </row>
    <row r="469" spans="1:17" x14ac:dyDescent="0.2">
      <c r="A469" s="16">
        <f t="shared" si="39"/>
        <v>1810620</v>
      </c>
      <c r="B469">
        <v>2021</v>
      </c>
      <c r="C469" t="s">
        <v>904</v>
      </c>
      <c r="D469" t="s">
        <v>906</v>
      </c>
      <c r="E469" t="s">
        <v>1375</v>
      </c>
      <c r="F469" t="s">
        <v>473</v>
      </c>
      <c r="G469" t="s">
        <v>64</v>
      </c>
      <c r="H469" s="6">
        <v>193117</v>
      </c>
      <c r="I469" s="6">
        <v>9.5401593967442975E-4</v>
      </c>
      <c r="J469" s="6">
        <v>2150.3519280261648</v>
      </c>
      <c r="K469" s="6">
        <v>1769721</v>
      </c>
      <c r="M469" s="6">
        <f t="shared" si="40"/>
        <v>195267.35192802615</v>
      </c>
      <c r="N469" s="6">
        <f t="shared" si="41"/>
        <v>1769721</v>
      </c>
      <c r="O469" s="6">
        <f t="shared" si="42"/>
        <v>1964988.3519280262</v>
      </c>
      <c r="P469" s="8">
        <f>VLOOKUP(F469,'LEAID Match'!$A$2:$B$436,2,FALSE)</f>
        <v>1810620</v>
      </c>
      <c r="Q469" s="6">
        <f t="shared" si="43"/>
        <v>9</v>
      </c>
    </row>
    <row r="470" spans="1:17" x14ac:dyDescent="0.2">
      <c r="A470" s="16">
        <f t="shared" si="39"/>
        <v>1810620</v>
      </c>
      <c r="B470">
        <v>2022</v>
      </c>
      <c r="C470" t="s">
        <v>904</v>
      </c>
      <c r="D470" t="s">
        <v>906</v>
      </c>
      <c r="E470" t="s">
        <v>1376</v>
      </c>
      <c r="F470" t="s">
        <v>473</v>
      </c>
      <c r="G470" t="s">
        <v>64</v>
      </c>
      <c r="H470" s="6">
        <v>197549</v>
      </c>
      <c r="I470" s="6">
        <v>9.379993667059639E-4</v>
      </c>
      <c r="J470" s="6">
        <v>2068.2886035866504</v>
      </c>
      <c r="K470" s="6">
        <v>1753669</v>
      </c>
      <c r="M470" s="6">
        <f t="shared" si="40"/>
        <v>199617.28860358664</v>
      </c>
      <c r="N470" s="6">
        <f t="shared" si="41"/>
        <v>1753669</v>
      </c>
      <c r="O470" s="6">
        <f t="shared" si="42"/>
        <v>1953286.2886035866</v>
      </c>
      <c r="P470" s="8">
        <f>VLOOKUP(F470,'LEAID Match'!$A$2:$B$436,2,FALSE)</f>
        <v>1810620</v>
      </c>
      <c r="Q470" s="6">
        <f t="shared" si="43"/>
        <v>9</v>
      </c>
    </row>
    <row r="471" spans="1:17" x14ac:dyDescent="0.2">
      <c r="A471" s="16">
        <f t="shared" si="39"/>
        <v>1810620</v>
      </c>
      <c r="B471">
        <v>2023</v>
      </c>
      <c r="C471" t="s">
        <v>904</v>
      </c>
      <c r="D471" t="s">
        <v>906</v>
      </c>
      <c r="E471" t="s">
        <v>1377</v>
      </c>
      <c r="F471" t="s">
        <v>473</v>
      </c>
      <c r="G471" t="s">
        <v>64</v>
      </c>
      <c r="H471" s="6">
        <v>232686</v>
      </c>
      <c r="I471" s="6">
        <v>9.5155789009019318E-4</v>
      </c>
      <c r="J471" s="6">
        <v>2347.4933148525065</v>
      </c>
      <c r="K471" s="6">
        <v>4723719</v>
      </c>
      <c r="M471" s="6">
        <f t="shared" si="40"/>
        <v>235033.4933148525</v>
      </c>
      <c r="N471" s="6">
        <f t="shared" si="41"/>
        <v>4723719</v>
      </c>
      <c r="O471" s="6">
        <f t="shared" si="42"/>
        <v>4958752.4933148529</v>
      </c>
      <c r="P471" s="8">
        <f>VLOOKUP(F471,'LEAID Match'!$A$2:$B$436,2,FALSE)</f>
        <v>1810620</v>
      </c>
      <c r="Q471" s="6">
        <f t="shared" si="43"/>
        <v>9</v>
      </c>
    </row>
    <row r="472" spans="1:17" x14ac:dyDescent="0.2">
      <c r="A472" s="16">
        <f t="shared" si="39"/>
        <v>1803700</v>
      </c>
      <c r="B472">
        <v>2015</v>
      </c>
      <c r="C472" t="s">
        <v>904</v>
      </c>
      <c r="D472" t="s">
        <v>906</v>
      </c>
      <c r="E472" t="s">
        <v>1378</v>
      </c>
      <c r="F472" t="s">
        <v>667</v>
      </c>
      <c r="G472" t="s">
        <v>65</v>
      </c>
      <c r="H472" s="6">
        <v>462192</v>
      </c>
      <c r="I472" s="6">
        <v>2.24750430069969E-3</v>
      </c>
      <c r="J472" s="6">
        <v>13060.247491365899</v>
      </c>
      <c r="K472" s="6">
        <v>1900525.59674046</v>
      </c>
      <c r="M472" s="6">
        <f t="shared" si="40"/>
        <v>475252.24749136588</v>
      </c>
      <c r="N472" s="6">
        <f t="shared" si="41"/>
        <v>1900525.59674046</v>
      </c>
      <c r="O472" s="6">
        <f t="shared" si="42"/>
        <v>2375777.8442318258</v>
      </c>
      <c r="P472" s="8">
        <f>VLOOKUP(F472,'LEAID Match'!$A$2:$B$436,2,FALSE)</f>
        <v>1803700</v>
      </c>
      <c r="Q472" s="6">
        <f t="shared" si="43"/>
        <v>9</v>
      </c>
    </row>
    <row r="473" spans="1:17" x14ac:dyDescent="0.2">
      <c r="A473" s="16">
        <f t="shared" si="39"/>
        <v>1803700</v>
      </c>
      <c r="B473">
        <v>2016</v>
      </c>
      <c r="C473" t="s">
        <v>904</v>
      </c>
      <c r="D473" t="s">
        <v>906</v>
      </c>
      <c r="E473" t="s">
        <v>1379</v>
      </c>
      <c r="F473" t="s">
        <v>667</v>
      </c>
      <c r="G473" t="s">
        <v>65</v>
      </c>
      <c r="H473" s="6">
        <v>493314</v>
      </c>
      <c r="I473" s="6">
        <v>2.2890375469782854E-3</v>
      </c>
      <c r="J473" s="6">
        <v>11555.061537146385</v>
      </c>
      <c r="K473" s="6">
        <v>2031520.8229432199</v>
      </c>
      <c r="M473" s="6">
        <f t="shared" si="40"/>
        <v>504869.06153714639</v>
      </c>
      <c r="N473" s="6">
        <f t="shared" si="41"/>
        <v>2031520.8229432199</v>
      </c>
      <c r="O473" s="6">
        <f t="shared" si="42"/>
        <v>2536389.8844803665</v>
      </c>
      <c r="P473" s="8">
        <f>VLOOKUP(F473,'LEAID Match'!$A$2:$B$436,2,FALSE)</f>
        <v>1803700</v>
      </c>
      <c r="Q473" s="6">
        <f t="shared" si="43"/>
        <v>9</v>
      </c>
    </row>
    <row r="474" spans="1:17" x14ac:dyDescent="0.2">
      <c r="A474" s="16">
        <f t="shared" si="39"/>
        <v>1803700</v>
      </c>
      <c r="B474">
        <v>2017</v>
      </c>
      <c r="C474" t="s">
        <v>904</v>
      </c>
      <c r="D474" t="s">
        <v>906</v>
      </c>
      <c r="E474" t="s">
        <v>1380</v>
      </c>
      <c r="F474" t="s">
        <v>667</v>
      </c>
      <c r="G474" t="s">
        <v>65</v>
      </c>
      <c r="H474" s="6">
        <v>498519</v>
      </c>
      <c r="I474" s="6">
        <v>2.1951924264705389E-3</v>
      </c>
      <c r="J474" s="6">
        <v>9933.245729779188</v>
      </c>
      <c r="K474" s="6">
        <v>1912012.6034558299</v>
      </c>
      <c r="M474" s="6">
        <f t="shared" si="40"/>
        <v>508452.24572977918</v>
      </c>
      <c r="N474" s="6">
        <f t="shared" si="41"/>
        <v>1912012.6034558299</v>
      </c>
      <c r="O474" s="6">
        <f t="shared" si="42"/>
        <v>2420464.8491856093</v>
      </c>
      <c r="P474" s="8">
        <f>VLOOKUP(F474,'LEAID Match'!$A$2:$B$436,2,FALSE)</f>
        <v>1803700</v>
      </c>
      <c r="Q474" s="6">
        <f t="shared" si="43"/>
        <v>9</v>
      </c>
    </row>
    <row r="475" spans="1:17" x14ac:dyDescent="0.2">
      <c r="A475" s="16">
        <f t="shared" si="39"/>
        <v>1803700</v>
      </c>
      <c r="B475">
        <v>2018</v>
      </c>
      <c r="C475" t="s">
        <v>904</v>
      </c>
      <c r="D475" t="s">
        <v>906</v>
      </c>
      <c r="E475" t="s">
        <v>1381</v>
      </c>
      <c r="F475" t="s">
        <v>667</v>
      </c>
      <c r="G475" t="s">
        <v>65</v>
      </c>
      <c r="H475" s="6">
        <v>485864</v>
      </c>
      <c r="I475" s="6">
        <v>2.0612152557996453E-3</v>
      </c>
      <c r="J475" s="6">
        <v>8591.145186172922</v>
      </c>
      <c r="K475" s="6">
        <v>2437208</v>
      </c>
      <c r="M475" s="6">
        <f t="shared" si="40"/>
        <v>494455.14518617291</v>
      </c>
      <c r="N475" s="6">
        <f t="shared" si="41"/>
        <v>2437208</v>
      </c>
      <c r="O475" s="6">
        <f t="shared" si="42"/>
        <v>2931663.1451861728</v>
      </c>
      <c r="P475" s="8">
        <f>VLOOKUP(F475,'LEAID Match'!$A$2:$B$436,2,FALSE)</f>
        <v>1803700</v>
      </c>
      <c r="Q475" s="6">
        <f t="shared" si="43"/>
        <v>9</v>
      </c>
    </row>
    <row r="476" spans="1:17" x14ac:dyDescent="0.2">
      <c r="A476" s="16">
        <f t="shared" si="39"/>
        <v>1803700</v>
      </c>
      <c r="B476">
        <v>2019</v>
      </c>
      <c r="C476" t="s">
        <v>904</v>
      </c>
      <c r="D476" t="s">
        <v>906</v>
      </c>
      <c r="E476" t="s">
        <v>1382</v>
      </c>
      <c r="F476" t="s">
        <v>667</v>
      </c>
      <c r="G476" t="s">
        <v>65</v>
      </c>
      <c r="H476" s="6">
        <v>484408</v>
      </c>
      <c r="I476" s="6">
        <v>1.232331324847071E-3</v>
      </c>
      <c r="J476" s="6">
        <v>4319.3212935889842</v>
      </c>
      <c r="K476" s="6">
        <v>1163197.53752315</v>
      </c>
      <c r="M476" s="6">
        <f t="shared" si="40"/>
        <v>488727.32129358896</v>
      </c>
      <c r="N476" s="6">
        <f t="shared" si="41"/>
        <v>1163197.53752315</v>
      </c>
      <c r="O476" s="6">
        <f t="shared" si="42"/>
        <v>1651924.8588167389</v>
      </c>
      <c r="P476" s="8">
        <f>VLOOKUP(F476,'LEAID Match'!$A$2:$B$436,2,FALSE)</f>
        <v>1803700</v>
      </c>
      <c r="Q476" s="6">
        <f t="shared" si="43"/>
        <v>9</v>
      </c>
    </row>
    <row r="477" spans="1:17" x14ac:dyDescent="0.2">
      <c r="A477" s="16">
        <f t="shared" si="39"/>
        <v>1803700</v>
      </c>
      <c r="B477">
        <v>2020</v>
      </c>
      <c r="C477" t="s">
        <v>904</v>
      </c>
      <c r="D477" t="s">
        <v>906</v>
      </c>
      <c r="E477" t="s">
        <v>1383</v>
      </c>
      <c r="F477" t="s">
        <v>667</v>
      </c>
      <c r="G477" t="s">
        <v>65</v>
      </c>
      <c r="H477" s="6">
        <v>354330</v>
      </c>
      <c r="I477" s="6">
        <v>1.8774911013237857E-3</v>
      </c>
      <c r="J477" s="6">
        <v>4423.3690347188394</v>
      </c>
      <c r="K477" s="6">
        <v>2641188</v>
      </c>
      <c r="M477" s="6">
        <f t="shared" si="40"/>
        <v>358753.36903471884</v>
      </c>
      <c r="N477" s="6">
        <f t="shared" si="41"/>
        <v>2641188</v>
      </c>
      <c r="O477" s="6">
        <f t="shared" si="42"/>
        <v>2999941.3690347187</v>
      </c>
      <c r="P477" s="8">
        <f>VLOOKUP(F477,'LEAID Match'!$A$2:$B$436,2,FALSE)</f>
        <v>1803700</v>
      </c>
      <c r="Q477" s="6">
        <f t="shared" si="43"/>
        <v>9</v>
      </c>
    </row>
    <row r="478" spans="1:17" x14ac:dyDescent="0.2">
      <c r="A478" s="16">
        <f t="shared" si="39"/>
        <v>1803700</v>
      </c>
      <c r="B478">
        <v>2021</v>
      </c>
      <c r="C478" t="s">
        <v>904</v>
      </c>
      <c r="D478" t="s">
        <v>906</v>
      </c>
      <c r="E478" t="s">
        <v>1384</v>
      </c>
      <c r="F478" t="s">
        <v>667</v>
      </c>
      <c r="G478" t="s">
        <v>65</v>
      </c>
      <c r="H478" s="6">
        <v>342283</v>
      </c>
      <c r="I478" s="6">
        <v>1.6909098519528724E-3</v>
      </c>
      <c r="J478" s="6">
        <v>3811.3108063017744</v>
      </c>
      <c r="K478" s="6">
        <v>4452593</v>
      </c>
      <c r="M478" s="6">
        <f t="shared" si="40"/>
        <v>346094.31080630177</v>
      </c>
      <c r="N478" s="6">
        <f t="shared" si="41"/>
        <v>4452593</v>
      </c>
      <c r="O478" s="6">
        <f t="shared" si="42"/>
        <v>4798687.3108063014</v>
      </c>
      <c r="P478" s="8">
        <f>VLOOKUP(F478,'LEAID Match'!$A$2:$B$436,2,FALSE)</f>
        <v>1803700</v>
      </c>
      <c r="Q478" s="6">
        <f t="shared" si="43"/>
        <v>9</v>
      </c>
    </row>
    <row r="479" spans="1:17" x14ac:dyDescent="0.2">
      <c r="A479" s="16">
        <f t="shared" si="39"/>
        <v>1803700</v>
      </c>
      <c r="B479">
        <v>2022</v>
      </c>
      <c r="C479" t="s">
        <v>904</v>
      </c>
      <c r="D479" t="s">
        <v>906</v>
      </c>
      <c r="E479" t="s">
        <v>1385</v>
      </c>
      <c r="F479" t="s">
        <v>667</v>
      </c>
      <c r="G479" t="s">
        <v>65</v>
      </c>
      <c r="H479" s="6">
        <v>337300</v>
      </c>
      <c r="I479" s="6">
        <v>1.601563087587999E-3</v>
      </c>
      <c r="J479" s="6">
        <v>3531.4466081315377</v>
      </c>
      <c r="K479" s="6">
        <v>4337583</v>
      </c>
      <c r="M479" s="6">
        <f t="shared" si="40"/>
        <v>340831.44660813152</v>
      </c>
      <c r="N479" s="6">
        <f t="shared" si="41"/>
        <v>4337583</v>
      </c>
      <c r="O479" s="6">
        <f t="shared" si="42"/>
        <v>4678414.4466081318</v>
      </c>
      <c r="P479" s="8">
        <f>VLOOKUP(F479,'LEAID Match'!$A$2:$B$436,2,FALSE)</f>
        <v>1803700</v>
      </c>
      <c r="Q479" s="6">
        <f t="shared" si="43"/>
        <v>9</v>
      </c>
    </row>
    <row r="480" spans="1:17" x14ac:dyDescent="0.2">
      <c r="A480" s="16">
        <f t="shared" si="39"/>
        <v>1803700</v>
      </c>
      <c r="B480">
        <v>2023</v>
      </c>
      <c r="C480" t="s">
        <v>904</v>
      </c>
      <c r="D480" t="s">
        <v>906</v>
      </c>
      <c r="E480" t="s">
        <v>1386</v>
      </c>
      <c r="F480" t="s">
        <v>667</v>
      </c>
      <c r="G480" t="s">
        <v>65</v>
      </c>
      <c r="H480" s="6">
        <v>404211</v>
      </c>
      <c r="I480" s="6">
        <v>1.653000895246156E-3</v>
      </c>
      <c r="J480" s="6">
        <v>4077.9532085722667</v>
      </c>
      <c r="K480" s="6">
        <v>11863506</v>
      </c>
      <c r="M480" s="6">
        <f t="shared" si="40"/>
        <v>408288.95320857229</v>
      </c>
      <c r="N480" s="6">
        <f t="shared" si="41"/>
        <v>11863506</v>
      </c>
      <c r="O480" s="6">
        <f t="shared" si="42"/>
        <v>12271794.953208573</v>
      </c>
      <c r="P480" s="8">
        <f>VLOOKUP(F480,'LEAID Match'!$A$2:$B$436,2,FALSE)</f>
        <v>1803700</v>
      </c>
      <c r="Q480" s="6">
        <f t="shared" si="43"/>
        <v>9</v>
      </c>
    </row>
    <row r="481" spans="1:17" x14ac:dyDescent="0.2">
      <c r="A481" s="16">
        <f t="shared" si="39"/>
        <v>1801410</v>
      </c>
      <c r="B481">
        <v>2015</v>
      </c>
      <c r="C481" t="s">
        <v>904</v>
      </c>
      <c r="D481" t="s">
        <v>906</v>
      </c>
      <c r="E481" t="s">
        <v>1387</v>
      </c>
      <c r="F481" t="s">
        <v>474</v>
      </c>
      <c r="G481" t="s">
        <v>66</v>
      </c>
      <c r="H481" s="6">
        <v>141759</v>
      </c>
      <c r="I481" s="6">
        <v>6.8933248988058506E-4</v>
      </c>
      <c r="J481" s="6">
        <v>4005.7110986960797</v>
      </c>
      <c r="K481" s="6">
        <v>582910.58276285999</v>
      </c>
      <c r="M481" s="6">
        <f t="shared" si="40"/>
        <v>145764.71109869608</v>
      </c>
      <c r="N481" s="6">
        <f t="shared" si="41"/>
        <v>582910.58276285999</v>
      </c>
      <c r="O481" s="6">
        <f t="shared" si="42"/>
        <v>728675.2938615561</v>
      </c>
      <c r="P481" s="8">
        <f>VLOOKUP(F481,'LEAID Match'!$A$2:$B$436,2,FALSE)</f>
        <v>1801410</v>
      </c>
      <c r="Q481" s="6">
        <f t="shared" si="43"/>
        <v>9</v>
      </c>
    </row>
    <row r="482" spans="1:17" x14ac:dyDescent="0.2">
      <c r="A482" s="16">
        <f t="shared" si="39"/>
        <v>1801410</v>
      </c>
      <c r="B482">
        <v>2016</v>
      </c>
      <c r="C482" t="s">
        <v>904</v>
      </c>
      <c r="D482" t="s">
        <v>906</v>
      </c>
      <c r="E482" t="s">
        <v>1388</v>
      </c>
      <c r="F482" t="s">
        <v>474</v>
      </c>
      <c r="G482" t="s">
        <v>66</v>
      </c>
      <c r="H482" s="6">
        <v>172994</v>
      </c>
      <c r="I482" s="6">
        <v>8.0271340647531091E-4</v>
      </c>
      <c r="J482" s="6">
        <v>4052.0972758873695</v>
      </c>
      <c r="K482" s="6">
        <v>712408.14824683801</v>
      </c>
      <c r="M482" s="6">
        <f t="shared" si="40"/>
        <v>177046.09727588738</v>
      </c>
      <c r="N482" s="6">
        <f t="shared" si="41"/>
        <v>712408.14824683801</v>
      </c>
      <c r="O482" s="6">
        <f t="shared" si="42"/>
        <v>889454.2455227254</v>
      </c>
      <c r="P482" s="8">
        <f>VLOOKUP(F482,'LEAID Match'!$A$2:$B$436,2,FALSE)</f>
        <v>1801410</v>
      </c>
      <c r="Q482" s="6">
        <f t="shared" si="43"/>
        <v>9</v>
      </c>
    </row>
    <row r="483" spans="1:17" x14ac:dyDescent="0.2">
      <c r="A483" s="16">
        <f t="shared" si="39"/>
        <v>1801410</v>
      </c>
      <c r="B483">
        <v>2017</v>
      </c>
      <c r="C483" t="s">
        <v>904</v>
      </c>
      <c r="D483" t="s">
        <v>906</v>
      </c>
      <c r="E483" t="s">
        <v>1389</v>
      </c>
      <c r="F483" t="s">
        <v>474</v>
      </c>
      <c r="G483" t="s">
        <v>66</v>
      </c>
      <c r="H483" s="6">
        <v>169377</v>
      </c>
      <c r="I483" s="6">
        <v>7.4583939151426609E-4</v>
      </c>
      <c r="J483" s="6">
        <v>3374.923246602054</v>
      </c>
      <c r="K483" s="6">
        <v>649626.11000892497</v>
      </c>
      <c r="M483" s="6">
        <f t="shared" si="40"/>
        <v>172751.92324660206</v>
      </c>
      <c r="N483" s="6">
        <f t="shared" si="41"/>
        <v>649626.11000892497</v>
      </c>
      <c r="O483" s="6">
        <f t="shared" si="42"/>
        <v>822378.03325552703</v>
      </c>
      <c r="P483" s="8">
        <f>VLOOKUP(F483,'LEAID Match'!$A$2:$B$436,2,FALSE)</f>
        <v>1801410</v>
      </c>
      <c r="Q483" s="6">
        <f t="shared" si="43"/>
        <v>9</v>
      </c>
    </row>
    <row r="484" spans="1:17" x14ac:dyDescent="0.2">
      <c r="A484" s="16">
        <f t="shared" si="39"/>
        <v>1801410</v>
      </c>
      <c r="B484">
        <v>2018</v>
      </c>
      <c r="C484" t="s">
        <v>904</v>
      </c>
      <c r="D484" t="s">
        <v>906</v>
      </c>
      <c r="E484" t="s">
        <v>1390</v>
      </c>
      <c r="F484" t="s">
        <v>474</v>
      </c>
      <c r="G484" t="s">
        <v>66</v>
      </c>
      <c r="H484" s="6">
        <v>167881</v>
      </c>
      <c r="I484" s="6">
        <v>7.1221345553261874E-4</v>
      </c>
      <c r="J484" s="6">
        <v>2968.5056826599548</v>
      </c>
      <c r="K484" s="6">
        <v>639593</v>
      </c>
      <c r="M484" s="6">
        <f t="shared" si="40"/>
        <v>170849.50568265995</v>
      </c>
      <c r="N484" s="6">
        <f t="shared" si="41"/>
        <v>639593</v>
      </c>
      <c r="O484" s="6">
        <f t="shared" si="42"/>
        <v>810442.50568265992</v>
      </c>
      <c r="P484" s="8">
        <f>VLOOKUP(F484,'LEAID Match'!$A$2:$B$436,2,FALSE)</f>
        <v>1801410</v>
      </c>
      <c r="Q484" s="6">
        <f t="shared" si="43"/>
        <v>9</v>
      </c>
    </row>
    <row r="485" spans="1:17" x14ac:dyDescent="0.2">
      <c r="A485" s="16">
        <f t="shared" si="39"/>
        <v>1801410</v>
      </c>
      <c r="B485">
        <v>2019</v>
      </c>
      <c r="C485" t="s">
        <v>904</v>
      </c>
      <c r="D485" t="s">
        <v>906</v>
      </c>
      <c r="E485" t="s">
        <v>1391</v>
      </c>
      <c r="F485" t="s">
        <v>474</v>
      </c>
      <c r="G485" t="s">
        <v>66</v>
      </c>
      <c r="H485" s="6">
        <v>160447</v>
      </c>
      <c r="I485" s="6">
        <v>4.0817629782691044E-4</v>
      </c>
      <c r="J485" s="6">
        <v>1430.657923883321</v>
      </c>
      <c r="K485" s="6">
        <v>385277.60751881998</v>
      </c>
      <c r="M485" s="6">
        <f t="shared" si="40"/>
        <v>161877.65792388332</v>
      </c>
      <c r="N485" s="6">
        <f t="shared" si="41"/>
        <v>385277.60751881998</v>
      </c>
      <c r="O485" s="6">
        <f t="shared" si="42"/>
        <v>547155.26544270327</v>
      </c>
      <c r="P485" s="8">
        <f>VLOOKUP(F485,'LEAID Match'!$A$2:$B$436,2,FALSE)</f>
        <v>1801410</v>
      </c>
      <c r="Q485" s="6">
        <f t="shared" si="43"/>
        <v>9</v>
      </c>
    </row>
    <row r="486" spans="1:17" x14ac:dyDescent="0.2">
      <c r="A486" s="16">
        <f t="shared" si="39"/>
        <v>1801410</v>
      </c>
      <c r="B486">
        <v>2020</v>
      </c>
      <c r="C486" t="s">
        <v>904</v>
      </c>
      <c r="D486" t="s">
        <v>906</v>
      </c>
      <c r="E486" t="s">
        <v>1392</v>
      </c>
      <c r="F486" t="s">
        <v>474</v>
      </c>
      <c r="G486" t="s">
        <v>66</v>
      </c>
      <c r="H486" s="6">
        <v>126662</v>
      </c>
      <c r="I486" s="6">
        <v>6.7114491540618449E-4</v>
      </c>
      <c r="J486" s="6">
        <v>1581.2174206969707</v>
      </c>
      <c r="K486" s="6">
        <v>648231</v>
      </c>
      <c r="M486" s="6">
        <f t="shared" si="40"/>
        <v>128243.21742069696</v>
      </c>
      <c r="N486" s="6">
        <f t="shared" si="41"/>
        <v>648231</v>
      </c>
      <c r="O486" s="6">
        <f t="shared" si="42"/>
        <v>776474.21742069698</v>
      </c>
      <c r="P486" s="8">
        <f>VLOOKUP(F486,'LEAID Match'!$A$2:$B$436,2,FALSE)</f>
        <v>1801410</v>
      </c>
      <c r="Q486" s="6">
        <f t="shared" si="43"/>
        <v>9</v>
      </c>
    </row>
    <row r="487" spans="1:17" x14ac:dyDescent="0.2">
      <c r="A487" s="16">
        <f t="shared" si="39"/>
        <v>1801410</v>
      </c>
      <c r="B487">
        <v>2021</v>
      </c>
      <c r="C487" t="s">
        <v>904</v>
      </c>
      <c r="D487" t="s">
        <v>906</v>
      </c>
      <c r="E487" t="s">
        <v>1393</v>
      </c>
      <c r="F487" t="s">
        <v>474</v>
      </c>
      <c r="G487" t="s">
        <v>66</v>
      </c>
      <c r="H487" s="6">
        <v>136542</v>
      </c>
      <c r="I487" s="6">
        <v>6.7453017825994598E-4</v>
      </c>
      <c r="J487" s="6">
        <v>1520.3910217979183</v>
      </c>
      <c r="K487" s="6">
        <v>1137883</v>
      </c>
      <c r="M487" s="6">
        <f t="shared" si="40"/>
        <v>138062.39102179793</v>
      </c>
      <c r="N487" s="6">
        <f t="shared" si="41"/>
        <v>1137883</v>
      </c>
      <c r="O487" s="6">
        <f t="shared" si="42"/>
        <v>1275945.3910217979</v>
      </c>
      <c r="P487" s="8">
        <f>VLOOKUP(F487,'LEAID Match'!$A$2:$B$436,2,FALSE)</f>
        <v>1801410</v>
      </c>
      <c r="Q487" s="6">
        <f t="shared" si="43"/>
        <v>9</v>
      </c>
    </row>
    <row r="488" spans="1:17" x14ac:dyDescent="0.2">
      <c r="A488" s="16">
        <f t="shared" si="39"/>
        <v>1801410</v>
      </c>
      <c r="B488">
        <v>2022</v>
      </c>
      <c r="C488" t="s">
        <v>904</v>
      </c>
      <c r="D488" t="s">
        <v>906</v>
      </c>
      <c r="E488" t="s">
        <v>1394</v>
      </c>
      <c r="F488" t="s">
        <v>474</v>
      </c>
      <c r="G488" t="s">
        <v>66</v>
      </c>
      <c r="H488" s="6">
        <v>149515</v>
      </c>
      <c r="I488" s="6">
        <v>7.0992500753252205E-4</v>
      </c>
      <c r="J488" s="6">
        <v>1565.384641609211</v>
      </c>
      <c r="K488" s="6">
        <v>1078155</v>
      </c>
      <c r="M488" s="6">
        <f t="shared" si="40"/>
        <v>151080.38464160921</v>
      </c>
      <c r="N488" s="6">
        <f t="shared" si="41"/>
        <v>1078155</v>
      </c>
      <c r="O488" s="6">
        <f t="shared" si="42"/>
        <v>1229235.3846416092</v>
      </c>
      <c r="P488" s="8">
        <f>VLOOKUP(F488,'LEAID Match'!$A$2:$B$436,2,FALSE)</f>
        <v>1801410</v>
      </c>
      <c r="Q488" s="6">
        <f t="shared" si="43"/>
        <v>9</v>
      </c>
    </row>
    <row r="489" spans="1:17" x14ac:dyDescent="0.2">
      <c r="A489" s="16">
        <f t="shared" si="39"/>
        <v>1801410</v>
      </c>
      <c r="B489">
        <v>2023</v>
      </c>
      <c r="C489" t="s">
        <v>904</v>
      </c>
      <c r="D489" t="s">
        <v>906</v>
      </c>
      <c r="E489" t="s">
        <v>1395</v>
      </c>
      <c r="F489" t="s">
        <v>474</v>
      </c>
      <c r="G489" t="s">
        <v>66</v>
      </c>
      <c r="H489" s="6">
        <v>180064</v>
      </c>
      <c r="I489" s="6">
        <v>7.3636282338086756E-4</v>
      </c>
      <c r="J489" s="6">
        <v>1816.6070852806004</v>
      </c>
      <c r="K489" s="6">
        <v>2667627</v>
      </c>
      <c r="M489" s="6">
        <f t="shared" si="40"/>
        <v>181880.60708528059</v>
      </c>
      <c r="N489" s="6">
        <f t="shared" si="41"/>
        <v>2667627</v>
      </c>
      <c r="O489" s="6">
        <f t="shared" si="42"/>
        <v>2849507.6070852806</v>
      </c>
      <c r="P489" s="8">
        <f>VLOOKUP(F489,'LEAID Match'!$A$2:$B$436,2,FALSE)</f>
        <v>1801410</v>
      </c>
      <c r="Q489" s="6">
        <f t="shared" si="43"/>
        <v>9</v>
      </c>
    </row>
    <row r="490" spans="1:17" x14ac:dyDescent="0.2">
      <c r="A490" s="16">
        <f t="shared" si="39"/>
        <v>1809630</v>
      </c>
      <c r="B490">
        <v>2015</v>
      </c>
      <c r="C490" t="s">
        <v>904</v>
      </c>
      <c r="D490" t="s">
        <v>906</v>
      </c>
      <c r="E490" t="s">
        <v>1396</v>
      </c>
      <c r="F490" t="s">
        <v>475</v>
      </c>
      <c r="G490" t="s">
        <v>67</v>
      </c>
      <c r="H490" s="6">
        <v>370761</v>
      </c>
      <c r="I490" s="6">
        <v>1.8029021316503051E-3</v>
      </c>
      <c r="J490" s="6">
        <v>10476.664287019923</v>
      </c>
      <c r="K490" s="6">
        <v>1524562.8889576001</v>
      </c>
      <c r="M490" s="6">
        <f t="shared" si="40"/>
        <v>381237.66428701993</v>
      </c>
      <c r="N490" s="6">
        <f t="shared" si="41"/>
        <v>1524562.8889576001</v>
      </c>
      <c r="O490" s="6">
        <f t="shared" si="42"/>
        <v>1905800.5532446201</v>
      </c>
      <c r="P490" s="8">
        <f>VLOOKUP(F490,'LEAID Match'!$A$2:$B$436,2,FALSE)</f>
        <v>1809630</v>
      </c>
      <c r="Q490" s="6">
        <f t="shared" si="43"/>
        <v>9</v>
      </c>
    </row>
    <row r="491" spans="1:17" x14ac:dyDescent="0.2">
      <c r="A491" s="16">
        <f t="shared" si="39"/>
        <v>1809630</v>
      </c>
      <c r="B491">
        <v>2016</v>
      </c>
      <c r="C491" t="s">
        <v>904</v>
      </c>
      <c r="D491" t="s">
        <v>906</v>
      </c>
      <c r="E491" t="s">
        <v>1397</v>
      </c>
      <c r="F491" t="s">
        <v>475</v>
      </c>
      <c r="G491" t="s">
        <v>67</v>
      </c>
      <c r="H491" s="6">
        <v>383387</v>
      </c>
      <c r="I491" s="6">
        <v>1.7789627661557628E-3</v>
      </c>
      <c r="J491" s="6">
        <v>8980.2040435542913</v>
      </c>
      <c r="K491" s="6">
        <v>1578829.4549632301</v>
      </c>
      <c r="M491" s="6">
        <f t="shared" si="40"/>
        <v>392367.20404355432</v>
      </c>
      <c r="N491" s="6">
        <f t="shared" si="41"/>
        <v>1578829.4549632301</v>
      </c>
      <c r="O491" s="6">
        <f t="shared" si="42"/>
        <v>1971196.6590067844</v>
      </c>
      <c r="P491" s="8">
        <f>VLOOKUP(F491,'LEAID Match'!$A$2:$B$436,2,FALSE)</f>
        <v>1809630</v>
      </c>
      <c r="Q491" s="6">
        <f t="shared" si="43"/>
        <v>9</v>
      </c>
    </row>
    <row r="492" spans="1:17" x14ac:dyDescent="0.2">
      <c r="A492" s="16">
        <f t="shared" si="39"/>
        <v>1809630</v>
      </c>
      <c r="B492">
        <v>2017</v>
      </c>
      <c r="C492" t="s">
        <v>904</v>
      </c>
      <c r="D492" t="s">
        <v>906</v>
      </c>
      <c r="E492" t="s">
        <v>1398</v>
      </c>
      <c r="F492" t="s">
        <v>475</v>
      </c>
      <c r="G492" t="s">
        <v>67</v>
      </c>
      <c r="H492" s="6">
        <v>400529</v>
      </c>
      <c r="I492" s="6">
        <v>1.7637005357505299E-3</v>
      </c>
      <c r="J492" s="6">
        <v>7980.7449242711473</v>
      </c>
      <c r="K492" s="6">
        <v>1536183.1666387101</v>
      </c>
      <c r="M492" s="6">
        <f t="shared" si="40"/>
        <v>408509.74492427113</v>
      </c>
      <c r="N492" s="6">
        <f t="shared" si="41"/>
        <v>1536183.1666387101</v>
      </c>
      <c r="O492" s="6">
        <f t="shared" si="42"/>
        <v>1944692.9115629811</v>
      </c>
      <c r="P492" s="8">
        <f>VLOOKUP(F492,'LEAID Match'!$A$2:$B$436,2,FALSE)</f>
        <v>1809630</v>
      </c>
      <c r="Q492" s="6">
        <f t="shared" si="43"/>
        <v>9</v>
      </c>
    </row>
    <row r="493" spans="1:17" x14ac:dyDescent="0.2">
      <c r="A493" s="16">
        <f t="shared" si="39"/>
        <v>1809630</v>
      </c>
      <c r="B493">
        <v>2018</v>
      </c>
      <c r="C493" t="s">
        <v>904</v>
      </c>
      <c r="D493" t="s">
        <v>906</v>
      </c>
      <c r="E493" t="s">
        <v>1399</v>
      </c>
      <c r="F493" t="s">
        <v>475</v>
      </c>
      <c r="G493" t="s">
        <v>67</v>
      </c>
      <c r="H493" s="6">
        <v>406583</v>
      </c>
      <c r="I493" s="6">
        <v>1.7248758548663562E-3</v>
      </c>
      <c r="J493" s="6">
        <v>7189.282563082972</v>
      </c>
      <c r="K493" s="6">
        <v>1666539</v>
      </c>
      <c r="M493" s="6">
        <f t="shared" si="40"/>
        <v>413772.28256308299</v>
      </c>
      <c r="N493" s="6">
        <f t="shared" si="41"/>
        <v>1666539</v>
      </c>
      <c r="O493" s="6">
        <f t="shared" si="42"/>
        <v>2080311.2825630829</v>
      </c>
      <c r="P493" s="8">
        <f>VLOOKUP(F493,'LEAID Match'!$A$2:$B$436,2,FALSE)</f>
        <v>1809630</v>
      </c>
      <c r="Q493" s="6">
        <f t="shared" si="43"/>
        <v>9</v>
      </c>
    </row>
    <row r="494" spans="1:17" x14ac:dyDescent="0.2">
      <c r="A494" s="16">
        <f t="shared" si="39"/>
        <v>1809630</v>
      </c>
      <c r="B494">
        <v>2019</v>
      </c>
      <c r="C494" t="s">
        <v>904</v>
      </c>
      <c r="D494" t="s">
        <v>906</v>
      </c>
      <c r="E494" t="s">
        <v>1400</v>
      </c>
      <c r="F494" t="s">
        <v>475</v>
      </c>
      <c r="G494" t="s">
        <v>67</v>
      </c>
      <c r="H494" s="6">
        <v>401835</v>
      </c>
      <c r="I494" s="6">
        <v>1.0222660606759649E-3</v>
      </c>
      <c r="J494" s="6">
        <v>3583.0425426692568</v>
      </c>
      <c r="K494" s="6">
        <v>964916.93467204296</v>
      </c>
      <c r="M494" s="6">
        <f t="shared" si="40"/>
        <v>405418.04254266928</v>
      </c>
      <c r="N494" s="6">
        <f t="shared" si="41"/>
        <v>964916.93467204296</v>
      </c>
      <c r="O494" s="6">
        <f t="shared" si="42"/>
        <v>1370334.9772147122</v>
      </c>
      <c r="P494" s="8">
        <f>VLOOKUP(F494,'LEAID Match'!$A$2:$B$436,2,FALSE)</f>
        <v>1809630</v>
      </c>
      <c r="Q494" s="6">
        <f t="shared" si="43"/>
        <v>9</v>
      </c>
    </row>
    <row r="495" spans="1:17" x14ac:dyDescent="0.2">
      <c r="A495" s="16">
        <f t="shared" si="39"/>
        <v>1809630</v>
      </c>
      <c r="B495">
        <v>2020</v>
      </c>
      <c r="C495" t="s">
        <v>904</v>
      </c>
      <c r="D495" t="s">
        <v>906</v>
      </c>
      <c r="E495" t="s">
        <v>1401</v>
      </c>
      <c r="F495" t="s">
        <v>475</v>
      </c>
      <c r="G495" t="s">
        <v>67</v>
      </c>
      <c r="H495" s="6">
        <v>310930</v>
      </c>
      <c r="I495" s="6">
        <v>1.6475271869009248E-3</v>
      </c>
      <c r="J495" s="6">
        <v>3881.5740523385789</v>
      </c>
      <c r="K495" s="6">
        <v>1789311</v>
      </c>
      <c r="M495" s="6">
        <f t="shared" si="40"/>
        <v>314811.5740523386</v>
      </c>
      <c r="N495" s="6">
        <f t="shared" si="41"/>
        <v>1789311</v>
      </c>
      <c r="O495" s="6">
        <f t="shared" si="42"/>
        <v>2104122.5740523385</v>
      </c>
      <c r="P495" s="8">
        <f>VLOOKUP(F495,'LEAID Match'!$A$2:$B$436,2,FALSE)</f>
        <v>1809630</v>
      </c>
      <c r="Q495" s="6">
        <f t="shared" si="43"/>
        <v>9</v>
      </c>
    </row>
    <row r="496" spans="1:17" x14ac:dyDescent="0.2">
      <c r="A496" s="16">
        <f t="shared" si="39"/>
        <v>1809630</v>
      </c>
      <c r="B496">
        <v>2021</v>
      </c>
      <c r="C496" t="s">
        <v>904</v>
      </c>
      <c r="D496" t="s">
        <v>906</v>
      </c>
      <c r="E496" t="s">
        <v>1402</v>
      </c>
      <c r="F496" t="s">
        <v>475</v>
      </c>
      <c r="G496" t="s">
        <v>67</v>
      </c>
      <c r="H496" s="6">
        <v>324034</v>
      </c>
      <c r="I496" s="6">
        <v>1.6007580948153926E-3</v>
      </c>
      <c r="J496" s="6">
        <v>3608.1087457138951</v>
      </c>
      <c r="K496" s="6">
        <v>2870042</v>
      </c>
      <c r="M496" s="6">
        <f t="shared" si="40"/>
        <v>327642.10874571389</v>
      </c>
      <c r="N496" s="6">
        <f t="shared" si="41"/>
        <v>2870042</v>
      </c>
      <c r="O496" s="6">
        <f t="shared" si="42"/>
        <v>3197684.1087457137</v>
      </c>
      <c r="P496" s="8">
        <f>VLOOKUP(F496,'LEAID Match'!$A$2:$B$436,2,FALSE)</f>
        <v>1809630</v>
      </c>
      <c r="Q496" s="6">
        <f t="shared" si="43"/>
        <v>9</v>
      </c>
    </row>
    <row r="497" spans="1:17" x14ac:dyDescent="0.2">
      <c r="A497" s="16">
        <f t="shared" si="39"/>
        <v>1809630</v>
      </c>
      <c r="B497">
        <v>2022</v>
      </c>
      <c r="C497" t="s">
        <v>904</v>
      </c>
      <c r="D497" t="s">
        <v>906</v>
      </c>
      <c r="E497" t="s">
        <v>1403</v>
      </c>
      <c r="F497" t="s">
        <v>475</v>
      </c>
      <c r="G497" t="s">
        <v>67</v>
      </c>
      <c r="H497" s="6">
        <v>378025</v>
      </c>
      <c r="I497" s="6">
        <v>1.7949329563754918E-3</v>
      </c>
      <c r="J497" s="6">
        <v>3957.8271688079594</v>
      </c>
      <c r="K497" s="6">
        <v>2949191</v>
      </c>
      <c r="M497" s="6">
        <f t="shared" si="40"/>
        <v>381982.82716880797</v>
      </c>
      <c r="N497" s="6">
        <f t="shared" si="41"/>
        <v>2949191</v>
      </c>
      <c r="O497" s="6">
        <f t="shared" si="42"/>
        <v>3331173.8271688079</v>
      </c>
      <c r="P497" s="8">
        <f>VLOOKUP(F497,'LEAID Match'!$A$2:$B$436,2,FALSE)</f>
        <v>1809630</v>
      </c>
      <c r="Q497" s="6">
        <f t="shared" si="43"/>
        <v>9</v>
      </c>
    </row>
    <row r="498" spans="1:17" x14ac:dyDescent="0.2">
      <c r="A498" s="16">
        <f t="shared" si="39"/>
        <v>1809630</v>
      </c>
      <c r="B498">
        <v>2023</v>
      </c>
      <c r="C498" t="s">
        <v>904</v>
      </c>
      <c r="D498" t="s">
        <v>906</v>
      </c>
      <c r="E498" t="s">
        <v>1404</v>
      </c>
      <c r="F498" t="s">
        <v>475</v>
      </c>
      <c r="G498" t="s">
        <v>67</v>
      </c>
      <c r="H498" s="6">
        <v>439538</v>
      </c>
      <c r="I498" s="6">
        <v>1.79746891473687E-3</v>
      </c>
      <c r="J498" s="6">
        <v>4434.3558126558582</v>
      </c>
      <c r="K498" s="6">
        <v>7921568</v>
      </c>
      <c r="M498" s="6">
        <f t="shared" si="40"/>
        <v>443972.35581265588</v>
      </c>
      <c r="N498" s="6">
        <f t="shared" si="41"/>
        <v>7921568</v>
      </c>
      <c r="O498" s="6">
        <f t="shared" si="42"/>
        <v>8365540.3558126558</v>
      </c>
      <c r="P498" s="8">
        <f>VLOOKUP(F498,'LEAID Match'!$A$2:$B$436,2,FALSE)</f>
        <v>1809630</v>
      </c>
      <c r="Q498" s="6">
        <f t="shared" si="43"/>
        <v>9</v>
      </c>
    </row>
    <row r="499" spans="1:17" x14ac:dyDescent="0.2">
      <c r="A499" s="16">
        <f t="shared" si="39"/>
        <v>1807770</v>
      </c>
      <c r="B499">
        <v>2015</v>
      </c>
      <c r="C499" t="s">
        <v>904</v>
      </c>
      <c r="D499" t="s">
        <v>906</v>
      </c>
      <c r="E499" t="s">
        <v>1405</v>
      </c>
      <c r="F499" t="s">
        <v>476</v>
      </c>
      <c r="G499" t="s">
        <v>68</v>
      </c>
      <c r="H499" s="6">
        <v>413987</v>
      </c>
      <c r="I499" s="6">
        <v>2.0130975069533063E-3</v>
      </c>
      <c r="J499" s="6">
        <v>11698.109612905662</v>
      </c>
      <c r="K499" s="6">
        <v>1702307.46143982</v>
      </c>
      <c r="M499" s="6">
        <f t="shared" si="40"/>
        <v>425685.10961290565</v>
      </c>
      <c r="N499" s="6">
        <f t="shared" si="41"/>
        <v>1702307.46143982</v>
      </c>
      <c r="O499" s="6">
        <f t="shared" si="42"/>
        <v>2127992.5710527254</v>
      </c>
      <c r="P499" s="8">
        <f>VLOOKUP(F499,'LEAID Match'!$A$2:$B$436,2,FALSE)</f>
        <v>1807770</v>
      </c>
      <c r="Q499" s="6">
        <f t="shared" si="43"/>
        <v>9</v>
      </c>
    </row>
    <row r="500" spans="1:17" x14ac:dyDescent="0.2">
      <c r="A500" s="16">
        <f t="shared" si="39"/>
        <v>1807770</v>
      </c>
      <c r="B500">
        <v>2016</v>
      </c>
      <c r="C500" t="s">
        <v>904</v>
      </c>
      <c r="D500" t="s">
        <v>906</v>
      </c>
      <c r="E500" t="s">
        <v>1406</v>
      </c>
      <c r="F500" t="s">
        <v>476</v>
      </c>
      <c r="G500" t="s">
        <v>68</v>
      </c>
      <c r="H500" s="6">
        <v>471417</v>
      </c>
      <c r="I500" s="6">
        <v>2.1874327776707377E-3</v>
      </c>
      <c r="J500" s="6">
        <v>11042.160661681884</v>
      </c>
      <c r="K500" s="6">
        <v>1941346.5901827801</v>
      </c>
      <c r="M500" s="6">
        <f t="shared" si="40"/>
        <v>482459.1606616819</v>
      </c>
      <c r="N500" s="6">
        <f t="shared" si="41"/>
        <v>1941346.5901827801</v>
      </c>
      <c r="O500" s="6">
        <f t="shared" si="42"/>
        <v>2423805.7508444618</v>
      </c>
      <c r="P500" s="8">
        <f>VLOOKUP(F500,'LEAID Match'!$A$2:$B$436,2,FALSE)</f>
        <v>1807770</v>
      </c>
      <c r="Q500" s="6">
        <f t="shared" si="43"/>
        <v>9</v>
      </c>
    </row>
    <row r="501" spans="1:17" x14ac:dyDescent="0.2">
      <c r="A501" s="16">
        <f t="shared" si="39"/>
        <v>1807770</v>
      </c>
      <c r="B501">
        <v>2017</v>
      </c>
      <c r="C501" t="s">
        <v>904</v>
      </c>
      <c r="D501" t="s">
        <v>906</v>
      </c>
      <c r="E501" t="s">
        <v>1407</v>
      </c>
      <c r="F501" t="s">
        <v>476</v>
      </c>
      <c r="G501" t="s">
        <v>68</v>
      </c>
      <c r="H501" s="6">
        <v>464858</v>
      </c>
      <c r="I501" s="6">
        <v>2.0469686430893137E-3</v>
      </c>
      <c r="J501" s="6">
        <v>9262.5331099791438</v>
      </c>
      <c r="K501" s="6">
        <v>1782909.6881307899</v>
      </c>
      <c r="M501" s="6">
        <f t="shared" si="40"/>
        <v>474120.53310997912</v>
      </c>
      <c r="N501" s="6">
        <f t="shared" si="41"/>
        <v>1782909.6881307899</v>
      </c>
      <c r="O501" s="6">
        <f t="shared" si="42"/>
        <v>2257030.2212407691</v>
      </c>
      <c r="P501" s="8">
        <f>VLOOKUP(F501,'LEAID Match'!$A$2:$B$436,2,FALSE)</f>
        <v>1807770</v>
      </c>
      <c r="Q501" s="6">
        <f t="shared" si="43"/>
        <v>9</v>
      </c>
    </row>
    <row r="502" spans="1:17" x14ac:dyDescent="0.2">
      <c r="A502" s="16">
        <f t="shared" si="39"/>
        <v>1807770</v>
      </c>
      <c r="B502">
        <v>2018</v>
      </c>
      <c r="C502" t="s">
        <v>904</v>
      </c>
      <c r="D502" t="s">
        <v>906</v>
      </c>
      <c r="E502" t="s">
        <v>1408</v>
      </c>
      <c r="F502" t="s">
        <v>476</v>
      </c>
      <c r="G502" t="s">
        <v>68</v>
      </c>
      <c r="H502" s="6">
        <v>477303</v>
      </c>
      <c r="I502" s="6">
        <v>2.0248963192147145E-3</v>
      </c>
      <c r="J502" s="6">
        <v>8439.76785848693</v>
      </c>
      <c r="K502" s="6">
        <v>1923551</v>
      </c>
      <c r="M502" s="6">
        <f t="shared" si="40"/>
        <v>485742.76785848691</v>
      </c>
      <c r="N502" s="6">
        <f t="shared" si="41"/>
        <v>1923551</v>
      </c>
      <c r="O502" s="6">
        <f t="shared" si="42"/>
        <v>2409293.7678584871</v>
      </c>
      <c r="P502" s="8">
        <f>VLOOKUP(F502,'LEAID Match'!$A$2:$B$436,2,FALSE)</f>
        <v>1807770</v>
      </c>
      <c r="Q502" s="6">
        <f t="shared" si="43"/>
        <v>9</v>
      </c>
    </row>
    <row r="503" spans="1:17" x14ac:dyDescent="0.2">
      <c r="A503" s="16">
        <f t="shared" si="39"/>
        <v>1807770</v>
      </c>
      <c r="B503">
        <v>2019</v>
      </c>
      <c r="C503" t="s">
        <v>904</v>
      </c>
      <c r="D503" t="s">
        <v>906</v>
      </c>
      <c r="E503" t="s">
        <v>1409</v>
      </c>
      <c r="F503" t="s">
        <v>476</v>
      </c>
      <c r="G503" t="s">
        <v>68</v>
      </c>
      <c r="H503" s="6">
        <v>502548</v>
      </c>
      <c r="I503" s="6">
        <v>1.2784793864660492E-3</v>
      </c>
      <c r="J503" s="6">
        <v>4481.0702495635023</v>
      </c>
      <c r="K503" s="6">
        <v>1206756.6928852999</v>
      </c>
      <c r="M503" s="6">
        <f t="shared" si="40"/>
        <v>507029.07024956349</v>
      </c>
      <c r="N503" s="6">
        <f t="shared" si="41"/>
        <v>1206756.6928852999</v>
      </c>
      <c r="O503" s="6">
        <f t="shared" si="42"/>
        <v>1713785.7631348635</v>
      </c>
      <c r="P503" s="8">
        <f>VLOOKUP(F503,'LEAID Match'!$A$2:$B$436,2,FALSE)</f>
        <v>1807770</v>
      </c>
      <c r="Q503" s="6">
        <f t="shared" si="43"/>
        <v>9</v>
      </c>
    </row>
    <row r="504" spans="1:17" x14ac:dyDescent="0.2">
      <c r="A504" s="16">
        <f t="shared" si="39"/>
        <v>1807770</v>
      </c>
      <c r="B504">
        <v>2020</v>
      </c>
      <c r="C504" t="s">
        <v>904</v>
      </c>
      <c r="D504" t="s">
        <v>906</v>
      </c>
      <c r="E504" t="s">
        <v>1410</v>
      </c>
      <c r="F504" t="s">
        <v>476</v>
      </c>
      <c r="G504" t="s">
        <v>68</v>
      </c>
      <c r="H504" s="6">
        <v>378496</v>
      </c>
      <c r="I504" s="6">
        <v>2.0055396717372155E-3</v>
      </c>
      <c r="J504" s="6">
        <v>4725.0514666128802</v>
      </c>
      <c r="K504" s="6">
        <v>1868361</v>
      </c>
      <c r="M504" s="6">
        <f t="shared" si="40"/>
        <v>383221.0514666129</v>
      </c>
      <c r="N504" s="6">
        <f t="shared" si="41"/>
        <v>1868361</v>
      </c>
      <c r="O504" s="6">
        <f t="shared" si="42"/>
        <v>2251582.0514666131</v>
      </c>
      <c r="P504" s="8">
        <f>VLOOKUP(F504,'LEAID Match'!$A$2:$B$436,2,FALSE)</f>
        <v>1807770</v>
      </c>
      <c r="Q504" s="6">
        <f t="shared" si="43"/>
        <v>9</v>
      </c>
    </row>
    <row r="505" spans="1:17" x14ac:dyDescent="0.2">
      <c r="A505" s="16">
        <f t="shared" si="39"/>
        <v>1807770</v>
      </c>
      <c r="B505">
        <v>2021</v>
      </c>
      <c r="C505" t="s">
        <v>904</v>
      </c>
      <c r="D505" t="s">
        <v>906</v>
      </c>
      <c r="E505" t="s">
        <v>1411</v>
      </c>
      <c r="F505" t="s">
        <v>476</v>
      </c>
      <c r="G505" t="s">
        <v>68</v>
      </c>
      <c r="H505" s="6">
        <v>390067</v>
      </c>
      <c r="I505" s="6">
        <v>1.9269672558137596E-3</v>
      </c>
      <c r="J505" s="6">
        <v>4343.3841946042139</v>
      </c>
      <c r="K505" s="6">
        <v>3012777</v>
      </c>
      <c r="M505" s="6">
        <f t="shared" si="40"/>
        <v>394410.38419460424</v>
      </c>
      <c r="N505" s="6">
        <f t="shared" si="41"/>
        <v>3012777</v>
      </c>
      <c r="O505" s="6">
        <f t="shared" si="42"/>
        <v>3407187.3841946041</v>
      </c>
      <c r="P505" s="8">
        <f>VLOOKUP(F505,'LEAID Match'!$A$2:$B$436,2,FALSE)</f>
        <v>1807770</v>
      </c>
      <c r="Q505" s="6">
        <f t="shared" si="43"/>
        <v>9</v>
      </c>
    </row>
    <row r="506" spans="1:17" x14ac:dyDescent="0.2">
      <c r="A506" s="16">
        <f t="shared" si="39"/>
        <v>1807770</v>
      </c>
      <c r="B506">
        <v>2022</v>
      </c>
      <c r="C506" t="s">
        <v>904</v>
      </c>
      <c r="D506" t="s">
        <v>906</v>
      </c>
      <c r="E506" t="s">
        <v>1412</v>
      </c>
      <c r="F506" t="s">
        <v>476</v>
      </c>
      <c r="G506" t="s">
        <v>68</v>
      </c>
      <c r="H506" s="6">
        <v>415754</v>
      </c>
      <c r="I506" s="6">
        <v>1.9740772603529825E-3</v>
      </c>
      <c r="J506" s="6">
        <v>4352.8403590783264</v>
      </c>
      <c r="K506" s="6">
        <v>2946555</v>
      </c>
      <c r="M506" s="6">
        <f t="shared" si="40"/>
        <v>420106.84035907831</v>
      </c>
      <c r="N506" s="6">
        <f t="shared" si="41"/>
        <v>2946555</v>
      </c>
      <c r="O506" s="6">
        <f t="shared" si="42"/>
        <v>3366661.8403590783</v>
      </c>
      <c r="P506" s="8">
        <f>VLOOKUP(F506,'LEAID Match'!$A$2:$B$436,2,FALSE)</f>
        <v>1807770</v>
      </c>
      <c r="Q506" s="6">
        <f t="shared" si="43"/>
        <v>9</v>
      </c>
    </row>
    <row r="507" spans="1:17" x14ac:dyDescent="0.2">
      <c r="A507" s="16">
        <f t="shared" si="39"/>
        <v>1807770</v>
      </c>
      <c r="B507">
        <v>2023</v>
      </c>
      <c r="C507" t="s">
        <v>904</v>
      </c>
      <c r="D507" t="s">
        <v>906</v>
      </c>
      <c r="E507" t="s">
        <v>1413</v>
      </c>
      <c r="F507" t="s">
        <v>476</v>
      </c>
      <c r="G507" t="s">
        <v>68</v>
      </c>
      <c r="H507" s="6">
        <v>488395</v>
      </c>
      <c r="I507" s="6">
        <v>1.9972672001349451E-3</v>
      </c>
      <c r="J507" s="6">
        <v>4927.2581827329095</v>
      </c>
      <c r="K507" s="6">
        <v>6795058</v>
      </c>
      <c r="M507" s="6">
        <f t="shared" si="40"/>
        <v>493322.25818273291</v>
      </c>
      <c r="N507" s="6">
        <f t="shared" si="41"/>
        <v>6795058</v>
      </c>
      <c r="O507" s="6">
        <f t="shared" si="42"/>
        <v>7288380.2581827333</v>
      </c>
      <c r="P507" s="8">
        <f>VLOOKUP(F507,'LEAID Match'!$A$2:$B$436,2,FALSE)</f>
        <v>1807770</v>
      </c>
      <c r="Q507" s="6">
        <f t="shared" si="43"/>
        <v>9</v>
      </c>
    </row>
    <row r="508" spans="1:17" x14ac:dyDescent="0.2">
      <c r="A508" s="16">
        <f t="shared" si="39"/>
        <v>1810350</v>
      </c>
      <c r="B508">
        <v>2015</v>
      </c>
      <c r="C508" t="s">
        <v>904</v>
      </c>
      <c r="D508" t="s">
        <v>906</v>
      </c>
      <c r="E508" t="s">
        <v>1414</v>
      </c>
      <c r="F508" t="s">
        <v>477</v>
      </c>
      <c r="G508" t="s">
        <v>69</v>
      </c>
      <c r="H508" s="6">
        <v>312682</v>
      </c>
      <c r="I508" s="6">
        <v>1.5204809684100558E-3</v>
      </c>
      <c r="J508" s="6">
        <v>8835.5149074308338</v>
      </c>
      <c r="K508" s="6">
        <v>1285743.03458303</v>
      </c>
      <c r="M508" s="6">
        <f t="shared" si="40"/>
        <v>321517.51490743086</v>
      </c>
      <c r="N508" s="6">
        <f t="shared" si="41"/>
        <v>1285743.03458303</v>
      </c>
      <c r="O508" s="6">
        <f t="shared" si="42"/>
        <v>1607260.5494904609</v>
      </c>
      <c r="P508" s="8">
        <f>VLOOKUP(F508,'LEAID Match'!$A$2:$B$436,2,FALSE)</f>
        <v>1810350</v>
      </c>
      <c r="Q508" s="6">
        <f t="shared" si="43"/>
        <v>9</v>
      </c>
    </row>
    <row r="509" spans="1:17" x14ac:dyDescent="0.2">
      <c r="A509" s="16">
        <f t="shared" si="39"/>
        <v>1810350</v>
      </c>
      <c r="B509">
        <v>2016</v>
      </c>
      <c r="C509" t="s">
        <v>904</v>
      </c>
      <c r="D509" t="s">
        <v>906</v>
      </c>
      <c r="E509" t="s">
        <v>1415</v>
      </c>
      <c r="F509" t="s">
        <v>477</v>
      </c>
      <c r="G509" t="s">
        <v>69</v>
      </c>
      <c r="H509" s="6">
        <v>335030</v>
      </c>
      <c r="I509" s="6">
        <v>1.5545803471300936E-3</v>
      </c>
      <c r="J509" s="6">
        <v>7847.5215923127125</v>
      </c>
      <c r="K509" s="6">
        <v>1379690.05807795</v>
      </c>
      <c r="M509" s="6">
        <f t="shared" si="40"/>
        <v>342877.52159231273</v>
      </c>
      <c r="N509" s="6">
        <f t="shared" si="41"/>
        <v>1379690.05807795</v>
      </c>
      <c r="O509" s="6">
        <f t="shared" si="42"/>
        <v>1722567.5796702628</v>
      </c>
      <c r="P509" s="8">
        <f>VLOOKUP(F509,'LEAID Match'!$A$2:$B$436,2,FALSE)</f>
        <v>1810350</v>
      </c>
      <c r="Q509" s="6">
        <f t="shared" si="43"/>
        <v>9</v>
      </c>
    </row>
    <row r="510" spans="1:17" x14ac:dyDescent="0.2">
      <c r="A510" s="16">
        <f t="shared" si="39"/>
        <v>1810350</v>
      </c>
      <c r="B510">
        <v>2017</v>
      </c>
      <c r="C510" t="s">
        <v>904</v>
      </c>
      <c r="D510" t="s">
        <v>906</v>
      </c>
      <c r="E510" t="s">
        <v>1416</v>
      </c>
      <c r="F510" t="s">
        <v>477</v>
      </c>
      <c r="G510" t="s">
        <v>69</v>
      </c>
      <c r="H510" s="6">
        <v>370909</v>
      </c>
      <c r="I510" s="6">
        <v>1.6332710041337662E-3</v>
      </c>
      <c r="J510" s="6">
        <v>7390.5512937052918</v>
      </c>
      <c r="K510" s="6">
        <v>1422579.04460051</v>
      </c>
      <c r="M510" s="6">
        <f t="shared" si="40"/>
        <v>378299.5512937053</v>
      </c>
      <c r="N510" s="6">
        <f t="shared" si="41"/>
        <v>1422579.04460051</v>
      </c>
      <c r="O510" s="6">
        <f t="shared" si="42"/>
        <v>1800878.5958942154</v>
      </c>
      <c r="P510" s="8">
        <f>VLOOKUP(F510,'LEAID Match'!$A$2:$B$436,2,FALSE)</f>
        <v>1810350</v>
      </c>
      <c r="Q510" s="6">
        <f t="shared" si="43"/>
        <v>9</v>
      </c>
    </row>
    <row r="511" spans="1:17" x14ac:dyDescent="0.2">
      <c r="A511" s="16">
        <f t="shared" si="39"/>
        <v>1810350</v>
      </c>
      <c r="B511">
        <v>2018</v>
      </c>
      <c r="C511" t="s">
        <v>904</v>
      </c>
      <c r="D511" t="s">
        <v>906</v>
      </c>
      <c r="E511" t="s">
        <v>1417</v>
      </c>
      <c r="F511" t="s">
        <v>477</v>
      </c>
      <c r="G511" t="s">
        <v>69</v>
      </c>
      <c r="H511" s="6">
        <v>373531</v>
      </c>
      <c r="I511" s="6">
        <v>1.5846570145433647E-3</v>
      </c>
      <c r="J511" s="6">
        <v>6604.8504366167444</v>
      </c>
      <c r="K511" s="6">
        <v>1750711</v>
      </c>
      <c r="M511" s="6">
        <f t="shared" si="40"/>
        <v>380135.85043661675</v>
      </c>
      <c r="N511" s="6">
        <f t="shared" si="41"/>
        <v>1750711</v>
      </c>
      <c r="O511" s="6">
        <f t="shared" si="42"/>
        <v>2130846.8504366167</v>
      </c>
      <c r="P511" s="8">
        <f>VLOOKUP(F511,'LEAID Match'!$A$2:$B$436,2,FALSE)</f>
        <v>1810350</v>
      </c>
      <c r="Q511" s="6">
        <f t="shared" si="43"/>
        <v>9</v>
      </c>
    </row>
    <row r="512" spans="1:17" x14ac:dyDescent="0.2">
      <c r="A512" s="16">
        <f t="shared" si="39"/>
        <v>1810350</v>
      </c>
      <c r="B512">
        <v>2019</v>
      </c>
      <c r="C512" t="s">
        <v>904</v>
      </c>
      <c r="D512" t="s">
        <v>906</v>
      </c>
      <c r="E512" t="s">
        <v>1418</v>
      </c>
      <c r="F512" t="s">
        <v>477</v>
      </c>
      <c r="G512" t="s">
        <v>69</v>
      </c>
      <c r="H512" s="6">
        <v>424723</v>
      </c>
      <c r="I512" s="6">
        <v>1.0804930085444968E-3</v>
      </c>
      <c r="J512" s="6">
        <v>3787.127994948461</v>
      </c>
      <c r="K512" s="6">
        <v>1019877.35076515</v>
      </c>
      <c r="M512" s="6">
        <f t="shared" si="40"/>
        <v>428510.12799494847</v>
      </c>
      <c r="N512" s="6">
        <f t="shared" si="41"/>
        <v>1019877.35076515</v>
      </c>
      <c r="O512" s="6">
        <f t="shared" si="42"/>
        <v>1448387.4787600986</v>
      </c>
      <c r="P512" s="8">
        <f>VLOOKUP(F512,'LEAID Match'!$A$2:$B$436,2,FALSE)</f>
        <v>1810350</v>
      </c>
      <c r="Q512" s="6">
        <f t="shared" si="43"/>
        <v>9</v>
      </c>
    </row>
    <row r="513" spans="1:17" x14ac:dyDescent="0.2">
      <c r="A513" s="16">
        <f t="shared" si="39"/>
        <v>1810350</v>
      </c>
      <c r="B513">
        <v>2020</v>
      </c>
      <c r="C513" t="s">
        <v>904</v>
      </c>
      <c r="D513" t="s">
        <v>906</v>
      </c>
      <c r="E513" t="s">
        <v>1419</v>
      </c>
      <c r="F513" t="s">
        <v>477</v>
      </c>
      <c r="G513" t="s">
        <v>69</v>
      </c>
      <c r="H513" s="6">
        <v>333595</v>
      </c>
      <c r="I513" s="6">
        <v>1.7676223970482553E-3</v>
      </c>
      <c r="J513" s="6">
        <v>4164.5183674456894</v>
      </c>
      <c r="K513" s="6">
        <v>1878558</v>
      </c>
      <c r="M513" s="6">
        <f t="shared" si="40"/>
        <v>337759.51836744568</v>
      </c>
      <c r="N513" s="6">
        <f t="shared" si="41"/>
        <v>1878558</v>
      </c>
      <c r="O513" s="6">
        <f t="shared" si="42"/>
        <v>2216317.5183674456</v>
      </c>
      <c r="P513" s="8">
        <f>VLOOKUP(F513,'LEAID Match'!$A$2:$B$436,2,FALSE)</f>
        <v>1810350</v>
      </c>
      <c r="Q513" s="6">
        <f t="shared" si="43"/>
        <v>9</v>
      </c>
    </row>
    <row r="514" spans="1:17" x14ac:dyDescent="0.2">
      <c r="A514" s="16">
        <f t="shared" si="39"/>
        <v>1810350</v>
      </c>
      <c r="B514">
        <v>2021</v>
      </c>
      <c r="C514" t="s">
        <v>904</v>
      </c>
      <c r="D514" t="s">
        <v>906</v>
      </c>
      <c r="E514" t="s">
        <v>1420</v>
      </c>
      <c r="F514" t="s">
        <v>477</v>
      </c>
      <c r="G514" t="s">
        <v>69</v>
      </c>
      <c r="H514" s="6">
        <v>347539</v>
      </c>
      <c r="I514" s="6">
        <v>1.7168749807552502E-3</v>
      </c>
      <c r="J514" s="6">
        <v>3869.836206622334</v>
      </c>
      <c r="K514" s="6">
        <v>3155192</v>
      </c>
      <c r="M514" s="6">
        <f t="shared" si="40"/>
        <v>351408.83620662231</v>
      </c>
      <c r="N514" s="6">
        <f t="shared" si="41"/>
        <v>3155192</v>
      </c>
      <c r="O514" s="6">
        <f t="shared" si="42"/>
        <v>3506600.8362066224</v>
      </c>
      <c r="P514" s="8">
        <f>VLOOKUP(F514,'LEAID Match'!$A$2:$B$436,2,FALSE)</f>
        <v>1810350</v>
      </c>
      <c r="Q514" s="6">
        <f t="shared" si="43"/>
        <v>9</v>
      </c>
    </row>
    <row r="515" spans="1:17" x14ac:dyDescent="0.2">
      <c r="A515" s="16">
        <f t="shared" ref="A515:A578" si="44">P515</f>
        <v>1810350</v>
      </c>
      <c r="B515">
        <v>2022</v>
      </c>
      <c r="C515" t="s">
        <v>904</v>
      </c>
      <c r="D515" t="s">
        <v>906</v>
      </c>
      <c r="E515" t="s">
        <v>1421</v>
      </c>
      <c r="F515" t="s">
        <v>477</v>
      </c>
      <c r="G515" t="s">
        <v>69</v>
      </c>
      <c r="H515" s="6">
        <v>401194</v>
      </c>
      <c r="I515" s="6">
        <v>1.9049436743604497E-3</v>
      </c>
      <c r="J515" s="6">
        <v>4200.4008019647918</v>
      </c>
      <c r="K515" s="6">
        <v>3005625</v>
      </c>
      <c r="M515" s="6">
        <f t="shared" ref="M515:M578" si="45">SUM(H515,J515)</f>
        <v>405394.4008019648</v>
      </c>
      <c r="N515" s="6">
        <f t="shared" ref="N515:N578" si="46">K515</f>
        <v>3005625</v>
      </c>
      <c r="O515" s="6">
        <f t="shared" ref="O515:O578" si="47">SUM(M515:N515)</f>
        <v>3411019.400801965</v>
      </c>
      <c r="P515" s="8">
        <f>VLOOKUP(F515,'LEAID Match'!$A$2:$B$436,2,FALSE)</f>
        <v>1810350</v>
      </c>
      <c r="Q515" s="6">
        <f t="shared" ref="Q515:Q578" si="48">COUNTIF($P$2:$P$3691,P515)</f>
        <v>9</v>
      </c>
    </row>
    <row r="516" spans="1:17" x14ac:dyDescent="0.2">
      <c r="A516" s="16">
        <f t="shared" si="44"/>
        <v>1810350</v>
      </c>
      <c r="B516">
        <v>2023</v>
      </c>
      <c r="C516" t="s">
        <v>904</v>
      </c>
      <c r="D516" t="s">
        <v>906</v>
      </c>
      <c r="E516" t="s">
        <v>1422</v>
      </c>
      <c r="F516" t="s">
        <v>477</v>
      </c>
      <c r="G516" t="s">
        <v>69</v>
      </c>
      <c r="H516" s="6">
        <v>494745</v>
      </c>
      <c r="I516" s="6">
        <v>2.023235211111423E-3</v>
      </c>
      <c r="J516" s="6">
        <v>4991.3212658118809</v>
      </c>
      <c r="K516" s="6">
        <v>7916486</v>
      </c>
      <c r="M516" s="6">
        <f t="shared" si="45"/>
        <v>499736.32126581186</v>
      </c>
      <c r="N516" s="6">
        <f t="shared" si="46"/>
        <v>7916486</v>
      </c>
      <c r="O516" s="6">
        <f t="shared" si="47"/>
        <v>8416222.3212658111</v>
      </c>
      <c r="P516" s="8">
        <f>VLOOKUP(F516,'LEAID Match'!$A$2:$B$436,2,FALSE)</f>
        <v>1810350</v>
      </c>
      <c r="Q516" s="6">
        <f t="shared" si="48"/>
        <v>9</v>
      </c>
    </row>
    <row r="517" spans="1:17" x14ac:dyDescent="0.2">
      <c r="A517" s="16">
        <f t="shared" si="44"/>
        <v>1802940</v>
      </c>
      <c r="B517">
        <v>2015</v>
      </c>
      <c r="C517" t="s">
        <v>904</v>
      </c>
      <c r="D517" t="s">
        <v>906</v>
      </c>
      <c r="E517" t="s">
        <v>1423</v>
      </c>
      <c r="F517" t="s">
        <v>478</v>
      </c>
      <c r="G517" t="s">
        <v>70</v>
      </c>
      <c r="H517" s="6">
        <v>179426</v>
      </c>
      <c r="I517" s="6">
        <v>8.7249607664637767E-4</v>
      </c>
      <c r="J517" s="6">
        <v>5070.0747013921009</v>
      </c>
      <c r="K517" s="6">
        <v>737796.642349403</v>
      </c>
      <c r="M517" s="6">
        <f t="shared" si="45"/>
        <v>184496.07470139209</v>
      </c>
      <c r="N517" s="6">
        <f t="shared" si="46"/>
        <v>737796.642349403</v>
      </c>
      <c r="O517" s="6">
        <f t="shared" si="47"/>
        <v>922292.71705079509</v>
      </c>
      <c r="P517" s="8">
        <f>VLOOKUP(F517,'LEAID Match'!$A$2:$B$436,2,FALSE)</f>
        <v>1802940</v>
      </c>
      <c r="Q517" s="6">
        <f t="shared" si="48"/>
        <v>9</v>
      </c>
    </row>
    <row r="518" spans="1:17" x14ac:dyDescent="0.2">
      <c r="A518" s="16">
        <f t="shared" si="44"/>
        <v>1802940</v>
      </c>
      <c r="B518">
        <v>2016</v>
      </c>
      <c r="C518" t="s">
        <v>904</v>
      </c>
      <c r="D518" t="s">
        <v>906</v>
      </c>
      <c r="E518" t="s">
        <v>1424</v>
      </c>
      <c r="F518" t="s">
        <v>478</v>
      </c>
      <c r="G518" t="s">
        <v>70</v>
      </c>
      <c r="H518" s="6">
        <v>182340</v>
      </c>
      <c r="I518" s="6">
        <v>8.4607999431603512E-4</v>
      </c>
      <c r="J518" s="6">
        <v>4271.0118113073449</v>
      </c>
      <c r="K518" s="6">
        <v>750895.99495548103</v>
      </c>
      <c r="M518" s="6">
        <f t="shared" si="45"/>
        <v>186611.01181130734</v>
      </c>
      <c r="N518" s="6">
        <f t="shared" si="46"/>
        <v>750895.99495548103</v>
      </c>
      <c r="O518" s="6">
        <f t="shared" si="47"/>
        <v>937507.00676678843</v>
      </c>
      <c r="P518" s="8">
        <f>VLOOKUP(F518,'LEAID Match'!$A$2:$B$436,2,FALSE)</f>
        <v>1802940</v>
      </c>
      <c r="Q518" s="6">
        <f t="shared" si="48"/>
        <v>9</v>
      </c>
    </row>
    <row r="519" spans="1:17" x14ac:dyDescent="0.2">
      <c r="A519" s="16">
        <f t="shared" si="44"/>
        <v>1802940</v>
      </c>
      <c r="B519">
        <v>2017</v>
      </c>
      <c r="C519" t="s">
        <v>904</v>
      </c>
      <c r="D519" t="s">
        <v>906</v>
      </c>
      <c r="E519" t="s">
        <v>1425</v>
      </c>
      <c r="F519" t="s">
        <v>478</v>
      </c>
      <c r="G519" t="s">
        <v>70</v>
      </c>
      <c r="H519" s="6">
        <v>195640</v>
      </c>
      <c r="I519" s="6">
        <v>8.6148661598594277E-4</v>
      </c>
      <c r="J519" s="6">
        <v>3898.2269373363911</v>
      </c>
      <c r="K519" s="6">
        <v>750354.84252375597</v>
      </c>
      <c r="M519" s="6">
        <f t="shared" si="45"/>
        <v>199538.22693733638</v>
      </c>
      <c r="N519" s="6">
        <f t="shared" si="46"/>
        <v>750354.84252375597</v>
      </c>
      <c r="O519" s="6">
        <f t="shared" si="47"/>
        <v>949893.06946109235</v>
      </c>
      <c r="P519" s="8">
        <f>VLOOKUP(F519,'LEAID Match'!$A$2:$B$436,2,FALSE)</f>
        <v>1802940</v>
      </c>
      <c r="Q519" s="6">
        <f t="shared" si="48"/>
        <v>9</v>
      </c>
    </row>
    <row r="520" spans="1:17" x14ac:dyDescent="0.2">
      <c r="A520" s="16">
        <f t="shared" si="44"/>
        <v>1802940</v>
      </c>
      <c r="B520">
        <v>2018</v>
      </c>
      <c r="C520" t="s">
        <v>904</v>
      </c>
      <c r="D520" t="s">
        <v>906</v>
      </c>
      <c r="E520" t="s">
        <v>1426</v>
      </c>
      <c r="F520" t="s">
        <v>478</v>
      </c>
      <c r="G520" t="s">
        <v>70</v>
      </c>
      <c r="H520" s="6">
        <v>189449</v>
      </c>
      <c r="I520" s="6">
        <v>8.0371290936555708E-4</v>
      </c>
      <c r="J520" s="6">
        <v>3349.875406235642</v>
      </c>
      <c r="K520" s="6">
        <v>1213280</v>
      </c>
      <c r="M520" s="6">
        <f t="shared" si="45"/>
        <v>192798.87540623563</v>
      </c>
      <c r="N520" s="6">
        <f t="shared" si="46"/>
        <v>1213280</v>
      </c>
      <c r="O520" s="6">
        <f t="shared" si="47"/>
        <v>1406078.8754062357</v>
      </c>
      <c r="P520" s="8">
        <f>VLOOKUP(F520,'LEAID Match'!$A$2:$B$436,2,FALSE)</f>
        <v>1802940</v>
      </c>
      <c r="Q520" s="6">
        <f t="shared" si="48"/>
        <v>9</v>
      </c>
    </row>
    <row r="521" spans="1:17" x14ac:dyDescent="0.2">
      <c r="A521" s="16">
        <f t="shared" si="44"/>
        <v>1802940</v>
      </c>
      <c r="B521">
        <v>2019</v>
      </c>
      <c r="C521" t="s">
        <v>904</v>
      </c>
      <c r="D521" t="s">
        <v>906</v>
      </c>
      <c r="E521" t="s">
        <v>1427</v>
      </c>
      <c r="F521" t="s">
        <v>478</v>
      </c>
      <c r="G521" t="s">
        <v>70</v>
      </c>
      <c r="H521" s="6">
        <v>192317</v>
      </c>
      <c r="I521" s="6">
        <v>4.8925340498219311E-4</v>
      </c>
      <c r="J521" s="6">
        <v>1714.8331844625868</v>
      </c>
      <c r="K521" s="6">
        <v>461806.28896269202</v>
      </c>
      <c r="M521" s="6">
        <f t="shared" si="45"/>
        <v>194031.83318446259</v>
      </c>
      <c r="N521" s="6">
        <f t="shared" si="46"/>
        <v>461806.28896269202</v>
      </c>
      <c r="O521" s="6">
        <f t="shared" si="47"/>
        <v>655838.12214715465</v>
      </c>
      <c r="P521" s="8">
        <f>VLOOKUP(F521,'LEAID Match'!$A$2:$B$436,2,FALSE)</f>
        <v>1802940</v>
      </c>
      <c r="Q521" s="6">
        <f t="shared" si="48"/>
        <v>9</v>
      </c>
    </row>
    <row r="522" spans="1:17" x14ac:dyDescent="0.2">
      <c r="A522" s="16">
        <f t="shared" si="44"/>
        <v>1802940</v>
      </c>
      <c r="B522">
        <v>2020</v>
      </c>
      <c r="C522" t="s">
        <v>904</v>
      </c>
      <c r="D522" t="s">
        <v>906</v>
      </c>
      <c r="E522" t="s">
        <v>1428</v>
      </c>
      <c r="F522" t="s">
        <v>478</v>
      </c>
      <c r="G522" t="s">
        <v>70</v>
      </c>
      <c r="H522" s="6">
        <v>149183</v>
      </c>
      <c r="I522" s="6">
        <v>7.9047711164390911E-4</v>
      </c>
      <c r="J522" s="6">
        <v>1862.3640750330499</v>
      </c>
      <c r="K522" s="6">
        <v>1261695</v>
      </c>
      <c r="M522" s="6">
        <f t="shared" si="45"/>
        <v>151045.36407503305</v>
      </c>
      <c r="N522" s="6">
        <f t="shared" si="46"/>
        <v>1261695</v>
      </c>
      <c r="O522" s="6">
        <f t="shared" si="47"/>
        <v>1412740.364075033</v>
      </c>
      <c r="P522" s="8">
        <f>VLOOKUP(F522,'LEAID Match'!$A$2:$B$436,2,FALSE)</f>
        <v>1802940</v>
      </c>
      <c r="Q522" s="6">
        <f t="shared" si="48"/>
        <v>9</v>
      </c>
    </row>
    <row r="523" spans="1:17" x14ac:dyDescent="0.2">
      <c r="A523" s="16">
        <f t="shared" si="44"/>
        <v>1802940</v>
      </c>
      <c r="B523">
        <v>2021</v>
      </c>
      <c r="C523" t="s">
        <v>904</v>
      </c>
      <c r="D523" t="s">
        <v>906</v>
      </c>
      <c r="E523" t="s">
        <v>1429</v>
      </c>
      <c r="F523" t="s">
        <v>478</v>
      </c>
      <c r="G523" t="s">
        <v>70</v>
      </c>
      <c r="H523" s="6">
        <v>153178</v>
      </c>
      <c r="I523" s="6">
        <v>7.5671356539015104E-4</v>
      </c>
      <c r="J523" s="6">
        <v>1705.6323763894004</v>
      </c>
      <c r="K523" s="6">
        <v>2014592</v>
      </c>
      <c r="M523" s="6">
        <f t="shared" si="45"/>
        <v>154883.6323763894</v>
      </c>
      <c r="N523" s="6">
        <f t="shared" si="46"/>
        <v>2014592</v>
      </c>
      <c r="O523" s="6">
        <f t="shared" si="47"/>
        <v>2169475.6323763896</v>
      </c>
      <c r="P523" s="8">
        <f>VLOOKUP(F523,'LEAID Match'!$A$2:$B$436,2,FALSE)</f>
        <v>1802940</v>
      </c>
      <c r="Q523" s="6">
        <f t="shared" si="48"/>
        <v>9</v>
      </c>
    </row>
    <row r="524" spans="1:17" x14ac:dyDescent="0.2">
      <c r="A524" s="16">
        <f t="shared" si="44"/>
        <v>1802940</v>
      </c>
      <c r="B524">
        <v>2022</v>
      </c>
      <c r="C524" t="s">
        <v>904</v>
      </c>
      <c r="D524" t="s">
        <v>906</v>
      </c>
      <c r="E524" t="s">
        <v>1430</v>
      </c>
      <c r="F524" t="s">
        <v>478</v>
      </c>
      <c r="G524" t="s">
        <v>70</v>
      </c>
      <c r="H524" s="6">
        <v>151939</v>
      </c>
      <c r="I524" s="6">
        <v>7.214346100356745E-4</v>
      </c>
      <c r="J524" s="6">
        <v>1590.7633151286623</v>
      </c>
      <c r="K524" s="6">
        <v>1963440</v>
      </c>
      <c r="M524" s="6">
        <f t="shared" si="45"/>
        <v>153529.76331512866</v>
      </c>
      <c r="N524" s="6">
        <f t="shared" si="46"/>
        <v>1963440</v>
      </c>
      <c r="O524" s="6">
        <f t="shared" si="47"/>
        <v>2116969.7633151286</v>
      </c>
      <c r="P524" s="8">
        <f>VLOOKUP(F524,'LEAID Match'!$A$2:$B$436,2,FALSE)</f>
        <v>1802940</v>
      </c>
      <c r="Q524" s="6">
        <f t="shared" si="48"/>
        <v>9</v>
      </c>
    </row>
    <row r="525" spans="1:17" x14ac:dyDescent="0.2">
      <c r="A525" s="16">
        <f t="shared" si="44"/>
        <v>1802940</v>
      </c>
      <c r="B525">
        <v>2023</v>
      </c>
      <c r="C525" t="s">
        <v>904</v>
      </c>
      <c r="D525" t="s">
        <v>906</v>
      </c>
      <c r="E525" t="s">
        <v>1431</v>
      </c>
      <c r="F525" t="s">
        <v>478</v>
      </c>
      <c r="G525" t="s">
        <v>70</v>
      </c>
      <c r="H525" s="6">
        <v>168871</v>
      </c>
      <c r="I525" s="6">
        <v>6.9058960340295935E-4</v>
      </c>
      <c r="J525" s="6">
        <v>1703.6845515951006</v>
      </c>
      <c r="K525" s="6">
        <v>5391579</v>
      </c>
      <c r="M525" s="6">
        <f t="shared" si="45"/>
        <v>170574.6845515951</v>
      </c>
      <c r="N525" s="6">
        <f t="shared" si="46"/>
        <v>5391579</v>
      </c>
      <c r="O525" s="6">
        <f t="shared" si="47"/>
        <v>5562153.6845515948</v>
      </c>
      <c r="P525" s="8">
        <f>VLOOKUP(F525,'LEAID Match'!$A$2:$B$436,2,FALSE)</f>
        <v>1802940</v>
      </c>
      <c r="Q525" s="6">
        <f t="shared" si="48"/>
        <v>9</v>
      </c>
    </row>
    <row r="526" spans="1:17" x14ac:dyDescent="0.2">
      <c r="A526" s="16">
        <f t="shared" si="44"/>
        <v>0</v>
      </c>
      <c r="B526">
        <v>2018</v>
      </c>
      <c r="C526" t="s">
        <v>904</v>
      </c>
      <c r="D526" t="s">
        <v>906</v>
      </c>
      <c r="E526" t="s">
        <v>1432</v>
      </c>
      <c r="F526" t="s">
        <v>668</v>
      </c>
      <c r="G526" t="s">
        <v>423</v>
      </c>
      <c r="H526" s="6">
        <v>0</v>
      </c>
      <c r="I526" s="6">
        <v>0</v>
      </c>
      <c r="J526" s="6">
        <v>0</v>
      </c>
      <c r="K526" s="6">
        <v>296115</v>
      </c>
      <c r="M526" s="6">
        <f t="shared" si="45"/>
        <v>0</v>
      </c>
      <c r="N526" s="6">
        <f t="shared" si="46"/>
        <v>296115</v>
      </c>
      <c r="O526" s="6">
        <f t="shared" si="47"/>
        <v>296115</v>
      </c>
      <c r="P526" s="8">
        <f>VLOOKUP(F526,'LEAID Match'!$A$2:$B$436,2,FALSE)</f>
        <v>0</v>
      </c>
      <c r="Q526" s="6">
        <f t="shared" si="48"/>
        <v>371</v>
      </c>
    </row>
    <row r="527" spans="1:17" x14ac:dyDescent="0.2">
      <c r="A527" s="16">
        <f t="shared" si="44"/>
        <v>0</v>
      </c>
      <c r="B527">
        <v>2020</v>
      </c>
      <c r="C527" t="s">
        <v>904</v>
      </c>
      <c r="D527" t="s">
        <v>906</v>
      </c>
      <c r="E527" t="s">
        <v>1433</v>
      </c>
      <c r="F527" t="s">
        <v>668</v>
      </c>
      <c r="G527" t="s">
        <v>423</v>
      </c>
      <c r="H527" s="6">
        <v>0</v>
      </c>
      <c r="I527" s="6">
        <v>0</v>
      </c>
      <c r="J527" s="6">
        <v>0</v>
      </c>
      <c r="K527" s="6">
        <v>382140</v>
      </c>
      <c r="M527" s="6">
        <f t="shared" si="45"/>
        <v>0</v>
      </c>
      <c r="N527" s="6">
        <f t="shared" si="46"/>
        <v>382140</v>
      </c>
      <c r="O527" s="6">
        <f t="shared" si="47"/>
        <v>382140</v>
      </c>
      <c r="P527" s="8">
        <f>VLOOKUP(F527,'LEAID Match'!$A$2:$B$436,2,FALSE)</f>
        <v>0</v>
      </c>
      <c r="Q527" s="6">
        <f t="shared" si="48"/>
        <v>371</v>
      </c>
    </row>
    <row r="528" spans="1:17" x14ac:dyDescent="0.2">
      <c r="A528" s="16">
        <f t="shared" si="44"/>
        <v>0</v>
      </c>
      <c r="B528">
        <v>2021</v>
      </c>
      <c r="C528" t="s">
        <v>904</v>
      </c>
      <c r="D528" t="s">
        <v>906</v>
      </c>
      <c r="E528" t="s">
        <v>1434</v>
      </c>
      <c r="F528" t="s">
        <v>668</v>
      </c>
      <c r="G528" t="s">
        <v>423</v>
      </c>
      <c r="H528" s="6" t="s">
        <v>893</v>
      </c>
      <c r="K528" s="6">
        <v>613137</v>
      </c>
      <c r="M528" s="6">
        <f t="shared" si="45"/>
        <v>0</v>
      </c>
      <c r="N528" s="6">
        <f t="shared" si="46"/>
        <v>613137</v>
      </c>
      <c r="O528" s="6">
        <f t="shared" si="47"/>
        <v>613137</v>
      </c>
      <c r="P528" s="8">
        <f>VLOOKUP(F528,'LEAID Match'!$A$2:$B$436,2,FALSE)</f>
        <v>0</v>
      </c>
      <c r="Q528" s="6">
        <f t="shared" si="48"/>
        <v>371</v>
      </c>
    </row>
    <row r="529" spans="1:17" x14ac:dyDescent="0.2">
      <c r="A529" s="16">
        <f t="shared" si="44"/>
        <v>0</v>
      </c>
      <c r="B529">
        <v>2022</v>
      </c>
      <c r="C529" t="s">
        <v>904</v>
      </c>
      <c r="D529" t="s">
        <v>906</v>
      </c>
      <c r="E529" t="s">
        <v>1435</v>
      </c>
      <c r="F529" t="s">
        <v>668</v>
      </c>
      <c r="G529" t="s">
        <v>423</v>
      </c>
      <c r="H529" s="6" t="s">
        <v>893</v>
      </c>
      <c r="K529" s="6">
        <v>690708</v>
      </c>
      <c r="M529" s="6">
        <f t="shared" si="45"/>
        <v>0</v>
      </c>
      <c r="N529" s="6">
        <f t="shared" si="46"/>
        <v>690708</v>
      </c>
      <c r="O529" s="6">
        <f t="shared" si="47"/>
        <v>690708</v>
      </c>
      <c r="P529" s="8">
        <f>VLOOKUP(F529,'LEAID Match'!$A$2:$B$436,2,FALSE)</f>
        <v>0</v>
      </c>
      <c r="Q529" s="6">
        <f t="shared" si="48"/>
        <v>371</v>
      </c>
    </row>
    <row r="530" spans="1:17" x14ac:dyDescent="0.2">
      <c r="A530" s="16">
        <f t="shared" si="44"/>
        <v>0</v>
      </c>
      <c r="B530">
        <v>2023</v>
      </c>
      <c r="C530" t="s">
        <v>904</v>
      </c>
      <c r="D530" t="s">
        <v>906</v>
      </c>
      <c r="E530" t="s">
        <v>1436</v>
      </c>
      <c r="F530" t="s">
        <v>668</v>
      </c>
      <c r="G530" t="s">
        <v>423</v>
      </c>
      <c r="H530" s="6" t="s">
        <v>893</v>
      </c>
      <c r="K530" s="6">
        <v>1497496</v>
      </c>
      <c r="M530" s="6">
        <f t="shared" si="45"/>
        <v>0</v>
      </c>
      <c r="N530" s="6">
        <f t="shared" si="46"/>
        <v>1497496</v>
      </c>
      <c r="O530" s="6">
        <f t="shared" si="47"/>
        <v>1497496</v>
      </c>
      <c r="P530" s="8">
        <f>VLOOKUP(F530,'LEAID Match'!$A$2:$B$436,2,FALSE)</f>
        <v>0</v>
      </c>
      <c r="Q530" s="6">
        <f t="shared" si="48"/>
        <v>371</v>
      </c>
    </row>
    <row r="531" spans="1:17" x14ac:dyDescent="0.2">
      <c r="A531" s="16">
        <f t="shared" si="44"/>
        <v>1806390</v>
      </c>
      <c r="B531">
        <v>2015</v>
      </c>
      <c r="C531" t="s">
        <v>904</v>
      </c>
      <c r="D531" t="s">
        <v>906</v>
      </c>
      <c r="E531" t="s">
        <v>1437</v>
      </c>
      <c r="F531" t="s">
        <v>479</v>
      </c>
      <c r="G531" t="s">
        <v>71</v>
      </c>
      <c r="H531" s="6">
        <v>861436</v>
      </c>
      <c r="I531" s="6">
        <v>4.1889109174921635E-3</v>
      </c>
      <c r="J531" s="6">
        <v>24341.76134154696</v>
      </c>
      <c r="K531" s="6">
        <v>3542210.0944060502</v>
      </c>
      <c r="M531" s="6">
        <f t="shared" si="45"/>
        <v>885777.76134154701</v>
      </c>
      <c r="N531" s="6">
        <f t="shared" si="46"/>
        <v>3542210.0944060502</v>
      </c>
      <c r="O531" s="6">
        <f t="shared" si="47"/>
        <v>4427987.8557475973</v>
      </c>
      <c r="P531" s="8">
        <f>VLOOKUP(F531,'LEAID Match'!$A$2:$B$436,2,FALSE)</f>
        <v>1806390</v>
      </c>
      <c r="Q531" s="6">
        <f t="shared" si="48"/>
        <v>9</v>
      </c>
    </row>
    <row r="532" spans="1:17" x14ac:dyDescent="0.2">
      <c r="A532" s="16">
        <f t="shared" si="44"/>
        <v>1806390</v>
      </c>
      <c r="B532">
        <v>2016</v>
      </c>
      <c r="C532" t="s">
        <v>904</v>
      </c>
      <c r="D532" t="s">
        <v>906</v>
      </c>
      <c r="E532" t="s">
        <v>1438</v>
      </c>
      <c r="F532" t="s">
        <v>479</v>
      </c>
      <c r="G532" t="s">
        <v>71</v>
      </c>
      <c r="H532" s="6">
        <v>800074</v>
      </c>
      <c r="I532" s="6">
        <v>3.7124416220928351E-3</v>
      </c>
      <c r="J532" s="6">
        <v>18740.405308324633</v>
      </c>
      <c r="K532" s="6">
        <v>3294791.9396073902</v>
      </c>
      <c r="M532" s="6">
        <f t="shared" si="45"/>
        <v>818814.40530832461</v>
      </c>
      <c r="N532" s="6">
        <f t="shared" si="46"/>
        <v>3294791.9396073902</v>
      </c>
      <c r="O532" s="6">
        <f t="shared" si="47"/>
        <v>4113606.344915715</v>
      </c>
      <c r="P532" s="8">
        <f>VLOOKUP(F532,'LEAID Match'!$A$2:$B$436,2,FALSE)</f>
        <v>1806390</v>
      </c>
      <c r="Q532" s="6">
        <f t="shared" si="48"/>
        <v>9</v>
      </c>
    </row>
    <row r="533" spans="1:17" x14ac:dyDescent="0.2">
      <c r="A533" s="16">
        <f t="shared" si="44"/>
        <v>1806390</v>
      </c>
      <c r="B533">
        <v>2017</v>
      </c>
      <c r="C533" t="s">
        <v>904</v>
      </c>
      <c r="D533" t="s">
        <v>906</v>
      </c>
      <c r="E533" t="s">
        <v>1439</v>
      </c>
      <c r="F533" t="s">
        <v>479</v>
      </c>
      <c r="G533" t="s">
        <v>71</v>
      </c>
      <c r="H533" s="6">
        <v>794834</v>
      </c>
      <c r="I533" s="6">
        <v>3.4999941368358762E-3</v>
      </c>
      <c r="J533" s="6">
        <v>15837.47346918234</v>
      </c>
      <c r="K533" s="6">
        <v>3048494.8931840402</v>
      </c>
      <c r="M533" s="6">
        <f t="shared" si="45"/>
        <v>810671.47346918238</v>
      </c>
      <c r="N533" s="6">
        <f t="shared" si="46"/>
        <v>3048494.8931840402</v>
      </c>
      <c r="O533" s="6">
        <f t="shared" si="47"/>
        <v>3859166.3666532226</v>
      </c>
      <c r="P533" s="8">
        <f>VLOOKUP(F533,'LEAID Match'!$A$2:$B$436,2,FALSE)</f>
        <v>1806390</v>
      </c>
      <c r="Q533" s="6">
        <f t="shared" si="48"/>
        <v>9</v>
      </c>
    </row>
    <row r="534" spans="1:17" x14ac:dyDescent="0.2">
      <c r="A534" s="16">
        <f t="shared" si="44"/>
        <v>1806390</v>
      </c>
      <c r="B534">
        <v>2018</v>
      </c>
      <c r="C534" t="s">
        <v>904</v>
      </c>
      <c r="D534" t="s">
        <v>906</v>
      </c>
      <c r="E534" t="s">
        <v>1440</v>
      </c>
      <c r="F534" t="s">
        <v>479</v>
      </c>
      <c r="G534" t="s">
        <v>71</v>
      </c>
      <c r="H534" s="6">
        <v>855834</v>
      </c>
      <c r="I534" s="6">
        <v>3.6307651878551071E-3</v>
      </c>
      <c r="J534" s="6">
        <v>15133.029302980087</v>
      </c>
      <c r="K534" s="6">
        <v>5833622</v>
      </c>
      <c r="M534" s="6">
        <f t="shared" si="45"/>
        <v>870967.02930298005</v>
      </c>
      <c r="N534" s="6">
        <f t="shared" si="46"/>
        <v>5833622</v>
      </c>
      <c r="O534" s="6">
        <f t="shared" si="47"/>
        <v>6704589.0293029798</v>
      </c>
      <c r="P534" s="8">
        <f>VLOOKUP(F534,'LEAID Match'!$A$2:$B$436,2,FALSE)</f>
        <v>1806390</v>
      </c>
      <c r="Q534" s="6">
        <f t="shared" si="48"/>
        <v>9</v>
      </c>
    </row>
    <row r="535" spans="1:17" x14ac:dyDescent="0.2">
      <c r="A535" s="16">
        <f t="shared" si="44"/>
        <v>1806390</v>
      </c>
      <c r="B535">
        <v>2019</v>
      </c>
      <c r="C535" t="s">
        <v>904</v>
      </c>
      <c r="D535" t="s">
        <v>906</v>
      </c>
      <c r="E535" t="s">
        <v>1441</v>
      </c>
      <c r="F535" t="s">
        <v>479</v>
      </c>
      <c r="G535" t="s">
        <v>71</v>
      </c>
      <c r="H535" s="6">
        <v>890011</v>
      </c>
      <c r="I535" s="6">
        <v>2.2641831570875516E-3</v>
      </c>
      <c r="J535" s="6">
        <v>7935.9619655918686</v>
      </c>
      <c r="K535" s="6">
        <v>2137162.4819749398</v>
      </c>
      <c r="M535" s="6">
        <f t="shared" si="45"/>
        <v>897946.96196559188</v>
      </c>
      <c r="N535" s="6">
        <f t="shared" si="46"/>
        <v>2137162.4819749398</v>
      </c>
      <c r="O535" s="6">
        <f t="shared" si="47"/>
        <v>3035109.4439405315</v>
      </c>
      <c r="P535" s="8">
        <f>VLOOKUP(F535,'LEAID Match'!$A$2:$B$436,2,FALSE)</f>
        <v>1806390</v>
      </c>
      <c r="Q535" s="6">
        <f t="shared" si="48"/>
        <v>9</v>
      </c>
    </row>
    <row r="536" spans="1:17" x14ac:dyDescent="0.2">
      <c r="A536" s="16">
        <f t="shared" si="44"/>
        <v>1806390</v>
      </c>
      <c r="B536">
        <v>2020</v>
      </c>
      <c r="C536" t="s">
        <v>904</v>
      </c>
      <c r="D536" t="s">
        <v>906</v>
      </c>
      <c r="E536" t="s">
        <v>1442</v>
      </c>
      <c r="F536" t="s">
        <v>479</v>
      </c>
      <c r="G536" t="s">
        <v>71</v>
      </c>
      <c r="H536" s="6">
        <v>636412</v>
      </c>
      <c r="I536" s="6">
        <v>3.3721611683336806E-3</v>
      </c>
      <c r="J536" s="6">
        <v>7944.8117125941517</v>
      </c>
      <c r="K536" s="6">
        <v>6064428</v>
      </c>
      <c r="M536" s="6">
        <f t="shared" si="45"/>
        <v>644356.81171259412</v>
      </c>
      <c r="N536" s="6">
        <f t="shared" si="46"/>
        <v>6064428</v>
      </c>
      <c r="O536" s="6">
        <f t="shared" si="47"/>
        <v>6708784.8117125938</v>
      </c>
      <c r="P536" s="8">
        <f>VLOOKUP(F536,'LEAID Match'!$A$2:$B$436,2,FALSE)</f>
        <v>1806390</v>
      </c>
      <c r="Q536" s="6">
        <f t="shared" si="48"/>
        <v>9</v>
      </c>
    </row>
    <row r="537" spans="1:17" x14ac:dyDescent="0.2">
      <c r="A537" s="16">
        <f t="shared" si="44"/>
        <v>1806390</v>
      </c>
      <c r="B537">
        <v>2021</v>
      </c>
      <c r="C537" t="s">
        <v>904</v>
      </c>
      <c r="D537" t="s">
        <v>906</v>
      </c>
      <c r="E537" t="s">
        <v>1443</v>
      </c>
      <c r="F537" t="s">
        <v>479</v>
      </c>
      <c r="G537" t="s">
        <v>71</v>
      </c>
      <c r="H537" s="6">
        <v>662217</v>
      </c>
      <c r="I537" s="6">
        <v>3.2714135654726508E-3</v>
      </c>
      <c r="J537" s="6">
        <v>7373.7661765753546</v>
      </c>
      <c r="K537" s="6">
        <v>9753444</v>
      </c>
      <c r="M537" s="6">
        <f t="shared" si="45"/>
        <v>669590.76617657533</v>
      </c>
      <c r="N537" s="6">
        <f t="shared" si="46"/>
        <v>9753444</v>
      </c>
      <c r="O537" s="6">
        <f t="shared" si="47"/>
        <v>10423034.766176576</v>
      </c>
      <c r="P537" s="8">
        <f>VLOOKUP(F537,'LEAID Match'!$A$2:$B$436,2,FALSE)</f>
        <v>1806390</v>
      </c>
      <c r="Q537" s="6">
        <f t="shared" si="48"/>
        <v>9</v>
      </c>
    </row>
    <row r="538" spans="1:17" x14ac:dyDescent="0.2">
      <c r="A538" s="16">
        <f t="shared" si="44"/>
        <v>1806390</v>
      </c>
      <c r="B538">
        <v>2022</v>
      </c>
      <c r="C538" t="s">
        <v>904</v>
      </c>
      <c r="D538" t="s">
        <v>906</v>
      </c>
      <c r="E538" t="s">
        <v>1444</v>
      </c>
      <c r="F538" t="s">
        <v>479</v>
      </c>
      <c r="G538" t="s">
        <v>71</v>
      </c>
      <c r="H538" s="6">
        <v>703380</v>
      </c>
      <c r="I538" s="6">
        <v>3.3397789639716775E-3</v>
      </c>
      <c r="J538" s="6">
        <v>7364.2126155575488</v>
      </c>
      <c r="K538" s="6">
        <v>9455642</v>
      </c>
      <c r="M538" s="6">
        <f t="shared" si="45"/>
        <v>710744.2126155576</v>
      </c>
      <c r="N538" s="6">
        <f t="shared" si="46"/>
        <v>9455642</v>
      </c>
      <c r="O538" s="6">
        <f t="shared" si="47"/>
        <v>10166386.212615557</v>
      </c>
      <c r="P538" s="8">
        <f>VLOOKUP(F538,'LEAID Match'!$A$2:$B$436,2,FALSE)</f>
        <v>1806390</v>
      </c>
      <c r="Q538" s="6">
        <f t="shared" si="48"/>
        <v>9</v>
      </c>
    </row>
    <row r="539" spans="1:17" x14ac:dyDescent="0.2">
      <c r="A539" s="16">
        <f t="shared" si="44"/>
        <v>1806390</v>
      </c>
      <c r="B539">
        <v>2023</v>
      </c>
      <c r="C539" t="s">
        <v>904</v>
      </c>
      <c r="D539" t="s">
        <v>906</v>
      </c>
      <c r="E539" t="s">
        <v>1445</v>
      </c>
      <c r="F539" t="s">
        <v>479</v>
      </c>
      <c r="G539" t="s">
        <v>71</v>
      </c>
      <c r="H539" s="6">
        <v>754929</v>
      </c>
      <c r="I539" s="6">
        <v>3.087244812356134E-3</v>
      </c>
      <c r="J539" s="6">
        <v>7616.2329520825824</v>
      </c>
      <c r="K539" s="6">
        <v>22686048</v>
      </c>
      <c r="M539" s="6">
        <f t="shared" si="45"/>
        <v>762545.23295208253</v>
      </c>
      <c r="N539" s="6">
        <f t="shared" si="46"/>
        <v>22686048</v>
      </c>
      <c r="O539" s="6">
        <f t="shared" si="47"/>
        <v>23448593.232952081</v>
      </c>
      <c r="P539" s="8">
        <f>VLOOKUP(F539,'LEAID Match'!$A$2:$B$436,2,FALSE)</f>
        <v>1806390</v>
      </c>
      <c r="Q539" s="6">
        <f t="shared" si="48"/>
        <v>9</v>
      </c>
    </row>
    <row r="540" spans="1:17" x14ac:dyDescent="0.2">
      <c r="A540" s="16">
        <f t="shared" si="44"/>
        <v>1806240</v>
      </c>
      <c r="B540">
        <v>2015</v>
      </c>
      <c r="C540" t="s">
        <v>904</v>
      </c>
      <c r="D540" t="s">
        <v>906</v>
      </c>
      <c r="E540" t="s">
        <v>1446</v>
      </c>
      <c r="F540" t="s">
        <v>480</v>
      </c>
      <c r="G540" t="s">
        <v>72</v>
      </c>
      <c r="H540" s="6">
        <v>255588</v>
      </c>
      <c r="I540" s="6">
        <v>1.2428495716222531E-3</v>
      </c>
      <c r="J540" s="6">
        <v>7222.1988606969126</v>
      </c>
      <c r="K540" s="6">
        <v>1050973.4833569201</v>
      </c>
      <c r="M540" s="6">
        <f t="shared" si="45"/>
        <v>262810.19886069692</v>
      </c>
      <c r="N540" s="6">
        <f t="shared" si="46"/>
        <v>1050973.4833569201</v>
      </c>
      <c r="O540" s="6">
        <f t="shared" si="47"/>
        <v>1313783.6822176171</v>
      </c>
      <c r="P540" s="8">
        <f>VLOOKUP(F540,'LEAID Match'!$A$2:$B$436,2,FALSE)</f>
        <v>1806240</v>
      </c>
      <c r="Q540" s="6">
        <f t="shared" si="48"/>
        <v>9</v>
      </c>
    </row>
    <row r="541" spans="1:17" x14ac:dyDescent="0.2">
      <c r="A541" s="16">
        <f t="shared" si="44"/>
        <v>1806240</v>
      </c>
      <c r="B541">
        <v>2016</v>
      </c>
      <c r="C541" t="s">
        <v>904</v>
      </c>
      <c r="D541" t="s">
        <v>906</v>
      </c>
      <c r="E541" t="s">
        <v>1447</v>
      </c>
      <c r="F541" t="s">
        <v>480</v>
      </c>
      <c r="G541" t="s">
        <v>72</v>
      </c>
      <c r="H541" s="6">
        <v>252985</v>
      </c>
      <c r="I541" s="6">
        <v>1.1738814706704077E-3</v>
      </c>
      <c r="J541" s="6">
        <v>5925.7536639442178</v>
      </c>
      <c r="K541" s="6">
        <v>1041819.80521998</v>
      </c>
      <c r="M541" s="6">
        <f t="shared" si="45"/>
        <v>258910.75366394423</v>
      </c>
      <c r="N541" s="6">
        <f t="shared" si="46"/>
        <v>1041819.80521998</v>
      </c>
      <c r="O541" s="6">
        <f t="shared" si="47"/>
        <v>1300730.5588839243</v>
      </c>
      <c r="P541" s="8">
        <f>VLOOKUP(F541,'LEAID Match'!$A$2:$B$436,2,FALSE)</f>
        <v>1806240</v>
      </c>
      <c r="Q541" s="6">
        <f t="shared" si="48"/>
        <v>9</v>
      </c>
    </row>
    <row r="542" spans="1:17" x14ac:dyDescent="0.2">
      <c r="A542" s="16">
        <f t="shared" si="44"/>
        <v>1806240</v>
      </c>
      <c r="B542">
        <v>2017</v>
      </c>
      <c r="C542" t="s">
        <v>904</v>
      </c>
      <c r="D542" t="s">
        <v>906</v>
      </c>
      <c r="E542" t="s">
        <v>1448</v>
      </c>
      <c r="F542" t="s">
        <v>480</v>
      </c>
      <c r="G542" t="s">
        <v>72</v>
      </c>
      <c r="H542" s="6">
        <v>270275</v>
      </c>
      <c r="I542" s="6">
        <v>1.1901364502944218E-3</v>
      </c>
      <c r="J542" s="6">
        <v>5385.3674375822584</v>
      </c>
      <c r="K542" s="6">
        <v>1036608.84820644</v>
      </c>
      <c r="M542" s="6">
        <f t="shared" si="45"/>
        <v>275660.36743758223</v>
      </c>
      <c r="N542" s="6">
        <f t="shared" si="46"/>
        <v>1036608.84820644</v>
      </c>
      <c r="O542" s="6">
        <f t="shared" si="47"/>
        <v>1312269.2156440222</v>
      </c>
      <c r="P542" s="8">
        <f>VLOOKUP(F542,'LEAID Match'!$A$2:$B$436,2,FALSE)</f>
        <v>1806240</v>
      </c>
      <c r="Q542" s="6">
        <f t="shared" si="48"/>
        <v>9</v>
      </c>
    </row>
    <row r="543" spans="1:17" x14ac:dyDescent="0.2">
      <c r="A543" s="16">
        <f t="shared" si="44"/>
        <v>1806240</v>
      </c>
      <c r="B543">
        <v>2018</v>
      </c>
      <c r="C543" t="s">
        <v>904</v>
      </c>
      <c r="D543" t="s">
        <v>906</v>
      </c>
      <c r="E543" t="s">
        <v>1449</v>
      </c>
      <c r="F543" t="s">
        <v>480</v>
      </c>
      <c r="G543" t="s">
        <v>72</v>
      </c>
      <c r="H543" s="6">
        <v>262398</v>
      </c>
      <c r="I543" s="6">
        <v>1.1131896182703706E-3</v>
      </c>
      <c r="J543" s="6">
        <v>4639.7743289509044</v>
      </c>
      <c r="K543" s="6">
        <v>1423846</v>
      </c>
      <c r="M543" s="6">
        <f t="shared" si="45"/>
        <v>267037.77432895091</v>
      </c>
      <c r="N543" s="6">
        <f t="shared" si="46"/>
        <v>1423846</v>
      </c>
      <c r="O543" s="6">
        <f t="shared" si="47"/>
        <v>1690883.7743289508</v>
      </c>
      <c r="P543" s="8">
        <f>VLOOKUP(F543,'LEAID Match'!$A$2:$B$436,2,FALSE)</f>
        <v>1806240</v>
      </c>
      <c r="Q543" s="6">
        <f t="shared" si="48"/>
        <v>9</v>
      </c>
    </row>
    <row r="544" spans="1:17" x14ac:dyDescent="0.2">
      <c r="A544" s="16">
        <f t="shared" si="44"/>
        <v>1806240</v>
      </c>
      <c r="B544">
        <v>2019</v>
      </c>
      <c r="C544" t="s">
        <v>904</v>
      </c>
      <c r="D544" t="s">
        <v>906</v>
      </c>
      <c r="E544" t="s">
        <v>1450</v>
      </c>
      <c r="F544" t="s">
        <v>480</v>
      </c>
      <c r="G544" t="s">
        <v>72</v>
      </c>
      <c r="H544" s="6">
        <v>274203</v>
      </c>
      <c r="I544" s="6">
        <v>6.9757094487919572E-4</v>
      </c>
      <c r="J544" s="6">
        <v>2444.9861618015811</v>
      </c>
      <c r="K544" s="6">
        <v>658437.21487147198</v>
      </c>
      <c r="M544" s="6">
        <f t="shared" si="45"/>
        <v>276647.98616180156</v>
      </c>
      <c r="N544" s="6">
        <f t="shared" si="46"/>
        <v>658437.21487147198</v>
      </c>
      <c r="O544" s="6">
        <f t="shared" si="47"/>
        <v>935085.20103327348</v>
      </c>
      <c r="P544" s="8">
        <f>VLOOKUP(F544,'LEAID Match'!$A$2:$B$436,2,FALSE)</f>
        <v>1806240</v>
      </c>
      <c r="Q544" s="6">
        <f t="shared" si="48"/>
        <v>9</v>
      </c>
    </row>
    <row r="545" spans="1:17" x14ac:dyDescent="0.2">
      <c r="A545" s="16">
        <f t="shared" si="44"/>
        <v>1806240</v>
      </c>
      <c r="B545">
        <v>2020</v>
      </c>
      <c r="C545" t="s">
        <v>904</v>
      </c>
      <c r="D545" t="s">
        <v>906</v>
      </c>
      <c r="E545" t="s">
        <v>1451</v>
      </c>
      <c r="F545" t="s">
        <v>480</v>
      </c>
      <c r="G545" t="s">
        <v>72</v>
      </c>
      <c r="H545" s="6">
        <v>219797</v>
      </c>
      <c r="I545" s="6">
        <v>1.164640057566856E-3</v>
      </c>
      <c r="J545" s="6">
        <v>2743.8919756275127</v>
      </c>
      <c r="K545" s="6">
        <v>1511373</v>
      </c>
      <c r="M545" s="6">
        <f t="shared" si="45"/>
        <v>222540.89197562751</v>
      </c>
      <c r="N545" s="6">
        <f t="shared" si="46"/>
        <v>1511373</v>
      </c>
      <c r="O545" s="6">
        <f t="shared" si="47"/>
        <v>1733913.8919756275</v>
      </c>
      <c r="P545" s="8">
        <f>VLOOKUP(F545,'LEAID Match'!$A$2:$B$436,2,FALSE)</f>
        <v>1806240</v>
      </c>
      <c r="Q545" s="6">
        <f t="shared" si="48"/>
        <v>9</v>
      </c>
    </row>
    <row r="546" spans="1:17" x14ac:dyDescent="0.2">
      <c r="A546" s="16">
        <f t="shared" si="44"/>
        <v>1806240</v>
      </c>
      <c r="B546">
        <v>2021</v>
      </c>
      <c r="C546" t="s">
        <v>904</v>
      </c>
      <c r="D546" t="s">
        <v>906</v>
      </c>
      <c r="E546" t="s">
        <v>1452</v>
      </c>
      <c r="F546" t="s">
        <v>480</v>
      </c>
      <c r="G546" t="s">
        <v>72</v>
      </c>
      <c r="H546" s="6">
        <v>233734</v>
      </c>
      <c r="I546" s="6">
        <v>1.1546676970119833E-3</v>
      </c>
      <c r="J546" s="6">
        <v>2602.6209890650107</v>
      </c>
      <c r="K546" s="6">
        <v>2380780</v>
      </c>
      <c r="M546" s="6">
        <f t="shared" si="45"/>
        <v>236336.62098906501</v>
      </c>
      <c r="N546" s="6">
        <f t="shared" si="46"/>
        <v>2380780</v>
      </c>
      <c r="O546" s="6">
        <f t="shared" si="47"/>
        <v>2617116.6209890652</v>
      </c>
      <c r="P546" s="8">
        <f>VLOOKUP(F546,'LEAID Match'!$A$2:$B$436,2,FALSE)</f>
        <v>1806240</v>
      </c>
      <c r="Q546" s="6">
        <f t="shared" si="48"/>
        <v>9</v>
      </c>
    </row>
    <row r="547" spans="1:17" x14ac:dyDescent="0.2">
      <c r="A547" s="16">
        <f t="shared" si="44"/>
        <v>1806240</v>
      </c>
      <c r="B547">
        <v>2022</v>
      </c>
      <c r="C547" t="s">
        <v>904</v>
      </c>
      <c r="D547" t="s">
        <v>906</v>
      </c>
      <c r="E547" t="s">
        <v>1453</v>
      </c>
      <c r="F547" t="s">
        <v>480</v>
      </c>
      <c r="G547" t="s">
        <v>72</v>
      </c>
      <c r="H547" s="6">
        <v>236960</v>
      </c>
      <c r="I547" s="6">
        <v>1.1251301192850645E-3</v>
      </c>
      <c r="J547" s="6">
        <v>2480.9119130235672</v>
      </c>
      <c r="K547" s="6">
        <v>2309026</v>
      </c>
      <c r="M547" s="6">
        <f t="shared" si="45"/>
        <v>239440.91191302356</v>
      </c>
      <c r="N547" s="6">
        <f t="shared" si="46"/>
        <v>2309026</v>
      </c>
      <c r="O547" s="6">
        <f t="shared" si="47"/>
        <v>2548466.9119130233</v>
      </c>
      <c r="P547" s="8">
        <f>VLOOKUP(F547,'LEAID Match'!$A$2:$B$436,2,FALSE)</f>
        <v>1806240</v>
      </c>
      <c r="Q547" s="6">
        <f t="shared" si="48"/>
        <v>9</v>
      </c>
    </row>
    <row r="548" spans="1:17" x14ac:dyDescent="0.2">
      <c r="A548" s="16">
        <f t="shared" si="44"/>
        <v>1806240</v>
      </c>
      <c r="B548">
        <v>2023</v>
      </c>
      <c r="C548" t="s">
        <v>904</v>
      </c>
      <c r="D548" t="s">
        <v>906</v>
      </c>
      <c r="E548" t="s">
        <v>1454</v>
      </c>
      <c r="F548" t="s">
        <v>480</v>
      </c>
      <c r="G548" t="s">
        <v>72</v>
      </c>
      <c r="H548" s="6">
        <v>266303</v>
      </c>
      <c r="I548" s="6">
        <v>1.0890329491447218E-3</v>
      </c>
      <c r="J548" s="6">
        <v>2686.6442855400287</v>
      </c>
      <c r="K548" s="6">
        <v>5329324</v>
      </c>
      <c r="M548" s="6">
        <f t="shared" si="45"/>
        <v>268989.64428554004</v>
      </c>
      <c r="N548" s="6">
        <f t="shared" si="46"/>
        <v>5329324</v>
      </c>
      <c r="O548" s="6">
        <f t="shared" si="47"/>
        <v>5598313.6442855401</v>
      </c>
      <c r="P548" s="8">
        <f>VLOOKUP(F548,'LEAID Match'!$A$2:$B$436,2,FALSE)</f>
        <v>1806240</v>
      </c>
      <c r="Q548" s="6">
        <f t="shared" si="48"/>
        <v>9</v>
      </c>
    </row>
    <row r="549" spans="1:17" x14ac:dyDescent="0.2">
      <c r="A549" s="16">
        <f t="shared" si="44"/>
        <v>1806870</v>
      </c>
      <c r="B549">
        <v>2015</v>
      </c>
      <c r="C549" t="s">
        <v>904</v>
      </c>
      <c r="D549" t="s">
        <v>906</v>
      </c>
      <c r="E549" t="s">
        <v>1455</v>
      </c>
      <c r="F549" t="s">
        <v>669</v>
      </c>
      <c r="G549" t="s">
        <v>73</v>
      </c>
      <c r="H549" s="6">
        <v>466556</v>
      </c>
      <c r="I549" s="6">
        <v>2.2687251543022048E-3</v>
      </c>
      <c r="J549" s="6">
        <v>13183.561871650112</v>
      </c>
      <c r="K549" s="6">
        <v>1918470.29008041</v>
      </c>
      <c r="M549" s="6">
        <f t="shared" si="45"/>
        <v>479739.5618716501</v>
      </c>
      <c r="N549" s="6">
        <f t="shared" si="46"/>
        <v>1918470.29008041</v>
      </c>
      <c r="O549" s="6">
        <f t="shared" si="47"/>
        <v>2398209.8519520601</v>
      </c>
      <c r="P549" s="8">
        <f>VLOOKUP(F549,'LEAID Match'!$A$2:$B$436,2,FALSE)</f>
        <v>1806870</v>
      </c>
      <c r="Q549" s="6">
        <f t="shared" si="48"/>
        <v>9</v>
      </c>
    </row>
    <row r="550" spans="1:17" x14ac:dyDescent="0.2">
      <c r="A550" s="16">
        <f t="shared" si="44"/>
        <v>1806870</v>
      </c>
      <c r="B550">
        <v>2016</v>
      </c>
      <c r="C550" t="s">
        <v>904</v>
      </c>
      <c r="D550" t="s">
        <v>906</v>
      </c>
      <c r="E550" t="s">
        <v>1456</v>
      </c>
      <c r="F550" t="s">
        <v>669</v>
      </c>
      <c r="G550" t="s">
        <v>73</v>
      </c>
      <c r="H550" s="6">
        <v>483382</v>
      </c>
      <c r="I550" s="6">
        <v>2.2429518471672352E-3</v>
      </c>
      <c r="J550" s="6">
        <v>11322.420924500204</v>
      </c>
      <c r="K550" s="6">
        <v>1990619.7643609201</v>
      </c>
      <c r="M550" s="6">
        <f t="shared" si="45"/>
        <v>494704.42092450021</v>
      </c>
      <c r="N550" s="6">
        <f t="shared" si="46"/>
        <v>1990619.7643609201</v>
      </c>
      <c r="O550" s="6">
        <f t="shared" si="47"/>
        <v>2485324.1852854202</v>
      </c>
      <c r="P550" s="8">
        <f>VLOOKUP(F550,'LEAID Match'!$A$2:$B$436,2,FALSE)</f>
        <v>1806870</v>
      </c>
      <c r="Q550" s="6">
        <f t="shared" si="48"/>
        <v>9</v>
      </c>
    </row>
    <row r="551" spans="1:17" x14ac:dyDescent="0.2">
      <c r="A551" s="16">
        <f t="shared" si="44"/>
        <v>1806870</v>
      </c>
      <c r="B551">
        <v>2017</v>
      </c>
      <c r="C551" t="s">
        <v>904</v>
      </c>
      <c r="D551" t="s">
        <v>906</v>
      </c>
      <c r="E551" t="s">
        <v>1457</v>
      </c>
      <c r="F551" t="s">
        <v>669</v>
      </c>
      <c r="G551" t="s">
        <v>73</v>
      </c>
      <c r="H551" s="6">
        <v>503804</v>
      </c>
      <c r="I551" s="6">
        <v>2.2184645424257916E-3</v>
      </c>
      <c r="J551" s="6">
        <v>10038.552054476708</v>
      </c>
      <c r="K551" s="6">
        <v>1932282.6164528599</v>
      </c>
      <c r="M551" s="6">
        <f t="shared" si="45"/>
        <v>513842.55205447669</v>
      </c>
      <c r="N551" s="6">
        <f t="shared" si="46"/>
        <v>1932282.6164528599</v>
      </c>
      <c r="O551" s="6">
        <f t="shared" si="47"/>
        <v>2446125.1685073366</v>
      </c>
      <c r="P551" s="8">
        <f>VLOOKUP(F551,'LEAID Match'!$A$2:$B$436,2,FALSE)</f>
        <v>1806870</v>
      </c>
      <c r="Q551" s="6">
        <f t="shared" si="48"/>
        <v>9</v>
      </c>
    </row>
    <row r="552" spans="1:17" x14ac:dyDescent="0.2">
      <c r="A552" s="16">
        <f t="shared" si="44"/>
        <v>1806870</v>
      </c>
      <c r="B552">
        <v>2018</v>
      </c>
      <c r="C552" t="s">
        <v>904</v>
      </c>
      <c r="D552" t="s">
        <v>906</v>
      </c>
      <c r="E552" t="s">
        <v>1458</v>
      </c>
      <c r="F552" t="s">
        <v>669</v>
      </c>
      <c r="G552" t="s">
        <v>73</v>
      </c>
      <c r="H552" s="6">
        <v>524151</v>
      </c>
      <c r="I552" s="6">
        <v>2.2236429073622249E-3</v>
      </c>
      <c r="J552" s="6">
        <v>9268.1436378857543</v>
      </c>
      <c r="K552" s="6">
        <v>1823959</v>
      </c>
      <c r="M552" s="6">
        <f t="shared" si="45"/>
        <v>533419.14363788581</v>
      </c>
      <c r="N552" s="6">
        <f t="shared" si="46"/>
        <v>1823959</v>
      </c>
      <c r="O552" s="6">
        <f t="shared" si="47"/>
        <v>2357378.1436378858</v>
      </c>
      <c r="P552" s="8">
        <f>VLOOKUP(F552,'LEAID Match'!$A$2:$B$436,2,FALSE)</f>
        <v>1806870</v>
      </c>
      <c r="Q552" s="6">
        <f t="shared" si="48"/>
        <v>9</v>
      </c>
    </row>
    <row r="553" spans="1:17" x14ac:dyDescent="0.2">
      <c r="A553" s="16">
        <f t="shared" si="44"/>
        <v>1806870</v>
      </c>
      <c r="B553">
        <v>2019</v>
      </c>
      <c r="C553" t="s">
        <v>904</v>
      </c>
      <c r="D553" t="s">
        <v>906</v>
      </c>
      <c r="E553" t="s">
        <v>1459</v>
      </c>
      <c r="F553" t="s">
        <v>669</v>
      </c>
      <c r="G553" t="s">
        <v>73</v>
      </c>
      <c r="H553" s="6">
        <v>512275</v>
      </c>
      <c r="I553" s="6">
        <v>1.3032248217123444E-3</v>
      </c>
      <c r="J553" s="6">
        <v>4567.8030001017669</v>
      </c>
      <c r="K553" s="6">
        <v>1230113.9092142801</v>
      </c>
      <c r="M553" s="6">
        <f t="shared" si="45"/>
        <v>516842.80300010176</v>
      </c>
      <c r="N553" s="6">
        <f t="shared" si="46"/>
        <v>1230113.9092142801</v>
      </c>
      <c r="O553" s="6">
        <f t="shared" si="47"/>
        <v>1746956.7122143819</v>
      </c>
      <c r="P553" s="8">
        <f>VLOOKUP(F553,'LEAID Match'!$A$2:$B$436,2,FALSE)</f>
        <v>1806870</v>
      </c>
      <c r="Q553" s="6">
        <f t="shared" si="48"/>
        <v>9</v>
      </c>
    </row>
    <row r="554" spans="1:17" x14ac:dyDescent="0.2">
      <c r="A554" s="16">
        <f t="shared" si="44"/>
        <v>1806870</v>
      </c>
      <c r="B554">
        <v>2020</v>
      </c>
      <c r="C554" t="s">
        <v>904</v>
      </c>
      <c r="D554" t="s">
        <v>906</v>
      </c>
      <c r="E554" t="s">
        <v>1460</v>
      </c>
      <c r="F554" t="s">
        <v>669</v>
      </c>
      <c r="G554" t="s">
        <v>73</v>
      </c>
      <c r="H554" s="6">
        <v>397843</v>
      </c>
      <c r="I554" s="6">
        <v>2.1080537697173787E-3</v>
      </c>
      <c r="J554" s="6">
        <v>4966.5746814541444</v>
      </c>
      <c r="K554" s="6">
        <v>1897495</v>
      </c>
      <c r="M554" s="6">
        <f t="shared" si="45"/>
        <v>402809.57468145416</v>
      </c>
      <c r="N554" s="6">
        <f t="shared" si="46"/>
        <v>1897495</v>
      </c>
      <c r="O554" s="6">
        <f t="shared" si="47"/>
        <v>2300304.5746814543</v>
      </c>
      <c r="P554" s="8">
        <f>VLOOKUP(F554,'LEAID Match'!$A$2:$B$436,2,FALSE)</f>
        <v>1806870</v>
      </c>
      <c r="Q554" s="6">
        <f t="shared" si="48"/>
        <v>9</v>
      </c>
    </row>
    <row r="555" spans="1:17" x14ac:dyDescent="0.2">
      <c r="A555" s="16">
        <f t="shared" si="44"/>
        <v>1806870</v>
      </c>
      <c r="B555">
        <v>2021</v>
      </c>
      <c r="C555" t="s">
        <v>904</v>
      </c>
      <c r="D555" t="s">
        <v>906</v>
      </c>
      <c r="E555" t="s">
        <v>1461</v>
      </c>
      <c r="F555" t="s">
        <v>669</v>
      </c>
      <c r="G555" t="s">
        <v>73</v>
      </c>
      <c r="H555" s="6">
        <v>414874</v>
      </c>
      <c r="I555" s="6">
        <v>2.0495161428382242E-3</v>
      </c>
      <c r="J555" s="6">
        <v>4619.6093859573575</v>
      </c>
      <c r="K555" s="6">
        <v>3023326</v>
      </c>
      <c r="M555" s="6">
        <f t="shared" si="45"/>
        <v>419493.60938595736</v>
      </c>
      <c r="N555" s="6">
        <f t="shared" si="46"/>
        <v>3023326</v>
      </c>
      <c r="O555" s="6">
        <f t="shared" si="47"/>
        <v>3442819.6093859575</v>
      </c>
      <c r="P555" s="8">
        <f>VLOOKUP(F555,'LEAID Match'!$A$2:$B$436,2,FALSE)</f>
        <v>1806870</v>
      </c>
      <c r="Q555" s="6">
        <f t="shared" si="48"/>
        <v>9</v>
      </c>
    </row>
    <row r="556" spans="1:17" x14ac:dyDescent="0.2">
      <c r="A556" s="16">
        <f t="shared" si="44"/>
        <v>1806870</v>
      </c>
      <c r="B556">
        <v>2022</v>
      </c>
      <c r="C556" t="s">
        <v>904</v>
      </c>
      <c r="D556" t="s">
        <v>906</v>
      </c>
      <c r="E556" t="s">
        <v>1462</v>
      </c>
      <c r="F556" t="s">
        <v>669</v>
      </c>
      <c r="G556" t="s">
        <v>73</v>
      </c>
      <c r="H556" s="6">
        <v>462188</v>
      </c>
      <c r="I556" s="6">
        <v>2.1945545221646076E-3</v>
      </c>
      <c r="J556" s="6">
        <v>4838.9927213729597</v>
      </c>
      <c r="K556" s="6">
        <v>2882058</v>
      </c>
      <c r="M556" s="6">
        <f t="shared" si="45"/>
        <v>467026.99272137298</v>
      </c>
      <c r="N556" s="6">
        <f t="shared" si="46"/>
        <v>2882058</v>
      </c>
      <c r="O556" s="6">
        <f t="shared" si="47"/>
        <v>3349084.9927213732</v>
      </c>
      <c r="P556" s="8">
        <f>VLOOKUP(F556,'LEAID Match'!$A$2:$B$436,2,FALSE)</f>
        <v>1806870</v>
      </c>
      <c r="Q556" s="6">
        <f t="shared" si="48"/>
        <v>9</v>
      </c>
    </row>
    <row r="557" spans="1:17" x14ac:dyDescent="0.2">
      <c r="A557" s="16">
        <f t="shared" si="44"/>
        <v>1806870</v>
      </c>
      <c r="B557">
        <v>2023</v>
      </c>
      <c r="C557" t="s">
        <v>904</v>
      </c>
      <c r="D557" t="s">
        <v>906</v>
      </c>
      <c r="E557" t="s">
        <v>1463</v>
      </c>
      <c r="F557" t="s">
        <v>669</v>
      </c>
      <c r="G557" t="s">
        <v>73</v>
      </c>
      <c r="H557" s="6">
        <v>562029</v>
      </c>
      <c r="I557" s="6">
        <v>2.2983898017478539E-3</v>
      </c>
      <c r="J557" s="6">
        <v>5670.1276409119555</v>
      </c>
      <c r="K557" s="6">
        <v>7159691</v>
      </c>
      <c r="M557" s="6">
        <f t="shared" si="45"/>
        <v>567699.12764091196</v>
      </c>
      <c r="N557" s="6">
        <f t="shared" si="46"/>
        <v>7159691</v>
      </c>
      <c r="O557" s="6">
        <f t="shared" si="47"/>
        <v>7727390.1276409123</v>
      </c>
      <c r="P557" s="8">
        <f>VLOOKUP(F557,'LEAID Match'!$A$2:$B$436,2,FALSE)</f>
        <v>1806870</v>
      </c>
      <c r="Q557" s="6">
        <f t="shared" si="48"/>
        <v>9</v>
      </c>
    </row>
    <row r="558" spans="1:17" x14ac:dyDescent="0.2">
      <c r="A558" s="16">
        <f t="shared" si="44"/>
        <v>1803030</v>
      </c>
      <c r="B558">
        <v>2015</v>
      </c>
      <c r="C558" t="s">
        <v>904</v>
      </c>
      <c r="D558" t="s">
        <v>906</v>
      </c>
      <c r="E558" t="s">
        <v>1464</v>
      </c>
      <c r="F558" t="s">
        <v>670</v>
      </c>
      <c r="G558" t="s">
        <v>74</v>
      </c>
      <c r="H558" s="6">
        <v>316605</v>
      </c>
      <c r="I558" s="6">
        <v>1.5395573681998506E-3</v>
      </c>
      <c r="J558" s="6">
        <v>8946.367866609331</v>
      </c>
      <c r="K558" s="6">
        <v>1301874.34346768</v>
      </c>
      <c r="M558" s="6">
        <f t="shared" si="45"/>
        <v>325551.3678666093</v>
      </c>
      <c r="N558" s="6">
        <f t="shared" si="46"/>
        <v>1301874.34346768</v>
      </c>
      <c r="O558" s="6">
        <f t="shared" si="47"/>
        <v>1627425.7113342893</v>
      </c>
      <c r="P558" s="8">
        <f>VLOOKUP(F558,'LEAID Match'!$A$2:$B$436,2,FALSE)</f>
        <v>1803030</v>
      </c>
      <c r="Q558" s="6">
        <f t="shared" si="48"/>
        <v>9</v>
      </c>
    </row>
    <row r="559" spans="1:17" x14ac:dyDescent="0.2">
      <c r="A559" s="16">
        <f t="shared" si="44"/>
        <v>1803030</v>
      </c>
      <c r="B559">
        <v>2016</v>
      </c>
      <c r="C559" t="s">
        <v>904</v>
      </c>
      <c r="D559" t="s">
        <v>906</v>
      </c>
      <c r="E559" t="s">
        <v>1465</v>
      </c>
      <c r="F559" t="s">
        <v>670</v>
      </c>
      <c r="G559" t="s">
        <v>74</v>
      </c>
      <c r="H559" s="6">
        <v>308140</v>
      </c>
      <c r="I559" s="6">
        <v>1.4298074446009821E-3</v>
      </c>
      <c r="J559" s="6">
        <v>7217.6679803457573</v>
      </c>
      <c r="K559" s="6">
        <v>1268954.10708337</v>
      </c>
      <c r="M559" s="6">
        <f t="shared" si="45"/>
        <v>315357.66798034578</v>
      </c>
      <c r="N559" s="6">
        <f t="shared" si="46"/>
        <v>1268954.10708337</v>
      </c>
      <c r="O559" s="6">
        <f t="shared" si="47"/>
        <v>1584311.7750637159</v>
      </c>
      <c r="P559" s="8">
        <f>VLOOKUP(F559,'LEAID Match'!$A$2:$B$436,2,FALSE)</f>
        <v>1803030</v>
      </c>
      <c r="Q559" s="6">
        <f t="shared" si="48"/>
        <v>9</v>
      </c>
    </row>
    <row r="560" spans="1:17" x14ac:dyDescent="0.2">
      <c r="A560" s="16">
        <f t="shared" si="44"/>
        <v>1803030</v>
      </c>
      <c r="B560">
        <v>2017</v>
      </c>
      <c r="C560" t="s">
        <v>904</v>
      </c>
      <c r="D560" t="s">
        <v>906</v>
      </c>
      <c r="E560" t="s">
        <v>1466</v>
      </c>
      <c r="F560" t="s">
        <v>670</v>
      </c>
      <c r="G560" t="s">
        <v>74</v>
      </c>
      <c r="H560" s="6">
        <v>320572</v>
      </c>
      <c r="I560" s="6">
        <v>1.4116156586579719E-3</v>
      </c>
      <c r="J560" s="6">
        <v>6387.5608554273231</v>
      </c>
      <c r="K560" s="6">
        <v>1229517.2386910899</v>
      </c>
      <c r="M560" s="6">
        <f t="shared" si="45"/>
        <v>326959.56085542735</v>
      </c>
      <c r="N560" s="6">
        <f t="shared" si="46"/>
        <v>1229517.2386910899</v>
      </c>
      <c r="O560" s="6">
        <f t="shared" si="47"/>
        <v>1556476.7995465172</v>
      </c>
      <c r="P560" s="8">
        <f>VLOOKUP(F560,'LEAID Match'!$A$2:$B$436,2,FALSE)</f>
        <v>1803030</v>
      </c>
      <c r="Q560" s="6">
        <f t="shared" si="48"/>
        <v>9</v>
      </c>
    </row>
    <row r="561" spans="1:17" x14ac:dyDescent="0.2">
      <c r="A561" s="16">
        <f t="shared" si="44"/>
        <v>1803030</v>
      </c>
      <c r="B561">
        <v>2018</v>
      </c>
      <c r="C561" t="s">
        <v>904</v>
      </c>
      <c r="D561" t="s">
        <v>906</v>
      </c>
      <c r="E561" t="s">
        <v>1467</v>
      </c>
      <c r="F561" t="s">
        <v>670</v>
      </c>
      <c r="G561" t="s">
        <v>74</v>
      </c>
      <c r="H561" s="6">
        <v>339261</v>
      </c>
      <c r="I561" s="6">
        <v>1.4392709665623374E-3</v>
      </c>
      <c r="J561" s="6">
        <v>5998.8813886318221</v>
      </c>
      <c r="K561" s="6">
        <v>1333892</v>
      </c>
      <c r="M561" s="6">
        <f t="shared" si="45"/>
        <v>345259.88138863182</v>
      </c>
      <c r="N561" s="6">
        <f t="shared" si="46"/>
        <v>1333892</v>
      </c>
      <c r="O561" s="6">
        <f t="shared" si="47"/>
        <v>1679151.8813886319</v>
      </c>
      <c r="P561" s="8">
        <f>VLOOKUP(F561,'LEAID Match'!$A$2:$B$436,2,FALSE)</f>
        <v>1803030</v>
      </c>
      <c r="Q561" s="6">
        <f t="shared" si="48"/>
        <v>9</v>
      </c>
    </row>
    <row r="562" spans="1:17" x14ac:dyDescent="0.2">
      <c r="A562" s="16">
        <f t="shared" si="44"/>
        <v>1803030</v>
      </c>
      <c r="B562">
        <v>2019</v>
      </c>
      <c r="C562" t="s">
        <v>904</v>
      </c>
      <c r="D562" t="s">
        <v>906</v>
      </c>
      <c r="E562" t="s">
        <v>1468</v>
      </c>
      <c r="F562" t="s">
        <v>670</v>
      </c>
      <c r="G562" t="s">
        <v>74</v>
      </c>
      <c r="H562" s="6">
        <v>357947</v>
      </c>
      <c r="I562" s="6">
        <v>9.1061522669946523E-4</v>
      </c>
      <c r="J562" s="6">
        <v>3191.7063695816255</v>
      </c>
      <c r="K562" s="6">
        <v>859529.71248162503</v>
      </c>
      <c r="M562" s="6">
        <f t="shared" si="45"/>
        <v>361138.70636958163</v>
      </c>
      <c r="N562" s="6">
        <f t="shared" si="46"/>
        <v>859529.71248162503</v>
      </c>
      <c r="O562" s="6">
        <f t="shared" si="47"/>
        <v>1220668.4188512065</v>
      </c>
      <c r="P562" s="8">
        <f>VLOOKUP(F562,'LEAID Match'!$A$2:$B$436,2,FALSE)</f>
        <v>1803030</v>
      </c>
      <c r="Q562" s="6">
        <f t="shared" si="48"/>
        <v>9</v>
      </c>
    </row>
    <row r="563" spans="1:17" x14ac:dyDescent="0.2">
      <c r="A563" s="16">
        <f t="shared" si="44"/>
        <v>1803030</v>
      </c>
      <c r="B563">
        <v>2020</v>
      </c>
      <c r="C563" t="s">
        <v>904</v>
      </c>
      <c r="D563" t="s">
        <v>906</v>
      </c>
      <c r="E563" t="s">
        <v>1469</v>
      </c>
      <c r="F563" t="s">
        <v>670</v>
      </c>
      <c r="G563" t="s">
        <v>74</v>
      </c>
      <c r="H563" s="6">
        <v>283410</v>
      </c>
      <c r="I563" s="6">
        <v>1.5017067508429265E-3</v>
      </c>
      <c r="J563" s="6">
        <v>3538.0211049859349</v>
      </c>
      <c r="K563" s="6">
        <v>1439121</v>
      </c>
      <c r="M563" s="6">
        <f t="shared" si="45"/>
        <v>286948.02110498591</v>
      </c>
      <c r="N563" s="6">
        <f t="shared" si="46"/>
        <v>1439121</v>
      </c>
      <c r="O563" s="6">
        <f t="shared" si="47"/>
        <v>1726069.0211049858</v>
      </c>
      <c r="P563" s="8">
        <f>VLOOKUP(F563,'LEAID Match'!$A$2:$B$436,2,FALSE)</f>
        <v>1803030</v>
      </c>
      <c r="Q563" s="6">
        <f t="shared" si="48"/>
        <v>9</v>
      </c>
    </row>
    <row r="564" spans="1:17" x14ac:dyDescent="0.2">
      <c r="A564" s="16">
        <f t="shared" si="44"/>
        <v>1803030</v>
      </c>
      <c r="B564">
        <v>2021</v>
      </c>
      <c r="C564" t="s">
        <v>904</v>
      </c>
      <c r="D564" t="s">
        <v>906</v>
      </c>
      <c r="E564" t="s">
        <v>1470</v>
      </c>
      <c r="F564" t="s">
        <v>670</v>
      </c>
      <c r="G564" t="s">
        <v>74</v>
      </c>
      <c r="H564" s="6">
        <v>289388</v>
      </c>
      <c r="I564" s="6">
        <v>1.4296036327744522E-3</v>
      </c>
      <c r="J564" s="6">
        <v>3222.326588273615</v>
      </c>
      <c r="K564" s="6">
        <v>2476203</v>
      </c>
      <c r="M564" s="6">
        <f t="shared" si="45"/>
        <v>292610.32658827363</v>
      </c>
      <c r="N564" s="6">
        <f t="shared" si="46"/>
        <v>2476203</v>
      </c>
      <c r="O564" s="6">
        <f t="shared" si="47"/>
        <v>2768813.3265882735</v>
      </c>
      <c r="P564" s="8">
        <f>VLOOKUP(F564,'LEAID Match'!$A$2:$B$436,2,FALSE)</f>
        <v>1803030</v>
      </c>
      <c r="Q564" s="6">
        <f t="shared" si="48"/>
        <v>9</v>
      </c>
    </row>
    <row r="565" spans="1:17" x14ac:dyDescent="0.2">
      <c r="A565" s="16">
        <f t="shared" si="44"/>
        <v>1803030</v>
      </c>
      <c r="B565">
        <v>2022</v>
      </c>
      <c r="C565" t="s">
        <v>904</v>
      </c>
      <c r="D565" t="s">
        <v>906</v>
      </c>
      <c r="E565" t="s">
        <v>1471</v>
      </c>
      <c r="F565" t="s">
        <v>670</v>
      </c>
      <c r="G565" t="s">
        <v>74</v>
      </c>
      <c r="H565" s="6">
        <v>309156</v>
      </c>
      <c r="I565" s="6">
        <v>1.467930144993642E-3</v>
      </c>
      <c r="J565" s="6">
        <v>3236.7859697109807</v>
      </c>
      <c r="K565" s="6">
        <v>2398640</v>
      </c>
      <c r="M565" s="6">
        <f t="shared" si="45"/>
        <v>312392.78596971097</v>
      </c>
      <c r="N565" s="6">
        <f t="shared" si="46"/>
        <v>2398640</v>
      </c>
      <c r="O565" s="6">
        <f t="shared" si="47"/>
        <v>2711032.7859697109</v>
      </c>
      <c r="P565" s="8">
        <f>VLOOKUP(F565,'LEAID Match'!$A$2:$B$436,2,FALSE)</f>
        <v>1803030</v>
      </c>
      <c r="Q565" s="6">
        <f t="shared" si="48"/>
        <v>9</v>
      </c>
    </row>
    <row r="566" spans="1:17" x14ac:dyDescent="0.2">
      <c r="A566" s="16">
        <f t="shared" si="44"/>
        <v>1803030</v>
      </c>
      <c r="B566">
        <v>2023</v>
      </c>
      <c r="C566" t="s">
        <v>904</v>
      </c>
      <c r="D566" t="s">
        <v>906</v>
      </c>
      <c r="E566" t="s">
        <v>1472</v>
      </c>
      <c r="F566" t="s">
        <v>670</v>
      </c>
      <c r="G566" t="s">
        <v>74</v>
      </c>
      <c r="H566" s="6">
        <v>344943</v>
      </c>
      <c r="I566" s="6">
        <v>1.4106273401982995E-3</v>
      </c>
      <c r="J566" s="6">
        <v>3480.0176482692045</v>
      </c>
      <c r="K566" s="6">
        <v>6498184</v>
      </c>
      <c r="M566" s="6">
        <f t="shared" si="45"/>
        <v>348423.01764826919</v>
      </c>
      <c r="N566" s="6">
        <f t="shared" si="46"/>
        <v>6498184</v>
      </c>
      <c r="O566" s="6">
        <f t="shared" si="47"/>
        <v>6846607.0176482694</v>
      </c>
      <c r="P566" s="8">
        <f>VLOOKUP(F566,'LEAID Match'!$A$2:$B$436,2,FALSE)</f>
        <v>1803030</v>
      </c>
      <c r="Q566" s="6">
        <f t="shared" si="48"/>
        <v>9</v>
      </c>
    </row>
    <row r="567" spans="1:17" x14ac:dyDescent="0.2">
      <c r="A567" s="16">
        <f t="shared" si="44"/>
        <v>0</v>
      </c>
      <c r="B567">
        <v>2018</v>
      </c>
      <c r="C567" t="s">
        <v>904</v>
      </c>
      <c r="D567" t="s">
        <v>906</v>
      </c>
      <c r="E567" t="s">
        <v>1473</v>
      </c>
      <c r="F567" t="s">
        <v>671</v>
      </c>
      <c r="G567" t="s">
        <v>424</v>
      </c>
      <c r="H567" s="6">
        <v>0</v>
      </c>
      <c r="I567" s="6">
        <v>0</v>
      </c>
      <c r="J567" s="6">
        <v>0</v>
      </c>
      <c r="K567" s="6">
        <v>2203</v>
      </c>
      <c r="M567" s="6">
        <f t="shared" si="45"/>
        <v>0</v>
      </c>
      <c r="N567" s="6">
        <f t="shared" si="46"/>
        <v>2203</v>
      </c>
      <c r="O567" s="6">
        <f t="shared" si="47"/>
        <v>2203</v>
      </c>
      <c r="P567" s="8">
        <f>VLOOKUP(F567,'LEAID Match'!$A$2:$B$436,2,FALSE)</f>
        <v>0</v>
      </c>
      <c r="Q567" s="6">
        <f t="shared" si="48"/>
        <v>371</v>
      </c>
    </row>
    <row r="568" spans="1:17" x14ac:dyDescent="0.2">
      <c r="A568" s="16">
        <f t="shared" si="44"/>
        <v>0</v>
      </c>
      <c r="B568">
        <v>2020</v>
      </c>
      <c r="C568" t="s">
        <v>904</v>
      </c>
      <c r="D568" t="s">
        <v>906</v>
      </c>
      <c r="E568" t="s">
        <v>1474</v>
      </c>
      <c r="F568" t="s">
        <v>671</v>
      </c>
      <c r="G568" t="s">
        <v>424</v>
      </c>
      <c r="H568" s="6">
        <v>0</v>
      </c>
      <c r="I568" s="6">
        <v>0</v>
      </c>
      <c r="J568" s="6">
        <v>0</v>
      </c>
      <c r="K568" s="6">
        <v>2234</v>
      </c>
      <c r="M568" s="6">
        <f t="shared" si="45"/>
        <v>0</v>
      </c>
      <c r="N568" s="6">
        <f t="shared" si="46"/>
        <v>2234</v>
      </c>
      <c r="O568" s="6">
        <f t="shared" si="47"/>
        <v>2234</v>
      </c>
      <c r="P568" s="8">
        <f>VLOOKUP(F568,'LEAID Match'!$A$2:$B$436,2,FALSE)</f>
        <v>0</v>
      </c>
      <c r="Q568" s="6">
        <f t="shared" si="48"/>
        <v>371</v>
      </c>
    </row>
    <row r="569" spans="1:17" x14ac:dyDescent="0.2">
      <c r="A569" s="16">
        <f t="shared" si="44"/>
        <v>0</v>
      </c>
      <c r="B569">
        <v>2021</v>
      </c>
      <c r="C569" t="s">
        <v>904</v>
      </c>
      <c r="D569" t="s">
        <v>906</v>
      </c>
      <c r="E569" t="s">
        <v>1475</v>
      </c>
      <c r="F569" t="s">
        <v>671</v>
      </c>
      <c r="G569" t="s">
        <v>424</v>
      </c>
      <c r="H569" s="6" t="s">
        <v>893</v>
      </c>
      <c r="K569" s="6">
        <v>3516</v>
      </c>
      <c r="M569" s="6">
        <f t="shared" si="45"/>
        <v>0</v>
      </c>
      <c r="N569" s="6">
        <f t="shared" si="46"/>
        <v>3516</v>
      </c>
      <c r="O569" s="6">
        <f t="shared" si="47"/>
        <v>3516</v>
      </c>
      <c r="P569" s="8">
        <f>VLOOKUP(F569,'LEAID Match'!$A$2:$B$436,2,FALSE)</f>
        <v>0</v>
      </c>
      <c r="Q569" s="6">
        <f t="shared" si="48"/>
        <v>371</v>
      </c>
    </row>
    <row r="570" spans="1:17" x14ac:dyDescent="0.2">
      <c r="A570" s="16">
        <f t="shared" si="44"/>
        <v>0</v>
      </c>
      <c r="B570">
        <v>2022</v>
      </c>
      <c r="C570" t="s">
        <v>904</v>
      </c>
      <c r="D570" t="s">
        <v>906</v>
      </c>
      <c r="E570" t="s">
        <v>1476</v>
      </c>
      <c r="F570" t="s">
        <v>671</v>
      </c>
      <c r="G570" t="s">
        <v>424</v>
      </c>
      <c r="H570" s="6" t="s">
        <v>893</v>
      </c>
      <c r="K570" s="6">
        <v>3566</v>
      </c>
      <c r="M570" s="6">
        <f t="shared" si="45"/>
        <v>0</v>
      </c>
      <c r="N570" s="6">
        <f t="shared" si="46"/>
        <v>3566</v>
      </c>
      <c r="O570" s="6">
        <f t="shared" si="47"/>
        <v>3566</v>
      </c>
      <c r="P570" s="8">
        <f>VLOOKUP(F570,'LEAID Match'!$A$2:$B$436,2,FALSE)</f>
        <v>0</v>
      </c>
      <c r="Q570" s="6">
        <f t="shared" si="48"/>
        <v>371</v>
      </c>
    </row>
    <row r="571" spans="1:17" x14ac:dyDescent="0.2">
      <c r="A571" s="16">
        <f t="shared" si="44"/>
        <v>0</v>
      </c>
      <c r="B571">
        <v>2023</v>
      </c>
      <c r="C571" t="s">
        <v>904</v>
      </c>
      <c r="D571" t="s">
        <v>906</v>
      </c>
      <c r="E571" t="s">
        <v>1477</v>
      </c>
      <c r="F571" t="s">
        <v>671</v>
      </c>
      <c r="G571" t="s">
        <v>424</v>
      </c>
      <c r="H571" s="6" t="s">
        <v>893</v>
      </c>
      <c r="K571" s="6">
        <v>8047</v>
      </c>
      <c r="M571" s="6">
        <f t="shared" si="45"/>
        <v>0</v>
      </c>
      <c r="N571" s="6">
        <f t="shared" si="46"/>
        <v>8047</v>
      </c>
      <c r="O571" s="6">
        <f t="shared" si="47"/>
        <v>8047</v>
      </c>
      <c r="P571" s="8">
        <f>VLOOKUP(F571,'LEAID Match'!$A$2:$B$436,2,FALSE)</f>
        <v>0</v>
      </c>
      <c r="Q571" s="6">
        <f t="shared" si="48"/>
        <v>371</v>
      </c>
    </row>
    <row r="572" spans="1:17" x14ac:dyDescent="0.2">
      <c r="A572" s="16">
        <f t="shared" si="44"/>
        <v>1803090</v>
      </c>
      <c r="B572">
        <v>2015</v>
      </c>
      <c r="C572" t="s">
        <v>904</v>
      </c>
      <c r="D572" t="s">
        <v>906</v>
      </c>
      <c r="E572" t="s">
        <v>1478</v>
      </c>
      <c r="F572" t="s">
        <v>481</v>
      </c>
      <c r="G572" t="s">
        <v>75</v>
      </c>
      <c r="H572" s="6">
        <v>238219</v>
      </c>
      <c r="I572" s="6">
        <v>1.1583892127262684E-3</v>
      </c>
      <c r="J572" s="6">
        <v>6731.3997151523454</v>
      </c>
      <c r="K572" s="6">
        <v>979552.45250873605</v>
      </c>
      <c r="M572" s="6">
        <f t="shared" si="45"/>
        <v>244950.39971515234</v>
      </c>
      <c r="N572" s="6">
        <f t="shared" si="46"/>
        <v>979552.45250873605</v>
      </c>
      <c r="O572" s="6">
        <f t="shared" si="47"/>
        <v>1224502.8522238885</v>
      </c>
      <c r="P572" s="8">
        <f>VLOOKUP(F572,'LEAID Match'!$A$2:$B$436,2,FALSE)</f>
        <v>1803090</v>
      </c>
      <c r="Q572" s="6">
        <f t="shared" si="48"/>
        <v>9</v>
      </c>
    </row>
    <row r="573" spans="1:17" x14ac:dyDescent="0.2">
      <c r="A573" s="16">
        <f t="shared" si="44"/>
        <v>1803090</v>
      </c>
      <c r="B573">
        <v>2016</v>
      </c>
      <c r="C573" t="s">
        <v>904</v>
      </c>
      <c r="D573" t="s">
        <v>906</v>
      </c>
      <c r="E573" t="s">
        <v>1479</v>
      </c>
      <c r="F573" t="s">
        <v>481</v>
      </c>
      <c r="G573" t="s">
        <v>75</v>
      </c>
      <c r="H573" s="6">
        <v>221271</v>
      </c>
      <c r="I573" s="6">
        <v>1.0267246156756796E-3</v>
      </c>
      <c r="J573" s="6">
        <v>5182.905859930831</v>
      </c>
      <c r="K573" s="6">
        <v>911218.09641216497</v>
      </c>
      <c r="M573" s="6">
        <f t="shared" si="45"/>
        <v>226453.90585993082</v>
      </c>
      <c r="N573" s="6">
        <f t="shared" si="46"/>
        <v>911218.09641216497</v>
      </c>
      <c r="O573" s="6">
        <f t="shared" si="47"/>
        <v>1137672.0022720958</v>
      </c>
      <c r="P573" s="8">
        <f>VLOOKUP(F573,'LEAID Match'!$A$2:$B$436,2,FALSE)</f>
        <v>1803090</v>
      </c>
      <c r="Q573" s="6">
        <f t="shared" si="48"/>
        <v>9</v>
      </c>
    </row>
    <row r="574" spans="1:17" x14ac:dyDescent="0.2">
      <c r="A574" s="16">
        <f t="shared" si="44"/>
        <v>1803090</v>
      </c>
      <c r="B574">
        <v>2017</v>
      </c>
      <c r="C574" t="s">
        <v>904</v>
      </c>
      <c r="D574" t="s">
        <v>906</v>
      </c>
      <c r="E574" t="s">
        <v>1480</v>
      </c>
      <c r="F574" t="s">
        <v>481</v>
      </c>
      <c r="G574" t="s">
        <v>75</v>
      </c>
      <c r="H574" s="6">
        <v>213591</v>
      </c>
      <c r="I574" s="6">
        <v>9.4053254853329322E-4</v>
      </c>
      <c r="J574" s="6">
        <v>4255.9097821131518</v>
      </c>
      <c r="K574" s="6">
        <v>819203.84977249801</v>
      </c>
      <c r="M574" s="6">
        <f t="shared" si="45"/>
        <v>217846.90978211316</v>
      </c>
      <c r="N574" s="6">
        <f t="shared" si="46"/>
        <v>819203.84977249801</v>
      </c>
      <c r="O574" s="6">
        <f t="shared" si="47"/>
        <v>1037050.7595546112</v>
      </c>
      <c r="P574" s="8">
        <f>VLOOKUP(F574,'LEAID Match'!$A$2:$B$436,2,FALSE)</f>
        <v>1803090</v>
      </c>
      <c r="Q574" s="6">
        <f t="shared" si="48"/>
        <v>9</v>
      </c>
    </row>
    <row r="575" spans="1:17" x14ac:dyDescent="0.2">
      <c r="A575" s="16">
        <f t="shared" si="44"/>
        <v>1803090</v>
      </c>
      <c r="B575">
        <v>2018</v>
      </c>
      <c r="C575" t="s">
        <v>904</v>
      </c>
      <c r="D575" t="s">
        <v>906</v>
      </c>
      <c r="E575" t="s">
        <v>1481</v>
      </c>
      <c r="F575" t="s">
        <v>481</v>
      </c>
      <c r="G575" t="s">
        <v>75</v>
      </c>
      <c r="H575" s="6">
        <v>230428</v>
      </c>
      <c r="I575" s="6">
        <v>9.7756102317397603E-4</v>
      </c>
      <c r="J575" s="6">
        <v>4074.4743445891322</v>
      </c>
      <c r="K575" s="6">
        <v>851352</v>
      </c>
      <c r="M575" s="6">
        <f t="shared" si="45"/>
        <v>234502.47434458914</v>
      </c>
      <c r="N575" s="6">
        <f t="shared" si="46"/>
        <v>851352</v>
      </c>
      <c r="O575" s="6">
        <f t="shared" si="47"/>
        <v>1085854.474344589</v>
      </c>
      <c r="P575" s="8">
        <f>VLOOKUP(F575,'LEAID Match'!$A$2:$B$436,2,FALSE)</f>
        <v>1803090</v>
      </c>
      <c r="Q575" s="6">
        <f t="shared" si="48"/>
        <v>9</v>
      </c>
    </row>
    <row r="576" spans="1:17" x14ac:dyDescent="0.2">
      <c r="A576" s="16">
        <f t="shared" si="44"/>
        <v>1803090</v>
      </c>
      <c r="B576">
        <v>2019</v>
      </c>
      <c r="C576" t="s">
        <v>904</v>
      </c>
      <c r="D576" t="s">
        <v>906</v>
      </c>
      <c r="E576" t="s">
        <v>1482</v>
      </c>
      <c r="F576" t="s">
        <v>481</v>
      </c>
      <c r="G576" t="s">
        <v>75</v>
      </c>
      <c r="H576" s="6">
        <v>239403</v>
      </c>
      <c r="I576" s="6">
        <v>6.0903993361456328E-4</v>
      </c>
      <c r="J576" s="6">
        <v>2134.6849673190445</v>
      </c>
      <c r="K576" s="6">
        <v>574872.793338786</v>
      </c>
      <c r="M576" s="6">
        <f t="shared" si="45"/>
        <v>241537.68496731904</v>
      </c>
      <c r="N576" s="6">
        <f t="shared" si="46"/>
        <v>574872.793338786</v>
      </c>
      <c r="O576" s="6">
        <f t="shared" si="47"/>
        <v>816410.47830610501</v>
      </c>
      <c r="P576" s="8">
        <f>VLOOKUP(F576,'LEAID Match'!$A$2:$B$436,2,FALSE)</f>
        <v>1803090</v>
      </c>
      <c r="Q576" s="6">
        <f t="shared" si="48"/>
        <v>9</v>
      </c>
    </row>
    <row r="577" spans="1:17" x14ac:dyDescent="0.2">
      <c r="A577" s="16">
        <f t="shared" si="44"/>
        <v>1803090</v>
      </c>
      <c r="B577">
        <v>2020</v>
      </c>
      <c r="C577" t="s">
        <v>904</v>
      </c>
      <c r="D577" t="s">
        <v>906</v>
      </c>
      <c r="E577" t="s">
        <v>1483</v>
      </c>
      <c r="F577" t="s">
        <v>481</v>
      </c>
      <c r="G577" t="s">
        <v>75</v>
      </c>
      <c r="H577" s="6">
        <v>179479</v>
      </c>
      <c r="I577" s="6">
        <v>9.5100676029264168E-4</v>
      </c>
      <c r="J577" s="6">
        <v>2240.5719272494639</v>
      </c>
      <c r="K577" s="6">
        <v>856927</v>
      </c>
      <c r="M577" s="6">
        <f t="shared" si="45"/>
        <v>181719.57192724946</v>
      </c>
      <c r="N577" s="6">
        <f t="shared" si="46"/>
        <v>856927</v>
      </c>
      <c r="O577" s="6">
        <f t="shared" si="47"/>
        <v>1038646.5719272494</v>
      </c>
      <c r="P577" s="8">
        <f>VLOOKUP(F577,'LEAID Match'!$A$2:$B$436,2,FALSE)</f>
        <v>1803090</v>
      </c>
      <c r="Q577" s="6">
        <f t="shared" si="48"/>
        <v>9</v>
      </c>
    </row>
    <row r="578" spans="1:17" x14ac:dyDescent="0.2">
      <c r="A578" s="16">
        <f t="shared" si="44"/>
        <v>1803090</v>
      </c>
      <c r="B578">
        <v>2021</v>
      </c>
      <c r="C578" t="s">
        <v>904</v>
      </c>
      <c r="D578" t="s">
        <v>906</v>
      </c>
      <c r="E578" t="s">
        <v>1484</v>
      </c>
      <c r="F578" t="s">
        <v>481</v>
      </c>
      <c r="G578" t="s">
        <v>75</v>
      </c>
      <c r="H578" s="6">
        <v>179704</v>
      </c>
      <c r="I578" s="6">
        <v>8.8775447227977717E-4</v>
      </c>
      <c r="J578" s="6">
        <v>2000.9985805186177</v>
      </c>
      <c r="K578" s="6">
        <v>1432943</v>
      </c>
      <c r="M578" s="6">
        <f t="shared" si="45"/>
        <v>181704.99858051862</v>
      </c>
      <c r="N578" s="6">
        <f t="shared" si="46"/>
        <v>1432943</v>
      </c>
      <c r="O578" s="6">
        <f t="shared" si="47"/>
        <v>1614647.9985805186</v>
      </c>
      <c r="P578" s="8">
        <f>VLOOKUP(F578,'LEAID Match'!$A$2:$B$436,2,FALSE)</f>
        <v>1803090</v>
      </c>
      <c r="Q578" s="6">
        <f t="shared" si="48"/>
        <v>9</v>
      </c>
    </row>
    <row r="579" spans="1:17" x14ac:dyDescent="0.2">
      <c r="A579" s="16">
        <f t="shared" ref="A579:A642" si="49">P579</f>
        <v>1803090</v>
      </c>
      <c r="B579">
        <v>2022</v>
      </c>
      <c r="C579" t="s">
        <v>904</v>
      </c>
      <c r="D579" t="s">
        <v>906</v>
      </c>
      <c r="E579" t="s">
        <v>1485</v>
      </c>
      <c r="F579" t="s">
        <v>481</v>
      </c>
      <c r="G579" t="s">
        <v>75</v>
      </c>
      <c r="H579" s="6">
        <v>223969</v>
      </c>
      <c r="I579" s="6">
        <v>1.0634464368929634E-3</v>
      </c>
      <c r="J579" s="6">
        <v>2344.8993933489842</v>
      </c>
      <c r="K579" s="6">
        <v>1468549</v>
      </c>
      <c r="M579" s="6">
        <f t="shared" ref="M579:M642" si="50">SUM(H579,J579)</f>
        <v>226313.89939334898</v>
      </c>
      <c r="N579" s="6">
        <f t="shared" ref="N579:N642" si="51">K579</f>
        <v>1468549</v>
      </c>
      <c r="O579" s="6">
        <f t="shared" ref="O579:O642" si="52">SUM(M579:N579)</f>
        <v>1694862.899393349</v>
      </c>
      <c r="P579" s="8">
        <f>VLOOKUP(F579,'LEAID Match'!$A$2:$B$436,2,FALSE)</f>
        <v>1803090</v>
      </c>
      <c r="Q579" s="6">
        <f t="shared" ref="Q579:Q642" si="53">COUNTIF($P$2:$P$3691,P579)</f>
        <v>9</v>
      </c>
    </row>
    <row r="580" spans="1:17" x14ac:dyDescent="0.2">
      <c r="A580" s="16">
        <f t="shared" si="49"/>
        <v>1803090</v>
      </c>
      <c r="B580">
        <v>2023</v>
      </c>
      <c r="C580" t="s">
        <v>904</v>
      </c>
      <c r="D580" t="s">
        <v>906</v>
      </c>
      <c r="E580" t="s">
        <v>1486</v>
      </c>
      <c r="F580" t="s">
        <v>481</v>
      </c>
      <c r="G580" t="s">
        <v>75</v>
      </c>
      <c r="H580" s="6">
        <v>266117</v>
      </c>
      <c r="I580" s="6">
        <v>1.0882723113428911E-3</v>
      </c>
      <c r="J580" s="6">
        <v>2684.7677920829124</v>
      </c>
      <c r="K580" s="6">
        <v>4143524</v>
      </c>
      <c r="M580" s="6">
        <f t="shared" si="50"/>
        <v>268801.76779208292</v>
      </c>
      <c r="N580" s="6">
        <f t="shared" si="51"/>
        <v>4143524</v>
      </c>
      <c r="O580" s="6">
        <f t="shared" si="52"/>
        <v>4412325.7677920833</v>
      </c>
      <c r="P580" s="8">
        <f>VLOOKUP(F580,'LEAID Match'!$A$2:$B$436,2,FALSE)</f>
        <v>1803090</v>
      </c>
      <c r="Q580" s="6">
        <f t="shared" si="53"/>
        <v>9</v>
      </c>
    </row>
    <row r="581" spans="1:17" x14ac:dyDescent="0.2">
      <c r="A581" s="16">
        <f t="shared" si="49"/>
        <v>1805910</v>
      </c>
      <c r="B581">
        <v>2015</v>
      </c>
      <c r="C581" t="s">
        <v>904</v>
      </c>
      <c r="D581" t="s">
        <v>906</v>
      </c>
      <c r="E581" t="s">
        <v>1487</v>
      </c>
      <c r="F581" t="s">
        <v>482</v>
      </c>
      <c r="G581" t="s">
        <v>76</v>
      </c>
      <c r="H581" s="6">
        <v>190293</v>
      </c>
      <c r="I581" s="6">
        <v>9.2533911424915643E-4</v>
      </c>
      <c r="J581" s="6">
        <v>5377.1455929018484</v>
      </c>
      <c r="K581" s="6">
        <v>782481.56043491396</v>
      </c>
      <c r="M581" s="6">
        <f t="shared" si="50"/>
        <v>195670.14559290186</v>
      </c>
      <c r="N581" s="6">
        <f t="shared" si="51"/>
        <v>782481.56043491396</v>
      </c>
      <c r="O581" s="6">
        <f t="shared" si="52"/>
        <v>978151.70602781582</v>
      </c>
      <c r="P581" s="8">
        <f>VLOOKUP(F581,'LEAID Match'!$A$2:$B$436,2,FALSE)</f>
        <v>1805910</v>
      </c>
      <c r="Q581" s="6">
        <f t="shared" si="53"/>
        <v>9</v>
      </c>
    </row>
    <row r="582" spans="1:17" x14ac:dyDescent="0.2">
      <c r="A582" s="16">
        <f t="shared" si="49"/>
        <v>1805910</v>
      </c>
      <c r="B582">
        <v>2016</v>
      </c>
      <c r="C582" t="s">
        <v>904</v>
      </c>
      <c r="D582" t="s">
        <v>906</v>
      </c>
      <c r="E582" t="s">
        <v>1488</v>
      </c>
      <c r="F582" t="s">
        <v>482</v>
      </c>
      <c r="G582" t="s">
        <v>76</v>
      </c>
      <c r="H582" s="6">
        <v>203719</v>
      </c>
      <c r="I582" s="6">
        <v>9.4528118000476236E-4</v>
      </c>
      <c r="J582" s="6">
        <v>4771.7793966640402</v>
      </c>
      <c r="K582" s="6">
        <v>838937.04725422605</v>
      </c>
      <c r="M582" s="6">
        <f t="shared" si="50"/>
        <v>208490.77939666403</v>
      </c>
      <c r="N582" s="6">
        <f t="shared" si="51"/>
        <v>838937.04725422605</v>
      </c>
      <c r="O582" s="6">
        <f t="shared" si="52"/>
        <v>1047427.8266508901</v>
      </c>
      <c r="P582" s="8">
        <f>VLOOKUP(F582,'LEAID Match'!$A$2:$B$436,2,FALSE)</f>
        <v>1805910</v>
      </c>
      <c r="Q582" s="6">
        <f t="shared" si="53"/>
        <v>9</v>
      </c>
    </row>
    <row r="583" spans="1:17" x14ac:dyDescent="0.2">
      <c r="A583" s="16">
        <f t="shared" si="49"/>
        <v>1805910</v>
      </c>
      <c r="B583">
        <v>2017</v>
      </c>
      <c r="C583" t="s">
        <v>904</v>
      </c>
      <c r="D583" t="s">
        <v>906</v>
      </c>
      <c r="E583" t="s">
        <v>1489</v>
      </c>
      <c r="F583" t="s">
        <v>482</v>
      </c>
      <c r="G583" t="s">
        <v>76</v>
      </c>
      <c r="H583" s="6">
        <v>232338</v>
      </c>
      <c r="I583" s="6">
        <v>1.0230836096143017E-3</v>
      </c>
      <c r="J583" s="6">
        <v>4629.4533335047154</v>
      </c>
      <c r="K583" s="6">
        <v>891105.82397405605</v>
      </c>
      <c r="M583" s="6">
        <f t="shared" si="50"/>
        <v>236967.4533335047</v>
      </c>
      <c r="N583" s="6">
        <f t="shared" si="51"/>
        <v>891105.82397405605</v>
      </c>
      <c r="O583" s="6">
        <f t="shared" si="52"/>
        <v>1128073.2773075607</v>
      </c>
      <c r="P583" s="8">
        <f>VLOOKUP(F583,'LEAID Match'!$A$2:$B$436,2,FALSE)</f>
        <v>1805910</v>
      </c>
      <c r="Q583" s="6">
        <f t="shared" si="53"/>
        <v>9</v>
      </c>
    </row>
    <row r="584" spans="1:17" x14ac:dyDescent="0.2">
      <c r="A584" s="16">
        <f t="shared" si="49"/>
        <v>1805910</v>
      </c>
      <c r="B584">
        <v>2018</v>
      </c>
      <c r="C584" t="s">
        <v>904</v>
      </c>
      <c r="D584" t="s">
        <v>906</v>
      </c>
      <c r="E584" t="s">
        <v>1490</v>
      </c>
      <c r="F584" t="s">
        <v>482</v>
      </c>
      <c r="G584" t="s">
        <v>76</v>
      </c>
      <c r="H584" s="6">
        <v>250424</v>
      </c>
      <c r="I584" s="6">
        <v>1.062391470078809E-3</v>
      </c>
      <c r="J584" s="6">
        <v>4428.0476472884757</v>
      </c>
      <c r="K584" s="6">
        <v>1207406</v>
      </c>
      <c r="M584" s="6">
        <f t="shared" si="50"/>
        <v>254852.04764728848</v>
      </c>
      <c r="N584" s="6">
        <f t="shared" si="51"/>
        <v>1207406</v>
      </c>
      <c r="O584" s="6">
        <f t="shared" si="52"/>
        <v>1462258.0476472885</v>
      </c>
      <c r="P584" s="8">
        <f>VLOOKUP(F584,'LEAID Match'!$A$2:$B$436,2,FALSE)</f>
        <v>1805910</v>
      </c>
      <c r="Q584" s="6">
        <f t="shared" si="53"/>
        <v>9</v>
      </c>
    </row>
    <row r="585" spans="1:17" x14ac:dyDescent="0.2">
      <c r="A585" s="16">
        <f t="shared" si="49"/>
        <v>1805910</v>
      </c>
      <c r="B585">
        <v>2019</v>
      </c>
      <c r="C585" t="s">
        <v>904</v>
      </c>
      <c r="D585" t="s">
        <v>906</v>
      </c>
      <c r="E585" t="s">
        <v>1491</v>
      </c>
      <c r="F585" t="s">
        <v>482</v>
      </c>
      <c r="G585" t="s">
        <v>76</v>
      </c>
      <c r="H585" s="6">
        <v>260485</v>
      </c>
      <c r="I585" s="6">
        <v>6.6267242727780992E-4</v>
      </c>
      <c r="J585" s="6">
        <v>2322.6668576087236</v>
      </c>
      <c r="K585" s="6">
        <v>625496.50410752394</v>
      </c>
      <c r="M585" s="6">
        <f t="shared" si="50"/>
        <v>262807.66685760871</v>
      </c>
      <c r="N585" s="6">
        <f t="shared" si="51"/>
        <v>625496.50410752394</v>
      </c>
      <c r="O585" s="6">
        <f t="shared" si="52"/>
        <v>888304.17096513265</v>
      </c>
      <c r="P585" s="8">
        <f>VLOOKUP(F585,'LEAID Match'!$A$2:$B$436,2,FALSE)</f>
        <v>1805910</v>
      </c>
      <c r="Q585" s="6">
        <f t="shared" si="53"/>
        <v>9</v>
      </c>
    </row>
    <row r="586" spans="1:17" x14ac:dyDescent="0.2">
      <c r="A586" s="16">
        <f t="shared" si="49"/>
        <v>1805910</v>
      </c>
      <c r="B586">
        <v>2020</v>
      </c>
      <c r="C586" t="s">
        <v>904</v>
      </c>
      <c r="D586" t="s">
        <v>906</v>
      </c>
      <c r="E586" t="s">
        <v>1492</v>
      </c>
      <c r="F586" t="s">
        <v>482</v>
      </c>
      <c r="G586" t="s">
        <v>76</v>
      </c>
      <c r="H586" s="6">
        <v>191680</v>
      </c>
      <c r="I586" s="6">
        <v>1.0156562930086169E-3</v>
      </c>
      <c r="J586" s="6">
        <v>2392.8862263283013</v>
      </c>
      <c r="K586" s="6">
        <v>1348028</v>
      </c>
      <c r="M586" s="6">
        <f t="shared" si="50"/>
        <v>194072.88622632829</v>
      </c>
      <c r="N586" s="6">
        <f t="shared" si="51"/>
        <v>1348028</v>
      </c>
      <c r="O586" s="6">
        <f t="shared" si="52"/>
        <v>1542100.8862263283</v>
      </c>
      <c r="P586" s="8">
        <f>VLOOKUP(F586,'LEAID Match'!$A$2:$B$436,2,FALSE)</f>
        <v>1805910</v>
      </c>
      <c r="Q586" s="6">
        <f t="shared" si="53"/>
        <v>9</v>
      </c>
    </row>
    <row r="587" spans="1:17" x14ac:dyDescent="0.2">
      <c r="A587" s="16">
        <f t="shared" si="49"/>
        <v>1805910</v>
      </c>
      <c r="B587">
        <v>2021</v>
      </c>
      <c r="C587" t="s">
        <v>904</v>
      </c>
      <c r="D587" t="s">
        <v>906</v>
      </c>
      <c r="E587" t="s">
        <v>1493</v>
      </c>
      <c r="F587" t="s">
        <v>482</v>
      </c>
      <c r="G587" t="s">
        <v>76</v>
      </c>
      <c r="H587" s="6">
        <v>211701</v>
      </c>
      <c r="I587" s="6">
        <v>1.0458226279665512E-3</v>
      </c>
      <c r="J587" s="6">
        <v>2357.2842034366063</v>
      </c>
      <c r="K587" s="6">
        <v>2291430</v>
      </c>
      <c r="M587" s="6">
        <f t="shared" si="50"/>
        <v>214058.2842034366</v>
      </c>
      <c r="N587" s="6">
        <f t="shared" si="51"/>
        <v>2291430</v>
      </c>
      <c r="O587" s="6">
        <f t="shared" si="52"/>
        <v>2505488.2842034367</v>
      </c>
      <c r="P587" s="8">
        <f>VLOOKUP(F587,'LEAID Match'!$A$2:$B$436,2,FALSE)</f>
        <v>1805910</v>
      </c>
      <c r="Q587" s="6">
        <f t="shared" si="53"/>
        <v>9</v>
      </c>
    </row>
    <row r="588" spans="1:17" x14ac:dyDescent="0.2">
      <c r="A588" s="16">
        <f t="shared" si="49"/>
        <v>1805910</v>
      </c>
      <c r="B588">
        <v>2022</v>
      </c>
      <c r="C588" t="s">
        <v>904</v>
      </c>
      <c r="D588" t="s">
        <v>906</v>
      </c>
      <c r="E588" t="s">
        <v>1494</v>
      </c>
      <c r="F588" t="s">
        <v>482</v>
      </c>
      <c r="G588" t="s">
        <v>76</v>
      </c>
      <c r="H588" s="6">
        <v>213052</v>
      </c>
      <c r="I588" s="6">
        <v>1.0116104919561174E-3</v>
      </c>
      <c r="J588" s="6">
        <v>2230.6011347632389</v>
      </c>
      <c r="K588" s="6">
        <v>2273212</v>
      </c>
      <c r="M588" s="6">
        <f t="shared" si="50"/>
        <v>215282.60113476324</v>
      </c>
      <c r="N588" s="6">
        <f t="shared" si="51"/>
        <v>2273212</v>
      </c>
      <c r="O588" s="6">
        <f t="shared" si="52"/>
        <v>2488494.6011347631</v>
      </c>
      <c r="P588" s="8">
        <f>VLOOKUP(F588,'LEAID Match'!$A$2:$B$436,2,FALSE)</f>
        <v>1805910</v>
      </c>
      <c r="Q588" s="6">
        <f t="shared" si="53"/>
        <v>9</v>
      </c>
    </row>
    <row r="589" spans="1:17" x14ac:dyDescent="0.2">
      <c r="A589" s="16">
        <f t="shared" si="49"/>
        <v>1805910</v>
      </c>
      <c r="B589">
        <v>2023</v>
      </c>
      <c r="C589" t="s">
        <v>904</v>
      </c>
      <c r="D589" t="s">
        <v>906</v>
      </c>
      <c r="E589" t="s">
        <v>1495</v>
      </c>
      <c r="F589" t="s">
        <v>482</v>
      </c>
      <c r="G589" t="s">
        <v>76</v>
      </c>
      <c r="H589" s="6">
        <v>256795</v>
      </c>
      <c r="I589" s="6">
        <v>1.050150453339312E-3</v>
      </c>
      <c r="J589" s="6">
        <v>2590.7211683880828</v>
      </c>
      <c r="K589" s="6">
        <v>6493526</v>
      </c>
      <c r="M589" s="6">
        <f t="shared" si="50"/>
        <v>259385.72116838809</v>
      </c>
      <c r="N589" s="6">
        <f t="shared" si="51"/>
        <v>6493526</v>
      </c>
      <c r="O589" s="6">
        <f t="shared" si="52"/>
        <v>6752911.7211683877</v>
      </c>
      <c r="P589" s="8">
        <f>VLOOKUP(F589,'LEAID Match'!$A$2:$B$436,2,FALSE)</f>
        <v>1805910</v>
      </c>
      <c r="Q589" s="6">
        <f t="shared" si="53"/>
        <v>9</v>
      </c>
    </row>
    <row r="590" spans="1:17" x14ac:dyDescent="0.2">
      <c r="A590" s="16">
        <f t="shared" si="49"/>
        <v>1800600</v>
      </c>
      <c r="B590">
        <v>2015</v>
      </c>
      <c r="C590" t="s">
        <v>904</v>
      </c>
      <c r="D590" t="s">
        <v>906</v>
      </c>
      <c r="E590" t="s">
        <v>1496</v>
      </c>
      <c r="F590" t="s">
        <v>483</v>
      </c>
      <c r="G590" t="s">
        <v>77</v>
      </c>
      <c r="H590" s="6">
        <v>161424</v>
      </c>
      <c r="I590" s="6">
        <v>7.8495762418247564E-4</v>
      </c>
      <c r="J590" s="6">
        <v>4561.3887541243657</v>
      </c>
      <c r="K590" s="6">
        <v>663772.72633068799</v>
      </c>
      <c r="M590" s="6">
        <f t="shared" si="50"/>
        <v>165985.38875412437</v>
      </c>
      <c r="N590" s="6">
        <f t="shared" si="51"/>
        <v>663772.72633068799</v>
      </c>
      <c r="O590" s="6">
        <f t="shared" si="52"/>
        <v>829758.11508481239</v>
      </c>
      <c r="P590" s="8">
        <f>VLOOKUP(F590,'LEAID Match'!$A$2:$B$436,2,FALSE)</f>
        <v>1800600</v>
      </c>
      <c r="Q590" s="6">
        <f t="shared" si="53"/>
        <v>9</v>
      </c>
    </row>
    <row r="591" spans="1:17" x14ac:dyDescent="0.2">
      <c r="A591" s="16">
        <f t="shared" si="49"/>
        <v>1800600</v>
      </c>
      <c r="B591">
        <v>2016</v>
      </c>
      <c r="C591" t="s">
        <v>904</v>
      </c>
      <c r="D591" t="s">
        <v>906</v>
      </c>
      <c r="E591" t="s">
        <v>1497</v>
      </c>
      <c r="F591" t="s">
        <v>483</v>
      </c>
      <c r="G591" t="s">
        <v>77</v>
      </c>
      <c r="H591" s="6">
        <v>159453</v>
      </c>
      <c r="I591" s="6">
        <v>7.3988150342039463E-4</v>
      </c>
      <c r="J591" s="6">
        <v>3734.9218292661521</v>
      </c>
      <c r="K591" s="6">
        <v>656644.83428559999</v>
      </c>
      <c r="M591" s="6">
        <f t="shared" si="50"/>
        <v>163187.92182926615</v>
      </c>
      <c r="N591" s="6">
        <f t="shared" si="51"/>
        <v>656644.83428559999</v>
      </c>
      <c r="O591" s="6">
        <f t="shared" si="52"/>
        <v>819832.75611486612</v>
      </c>
      <c r="P591" s="8">
        <f>VLOOKUP(F591,'LEAID Match'!$A$2:$B$436,2,FALSE)</f>
        <v>1800600</v>
      </c>
      <c r="Q591" s="6">
        <f t="shared" si="53"/>
        <v>9</v>
      </c>
    </row>
    <row r="592" spans="1:17" x14ac:dyDescent="0.2">
      <c r="A592" s="16">
        <f t="shared" si="49"/>
        <v>1800600</v>
      </c>
      <c r="B592">
        <v>2017</v>
      </c>
      <c r="C592" t="s">
        <v>904</v>
      </c>
      <c r="D592" t="s">
        <v>906</v>
      </c>
      <c r="E592" t="s">
        <v>1498</v>
      </c>
      <c r="F592" t="s">
        <v>483</v>
      </c>
      <c r="G592" t="s">
        <v>77</v>
      </c>
      <c r="H592" s="6">
        <v>159847</v>
      </c>
      <c r="I592" s="6">
        <v>7.0387472452210686E-4</v>
      </c>
      <c r="J592" s="6">
        <v>3185.0331284625336</v>
      </c>
      <c r="K592" s="6">
        <v>613074.88505875506</v>
      </c>
      <c r="M592" s="6">
        <f t="shared" si="50"/>
        <v>163032.03312846253</v>
      </c>
      <c r="N592" s="6">
        <f t="shared" si="51"/>
        <v>613074.88505875506</v>
      </c>
      <c r="O592" s="6">
        <f t="shared" si="52"/>
        <v>776106.91818721755</v>
      </c>
      <c r="P592" s="8">
        <f>VLOOKUP(F592,'LEAID Match'!$A$2:$B$436,2,FALSE)</f>
        <v>1800600</v>
      </c>
      <c r="Q592" s="6">
        <f t="shared" si="53"/>
        <v>9</v>
      </c>
    </row>
    <row r="593" spans="1:17" x14ac:dyDescent="0.2">
      <c r="A593" s="16">
        <f t="shared" si="49"/>
        <v>1800600</v>
      </c>
      <c r="B593">
        <v>2018</v>
      </c>
      <c r="C593" t="s">
        <v>904</v>
      </c>
      <c r="D593" t="s">
        <v>906</v>
      </c>
      <c r="E593" t="s">
        <v>1499</v>
      </c>
      <c r="F593" t="s">
        <v>483</v>
      </c>
      <c r="G593" t="s">
        <v>77</v>
      </c>
      <c r="H593" s="6">
        <v>173115</v>
      </c>
      <c r="I593" s="6">
        <v>7.344180244013873E-4</v>
      </c>
      <c r="J593" s="6">
        <v>3061.0543257049821</v>
      </c>
      <c r="K593" s="6">
        <v>885590</v>
      </c>
      <c r="M593" s="6">
        <f t="shared" si="50"/>
        <v>176176.05432570499</v>
      </c>
      <c r="N593" s="6">
        <f t="shared" si="51"/>
        <v>885590</v>
      </c>
      <c r="O593" s="6">
        <f t="shared" si="52"/>
        <v>1061766.0543257049</v>
      </c>
      <c r="P593" s="8">
        <f>VLOOKUP(F593,'LEAID Match'!$A$2:$B$436,2,FALSE)</f>
        <v>1800600</v>
      </c>
      <c r="Q593" s="6">
        <f t="shared" si="53"/>
        <v>9</v>
      </c>
    </row>
    <row r="594" spans="1:17" x14ac:dyDescent="0.2">
      <c r="A594" s="16">
        <f t="shared" si="49"/>
        <v>1800600</v>
      </c>
      <c r="B594">
        <v>2019</v>
      </c>
      <c r="C594" t="s">
        <v>904</v>
      </c>
      <c r="D594" t="s">
        <v>906</v>
      </c>
      <c r="E594" t="s">
        <v>1500</v>
      </c>
      <c r="F594" t="s">
        <v>483</v>
      </c>
      <c r="G594" t="s">
        <v>77</v>
      </c>
      <c r="H594" s="6">
        <v>189436</v>
      </c>
      <c r="I594" s="6">
        <v>4.8192415660709519E-4</v>
      </c>
      <c r="J594" s="6">
        <v>1689.1441689078686</v>
      </c>
      <c r="K594" s="6">
        <v>454888.21142143698</v>
      </c>
      <c r="M594" s="6">
        <f t="shared" si="50"/>
        <v>191125.14416890786</v>
      </c>
      <c r="N594" s="6">
        <f t="shared" si="51"/>
        <v>454888.21142143698</v>
      </c>
      <c r="O594" s="6">
        <f t="shared" si="52"/>
        <v>646013.35559034487</v>
      </c>
      <c r="P594" s="8">
        <f>VLOOKUP(F594,'LEAID Match'!$A$2:$B$436,2,FALSE)</f>
        <v>1800600</v>
      </c>
      <c r="Q594" s="6">
        <f t="shared" si="53"/>
        <v>9</v>
      </c>
    </row>
    <row r="595" spans="1:17" x14ac:dyDescent="0.2">
      <c r="A595" s="16">
        <f t="shared" si="49"/>
        <v>1800600</v>
      </c>
      <c r="B595">
        <v>2020</v>
      </c>
      <c r="C595" t="s">
        <v>904</v>
      </c>
      <c r="D595" t="s">
        <v>906</v>
      </c>
      <c r="E595" t="s">
        <v>1501</v>
      </c>
      <c r="F595" t="s">
        <v>483</v>
      </c>
      <c r="G595" t="s">
        <v>77</v>
      </c>
      <c r="H595" s="6">
        <v>142666</v>
      </c>
      <c r="I595" s="6">
        <v>7.5594543352654078E-4</v>
      </c>
      <c r="J595" s="6">
        <v>1781.0074413885302</v>
      </c>
      <c r="K595" s="6">
        <v>918011</v>
      </c>
      <c r="M595" s="6">
        <f t="shared" si="50"/>
        <v>144447.00744138853</v>
      </c>
      <c r="N595" s="6">
        <f t="shared" si="51"/>
        <v>918011</v>
      </c>
      <c r="O595" s="6">
        <f t="shared" si="52"/>
        <v>1062458.0074413884</v>
      </c>
      <c r="P595" s="8">
        <f>VLOOKUP(F595,'LEAID Match'!$A$2:$B$436,2,FALSE)</f>
        <v>1800600</v>
      </c>
      <c r="Q595" s="6">
        <f t="shared" si="53"/>
        <v>9</v>
      </c>
    </row>
    <row r="596" spans="1:17" x14ac:dyDescent="0.2">
      <c r="A596" s="16">
        <f t="shared" si="49"/>
        <v>1800600</v>
      </c>
      <c r="B596">
        <v>2021</v>
      </c>
      <c r="C596" t="s">
        <v>904</v>
      </c>
      <c r="D596" t="s">
        <v>906</v>
      </c>
      <c r="E596" t="s">
        <v>1502</v>
      </c>
      <c r="F596" t="s">
        <v>483</v>
      </c>
      <c r="G596" t="s">
        <v>77</v>
      </c>
      <c r="H596" s="6">
        <v>152876</v>
      </c>
      <c r="I596" s="6">
        <v>7.5522165730447413E-4</v>
      </c>
      <c r="J596" s="6">
        <v>1702.2696155642848</v>
      </c>
      <c r="K596" s="6">
        <v>1483612</v>
      </c>
      <c r="M596" s="6">
        <f t="shared" si="50"/>
        <v>154578.26961556429</v>
      </c>
      <c r="N596" s="6">
        <f t="shared" si="51"/>
        <v>1483612</v>
      </c>
      <c r="O596" s="6">
        <f t="shared" si="52"/>
        <v>1638190.2696155643</v>
      </c>
      <c r="P596" s="8">
        <f>VLOOKUP(F596,'LEAID Match'!$A$2:$B$436,2,FALSE)</f>
        <v>1800600</v>
      </c>
      <c r="Q596" s="6">
        <f t="shared" si="53"/>
        <v>9</v>
      </c>
    </row>
    <row r="597" spans="1:17" x14ac:dyDescent="0.2">
      <c r="A597" s="16">
        <f t="shared" si="49"/>
        <v>1800600</v>
      </c>
      <c r="B597">
        <v>2022</v>
      </c>
      <c r="C597" t="s">
        <v>904</v>
      </c>
      <c r="D597" t="s">
        <v>906</v>
      </c>
      <c r="E597" t="s">
        <v>1503</v>
      </c>
      <c r="F597" t="s">
        <v>483</v>
      </c>
      <c r="G597" t="s">
        <v>77</v>
      </c>
      <c r="H597" s="6">
        <v>154977</v>
      </c>
      <c r="I597" s="6">
        <v>7.3585959865142406E-4</v>
      </c>
      <c r="J597" s="6">
        <v>1622.57041502639</v>
      </c>
      <c r="K597" s="6">
        <v>1418936</v>
      </c>
      <c r="M597" s="6">
        <f t="shared" si="50"/>
        <v>156599.57041502639</v>
      </c>
      <c r="N597" s="6">
        <f t="shared" si="51"/>
        <v>1418936</v>
      </c>
      <c r="O597" s="6">
        <f t="shared" si="52"/>
        <v>1575535.5704150265</v>
      </c>
      <c r="P597" s="8">
        <f>VLOOKUP(F597,'LEAID Match'!$A$2:$B$436,2,FALSE)</f>
        <v>1800600</v>
      </c>
      <c r="Q597" s="6">
        <f t="shared" si="53"/>
        <v>9</v>
      </c>
    </row>
    <row r="598" spans="1:17" x14ac:dyDescent="0.2">
      <c r="A598" s="16">
        <f t="shared" si="49"/>
        <v>1800600</v>
      </c>
      <c r="B598">
        <v>2023</v>
      </c>
      <c r="C598" t="s">
        <v>904</v>
      </c>
      <c r="D598" t="s">
        <v>906</v>
      </c>
      <c r="E598" t="s">
        <v>1504</v>
      </c>
      <c r="F598" t="s">
        <v>483</v>
      </c>
      <c r="G598" t="s">
        <v>77</v>
      </c>
      <c r="H598" s="6">
        <v>178707</v>
      </c>
      <c r="I598" s="6">
        <v>7.3081343898794145E-4</v>
      </c>
      <c r="J598" s="6">
        <v>1802.9167539832515</v>
      </c>
      <c r="K598" s="6">
        <v>3436703</v>
      </c>
      <c r="M598" s="6">
        <f t="shared" si="50"/>
        <v>180509.91675398324</v>
      </c>
      <c r="N598" s="6">
        <f t="shared" si="51"/>
        <v>3436703</v>
      </c>
      <c r="O598" s="6">
        <f t="shared" si="52"/>
        <v>3617212.9167539831</v>
      </c>
      <c r="P598" s="8">
        <f>VLOOKUP(F598,'LEAID Match'!$A$2:$B$436,2,FALSE)</f>
        <v>1800600</v>
      </c>
      <c r="Q598" s="6">
        <f t="shared" si="53"/>
        <v>9</v>
      </c>
    </row>
    <row r="599" spans="1:17" x14ac:dyDescent="0.2">
      <c r="A599" s="16">
        <f t="shared" si="49"/>
        <v>1800008</v>
      </c>
      <c r="B599">
        <v>2015</v>
      </c>
      <c r="C599" t="s">
        <v>904</v>
      </c>
      <c r="D599" t="s">
        <v>906</v>
      </c>
      <c r="E599" t="s">
        <v>1505</v>
      </c>
      <c r="F599" t="s">
        <v>484</v>
      </c>
      <c r="G599" t="s">
        <v>78</v>
      </c>
      <c r="H599" s="6">
        <v>126639</v>
      </c>
      <c r="I599" s="6">
        <v>6.1580835915876525E-4</v>
      </c>
      <c r="J599" s="6">
        <v>3578.462375071585</v>
      </c>
      <c r="K599" s="6">
        <v>520737.401438398</v>
      </c>
      <c r="M599" s="6">
        <f t="shared" si="50"/>
        <v>130217.46237507158</v>
      </c>
      <c r="N599" s="6">
        <f t="shared" si="51"/>
        <v>520737.401438398</v>
      </c>
      <c r="O599" s="6">
        <f t="shared" si="52"/>
        <v>650954.86381346954</v>
      </c>
      <c r="P599" s="8">
        <f>VLOOKUP(F599,'LEAID Match'!$A$2:$B$436,2,FALSE)</f>
        <v>1800008</v>
      </c>
      <c r="Q599" s="6">
        <f t="shared" si="53"/>
        <v>9</v>
      </c>
    </row>
    <row r="600" spans="1:17" x14ac:dyDescent="0.2">
      <c r="A600" s="16">
        <f t="shared" si="49"/>
        <v>1800008</v>
      </c>
      <c r="B600">
        <v>2016</v>
      </c>
      <c r="C600" t="s">
        <v>904</v>
      </c>
      <c r="D600" t="s">
        <v>906</v>
      </c>
      <c r="E600" t="s">
        <v>1506</v>
      </c>
      <c r="F600" t="s">
        <v>484</v>
      </c>
      <c r="G600" t="s">
        <v>78</v>
      </c>
      <c r="H600" s="6">
        <v>138134</v>
      </c>
      <c r="I600" s="6">
        <v>6.4095872510064279E-4</v>
      </c>
      <c r="J600" s="6">
        <v>3235.5596443080449</v>
      </c>
      <c r="K600" s="6">
        <v>568850.86852681998</v>
      </c>
      <c r="M600" s="6">
        <f t="shared" si="50"/>
        <v>141369.55964430806</v>
      </c>
      <c r="N600" s="6">
        <f t="shared" si="51"/>
        <v>568850.86852681998</v>
      </c>
      <c r="O600" s="6">
        <f t="shared" si="52"/>
        <v>710220.42817112803</v>
      </c>
      <c r="P600" s="8">
        <f>VLOOKUP(F600,'LEAID Match'!$A$2:$B$436,2,FALSE)</f>
        <v>1800008</v>
      </c>
      <c r="Q600" s="6">
        <f t="shared" si="53"/>
        <v>9</v>
      </c>
    </row>
    <row r="601" spans="1:17" x14ac:dyDescent="0.2">
      <c r="A601" s="16">
        <f t="shared" si="49"/>
        <v>1800008</v>
      </c>
      <c r="B601">
        <v>2017</v>
      </c>
      <c r="C601" t="s">
        <v>904</v>
      </c>
      <c r="D601" t="s">
        <v>906</v>
      </c>
      <c r="E601" t="s">
        <v>1507</v>
      </c>
      <c r="F601" t="s">
        <v>484</v>
      </c>
      <c r="G601" t="s">
        <v>78</v>
      </c>
      <c r="H601" s="6">
        <v>156086</v>
      </c>
      <c r="I601" s="6">
        <v>6.8731343254335438E-4</v>
      </c>
      <c r="J601" s="6">
        <v>3110.0932822586788</v>
      </c>
      <c r="K601" s="6">
        <v>598649.99974526104</v>
      </c>
      <c r="M601" s="6">
        <f t="shared" si="50"/>
        <v>159196.09328225869</v>
      </c>
      <c r="N601" s="6">
        <f t="shared" si="51"/>
        <v>598649.99974526104</v>
      </c>
      <c r="O601" s="6">
        <f t="shared" si="52"/>
        <v>757846.09302751976</v>
      </c>
      <c r="P601" s="8">
        <f>VLOOKUP(F601,'LEAID Match'!$A$2:$B$436,2,FALSE)</f>
        <v>1800008</v>
      </c>
      <c r="Q601" s="6">
        <f t="shared" si="53"/>
        <v>9</v>
      </c>
    </row>
    <row r="602" spans="1:17" x14ac:dyDescent="0.2">
      <c r="A602" s="16">
        <f t="shared" si="49"/>
        <v>1800008</v>
      </c>
      <c r="B602">
        <v>2018</v>
      </c>
      <c r="C602" t="s">
        <v>904</v>
      </c>
      <c r="D602" t="s">
        <v>906</v>
      </c>
      <c r="E602" t="s">
        <v>1508</v>
      </c>
      <c r="F602" t="s">
        <v>484</v>
      </c>
      <c r="G602" t="s">
        <v>78</v>
      </c>
      <c r="H602" s="6">
        <v>175257</v>
      </c>
      <c r="I602" s="6">
        <v>7.4350518269655395E-4</v>
      </c>
      <c r="J602" s="6">
        <v>3098.9296014792367</v>
      </c>
      <c r="K602" s="6">
        <v>1108181</v>
      </c>
      <c r="M602" s="6">
        <f t="shared" si="50"/>
        <v>178355.92960147923</v>
      </c>
      <c r="N602" s="6">
        <f t="shared" si="51"/>
        <v>1108181</v>
      </c>
      <c r="O602" s="6">
        <f t="shared" si="52"/>
        <v>1286536.9296014793</v>
      </c>
      <c r="P602" s="8">
        <f>VLOOKUP(F602,'LEAID Match'!$A$2:$B$436,2,FALSE)</f>
        <v>1800008</v>
      </c>
      <c r="Q602" s="6">
        <f t="shared" si="53"/>
        <v>9</v>
      </c>
    </row>
    <row r="603" spans="1:17" x14ac:dyDescent="0.2">
      <c r="A603" s="16">
        <f t="shared" si="49"/>
        <v>1800008</v>
      </c>
      <c r="B603">
        <v>2019</v>
      </c>
      <c r="C603" t="s">
        <v>904</v>
      </c>
      <c r="D603" t="s">
        <v>906</v>
      </c>
      <c r="E603" t="s">
        <v>1509</v>
      </c>
      <c r="F603" t="s">
        <v>484</v>
      </c>
      <c r="G603" t="s">
        <v>78</v>
      </c>
      <c r="H603" s="6">
        <v>177330</v>
      </c>
      <c r="I603" s="6">
        <v>4.5112655826314002E-4</v>
      </c>
      <c r="J603" s="6">
        <v>1581.1985867123058</v>
      </c>
      <c r="K603" s="6">
        <v>425818.35834457702</v>
      </c>
      <c r="M603" s="6">
        <f t="shared" si="50"/>
        <v>178911.1985867123</v>
      </c>
      <c r="N603" s="6">
        <f t="shared" si="51"/>
        <v>425818.35834457702</v>
      </c>
      <c r="O603" s="6">
        <f t="shared" si="52"/>
        <v>604729.55693128938</v>
      </c>
      <c r="P603" s="8">
        <f>VLOOKUP(F603,'LEAID Match'!$A$2:$B$436,2,FALSE)</f>
        <v>1800008</v>
      </c>
      <c r="Q603" s="6">
        <f t="shared" si="53"/>
        <v>9</v>
      </c>
    </row>
    <row r="604" spans="1:17" x14ac:dyDescent="0.2">
      <c r="A604" s="16">
        <f t="shared" si="49"/>
        <v>1800008</v>
      </c>
      <c r="B604">
        <v>2020</v>
      </c>
      <c r="C604" t="s">
        <v>904</v>
      </c>
      <c r="D604" t="s">
        <v>906</v>
      </c>
      <c r="E604" t="s">
        <v>1510</v>
      </c>
      <c r="F604" t="s">
        <v>484</v>
      </c>
      <c r="G604" t="s">
        <v>78</v>
      </c>
      <c r="H604" s="6">
        <v>130848</v>
      </c>
      <c r="I604" s="6">
        <v>6.9332530586180881E-4</v>
      </c>
      <c r="J604" s="6">
        <v>1633.4744206104215</v>
      </c>
      <c r="K604" s="6">
        <v>1192453</v>
      </c>
      <c r="M604" s="6">
        <f t="shared" si="50"/>
        <v>132481.47442061041</v>
      </c>
      <c r="N604" s="6">
        <f t="shared" si="51"/>
        <v>1192453</v>
      </c>
      <c r="O604" s="6">
        <f t="shared" si="52"/>
        <v>1324934.4744206103</v>
      </c>
      <c r="P604" s="8">
        <f>VLOOKUP(F604,'LEAID Match'!$A$2:$B$436,2,FALSE)</f>
        <v>1800008</v>
      </c>
      <c r="Q604" s="6">
        <f t="shared" si="53"/>
        <v>9</v>
      </c>
    </row>
    <row r="605" spans="1:17" x14ac:dyDescent="0.2">
      <c r="A605" s="16">
        <f t="shared" si="49"/>
        <v>1800008</v>
      </c>
      <c r="B605">
        <v>2021</v>
      </c>
      <c r="C605" t="s">
        <v>904</v>
      </c>
      <c r="D605" t="s">
        <v>906</v>
      </c>
      <c r="E605" t="s">
        <v>1511</v>
      </c>
      <c r="F605" t="s">
        <v>484</v>
      </c>
      <c r="G605" t="s">
        <v>78</v>
      </c>
      <c r="H605" s="6">
        <v>130776</v>
      </c>
      <c r="I605" s="6">
        <v>6.4604560202811371E-4</v>
      </c>
      <c r="J605" s="6">
        <v>1456.1867869713683</v>
      </c>
      <c r="K605" s="6">
        <v>1929558</v>
      </c>
      <c r="M605" s="6">
        <f t="shared" si="50"/>
        <v>132232.18678697138</v>
      </c>
      <c r="N605" s="6">
        <f t="shared" si="51"/>
        <v>1929558</v>
      </c>
      <c r="O605" s="6">
        <f t="shared" si="52"/>
        <v>2061790.1867869713</v>
      </c>
      <c r="P605" s="8">
        <f>VLOOKUP(F605,'LEAID Match'!$A$2:$B$436,2,FALSE)</f>
        <v>1800008</v>
      </c>
      <c r="Q605" s="6">
        <f t="shared" si="53"/>
        <v>9</v>
      </c>
    </row>
    <row r="606" spans="1:17" x14ac:dyDescent="0.2">
      <c r="A606" s="16">
        <f t="shared" si="49"/>
        <v>1800008</v>
      </c>
      <c r="B606">
        <v>2022</v>
      </c>
      <c r="C606" t="s">
        <v>904</v>
      </c>
      <c r="D606" t="s">
        <v>906</v>
      </c>
      <c r="E606" t="s">
        <v>1512</v>
      </c>
      <c r="F606" t="s">
        <v>484</v>
      </c>
      <c r="G606" t="s">
        <v>78</v>
      </c>
      <c r="H606" s="6">
        <v>148813</v>
      </c>
      <c r="I606" s="6">
        <v>7.0659178106502495E-4</v>
      </c>
      <c r="J606" s="6">
        <v>1558.0348772483801</v>
      </c>
      <c r="K606" s="6">
        <v>1835841</v>
      </c>
      <c r="M606" s="6">
        <f t="shared" si="50"/>
        <v>150371.03487724837</v>
      </c>
      <c r="N606" s="6">
        <f t="shared" si="51"/>
        <v>1835841</v>
      </c>
      <c r="O606" s="6">
        <f t="shared" si="52"/>
        <v>1986212.0348772483</v>
      </c>
      <c r="P606" s="8">
        <f>VLOOKUP(F606,'LEAID Match'!$A$2:$B$436,2,FALSE)</f>
        <v>1800008</v>
      </c>
      <c r="Q606" s="6">
        <f t="shared" si="53"/>
        <v>9</v>
      </c>
    </row>
    <row r="607" spans="1:17" x14ac:dyDescent="0.2">
      <c r="A607" s="16">
        <f t="shared" si="49"/>
        <v>1800008</v>
      </c>
      <c r="B607">
        <v>2023</v>
      </c>
      <c r="C607" t="s">
        <v>904</v>
      </c>
      <c r="D607" t="s">
        <v>906</v>
      </c>
      <c r="E607" t="s">
        <v>1513</v>
      </c>
      <c r="F607" t="s">
        <v>484</v>
      </c>
      <c r="G607" t="s">
        <v>78</v>
      </c>
      <c r="H607" s="6">
        <v>178278</v>
      </c>
      <c r="I607" s="6">
        <v>7.2905906470307395E-4</v>
      </c>
      <c r="J607" s="6">
        <v>1798.5887126224834</v>
      </c>
      <c r="K607" s="6">
        <v>4283279</v>
      </c>
      <c r="M607" s="6">
        <f t="shared" si="50"/>
        <v>180076.58871262247</v>
      </c>
      <c r="N607" s="6">
        <f t="shared" si="51"/>
        <v>4283279</v>
      </c>
      <c r="O607" s="6">
        <f t="shared" si="52"/>
        <v>4463355.5887126224</v>
      </c>
      <c r="P607" s="8">
        <f>VLOOKUP(F607,'LEAID Match'!$A$2:$B$436,2,FALSE)</f>
        <v>1800008</v>
      </c>
      <c r="Q607" s="6">
        <f t="shared" si="53"/>
        <v>9</v>
      </c>
    </row>
    <row r="608" spans="1:17" x14ac:dyDescent="0.2">
      <c r="A608" s="16">
        <f t="shared" si="49"/>
        <v>1810110</v>
      </c>
      <c r="B608">
        <v>2015</v>
      </c>
      <c r="C608" t="s">
        <v>904</v>
      </c>
      <c r="D608" t="s">
        <v>906</v>
      </c>
      <c r="E608" t="s">
        <v>1514</v>
      </c>
      <c r="F608" t="s">
        <v>485</v>
      </c>
      <c r="G608" t="s">
        <v>79</v>
      </c>
      <c r="H608" s="6">
        <v>138587</v>
      </c>
      <c r="I608" s="6">
        <v>6.7390798309158954E-4</v>
      </c>
      <c r="J608" s="6">
        <v>3916.079289745227</v>
      </c>
      <c r="K608" s="6">
        <v>569867.37302997697</v>
      </c>
      <c r="M608" s="6">
        <f t="shared" si="50"/>
        <v>142503.07928974522</v>
      </c>
      <c r="N608" s="6">
        <f t="shared" si="51"/>
        <v>569867.37302997697</v>
      </c>
      <c r="O608" s="6">
        <f t="shared" si="52"/>
        <v>712370.45231972216</v>
      </c>
      <c r="P608" s="8">
        <f>VLOOKUP(F608,'LEAID Match'!$A$2:$B$436,2,FALSE)</f>
        <v>1810110</v>
      </c>
      <c r="Q608" s="6">
        <f t="shared" si="53"/>
        <v>9</v>
      </c>
    </row>
    <row r="609" spans="1:17" x14ac:dyDescent="0.2">
      <c r="A609" s="16">
        <f t="shared" si="49"/>
        <v>1810110</v>
      </c>
      <c r="B609">
        <v>2016</v>
      </c>
      <c r="C609" t="s">
        <v>904</v>
      </c>
      <c r="D609" t="s">
        <v>906</v>
      </c>
      <c r="E609" t="s">
        <v>1515</v>
      </c>
      <c r="F609" t="s">
        <v>485</v>
      </c>
      <c r="G609" t="s">
        <v>79</v>
      </c>
      <c r="H609" s="6">
        <v>136942</v>
      </c>
      <c r="I609" s="6">
        <v>6.3542769870366615E-4</v>
      </c>
      <c r="J609" s="6">
        <v>3207.6390230561069</v>
      </c>
      <c r="K609" s="6">
        <v>563942.08259950299</v>
      </c>
      <c r="M609" s="6">
        <f t="shared" si="50"/>
        <v>140149.63902305611</v>
      </c>
      <c r="N609" s="6">
        <f t="shared" si="51"/>
        <v>563942.08259950299</v>
      </c>
      <c r="O609" s="6">
        <f t="shared" si="52"/>
        <v>704091.72162255913</v>
      </c>
      <c r="P609" s="8">
        <f>VLOOKUP(F609,'LEAID Match'!$A$2:$B$436,2,FALSE)</f>
        <v>1810110</v>
      </c>
      <c r="Q609" s="6">
        <f t="shared" si="53"/>
        <v>9</v>
      </c>
    </row>
    <row r="610" spans="1:17" x14ac:dyDescent="0.2">
      <c r="A610" s="16">
        <f t="shared" si="49"/>
        <v>1810110</v>
      </c>
      <c r="B610">
        <v>2017</v>
      </c>
      <c r="C610" t="s">
        <v>904</v>
      </c>
      <c r="D610" t="s">
        <v>906</v>
      </c>
      <c r="E610" t="s">
        <v>1516</v>
      </c>
      <c r="F610" t="s">
        <v>485</v>
      </c>
      <c r="G610" t="s">
        <v>79</v>
      </c>
      <c r="H610" s="6">
        <v>140045</v>
      </c>
      <c r="I610" s="6">
        <v>6.1667804710566015E-4</v>
      </c>
      <c r="J610" s="6">
        <v>2790.4681631531121</v>
      </c>
      <c r="K610" s="6">
        <v>537126.579029029</v>
      </c>
      <c r="M610" s="6">
        <f t="shared" si="50"/>
        <v>142835.4681631531</v>
      </c>
      <c r="N610" s="6">
        <f t="shared" si="51"/>
        <v>537126.579029029</v>
      </c>
      <c r="O610" s="6">
        <f t="shared" si="52"/>
        <v>679962.04719218216</v>
      </c>
      <c r="P610" s="8">
        <f>VLOOKUP(F610,'LEAID Match'!$A$2:$B$436,2,FALSE)</f>
        <v>1810110</v>
      </c>
      <c r="Q610" s="6">
        <f t="shared" si="53"/>
        <v>9</v>
      </c>
    </row>
    <row r="611" spans="1:17" x14ac:dyDescent="0.2">
      <c r="A611" s="16">
        <f t="shared" si="49"/>
        <v>1810110</v>
      </c>
      <c r="B611">
        <v>2018</v>
      </c>
      <c r="C611" t="s">
        <v>904</v>
      </c>
      <c r="D611" t="s">
        <v>906</v>
      </c>
      <c r="E611" t="s">
        <v>1517</v>
      </c>
      <c r="F611" t="s">
        <v>485</v>
      </c>
      <c r="G611" t="s">
        <v>79</v>
      </c>
      <c r="H611" s="6">
        <v>142858</v>
      </c>
      <c r="I611" s="6">
        <v>6.0605661051863434E-4</v>
      </c>
      <c r="J611" s="6">
        <v>2526.0439526416681</v>
      </c>
      <c r="K611" s="6">
        <v>639409</v>
      </c>
      <c r="M611" s="6">
        <f t="shared" si="50"/>
        <v>145384.04395264166</v>
      </c>
      <c r="N611" s="6">
        <f t="shared" si="51"/>
        <v>639409</v>
      </c>
      <c r="O611" s="6">
        <f t="shared" si="52"/>
        <v>784793.04395264166</v>
      </c>
      <c r="P611" s="8">
        <f>VLOOKUP(F611,'LEAID Match'!$A$2:$B$436,2,FALSE)</f>
        <v>1810110</v>
      </c>
      <c r="Q611" s="6">
        <f t="shared" si="53"/>
        <v>9</v>
      </c>
    </row>
    <row r="612" spans="1:17" x14ac:dyDescent="0.2">
      <c r="A612" s="16">
        <f t="shared" si="49"/>
        <v>1810110</v>
      </c>
      <c r="B612">
        <v>2019</v>
      </c>
      <c r="C612" t="s">
        <v>904</v>
      </c>
      <c r="D612" t="s">
        <v>906</v>
      </c>
      <c r="E612" t="s">
        <v>1518</v>
      </c>
      <c r="F612" t="s">
        <v>485</v>
      </c>
      <c r="G612" t="s">
        <v>79</v>
      </c>
      <c r="H612" s="6">
        <v>141405</v>
      </c>
      <c r="I612" s="6">
        <v>3.5973355309986641E-4</v>
      </c>
      <c r="J612" s="6">
        <v>1260.8661036150318</v>
      </c>
      <c r="K612" s="6">
        <v>339552.50077096297</v>
      </c>
      <c r="M612" s="6">
        <f t="shared" si="50"/>
        <v>142665.86610361503</v>
      </c>
      <c r="N612" s="6">
        <f t="shared" si="51"/>
        <v>339552.50077096297</v>
      </c>
      <c r="O612" s="6">
        <f t="shared" si="52"/>
        <v>482218.366874578</v>
      </c>
      <c r="P612" s="8">
        <f>VLOOKUP(F612,'LEAID Match'!$A$2:$B$436,2,FALSE)</f>
        <v>1810110</v>
      </c>
      <c r="Q612" s="6">
        <f t="shared" si="53"/>
        <v>9</v>
      </c>
    </row>
    <row r="613" spans="1:17" x14ac:dyDescent="0.2">
      <c r="A613" s="16">
        <f t="shared" si="49"/>
        <v>1810110</v>
      </c>
      <c r="B613">
        <v>2020</v>
      </c>
      <c r="C613" t="s">
        <v>904</v>
      </c>
      <c r="D613" t="s">
        <v>906</v>
      </c>
      <c r="E613" t="s">
        <v>1519</v>
      </c>
      <c r="F613" t="s">
        <v>485</v>
      </c>
      <c r="G613" t="s">
        <v>79</v>
      </c>
      <c r="H613" s="6">
        <v>103640</v>
      </c>
      <c r="I613" s="6">
        <v>5.4915806660795624E-4</v>
      </c>
      <c r="J613" s="6">
        <v>1293.8164049283448</v>
      </c>
      <c r="K613" s="6">
        <v>701352</v>
      </c>
      <c r="M613" s="6">
        <f t="shared" si="50"/>
        <v>104933.81640492835</v>
      </c>
      <c r="N613" s="6">
        <f t="shared" si="51"/>
        <v>701352</v>
      </c>
      <c r="O613" s="6">
        <f t="shared" si="52"/>
        <v>806285.81640492834</v>
      </c>
      <c r="P613" s="8">
        <f>VLOOKUP(F613,'LEAID Match'!$A$2:$B$436,2,FALSE)</f>
        <v>1810110</v>
      </c>
      <c r="Q613" s="6">
        <f t="shared" si="53"/>
        <v>9</v>
      </c>
    </row>
    <row r="614" spans="1:17" x14ac:dyDescent="0.2">
      <c r="A614" s="16">
        <f t="shared" si="49"/>
        <v>1810110</v>
      </c>
      <c r="B614">
        <v>2021</v>
      </c>
      <c r="C614" t="s">
        <v>904</v>
      </c>
      <c r="D614" t="s">
        <v>906</v>
      </c>
      <c r="E614" t="s">
        <v>1520</v>
      </c>
      <c r="F614" t="s">
        <v>485</v>
      </c>
      <c r="G614" t="s">
        <v>79</v>
      </c>
      <c r="H614" s="6">
        <v>105419</v>
      </c>
      <c r="I614" s="6">
        <v>5.2077966385423718E-4</v>
      </c>
      <c r="J614" s="6">
        <v>1173.8373623274506</v>
      </c>
      <c r="K614" s="6">
        <v>1250569</v>
      </c>
      <c r="M614" s="6">
        <f t="shared" si="50"/>
        <v>106592.83736232745</v>
      </c>
      <c r="N614" s="6">
        <f t="shared" si="51"/>
        <v>1250569</v>
      </c>
      <c r="O614" s="6">
        <f t="shared" si="52"/>
        <v>1357161.8373623274</v>
      </c>
      <c r="P614" s="8">
        <f>VLOOKUP(F614,'LEAID Match'!$A$2:$B$436,2,FALSE)</f>
        <v>1810110</v>
      </c>
      <c r="Q614" s="6">
        <f t="shared" si="53"/>
        <v>9</v>
      </c>
    </row>
    <row r="615" spans="1:17" x14ac:dyDescent="0.2">
      <c r="A615" s="16">
        <f t="shared" si="49"/>
        <v>1810110</v>
      </c>
      <c r="B615">
        <v>2022</v>
      </c>
      <c r="C615" t="s">
        <v>904</v>
      </c>
      <c r="D615" t="s">
        <v>906</v>
      </c>
      <c r="E615" t="s">
        <v>1521</v>
      </c>
      <c r="F615" t="s">
        <v>485</v>
      </c>
      <c r="G615" t="s">
        <v>79</v>
      </c>
      <c r="H615" s="6">
        <v>112123</v>
      </c>
      <c r="I615" s="6">
        <v>5.3238084218686403E-4</v>
      </c>
      <c r="J615" s="6">
        <v>1173.8997570220351</v>
      </c>
      <c r="K615" s="6">
        <v>1270251</v>
      </c>
      <c r="M615" s="6">
        <f t="shared" si="50"/>
        <v>113296.89975702204</v>
      </c>
      <c r="N615" s="6">
        <f t="shared" si="51"/>
        <v>1270251</v>
      </c>
      <c r="O615" s="6">
        <f t="shared" si="52"/>
        <v>1383547.899757022</v>
      </c>
      <c r="P615" s="8">
        <f>VLOOKUP(F615,'LEAID Match'!$A$2:$B$436,2,FALSE)</f>
        <v>1810110</v>
      </c>
      <c r="Q615" s="6">
        <f t="shared" si="53"/>
        <v>9</v>
      </c>
    </row>
    <row r="616" spans="1:17" x14ac:dyDescent="0.2">
      <c r="A616" s="16">
        <f t="shared" si="49"/>
        <v>1810110</v>
      </c>
      <c r="B616">
        <v>2023</v>
      </c>
      <c r="C616" t="s">
        <v>904</v>
      </c>
      <c r="D616" t="s">
        <v>906</v>
      </c>
      <c r="E616" t="s">
        <v>1522</v>
      </c>
      <c r="F616" t="s">
        <v>485</v>
      </c>
      <c r="G616" t="s">
        <v>79</v>
      </c>
      <c r="H616" s="6">
        <v>127954</v>
      </c>
      <c r="I616" s="6">
        <v>5.2326155535185003E-4</v>
      </c>
      <c r="J616" s="6">
        <v>1290.8862570530141</v>
      </c>
      <c r="K616" s="6">
        <v>4316736</v>
      </c>
      <c r="M616" s="6">
        <f t="shared" si="50"/>
        <v>129244.88625705302</v>
      </c>
      <c r="N616" s="6">
        <f t="shared" si="51"/>
        <v>4316736</v>
      </c>
      <c r="O616" s="6">
        <f t="shared" si="52"/>
        <v>4445980.8862570534</v>
      </c>
      <c r="P616" s="8">
        <f>VLOOKUP(F616,'LEAID Match'!$A$2:$B$436,2,FALSE)</f>
        <v>1810110</v>
      </c>
      <c r="Q616" s="6">
        <f t="shared" si="53"/>
        <v>9</v>
      </c>
    </row>
    <row r="617" spans="1:17" x14ac:dyDescent="0.2">
      <c r="A617" s="16">
        <f t="shared" si="49"/>
        <v>1800007</v>
      </c>
      <c r="B617">
        <v>2015</v>
      </c>
      <c r="C617" t="s">
        <v>904</v>
      </c>
      <c r="D617" t="s">
        <v>906</v>
      </c>
      <c r="E617" t="s">
        <v>1523</v>
      </c>
      <c r="F617" t="s">
        <v>486</v>
      </c>
      <c r="G617" t="s">
        <v>80</v>
      </c>
      <c r="H617" s="6">
        <v>47060</v>
      </c>
      <c r="I617" s="6">
        <v>2.2883899416460565E-4</v>
      </c>
      <c r="J617" s="6">
        <v>1329.7833950905235</v>
      </c>
      <c r="K617" s="6">
        <v>193509.91488949701</v>
      </c>
      <c r="M617" s="6">
        <f t="shared" si="50"/>
        <v>48389.783395090526</v>
      </c>
      <c r="N617" s="6">
        <f t="shared" si="51"/>
        <v>193509.91488949701</v>
      </c>
      <c r="O617" s="6">
        <f t="shared" si="52"/>
        <v>241899.69828458753</v>
      </c>
      <c r="P617" s="8">
        <f>VLOOKUP(F617,'LEAID Match'!$A$2:$B$436,2,FALSE)</f>
        <v>1800007</v>
      </c>
      <c r="Q617" s="6">
        <f t="shared" si="53"/>
        <v>9</v>
      </c>
    </row>
    <row r="618" spans="1:17" x14ac:dyDescent="0.2">
      <c r="A618" s="16">
        <f t="shared" si="49"/>
        <v>1800007</v>
      </c>
      <c r="B618">
        <v>2016</v>
      </c>
      <c r="C618" t="s">
        <v>904</v>
      </c>
      <c r="D618" t="s">
        <v>906</v>
      </c>
      <c r="E618" t="s">
        <v>1524</v>
      </c>
      <c r="F618" t="s">
        <v>486</v>
      </c>
      <c r="G618" t="s">
        <v>80</v>
      </c>
      <c r="H618" s="6">
        <v>50746</v>
      </c>
      <c r="I618" s="6">
        <v>2.3546767243370364E-4</v>
      </c>
      <c r="J618" s="6">
        <v>1188.640810445336</v>
      </c>
      <c r="K618" s="6">
        <v>208977.55928491199</v>
      </c>
      <c r="M618" s="6">
        <f t="shared" si="50"/>
        <v>51934.640810445337</v>
      </c>
      <c r="N618" s="6">
        <f t="shared" si="51"/>
        <v>208977.55928491199</v>
      </c>
      <c r="O618" s="6">
        <f t="shared" si="52"/>
        <v>260912.20009535732</v>
      </c>
      <c r="P618" s="8">
        <f>VLOOKUP(F618,'LEAID Match'!$A$2:$B$436,2,FALSE)</f>
        <v>1800007</v>
      </c>
      <c r="Q618" s="6">
        <f t="shared" si="53"/>
        <v>9</v>
      </c>
    </row>
    <row r="619" spans="1:17" x14ac:dyDescent="0.2">
      <c r="A619" s="16">
        <f t="shared" si="49"/>
        <v>1800007</v>
      </c>
      <c r="B619">
        <v>2017</v>
      </c>
      <c r="C619" t="s">
        <v>904</v>
      </c>
      <c r="D619" t="s">
        <v>906</v>
      </c>
      <c r="E619" t="s">
        <v>1525</v>
      </c>
      <c r="F619" t="s">
        <v>486</v>
      </c>
      <c r="G619" t="s">
        <v>80</v>
      </c>
      <c r="H619" s="6">
        <v>58184</v>
      </c>
      <c r="I619" s="6">
        <v>2.5620904347028263E-4</v>
      </c>
      <c r="J619" s="6">
        <v>1159.3459217030288</v>
      </c>
      <c r="K619" s="6">
        <v>223158.076862616</v>
      </c>
      <c r="M619" s="6">
        <f t="shared" si="50"/>
        <v>59343.345921703032</v>
      </c>
      <c r="N619" s="6">
        <f t="shared" si="51"/>
        <v>223158.076862616</v>
      </c>
      <c r="O619" s="6">
        <f t="shared" si="52"/>
        <v>282501.42278431903</v>
      </c>
      <c r="P619" s="8">
        <f>VLOOKUP(F619,'LEAID Match'!$A$2:$B$436,2,FALSE)</f>
        <v>1800007</v>
      </c>
      <c r="Q619" s="6">
        <f t="shared" si="53"/>
        <v>9</v>
      </c>
    </row>
    <row r="620" spans="1:17" x14ac:dyDescent="0.2">
      <c r="A620" s="16">
        <f t="shared" si="49"/>
        <v>1800007</v>
      </c>
      <c r="B620">
        <v>2018</v>
      </c>
      <c r="C620" t="s">
        <v>904</v>
      </c>
      <c r="D620" t="s">
        <v>906</v>
      </c>
      <c r="E620" t="s">
        <v>1526</v>
      </c>
      <c r="F620" t="s">
        <v>486</v>
      </c>
      <c r="G620" t="s">
        <v>80</v>
      </c>
      <c r="H620" s="6">
        <v>64671</v>
      </c>
      <c r="I620" s="6">
        <v>2.7435836326177466E-4</v>
      </c>
      <c r="J620" s="6">
        <v>1143.5256580750768</v>
      </c>
      <c r="K620" s="6">
        <v>143927</v>
      </c>
      <c r="M620" s="6">
        <f t="shared" si="50"/>
        <v>65814.525658075072</v>
      </c>
      <c r="N620" s="6">
        <f t="shared" si="51"/>
        <v>143927</v>
      </c>
      <c r="O620" s="6">
        <f t="shared" si="52"/>
        <v>209741.52565807506</v>
      </c>
      <c r="P620" s="8">
        <f>VLOOKUP(F620,'LEAID Match'!$A$2:$B$436,2,FALSE)</f>
        <v>1800007</v>
      </c>
      <c r="Q620" s="6">
        <f t="shared" si="53"/>
        <v>9</v>
      </c>
    </row>
    <row r="621" spans="1:17" x14ac:dyDescent="0.2">
      <c r="A621" s="16">
        <f t="shared" si="49"/>
        <v>1800007</v>
      </c>
      <c r="B621">
        <v>2019</v>
      </c>
      <c r="C621" t="s">
        <v>904</v>
      </c>
      <c r="D621" t="s">
        <v>906</v>
      </c>
      <c r="E621" t="s">
        <v>1527</v>
      </c>
      <c r="F621" t="s">
        <v>486</v>
      </c>
      <c r="G621" t="s">
        <v>80</v>
      </c>
      <c r="H621" s="6">
        <v>66913</v>
      </c>
      <c r="I621" s="6">
        <v>1.7022630910202159E-4</v>
      </c>
      <c r="J621" s="6">
        <v>596.64321340258562</v>
      </c>
      <c r="K621" s="6">
        <v>160676.61316139801</v>
      </c>
      <c r="M621" s="6">
        <f t="shared" si="50"/>
        <v>67509.643213402582</v>
      </c>
      <c r="N621" s="6">
        <f t="shared" si="51"/>
        <v>160676.61316139801</v>
      </c>
      <c r="O621" s="6">
        <f t="shared" si="52"/>
        <v>228186.25637480058</v>
      </c>
      <c r="P621" s="8">
        <f>VLOOKUP(F621,'LEAID Match'!$A$2:$B$436,2,FALSE)</f>
        <v>1800007</v>
      </c>
      <c r="Q621" s="6">
        <f t="shared" si="53"/>
        <v>9</v>
      </c>
    </row>
    <row r="622" spans="1:17" x14ac:dyDescent="0.2">
      <c r="A622" s="16">
        <f t="shared" si="49"/>
        <v>1800007</v>
      </c>
      <c r="B622">
        <v>2020</v>
      </c>
      <c r="C622" t="s">
        <v>904</v>
      </c>
      <c r="D622" t="s">
        <v>906</v>
      </c>
      <c r="E622" t="s">
        <v>1528</v>
      </c>
      <c r="F622" t="s">
        <v>486</v>
      </c>
      <c r="G622" t="s">
        <v>80</v>
      </c>
      <c r="H622" s="6">
        <v>53366</v>
      </c>
      <c r="I622" s="6">
        <v>2.8277083541682936E-4</v>
      </c>
      <c r="J622" s="6">
        <v>666.20808824204994</v>
      </c>
      <c r="K622" s="6">
        <v>164316</v>
      </c>
      <c r="M622" s="6">
        <f t="shared" si="50"/>
        <v>54032.208088242049</v>
      </c>
      <c r="N622" s="6">
        <f t="shared" si="51"/>
        <v>164316</v>
      </c>
      <c r="O622" s="6">
        <f t="shared" si="52"/>
        <v>218348.20808824204</v>
      </c>
      <c r="P622" s="8">
        <f>VLOOKUP(F622,'LEAID Match'!$A$2:$B$436,2,FALSE)</f>
        <v>1800007</v>
      </c>
      <c r="Q622" s="6">
        <f t="shared" si="53"/>
        <v>9</v>
      </c>
    </row>
    <row r="623" spans="1:17" x14ac:dyDescent="0.2">
      <c r="A623" s="16">
        <f t="shared" si="49"/>
        <v>1800007</v>
      </c>
      <c r="B623">
        <v>2021</v>
      </c>
      <c r="C623" t="s">
        <v>904</v>
      </c>
      <c r="D623" t="s">
        <v>906</v>
      </c>
      <c r="E623" t="s">
        <v>1529</v>
      </c>
      <c r="F623" t="s">
        <v>486</v>
      </c>
      <c r="G623" t="s">
        <v>80</v>
      </c>
      <c r="H623" s="6">
        <v>65541</v>
      </c>
      <c r="I623" s="6">
        <v>3.2377863524289316E-4</v>
      </c>
      <c r="J623" s="6">
        <v>729.79704383748117</v>
      </c>
      <c r="K623" s="6">
        <v>268847</v>
      </c>
      <c r="M623" s="6">
        <f t="shared" si="50"/>
        <v>66270.797043837476</v>
      </c>
      <c r="N623" s="6">
        <f t="shared" si="51"/>
        <v>268847</v>
      </c>
      <c r="O623" s="6">
        <f t="shared" si="52"/>
        <v>335117.79704383749</v>
      </c>
      <c r="P623" s="8">
        <f>VLOOKUP(F623,'LEAID Match'!$A$2:$B$436,2,FALSE)</f>
        <v>1800007</v>
      </c>
      <c r="Q623" s="6">
        <f t="shared" si="53"/>
        <v>9</v>
      </c>
    </row>
    <row r="624" spans="1:17" x14ac:dyDescent="0.2">
      <c r="A624" s="16">
        <f t="shared" si="49"/>
        <v>1800007</v>
      </c>
      <c r="B624">
        <v>2022</v>
      </c>
      <c r="C624" t="s">
        <v>904</v>
      </c>
      <c r="D624" t="s">
        <v>906</v>
      </c>
      <c r="E624" t="s">
        <v>1530</v>
      </c>
      <c r="F624" t="s">
        <v>486</v>
      </c>
      <c r="G624" t="s">
        <v>80</v>
      </c>
      <c r="H624" s="6">
        <v>72423</v>
      </c>
      <c r="I624" s="6">
        <v>3.4387786389678525E-4</v>
      </c>
      <c r="J624" s="6">
        <v>758.25068989241151</v>
      </c>
      <c r="K624" s="6">
        <v>269771</v>
      </c>
      <c r="M624" s="6">
        <f t="shared" si="50"/>
        <v>73181.250689892418</v>
      </c>
      <c r="N624" s="6">
        <f t="shared" si="51"/>
        <v>269771</v>
      </c>
      <c r="O624" s="6">
        <f t="shared" si="52"/>
        <v>342952.25068989245</v>
      </c>
      <c r="P624" s="8">
        <f>VLOOKUP(F624,'LEAID Match'!$A$2:$B$436,2,FALSE)</f>
        <v>1800007</v>
      </c>
      <c r="Q624" s="6">
        <f t="shared" si="53"/>
        <v>9</v>
      </c>
    </row>
    <row r="625" spans="1:17" x14ac:dyDescent="0.2">
      <c r="A625" s="16">
        <f t="shared" si="49"/>
        <v>1800007</v>
      </c>
      <c r="B625">
        <v>2023</v>
      </c>
      <c r="C625" t="s">
        <v>904</v>
      </c>
      <c r="D625" t="s">
        <v>906</v>
      </c>
      <c r="E625" t="s">
        <v>1531</v>
      </c>
      <c r="F625" t="s">
        <v>486</v>
      </c>
      <c r="G625" t="s">
        <v>80</v>
      </c>
      <c r="H625" s="6">
        <v>77560</v>
      </c>
      <c r="I625" s="6">
        <v>3.1717778446230276E-4</v>
      </c>
      <c r="J625" s="6">
        <v>782.47759426850087</v>
      </c>
      <c r="K625" s="6">
        <v>1017247</v>
      </c>
      <c r="M625" s="6">
        <f t="shared" si="50"/>
        <v>78342.477594268494</v>
      </c>
      <c r="N625" s="6">
        <f t="shared" si="51"/>
        <v>1017247</v>
      </c>
      <c r="O625" s="6">
        <f t="shared" si="52"/>
        <v>1095589.4775942685</v>
      </c>
      <c r="P625" s="8">
        <f>VLOOKUP(F625,'LEAID Match'!$A$2:$B$436,2,FALSE)</f>
        <v>1800007</v>
      </c>
      <c r="Q625" s="6">
        <f t="shared" si="53"/>
        <v>9</v>
      </c>
    </row>
    <row r="626" spans="1:17" x14ac:dyDescent="0.2">
      <c r="A626" s="16">
        <f t="shared" si="49"/>
        <v>1807650</v>
      </c>
      <c r="B626">
        <v>2015</v>
      </c>
      <c r="C626" t="s">
        <v>904</v>
      </c>
      <c r="D626" t="s">
        <v>906</v>
      </c>
      <c r="E626" t="s">
        <v>1532</v>
      </c>
      <c r="F626" t="s">
        <v>487</v>
      </c>
      <c r="G626" t="s">
        <v>81</v>
      </c>
      <c r="H626" s="6">
        <v>2165663</v>
      </c>
      <c r="I626" s="6">
        <v>1.0530984756045523E-2</v>
      </c>
      <c r="J626" s="6">
        <v>61195.552417380539</v>
      </c>
      <c r="K626" s="6">
        <v>8905169.2054681908</v>
      </c>
      <c r="M626" s="6">
        <f t="shared" si="50"/>
        <v>2226858.5524173807</v>
      </c>
      <c r="N626" s="6">
        <f t="shared" si="51"/>
        <v>8905169.2054681908</v>
      </c>
      <c r="O626" s="6">
        <f t="shared" si="52"/>
        <v>11132027.757885572</v>
      </c>
      <c r="P626" s="8">
        <f>VLOOKUP(F626,'LEAID Match'!$A$2:$B$436,2,FALSE)</f>
        <v>1807650</v>
      </c>
      <c r="Q626" s="6">
        <f t="shared" si="53"/>
        <v>9</v>
      </c>
    </row>
    <row r="627" spans="1:17" x14ac:dyDescent="0.2">
      <c r="A627" s="16">
        <f t="shared" si="49"/>
        <v>1807650</v>
      </c>
      <c r="B627">
        <v>2016</v>
      </c>
      <c r="C627" t="s">
        <v>904</v>
      </c>
      <c r="D627" t="s">
        <v>906</v>
      </c>
      <c r="E627" t="s">
        <v>1533</v>
      </c>
      <c r="F627" t="s">
        <v>487</v>
      </c>
      <c r="G627" t="s">
        <v>81</v>
      </c>
      <c r="H627" s="6">
        <v>2269761</v>
      </c>
      <c r="I627" s="6">
        <v>1.053196980354699E-2</v>
      </c>
      <c r="J627" s="6">
        <v>53165.383568305202</v>
      </c>
      <c r="K627" s="6">
        <v>9347123.2006479502</v>
      </c>
      <c r="M627" s="6">
        <f t="shared" si="50"/>
        <v>2322926.3835683051</v>
      </c>
      <c r="N627" s="6">
        <f t="shared" si="51"/>
        <v>9347123.2006479502</v>
      </c>
      <c r="O627" s="6">
        <f t="shared" si="52"/>
        <v>11670049.584216256</v>
      </c>
      <c r="P627" s="8">
        <f>VLOOKUP(F627,'LEAID Match'!$A$2:$B$436,2,FALSE)</f>
        <v>1807650</v>
      </c>
      <c r="Q627" s="6">
        <f t="shared" si="53"/>
        <v>9</v>
      </c>
    </row>
    <row r="628" spans="1:17" x14ac:dyDescent="0.2">
      <c r="A628" s="16">
        <f t="shared" si="49"/>
        <v>1807650</v>
      </c>
      <c r="B628">
        <v>2017</v>
      </c>
      <c r="C628" t="s">
        <v>904</v>
      </c>
      <c r="D628" t="s">
        <v>906</v>
      </c>
      <c r="E628" t="s">
        <v>1534</v>
      </c>
      <c r="F628" t="s">
        <v>487</v>
      </c>
      <c r="G628" t="s">
        <v>81</v>
      </c>
      <c r="H628" s="6">
        <v>2480821</v>
      </c>
      <c r="I628" s="6">
        <v>1.092411617336364E-2</v>
      </c>
      <c r="J628" s="6">
        <v>49431.625684470477</v>
      </c>
      <c r="K628" s="6">
        <v>9514905.1869997308</v>
      </c>
      <c r="M628" s="6">
        <f t="shared" si="50"/>
        <v>2530252.6256844704</v>
      </c>
      <c r="N628" s="6">
        <f t="shared" si="51"/>
        <v>9514905.1869997308</v>
      </c>
      <c r="O628" s="6">
        <f t="shared" si="52"/>
        <v>12045157.812684201</v>
      </c>
      <c r="P628" s="8">
        <f>VLOOKUP(F628,'LEAID Match'!$A$2:$B$436,2,FALSE)</f>
        <v>1807650</v>
      </c>
      <c r="Q628" s="6">
        <f t="shared" si="53"/>
        <v>9</v>
      </c>
    </row>
    <row r="629" spans="1:17" x14ac:dyDescent="0.2">
      <c r="A629" s="16">
        <f t="shared" si="49"/>
        <v>1807650</v>
      </c>
      <c r="B629">
        <v>2018</v>
      </c>
      <c r="C629" t="s">
        <v>904</v>
      </c>
      <c r="D629" t="s">
        <v>906</v>
      </c>
      <c r="E629" t="s">
        <v>1535</v>
      </c>
      <c r="F629" t="s">
        <v>487</v>
      </c>
      <c r="G629" t="s">
        <v>81</v>
      </c>
      <c r="H629" s="6">
        <v>2589635</v>
      </c>
      <c r="I629" s="6">
        <v>1.0986191956911223E-2</v>
      </c>
      <c r="J629" s="6">
        <v>45790.448076405977</v>
      </c>
      <c r="K629" s="6">
        <v>4920219</v>
      </c>
      <c r="M629" s="6">
        <f t="shared" si="50"/>
        <v>2635425.448076406</v>
      </c>
      <c r="N629" s="6">
        <f t="shared" si="51"/>
        <v>4920219</v>
      </c>
      <c r="O629" s="6">
        <f t="shared" si="52"/>
        <v>7555644.4480764065</v>
      </c>
      <c r="P629" s="8">
        <f>VLOOKUP(F629,'LEAID Match'!$A$2:$B$436,2,FALSE)</f>
        <v>1807650</v>
      </c>
      <c r="Q629" s="6">
        <f t="shared" si="53"/>
        <v>9</v>
      </c>
    </row>
    <row r="630" spans="1:17" x14ac:dyDescent="0.2">
      <c r="A630" s="16">
        <f t="shared" si="49"/>
        <v>1807650</v>
      </c>
      <c r="B630">
        <v>2019</v>
      </c>
      <c r="C630" t="s">
        <v>904</v>
      </c>
      <c r="D630" t="s">
        <v>906</v>
      </c>
      <c r="E630" t="s">
        <v>1536</v>
      </c>
      <c r="F630" t="s">
        <v>487</v>
      </c>
      <c r="G630" t="s">
        <v>81</v>
      </c>
      <c r="H630" s="6">
        <v>2656389</v>
      </c>
      <c r="I630" s="6">
        <v>6.7578392092599348E-3</v>
      </c>
      <c r="J630" s="6">
        <v>23686.22642845607</v>
      </c>
      <c r="K630" s="6">
        <v>6378724.4296204504</v>
      </c>
      <c r="M630" s="6">
        <f t="shared" si="50"/>
        <v>2680075.2264284561</v>
      </c>
      <c r="N630" s="6">
        <f t="shared" si="51"/>
        <v>6378724.4296204504</v>
      </c>
      <c r="O630" s="6">
        <f t="shared" si="52"/>
        <v>9058799.656048907</v>
      </c>
      <c r="P630" s="8">
        <f>VLOOKUP(F630,'LEAID Match'!$A$2:$B$436,2,FALSE)</f>
        <v>1807650</v>
      </c>
      <c r="Q630" s="6">
        <f t="shared" si="53"/>
        <v>9</v>
      </c>
    </row>
    <row r="631" spans="1:17" x14ac:dyDescent="0.2">
      <c r="A631" s="16">
        <f t="shared" si="49"/>
        <v>1807650</v>
      </c>
      <c r="B631">
        <v>2020</v>
      </c>
      <c r="C631" t="s">
        <v>904</v>
      </c>
      <c r="D631" t="s">
        <v>906</v>
      </c>
      <c r="E631" t="s">
        <v>1537</v>
      </c>
      <c r="F631" t="s">
        <v>487</v>
      </c>
      <c r="G631" t="s">
        <v>81</v>
      </c>
      <c r="H631" s="6">
        <v>2255846</v>
      </c>
      <c r="I631" s="6">
        <v>1.1953068582837628E-2</v>
      </c>
      <c r="J631" s="6">
        <v>28161.429581165452</v>
      </c>
      <c r="K631" s="6">
        <v>5236247</v>
      </c>
      <c r="M631" s="6">
        <f t="shared" si="50"/>
        <v>2284007.4295811653</v>
      </c>
      <c r="N631" s="6">
        <f t="shared" si="51"/>
        <v>5236247</v>
      </c>
      <c r="O631" s="6">
        <f t="shared" si="52"/>
        <v>7520254.4295811653</v>
      </c>
      <c r="P631" s="8">
        <f>VLOOKUP(F631,'LEAID Match'!$A$2:$B$436,2,FALSE)</f>
        <v>1807650</v>
      </c>
      <c r="Q631" s="6">
        <f t="shared" si="53"/>
        <v>9</v>
      </c>
    </row>
    <row r="632" spans="1:17" x14ac:dyDescent="0.2">
      <c r="A632" s="16">
        <f t="shared" si="49"/>
        <v>1807650</v>
      </c>
      <c r="B632">
        <v>2021</v>
      </c>
      <c r="C632" t="s">
        <v>904</v>
      </c>
      <c r="D632" t="s">
        <v>906</v>
      </c>
      <c r="E632" t="s">
        <v>1538</v>
      </c>
      <c r="F632" t="s">
        <v>487</v>
      </c>
      <c r="G632" t="s">
        <v>81</v>
      </c>
      <c r="H632" s="6">
        <v>2369468</v>
      </c>
      <c r="I632" s="6">
        <v>1.1705392277989467E-2</v>
      </c>
      <c r="J632" s="6">
        <v>26383.954194588259</v>
      </c>
      <c r="K632" s="6">
        <v>8838694</v>
      </c>
      <c r="M632" s="6">
        <f t="shared" si="50"/>
        <v>2395851.9541945881</v>
      </c>
      <c r="N632" s="6">
        <f t="shared" si="51"/>
        <v>8838694</v>
      </c>
      <c r="O632" s="6">
        <f t="shared" si="52"/>
        <v>11234545.954194589</v>
      </c>
      <c r="P632" s="8">
        <f>VLOOKUP(F632,'LEAID Match'!$A$2:$B$436,2,FALSE)</f>
        <v>1807650</v>
      </c>
      <c r="Q632" s="6">
        <f t="shared" si="53"/>
        <v>9</v>
      </c>
    </row>
    <row r="633" spans="1:17" x14ac:dyDescent="0.2">
      <c r="A633" s="16">
        <f t="shared" si="49"/>
        <v>1807650</v>
      </c>
      <c r="B633">
        <v>2022</v>
      </c>
      <c r="C633" t="s">
        <v>904</v>
      </c>
      <c r="D633" t="s">
        <v>906</v>
      </c>
      <c r="E633" t="s">
        <v>1539</v>
      </c>
      <c r="F633" t="s">
        <v>487</v>
      </c>
      <c r="G633" t="s">
        <v>81</v>
      </c>
      <c r="H633" s="6">
        <v>2715835</v>
      </c>
      <c r="I633" s="6">
        <v>1.2895289321018541E-2</v>
      </c>
      <c r="J633" s="6">
        <v>28434.11295284588</v>
      </c>
      <c r="K633" s="6">
        <v>9154708</v>
      </c>
      <c r="M633" s="6">
        <f t="shared" si="50"/>
        <v>2744269.1129528461</v>
      </c>
      <c r="N633" s="6">
        <f t="shared" si="51"/>
        <v>9154708</v>
      </c>
      <c r="O633" s="6">
        <f t="shared" si="52"/>
        <v>11898977.112952847</v>
      </c>
      <c r="P633" s="8">
        <f>VLOOKUP(F633,'LEAID Match'!$A$2:$B$436,2,FALSE)</f>
        <v>1807650</v>
      </c>
      <c r="Q633" s="6">
        <f t="shared" si="53"/>
        <v>9</v>
      </c>
    </row>
    <row r="634" spans="1:17" x14ac:dyDescent="0.2">
      <c r="A634" s="16">
        <f t="shared" si="49"/>
        <v>1807650</v>
      </c>
      <c r="B634">
        <v>2023</v>
      </c>
      <c r="C634" t="s">
        <v>904</v>
      </c>
      <c r="D634" t="s">
        <v>906</v>
      </c>
      <c r="E634" t="s">
        <v>1540</v>
      </c>
      <c r="F634" t="s">
        <v>487</v>
      </c>
      <c r="G634" t="s">
        <v>81</v>
      </c>
      <c r="H634" s="6">
        <v>3071544</v>
      </c>
      <c r="I634" s="6">
        <v>1.2560927292399165E-2</v>
      </c>
      <c r="J634" s="6">
        <v>30987.80763034874</v>
      </c>
      <c r="K634" s="6">
        <v>26099035</v>
      </c>
      <c r="M634" s="6">
        <f t="shared" si="50"/>
        <v>3102531.807630349</v>
      </c>
      <c r="N634" s="6">
        <f t="shared" si="51"/>
        <v>26099035</v>
      </c>
      <c r="O634" s="6">
        <f t="shared" si="52"/>
        <v>29201566.807630349</v>
      </c>
      <c r="P634" s="8">
        <f>VLOOKUP(F634,'LEAID Match'!$A$2:$B$436,2,FALSE)</f>
        <v>1807650</v>
      </c>
      <c r="Q634" s="6">
        <f t="shared" si="53"/>
        <v>9</v>
      </c>
    </row>
    <row r="635" spans="1:17" x14ac:dyDescent="0.2">
      <c r="A635" s="16">
        <f t="shared" si="49"/>
        <v>1801200</v>
      </c>
      <c r="B635">
        <v>2015</v>
      </c>
      <c r="C635" t="s">
        <v>904</v>
      </c>
      <c r="D635" t="s">
        <v>906</v>
      </c>
      <c r="E635" t="s">
        <v>1541</v>
      </c>
      <c r="F635" t="s">
        <v>488</v>
      </c>
      <c r="G635" t="s">
        <v>82</v>
      </c>
      <c r="H635" s="6">
        <v>3597860</v>
      </c>
      <c r="I635" s="6">
        <v>1.7495339216852274E-2</v>
      </c>
      <c r="J635" s="6">
        <v>101665.41618912856</v>
      </c>
      <c r="K635" s="6">
        <v>14794338.7671977</v>
      </c>
      <c r="M635" s="6">
        <f t="shared" si="50"/>
        <v>3699525.4161891285</v>
      </c>
      <c r="N635" s="6">
        <f t="shared" si="51"/>
        <v>14794338.7671977</v>
      </c>
      <c r="O635" s="6">
        <f t="shared" si="52"/>
        <v>18493864.183386829</v>
      </c>
      <c r="P635" s="8">
        <f>VLOOKUP(F635,'LEAID Match'!$A$2:$B$436,2,FALSE)</f>
        <v>1801200</v>
      </c>
      <c r="Q635" s="6">
        <f t="shared" si="53"/>
        <v>9</v>
      </c>
    </row>
    <row r="636" spans="1:17" x14ac:dyDescent="0.2">
      <c r="A636" s="16">
        <f t="shared" si="49"/>
        <v>1801200</v>
      </c>
      <c r="B636">
        <v>2016</v>
      </c>
      <c r="C636" t="s">
        <v>904</v>
      </c>
      <c r="D636" t="s">
        <v>906</v>
      </c>
      <c r="E636" t="s">
        <v>1542</v>
      </c>
      <c r="F636" t="s">
        <v>488</v>
      </c>
      <c r="G636" t="s">
        <v>82</v>
      </c>
      <c r="H636" s="6">
        <v>3781152</v>
      </c>
      <c r="I636" s="6">
        <v>1.7545009666930268E-2</v>
      </c>
      <c r="J636" s="6">
        <v>88567.208798663996</v>
      </c>
      <c r="K636" s="6">
        <v>15571196.079400601</v>
      </c>
      <c r="M636" s="6">
        <f t="shared" si="50"/>
        <v>3869719.2087986642</v>
      </c>
      <c r="N636" s="6">
        <f t="shared" si="51"/>
        <v>15571196.079400601</v>
      </c>
      <c r="O636" s="6">
        <f t="shared" si="52"/>
        <v>19440915.288199265</v>
      </c>
      <c r="P636" s="8">
        <f>VLOOKUP(F636,'LEAID Match'!$A$2:$B$436,2,FALSE)</f>
        <v>1801200</v>
      </c>
      <c r="Q636" s="6">
        <f t="shared" si="53"/>
        <v>9</v>
      </c>
    </row>
    <row r="637" spans="1:17" x14ac:dyDescent="0.2">
      <c r="A637" s="16">
        <f t="shared" si="49"/>
        <v>1801200</v>
      </c>
      <c r="B637">
        <v>2017</v>
      </c>
      <c r="C637" t="s">
        <v>904</v>
      </c>
      <c r="D637" t="s">
        <v>906</v>
      </c>
      <c r="E637" t="s">
        <v>1543</v>
      </c>
      <c r="F637" t="s">
        <v>488</v>
      </c>
      <c r="G637" t="s">
        <v>82</v>
      </c>
      <c r="H637" s="6">
        <v>3977181</v>
      </c>
      <c r="I637" s="6">
        <v>1.7513229405303556E-2</v>
      </c>
      <c r="J637" s="6">
        <v>79247.363058998599</v>
      </c>
      <c r="K637" s="6">
        <v>15254022.8120194</v>
      </c>
      <c r="M637" s="6">
        <f t="shared" si="50"/>
        <v>4056428.3630589987</v>
      </c>
      <c r="N637" s="6">
        <f t="shared" si="51"/>
        <v>15254022.8120194</v>
      </c>
      <c r="O637" s="6">
        <f t="shared" si="52"/>
        <v>19310451.175078399</v>
      </c>
      <c r="P637" s="8">
        <f>VLOOKUP(F637,'LEAID Match'!$A$2:$B$436,2,FALSE)</f>
        <v>1801200</v>
      </c>
      <c r="Q637" s="6">
        <f t="shared" si="53"/>
        <v>9</v>
      </c>
    </row>
    <row r="638" spans="1:17" x14ac:dyDescent="0.2">
      <c r="A638" s="16">
        <f t="shared" si="49"/>
        <v>1801200</v>
      </c>
      <c r="B638">
        <v>2018</v>
      </c>
      <c r="C638" t="s">
        <v>904</v>
      </c>
      <c r="D638" t="s">
        <v>906</v>
      </c>
      <c r="E638" t="s">
        <v>1544</v>
      </c>
      <c r="F638" t="s">
        <v>488</v>
      </c>
      <c r="G638" t="s">
        <v>82</v>
      </c>
      <c r="H638" s="6">
        <v>4373052</v>
      </c>
      <c r="I638" s="6">
        <v>1.8552108196542964E-2</v>
      </c>
      <c r="J638" s="6">
        <v>77325.186963191067</v>
      </c>
      <c r="K638" s="6">
        <v>9633911</v>
      </c>
      <c r="M638" s="6">
        <f t="shared" si="50"/>
        <v>4450377.1869631913</v>
      </c>
      <c r="N638" s="6">
        <f t="shared" si="51"/>
        <v>9633911</v>
      </c>
      <c r="O638" s="6">
        <f t="shared" si="52"/>
        <v>14084288.186963191</v>
      </c>
      <c r="P638" s="8">
        <f>VLOOKUP(F638,'LEAID Match'!$A$2:$B$436,2,FALSE)</f>
        <v>1801200</v>
      </c>
      <c r="Q638" s="6">
        <f t="shared" si="53"/>
        <v>9</v>
      </c>
    </row>
    <row r="639" spans="1:17" x14ac:dyDescent="0.2">
      <c r="A639" s="16">
        <f t="shared" si="49"/>
        <v>1801200</v>
      </c>
      <c r="B639">
        <v>2019</v>
      </c>
      <c r="C639" t="s">
        <v>904</v>
      </c>
      <c r="D639" t="s">
        <v>906</v>
      </c>
      <c r="E639" t="s">
        <v>1545</v>
      </c>
      <c r="F639" t="s">
        <v>488</v>
      </c>
      <c r="G639" t="s">
        <v>82</v>
      </c>
      <c r="H639" s="6">
        <v>4555772</v>
      </c>
      <c r="I639" s="6">
        <v>1.1589859260088996E-2</v>
      </c>
      <c r="J639" s="6">
        <v>40622.456706611934</v>
      </c>
      <c r="K639" s="6">
        <v>10939668.155598</v>
      </c>
      <c r="M639" s="6">
        <f t="shared" si="50"/>
        <v>4596394.4567066124</v>
      </c>
      <c r="N639" s="6">
        <f t="shared" si="51"/>
        <v>10939668.155598</v>
      </c>
      <c r="O639" s="6">
        <f t="shared" si="52"/>
        <v>15536062.612304613</v>
      </c>
      <c r="P639" s="8">
        <f>VLOOKUP(F639,'LEAID Match'!$A$2:$B$436,2,FALSE)</f>
        <v>1801200</v>
      </c>
      <c r="Q639" s="6">
        <f t="shared" si="53"/>
        <v>9</v>
      </c>
    </row>
    <row r="640" spans="1:17" x14ac:dyDescent="0.2">
      <c r="A640" s="16">
        <f t="shared" si="49"/>
        <v>1801200</v>
      </c>
      <c r="B640">
        <v>2020</v>
      </c>
      <c r="C640" t="s">
        <v>904</v>
      </c>
      <c r="D640" t="s">
        <v>906</v>
      </c>
      <c r="E640" t="s">
        <v>1546</v>
      </c>
      <c r="F640" t="s">
        <v>488</v>
      </c>
      <c r="G640" t="s">
        <v>82</v>
      </c>
      <c r="H640" s="6">
        <v>3612972</v>
      </c>
      <c r="I640" s="6">
        <v>1.9144082576502134E-2</v>
      </c>
      <c r="J640" s="6">
        <v>45103.458550239025</v>
      </c>
      <c r="K640" s="6">
        <v>10001494</v>
      </c>
      <c r="M640" s="6">
        <f t="shared" si="50"/>
        <v>3658075.458550239</v>
      </c>
      <c r="N640" s="6">
        <f t="shared" si="51"/>
        <v>10001494</v>
      </c>
      <c r="O640" s="6">
        <f t="shared" si="52"/>
        <v>13659569.458550239</v>
      </c>
      <c r="P640" s="8">
        <f>VLOOKUP(F640,'LEAID Match'!$A$2:$B$436,2,FALSE)</f>
        <v>1801200</v>
      </c>
      <c r="Q640" s="6">
        <f t="shared" si="53"/>
        <v>9</v>
      </c>
    </row>
    <row r="641" spans="1:17" x14ac:dyDescent="0.2">
      <c r="A641" s="16">
        <f t="shared" si="49"/>
        <v>1801200</v>
      </c>
      <c r="B641">
        <v>2021</v>
      </c>
      <c r="C641" t="s">
        <v>904</v>
      </c>
      <c r="D641" t="s">
        <v>906</v>
      </c>
      <c r="E641" t="s">
        <v>1547</v>
      </c>
      <c r="F641" t="s">
        <v>488</v>
      </c>
      <c r="G641" t="s">
        <v>82</v>
      </c>
      <c r="H641" s="6">
        <v>3931116</v>
      </c>
      <c r="I641" s="6">
        <v>1.9420078629583028E-2</v>
      </c>
      <c r="J641" s="6">
        <v>43772.857231080146</v>
      </c>
      <c r="K641" s="6">
        <v>16848631</v>
      </c>
      <c r="M641" s="6">
        <f t="shared" si="50"/>
        <v>3974888.8572310801</v>
      </c>
      <c r="N641" s="6">
        <f t="shared" si="51"/>
        <v>16848631</v>
      </c>
      <c r="O641" s="6">
        <f t="shared" si="52"/>
        <v>20823519.857231081</v>
      </c>
      <c r="P641" s="8">
        <f>VLOOKUP(F641,'LEAID Match'!$A$2:$B$436,2,FALSE)</f>
        <v>1801200</v>
      </c>
      <c r="Q641" s="6">
        <f t="shared" si="53"/>
        <v>9</v>
      </c>
    </row>
    <row r="642" spans="1:17" x14ac:dyDescent="0.2">
      <c r="A642" s="16">
        <f t="shared" si="49"/>
        <v>1801200</v>
      </c>
      <c r="B642">
        <v>2022</v>
      </c>
      <c r="C642" t="s">
        <v>904</v>
      </c>
      <c r="D642" t="s">
        <v>906</v>
      </c>
      <c r="E642" t="s">
        <v>1548</v>
      </c>
      <c r="F642" t="s">
        <v>488</v>
      </c>
      <c r="G642" t="s">
        <v>82</v>
      </c>
      <c r="H642" s="6">
        <v>4135925</v>
      </c>
      <c r="I642" s="6">
        <v>1.9638140566357532E-2</v>
      </c>
      <c r="J642" s="6">
        <v>43302.099948818359</v>
      </c>
      <c r="K642" s="6">
        <v>16792494</v>
      </c>
      <c r="M642" s="6">
        <f t="shared" si="50"/>
        <v>4179227.0999488183</v>
      </c>
      <c r="N642" s="6">
        <f t="shared" si="51"/>
        <v>16792494</v>
      </c>
      <c r="O642" s="6">
        <f t="shared" si="52"/>
        <v>20971721.09994882</v>
      </c>
      <c r="P642" s="8">
        <f>VLOOKUP(F642,'LEAID Match'!$A$2:$B$436,2,FALSE)</f>
        <v>1801200</v>
      </c>
      <c r="Q642" s="6">
        <f t="shared" si="53"/>
        <v>9</v>
      </c>
    </row>
    <row r="643" spans="1:17" x14ac:dyDescent="0.2">
      <c r="A643" s="16">
        <f t="shared" ref="A643:A706" si="54">P643</f>
        <v>1801200</v>
      </c>
      <c r="B643">
        <v>2023</v>
      </c>
      <c r="C643" t="s">
        <v>904</v>
      </c>
      <c r="D643" t="s">
        <v>906</v>
      </c>
      <c r="E643" t="s">
        <v>1549</v>
      </c>
      <c r="F643" t="s">
        <v>488</v>
      </c>
      <c r="G643" t="s">
        <v>82</v>
      </c>
      <c r="H643" s="6">
        <v>4656220</v>
      </c>
      <c r="I643" s="6">
        <v>1.9041381428172556E-2</v>
      </c>
      <c r="J643" s="6">
        <v>46975.087983301695</v>
      </c>
      <c r="K643" s="6">
        <v>46352499</v>
      </c>
      <c r="M643" s="6">
        <f t="shared" ref="M643:M706" si="55">SUM(H643,J643)</f>
        <v>4703195.0879833018</v>
      </c>
      <c r="N643" s="6">
        <f t="shared" ref="N643:N706" si="56">K643</f>
        <v>46352499</v>
      </c>
      <c r="O643" s="6">
        <f t="shared" ref="O643:O706" si="57">SUM(M643:N643)</f>
        <v>51055694.087983303</v>
      </c>
      <c r="P643" s="8">
        <f>VLOOKUP(F643,'LEAID Match'!$A$2:$B$436,2,FALSE)</f>
        <v>1801200</v>
      </c>
      <c r="Q643" s="6">
        <f t="shared" ref="Q643:Q706" si="58">COUNTIF($P$2:$P$3691,P643)</f>
        <v>9</v>
      </c>
    </row>
    <row r="644" spans="1:17" x14ac:dyDescent="0.2">
      <c r="A644" s="16">
        <f t="shared" si="54"/>
        <v>1804260</v>
      </c>
      <c r="B644">
        <v>2015</v>
      </c>
      <c r="C644" t="s">
        <v>904</v>
      </c>
      <c r="D644" t="s">
        <v>906</v>
      </c>
      <c r="E644" t="s">
        <v>1550</v>
      </c>
      <c r="F644" t="s">
        <v>489</v>
      </c>
      <c r="G644" t="s">
        <v>83</v>
      </c>
      <c r="H644" s="6">
        <v>397100</v>
      </c>
      <c r="I644" s="6">
        <v>1.9309809728594327E-3</v>
      </c>
      <c r="J644" s="6">
        <v>11220.930433286163</v>
      </c>
      <c r="K644" s="6">
        <v>1632868.4063454999</v>
      </c>
      <c r="M644" s="6">
        <f t="shared" si="55"/>
        <v>408320.93043328618</v>
      </c>
      <c r="N644" s="6">
        <f t="shared" si="56"/>
        <v>1632868.4063454999</v>
      </c>
      <c r="O644" s="6">
        <f t="shared" si="57"/>
        <v>2041189.336778786</v>
      </c>
      <c r="P644" s="8">
        <f>VLOOKUP(F644,'LEAID Match'!$A$2:$B$436,2,FALSE)</f>
        <v>1804260</v>
      </c>
      <c r="Q644" s="6">
        <f t="shared" si="58"/>
        <v>9</v>
      </c>
    </row>
    <row r="645" spans="1:17" x14ac:dyDescent="0.2">
      <c r="A645" s="16">
        <f t="shared" si="54"/>
        <v>1804260</v>
      </c>
      <c r="B645">
        <v>2016</v>
      </c>
      <c r="C645" t="s">
        <v>904</v>
      </c>
      <c r="D645" t="s">
        <v>906</v>
      </c>
      <c r="E645" t="s">
        <v>1551</v>
      </c>
      <c r="F645" t="s">
        <v>489</v>
      </c>
      <c r="G645" t="s">
        <v>83</v>
      </c>
      <c r="H645" s="6">
        <v>392685</v>
      </c>
      <c r="I645" s="6">
        <v>1.8221066281013066E-3</v>
      </c>
      <c r="J645" s="6">
        <v>9197.9942586553952</v>
      </c>
      <c r="K645" s="6">
        <v>1617119.63243991</v>
      </c>
      <c r="M645" s="6">
        <f t="shared" si="55"/>
        <v>401882.99425865541</v>
      </c>
      <c r="N645" s="6">
        <f t="shared" si="56"/>
        <v>1617119.63243991</v>
      </c>
      <c r="O645" s="6">
        <f t="shared" si="57"/>
        <v>2019002.6266985654</v>
      </c>
      <c r="P645" s="8">
        <f>VLOOKUP(F645,'LEAID Match'!$A$2:$B$436,2,FALSE)</f>
        <v>1804260</v>
      </c>
      <c r="Q645" s="6">
        <f t="shared" si="58"/>
        <v>9</v>
      </c>
    </row>
    <row r="646" spans="1:17" x14ac:dyDescent="0.2">
      <c r="A646" s="16">
        <f t="shared" si="54"/>
        <v>1804260</v>
      </c>
      <c r="B646">
        <v>2017</v>
      </c>
      <c r="C646" t="s">
        <v>904</v>
      </c>
      <c r="D646" t="s">
        <v>906</v>
      </c>
      <c r="E646" t="s">
        <v>1552</v>
      </c>
      <c r="F646" t="s">
        <v>489</v>
      </c>
      <c r="G646" t="s">
        <v>83</v>
      </c>
      <c r="H646" s="6">
        <v>410687</v>
      </c>
      <c r="I646" s="6">
        <v>1.8084305554049217E-3</v>
      </c>
      <c r="J646" s="6">
        <v>8183.1482632072702</v>
      </c>
      <c r="K646" s="6">
        <v>1575143.0137576801</v>
      </c>
      <c r="M646" s="6">
        <f t="shared" si="55"/>
        <v>418870.14826320729</v>
      </c>
      <c r="N646" s="6">
        <f t="shared" si="56"/>
        <v>1575143.0137576801</v>
      </c>
      <c r="O646" s="6">
        <f t="shared" si="57"/>
        <v>1994013.1620208872</v>
      </c>
      <c r="P646" s="8">
        <f>VLOOKUP(F646,'LEAID Match'!$A$2:$B$436,2,FALSE)</f>
        <v>1804260</v>
      </c>
      <c r="Q646" s="6">
        <f t="shared" si="58"/>
        <v>9</v>
      </c>
    </row>
    <row r="647" spans="1:17" x14ac:dyDescent="0.2">
      <c r="A647" s="16">
        <f t="shared" si="54"/>
        <v>1804260</v>
      </c>
      <c r="B647">
        <v>2018</v>
      </c>
      <c r="C647" t="s">
        <v>904</v>
      </c>
      <c r="D647" t="s">
        <v>906</v>
      </c>
      <c r="E647" t="s">
        <v>1553</v>
      </c>
      <c r="F647" t="s">
        <v>489</v>
      </c>
      <c r="G647" t="s">
        <v>83</v>
      </c>
      <c r="H647" s="6">
        <v>426654</v>
      </c>
      <c r="I647" s="6">
        <v>1.8100244795826444E-3</v>
      </c>
      <c r="J647" s="6">
        <v>7544.1820309004615</v>
      </c>
      <c r="K647" s="6">
        <v>1860583</v>
      </c>
      <c r="M647" s="6">
        <f t="shared" si="55"/>
        <v>434198.18203090044</v>
      </c>
      <c r="N647" s="6">
        <f t="shared" si="56"/>
        <v>1860583</v>
      </c>
      <c r="O647" s="6">
        <f t="shared" si="57"/>
        <v>2294781.1820309004</v>
      </c>
      <c r="P647" s="8">
        <f>VLOOKUP(F647,'LEAID Match'!$A$2:$B$436,2,FALSE)</f>
        <v>1804260</v>
      </c>
      <c r="Q647" s="6">
        <f t="shared" si="58"/>
        <v>9</v>
      </c>
    </row>
    <row r="648" spans="1:17" x14ac:dyDescent="0.2">
      <c r="A648" s="16">
        <f t="shared" si="54"/>
        <v>1804260</v>
      </c>
      <c r="B648">
        <v>2019</v>
      </c>
      <c r="C648" t="s">
        <v>904</v>
      </c>
      <c r="D648" t="s">
        <v>906</v>
      </c>
      <c r="E648" t="s">
        <v>1554</v>
      </c>
      <c r="F648" t="s">
        <v>489</v>
      </c>
      <c r="G648" t="s">
        <v>83</v>
      </c>
      <c r="H648" s="6">
        <v>455489</v>
      </c>
      <c r="I648" s="6">
        <v>1.1587615456872462E-3</v>
      </c>
      <c r="J648" s="6">
        <v>4061.4592176337978</v>
      </c>
      <c r="K648" s="6">
        <v>1093755.0229741901</v>
      </c>
      <c r="M648" s="6">
        <f t="shared" si="55"/>
        <v>459550.45921763382</v>
      </c>
      <c r="N648" s="6">
        <f t="shared" si="56"/>
        <v>1093755.0229741901</v>
      </c>
      <c r="O648" s="6">
        <f t="shared" si="57"/>
        <v>1553305.4821918239</v>
      </c>
      <c r="P648" s="8">
        <f>VLOOKUP(F648,'LEAID Match'!$A$2:$B$436,2,FALSE)</f>
        <v>1804260</v>
      </c>
      <c r="Q648" s="6">
        <f t="shared" si="58"/>
        <v>9</v>
      </c>
    </row>
    <row r="649" spans="1:17" x14ac:dyDescent="0.2">
      <c r="A649" s="16">
        <f t="shared" si="54"/>
        <v>1804260</v>
      </c>
      <c r="B649">
        <v>2020</v>
      </c>
      <c r="C649" t="s">
        <v>904</v>
      </c>
      <c r="D649" t="s">
        <v>906</v>
      </c>
      <c r="E649" t="s">
        <v>1555</v>
      </c>
      <c r="F649" t="s">
        <v>489</v>
      </c>
      <c r="G649" t="s">
        <v>83</v>
      </c>
      <c r="H649" s="6">
        <v>352859</v>
      </c>
      <c r="I649" s="6">
        <v>1.8696967022888541E-3</v>
      </c>
      <c r="J649" s="6">
        <v>4405.0054305925405</v>
      </c>
      <c r="K649" s="6">
        <v>2013934</v>
      </c>
      <c r="M649" s="6">
        <f t="shared" si="55"/>
        <v>357264.00543059252</v>
      </c>
      <c r="N649" s="6">
        <f t="shared" si="56"/>
        <v>2013934</v>
      </c>
      <c r="O649" s="6">
        <f t="shared" si="57"/>
        <v>2371198.0054305927</v>
      </c>
      <c r="P649" s="8">
        <f>VLOOKUP(F649,'LEAID Match'!$A$2:$B$436,2,FALSE)</f>
        <v>1804260</v>
      </c>
      <c r="Q649" s="6">
        <f t="shared" si="58"/>
        <v>9</v>
      </c>
    </row>
    <row r="650" spans="1:17" x14ac:dyDescent="0.2">
      <c r="A650" s="16">
        <f t="shared" si="54"/>
        <v>1804260</v>
      </c>
      <c r="B650">
        <v>2021</v>
      </c>
      <c r="C650" t="s">
        <v>904</v>
      </c>
      <c r="D650" t="s">
        <v>906</v>
      </c>
      <c r="E650" t="s">
        <v>1556</v>
      </c>
      <c r="F650" t="s">
        <v>489</v>
      </c>
      <c r="G650" t="s">
        <v>83</v>
      </c>
      <c r="H650" s="6">
        <v>378538</v>
      </c>
      <c r="I650" s="6">
        <v>1.8700129236290917E-3</v>
      </c>
      <c r="J650" s="6">
        <v>4215.0091298599727</v>
      </c>
      <c r="K650" s="6">
        <v>3429154</v>
      </c>
      <c r="M650" s="6">
        <f t="shared" si="55"/>
        <v>382753.00912985997</v>
      </c>
      <c r="N650" s="6">
        <f t="shared" si="56"/>
        <v>3429154</v>
      </c>
      <c r="O650" s="6">
        <f t="shared" si="57"/>
        <v>3811907.00912986</v>
      </c>
      <c r="P650" s="8">
        <f>VLOOKUP(F650,'LEAID Match'!$A$2:$B$436,2,FALSE)</f>
        <v>1804260</v>
      </c>
      <c r="Q650" s="6">
        <f t="shared" si="58"/>
        <v>9</v>
      </c>
    </row>
    <row r="651" spans="1:17" x14ac:dyDescent="0.2">
      <c r="A651" s="16">
        <f t="shared" si="54"/>
        <v>1804260</v>
      </c>
      <c r="B651">
        <v>2022</v>
      </c>
      <c r="C651" t="s">
        <v>904</v>
      </c>
      <c r="D651" t="s">
        <v>906</v>
      </c>
      <c r="E651" t="s">
        <v>1557</v>
      </c>
      <c r="F651" t="s">
        <v>489</v>
      </c>
      <c r="G651" t="s">
        <v>83</v>
      </c>
      <c r="H651" s="6">
        <v>397151</v>
      </c>
      <c r="I651" s="6">
        <v>1.8857467589643089E-3</v>
      </c>
      <c r="J651" s="6">
        <v>4158.0716035163014</v>
      </c>
      <c r="K651" s="6">
        <v>3284854</v>
      </c>
      <c r="M651" s="6">
        <f t="shared" si="55"/>
        <v>401309.07160351629</v>
      </c>
      <c r="N651" s="6">
        <f t="shared" si="56"/>
        <v>3284854</v>
      </c>
      <c r="O651" s="6">
        <f t="shared" si="57"/>
        <v>3686163.0716035161</v>
      </c>
      <c r="P651" s="8">
        <f>VLOOKUP(F651,'LEAID Match'!$A$2:$B$436,2,FALSE)</f>
        <v>1804260</v>
      </c>
      <c r="Q651" s="6">
        <f t="shared" si="58"/>
        <v>9</v>
      </c>
    </row>
    <row r="652" spans="1:17" x14ac:dyDescent="0.2">
      <c r="A652" s="16">
        <f t="shared" si="54"/>
        <v>1804260</v>
      </c>
      <c r="B652">
        <v>2023</v>
      </c>
      <c r="C652" t="s">
        <v>904</v>
      </c>
      <c r="D652" t="s">
        <v>906</v>
      </c>
      <c r="E652" t="s">
        <v>1558</v>
      </c>
      <c r="F652" t="s">
        <v>489</v>
      </c>
      <c r="G652" t="s">
        <v>83</v>
      </c>
      <c r="H652" s="6">
        <v>462605</v>
      </c>
      <c r="I652" s="6">
        <v>1.8918002705155179E-3</v>
      </c>
      <c r="J652" s="6">
        <v>4667.0712673617827</v>
      </c>
      <c r="K652" s="6">
        <v>9757440</v>
      </c>
      <c r="M652" s="6">
        <f t="shared" si="55"/>
        <v>467272.07126736181</v>
      </c>
      <c r="N652" s="6">
        <f t="shared" si="56"/>
        <v>9757440</v>
      </c>
      <c r="O652" s="6">
        <f t="shared" si="57"/>
        <v>10224712.071267363</v>
      </c>
      <c r="P652" s="8">
        <f>VLOOKUP(F652,'LEAID Match'!$A$2:$B$436,2,FALSE)</f>
        <v>1804260</v>
      </c>
      <c r="Q652" s="6">
        <f t="shared" si="58"/>
        <v>9</v>
      </c>
    </row>
    <row r="653" spans="1:17" x14ac:dyDescent="0.2">
      <c r="A653" s="16">
        <f t="shared" si="54"/>
        <v>1810650</v>
      </c>
      <c r="B653">
        <v>2015</v>
      </c>
      <c r="C653" t="s">
        <v>904</v>
      </c>
      <c r="D653" t="s">
        <v>906</v>
      </c>
      <c r="E653" t="s">
        <v>1559</v>
      </c>
      <c r="F653" t="s">
        <v>490</v>
      </c>
      <c r="G653" t="s">
        <v>84</v>
      </c>
      <c r="H653" s="6">
        <v>4223807</v>
      </c>
      <c r="I653" s="6">
        <v>2.0539136111887388E-2</v>
      </c>
      <c r="J653" s="6">
        <v>119352.91994617762</v>
      </c>
      <c r="K653" s="6">
        <v>17368222.1223897</v>
      </c>
      <c r="M653" s="6">
        <f t="shared" si="55"/>
        <v>4343159.9199461779</v>
      </c>
      <c r="N653" s="6">
        <f t="shared" si="56"/>
        <v>17368222.1223897</v>
      </c>
      <c r="O653" s="6">
        <f t="shared" si="57"/>
        <v>21711382.042335879</v>
      </c>
      <c r="P653" s="8">
        <f>VLOOKUP(F653,'LEAID Match'!$A$2:$B$436,2,FALSE)</f>
        <v>1810650</v>
      </c>
      <c r="Q653" s="6">
        <f t="shared" si="58"/>
        <v>9</v>
      </c>
    </row>
    <row r="654" spans="1:17" x14ac:dyDescent="0.2">
      <c r="A654" s="16">
        <f t="shared" si="54"/>
        <v>1810650</v>
      </c>
      <c r="B654">
        <v>2016</v>
      </c>
      <c r="C654" t="s">
        <v>904</v>
      </c>
      <c r="D654" t="s">
        <v>906</v>
      </c>
      <c r="E654" t="s">
        <v>1560</v>
      </c>
      <c r="F654" t="s">
        <v>490</v>
      </c>
      <c r="G654" t="s">
        <v>84</v>
      </c>
      <c r="H654" s="6">
        <v>4556230</v>
      </c>
      <c r="I654" s="6">
        <v>2.1141466779107977E-2</v>
      </c>
      <c r="J654" s="6">
        <v>106722.12430093707</v>
      </c>
      <c r="K654" s="6">
        <v>18763051.766458299</v>
      </c>
      <c r="M654" s="6">
        <f t="shared" si="55"/>
        <v>4662952.1243009372</v>
      </c>
      <c r="N654" s="6">
        <f t="shared" si="56"/>
        <v>18763051.766458299</v>
      </c>
      <c r="O654" s="6">
        <f t="shared" si="57"/>
        <v>23426003.890759237</v>
      </c>
      <c r="P654" s="8">
        <f>VLOOKUP(F654,'LEAID Match'!$A$2:$B$436,2,FALSE)</f>
        <v>1810650</v>
      </c>
      <c r="Q654" s="6">
        <f t="shared" si="58"/>
        <v>9</v>
      </c>
    </row>
    <row r="655" spans="1:17" x14ac:dyDescent="0.2">
      <c r="A655" s="16">
        <f t="shared" si="54"/>
        <v>1810650</v>
      </c>
      <c r="B655">
        <v>2017</v>
      </c>
      <c r="C655" t="s">
        <v>904</v>
      </c>
      <c r="D655" t="s">
        <v>906</v>
      </c>
      <c r="E655" t="s">
        <v>1561</v>
      </c>
      <c r="F655" t="s">
        <v>490</v>
      </c>
      <c r="G655" t="s">
        <v>84</v>
      </c>
      <c r="H655" s="6">
        <v>5188874</v>
      </c>
      <c r="I655" s="6">
        <v>2.2848832053963621E-2</v>
      </c>
      <c r="J655" s="6">
        <v>103390.96504418539</v>
      </c>
      <c r="K655" s="6">
        <v>19901332.719002299</v>
      </c>
      <c r="M655" s="6">
        <f t="shared" si="55"/>
        <v>5292264.9650441855</v>
      </c>
      <c r="N655" s="6">
        <f t="shared" si="56"/>
        <v>19901332.719002299</v>
      </c>
      <c r="O655" s="6">
        <f t="shared" si="57"/>
        <v>25193597.684046485</v>
      </c>
      <c r="P655" s="8">
        <f>VLOOKUP(F655,'LEAID Match'!$A$2:$B$436,2,FALSE)</f>
        <v>1810650</v>
      </c>
      <c r="Q655" s="6">
        <f t="shared" si="58"/>
        <v>9</v>
      </c>
    </row>
    <row r="656" spans="1:17" x14ac:dyDescent="0.2">
      <c r="A656" s="16">
        <f t="shared" si="54"/>
        <v>1810650</v>
      </c>
      <c r="B656">
        <v>2018</v>
      </c>
      <c r="C656" t="s">
        <v>904</v>
      </c>
      <c r="D656" t="s">
        <v>906</v>
      </c>
      <c r="E656" t="s">
        <v>1562</v>
      </c>
      <c r="F656" t="s">
        <v>490</v>
      </c>
      <c r="G656" t="s">
        <v>84</v>
      </c>
      <c r="H656" s="6">
        <v>5426194</v>
      </c>
      <c r="I656" s="6">
        <v>2.3019927086033336E-2</v>
      </c>
      <c r="J656" s="6">
        <v>95947.056094586937</v>
      </c>
      <c r="K656" s="6">
        <v>5954968</v>
      </c>
      <c r="M656" s="6">
        <f t="shared" si="55"/>
        <v>5522141.0560945868</v>
      </c>
      <c r="N656" s="6">
        <f t="shared" si="56"/>
        <v>5954968</v>
      </c>
      <c r="O656" s="6">
        <f t="shared" si="57"/>
        <v>11477109.056094587</v>
      </c>
      <c r="P656" s="8">
        <f>VLOOKUP(F656,'LEAID Match'!$A$2:$B$436,2,FALSE)</f>
        <v>1810650</v>
      </c>
      <c r="Q656" s="6">
        <f t="shared" si="58"/>
        <v>9</v>
      </c>
    </row>
    <row r="657" spans="1:17" x14ac:dyDescent="0.2">
      <c r="A657" s="16">
        <f t="shared" si="54"/>
        <v>1810650</v>
      </c>
      <c r="B657">
        <v>2019</v>
      </c>
      <c r="C657" t="s">
        <v>904</v>
      </c>
      <c r="D657" t="s">
        <v>906</v>
      </c>
      <c r="E657" t="s">
        <v>1563</v>
      </c>
      <c r="F657" t="s">
        <v>490</v>
      </c>
      <c r="G657" t="s">
        <v>84</v>
      </c>
      <c r="H657" s="6">
        <v>5699147</v>
      </c>
      <c r="I657" s="6">
        <v>1.4498599059074604E-2</v>
      </c>
      <c r="J657" s="6">
        <v>50817.589702056488</v>
      </c>
      <c r="K657" s="6">
        <v>13685227.6518605</v>
      </c>
      <c r="M657" s="6">
        <f t="shared" si="55"/>
        <v>5749964.5897020567</v>
      </c>
      <c r="N657" s="6">
        <f t="shared" si="56"/>
        <v>13685227.6518605</v>
      </c>
      <c r="O657" s="6">
        <f t="shared" si="57"/>
        <v>19435192.241562556</v>
      </c>
      <c r="P657" s="8">
        <f>VLOOKUP(F657,'LEAID Match'!$A$2:$B$436,2,FALSE)</f>
        <v>1810650</v>
      </c>
      <c r="Q657" s="6">
        <f t="shared" si="58"/>
        <v>9</v>
      </c>
    </row>
    <row r="658" spans="1:17" x14ac:dyDescent="0.2">
      <c r="A658" s="16">
        <f t="shared" si="54"/>
        <v>1810650</v>
      </c>
      <c r="B658">
        <v>2020</v>
      </c>
      <c r="C658" t="s">
        <v>904</v>
      </c>
      <c r="D658" t="s">
        <v>906</v>
      </c>
      <c r="E658" t="s">
        <v>1564</v>
      </c>
      <c r="F658" t="s">
        <v>490</v>
      </c>
      <c r="G658" t="s">
        <v>84</v>
      </c>
      <c r="H658" s="6">
        <v>4456529</v>
      </c>
      <c r="I658" s="6">
        <v>2.3613844552511469E-2</v>
      </c>
      <c r="J658" s="6">
        <v>55634.217765717018</v>
      </c>
      <c r="K658" s="6">
        <v>7008757</v>
      </c>
      <c r="M658" s="6">
        <f t="shared" si="55"/>
        <v>4512163.2177657168</v>
      </c>
      <c r="N658" s="6">
        <f t="shared" si="56"/>
        <v>7008757</v>
      </c>
      <c r="O658" s="6">
        <f t="shared" si="57"/>
        <v>11520920.217765717</v>
      </c>
      <c r="P658" s="8">
        <f>VLOOKUP(F658,'LEAID Match'!$A$2:$B$436,2,FALSE)</f>
        <v>1810650</v>
      </c>
      <c r="Q658" s="6">
        <f t="shared" si="58"/>
        <v>9</v>
      </c>
    </row>
    <row r="659" spans="1:17" x14ac:dyDescent="0.2">
      <c r="A659" s="16">
        <f t="shared" si="54"/>
        <v>1810650</v>
      </c>
      <c r="B659">
        <v>2021</v>
      </c>
      <c r="C659" t="s">
        <v>904</v>
      </c>
      <c r="D659" t="s">
        <v>906</v>
      </c>
      <c r="E659" t="s">
        <v>1565</v>
      </c>
      <c r="F659" t="s">
        <v>490</v>
      </c>
      <c r="G659" t="s">
        <v>84</v>
      </c>
      <c r="H659" s="6">
        <v>4602533</v>
      </c>
      <c r="I659" s="6">
        <v>2.2736941050645838E-2</v>
      </c>
      <c r="J659" s="6">
        <v>51249.065128155722</v>
      </c>
      <c r="K659" s="6">
        <v>12136302</v>
      </c>
      <c r="M659" s="6">
        <f t="shared" si="55"/>
        <v>4653782.065128156</v>
      </c>
      <c r="N659" s="6">
        <f t="shared" si="56"/>
        <v>12136302</v>
      </c>
      <c r="O659" s="6">
        <f t="shared" si="57"/>
        <v>16790084.065128155</v>
      </c>
      <c r="P659" s="8">
        <f>VLOOKUP(F659,'LEAID Match'!$A$2:$B$436,2,FALSE)</f>
        <v>1810650</v>
      </c>
      <c r="Q659" s="6">
        <f t="shared" si="58"/>
        <v>9</v>
      </c>
    </row>
    <row r="660" spans="1:17" x14ac:dyDescent="0.2">
      <c r="A660" s="16">
        <f t="shared" si="54"/>
        <v>1810650</v>
      </c>
      <c r="B660">
        <v>2022</v>
      </c>
      <c r="C660" t="s">
        <v>904</v>
      </c>
      <c r="D660" t="s">
        <v>906</v>
      </c>
      <c r="E660" t="s">
        <v>1566</v>
      </c>
      <c r="F660" t="s">
        <v>490</v>
      </c>
      <c r="G660" t="s">
        <v>84</v>
      </c>
      <c r="H660" s="6">
        <v>4716179</v>
      </c>
      <c r="I660" s="6">
        <v>2.2393294399222299E-2</v>
      </c>
      <c r="J660" s="6">
        <v>49377.214150285166</v>
      </c>
      <c r="K660" s="6">
        <v>11400477</v>
      </c>
      <c r="M660" s="6">
        <f t="shared" si="55"/>
        <v>4765556.2141502853</v>
      </c>
      <c r="N660" s="6">
        <f t="shared" si="56"/>
        <v>11400477</v>
      </c>
      <c r="O660" s="6">
        <f t="shared" si="57"/>
        <v>16166033.214150285</v>
      </c>
      <c r="P660" s="8">
        <f>VLOOKUP(F660,'LEAID Match'!$A$2:$B$436,2,FALSE)</f>
        <v>1810650</v>
      </c>
      <c r="Q660" s="6">
        <f t="shared" si="58"/>
        <v>9</v>
      </c>
    </row>
    <row r="661" spans="1:17" x14ac:dyDescent="0.2">
      <c r="A661" s="16">
        <f t="shared" si="54"/>
        <v>1810650</v>
      </c>
      <c r="B661">
        <v>2023</v>
      </c>
      <c r="C661" t="s">
        <v>904</v>
      </c>
      <c r="D661" t="s">
        <v>906</v>
      </c>
      <c r="E661" t="s">
        <v>1567</v>
      </c>
      <c r="F661" t="s">
        <v>490</v>
      </c>
      <c r="G661" t="s">
        <v>84</v>
      </c>
      <c r="H661" s="6">
        <v>5561254</v>
      </c>
      <c r="I661" s="6">
        <v>2.27424732149577E-2</v>
      </c>
      <c r="J661" s="6">
        <v>56105.681421300644</v>
      </c>
      <c r="K661" s="6">
        <v>43954642</v>
      </c>
      <c r="M661" s="6">
        <f t="shared" si="55"/>
        <v>5617359.6814213004</v>
      </c>
      <c r="N661" s="6">
        <f t="shared" si="56"/>
        <v>43954642</v>
      </c>
      <c r="O661" s="6">
        <f t="shared" si="57"/>
        <v>49572001.681421302</v>
      </c>
      <c r="P661" s="8">
        <f>VLOOKUP(F661,'LEAID Match'!$A$2:$B$436,2,FALSE)</f>
        <v>1810650</v>
      </c>
      <c r="Q661" s="6">
        <f t="shared" si="58"/>
        <v>9</v>
      </c>
    </row>
    <row r="662" spans="1:17" x14ac:dyDescent="0.2">
      <c r="A662" s="16">
        <f t="shared" si="54"/>
        <v>1813080</v>
      </c>
      <c r="B662">
        <v>2015</v>
      </c>
      <c r="C662" t="s">
        <v>904</v>
      </c>
      <c r="D662" t="s">
        <v>906</v>
      </c>
      <c r="E662" t="s">
        <v>1568</v>
      </c>
      <c r="F662" t="s">
        <v>491</v>
      </c>
      <c r="G662" t="s">
        <v>85</v>
      </c>
      <c r="H662" s="6">
        <v>1584729</v>
      </c>
      <c r="I662" s="6">
        <v>7.7060728938266329E-3</v>
      </c>
      <c r="J662" s="6">
        <v>44779.989586026561</v>
      </c>
      <c r="K662" s="6">
        <v>6516378.5361861</v>
      </c>
      <c r="M662" s="6">
        <f t="shared" si="55"/>
        <v>1629508.9895860266</v>
      </c>
      <c r="N662" s="6">
        <f t="shared" si="56"/>
        <v>6516378.5361861</v>
      </c>
      <c r="O662" s="6">
        <f t="shared" si="57"/>
        <v>8145887.5257721264</v>
      </c>
      <c r="P662" s="8">
        <f>VLOOKUP(F662,'LEAID Match'!$A$2:$B$436,2,FALSE)</f>
        <v>1813080</v>
      </c>
      <c r="Q662" s="6">
        <f t="shared" si="58"/>
        <v>9</v>
      </c>
    </row>
    <row r="663" spans="1:17" x14ac:dyDescent="0.2">
      <c r="A663" s="16">
        <f t="shared" si="54"/>
        <v>1813080</v>
      </c>
      <c r="B663">
        <v>2016</v>
      </c>
      <c r="C663" t="s">
        <v>904</v>
      </c>
      <c r="D663" t="s">
        <v>906</v>
      </c>
      <c r="E663" t="s">
        <v>1569</v>
      </c>
      <c r="F663" t="s">
        <v>491</v>
      </c>
      <c r="G663" t="s">
        <v>85</v>
      </c>
      <c r="H663" s="6">
        <v>1835476</v>
      </c>
      <c r="I663" s="6">
        <v>8.516834066289454E-3</v>
      </c>
      <c r="J663" s="6">
        <v>42992.978366629162</v>
      </c>
      <c r="K663" s="6">
        <v>7558690.2338318899</v>
      </c>
      <c r="M663" s="6">
        <f t="shared" si="55"/>
        <v>1878468.9783666292</v>
      </c>
      <c r="N663" s="6">
        <f t="shared" si="56"/>
        <v>7558690.2338318899</v>
      </c>
      <c r="O663" s="6">
        <f t="shared" si="57"/>
        <v>9437159.2121985182</v>
      </c>
      <c r="P663" s="8">
        <f>VLOOKUP(F663,'LEAID Match'!$A$2:$B$436,2,FALSE)</f>
        <v>1813080</v>
      </c>
      <c r="Q663" s="6">
        <f t="shared" si="58"/>
        <v>9</v>
      </c>
    </row>
    <row r="664" spans="1:17" x14ac:dyDescent="0.2">
      <c r="A664" s="16">
        <f t="shared" si="54"/>
        <v>1813080</v>
      </c>
      <c r="B664">
        <v>2017</v>
      </c>
      <c r="C664" t="s">
        <v>904</v>
      </c>
      <c r="D664" t="s">
        <v>906</v>
      </c>
      <c r="E664" t="s">
        <v>1570</v>
      </c>
      <c r="F664" t="s">
        <v>491</v>
      </c>
      <c r="G664" t="s">
        <v>85</v>
      </c>
      <c r="H664" s="6">
        <v>1996461</v>
      </c>
      <c r="I664" s="6">
        <v>8.7912718811997102E-3</v>
      </c>
      <c r="J664" s="6">
        <v>39780.505262428691</v>
      </c>
      <c r="K664" s="6">
        <v>7657197.8085249402</v>
      </c>
      <c r="M664" s="6">
        <f t="shared" si="55"/>
        <v>2036241.5052624287</v>
      </c>
      <c r="N664" s="6">
        <f t="shared" si="56"/>
        <v>7657197.8085249402</v>
      </c>
      <c r="O664" s="6">
        <f t="shared" si="57"/>
        <v>9693439.3137873691</v>
      </c>
      <c r="P664" s="8">
        <f>VLOOKUP(F664,'LEAID Match'!$A$2:$B$436,2,FALSE)</f>
        <v>1813080</v>
      </c>
      <c r="Q664" s="6">
        <f t="shared" si="58"/>
        <v>9</v>
      </c>
    </row>
    <row r="665" spans="1:17" x14ac:dyDescent="0.2">
      <c r="A665" s="16">
        <f t="shared" si="54"/>
        <v>1813080</v>
      </c>
      <c r="B665">
        <v>2018</v>
      </c>
      <c r="C665" t="s">
        <v>904</v>
      </c>
      <c r="D665" t="s">
        <v>906</v>
      </c>
      <c r="E665" t="s">
        <v>1571</v>
      </c>
      <c r="F665" t="s">
        <v>491</v>
      </c>
      <c r="G665" t="s">
        <v>85</v>
      </c>
      <c r="H665" s="6">
        <v>2173293</v>
      </c>
      <c r="I665" s="6">
        <v>9.2199148052182888E-3</v>
      </c>
      <c r="J665" s="6">
        <v>38428.604908149828</v>
      </c>
      <c r="K665" s="6">
        <v>2699269</v>
      </c>
      <c r="M665" s="6">
        <f t="shared" si="55"/>
        <v>2211721.6049081497</v>
      </c>
      <c r="N665" s="6">
        <f t="shared" si="56"/>
        <v>2699269</v>
      </c>
      <c r="O665" s="6">
        <f t="shared" si="57"/>
        <v>4910990.6049081497</v>
      </c>
      <c r="P665" s="8">
        <f>VLOOKUP(F665,'LEAID Match'!$A$2:$B$436,2,FALSE)</f>
        <v>1813080</v>
      </c>
      <c r="Q665" s="6">
        <f t="shared" si="58"/>
        <v>9</v>
      </c>
    </row>
    <row r="666" spans="1:17" x14ac:dyDescent="0.2">
      <c r="A666" s="16">
        <f t="shared" si="54"/>
        <v>1813080</v>
      </c>
      <c r="B666">
        <v>2019</v>
      </c>
      <c r="C666" t="s">
        <v>904</v>
      </c>
      <c r="D666" t="s">
        <v>906</v>
      </c>
      <c r="E666" t="s">
        <v>1572</v>
      </c>
      <c r="F666" t="s">
        <v>491</v>
      </c>
      <c r="G666" t="s">
        <v>85</v>
      </c>
      <c r="H666" s="6">
        <v>2305278</v>
      </c>
      <c r="I666" s="6">
        <v>5.8646147294859011E-3</v>
      </c>
      <c r="J666" s="6">
        <v>20555.474626848085</v>
      </c>
      <c r="K666" s="6">
        <v>5535609.8431617403</v>
      </c>
      <c r="M666" s="6">
        <f t="shared" si="55"/>
        <v>2325833.474626848</v>
      </c>
      <c r="N666" s="6">
        <f t="shared" si="56"/>
        <v>5535609.8431617403</v>
      </c>
      <c r="O666" s="6">
        <f t="shared" si="57"/>
        <v>7861443.3177885879</v>
      </c>
      <c r="P666" s="8">
        <f>VLOOKUP(F666,'LEAID Match'!$A$2:$B$436,2,FALSE)</f>
        <v>1813080</v>
      </c>
      <c r="Q666" s="6">
        <f t="shared" si="58"/>
        <v>9</v>
      </c>
    </row>
    <row r="667" spans="1:17" x14ac:dyDescent="0.2">
      <c r="A667" s="16">
        <f t="shared" si="54"/>
        <v>1813080</v>
      </c>
      <c r="B667">
        <v>2020</v>
      </c>
      <c r="C667" t="s">
        <v>904</v>
      </c>
      <c r="D667" t="s">
        <v>906</v>
      </c>
      <c r="E667" t="s">
        <v>1573</v>
      </c>
      <c r="F667" t="s">
        <v>491</v>
      </c>
      <c r="G667" t="s">
        <v>85</v>
      </c>
      <c r="H667" s="6">
        <v>1795431</v>
      </c>
      <c r="I667" s="6">
        <v>9.5134640745657036E-3</v>
      </c>
      <c r="J667" s="6">
        <v>22413.721359676798</v>
      </c>
      <c r="K667" s="6">
        <v>2865616</v>
      </c>
      <c r="M667" s="6">
        <f t="shared" si="55"/>
        <v>1817844.7213596767</v>
      </c>
      <c r="N667" s="6">
        <f t="shared" si="56"/>
        <v>2865616</v>
      </c>
      <c r="O667" s="6">
        <f t="shared" si="57"/>
        <v>4683460.7213596767</v>
      </c>
      <c r="P667" s="8">
        <f>VLOOKUP(F667,'LEAID Match'!$A$2:$B$436,2,FALSE)</f>
        <v>1813080</v>
      </c>
      <c r="Q667" s="6">
        <f t="shared" si="58"/>
        <v>9</v>
      </c>
    </row>
    <row r="668" spans="1:17" x14ac:dyDescent="0.2">
      <c r="A668" s="16">
        <f t="shared" si="54"/>
        <v>1813080</v>
      </c>
      <c r="B668">
        <v>2021</v>
      </c>
      <c r="C668" t="s">
        <v>904</v>
      </c>
      <c r="D668" t="s">
        <v>906</v>
      </c>
      <c r="E668" t="s">
        <v>1574</v>
      </c>
      <c r="F668" t="s">
        <v>491</v>
      </c>
      <c r="G668" t="s">
        <v>85</v>
      </c>
      <c r="H668" s="6">
        <v>1900905</v>
      </c>
      <c r="I668" s="6">
        <v>9.3906474821316716E-3</v>
      </c>
      <c r="J668" s="6">
        <v>21166.519424724789</v>
      </c>
      <c r="K668" s="6">
        <v>5078037</v>
      </c>
      <c r="M668" s="6">
        <f t="shared" si="55"/>
        <v>1922071.5194247249</v>
      </c>
      <c r="N668" s="6">
        <f t="shared" si="56"/>
        <v>5078037</v>
      </c>
      <c r="O668" s="6">
        <f t="shared" si="57"/>
        <v>7000108.5194247253</v>
      </c>
      <c r="P668" s="8">
        <f>VLOOKUP(F668,'LEAID Match'!$A$2:$B$436,2,FALSE)</f>
        <v>1813080</v>
      </c>
      <c r="Q668" s="6">
        <f t="shared" si="58"/>
        <v>9</v>
      </c>
    </row>
    <row r="669" spans="1:17" x14ac:dyDescent="0.2">
      <c r="A669" s="16">
        <f t="shared" si="54"/>
        <v>1813080</v>
      </c>
      <c r="B669">
        <v>2022</v>
      </c>
      <c r="C669" t="s">
        <v>904</v>
      </c>
      <c r="D669" t="s">
        <v>906</v>
      </c>
      <c r="E669" t="s">
        <v>1575</v>
      </c>
      <c r="F669" t="s">
        <v>491</v>
      </c>
      <c r="G669" t="s">
        <v>85</v>
      </c>
      <c r="H669" s="6">
        <v>2014968</v>
      </c>
      <c r="I669" s="6">
        <v>9.5674425480907661E-3</v>
      </c>
      <c r="J669" s="6">
        <v>21096.210818540138</v>
      </c>
      <c r="K669" s="6">
        <v>5193254</v>
      </c>
      <c r="M669" s="6">
        <f t="shared" si="55"/>
        <v>2036064.2108185401</v>
      </c>
      <c r="N669" s="6">
        <f t="shared" si="56"/>
        <v>5193254</v>
      </c>
      <c r="O669" s="6">
        <f t="shared" si="57"/>
        <v>7229318.2108185403</v>
      </c>
      <c r="P669" s="8">
        <f>VLOOKUP(F669,'LEAID Match'!$A$2:$B$436,2,FALSE)</f>
        <v>1813080</v>
      </c>
      <c r="Q669" s="6">
        <f t="shared" si="58"/>
        <v>9</v>
      </c>
    </row>
    <row r="670" spans="1:17" x14ac:dyDescent="0.2">
      <c r="A670" s="16">
        <f t="shared" si="54"/>
        <v>1813080</v>
      </c>
      <c r="B670">
        <v>2023</v>
      </c>
      <c r="C670" t="s">
        <v>904</v>
      </c>
      <c r="D670" t="s">
        <v>906</v>
      </c>
      <c r="E670" t="s">
        <v>1576</v>
      </c>
      <c r="F670" t="s">
        <v>491</v>
      </c>
      <c r="G670" t="s">
        <v>85</v>
      </c>
      <c r="H670" s="6">
        <v>2526804</v>
      </c>
      <c r="I670" s="6">
        <v>1.0333240001166638E-2</v>
      </c>
      <c r="J670" s="6">
        <v>25492.103082878097</v>
      </c>
      <c r="K670" s="6">
        <v>18451472</v>
      </c>
      <c r="M670" s="6">
        <f t="shared" si="55"/>
        <v>2552296.103082878</v>
      </c>
      <c r="N670" s="6">
        <f t="shared" si="56"/>
        <v>18451472</v>
      </c>
      <c r="O670" s="6">
        <f t="shared" si="57"/>
        <v>21003768.103082877</v>
      </c>
      <c r="P670" s="8">
        <f>VLOOKUP(F670,'LEAID Match'!$A$2:$B$436,2,FALSE)</f>
        <v>1813080</v>
      </c>
      <c r="Q670" s="6">
        <f t="shared" si="58"/>
        <v>9</v>
      </c>
    </row>
    <row r="671" spans="1:17" x14ac:dyDescent="0.2">
      <c r="A671" s="16">
        <f t="shared" si="54"/>
        <v>1806480</v>
      </c>
      <c r="B671">
        <v>2015</v>
      </c>
      <c r="C671" t="s">
        <v>904</v>
      </c>
      <c r="D671" t="s">
        <v>906</v>
      </c>
      <c r="E671" t="s">
        <v>1577</v>
      </c>
      <c r="F671" t="s">
        <v>492</v>
      </c>
      <c r="G671" t="s">
        <v>86</v>
      </c>
      <c r="H671" s="6">
        <v>229923</v>
      </c>
      <c r="I671" s="6">
        <v>1.1180481949704341E-3</v>
      </c>
      <c r="J671" s="6">
        <v>6496.9780609731924</v>
      </c>
      <c r="K671" s="6">
        <v>945439.44243811804</v>
      </c>
      <c r="M671" s="6">
        <f t="shared" si="55"/>
        <v>236419.9780609732</v>
      </c>
      <c r="N671" s="6">
        <f t="shared" si="56"/>
        <v>945439.44243811804</v>
      </c>
      <c r="O671" s="6">
        <f t="shared" si="57"/>
        <v>1181859.4204990913</v>
      </c>
      <c r="P671" s="8">
        <f>VLOOKUP(F671,'LEAID Match'!$A$2:$B$436,2,FALSE)</f>
        <v>1806480</v>
      </c>
      <c r="Q671" s="6">
        <f t="shared" si="58"/>
        <v>9</v>
      </c>
    </row>
    <row r="672" spans="1:17" x14ac:dyDescent="0.2">
      <c r="A672" s="16">
        <f t="shared" si="54"/>
        <v>1806480</v>
      </c>
      <c r="B672">
        <v>2016</v>
      </c>
      <c r="C672" t="s">
        <v>904</v>
      </c>
      <c r="D672" t="s">
        <v>906</v>
      </c>
      <c r="E672" t="s">
        <v>1578</v>
      </c>
      <c r="F672" t="s">
        <v>492</v>
      </c>
      <c r="G672" t="s">
        <v>86</v>
      </c>
      <c r="H672" s="6">
        <v>248400</v>
      </c>
      <c r="I672" s="6">
        <v>1.1526065075578762E-3</v>
      </c>
      <c r="J672" s="6">
        <v>5818.3576501521593</v>
      </c>
      <c r="K672" s="6">
        <v>1022938.27545761</v>
      </c>
      <c r="M672" s="6">
        <f t="shared" si="55"/>
        <v>254218.35765015215</v>
      </c>
      <c r="N672" s="6">
        <f t="shared" si="56"/>
        <v>1022938.27545761</v>
      </c>
      <c r="O672" s="6">
        <f t="shared" si="57"/>
        <v>1277156.6331077621</v>
      </c>
      <c r="P672" s="8">
        <f>VLOOKUP(F672,'LEAID Match'!$A$2:$B$436,2,FALSE)</f>
        <v>1806480</v>
      </c>
      <c r="Q672" s="6">
        <f t="shared" si="58"/>
        <v>9</v>
      </c>
    </row>
    <row r="673" spans="1:17" x14ac:dyDescent="0.2">
      <c r="A673" s="16">
        <f t="shared" si="54"/>
        <v>1806480</v>
      </c>
      <c r="B673">
        <v>2017</v>
      </c>
      <c r="C673" t="s">
        <v>904</v>
      </c>
      <c r="D673" t="s">
        <v>906</v>
      </c>
      <c r="E673" t="s">
        <v>1579</v>
      </c>
      <c r="F673" t="s">
        <v>492</v>
      </c>
      <c r="G673" t="s">
        <v>86</v>
      </c>
      <c r="H673" s="6">
        <v>242013</v>
      </c>
      <c r="I673" s="6">
        <v>1.0656867736383458E-3</v>
      </c>
      <c r="J673" s="6">
        <v>4822.2326507135149</v>
      </c>
      <c r="K673" s="6">
        <v>928213.17983899906</v>
      </c>
      <c r="M673" s="6">
        <f t="shared" si="55"/>
        <v>246835.23265071353</v>
      </c>
      <c r="N673" s="6">
        <f t="shared" si="56"/>
        <v>928213.17983899906</v>
      </c>
      <c r="O673" s="6">
        <f t="shared" si="57"/>
        <v>1175048.4124897127</v>
      </c>
      <c r="P673" s="8">
        <f>VLOOKUP(F673,'LEAID Match'!$A$2:$B$436,2,FALSE)</f>
        <v>1806480</v>
      </c>
      <c r="Q673" s="6">
        <f t="shared" si="58"/>
        <v>9</v>
      </c>
    </row>
    <row r="674" spans="1:17" x14ac:dyDescent="0.2">
      <c r="A674" s="16">
        <f t="shared" si="54"/>
        <v>1806480</v>
      </c>
      <c r="B674">
        <v>2018</v>
      </c>
      <c r="C674" t="s">
        <v>904</v>
      </c>
      <c r="D674" t="s">
        <v>906</v>
      </c>
      <c r="E674" t="s">
        <v>1580</v>
      </c>
      <c r="F674" t="s">
        <v>492</v>
      </c>
      <c r="G674" t="s">
        <v>86</v>
      </c>
      <c r="H674" s="6">
        <v>258244</v>
      </c>
      <c r="I674" s="6">
        <v>1.09556680988656E-3</v>
      </c>
      <c r="J674" s="6">
        <v>4566.3224636071818</v>
      </c>
      <c r="K674" s="6">
        <v>930383</v>
      </c>
      <c r="M674" s="6">
        <f t="shared" si="55"/>
        <v>262810.32246360718</v>
      </c>
      <c r="N674" s="6">
        <f t="shared" si="56"/>
        <v>930383</v>
      </c>
      <c r="O674" s="6">
        <f t="shared" si="57"/>
        <v>1193193.3224636072</v>
      </c>
      <c r="P674" s="8">
        <f>VLOOKUP(F674,'LEAID Match'!$A$2:$B$436,2,FALSE)</f>
        <v>1806480</v>
      </c>
      <c r="Q674" s="6">
        <f t="shared" si="58"/>
        <v>9</v>
      </c>
    </row>
    <row r="675" spans="1:17" x14ac:dyDescent="0.2">
      <c r="A675" s="16">
        <f t="shared" si="54"/>
        <v>1806480</v>
      </c>
      <c r="B675">
        <v>2019</v>
      </c>
      <c r="C675" t="s">
        <v>904</v>
      </c>
      <c r="D675" t="s">
        <v>906</v>
      </c>
      <c r="E675" t="s">
        <v>1581</v>
      </c>
      <c r="F675" t="s">
        <v>492</v>
      </c>
      <c r="G675" t="s">
        <v>86</v>
      </c>
      <c r="H675" s="6">
        <v>272279</v>
      </c>
      <c r="I675" s="6">
        <v>6.9267629931387526E-4</v>
      </c>
      <c r="J675" s="6">
        <v>2427.8304290951328</v>
      </c>
      <c r="K675" s="6">
        <v>653817.15892236598</v>
      </c>
      <c r="M675" s="6">
        <f t="shared" si="55"/>
        <v>274706.83042909513</v>
      </c>
      <c r="N675" s="6">
        <f t="shared" si="56"/>
        <v>653817.15892236598</v>
      </c>
      <c r="O675" s="6">
        <f t="shared" si="57"/>
        <v>928523.98935146118</v>
      </c>
      <c r="P675" s="8">
        <f>VLOOKUP(F675,'LEAID Match'!$A$2:$B$436,2,FALSE)</f>
        <v>1806480</v>
      </c>
      <c r="Q675" s="6">
        <f t="shared" si="58"/>
        <v>9</v>
      </c>
    </row>
    <row r="676" spans="1:17" x14ac:dyDescent="0.2">
      <c r="A676" s="16">
        <f t="shared" si="54"/>
        <v>1806480</v>
      </c>
      <c r="B676">
        <v>2020</v>
      </c>
      <c r="C676" t="s">
        <v>904</v>
      </c>
      <c r="D676" t="s">
        <v>906</v>
      </c>
      <c r="E676" t="s">
        <v>1582</v>
      </c>
      <c r="F676" t="s">
        <v>492</v>
      </c>
      <c r="G676" t="s">
        <v>86</v>
      </c>
      <c r="H676" s="6">
        <v>196851</v>
      </c>
      <c r="I676" s="6">
        <v>1.0430559105542533E-3</v>
      </c>
      <c r="J676" s="6">
        <v>2457.4397252658209</v>
      </c>
      <c r="K676" s="6">
        <v>1071061</v>
      </c>
      <c r="M676" s="6">
        <f t="shared" si="55"/>
        <v>199308.43972526581</v>
      </c>
      <c r="N676" s="6">
        <f t="shared" si="56"/>
        <v>1071061</v>
      </c>
      <c r="O676" s="6">
        <f t="shared" si="57"/>
        <v>1270369.4397252658</v>
      </c>
      <c r="P676" s="8">
        <f>VLOOKUP(F676,'LEAID Match'!$A$2:$B$436,2,FALSE)</f>
        <v>1806480</v>
      </c>
      <c r="Q676" s="6">
        <f t="shared" si="58"/>
        <v>9</v>
      </c>
    </row>
    <row r="677" spans="1:17" x14ac:dyDescent="0.2">
      <c r="A677" s="16">
        <f t="shared" si="54"/>
        <v>1806480</v>
      </c>
      <c r="B677">
        <v>2021</v>
      </c>
      <c r="C677" t="s">
        <v>904</v>
      </c>
      <c r="D677" t="s">
        <v>906</v>
      </c>
      <c r="E677" t="s">
        <v>1583</v>
      </c>
      <c r="F677" t="s">
        <v>492</v>
      </c>
      <c r="G677" t="s">
        <v>86</v>
      </c>
      <c r="H677" s="6">
        <v>203176</v>
      </c>
      <c r="I677" s="6">
        <v>1.0037083351506701E-3</v>
      </c>
      <c r="J677" s="6">
        <v>2262.3585874296105</v>
      </c>
      <c r="K677" s="6">
        <v>1844685</v>
      </c>
      <c r="M677" s="6">
        <f t="shared" si="55"/>
        <v>205438.3585874296</v>
      </c>
      <c r="N677" s="6">
        <f t="shared" si="56"/>
        <v>1844685</v>
      </c>
      <c r="O677" s="6">
        <f t="shared" si="57"/>
        <v>2050123.3585874296</v>
      </c>
      <c r="P677" s="8">
        <f>VLOOKUP(F677,'LEAID Match'!$A$2:$B$436,2,FALSE)</f>
        <v>1806480</v>
      </c>
      <c r="Q677" s="6">
        <f t="shared" si="58"/>
        <v>9</v>
      </c>
    </row>
    <row r="678" spans="1:17" x14ac:dyDescent="0.2">
      <c r="A678" s="16">
        <f t="shared" si="54"/>
        <v>1806480</v>
      </c>
      <c r="B678">
        <v>2022</v>
      </c>
      <c r="C678" t="s">
        <v>904</v>
      </c>
      <c r="D678" t="s">
        <v>906</v>
      </c>
      <c r="E678" t="s">
        <v>1584</v>
      </c>
      <c r="F678" t="s">
        <v>492</v>
      </c>
      <c r="G678" t="s">
        <v>86</v>
      </c>
      <c r="H678" s="6">
        <v>235661</v>
      </c>
      <c r="I678" s="6">
        <v>1.1189622258644396E-3</v>
      </c>
      <c r="J678" s="6">
        <v>2467.3117080310894</v>
      </c>
      <c r="K678" s="6">
        <v>1832585</v>
      </c>
      <c r="M678" s="6">
        <f t="shared" si="55"/>
        <v>238128.31170803108</v>
      </c>
      <c r="N678" s="6">
        <f t="shared" si="56"/>
        <v>1832585</v>
      </c>
      <c r="O678" s="6">
        <f t="shared" si="57"/>
        <v>2070713.311708031</v>
      </c>
      <c r="P678" s="8">
        <f>VLOOKUP(F678,'LEAID Match'!$A$2:$B$436,2,FALSE)</f>
        <v>1806480</v>
      </c>
      <c r="Q678" s="6">
        <f t="shared" si="58"/>
        <v>9</v>
      </c>
    </row>
    <row r="679" spans="1:17" x14ac:dyDescent="0.2">
      <c r="A679" s="16">
        <f t="shared" si="54"/>
        <v>1806480</v>
      </c>
      <c r="B679">
        <v>2023</v>
      </c>
      <c r="C679" t="s">
        <v>904</v>
      </c>
      <c r="D679" t="s">
        <v>906</v>
      </c>
      <c r="E679" t="s">
        <v>1585</v>
      </c>
      <c r="F679" t="s">
        <v>492</v>
      </c>
      <c r="G679" t="s">
        <v>86</v>
      </c>
      <c r="H679" s="6">
        <v>283764</v>
      </c>
      <c r="I679" s="6">
        <v>1.1604388451542146E-3</v>
      </c>
      <c r="J679" s="6">
        <v>2862.8026309954475</v>
      </c>
      <c r="K679" s="6">
        <v>4690263</v>
      </c>
      <c r="M679" s="6">
        <f t="shared" si="55"/>
        <v>286626.80263099546</v>
      </c>
      <c r="N679" s="6">
        <f t="shared" si="56"/>
        <v>4690263</v>
      </c>
      <c r="O679" s="6">
        <f t="shared" si="57"/>
        <v>4976889.8026309954</v>
      </c>
      <c r="P679" s="8">
        <f>VLOOKUP(F679,'LEAID Match'!$A$2:$B$436,2,FALSE)</f>
        <v>1806480</v>
      </c>
      <c r="Q679" s="6">
        <f t="shared" si="58"/>
        <v>9</v>
      </c>
    </row>
    <row r="680" spans="1:17" x14ac:dyDescent="0.2">
      <c r="A680" s="16">
        <f t="shared" si="54"/>
        <v>1803120</v>
      </c>
      <c r="B680">
        <v>2015</v>
      </c>
      <c r="C680" t="s">
        <v>904</v>
      </c>
      <c r="D680" t="s">
        <v>906</v>
      </c>
      <c r="E680" t="s">
        <v>1586</v>
      </c>
      <c r="F680" t="s">
        <v>672</v>
      </c>
      <c r="G680" t="s">
        <v>87</v>
      </c>
      <c r="H680" s="6">
        <v>202815</v>
      </c>
      <c r="I680" s="6">
        <v>9.8622993203345728E-4</v>
      </c>
      <c r="J680" s="6">
        <v>5730.9821350464199</v>
      </c>
      <c r="K680" s="6">
        <v>833971.81020640396</v>
      </c>
      <c r="M680" s="6">
        <f t="shared" si="55"/>
        <v>208545.98213504642</v>
      </c>
      <c r="N680" s="6">
        <f t="shared" si="56"/>
        <v>833971.81020640396</v>
      </c>
      <c r="O680" s="6">
        <f t="shared" si="57"/>
        <v>1042517.7923414503</v>
      </c>
      <c r="P680" s="8">
        <f>VLOOKUP(F680,'LEAID Match'!$A$2:$B$436,2,FALSE)</f>
        <v>1803120</v>
      </c>
      <c r="Q680" s="6">
        <f t="shared" si="58"/>
        <v>9</v>
      </c>
    </row>
    <row r="681" spans="1:17" x14ac:dyDescent="0.2">
      <c r="A681" s="16">
        <f t="shared" si="54"/>
        <v>1803120</v>
      </c>
      <c r="B681">
        <v>2016</v>
      </c>
      <c r="C681" t="s">
        <v>904</v>
      </c>
      <c r="D681" t="s">
        <v>906</v>
      </c>
      <c r="E681" t="s">
        <v>1587</v>
      </c>
      <c r="F681" t="s">
        <v>672</v>
      </c>
      <c r="G681" t="s">
        <v>87</v>
      </c>
      <c r="H681" s="6">
        <v>214784</v>
      </c>
      <c r="I681" s="6">
        <v>9.9662413896662986E-4</v>
      </c>
      <c r="J681" s="6">
        <v>5030.9586535035478</v>
      </c>
      <c r="K681" s="6">
        <v>884503.92333288398</v>
      </c>
      <c r="M681" s="6">
        <f t="shared" si="55"/>
        <v>219814.95865350353</v>
      </c>
      <c r="N681" s="6">
        <f t="shared" si="56"/>
        <v>884503.92333288398</v>
      </c>
      <c r="O681" s="6">
        <f t="shared" si="57"/>
        <v>1104318.8819863875</v>
      </c>
      <c r="P681" s="8">
        <f>VLOOKUP(F681,'LEAID Match'!$A$2:$B$436,2,FALSE)</f>
        <v>1803120</v>
      </c>
      <c r="Q681" s="6">
        <f t="shared" si="58"/>
        <v>9</v>
      </c>
    </row>
    <row r="682" spans="1:17" x14ac:dyDescent="0.2">
      <c r="A682" s="16">
        <f t="shared" si="54"/>
        <v>1803120</v>
      </c>
      <c r="B682">
        <v>2017</v>
      </c>
      <c r="C682" t="s">
        <v>904</v>
      </c>
      <c r="D682" t="s">
        <v>906</v>
      </c>
      <c r="E682" t="s">
        <v>1588</v>
      </c>
      <c r="F682" t="s">
        <v>672</v>
      </c>
      <c r="G682" t="s">
        <v>87</v>
      </c>
      <c r="H682" s="6">
        <v>227473</v>
      </c>
      <c r="I682" s="6">
        <v>1.0016609333376118E-3</v>
      </c>
      <c r="J682" s="6">
        <v>4532.5157233526934</v>
      </c>
      <c r="K682" s="6">
        <v>872446.67293705896</v>
      </c>
      <c r="M682" s="6">
        <f t="shared" si="55"/>
        <v>232005.5157233527</v>
      </c>
      <c r="N682" s="6">
        <f t="shared" si="56"/>
        <v>872446.67293705896</v>
      </c>
      <c r="O682" s="6">
        <f t="shared" si="57"/>
        <v>1104452.1886604116</v>
      </c>
      <c r="P682" s="8">
        <f>VLOOKUP(F682,'LEAID Match'!$A$2:$B$436,2,FALSE)</f>
        <v>1803120</v>
      </c>
      <c r="Q682" s="6">
        <f t="shared" si="58"/>
        <v>9</v>
      </c>
    </row>
    <row r="683" spans="1:17" x14ac:dyDescent="0.2">
      <c r="A683" s="16">
        <f t="shared" si="54"/>
        <v>1803120</v>
      </c>
      <c r="B683">
        <v>2018</v>
      </c>
      <c r="C683" t="s">
        <v>904</v>
      </c>
      <c r="D683" t="s">
        <v>906</v>
      </c>
      <c r="E683" t="s">
        <v>1589</v>
      </c>
      <c r="F683" t="s">
        <v>672</v>
      </c>
      <c r="G683" t="s">
        <v>87</v>
      </c>
      <c r="H683" s="6">
        <v>250203</v>
      </c>
      <c r="I683" s="6">
        <v>1.0614539061277203E-3</v>
      </c>
      <c r="J683" s="6">
        <v>4424.1398807403384</v>
      </c>
      <c r="K683" s="6">
        <v>781592</v>
      </c>
      <c r="M683" s="6">
        <f t="shared" si="55"/>
        <v>254627.13988074035</v>
      </c>
      <c r="N683" s="6">
        <f t="shared" si="56"/>
        <v>781592</v>
      </c>
      <c r="O683" s="6">
        <f t="shared" si="57"/>
        <v>1036219.1398807403</v>
      </c>
      <c r="P683" s="8">
        <f>VLOOKUP(F683,'LEAID Match'!$A$2:$B$436,2,FALSE)</f>
        <v>1803120</v>
      </c>
      <c r="Q683" s="6">
        <f t="shared" si="58"/>
        <v>9</v>
      </c>
    </row>
    <row r="684" spans="1:17" x14ac:dyDescent="0.2">
      <c r="A684" s="16">
        <f t="shared" si="54"/>
        <v>1803120</v>
      </c>
      <c r="B684">
        <v>2019</v>
      </c>
      <c r="C684" t="s">
        <v>904</v>
      </c>
      <c r="D684" t="s">
        <v>906</v>
      </c>
      <c r="E684" t="s">
        <v>1590</v>
      </c>
      <c r="F684" t="s">
        <v>672</v>
      </c>
      <c r="G684" t="s">
        <v>87</v>
      </c>
      <c r="H684" s="6">
        <v>272517</v>
      </c>
      <c r="I684" s="6">
        <v>6.9328177002309891E-4</v>
      </c>
      <c r="J684" s="6">
        <v>2429.9526039309617</v>
      </c>
      <c r="K684" s="6">
        <v>654388.66272480297</v>
      </c>
      <c r="M684" s="6">
        <f t="shared" si="55"/>
        <v>274946.95260393096</v>
      </c>
      <c r="N684" s="6">
        <f t="shared" si="56"/>
        <v>654388.66272480297</v>
      </c>
      <c r="O684" s="6">
        <f t="shared" si="57"/>
        <v>929335.61532873393</v>
      </c>
      <c r="P684" s="8">
        <f>VLOOKUP(F684,'LEAID Match'!$A$2:$B$436,2,FALSE)</f>
        <v>1803120</v>
      </c>
      <c r="Q684" s="6">
        <f t="shared" si="58"/>
        <v>9</v>
      </c>
    </row>
    <row r="685" spans="1:17" x14ac:dyDescent="0.2">
      <c r="A685" s="16">
        <f t="shared" si="54"/>
        <v>1803120</v>
      </c>
      <c r="B685">
        <v>2020</v>
      </c>
      <c r="C685" t="s">
        <v>904</v>
      </c>
      <c r="D685" t="s">
        <v>906</v>
      </c>
      <c r="E685" t="s">
        <v>1591</v>
      </c>
      <c r="F685" t="s">
        <v>672</v>
      </c>
      <c r="G685" t="s">
        <v>87</v>
      </c>
      <c r="H685" s="6">
        <v>217027</v>
      </c>
      <c r="I685" s="6">
        <v>1.1499626372223554E-3</v>
      </c>
      <c r="J685" s="6">
        <v>2709.3119732958694</v>
      </c>
      <c r="K685" s="6">
        <v>747675</v>
      </c>
      <c r="M685" s="6">
        <f t="shared" si="55"/>
        <v>219736.31197329587</v>
      </c>
      <c r="N685" s="6">
        <f t="shared" si="56"/>
        <v>747675</v>
      </c>
      <c r="O685" s="6">
        <f t="shared" si="57"/>
        <v>967411.31197329587</v>
      </c>
      <c r="P685" s="8">
        <f>VLOOKUP(F685,'LEAID Match'!$A$2:$B$436,2,FALSE)</f>
        <v>1803120</v>
      </c>
      <c r="Q685" s="6">
        <f t="shared" si="58"/>
        <v>9</v>
      </c>
    </row>
    <row r="686" spans="1:17" x14ac:dyDescent="0.2">
      <c r="A686" s="16">
        <f t="shared" si="54"/>
        <v>1803120</v>
      </c>
      <c r="B686">
        <v>2021</v>
      </c>
      <c r="C686" t="s">
        <v>904</v>
      </c>
      <c r="D686" t="s">
        <v>906</v>
      </c>
      <c r="E686" t="s">
        <v>1592</v>
      </c>
      <c r="F686" t="s">
        <v>672</v>
      </c>
      <c r="G686" t="s">
        <v>87</v>
      </c>
      <c r="H686" s="6">
        <v>221577</v>
      </c>
      <c r="I686" s="6">
        <v>1.0946109864239872E-3</v>
      </c>
      <c r="J686" s="6">
        <v>2467.2531633996673</v>
      </c>
      <c r="K686" s="6">
        <v>1218281</v>
      </c>
      <c r="M686" s="6">
        <f t="shared" si="55"/>
        <v>224044.25316339967</v>
      </c>
      <c r="N686" s="6">
        <f t="shared" si="56"/>
        <v>1218281</v>
      </c>
      <c r="O686" s="6">
        <f t="shared" si="57"/>
        <v>1442325.2531633996</v>
      </c>
      <c r="P686" s="8">
        <f>VLOOKUP(F686,'LEAID Match'!$A$2:$B$436,2,FALSE)</f>
        <v>1803120</v>
      </c>
      <c r="Q686" s="6">
        <f t="shared" si="58"/>
        <v>9</v>
      </c>
    </row>
    <row r="687" spans="1:17" x14ac:dyDescent="0.2">
      <c r="A687" s="16">
        <f t="shared" si="54"/>
        <v>1803120</v>
      </c>
      <c r="B687">
        <v>2022</v>
      </c>
      <c r="C687" t="s">
        <v>904</v>
      </c>
      <c r="D687" t="s">
        <v>906</v>
      </c>
      <c r="E687" t="s">
        <v>1593</v>
      </c>
      <c r="F687" t="s">
        <v>672</v>
      </c>
      <c r="G687" t="s">
        <v>87</v>
      </c>
      <c r="H687" s="6">
        <v>239235</v>
      </c>
      <c r="I687" s="6">
        <v>1.1359322420963977E-3</v>
      </c>
      <c r="J687" s="6">
        <v>2504.7305938225568</v>
      </c>
      <c r="K687" s="6">
        <v>1202343</v>
      </c>
      <c r="M687" s="6">
        <f t="shared" si="55"/>
        <v>241739.73059382255</v>
      </c>
      <c r="N687" s="6">
        <f t="shared" si="56"/>
        <v>1202343</v>
      </c>
      <c r="O687" s="6">
        <f t="shared" si="57"/>
        <v>1444082.7305938224</v>
      </c>
      <c r="P687" s="8">
        <f>VLOOKUP(F687,'LEAID Match'!$A$2:$B$436,2,FALSE)</f>
        <v>1803120</v>
      </c>
      <c r="Q687" s="6">
        <f t="shared" si="58"/>
        <v>9</v>
      </c>
    </row>
    <row r="688" spans="1:17" x14ac:dyDescent="0.2">
      <c r="A688" s="16">
        <f t="shared" si="54"/>
        <v>1803120</v>
      </c>
      <c r="B688">
        <v>2023</v>
      </c>
      <c r="C688" t="s">
        <v>904</v>
      </c>
      <c r="D688" t="s">
        <v>906</v>
      </c>
      <c r="E688" t="s">
        <v>1594</v>
      </c>
      <c r="F688" t="s">
        <v>672</v>
      </c>
      <c r="G688" t="s">
        <v>87</v>
      </c>
      <c r="H688" s="6">
        <v>279993</v>
      </c>
      <c r="I688" s="6">
        <v>1.1450175271396795E-3</v>
      </c>
      <c r="J688" s="6">
        <v>2824.7582394535893</v>
      </c>
      <c r="K688" s="6">
        <v>3155075</v>
      </c>
      <c r="M688" s="6">
        <f t="shared" si="55"/>
        <v>282817.7582394536</v>
      </c>
      <c r="N688" s="6">
        <f t="shared" si="56"/>
        <v>3155075</v>
      </c>
      <c r="O688" s="6">
        <f t="shared" si="57"/>
        <v>3437892.7582394537</v>
      </c>
      <c r="P688" s="8">
        <f>VLOOKUP(F688,'LEAID Match'!$A$2:$B$436,2,FALSE)</f>
        <v>1803120</v>
      </c>
      <c r="Q688" s="6">
        <f t="shared" si="58"/>
        <v>9</v>
      </c>
    </row>
    <row r="689" spans="1:17" x14ac:dyDescent="0.2">
      <c r="A689" s="16">
        <f t="shared" si="54"/>
        <v>1804050</v>
      </c>
      <c r="B689">
        <v>2015</v>
      </c>
      <c r="C689" t="s">
        <v>904</v>
      </c>
      <c r="D689" t="s">
        <v>906</v>
      </c>
      <c r="E689" t="s">
        <v>1595</v>
      </c>
      <c r="F689" t="s">
        <v>673</v>
      </c>
      <c r="G689" t="s">
        <v>88</v>
      </c>
      <c r="H689" s="6">
        <v>754646</v>
      </c>
      <c r="I689" s="6">
        <v>3.6696224307340205E-3</v>
      </c>
      <c r="J689" s="6">
        <v>21324.175944995393</v>
      </c>
      <c r="K689" s="6">
        <v>3103091.44138757</v>
      </c>
      <c r="M689" s="6">
        <f t="shared" si="55"/>
        <v>775970.17594499537</v>
      </c>
      <c r="N689" s="6">
        <f t="shared" si="56"/>
        <v>3103091.44138757</v>
      </c>
      <c r="O689" s="6">
        <f t="shared" si="57"/>
        <v>3879061.6173325656</v>
      </c>
      <c r="P689" s="8">
        <f>VLOOKUP(F689,'LEAID Match'!$A$2:$B$436,2,FALSE)</f>
        <v>1804050</v>
      </c>
      <c r="Q689" s="6">
        <f t="shared" si="58"/>
        <v>9</v>
      </c>
    </row>
    <row r="690" spans="1:17" x14ac:dyDescent="0.2">
      <c r="A690" s="16">
        <f t="shared" si="54"/>
        <v>1804050</v>
      </c>
      <c r="B690">
        <v>2016</v>
      </c>
      <c r="C690" t="s">
        <v>904</v>
      </c>
      <c r="D690" t="s">
        <v>906</v>
      </c>
      <c r="E690" t="s">
        <v>1596</v>
      </c>
      <c r="F690" t="s">
        <v>673</v>
      </c>
      <c r="G690" t="s">
        <v>88</v>
      </c>
      <c r="H690" s="6">
        <v>887405</v>
      </c>
      <c r="I690" s="6">
        <v>4.1176681877592471E-3</v>
      </c>
      <c r="J690" s="6">
        <v>20785.989011808681</v>
      </c>
      <c r="K690" s="6">
        <v>3654430.5166363302</v>
      </c>
      <c r="M690" s="6">
        <f t="shared" si="55"/>
        <v>908190.98901180865</v>
      </c>
      <c r="N690" s="6">
        <f t="shared" si="56"/>
        <v>3654430.5166363302</v>
      </c>
      <c r="O690" s="6">
        <f t="shared" si="57"/>
        <v>4562621.5056481389</v>
      </c>
      <c r="P690" s="8">
        <f>VLOOKUP(F690,'LEAID Match'!$A$2:$B$436,2,FALSE)</f>
        <v>1804050</v>
      </c>
      <c r="Q690" s="6">
        <f t="shared" si="58"/>
        <v>9</v>
      </c>
    </row>
    <row r="691" spans="1:17" x14ac:dyDescent="0.2">
      <c r="A691" s="16">
        <f t="shared" si="54"/>
        <v>1804050</v>
      </c>
      <c r="B691">
        <v>2017</v>
      </c>
      <c r="C691" t="s">
        <v>904</v>
      </c>
      <c r="D691" t="s">
        <v>906</v>
      </c>
      <c r="E691" t="s">
        <v>1597</v>
      </c>
      <c r="F691" t="s">
        <v>673</v>
      </c>
      <c r="G691" t="s">
        <v>88</v>
      </c>
      <c r="H691" s="6">
        <v>1002793</v>
      </c>
      <c r="I691" s="6">
        <v>4.4157265799651992E-3</v>
      </c>
      <c r="J691" s="6">
        <v>19981.162774342527</v>
      </c>
      <c r="K691" s="6">
        <v>3846097.8511496801</v>
      </c>
      <c r="M691" s="6">
        <f t="shared" si="55"/>
        <v>1022774.1627743426</v>
      </c>
      <c r="N691" s="6">
        <f t="shared" si="56"/>
        <v>3846097.8511496801</v>
      </c>
      <c r="O691" s="6">
        <f t="shared" si="57"/>
        <v>4868872.0139240231</v>
      </c>
      <c r="P691" s="8">
        <f>VLOOKUP(F691,'LEAID Match'!$A$2:$B$436,2,FALSE)</f>
        <v>1804050</v>
      </c>
      <c r="Q691" s="6">
        <f t="shared" si="58"/>
        <v>9</v>
      </c>
    </row>
    <row r="692" spans="1:17" x14ac:dyDescent="0.2">
      <c r="A692" s="16">
        <f t="shared" si="54"/>
        <v>1804050</v>
      </c>
      <c r="B692">
        <v>2018</v>
      </c>
      <c r="C692" t="s">
        <v>904</v>
      </c>
      <c r="D692" t="s">
        <v>906</v>
      </c>
      <c r="E692" t="s">
        <v>1598</v>
      </c>
      <c r="F692" t="s">
        <v>673</v>
      </c>
      <c r="G692" t="s">
        <v>88</v>
      </c>
      <c r="H692" s="6">
        <v>1055918</v>
      </c>
      <c r="I692" s="6">
        <v>4.4795957108850421E-3</v>
      </c>
      <c r="J692" s="6">
        <v>18670.954922968856</v>
      </c>
      <c r="K692" s="6">
        <v>3667928</v>
      </c>
      <c r="M692" s="6">
        <f t="shared" si="55"/>
        <v>1074588.9549229688</v>
      </c>
      <c r="N692" s="6">
        <f t="shared" si="56"/>
        <v>3667928</v>
      </c>
      <c r="O692" s="6">
        <f t="shared" si="57"/>
        <v>4742516.9549229685</v>
      </c>
      <c r="P692" s="8">
        <f>VLOOKUP(F692,'LEAID Match'!$A$2:$B$436,2,FALSE)</f>
        <v>1804050</v>
      </c>
      <c r="Q692" s="6">
        <f t="shared" si="58"/>
        <v>9</v>
      </c>
    </row>
    <row r="693" spans="1:17" x14ac:dyDescent="0.2">
      <c r="A693" s="16">
        <f t="shared" si="54"/>
        <v>1804050</v>
      </c>
      <c r="B693">
        <v>2019</v>
      </c>
      <c r="C693" t="s">
        <v>904</v>
      </c>
      <c r="D693" t="s">
        <v>906</v>
      </c>
      <c r="E693" t="s">
        <v>1599</v>
      </c>
      <c r="F693" t="s">
        <v>673</v>
      </c>
      <c r="G693" t="s">
        <v>88</v>
      </c>
      <c r="H693" s="6">
        <v>1116564</v>
      </c>
      <c r="I693" s="6">
        <v>2.8405327603931918E-3</v>
      </c>
      <c r="J693" s="6">
        <v>9956.0673251781373</v>
      </c>
      <c r="K693" s="6">
        <v>2681178.87253513</v>
      </c>
      <c r="M693" s="6">
        <f t="shared" si="55"/>
        <v>1126520.0673251781</v>
      </c>
      <c r="N693" s="6">
        <f t="shared" si="56"/>
        <v>2681178.87253513</v>
      </c>
      <c r="O693" s="6">
        <f t="shared" si="57"/>
        <v>3807698.9398603081</v>
      </c>
      <c r="P693" s="8">
        <f>VLOOKUP(F693,'LEAID Match'!$A$2:$B$436,2,FALSE)</f>
        <v>1804050</v>
      </c>
      <c r="Q693" s="6">
        <f t="shared" si="58"/>
        <v>9</v>
      </c>
    </row>
    <row r="694" spans="1:17" x14ac:dyDescent="0.2">
      <c r="A694" s="16">
        <f t="shared" si="54"/>
        <v>1804050</v>
      </c>
      <c r="B694">
        <v>2020</v>
      </c>
      <c r="C694" t="s">
        <v>904</v>
      </c>
      <c r="D694" t="s">
        <v>906</v>
      </c>
      <c r="E694" t="s">
        <v>1600</v>
      </c>
      <c r="F694" t="s">
        <v>673</v>
      </c>
      <c r="G694" t="s">
        <v>88</v>
      </c>
      <c r="H694" s="6">
        <v>873339</v>
      </c>
      <c r="I694" s="6">
        <v>4.6275680888973941E-3</v>
      </c>
      <c r="J694" s="6">
        <v>10902.55041744226</v>
      </c>
      <c r="K694" s="6">
        <v>3915410</v>
      </c>
      <c r="M694" s="6">
        <f t="shared" si="55"/>
        <v>884241.55041744222</v>
      </c>
      <c r="N694" s="6">
        <f t="shared" si="56"/>
        <v>3915410</v>
      </c>
      <c r="O694" s="6">
        <f t="shared" si="57"/>
        <v>4799651.5504174419</v>
      </c>
      <c r="P694" s="8">
        <f>VLOOKUP(F694,'LEAID Match'!$A$2:$B$436,2,FALSE)</f>
        <v>1804050</v>
      </c>
      <c r="Q694" s="6">
        <f t="shared" si="58"/>
        <v>9</v>
      </c>
    </row>
    <row r="695" spans="1:17" x14ac:dyDescent="0.2">
      <c r="A695" s="16">
        <f t="shared" si="54"/>
        <v>1804050</v>
      </c>
      <c r="B695">
        <v>2021</v>
      </c>
      <c r="C695" t="s">
        <v>904</v>
      </c>
      <c r="D695" t="s">
        <v>906</v>
      </c>
      <c r="E695" t="s">
        <v>1601</v>
      </c>
      <c r="F695" t="s">
        <v>673</v>
      </c>
      <c r="G695" t="s">
        <v>88</v>
      </c>
      <c r="H695" s="6">
        <v>922560</v>
      </c>
      <c r="I695" s="6">
        <v>4.5575321970931712E-3</v>
      </c>
      <c r="J695" s="6">
        <v>10272.677572248007</v>
      </c>
      <c r="K695" s="6">
        <v>6684244</v>
      </c>
      <c r="M695" s="6">
        <f t="shared" si="55"/>
        <v>932832.67757224804</v>
      </c>
      <c r="N695" s="6">
        <f t="shared" si="56"/>
        <v>6684244</v>
      </c>
      <c r="O695" s="6">
        <f t="shared" si="57"/>
        <v>7617076.6775722485</v>
      </c>
      <c r="P695" s="8">
        <f>VLOOKUP(F695,'LEAID Match'!$A$2:$B$436,2,FALSE)</f>
        <v>1804050</v>
      </c>
      <c r="Q695" s="6">
        <f t="shared" si="58"/>
        <v>9</v>
      </c>
    </row>
    <row r="696" spans="1:17" x14ac:dyDescent="0.2">
      <c r="A696" s="16">
        <f t="shared" si="54"/>
        <v>1804050</v>
      </c>
      <c r="B696">
        <v>2022</v>
      </c>
      <c r="C696" t="s">
        <v>904</v>
      </c>
      <c r="D696" t="s">
        <v>906</v>
      </c>
      <c r="E696" t="s">
        <v>1602</v>
      </c>
      <c r="F696" t="s">
        <v>673</v>
      </c>
      <c r="G696" t="s">
        <v>88</v>
      </c>
      <c r="H696" s="6">
        <v>954018</v>
      </c>
      <c r="I696" s="6">
        <v>4.5298547693285729E-3</v>
      </c>
      <c r="J696" s="6">
        <v>9988.329766369503</v>
      </c>
      <c r="K696" s="6">
        <v>6404745</v>
      </c>
      <c r="M696" s="6">
        <f t="shared" si="55"/>
        <v>964006.32976636954</v>
      </c>
      <c r="N696" s="6">
        <f t="shared" si="56"/>
        <v>6404745</v>
      </c>
      <c r="O696" s="6">
        <f t="shared" si="57"/>
        <v>7368751.3297663694</v>
      </c>
      <c r="P696" s="8">
        <f>VLOOKUP(F696,'LEAID Match'!$A$2:$B$436,2,FALSE)</f>
        <v>1804050</v>
      </c>
      <c r="Q696" s="6">
        <f t="shared" si="58"/>
        <v>9</v>
      </c>
    </row>
    <row r="697" spans="1:17" x14ac:dyDescent="0.2">
      <c r="A697" s="16">
        <f t="shared" si="54"/>
        <v>1804050</v>
      </c>
      <c r="B697">
        <v>2023</v>
      </c>
      <c r="C697" t="s">
        <v>904</v>
      </c>
      <c r="D697" t="s">
        <v>906</v>
      </c>
      <c r="E697" t="s">
        <v>1603</v>
      </c>
      <c r="F697" t="s">
        <v>673</v>
      </c>
      <c r="G697" t="s">
        <v>88</v>
      </c>
      <c r="H697" s="6">
        <v>1120377</v>
      </c>
      <c r="I697" s="6">
        <v>4.581726336030446E-3</v>
      </c>
      <c r="J697" s="6">
        <v>11303.118870987111</v>
      </c>
      <c r="K697" s="6">
        <v>17129728</v>
      </c>
      <c r="M697" s="6">
        <f t="shared" si="55"/>
        <v>1131680.1188709871</v>
      </c>
      <c r="N697" s="6">
        <f t="shared" si="56"/>
        <v>17129728</v>
      </c>
      <c r="O697" s="6">
        <f t="shared" si="57"/>
        <v>18261408.118870988</v>
      </c>
      <c r="P697" s="8">
        <f>VLOOKUP(F697,'LEAID Match'!$A$2:$B$436,2,FALSE)</f>
        <v>1804050</v>
      </c>
      <c r="Q697" s="6">
        <f t="shared" si="58"/>
        <v>9</v>
      </c>
    </row>
    <row r="698" spans="1:17" x14ac:dyDescent="0.2">
      <c r="A698" s="16">
        <f t="shared" si="54"/>
        <v>1807260</v>
      </c>
      <c r="B698">
        <v>2015</v>
      </c>
      <c r="C698" t="s">
        <v>904</v>
      </c>
      <c r="D698" t="s">
        <v>906</v>
      </c>
      <c r="E698" t="s">
        <v>1604</v>
      </c>
      <c r="F698" t="s">
        <v>674</v>
      </c>
      <c r="G698" t="s">
        <v>89</v>
      </c>
      <c r="H698" s="6">
        <v>603542</v>
      </c>
      <c r="I698" s="6">
        <v>2.9348479433934215E-3</v>
      </c>
      <c r="J698" s="6">
        <v>17054.401399059174</v>
      </c>
      <c r="K698" s="6">
        <v>2481754.3785005701</v>
      </c>
      <c r="M698" s="6">
        <f t="shared" si="55"/>
        <v>620596.40139905922</v>
      </c>
      <c r="N698" s="6">
        <f t="shared" si="56"/>
        <v>2481754.3785005701</v>
      </c>
      <c r="O698" s="6">
        <f t="shared" si="57"/>
        <v>3102350.7798996293</v>
      </c>
      <c r="P698" s="8">
        <f>VLOOKUP(F698,'LEAID Match'!$A$2:$B$436,2,FALSE)</f>
        <v>1807260</v>
      </c>
      <c r="Q698" s="6">
        <f t="shared" si="58"/>
        <v>9</v>
      </c>
    </row>
    <row r="699" spans="1:17" x14ac:dyDescent="0.2">
      <c r="A699" s="16">
        <f t="shared" si="54"/>
        <v>1807260</v>
      </c>
      <c r="B699">
        <v>2016</v>
      </c>
      <c r="C699" t="s">
        <v>904</v>
      </c>
      <c r="D699" t="s">
        <v>906</v>
      </c>
      <c r="E699" t="s">
        <v>1605</v>
      </c>
      <c r="F699" t="s">
        <v>674</v>
      </c>
      <c r="G699" t="s">
        <v>89</v>
      </c>
      <c r="H699" s="6">
        <v>669343</v>
      </c>
      <c r="I699" s="6">
        <v>3.105833726200932E-3</v>
      </c>
      <c r="J699" s="6">
        <v>15678.248649862304</v>
      </c>
      <c r="K699" s="6">
        <v>2756427.4320033202</v>
      </c>
      <c r="M699" s="6">
        <f t="shared" si="55"/>
        <v>685021.24864986236</v>
      </c>
      <c r="N699" s="6">
        <f t="shared" si="56"/>
        <v>2756427.4320033202</v>
      </c>
      <c r="O699" s="6">
        <f t="shared" si="57"/>
        <v>3441448.6806531828</v>
      </c>
      <c r="P699" s="8">
        <f>VLOOKUP(F699,'LEAID Match'!$A$2:$B$436,2,FALSE)</f>
        <v>1807260</v>
      </c>
      <c r="Q699" s="6">
        <f t="shared" si="58"/>
        <v>9</v>
      </c>
    </row>
    <row r="700" spans="1:17" x14ac:dyDescent="0.2">
      <c r="A700" s="16">
        <f t="shared" si="54"/>
        <v>1807260</v>
      </c>
      <c r="B700">
        <v>2017</v>
      </c>
      <c r="C700" t="s">
        <v>904</v>
      </c>
      <c r="D700" t="s">
        <v>906</v>
      </c>
      <c r="E700" t="s">
        <v>1606</v>
      </c>
      <c r="F700" t="s">
        <v>674</v>
      </c>
      <c r="G700" t="s">
        <v>89</v>
      </c>
      <c r="H700" s="6">
        <v>818820</v>
      </c>
      <c r="I700" s="6">
        <v>3.605614756193057E-3</v>
      </c>
      <c r="J700" s="6">
        <v>16315.406771773583</v>
      </c>
      <c r="K700" s="6">
        <v>3140490.4526441498</v>
      </c>
      <c r="M700" s="6">
        <f t="shared" si="55"/>
        <v>835135.40677177359</v>
      </c>
      <c r="N700" s="6">
        <f t="shared" si="56"/>
        <v>3140490.4526441498</v>
      </c>
      <c r="O700" s="6">
        <f t="shared" si="57"/>
        <v>3975625.8594159232</v>
      </c>
      <c r="P700" s="8">
        <f>VLOOKUP(F700,'LEAID Match'!$A$2:$B$436,2,FALSE)</f>
        <v>1807260</v>
      </c>
      <c r="Q700" s="6">
        <f t="shared" si="58"/>
        <v>9</v>
      </c>
    </row>
    <row r="701" spans="1:17" x14ac:dyDescent="0.2">
      <c r="A701" s="16">
        <f t="shared" si="54"/>
        <v>1807260</v>
      </c>
      <c r="B701">
        <v>2018</v>
      </c>
      <c r="C701" t="s">
        <v>904</v>
      </c>
      <c r="D701" t="s">
        <v>906</v>
      </c>
      <c r="E701" t="s">
        <v>1607</v>
      </c>
      <c r="F701" t="s">
        <v>674</v>
      </c>
      <c r="G701" t="s">
        <v>89</v>
      </c>
      <c r="H701" s="6">
        <v>931939</v>
      </c>
      <c r="I701" s="6">
        <v>3.9536308190659649E-3</v>
      </c>
      <c r="J701" s="6">
        <v>16478.73325386694</v>
      </c>
      <c r="K701" s="6">
        <v>2091068</v>
      </c>
      <c r="M701" s="6">
        <f t="shared" si="55"/>
        <v>948417.7332538669</v>
      </c>
      <c r="N701" s="6">
        <f t="shared" si="56"/>
        <v>2091068</v>
      </c>
      <c r="O701" s="6">
        <f t="shared" si="57"/>
        <v>3039485.7332538669</v>
      </c>
      <c r="P701" s="8">
        <f>VLOOKUP(F701,'LEAID Match'!$A$2:$B$436,2,FALSE)</f>
        <v>1807260</v>
      </c>
      <c r="Q701" s="6">
        <f t="shared" si="58"/>
        <v>9</v>
      </c>
    </row>
    <row r="702" spans="1:17" x14ac:dyDescent="0.2">
      <c r="A702" s="16">
        <f t="shared" si="54"/>
        <v>1807260</v>
      </c>
      <c r="B702">
        <v>2019</v>
      </c>
      <c r="C702" t="s">
        <v>904</v>
      </c>
      <c r="D702" t="s">
        <v>906</v>
      </c>
      <c r="E702" t="s">
        <v>1608</v>
      </c>
      <c r="F702" t="s">
        <v>674</v>
      </c>
      <c r="G702" t="s">
        <v>89</v>
      </c>
      <c r="H702" s="6">
        <v>991230</v>
      </c>
      <c r="I702" s="6">
        <v>2.5216837441333802E-3</v>
      </c>
      <c r="J702" s="6">
        <v>8838.5015231874968</v>
      </c>
      <c r="K702" s="6">
        <v>2380217.2860874902</v>
      </c>
      <c r="M702" s="6">
        <f t="shared" si="55"/>
        <v>1000068.5015231875</v>
      </c>
      <c r="N702" s="6">
        <f t="shared" si="56"/>
        <v>2380217.2860874902</v>
      </c>
      <c r="O702" s="6">
        <f t="shared" si="57"/>
        <v>3380285.7876106775</v>
      </c>
      <c r="P702" s="8">
        <f>VLOOKUP(F702,'LEAID Match'!$A$2:$B$436,2,FALSE)</f>
        <v>1807260</v>
      </c>
      <c r="Q702" s="6">
        <f t="shared" si="58"/>
        <v>9</v>
      </c>
    </row>
    <row r="703" spans="1:17" x14ac:dyDescent="0.2">
      <c r="A703" s="16">
        <f t="shared" si="54"/>
        <v>1807260</v>
      </c>
      <c r="B703">
        <v>2020</v>
      </c>
      <c r="C703" t="s">
        <v>904</v>
      </c>
      <c r="D703" t="s">
        <v>906</v>
      </c>
      <c r="E703" t="s">
        <v>1609</v>
      </c>
      <c r="F703" t="s">
        <v>674</v>
      </c>
      <c r="G703" t="s">
        <v>89</v>
      </c>
      <c r="H703" s="6">
        <v>769771</v>
      </c>
      <c r="I703" s="6">
        <v>4.0787915292442405E-3</v>
      </c>
      <c r="J703" s="6">
        <v>9609.6328428994311</v>
      </c>
      <c r="K703" s="6">
        <v>2225640</v>
      </c>
      <c r="M703" s="6">
        <f t="shared" si="55"/>
        <v>779380.63284289942</v>
      </c>
      <c r="N703" s="6">
        <f t="shared" si="56"/>
        <v>2225640</v>
      </c>
      <c r="O703" s="6">
        <f t="shared" si="57"/>
        <v>3005020.6328428993</v>
      </c>
      <c r="P703" s="8">
        <f>VLOOKUP(F703,'LEAID Match'!$A$2:$B$436,2,FALSE)</f>
        <v>1807260</v>
      </c>
      <c r="Q703" s="6">
        <f t="shared" si="58"/>
        <v>9</v>
      </c>
    </row>
    <row r="704" spans="1:17" x14ac:dyDescent="0.2">
      <c r="A704" s="16">
        <f t="shared" si="54"/>
        <v>1807260</v>
      </c>
      <c r="B704">
        <v>2021</v>
      </c>
      <c r="C704" t="s">
        <v>904</v>
      </c>
      <c r="D704" t="s">
        <v>906</v>
      </c>
      <c r="E704" t="s">
        <v>1610</v>
      </c>
      <c r="F704" t="s">
        <v>674</v>
      </c>
      <c r="G704" t="s">
        <v>89</v>
      </c>
      <c r="H704" s="6">
        <v>790770</v>
      </c>
      <c r="I704" s="6">
        <v>3.9064773407641419E-3</v>
      </c>
      <c r="J704" s="6">
        <v>8805.1999260823759</v>
      </c>
      <c r="K704" s="6">
        <v>3698800</v>
      </c>
      <c r="M704" s="6">
        <f t="shared" si="55"/>
        <v>799575.19992608239</v>
      </c>
      <c r="N704" s="6">
        <f t="shared" si="56"/>
        <v>3698800</v>
      </c>
      <c r="O704" s="6">
        <f t="shared" si="57"/>
        <v>4498375.199926082</v>
      </c>
      <c r="P704" s="8">
        <f>VLOOKUP(F704,'LEAID Match'!$A$2:$B$436,2,FALSE)</f>
        <v>1807260</v>
      </c>
      <c r="Q704" s="6">
        <f t="shared" si="58"/>
        <v>9</v>
      </c>
    </row>
    <row r="705" spans="1:17" x14ac:dyDescent="0.2">
      <c r="A705" s="16">
        <f t="shared" si="54"/>
        <v>1807260</v>
      </c>
      <c r="B705">
        <v>2022</v>
      </c>
      <c r="C705" t="s">
        <v>904</v>
      </c>
      <c r="D705" t="s">
        <v>906</v>
      </c>
      <c r="E705" t="s">
        <v>1611</v>
      </c>
      <c r="F705" t="s">
        <v>674</v>
      </c>
      <c r="G705" t="s">
        <v>89</v>
      </c>
      <c r="H705" s="6">
        <v>866647</v>
      </c>
      <c r="I705" s="6">
        <v>4.115001023329015E-3</v>
      </c>
      <c r="J705" s="6">
        <v>9073.5772564404779</v>
      </c>
      <c r="K705" s="6">
        <v>3723000</v>
      </c>
      <c r="M705" s="6">
        <f t="shared" si="55"/>
        <v>875720.57725644053</v>
      </c>
      <c r="N705" s="6">
        <f t="shared" si="56"/>
        <v>3723000</v>
      </c>
      <c r="O705" s="6">
        <f t="shared" si="57"/>
        <v>4598720.5772564402</v>
      </c>
      <c r="P705" s="8">
        <f>VLOOKUP(F705,'LEAID Match'!$A$2:$B$436,2,FALSE)</f>
        <v>1807260</v>
      </c>
      <c r="Q705" s="6">
        <f t="shared" si="58"/>
        <v>9</v>
      </c>
    </row>
    <row r="706" spans="1:17" x14ac:dyDescent="0.2">
      <c r="A706" s="16">
        <f t="shared" si="54"/>
        <v>1807260</v>
      </c>
      <c r="B706">
        <v>2023</v>
      </c>
      <c r="C706" t="s">
        <v>904</v>
      </c>
      <c r="D706" t="s">
        <v>906</v>
      </c>
      <c r="E706" t="s">
        <v>1612</v>
      </c>
      <c r="F706" t="s">
        <v>674</v>
      </c>
      <c r="G706" t="s">
        <v>89</v>
      </c>
      <c r="H706" s="6">
        <v>1052932</v>
      </c>
      <c r="I706" s="6">
        <v>4.3059133438558715E-3</v>
      </c>
      <c r="J706" s="6">
        <v>10622.688219292435</v>
      </c>
      <c r="K706" s="6">
        <v>10653990</v>
      </c>
      <c r="M706" s="6">
        <f t="shared" si="55"/>
        <v>1063554.6882192923</v>
      </c>
      <c r="N706" s="6">
        <f t="shared" si="56"/>
        <v>10653990</v>
      </c>
      <c r="O706" s="6">
        <f t="shared" si="57"/>
        <v>11717544.688219292</v>
      </c>
      <c r="P706" s="8">
        <f>VLOOKUP(F706,'LEAID Match'!$A$2:$B$436,2,FALSE)</f>
        <v>1807260</v>
      </c>
      <c r="Q706" s="6">
        <f t="shared" si="58"/>
        <v>9</v>
      </c>
    </row>
    <row r="707" spans="1:17" x14ac:dyDescent="0.2">
      <c r="A707" s="16">
        <f t="shared" ref="A707:A770" si="59">P707</f>
        <v>1810710</v>
      </c>
      <c r="B707">
        <v>2015</v>
      </c>
      <c r="C707" t="s">
        <v>904</v>
      </c>
      <c r="D707" t="s">
        <v>906</v>
      </c>
      <c r="E707" t="s">
        <v>1613</v>
      </c>
      <c r="F707" t="s">
        <v>675</v>
      </c>
      <c r="G707" t="s">
        <v>90</v>
      </c>
      <c r="H707" s="6">
        <v>479554</v>
      </c>
      <c r="I707" s="6">
        <v>2.3319306206462664E-3</v>
      </c>
      <c r="J707" s="6">
        <v>13550.848836575455</v>
      </c>
      <c r="K707" s="6">
        <v>1971917.8437084099</v>
      </c>
      <c r="M707" s="6">
        <f t="shared" ref="M707:M770" si="60">SUM(H707,J707)</f>
        <v>493104.84883657546</v>
      </c>
      <c r="N707" s="6">
        <f t="shared" ref="N707:N770" si="61">K707</f>
        <v>1971917.8437084099</v>
      </c>
      <c r="O707" s="6">
        <f t="shared" ref="O707:O770" si="62">SUM(M707:N707)</f>
        <v>2465022.6925449856</v>
      </c>
      <c r="P707" s="8">
        <f>VLOOKUP(F707,'LEAID Match'!$A$2:$B$436,2,FALSE)</f>
        <v>1810710</v>
      </c>
      <c r="Q707" s="6">
        <f t="shared" ref="Q707:Q770" si="63">COUNTIF($P$2:$P$3691,P707)</f>
        <v>9</v>
      </c>
    </row>
    <row r="708" spans="1:17" x14ac:dyDescent="0.2">
      <c r="A708" s="16">
        <f t="shared" si="59"/>
        <v>1810710</v>
      </c>
      <c r="B708">
        <v>2016</v>
      </c>
      <c r="C708" t="s">
        <v>904</v>
      </c>
      <c r="D708" t="s">
        <v>906</v>
      </c>
      <c r="E708" t="s">
        <v>1614</v>
      </c>
      <c r="F708" t="s">
        <v>675</v>
      </c>
      <c r="G708" t="s">
        <v>90</v>
      </c>
      <c r="H708" s="6">
        <v>535771</v>
      </c>
      <c r="I708" s="6">
        <v>2.486043241388047E-3</v>
      </c>
      <c r="J708" s="6">
        <v>12549.546282526861</v>
      </c>
      <c r="K708" s="6">
        <v>2206363.3767318898</v>
      </c>
      <c r="M708" s="6">
        <f t="shared" si="60"/>
        <v>548320.5462825268</v>
      </c>
      <c r="N708" s="6">
        <f t="shared" si="61"/>
        <v>2206363.3767318898</v>
      </c>
      <c r="O708" s="6">
        <f t="shared" si="62"/>
        <v>2754683.9230144164</v>
      </c>
      <c r="P708" s="8">
        <f>VLOOKUP(F708,'LEAID Match'!$A$2:$B$436,2,FALSE)</f>
        <v>1810710</v>
      </c>
      <c r="Q708" s="6">
        <f t="shared" si="63"/>
        <v>9</v>
      </c>
    </row>
    <row r="709" spans="1:17" x14ac:dyDescent="0.2">
      <c r="A709" s="16">
        <f t="shared" si="59"/>
        <v>1810710</v>
      </c>
      <c r="B709">
        <v>2017</v>
      </c>
      <c r="C709" t="s">
        <v>904</v>
      </c>
      <c r="D709" t="s">
        <v>906</v>
      </c>
      <c r="E709" t="s">
        <v>1615</v>
      </c>
      <c r="F709" t="s">
        <v>675</v>
      </c>
      <c r="G709" t="s">
        <v>90</v>
      </c>
      <c r="H709" s="6">
        <v>666253</v>
      </c>
      <c r="I709" s="6">
        <v>2.9337969860993782E-3</v>
      </c>
      <c r="J709" s="6">
        <v>13275.431362099685</v>
      </c>
      <c r="K709" s="6">
        <v>2555337.1748925499</v>
      </c>
      <c r="M709" s="6">
        <f t="shared" si="60"/>
        <v>679528.43136209971</v>
      </c>
      <c r="N709" s="6">
        <f t="shared" si="61"/>
        <v>2555337.1748925499</v>
      </c>
      <c r="O709" s="6">
        <f t="shared" si="62"/>
        <v>3234865.6062546493</v>
      </c>
      <c r="P709" s="8">
        <f>VLOOKUP(F709,'LEAID Match'!$A$2:$B$436,2,FALSE)</f>
        <v>1810710</v>
      </c>
      <c r="Q709" s="6">
        <f t="shared" si="63"/>
        <v>9</v>
      </c>
    </row>
    <row r="710" spans="1:17" x14ac:dyDescent="0.2">
      <c r="A710" s="16">
        <f t="shared" si="59"/>
        <v>1810710</v>
      </c>
      <c r="B710">
        <v>2018</v>
      </c>
      <c r="C710" t="s">
        <v>904</v>
      </c>
      <c r="D710" t="s">
        <v>906</v>
      </c>
      <c r="E710" t="s">
        <v>1616</v>
      </c>
      <c r="F710" t="s">
        <v>675</v>
      </c>
      <c r="G710" t="s">
        <v>90</v>
      </c>
      <c r="H710" s="6">
        <v>741886</v>
      </c>
      <c r="I710" s="6">
        <v>3.1473555177254863E-3</v>
      </c>
      <c r="J710" s="6">
        <v>13118.177797879827</v>
      </c>
      <c r="K710" s="6">
        <v>2086111</v>
      </c>
      <c r="M710" s="6">
        <f t="shared" si="60"/>
        <v>755004.17779787979</v>
      </c>
      <c r="N710" s="6">
        <f t="shared" si="61"/>
        <v>2086111</v>
      </c>
      <c r="O710" s="6">
        <f t="shared" si="62"/>
        <v>2841115.17779788</v>
      </c>
      <c r="P710" s="8">
        <f>VLOOKUP(F710,'LEAID Match'!$A$2:$B$436,2,FALSE)</f>
        <v>1810710</v>
      </c>
      <c r="Q710" s="6">
        <f t="shared" si="63"/>
        <v>9</v>
      </c>
    </row>
    <row r="711" spans="1:17" x14ac:dyDescent="0.2">
      <c r="A711" s="16">
        <f t="shared" si="59"/>
        <v>1810710</v>
      </c>
      <c r="B711">
        <v>2019</v>
      </c>
      <c r="C711" t="s">
        <v>904</v>
      </c>
      <c r="D711" t="s">
        <v>906</v>
      </c>
      <c r="E711" t="s">
        <v>1617</v>
      </c>
      <c r="F711" t="s">
        <v>675</v>
      </c>
      <c r="G711" t="s">
        <v>90</v>
      </c>
      <c r="H711" s="6">
        <v>813778</v>
      </c>
      <c r="I711" s="6">
        <v>2.0702468185318985E-3</v>
      </c>
      <c r="J711" s="6">
        <v>7256.2150989543043</v>
      </c>
      <c r="K711" s="6">
        <v>1954105.97201225</v>
      </c>
      <c r="M711" s="6">
        <f t="shared" si="60"/>
        <v>821034.21509895427</v>
      </c>
      <c r="N711" s="6">
        <f t="shared" si="61"/>
        <v>1954105.97201225</v>
      </c>
      <c r="O711" s="6">
        <f t="shared" si="62"/>
        <v>2775140.1871112045</v>
      </c>
      <c r="P711" s="8">
        <f>VLOOKUP(F711,'LEAID Match'!$A$2:$B$436,2,FALSE)</f>
        <v>1810710</v>
      </c>
      <c r="Q711" s="6">
        <f t="shared" si="63"/>
        <v>9</v>
      </c>
    </row>
    <row r="712" spans="1:17" x14ac:dyDescent="0.2">
      <c r="A712" s="16">
        <f t="shared" si="59"/>
        <v>1810710</v>
      </c>
      <c r="B712">
        <v>2020</v>
      </c>
      <c r="C712" t="s">
        <v>904</v>
      </c>
      <c r="D712" t="s">
        <v>906</v>
      </c>
      <c r="E712" t="s">
        <v>1618</v>
      </c>
      <c r="F712" t="s">
        <v>675</v>
      </c>
      <c r="G712" t="s">
        <v>90</v>
      </c>
      <c r="H712" s="6">
        <v>616829</v>
      </c>
      <c r="I712" s="6">
        <v>3.2683965753349969E-3</v>
      </c>
      <c r="J712" s="6">
        <v>7700.3423314892525</v>
      </c>
      <c r="K712" s="6">
        <v>2430452</v>
      </c>
      <c r="M712" s="6">
        <f t="shared" si="60"/>
        <v>624529.3423314892</v>
      </c>
      <c r="N712" s="6">
        <f t="shared" si="61"/>
        <v>2430452</v>
      </c>
      <c r="O712" s="6">
        <f t="shared" si="62"/>
        <v>3054981.3423314891</v>
      </c>
      <c r="P712" s="8">
        <f>VLOOKUP(F712,'LEAID Match'!$A$2:$B$436,2,FALSE)</f>
        <v>1810710</v>
      </c>
      <c r="Q712" s="6">
        <f t="shared" si="63"/>
        <v>9</v>
      </c>
    </row>
    <row r="713" spans="1:17" x14ac:dyDescent="0.2">
      <c r="A713" s="16">
        <f t="shared" si="59"/>
        <v>1810710</v>
      </c>
      <c r="B713">
        <v>2021</v>
      </c>
      <c r="C713" t="s">
        <v>904</v>
      </c>
      <c r="D713" t="s">
        <v>906</v>
      </c>
      <c r="E713" t="s">
        <v>1619</v>
      </c>
      <c r="F713" t="s">
        <v>675</v>
      </c>
      <c r="G713" t="s">
        <v>90</v>
      </c>
      <c r="H713" s="6">
        <v>616217</v>
      </c>
      <c r="I713" s="6">
        <v>3.0441692875218551E-3</v>
      </c>
      <c r="J713" s="6">
        <v>6861.5575740742615</v>
      </c>
      <c r="K713" s="6">
        <v>4067065</v>
      </c>
      <c r="M713" s="6">
        <f t="shared" si="60"/>
        <v>623078.55757407425</v>
      </c>
      <c r="N713" s="6">
        <f t="shared" si="61"/>
        <v>4067065</v>
      </c>
      <c r="O713" s="6">
        <f t="shared" si="62"/>
        <v>4690143.5575740747</v>
      </c>
      <c r="P713" s="8">
        <f>VLOOKUP(F713,'LEAID Match'!$A$2:$B$436,2,FALSE)</f>
        <v>1810710</v>
      </c>
      <c r="Q713" s="6">
        <f t="shared" si="63"/>
        <v>9</v>
      </c>
    </row>
    <row r="714" spans="1:17" x14ac:dyDescent="0.2">
      <c r="A714" s="16">
        <f t="shared" si="59"/>
        <v>1810710</v>
      </c>
      <c r="B714">
        <v>2022</v>
      </c>
      <c r="C714" t="s">
        <v>904</v>
      </c>
      <c r="D714" t="s">
        <v>906</v>
      </c>
      <c r="E714" t="s">
        <v>1620</v>
      </c>
      <c r="F714" t="s">
        <v>675</v>
      </c>
      <c r="G714" t="s">
        <v>90</v>
      </c>
      <c r="H714" s="6">
        <v>654594</v>
      </c>
      <c r="I714" s="6">
        <v>3.1081339690381816E-3</v>
      </c>
      <c r="J714" s="6">
        <v>6853.4354017291907</v>
      </c>
      <c r="K714" s="6">
        <v>4097890</v>
      </c>
      <c r="M714" s="6">
        <f t="shared" si="60"/>
        <v>661447.43540172919</v>
      </c>
      <c r="N714" s="6">
        <f t="shared" si="61"/>
        <v>4097890</v>
      </c>
      <c r="O714" s="6">
        <f t="shared" si="62"/>
        <v>4759337.4354017293</v>
      </c>
      <c r="P714" s="8">
        <f>VLOOKUP(F714,'LEAID Match'!$A$2:$B$436,2,FALSE)</f>
        <v>1810710</v>
      </c>
      <c r="Q714" s="6">
        <f t="shared" si="63"/>
        <v>9</v>
      </c>
    </row>
    <row r="715" spans="1:17" x14ac:dyDescent="0.2">
      <c r="A715" s="16">
        <f t="shared" si="59"/>
        <v>1810710</v>
      </c>
      <c r="B715">
        <v>2023</v>
      </c>
      <c r="C715" t="s">
        <v>904</v>
      </c>
      <c r="D715" t="s">
        <v>906</v>
      </c>
      <c r="E715" t="s">
        <v>1621</v>
      </c>
      <c r="F715" t="s">
        <v>675</v>
      </c>
      <c r="G715" t="s">
        <v>90</v>
      </c>
      <c r="H715" s="6">
        <v>796041</v>
      </c>
      <c r="I715" s="6">
        <v>3.2553703032640016E-3</v>
      </c>
      <c r="J715" s="6">
        <v>8030.998538152292</v>
      </c>
      <c r="K715" s="6">
        <v>12818922</v>
      </c>
      <c r="M715" s="6">
        <f t="shared" si="60"/>
        <v>804071.99853815231</v>
      </c>
      <c r="N715" s="6">
        <f t="shared" si="61"/>
        <v>12818922</v>
      </c>
      <c r="O715" s="6">
        <f t="shared" si="62"/>
        <v>13622993.998538151</v>
      </c>
      <c r="P715" s="8">
        <f>VLOOKUP(F715,'LEAID Match'!$A$2:$B$436,2,FALSE)</f>
        <v>1810710</v>
      </c>
      <c r="Q715" s="6">
        <f t="shared" si="63"/>
        <v>9</v>
      </c>
    </row>
    <row r="716" spans="1:17" x14ac:dyDescent="0.2">
      <c r="A716" s="16">
        <f t="shared" si="59"/>
        <v>1800104</v>
      </c>
      <c r="B716">
        <v>2015</v>
      </c>
      <c r="C716" t="s">
        <v>904</v>
      </c>
      <c r="D716" t="s">
        <v>906</v>
      </c>
      <c r="E716" t="s">
        <v>1622</v>
      </c>
      <c r="F716" t="s">
        <v>676</v>
      </c>
      <c r="G716" t="s">
        <v>91</v>
      </c>
      <c r="H716" s="6">
        <v>301229</v>
      </c>
      <c r="I716" s="6">
        <v>1.4647883844711006E-3</v>
      </c>
      <c r="J716" s="6">
        <v>8511.8853021615651</v>
      </c>
      <c r="K716" s="6">
        <v>1238648.4945229101</v>
      </c>
      <c r="M716" s="6">
        <f t="shared" si="60"/>
        <v>309740.88530216157</v>
      </c>
      <c r="N716" s="6">
        <f t="shared" si="61"/>
        <v>1238648.4945229101</v>
      </c>
      <c r="O716" s="6">
        <f t="shared" si="62"/>
        <v>1548389.3798250717</v>
      </c>
      <c r="P716" s="8">
        <f>VLOOKUP(F716,'LEAID Match'!$A$2:$B$436,2,FALSE)</f>
        <v>1800104</v>
      </c>
      <c r="Q716" s="6">
        <f t="shared" si="63"/>
        <v>9</v>
      </c>
    </row>
    <row r="717" spans="1:17" x14ac:dyDescent="0.2">
      <c r="A717" s="16">
        <f t="shared" si="59"/>
        <v>1800104</v>
      </c>
      <c r="B717">
        <v>2016</v>
      </c>
      <c r="C717" t="s">
        <v>904</v>
      </c>
      <c r="D717" t="s">
        <v>906</v>
      </c>
      <c r="E717" t="s">
        <v>1623</v>
      </c>
      <c r="F717" t="s">
        <v>676</v>
      </c>
      <c r="G717" t="s">
        <v>91</v>
      </c>
      <c r="H717" s="6">
        <v>260108</v>
      </c>
      <c r="I717" s="6">
        <v>1.2069330654905959E-3</v>
      </c>
      <c r="J717" s="6">
        <v>6092.5981145965279</v>
      </c>
      <c r="K717" s="6">
        <v>1071153.0956228999</v>
      </c>
      <c r="M717" s="6">
        <f t="shared" si="60"/>
        <v>266200.59811459651</v>
      </c>
      <c r="N717" s="6">
        <f t="shared" si="61"/>
        <v>1071153.0956228999</v>
      </c>
      <c r="O717" s="6">
        <f t="shared" si="62"/>
        <v>1337353.6937374964</v>
      </c>
      <c r="P717" s="8">
        <f>VLOOKUP(F717,'LEAID Match'!$A$2:$B$436,2,FALSE)</f>
        <v>1800104</v>
      </c>
      <c r="Q717" s="6">
        <f t="shared" si="63"/>
        <v>9</v>
      </c>
    </row>
    <row r="718" spans="1:17" x14ac:dyDescent="0.2">
      <c r="A718" s="16">
        <f t="shared" si="59"/>
        <v>1800104</v>
      </c>
      <c r="B718">
        <v>2017</v>
      </c>
      <c r="C718" t="s">
        <v>904</v>
      </c>
      <c r="D718" t="s">
        <v>906</v>
      </c>
      <c r="E718" t="s">
        <v>1624</v>
      </c>
      <c r="F718" t="s">
        <v>676</v>
      </c>
      <c r="G718" t="s">
        <v>91</v>
      </c>
      <c r="H718" s="6">
        <v>111045</v>
      </c>
      <c r="I718" s="6">
        <v>4.8897864072868034E-4</v>
      </c>
      <c r="J718" s="6">
        <v>2212.6283492972784</v>
      </c>
      <c r="K718" s="6">
        <v>425900.39607467997</v>
      </c>
      <c r="M718" s="6">
        <f t="shared" si="60"/>
        <v>113257.62834929727</v>
      </c>
      <c r="N718" s="6">
        <f t="shared" si="61"/>
        <v>425900.39607467997</v>
      </c>
      <c r="O718" s="6">
        <f t="shared" si="62"/>
        <v>539158.02442397724</v>
      </c>
      <c r="P718" s="8">
        <f>VLOOKUP(F718,'LEAID Match'!$A$2:$B$436,2,FALSE)</f>
        <v>1800104</v>
      </c>
      <c r="Q718" s="6">
        <f t="shared" si="63"/>
        <v>9</v>
      </c>
    </row>
    <row r="719" spans="1:17" x14ac:dyDescent="0.2">
      <c r="A719" s="16">
        <f t="shared" si="59"/>
        <v>1800104</v>
      </c>
      <c r="B719">
        <v>2018</v>
      </c>
      <c r="C719" t="s">
        <v>904</v>
      </c>
      <c r="D719" t="s">
        <v>906</v>
      </c>
      <c r="E719" t="s">
        <v>1625</v>
      </c>
      <c r="F719" t="s">
        <v>676</v>
      </c>
      <c r="G719" t="s">
        <v>91</v>
      </c>
      <c r="H719" s="6">
        <v>10799</v>
      </c>
      <c r="I719" s="6">
        <v>4.5813362478760254E-5</v>
      </c>
      <c r="J719" s="6">
        <v>190.95009481147275</v>
      </c>
      <c r="K719" s="6">
        <v>40571</v>
      </c>
      <c r="M719" s="6">
        <f t="shared" si="60"/>
        <v>10989.950094811473</v>
      </c>
      <c r="N719" s="6">
        <f t="shared" si="61"/>
        <v>40571</v>
      </c>
      <c r="O719" s="6">
        <f t="shared" si="62"/>
        <v>51560.950094811473</v>
      </c>
      <c r="P719" s="8">
        <f>VLOOKUP(F719,'LEAID Match'!$A$2:$B$436,2,FALSE)</f>
        <v>1800104</v>
      </c>
      <c r="Q719" s="6">
        <f t="shared" si="63"/>
        <v>9</v>
      </c>
    </row>
    <row r="720" spans="1:17" x14ac:dyDescent="0.2">
      <c r="A720" s="16">
        <f t="shared" si="59"/>
        <v>1800104</v>
      </c>
      <c r="B720">
        <v>2019</v>
      </c>
      <c r="C720" t="s">
        <v>904</v>
      </c>
      <c r="D720" t="s">
        <v>906</v>
      </c>
      <c r="E720" t="s">
        <v>1626</v>
      </c>
      <c r="F720" t="s">
        <v>676</v>
      </c>
      <c r="G720" t="s">
        <v>91</v>
      </c>
      <c r="H720" s="6" t="s">
        <v>187</v>
      </c>
      <c r="I720" s="6">
        <v>0</v>
      </c>
      <c r="J720" s="6">
        <v>0</v>
      </c>
      <c r="K720" s="6">
        <v>0</v>
      </c>
      <c r="M720" s="6">
        <f t="shared" si="60"/>
        <v>0</v>
      </c>
      <c r="N720" s="6">
        <f t="shared" si="61"/>
        <v>0</v>
      </c>
      <c r="O720" s="6">
        <f t="shared" si="62"/>
        <v>0</v>
      </c>
      <c r="P720" s="8">
        <f>VLOOKUP(F720,'LEAID Match'!$A$2:$B$436,2,FALSE)</f>
        <v>1800104</v>
      </c>
      <c r="Q720" s="6">
        <f t="shared" si="63"/>
        <v>9</v>
      </c>
    </row>
    <row r="721" spans="1:17" x14ac:dyDescent="0.2">
      <c r="A721" s="16">
        <f t="shared" si="59"/>
        <v>1800104</v>
      </c>
      <c r="B721">
        <v>2020</v>
      </c>
      <c r="C721" t="s">
        <v>904</v>
      </c>
      <c r="D721" t="s">
        <v>906</v>
      </c>
      <c r="E721" t="s">
        <v>1627</v>
      </c>
      <c r="F721" t="s">
        <v>676</v>
      </c>
      <c r="G721" t="s">
        <v>91</v>
      </c>
      <c r="H721" s="6" t="s">
        <v>187</v>
      </c>
      <c r="I721" s="6">
        <v>0</v>
      </c>
      <c r="J721" s="6">
        <v>0</v>
      </c>
      <c r="K721" s="6">
        <v>46032</v>
      </c>
      <c r="M721" s="6">
        <f t="shared" si="60"/>
        <v>0</v>
      </c>
      <c r="N721" s="6">
        <f t="shared" si="61"/>
        <v>46032</v>
      </c>
      <c r="O721" s="6">
        <f t="shared" si="62"/>
        <v>46032</v>
      </c>
      <c r="P721" s="8">
        <f>VLOOKUP(F721,'LEAID Match'!$A$2:$B$436,2,FALSE)</f>
        <v>1800104</v>
      </c>
      <c r="Q721" s="6">
        <f t="shared" si="63"/>
        <v>9</v>
      </c>
    </row>
    <row r="722" spans="1:17" x14ac:dyDescent="0.2">
      <c r="A722" s="16">
        <f t="shared" si="59"/>
        <v>1800104</v>
      </c>
      <c r="B722">
        <v>2021</v>
      </c>
      <c r="C722" t="s">
        <v>904</v>
      </c>
      <c r="D722" t="s">
        <v>906</v>
      </c>
      <c r="E722" t="s">
        <v>1628</v>
      </c>
      <c r="F722" t="s">
        <v>676</v>
      </c>
      <c r="G722" t="s">
        <v>91</v>
      </c>
      <c r="H722" s="6" t="s">
        <v>187</v>
      </c>
      <c r="I722" s="6">
        <v>0</v>
      </c>
      <c r="J722" s="6">
        <v>0</v>
      </c>
      <c r="K722" s="6">
        <v>92066</v>
      </c>
      <c r="M722" s="6">
        <f t="shared" si="60"/>
        <v>0</v>
      </c>
      <c r="N722" s="6">
        <f t="shared" si="61"/>
        <v>92066</v>
      </c>
      <c r="O722" s="6">
        <f t="shared" si="62"/>
        <v>92066</v>
      </c>
      <c r="P722" s="8">
        <f>VLOOKUP(F722,'LEAID Match'!$A$2:$B$436,2,FALSE)</f>
        <v>1800104</v>
      </c>
      <c r="Q722" s="6">
        <f t="shared" si="63"/>
        <v>9</v>
      </c>
    </row>
    <row r="723" spans="1:17" x14ac:dyDescent="0.2">
      <c r="A723" s="16">
        <f t="shared" si="59"/>
        <v>1800104</v>
      </c>
      <c r="B723">
        <v>2022</v>
      </c>
      <c r="C723" t="s">
        <v>904</v>
      </c>
      <c r="D723" t="s">
        <v>906</v>
      </c>
      <c r="E723" t="s">
        <v>1629</v>
      </c>
      <c r="F723" t="s">
        <v>676</v>
      </c>
      <c r="G723" t="s">
        <v>91</v>
      </c>
      <c r="H723" s="6" t="s">
        <v>187</v>
      </c>
      <c r="I723" s="6">
        <v>0</v>
      </c>
      <c r="J723" s="6">
        <v>0</v>
      </c>
      <c r="K723" s="6">
        <v>103877</v>
      </c>
      <c r="M723" s="6">
        <f t="shared" si="60"/>
        <v>0</v>
      </c>
      <c r="N723" s="6">
        <f t="shared" si="61"/>
        <v>103877</v>
      </c>
      <c r="O723" s="6">
        <f t="shared" si="62"/>
        <v>103877</v>
      </c>
      <c r="P723" s="8">
        <f>VLOOKUP(F723,'LEAID Match'!$A$2:$B$436,2,FALSE)</f>
        <v>1800104</v>
      </c>
      <c r="Q723" s="6">
        <f t="shared" si="63"/>
        <v>9</v>
      </c>
    </row>
    <row r="724" spans="1:17" x14ac:dyDescent="0.2">
      <c r="A724" s="16">
        <f t="shared" si="59"/>
        <v>1800104</v>
      </c>
      <c r="B724">
        <v>2023</v>
      </c>
      <c r="C724" t="s">
        <v>904</v>
      </c>
      <c r="D724" t="s">
        <v>906</v>
      </c>
      <c r="E724" t="s">
        <v>1630</v>
      </c>
      <c r="F724" t="s">
        <v>676</v>
      </c>
      <c r="G724" t="s">
        <v>91</v>
      </c>
      <c r="H724" s="6" t="s">
        <v>187</v>
      </c>
      <c r="I724" s="6">
        <v>0</v>
      </c>
      <c r="J724" s="6">
        <v>0</v>
      </c>
      <c r="K724" s="6">
        <v>229961</v>
      </c>
      <c r="M724" s="6">
        <f t="shared" si="60"/>
        <v>0</v>
      </c>
      <c r="N724" s="6">
        <f t="shared" si="61"/>
        <v>229961</v>
      </c>
      <c r="O724" s="6">
        <f t="shared" si="62"/>
        <v>229961</v>
      </c>
      <c r="P724" s="8">
        <f>VLOOKUP(F724,'LEAID Match'!$A$2:$B$436,2,FALSE)</f>
        <v>1800104</v>
      </c>
      <c r="Q724" s="6">
        <f t="shared" si="63"/>
        <v>9</v>
      </c>
    </row>
    <row r="725" spans="1:17" x14ac:dyDescent="0.2">
      <c r="A725" s="16">
        <f t="shared" si="59"/>
        <v>1803570</v>
      </c>
      <c r="B725">
        <v>2015</v>
      </c>
      <c r="C725" t="s">
        <v>904</v>
      </c>
      <c r="D725" t="s">
        <v>906</v>
      </c>
      <c r="E725" t="s">
        <v>1631</v>
      </c>
      <c r="F725" t="s">
        <v>458</v>
      </c>
      <c r="G725" t="s">
        <v>8</v>
      </c>
      <c r="H725" s="6">
        <v>158420</v>
      </c>
      <c r="I725" s="6">
        <v>7.7035005217927798E-4</v>
      </c>
      <c r="J725" s="6">
        <v>4476.5041532137848</v>
      </c>
      <c r="K725" s="6">
        <v>651420.32972363196</v>
      </c>
      <c r="M725" s="6">
        <f t="shared" si="60"/>
        <v>162896.50415321378</v>
      </c>
      <c r="N725" s="6">
        <f t="shared" si="61"/>
        <v>651420.32972363196</v>
      </c>
      <c r="O725" s="6">
        <f t="shared" si="62"/>
        <v>814316.83387684578</v>
      </c>
      <c r="P725" s="8">
        <f>VLOOKUP(F725,'LEAID Match'!$A$2:$B$436,2,FALSE)</f>
        <v>1803570</v>
      </c>
      <c r="Q725" s="6">
        <f t="shared" si="63"/>
        <v>9</v>
      </c>
    </row>
    <row r="726" spans="1:17" x14ac:dyDescent="0.2">
      <c r="A726" s="16">
        <f t="shared" si="59"/>
        <v>1803570</v>
      </c>
      <c r="B726">
        <v>2016</v>
      </c>
      <c r="C726" t="s">
        <v>904</v>
      </c>
      <c r="D726" t="s">
        <v>906</v>
      </c>
      <c r="E726" t="s">
        <v>1632</v>
      </c>
      <c r="F726" t="s">
        <v>458</v>
      </c>
      <c r="G726" t="s">
        <v>8</v>
      </c>
      <c r="H726" s="6">
        <v>158303</v>
      </c>
      <c r="I726" s="6">
        <v>7.3454536218170072E-4</v>
      </c>
      <c r="J726" s="6">
        <v>3707.9849882932253</v>
      </c>
      <c r="K726" s="6">
        <v>651909.00893625896</v>
      </c>
      <c r="M726" s="6">
        <f t="shared" si="60"/>
        <v>162010.98498829323</v>
      </c>
      <c r="N726" s="6">
        <f t="shared" si="61"/>
        <v>651909.00893625896</v>
      </c>
      <c r="O726" s="6">
        <f t="shared" si="62"/>
        <v>813919.99392455223</v>
      </c>
      <c r="P726" s="8">
        <f>VLOOKUP(F726,'LEAID Match'!$A$2:$B$436,2,FALSE)</f>
        <v>1803570</v>
      </c>
      <c r="Q726" s="6">
        <f t="shared" si="63"/>
        <v>9</v>
      </c>
    </row>
    <row r="727" spans="1:17" x14ac:dyDescent="0.2">
      <c r="A727" s="16">
        <f t="shared" si="59"/>
        <v>1803570</v>
      </c>
      <c r="B727">
        <v>2017</v>
      </c>
      <c r="C727" t="s">
        <v>904</v>
      </c>
      <c r="D727" t="s">
        <v>906</v>
      </c>
      <c r="E727" t="s">
        <v>1633</v>
      </c>
      <c r="F727" t="s">
        <v>458</v>
      </c>
      <c r="G727" t="s">
        <v>8</v>
      </c>
      <c r="H727" s="6">
        <v>177679</v>
      </c>
      <c r="I727" s="6">
        <v>7.8239664916053119E-4</v>
      </c>
      <c r="J727" s="6">
        <v>3540.3448374514037</v>
      </c>
      <c r="K727" s="6">
        <v>681467.48141882196</v>
      </c>
      <c r="M727" s="6">
        <f t="shared" si="60"/>
        <v>181219.34483745141</v>
      </c>
      <c r="N727" s="6">
        <f t="shared" si="61"/>
        <v>681467.48141882196</v>
      </c>
      <c r="O727" s="6">
        <f t="shared" si="62"/>
        <v>862686.82625627331</v>
      </c>
      <c r="P727" s="8">
        <f>VLOOKUP(F727,'LEAID Match'!$A$2:$B$436,2,FALSE)</f>
        <v>1803570</v>
      </c>
      <c r="Q727" s="6">
        <f t="shared" si="63"/>
        <v>9</v>
      </c>
    </row>
    <row r="728" spans="1:17" x14ac:dyDescent="0.2">
      <c r="A728" s="16">
        <f t="shared" si="59"/>
        <v>1803570</v>
      </c>
      <c r="B728">
        <v>2018</v>
      </c>
      <c r="C728" t="s">
        <v>904</v>
      </c>
      <c r="D728" t="s">
        <v>906</v>
      </c>
      <c r="E728" t="s">
        <v>1634</v>
      </c>
      <c r="F728" t="s">
        <v>458</v>
      </c>
      <c r="G728" t="s">
        <v>8</v>
      </c>
      <c r="H728" s="6">
        <v>181939</v>
      </c>
      <c r="I728" s="6">
        <v>7.7185270451182156E-4</v>
      </c>
      <c r="J728" s="6">
        <v>3217.0820724052724</v>
      </c>
      <c r="K728" s="6">
        <v>683836</v>
      </c>
      <c r="M728" s="6">
        <f t="shared" si="60"/>
        <v>185156.08207240526</v>
      </c>
      <c r="N728" s="6">
        <f t="shared" si="61"/>
        <v>683836</v>
      </c>
      <c r="O728" s="6">
        <f t="shared" si="62"/>
        <v>868992.08207240526</v>
      </c>
      <c r="P728" s="8">
        <f>VLOOKUP(F728,'LEAID Match'!$A$2:$B$436,2,FALSE)</f>
        <v>1803570</v>
      </c>
      <c r="Q728" s="6">
        <f t="shared" si="63"/>
        <v>9</v>
      </c>
    </row>
    <row r="729" spans="1:17" x14ac:dyDescent="0.2">
      <c r="A729" s="16">
        <f t="shared" si="59"/>
        <v>1803570</v>
      </c>
      <c r="B729">
        <v>2019</v>
      </c>
      <c r="C729" t="s">
        <v>904</v>
      </c>
      <c r="D729" t="s">
        <v>906</v>
      </c>
      <c r="E729" t="s">
        <v>1635</v>
      </c>
      <c r="F729" t="s">
        <v>458</v>
      </c>
      <c r="G729" t="s">
        <v>8</v>
      </c>
      <c r="H729" s="6">
        <v>197704</v>
      </c>
      <c r="I729" s="6">
        <v>5.0295790376617513E-4</v>
      </c>
      <c r="J729" s="6">
        <v>1762.8674527004439</v>
      </c>
      <c r="K729" s="6">
        <v>474741.96536489198</v>
      </c>
      <c r="M729" s="6">
        <f t="shared" si="60"/>
        <v>199466.86745270045</v>
      </c>
      <c r="N729" s="6">
        <f t="shared" si="61"/>
        <v>474741.96536489198</v>
      </c>
      <c r="O729" s="6">
        <f t="shared" si="62"/>
        <v>674208.83281759243</v>
      </c>
      <c r="P729" s="8">
        <f>VLOOKUP(F729,'LEAID Match'!$A$2:$B$436,2,FALSE)</f>
        <v>1803570</v>
      </c>
      <c r="Q729" s="6">
        <f t="shared" si="63"/>
        <v>9</v>
      </c>
    </row>
    <row r="730" spans="1:17" x14ac:dyDescent="0.2">
      <c r="A730" s="16">
        <f t="shared" si="59"/>
        <v>1803570</v>
      </c>
      <c r="B730">
        <v>2020</v>
      </c>
      <c r="C730" t="s">
        <v>904</v>
      </c>
      <c r="D730" t="s">
        <v>906</v>
      </c>
      <c r="E730" t="s">
        <v>1636</v>
      </c>
      <c r="F730" t="s">
        <v>458</v>
      </c>
      <c r="G730" t="s">
        <v>8</v>
      </c>
      <c r="H730" s="6">
        <v>154857</v>
      </c>
      <c r="I730" s="6">
        <v>8.2054197916546013E-4</v>
      </c>
      <c r="J730" s="6">
        <v>1933.196902913824</v>
      </c>
      <c r="K730" s="6">
        <v>766320</v>
      </c>
      <c r="M730" s="6">
        <f t="shared" si="60"/>
        <v>156790.19690291383</v>
      </c>
      <c r="N730" s="6">
        <f t="shared" si="61"/>
        <v>766320</v>
      </c>
      <c r="O730" s="6">
        <f t="shared" si="62"/>
        <v>923110.19690291386</v>
      </c>
      <c r="P730" s="8">
        <f>VLOOKUP(F730,'LEAID Match'!$A$2:$B$436,2,FALSE)</f>
        <v>1803570</v>
      </c>
      <c r="Q730" s="6">
        <f t="shared" si="63"/>
        <v>9</v>
      </c>
    </row>
    <row r="731" spans="1:17" x14ac:dyDescent="0.2">
      <c r="A731" s="16">
        <f t="shared" si="59"/>
        <v>1803570</v>
      </c>
      <c r="B731">
        <v>2021</v>
      </c>
      <c r="C731" t="s">
        <v>904</v>
      </c>
      <c r="D731" t="s">
        <v>906</v>
      </c>
      <c r="E731" t="s">
        <v>1637</v>
      </c>
      <c r="F731" t="s">
        <v>458</v>
      </c>
      <c r="G731" t="s">
        <v>8</v>
      </c>
      <c r="H731" s="6">
        <v>164003</v>
      </c>
      <c r="I731" s="6">
        <v>8.1019007210357194E-4</v>
      </c>
      <c r="J731" s="6">
        <v>1826.1684225214512</v>
      </c>
      <c r="K731" s="6">
        <v>1235224</v>
      </c>
      <c r="M731" s="6">
        <f t="shared" si="60"/>
        <v>165829.16842252144</v>
      </c>
      <c r="N731" s="6">
        <f t="shared" si="61"/>
        <v>1235224</v>
      </c>
      <c r="O731" s="6">
        <f t="shared" si="62"/>
        <v>1401053.1684225216</v>
      </c>
      <c r="P731" s="8">
        <f>VLOOKUP(F731,'LEAID Match'!$A$2:$B$436,2,FALSE)</f>
        <v>1803570</v>
      </c>
      <c r="Q731" s="6">
        <f t="shared" si="63"/>
        <v>9</v>
      </c>
    </row>
    <row r="732" spans="1:17" x14ac:dyDescent="0.2">
      <c r="A732" s="16">
        <f t="shared" si="59"/>
        <v>1803570</v>
      </c>
      <c r="B732">
        <v>2022</v>
      </c>
      <c r="C732" t="s">
        <v>904</v>
      </c>
      <c r="D732" t="s">
        <v>906</v>
      </c>
      <c r="E732" t="s">
        <v>1638</v>
      </c>
      <c r="F732" t="s">
        <v>458</v>
      </c>
      <c r="G732" t="s">
        <v>8</v>
      </c>
      <c r="H732" s="6">
        <v>177073</v>
      </c>
      <c r="I732" s="6">
        <v>8.4077551321811372E-4</v>
      </c>
      <c r="J732" s="6">
        <v>1853.9100066459407</v>
      </c>
      <c r="K732" s="6">
        <v>1219553</v>
      </c>
      <c r="M732" s="6">
        <f t="shared" si="60"/>
        <v>178926.91000664595</v>
      </c>
      <c r="N732" s="6">
        <f t="shared" si="61"/>
        <v>1219553</v>
      </c>
      <c r="O732" s="6">
        <f t="shared" si="62"/>
        <v>1398479.9100066461</v>
      </c>
      <c r="P732" s="8">
        <f>VLOOKUP(F732,'LEAID Match'!$A$2:$B$436,2,FALSE)</f>
        <v>1803570</v>
      </c>
      <c r="Q732" s="6">
        <f t="shared" si="63"/>
        <v>9</v>
      </c>
    </row>
    <row r="733" spans="1:17" x14ac:dyDescent="0.2">
      <c r="A733" s="16">
        <f t="shared" si="59"/>
        <v>1803570</v>
      </c>
      <c r="B733">
        <v>2023</v>
      </c>
      <c r="C733" t="s">
        <v>904</v>
      </c>
      <c r="D733" t="s">
        <v>906</v>
      </c>
      <c r="E733" t="s">
        <v>1639</v>
      </c>
      <c r="F733" t="s">
        <v>458</v>
      </c>
      <c r="G733" t="s">
        <v>8</v>
      </c>
      <c r="H733" s="6">
        <v>221331</v>
      </c>
      <c r="I733" s="6">
        <v>9.0512217912359374E-4</v>
      </c>
      <c r="J733" s="6">
        <v>2232.9364158979056</v>
      </c>
      <c r="K733" s="6">
        <v>3255021</v>
      </c>
      <c r="M733" s="6">
        <f t="shared" si="60"/>
        <v>223563.93641589792</v>
      </c>
      <c r="N733" s="6">
        <f t="shared" si="61"/>
        <v>3255021</v>
      </c>
      <c r="O733" s="6">
        <f t="shared" si="62"/>
        <v>3478584.9364158977</v>
      </c>
      <c r="P733" s="8">
        <f>VLOOKUP(F733,'LEAID Match'!$A$2:$B$436,2,FALSE)</f>
        <v>1803570</v>
      </c>
      <c r="Q733" s="6">
        <f t="shared" si="63"/>
        <v>9</v>
      </c>
    </row>
    <row r="734" spans="1:17" x14ac:dyDescent="0.2">
      <c r="A734" s="16">
        <f t="shared" si="59"/>
        <v>1800360</v>
      </c>
      <c r="B734">
        <v>2015</v>
      </c>
      <c r="C734" t="s">
        <v>904</v>
      </c>
      <c r="D734" t="s">
        <v>906</v>
      </c>
      <c r="E734" t="s">
        <v>1640</v>
      </c>
      <c r="F734" t="s">
        <v>459</v>
      </c>
      <c r="G734" t="s">
        <v>9</v>
      </c>
      <c r="H734" s="6">
        <v>2143662</v>
      </c>
      <c r="I734" s="6">
        <v>1.0424000338055395E-2</v>
      </c>
      <c r="J734" s="6">
        <v>60573.865964439901</v>
      </c>
      <c r="K734" s="6">
        <v>8814701.4698650502</v>
      </c>
      <c r="M734" s="6">
        <f t="shared" si="60"/>
        <v>2204235.8659644397</v>
      </c>
      <c r="N734" s="6">
        <f t="shared" si="61"/>
        <v>8814701.4698650502</v>
      </c>
      <c r="O734" s="6">
        <f t="shared" si="62"/>
        <v>11018937.335829489</v>
      </c>
      <c r="P734" s="8">
        <f>VLOOKUP(F734,'LEAID Match'!$A$2:$B$436,2,FALSE)</f>
        <v>1800360</v>
      </c>
      <c r="Q734" s="6">
        <f t="shared" si="63"/>
        <v>9</v>
      </c>
    </row>
    <row r="735" spans="1:17" x14ac:dyDescent="0.2">
      <c r="A735" s="16">
        <f t="shared" si="59"/>
        <v>1800360</v>
      </c>
      <c r="B735">
        <v>2016</v>
      </c>
      <c r="C735" t="s">
        <v>904</v>
      </c>
      <c r="D735" t="s">
        <v>906</v>
      </c>
      <c r="E735" t="s">
        <v>1641</v>
      </c>
      <c r="F735" t="s">
        <v>459</v>
      </c>
      <c r="G735" t="s">
        <v>9</v>
      </c>
      <c r="H735" s="6">
        <v>2254699</v>
      </c>
      <c r="I735" s="6">
        <v>1.046208027368855E-2</v>
      </c>
      <c r="J735" s="6">
        <v>52812.5812215798</v>
      </c>
      <c r="K735" s="6">
        <v>9285096.2428985797</v>
      </c>
      <c r="M735" s="6">
        <f t="shared" si="60"/>
        <v>2307511.5812215796</v>
      </c>
      <c r="N735" s="6">
        <f t="shared" si="61"/>
        <v>9285096.2428985797</v>
      </c>
      <c r="O735" s="6">
        <f t="shared" si="62"/>
        <v>11592607.82412016</v>
      </c>
      <c r="P735" s="8">
        <f>VLOOKUP(F735,'LEAID Match'!$A$2:$B$436,2,FALSE)</f>
        <v>1800360</v>
      </c>
      <c r="Q735" s="6">
        <f t="shared" si="63"/>
        <v>9</v>
      </c>
    </row>
    <row r="736" spans="1:17" x14ac:dyDescent="0.2">
      <c r="A736" s="16">
        <f t="shared" si="59"/>
        <v>1800360</v>
      </c>
      <c r="B736">
        <v>2017</v>
      </c>
      <c r="C736" t="s">
        <v>904</v>
      </c>
      <c r="D736" t="s">
        <v>906</v>
      </c>
      <c r="E736" t="s">
        <v>1642</v>
      </c>
      <c r="F736" t="s">
        <v>459</v>
      </c>
      <c r="G736" t="s">
        <v>9</v>
      </c>
      <c r="H736" s="6">
        <v>2462964</v>
      </c>
      <c r="I736" s="6">
        <v>1.0845484163030062E-2</v>
      </c>
      <c r="J736" s="6">
        <v>49075.81583771103</v>
      </c>
      <c r="K736" s="6">
        <v>9446416.7059991807</v>
      </c>
      <c r="M736" s="6">
        <f t="shared" si="60"/>
        <v>2512039.8158377111</v>
      </c>
      <c r="N736" s="6">
        <f t="shared" si="61"/>
        <v>9446416.7059991807</v>
      </c>
      <c r="O736" s="6">
        <f t="shared" si="62"/>
        <v>11958456.521836892</v>
      </c>
      <c r="P736" s="8">
        <f>VLOOKUP(F736,'LEAID Match'!$A$2:$B$436,2,FALSE)</f>
        <v>1800360</v>
      </c>
      <c r="Q736" s="6">
        <f t="shared" si="63"/>
        <v>9</v>
      </c>
    </row>
    <row r="737" spans="1:17" x14ac:dyDescent="0.2">
      <c r="A737" s="16">
        <f t="shared" si="59"/>
        <v>1800360</v>
      </c>
      <c r="B737">
        <v>2018</v>
      </c>
      <c r="C737" t="s">
        <v>904</v>
      </c>
      <c r="D737" t="s">
        <v>906</v>
      </c>
      <c r="E737" t="s">
        <v>1643</v>
      </c>
      <c r="F737" t="s">
        <v>459</v>
      </c>
      <c r="G737" t="s">
        <v>9</v>
      </c>
      <c r="H737" s="6">
        <v>2502362</v>
      </c>
      <c r="I737" s="6">
        <v>1.0615947528389246E-2</v>
      </c>
      <c r="J737" s="6">
        <v>44247.269298326377</v>
      </c>
      <c r="K737" s="6">
        <v>11640349</v>
      </c>
      <c r="M737" s="6">
        <f t="shared" si="60"/>
        <v>2546609.2692983262</v>
      </c>
      <c r="N737" s="6">
        <f t="shared" si="61"/>
        <v>11640349</v>
      </c>
      <c r="O737" s="6">
        <f t="shared" si="62"/>
        <v>14186958.269298326</v>
      </c>
      <c r="P737" s="8">
        <f>VLOOKUP(F737,'LEAID Match'!$A$2:$B$436,2,FALSE)</f>
        <v>1800360</v>
      </c>
      <c r="Q737" s="6">
        <f t="shared" si="63"/>
        <v>9</v>
      </c>
    </row>
    <row r="738" spans="1:17" x14ac:dyDescent="0.2">
      <c r="A738" s="16">
        <f t="shared" si="59"/>
        <v>1800360</v>
      </c>
      <c r="B738">
        <v>2019</v>
      </c>
      <c r="C738" t="s">
        <v>904</v>
      </c>
      <c r="D738" t="s">
        <v>906</v>
      </c>
      <c r="E738" t="s">
        <v>1644</v>
      </c>
      <c r="F738" t="s">
        <v>459</v>
      </c>
      <c r="G738" t="s">
        <v>9</v>
      </c>
      <c r="H738" s="6">
        <v>2685173</v>
      </c>
      <c r="I738" s="6">
        <v>6.8310655491519226E-3</v>
      </c>
      <c r="J738" s="6">
        <v>23942.884749777488</v>
      </c>
      <c r="K738" s="6">
        <v>6447842.7718444997</v>
      </c>
      <c r="M738" s="6">
        <f t="shared" si="60"/>
        <v>2709115.8847497776</v>
      </c>
      <c r="N738" s="6">
        <f t="shared" si="61"/>
        <v>6447842.7718444997</v>
      </c>
      <c r="O738" s="6">
        <f t="shared" si="62"/>
        <v>9156958.6565942764</v>
      </c>
      <c r="P738" s="8">
        <f>VLOOKUP(F738,'LEAID Match'!$A$2:$B$436,2,FALSE)</f>
        <v>1800360</v>
      </c>
      <c r="Q738" s="6">
        <f t="shared" si="63"/>
        <v>9</v>
      </c>
    </row>
    <row r="739" spans="1:17" x14ac:dyDescent="0.2">
      <c r="A739" s="16">
        <f t="shared" si="59"/>
        <v>1800360</v>
      </c>
      <c r="B739">
        <v>2020</v>
      </c>
      <c r="C739" t="s">
        <v>904</v>
      </c>
      <c r="D739" t="s">
        <v>906</v>
      </c>
      <c r="E739" t="s">
        <v>1645</v>
      </c>
      <c r="F739" t="s">
        <v>459</v>
      </c>
      <c r="G739" t="s">
        <v>9</v>
      </c>
      <c r="H739" s="6">
        <v>2045065</v>
      </c>
      <c r="I739" s="6">
        <v>1.0836201673944425E-2</v>
      </c>
      <c r="J739" s="6">
        <v>25530.091143813064</v>
      </c>
      <c r="K739" s="6">
        <v>12109045</v>
      </c>
      <c r="M739" s="6">
        <f t="shared" si="60"/>
        <v>2070595.091143813</v>
      </c>
      <c r="N739" s="6">
        <f t="shared" si="61"/>
        <v>12109045</v>
      </c>
      <c r="O739" s="6">
        <f t="shared" si="62"/>
        <v>14179640.091143813</v>
      </c>
      <c r="P739" s="8">
        <f>VLOOKUP(F739,'LEAID Match'!$A$2:$B$436,2,FALSE)</f>
        <v>1800360</v>
      </c>
      <c r="Q739" s="6">
        <f t="shared" si="63"/>
        <v>9</v>
      </c>
    </row>
    <row r="740" spans="1:17" x14ac:dyDescent="0.2">
      <c r="A740" s="16">
        <f t="shared" si="59"/>
        <v>1800360</v>
      </c>
      <c r="B740">
        <v>2021</v>
      </c>
      <c r="C740" t="s">
        <v>904</v>
      </c>
      <c r="D740" t="s">
        <v>906</v>
      </c>
      <c r="E740" t="s">
        <v>1646</v>
      </c>
      <c r="F740" t="s">
        <v>459</v>
      </c>
      <c r="G740" t="s">
        <v>9</v>
      </c>
      <c r="H740" s="6">
        <v>2192171</v>
      </c>
      <c r="I740" s="6">
        <v>1.0829528609558116E-2</v>
      </c>
      <c r="J740" s="6">
        <v>24409.757485943992</v>
      </c>
      <c r="K740" s="6">
        <v>20392388</v>
      </c>
      <c r="M740" s="6">
        <f t="shared" si="60"/>
        <v>2216580.7574859438</v>
      </c>
      <c r="N740" s="6">
        <f t="shared" si="61"/>
        <v>20392388</v>
      </c>
      <c r="O740" s="6">
        <f t="shared" si="62"/>
        <v>22608968.757485945</v>
      </c>
      <c r="P740" s="8">
        <f>VLOOKUP(F740,'LEAID Match'!$A$2:$B$436,2,FALSE)</f>
        <v>1800360</v>
      </c>
      <c r="Q740" s="6">
        <f t="shared" si="63"/>
        <v>9</v>
      </c>
    </row>
    <row r="741" spans="1:17" x14ac:dyDescent="0.2">
      <c r="A741" s="16">
        <f t="shared" si="59"/>
        <v>1800360</v>
      </c>
      <c r="B741">
        <v>2022</v>
      </c>
      <c r="C741" t="s">
        <v>904</v>
      </c>
      <c r="D741" t="s">
        <v>906</v>
      </c>
      <c r="E741" t="s">
        <v>1647</v>
      </c>
      <c r="F741" t="s">
        <v>459</v>
      </c>
      <c r="G741" t="s">
        <v>9</v>
      </c>
      <c r="H741" s="6">
        <v>2397980</v>
      </c>
      <c r="I741" s="6">
        <v>1.138605470730587E-2</v>
      </c>
      <c r="J741" s="6">
        <v>25106.250629609443</v>
      </c>
      <c r="K741" s="6">
        <v>19984014</v>
      </c>
      <c r="M741" s="6">
        <f t="shared" si="60"/>
        <v>2423086.2506296095</v>
      </c>
      <c r="N741" s="6">
        <f t="shared" si="61"/>
        <v>19984014</v>
      </c>
      <c r="O741" s="6">
        <f t="shared" si="62"/>
        <v>22407100.250629611</v>
      </c>
      <c r="P741" s="8">
        <f>VLOOKUP(F741,'LEAID Match'!$A$2:$B$436,2,FALSE)</f>
        <v>1800360</v>
      </c>
      <c r="Q741" s="6">
        <f t="shared" si="63"/>
        <v>9</v>
      </c>
    </row>
    <row r="742" spans="1:17" x14ac:dyDescent="0.2">
      <c r="A742" s="16">
        <f t="shared" si="59"/>
        <v>1800360</v>
      </c>
      <c r="B742">
        <v>2023</v>
      </c>
      <c r="C742" t="s">
        <v>904</v>
      </c>
      <c r="D742" t="s">
        <v>906</v>
      </c>
      <c r="E742" t="s">
        <v>1648</v>
      </c>
      <c r="F742" t="s">
        <v>459</v>
      </c>
      <c r="G742" t="s">
        <v>9</v>
      </c>
      <c r="H742" s="6">
        <v>2961160</v>
      </c>
      <c r="I742" s="6">
        <v>1.2109517383166483E-2</v>
      </c>
      <c r="J742" s="6">
        <v>29874.179384271712</v>
      </c>
      <c r="K742" s="6">
        <v>56159065</v>
      </c>
      <c r="M742" s="6">
        <f t="shared" si="60"/>
        <v>2991034.1793842716</v>
      </c>
      <c r="N742" s="6">
        <f t="shared" si="61"/>
        <v>56159065</v>
      </c>
      <c r="O742" s="6">
        <f t="shared" si="62"/>
        <v>59150099.179384269</v>
      </c>
      <c r="P742" s="8">
        <f>VLOOKUP(F742,'LEAID Match'!$A$2:$B$436,2,FALSE)</f>
        <v>1800360</v>
      </c>
      <c r="Q742" s="6">
        <f t="shared" si="63"/>
        <v>9</v>
      </c>
    </row>
    <row r="743" spans="1:17" x14ac:dyDescent="0.2">
      <c r="A743" s="16">
        <f t="shared" si="59"/>
        <v>1803720</v>
      </c>
      <c r="B743">
        <v>2015</v>
      </c>
      <c r="C743" t="s">
        <v>904</v>
      </c>
      <c r="D743" t="s">
        <v>906</v>
      </c>
      <c r="E743" t="s">
        <v>1649</v>
      </c>
      <c r="F743" t="s">
        <v>493</v>
      </c>
      <c r="G743" t="s">
        <v>92</v>
      </c>
      <c r="H743" s="6">
        <v>128652</v>
      </c>
      <c r="I743" s="6">
        <v>6.2559698846716626E-4</v>
      </c>
      <c r="J743" s="6">
        <v>3635.344099982703</v>
      </c>
      <c r="K743" s="6">
        <v>529014.82299965096</v>
      </c>
      <c r="M743" s="6">
        <f t="shared" si="60"/>
        <v>132287.3440999827</v>
      </c>
      <c r="N743" s="6">
        <f t="shared" si="61"/>
        <v>529014.82299965096</v>
      </c>
      <c r="O743" s="6">
        <f t="shared" si="62"/>
        <v>661302.16709963372</v>
      </c>
      <c r="P743" s="8">
        <f>VLOOKUP(F743,'LEAID Match'!$A$2:$B$436,2,FALSE)</f>
        <v>1803720</v>
      </c>
      <c r="Q743" s="6">
        <f t="shared" si="63"/>
        <v>9</v>
      </c>
    </row>
    <row r="744" spans="1:17" x14ac:dyDescent="0.2">
      <c r="A744" s="16">
        <f t="shared" si="59"/>
        <v>1803720</v>
      </c>
      <c r="B744">
        <v>2016</v>
      </c>
      <c r="C744" t="s">
        <v>904</v>
      </c>
      <c r="D744" t="s">
        <v>906</v>
      </c>
      <c r="E744" t="s">
        <v>1650</v>
      </c>
      <c r="F744" t="s">
        <v>493</v>
      </c>
      <c r="G744" t="s">
        <v>92</v>
      </c>
      <c r="H744" s="6">
        <v>138958</v>
      </c>
      <c r="I744" s="6">
        <v>6.4478218630123734E-4</v>
      </c>
      <c r="J744" s="6">
        <v>3254.8604764486463</v>
      </c>
      <c r="K744" s="6">
        <v>572244.19034234795</v>
      </c>
      <c r="M744" s="6">
        <f t="shared" si="60"/>
        <v>142212.86047644864</v>
      </c>
      <c r="N744" s="6">
        <f t="shared" si="61"/>
        <v>572244.19034234795</v>
      </c>
      <c r="O744" s="6">
        <f t="shared" si="62"/>
        <v>714457.05081879662</v>
      </c>
      <c r="P744" s="8">
        <f>VLOOKUP(F744,'LEAID Match'!$A$2:$B$436,2,FALSE)</f>
        <v>1803720</v>
      </c>
      <c r="Q744" s="6">
        <f t="shared" si="63"/>
        <v>9</v>
      </c>
    </row>
    <row r="745" spans="1:17" x14ac:dyDescent="0.2">
      <c r="A745" s="16">
        <f t="shared" si="59"/>
        <v>1803720</v>
      </c>
      <c r="B745">
        <v>2017</v>
      </c>
      <c r="C745" t="s">
        <v>904</v>
      </c>
      <c r="D745" t="s">
        <v>906</v>
      </c>
      <c r="E745" t="s">
        <v>1651</v>
      </c>
      <c r="F745" t="s">
        <v>493</v>
      </c>
      <c r="G745" t="s">
        <v>92</v>
      </c>
      <c r="H745" s="6">
        <v>142540</v>
      </c>
      <c r="I745" s="6">
        <v>6.2766459948188655E-4</v>
      </c>
      <c r="J745" s="6">
        <v>2840.1823126555369</v>
      </c>
      <c r="K745" s="6">
        <v>546695.86614872306</v>
      </c>
      <c r="M745" s="6">
        <f t="shared" si="60"/>
        <v>145380.18231265552</v>
      </c>
      <c r="N745" s="6">
        <f t="shared" si="61"/>
        <v>546695.86614872306</v>
      </c>
      <c r="O745" s="6">
        <f t="shared" si="62"/>
        <v>692076.04846137855</v>
      </c>
      <c r="P745" s="8">
        <f>VLOOKUP(F745,'LEAID Match'!$A$2:$B$436,2,FALSE)</f>
        <v>1803720</v>
      </c>
      <c r="Q745" s="6">
        <f t="shared" si="63"/>
        <v>9</v>
      </c>
    </row>
    <row r="746" spans="1:17" x14ac:dyDescent="0.2">
      <c r="A746" s="16">
        <f t="shared" si="59"/>
        <v>1803720</v>
      </c>
      <c r="B746">
        <v>2018</v>
      </c>
      <c r="C746" t="s">
        <v>904</v>
      </c>
      <c r="D746" t="s">
        <v>906</v>
      </c>
      <c r="E746" t="s">
        <v>1652</v>
      </c>
      <c r="F746" t="s">
        <v>493</v>
      </c>
      <c r="G746" t="s">
        <v>92</v>
      </c>
      <c r="H746" s="6">
        <v>149624</v>
      </c>
      <c r="I746" s="6">
        <v>6.3476049148273206E-4</v>
      </c>
      <c r="J746" s="6">
        <v>2645.681728500027</v>
      </c>
      <c r="K746" s="6">
        <v>344396</v>
      </c>
      <c r="M746" s="6">
        <f t="shared" si="60"/>
        <v>152269.68172850003</v>
      </c>
      <c r="N746" s="6">
        <f t="shared" si="61"/>
        <v>344396</v>
      </c>
      <c r="O746" s="6">
        <f t="shared" si="62"/>
        <v>496665.68172850006</v>
      </c>
      <c r="P746" s="8">
        <f>VLOOKUP(F746,'LEAID Match'!$A$2:$B$436,2,FALSE)</f>
        <v>1803720</v>
      </c>
      <c r="Q746" s="6">
        <f t="shared" si="63"/>
        <v>9</v>
      </c>
    </row>
    <row r="747" spans="1:17" x14ac:dyDescent="0.2">
      <c r="A747" s="16">
        <f t="shared" si="59"/>
        <v>1803720</v>
      </c>
      <c r="B747">
        <v>2019</v>
      </c>
      <c r="C747" t="s">
        <v>904</v>
      </c>
      <c r="D747" t="s">
        <v>906</v>
      </c>
      <c r="E747" t="s">
        <v>1653</v>
      </c>
      <c r="F747" t="s">
        <v>493</v>
      </c>
      <c r="G747" t="s">
        <v>92</v>
      </c>
      <c r="H747" s="6">
        <v>151995</v>
      </c>
      <c r="I747" s="6">
        <v>3.8667445566574162E-4</v>
      </c>
      <c r="J747" s="6">
        <v>1355.2939671084243</v>
      </c>
      <c r="K747" s="6">
        <v>364982.01870289299</v>
      </c>
      <c r="M747" s="6">
        <f t="shared" si="60"/>
        <v>153350.29396710842</v>
      </c>
      <c r="N747" s="6">
        <f t="shared" si="61"/>
        <v>364982.01870289299</v>
      </c>
      <c r="O747" s="6">
        <f t="shared" si="62"/>
        <v>518332.31267000141</v>
      </c>
      <c r="P747" s="8">
        <f>VLOOKUP(F747,'LEAID Match'!$A$2:$B$436,2,FALSE)</f>
        <v>1803720</v>
      </c>
      <c r="Q747" s="6">
        <f t="shared" si="63"/>
        <v>9</v>
      </c>
    </row>
    <row r="748" spans="1:17" x14ac:dyDescent="0.2">
      <c r="A748" s="16">
        <f t="shared" si="59"/>
        <v>1803720</v>
      </c>
      <c r="B748">
        <v>2020</v>
      </c>
      <c r="C748" t="s">
        <v>904</v>
      </c>
      <c r="D748" t="s">
        <v>906</v>
      </c>
      <c r="E748" t="s">
        <v>1654</v>
      </c>
      <c r="F748" t="s">
        <v>493</v>
      </c>
      <c r="G748" t="s">
        <v>92</v>
      </c>
      <c r="H748" s="6">
        <v>115014</v>
      </c>
      <c r="I748" s="6">
        <v>6.0942556805140369E-4</v>
      </c>
      <c r="J748" s="6">
        <v>1435.806638329107</v>
      </c>
      <c r="K748" s="6">
        <v>359804</v>
      </c>
      <c r="M748" s="6">
        <f t="shared" si="60"/>
        <v>116449.8066383291</v>
      </c>
      <c r="N748" s="6">
        <f t="shared" si="61"/>
        <v>359804</v>
      </c>
      <c r="O748" s="6">
        <f t="shared" si="62"/>
        <v>476253.80663832912</v>
      </c>
      <c r="P748" s="8">
        <f>VLOOKUP(F748,'LEAID Match'!$A$2:$B$436,2,FALSE)</f>
        <v>1803720</v>
      </c>
      <c r="Q748" s="6">
        <f t="shared" si="63"/>
        <v>9</v>
      </c>
    </row>
    <row r="749" spans="1:17" x14ac:dyDescent="0.2">
      <c r="A749" s="16">
        <f t="shared" si="59"/>
        <v>1803720</v>
      </c>
      <c r="B749">
        <v>2021</v>
      </c>
      <c r="C749" t="s">
        <v>904</v>
      </c>
      <c r="D749" t="s">
        <v>906</v>
      </c>
      <c r="E749" t="s">
        <v>1655</v>
      </c>
      <c r="F749" t="s">
        <v>493</v>
      </c>
      <c r="G749" t="s">
        <v>92</v>
      </c>
      <c r="H749" s="6">
        <v>119378</v>
      </c>
      <c r="I749" s="6">
        <v>5.8973842202630574E-4</v>
      </c>
      <c r="J749" s="6">
        <v>1329.2704032472932</v>
      </c>
      <c r="K749" s="6">
        <v>616493</v>
      </c>
      <c r="M749" s="6">
        <f t="shared" si="60"/>
        <v>120707.2704032473</v>
      </c>
      <c r="N749" s="6">
        <f t="shared" si="61"/>
        <v>616493</v>
      </c>
      <c r="O749" s="6">
        <f t="shared" si="62"/>
        <v>737200.27040324733</v>
      </c>
      <c r="P749" s="8">
        <f>VLOOKUP(F749,'LEAID Match'!$A$2:$B$436,2,FALSE)</f>
        <v>1803720</v>
      </c>
      <c r="Q749" s="6">
        <f t="shared" si="63"/>
        <v>9</v>
      </c>
    </row>
    <row r="750" spans="1:17" x14ac:dyDescent="0.2">
      <c r="A750" s="16">
        <f t="shared" si="59"/>
        <v>1803720</v>
      </c>
      <c r="B750">
        <v>2022</v>
      </c>
      <c r="C750" t="s">
        <v>904</v>
      </c>
      <c r="D750" t="s">
        <v>906</v>
      </c>
      <c r="E750" t="s">
        <v>1656</v>
      </c>
      <c r="F750" t="s">
        <v>493</v>
      </c>
      <c r="G750" t="s">
        <v>92</v>
      </c>
      <c r="H750" s="6">
        <v>136349</v>
      </c>
      <c r="I750" s="6">
        <v>6.4741039261647228E-4</v>
      </c>
      <c r="J750" s="6">
        <v>1427.5399157193215</v>
      </c>
      <c r="K750" s="6">
        <v>582334</v>
      </c>
      <c r="M750" s="6">
        <f t="shared" si="60"/>
        <v>137776.53991571933</v>
      </c>
      <c r="N750" s="6">
        <f t="shared" si="61"/>
        <v>582334</v>
      </c>
      <c r="O750" s="6">
        <f t="shared" si="62"/>
        <v>720110.5399157193</v>
      </c>
      <c r="P750" s="8">
        <f>VLOOKUP(F750,'LEAID Match'!$A$2:$B$436,2,FALSE)</f>
        <v>1803720</v>
      </c>
      <c r="Q750" s="6">
        <f t="shared" si="63"/>
        <v>9</v>
      </c>
    </row>
    <row r="751" spans="1:17" x14ac:dyDescent="0.2">
      <c r="A751" s="16">
        <f t="shared" si="59"/>
        <v>1803720</v>
      </c>
      <c r="B751">
        <v>2023</v>
      </c>
      <c r="C751" t="s">
        <v>904</v>
      </c>
      <c r="D751" t="s">
        <v>906</v>
      </c>
      <c r="E751" t="s">
        <v>1657</v>
      </c>
      <c r="F751" t="s">
        <v>493</v>
      </c>
      <c r="G751" t="s">
        <v>92</v>
      </c>
      <c r="H751" s="6">
        <v>141958</v>
      </c>
      <c r="I751" s="6">
        <v>5.8053022081871553E-4</v>
      </c>
      <c r="J751" s="6">
        <v>1432.1680547597712</v>
      </c>
      <c r="K751" s="6">
        <v>1525024</v>
      </c>
      <c r="M751" s="6">
        <f t="shared" si="60"/>
        <v>143390.16805475976</v>
      </c>
      <c r="N751" s="6">
        <f t="shared" si="61"/>
        <v>1525024</v>
      </c>
      <c r="O751" s="6">
        <f t="shared" si="62"/>
        <v>1668414.1680547597</v>
      </c>
      <c r="P751" s="8">
        <f>VLOOKUP(F751,'LEAID Match'!$A$2:$B$436,2,FALSE)</f>
        <v>1803720</v>
      </c>
      <c r="Q751" s="6">
        <f t="shared" si="63"/>
        <v>9</v>
      </c>
    </row>
    <row r="752" spans="1:17" x14ac:dyDescent="0.2">
      <c r="A752" s="16">
        <f t="shared" si="59"/>
        <v>1810360</v>
      </c>
      <c r="B752">
        <v>2015</v>
      </c>
      <c r="C752" t="s">
        <v>904</v>
      </c>
      <c r="D752" t="s">
        <v>906</v>
      </c>
      <c r="E752" t="s">
        <v>1658</v>
      </c>
      <c r="F752" t="s">
        <v>677</v>
      </c>
      <c r="G752" t="s">
        <v>93</v>
      </c>
      <c r="H752" s="6">
        <v>633123</v>
      </c>
      <c r="I752" s="6">
        <v>3.0786916808856275E-3</v>
      </c>
      <c r="J752" s="6">
        <v>17890.277357626383</v>
      </c>
      <c r="K752" s="6">
        <v>2603390.9444237798</v>
      </c>
      <c r="M752" s="6">
        <f t="shared" si="60"/>
        <v>651013.27735762636</v>
      </c>
      <c r="N752" s="6">
        <f t="shared" si="61"/>
        <v>2603390.9444237798</v>
      </c>
      <c r="O752" s="6">
        <f t="shared" si="62"/>
        <v>3254404.2217814061</v>
      </c>
      <c r="P752" s="8">
        <f>VLOOKUP(F752,'LEAID Match'!$A$2:$B$436,2,FALSE)</f>
        <v>1810360</v>
      </c>
      <c r="Q752" s="6">
        <f t="shared" si="63"/>
        <v>9</v>
      </c>
    </row>
    <row r="753" spans="1:17" x14ac:dyDescent="0.2">
      <c r="A753" s="16">
        <f t="shared" si="59"/>
        <v>1810360</v>
      </c>
      <c r="B753">
        <v>2016</v>
      </c>
      <c r="C753" t="s">
        <v>904</v>
      </c>
      <c r="D753" t="s">
        <v>906</v>
      </c>
      <c r="E753" t="s">
        <v>1659</v>
      </c>
      <c r="F753" t="s">
        <v>677</v>
      </c>
      <c r="G753" t="s">
        <v>93</v>
      </c>
      <c r="H753" s="6">
        <v>651226</v>
      </c>
      <c r="I753" s="6">
        <v>3.0217686211388302E-3</v>
      </c>
      <c r="J753" s="6">
        <v>15253.887999508815</v>
      </c>
      <c r="K753" s="6">
        <v>2681819.6512607099</v>
      </c>
      <c r="M753" s="6">
        <f t="shared" si="60"/>
        <v>666479.88799950876</v>
      </c>
      <c r="N753" s="6">
        <f t="shared" si="61"/>
        <v>2681819.6512607099</v>
      </c>
      <c r="O753" s="6">
        <f t="shared" si="62"/>
        <v>3348299.5392602189</v>
      </c>
      <c r="P753" s="8">
        <f>VLOOKUP(F753,'LEAID Match'!$A$2:$B$436,2,FALSE)</f>
        <v>1810360</v>
      </c>
      <c r="Q753" s="6">
        <f t="shared" si="63"/>
        <v>9</v>
      </c>
    </row>
    <row r="754" spans="1:17" x14ac:dyDescent="0.2">
      <c r="A754" s="16">
        <f t="shared" si="59"/>
        <v>1810360</v>
      </c>
      <c r="B754">
        <v>2017</v>
      </c>
      <c r="C754" t="s">
        <v>904</v>
      </c>
      <c r="D754" t="s">
        <v>906</v>
      </c>
      <c r="E754" t="s">
        <v>1660</v>
      </c>
      <c r="F754" t="s">
        <v>677</v>
      </c>
      <c r="G754" t="s">
        <v>93</v>
      </c>
      <c r="H754" s="6">
        <v>660949</v>
      </c>
      <c r="I754" s="6">
        <v>2.9104412050158092E-3</v>
      </c>
      <c r="J754" s="6">
        <v>13169.746452696536</v>
      </c>
      <c r="K754" s="6">
        <v>2534994.2895687702</v>
      </c>
      <c r="M754" s="6">
        <f t="shared" si="60"/>
        <v>674118.74645269651</v>
      </c>
      <c r="N754" s="6">
        <f t="shared" si="61"/>
        <v>2534994.2895687702</v>
      </c>
      <c r="O754" s="6">
        <f t="shared" si="62"/>
        <v>3209113.0360214668</v>
      </c>
      <c r="P754" s="8">
        <f>VLOOKUP(F754,'LEAID Match'!$A$2:$B$436,2,FALSE)</f>
        <v>1810360</v>
      </c>
      <c r="Q754" s="6">
        <f t="shared" si="63"/>
        <v>9</v>
      </c>
    </row>
    <row r="755" spans="1:17" x14ac:dyDescent="0.2">
      <c r="A755" s="16">
        <f t="shared" si="59"/>
        <v>1810360</v>
      </c>
      <c r="B755">
        <v>2018</v>
      </c>
      <c r="C755" t="s">
        <v>904</v>
      </c>
      <c r="D755" t="s">
        <v>906</v>
      </c>
      <c r="E755" t="s">
        <v>1661</v>
      </c>
      <c r="F755" t="s">
        <v>677</v>
      </c>
      <c r="G755" t="s">
        <v>93</v>
      </c>
      <c r="H755" s="6">
        <v>699716</v>
      </c>
      <c r="I755" s="6">
        <v>2.9684547402711557E-3</v>
      </c>
      <c r="J755" s="6">
        <v>12372.519357450177</v>
      </c>
      <c r="K755" s="6">
        <v>2475117</v>
      </c>
      <c r="M755" s="6">
        <f t="shared" si="60"/>
        <v>712088.51935745019</v>
      </c>
      <c r="N755" s="6">
        <f t="shared" si="61"/>
        <v>2475117</v>
      </c>
      <c r="O755" s="6">
        <f t="shared" si="62"/>
        <v>3187205.5193574503</v>
      </c>
      <c r="P755" s="8">
        <f>VLOOKUP(F755,'LEAID Match'!$A$2:$B$436,2,FALSE)</f>
        <v>1810360</v>
      </c>
      <c r="Q755" s="6">
        <f t="shared" si="63"/>
        <v>9</v>
      </c>
    </row>
    <row r="756" spans="1:17" x14ac:dyDescent="0.2">
      <c r="A756" s="16">
        <f t="shared" si="59"/>
        <v>1810360</v>
      </c>
      <c r="B756">
        <v>2019</v>
      </c>
      <c r="C756" t="s">
        <v>904</v>
      </c>
      <c r="D756" t="s">
        <v>906</v>
      </c>
      <c r="E756" t="s">
        <v>1662</v>
      </c>
      <c r="F756" t="s">
        <v>677</v>
      </c>
      <c r="G756" t="s">
        <v>93</v>
      </c>
      <c r="H756" s="6">
        <v>658453</v>
      </c>
      <c r="I756" s="6">
        <v>1.675100860926179E-3</v>
      </c>
      <c r="J756" s="6">
        <v>5871.2285175462575</v>
      </c>
      <c r="K756" s="6">
        <v>1581127.70262822</v>
      </c>
      <c r="M756" s="6">
        <f t="shared" si="60"/>
        <v>664324.2285175462</v>
      </c>
      <c r="N756" s="6">
        <f t="shared" si="61"/>
        <v>1581127.70262822</v>
      </c>
      <c r="O756" s="6">
        <f t="shared" si="62"/>
        <v>2245451.9311457663</v>
      </c>
      <c r="P756" s="8">
        <f>VLOOKUP(F756,'LEAID Match'!$A$2:$B$436,2,FALSE)</f>
        <v>1810360</v>
      </c>
      <c r="Q756" s="6">
        <f t="shared" si="63"/>
        <v>9</v>
      </c>
    </row>
    <row r="757" spans="1:17" x14ac:dyDescent="0.2">
      <c r="A757" s="16">
        <f t="shared" si="59"/>
        <v>1810360</v>
      </c>
      <c r="B757">
        <v>2020</v>
      </c>
      <c r="C757" t="s">
        <v>904</v>
      </c>
      <c r="D757" t="s">
        <v>906</v>
      </c>
      <c r="E757" t="s">
        <v>1663</v>
      </c>
      <c r="F757" t="s">
        <v>677</v>
      </c>
      <c r="G757" t="s">
        <v>93</v>
      </c>
      <c r="H757" s="6">
        <v>513196</v>
      </c>
      <c r="I757" s="6">
        <v>2.7192755996809795E-3</v>
      </c>
      <c r="J757" s="6">
        <v>6406.613312848388</v>
      </c>
      <c r="K757" s="6">
        <v>2641867</v>
      </c>
      <c r="M757" s="6">
        <f t="shared" si="60"/>
        <v>519602.61331284838</v>
      </c>
      <c r="N757" s="6">
        <f t="shared" si="61"/>
        <v>2641867</v>
      </c>
      <c r="O757" s="6">
        <f t="shared" si="62"/>
        <v>3161469.6133128484</v>
      </c>
      <c r="P757" s="8">
        <f>VLOOKUP(F757,'LEAID Match'!$A$2:$B$436,2,FALSE)</f>
        <v>1810360</v>
      </c>
      <c r="Q757" s="6">
        <f t="shared" si="63"/>
        <v>9</v>
      </c>
    </row>
    <row r="758" spans="1:17" x14ac:dyDescent="0.2">
      <c r="A758" s="16">
        <f t="shared" si="59"/>
        <v>1810360</v>
      </c>
      <c r="B758">
        <v>2021</v>
      </c>
      <c r="C758" t="s">
        <v>904</v>
      </c>
      <c r="D758" t="s">
        <v>906</v>
      </c>
      <c r="E758" t="s">
        <v>1664</v>
      </c>
      <c r="F758" t="s">
        <v>677</v>
      </c>
      <c r="G758" t="s">
        <v>93</v>
      </c>
      <c r="H758" s="6">
        <v>525071</v>
      </c>
      <c r="I758" s="6">
        <v>2.5938995710413507E-3</v>
      </c>
      <c r="J758" s="6">
        <v>5846.6496331272047</v>
      </c>
      <c r="K758" s="6">
        <v>4470495</v>
      </c>
      <c r="M758" s="6">
        <f t="shared" si="60"/>
        <v>530917.64963312715</v>
      </c>
      <c r="N758" s="6">
        <f t="shared" si="61"/>
        <v>4470495</v>
      </c>
      <c r="O758" s="6">
        <f t="shared" si="62"/>
        <v>5001412.6496331273</v>
      </c>
      <c r="P758" s="8">
        <f>VLOOKUP(F758,'LEAID Match'!$A$2:$B$436,2,FALSE)</f>
        <v>1810360</v>
      </c>
      <c r="Q758" s="6">
        <f t="shared" si="63"/>
        <v>9</v>
      </c>
    </row>
    <row r="759" spans="1:17" x14ac:dyDescent="0.2">
      <c r="A759" s="16">
        <f t="shared" si="59"/>
        <v>1810360</v>
      </c>
      <c r="B759">
        <v>2022</v>
      </c>
      <c r="C759" t="s">
        <v>904</v>
      </c>
      <c r="D759" t="s">
        <v>906</v>
      </c>
      <c r="E759" t="s">
        <v>1665</v>
      </c>
      <c r="F759" t="s">
        <v>677</v>
      </c>
      <c r="G759" t="s">
        <v>93</v>
      </c>
      <c r="H759" s="6">
        <v>598228</v>
      </c>
      <c r="I759" s="6">
        <v>2.8404977253530788E-3</v>
      </c>
      <c r="J759" s="6">
        <v>6263.2974844035389</v>
      </c>
      <c r="K759" s="6">
        <v>4346575</v>
      </c>
      <c r="M759" s="6">
        <f t="shared" si="60"/>
        <v>604491.29748440359</v>
      </c>
      <c r="N759" s="6">
        <f t="shared" si="61"/>
        <v>4346575</v>
      </c>
      <c r="O759" s="6">
        <f t="shared" si="62"/>
        <v>4951066.2974844035</v>
      </c>
      <c r="P759" s="8">
        <f>VLOOKUP(F759,'LEAID Match'!$A$2:$B$436,2,FALSE)</f>
        <v>1810360</v>
      </c>
      <c r="Q759" s="6">
        <f t="shared" si="63"/>
        <v>9</v>
      </c>
    </row>
    <row r="760" spans="1:17" x14ac:dyDescent="0.2">
      <c r="A760" s="16">
        <f t="shared" si="59"/>
        <v>1810360</v>
      </c>
      <c r="B760">
        <v>2023</v>
      </c>
      <c r="C760" t="s">
        <v>904</v>
      </c>
      <c r="D760" t="s">
        <v>906</v>
      </c>
      <c r="E760" t="s">
        <v>1666</v>
      </c>
      <c r="F760" t="s">
        <v>677</v>
      </c>
      <c r="G760" t="s">
        <v>93</v>
      </c>
      <c r="H760" s="6">
        <v>651774</v>
      </c>
      <c r="I760" s="6">
        <v>2.6653975411311619E-3</v>
      </c>
      <c r="J760" s="6">
        <v>6575.5357339705761</v>
      </c>
      <c r="K760" s="6">
        <v>11598818</v>
      </c>
      <c r="M760" s="6">
        <f t="shared" si="60"/>
        <v>658349.53573397058</v>
      </c>
      <c r="N760" s="6">
        <f t="shared" si="61"/>
        <v>11598818</v>
      </c>
      <c r="O760" s="6">
        <f t="shared" si="62"/>
        <v>12257167.53573397</v>
      </c>
      <c r="P760" s="8">
        <f>VLOOKUP(F760,'LEAID Match'!$A$2:$B$436,2,FALSE)</f>
        <v>1810360</v>
      </c>
      <c r="Q760" s="6">
        <f t="shared" si="63"/>
        <v>9</v>
      </c>
    </row>
    <row r="761" spans="1:17" x14ac:dyDescent="0.2">
      <c r="A761" s="16">
        <f t="shared" si="59"/>
        <v>1800690</v>
      </c>
      <c r="B761">
        <v>2015</v>
      </c>
      <c r="C761" t="s">
        <v>904</v>
      </c>
      <c r="D761" t="s">
        <v>906</v>
      </c>
      <c r="E761" t="s">
        <v>1667</v>
      </c>
      <c r="F761" t="s">
        <v>678</v>
      </c>
      <c r="G761" t="s">
        <v>94</v>
      </c>
      <c r="H761" s="6">
        <v>339279</v>
      </c>
      <c r="I761" s="6">
        <v>1.6498143880402303E-3</v>
      </c>
      <c r="J761" s="6">
        <v>9587.0714089017783</v>
      </c>
      <c r="K761" s="6">
        <v>1395109.44355702</v>
      </c>
      <c r="M761" s="6">
        <f t="shared" si="60"/>
        <v>348866.07140890177</v>
      </c>
      <c r="N761" s="6">
        <f t="shared" si="61"/>
        <v>1395109.44355702</v>
      </c>
      <c r="O761" s="6">
        <f t="shared" si="62"/>
        <v>1743975.5149659219</v>
      </c>
      <c r="P761" s="8">
        <f>VLOOKUP(F761,'LEAID Match'!$A$2:$B$436,2,FALSE)</f>
        <v>1800690</v>
      </c>
      <c r="Q761" s="6">
        <f t="shared" si="63"/>
        <v>9</v>
      </c>
    </row>
    <row r="762" spans="1:17" x14ac:dyDescent="0.2">
      <c r="A762" s="16">
        <f t="shared" si="59"/>
        <v>1800690</v>
      </c>
      <c r="B762">
        <v>2016</v>
      </c>
      <c r="C762" t="s">
        <v>904</v>
      </c>
      <c r="D762" t="s">
        <v>906</v>
      </c>
      <c r="E762" t="s">
        <v>1668</v>
      </c>
      <c r="F762" t="s">
        <v>678</v>
      </c>
      <c r="G762" t="s">
        <v>94</v>
      </c>
      <c r="H762" s="6">
        <v>354130</v>
      </c>
      <c r="I762" s="6">
        <v>1.6432066929205744E-3</v>
      </c>
      <c r="J762" s="6">
        <v>8294.90738586306</v>
      </c>
      <c r="K762" s="6">
        <v>1458345.9399670099</v>
      </c>
      <c r="M762" s="6">
        <f t="shared" si="60"/>
        <v>362424.90738586307</v>
      </c>
      <c r="N762" s="6">
        <f t="shared" si="61"/>
        <v>1458345.9399670099</v>
      </c>
      <c r="O762" s="6">
        <f t="shared" si="62"/>
        <v>1820770.8473528731</v>
      </c>
      <c r="P762" s="8">
        <f>VLOOKUP(F762,'LEAID Match'!$A$2:$B$436,2,FALSE)</f>
        <v>1800690</v>
      </c>
      <c r="Q762" s="6">
        <f t="shared" si="63"/>
        <v>9</v>
      </c>
    </row>
    <row r="763" spans="1:17" x14ac:dyDescent="0.2">
      <c r="A763" s="16">
        <f t="shared" si="59"/>
        <v>1800690</v>
      </c>
      <c r="B763">
        <v>2017</v>
      </c>
      <c r="C763" t="s">
        <v>904</v>
      </c>
      <c r="D763" t="s">
        <v>906</v>
      </c>
      <c r="E763" t="s">
        <v>1669</v>
      </c>
      <c r="F763" t="s">
        <v>678</v>
      </c>
      <c r="G763" t="s">
        <v>94</v>
      </c>
      <c r="H763" s="6">
        <v>385997</v>
      </c>
      <c r="I763" s="6">
        <v>1.6997099228722445E-3</v>
      </c>
      <c r="J763" s="6">
        <v>7691.1874009969069</v>
      </c>
      <c r="K763" s="6">
        <v>1480447.3428217201</v>
      </c>
      <c r="M763" s="6">
        <f t="shared" si="60"/>
        <v>393688.18740099692</v>
      </c>
      <c r="N763" s="6">
        <f t="shared" si="61"/>
        <v>1480447.3428217201</v>
      </c>
      <c r="O763" s="6">
        <f t="shared" si="62"/>
        <v>1874135.530222717</v>
      </c>
      <c r="P763" s="8">
        <f>VLOOKUP(F763,'LEAID Match'!$A$2:$B$436,2,FALSE)</f>
        <v>1800690</v>
      </c>
      <c r="Q763" s="6">
        <f t="shared" si="63"/>
        <v>9</v>
      </c>
    </row>
    <row r="764" spans="1:17" x14ac:dyDescent="0.2">
      <c r="A764" s="16">
        <f t="shared" si="59"/>
        <v>1800690</v>
      </c>
      <c r="B764">
        <v>2018</v>
      </c>
      <c r="C764" t="s">
        <v>904</v>
      </c>
      <c r="D764" t="s">
        <v>906</v>
      </c>
      <c r="E764" t="s">
        <v>1670</v>
      </c>
      <c r="F764" t="s">
        <v>678</v>
      </c>
      <c r="G764" t="s">
        <v>94</v>
      </c>
      <c r="H764" s="6">
        <v>378493</v>
      </c>
      <c r="I764" s="6">
        <v>1.6057076585492549E-3</v>
      </c>
      <c r="J764" s="6">
        <v>6692.589520833294</v>
      </c>
      <c r="K764" s="6">
        <v>2064174</v>
      </c>
      <c r="M764" s="6">
        <f t="shared" si="60"/>
        <v>385185.58952083328</v>
      </c>
      <c r="N764" s="6">
        <f t="shared" si="61"/>
        <v>2064174</v>
      </c>
      <c r="O764" s="6">
        <f t="shared" si="62"/>
        <v>2449359.5895208335</v>
      </c>
      <c r="P764" s="8">
        <f>VLOOKUP(F764,'LEAID Match'!$A$2:$B$436,2,FALSE)</f>
        <v>1800690</v>
      </c>
      <c r="Q764" s="6">
        <f t="shared" si="63"/>
        <v>9</v>
      </c>
    </row>
    <row r="765" spans="1:17" x14ac:dyDescent="0.2">
      <c r="A765" s="16">
        <f t="shared" si="59"/>
        <v>1800690</v>
      </c>
      <c r="B765">
        <v>2019</v>
      </c>
      <c r="C765" t="s">
        <v>904</v>
      </c>
      <c r="D765" t="s">
        <v>906</v>
      </c>
      <c r="E765" t="s">
        <v>1671</v>
      </c>
      <c r="F765" t="s">
        <v>678</v>
      </c>
      <c r="G765" t="s">
        <v>94</v>
      </c>
      <c r="H765" s="6">
        <v>353952</v>
      </c>
      <c r="I765" s="6">
        <v>9.0045196836606857E-4</v>
      </c>
      <c r="J765" s="6">
        <v>3156.0841491230703</v>
      </c>
      <c r="K765" s="6">
        <v>849936.61294073204</v>
      </c>
      <c r="M765" s="6">
        <f t="shared" si="60"/>
        <v>357108.08414912305</v>
      </c>
      <c r="N765" s="6">
        <f t="shared" si="61"/>
        <v>849936.61294073204</v>
      </c>
      <c r="O765" s="6">
        <f t="shared" si="62"/>
        <v>1207044.6970898551</v>
      </c>
      <c r="P765" s="8">
        <f>VLOOKUP(F765,'LEAID Match'!$A$2:$B$436,2,FALSE)</f>
        <v>1800690</v>
      </c>
      <c r="Q765" s="6">
        <f t="shared" si="63"/>
        <v>9</v>
      </c>
    </row>
    <row r="766" spans="1:17" x14ac:dyDescent="0.2">
      <c r="A766" s="16">
        <f t="shared" si="59"/>
        <v>1800690</v>
      </c>
      <c r="B766">
        <v>2020</v>
      </c>
      <c r="C766" t="s">
        <v>904</v>
      </c>
      <c r="D766" t="s">
        <v>906</v>
      </c>
      <c r="E766" t="s">
        <v>1672</v>
      </c>
      <c r="F766" t="s">
        <v>678</v>
      </c>
      <c r="G766" t="s">
        <v>94</v>
      </c>
      <c r="H766" s="6">
        <v>270981</v>
      </c>
      <c r="I766" s="6">
        <v>1.4358491127700753E-3</v>
      </c>
      <c r="J766" s="6">
        <v>3382.8605096862975</v>
      </c>
      <c r="K766" s="6">
        <v>2211559</v>
      </c>
      <c r="M766" s="6">
        <f t="shared" si="60"/>
        <v>274363.86050968629</v>
      </c>
      <c r="N766" s="6">
        <f t="shared" si="61"/>
        <v>2211559</v>
      </c>
      <c r="O766" s="6">
        <f t="shared" si="62"/>
        <v>2485922.8605096862</v>
      </c>
      <c r="P766" s="8">
        <f>VLOOKUP(F766,'LEAID Match'!$A$2:$B$436,2,FALSE)</f>
        <v>1800690</v>
      </c>
      <c r="Q766" s="6">
        <f t="shared" si="63"/>
        <v>9</v>
      </c>
    </row>
    <row r="767" spans="1:17" x14ac:dyDescent="0.2">
      <c r="A767" s="16">
        <f t="shared" si="59"/>
        <v>1800690</v>
      </c>
      <c r="B767">
        <v>2021</v>
      </c>
      <c r="C767" t="s">
        <v>904</v>
      </c>
      <c r="D767" t="s">
        <v>906</v>
      </c>
      <c r="E767" t="s">
        <v>1673</v>
      </c>
      <c r="F767" t="s">
        <v>678</v>
      </c>
      <c r="G767" t="s">
        <v>94</v>
      </c>
      <c r="H767" s="6">
        <v>293154</v>
      </c>
      <c r="I767" s="6">
        <v>1.4482080230084238E-3</v>
      </c>
      <c r="J767" s="6">
        <v>3264.2608838609872</v>
      </c>
      <c r="K767" s="6">
        <v>3836100</v>
      </c>
      <c r="M767" s="6">
        <f t="shared" si="60"/>
        <v>296418.26088386099</v>
      </c>
      <c r="N767" s="6">
        <f t="shared" si="61"/>
        <v>3836100</v>
      </c>
      <c r="O767" s="6">
        <f t="shared" si="62"/>
        <v>4132518.2608838612</v>
      </c>
      <c r="P767" s="8">
        <f>VLOOKUP(F767,'LEAID Match'!$A$2:$B$436,2,FALSE)</f>
        <v>1800690</v>
      </c>
      <c r="Q767" s="6">
        <f t="shared" si="63"/>
        <v>9</v>
      </c>
    </row>
    <row r="768" spans="1:17" x14ac:dyDescent="0.2">
      <c r="A768" s="16">
        <f t="shared" si="59"/>
        <v>1800690</v>
      </c>
      <c r="B768">
        <v>2022</v>
      </c>
      <c r="C768" t="s">
        <v>904</v>
      </c>
      <c r="D768" t="s">
        <v>906</v>
      </c>
      <c r="E768" t="s">
        <v>1674</v>
      </c>
      <c r="F768" t="s">
        <v>678</v>
      </c>
      <c r="G768" t="s">
        <v>94</v>
      </c>
      <c r="H768" s="6">
        <v>316512</v>
      </c>
      <c r="I768" s="6">
        <v>1.5028578001145946E-3</v>
      </c>
      <c r="J768" s="6">
        <v>3313.8014492526813</v>
      </c>
      <c r="K768" s="6">
        <v>3701760</v>
      </c>
      <c r="M768" s="6">
        <f t="shared" si="60"/>
        <v>319825.8014492527</v>
      </c>
      <c r="N768" s="6">
        <f t="shared" si="61"/>
        <v>3701760</v>
      </c>
      <c r="O768" s="6">
        <f t="shared" si="62"/>
        <v>4021585.8014492528</v>
      </c>
      <c r="P768" s="8">
        <f>VLOOKUP(F768,'LEAID Match'!$A$2:$B$436,2,FALSE)</f>
        <v>1800690</v>
      </c>
      <c r="Q768" s="6">
        <f t="shared" si="63"/>
        <v>9</v>
      </c>
    </row>
    <row r="769" spans="1:17" x14ac:dyDescent="0.2">
      <c r="A769" s="16">
        <f t="shared" si="59"/>
        <v>1800690</v>
      </c>
      <c r="B769">
        <v>2023</v>
      </c>
      <c r="C769" t="s">
        <v>904</v>
      </c>
      <c r="D769" t="s">
        <v>906</v>
      </c>
      <c r="E769" t="s">
        <v>1675</v>
      </c>
      <c r="F769" t="s">
        <v>678</v>
      </c>
      <c r="G769" t="s">
        <v>94</v>
      </c>
      <c r="H769" s="6">
        <v>372027</v>
      </c>
      <c r="I769" s="6">
        <v>1.5213860188261618E-3</v>
      </c>
      <c r="J769" s="6">
        <v>3753.259308444141</v>
      </c>
      <c r="K769" s="6">
        <v>10641285</v>
      </c>
      <c r="M769" s="6">
        <f t="shared" si="60"/>
        <v>375780.25930844416</v>
      </c>
      <c r="N769" s="6">
        <f t="shared" si="61"/>
        <v>10641285</v>
      </c>
      <c r="O769" s="6">
        <f t="shared" si="62"/>
        <v>11017065.259308444</v>
      </c>
      <c r="P769" s="8">
        <f>VLOOKUP(F769,'LEAID Match'!$A$2:$B$436,2,FALSE)</f>
        <v>1800690</v>
      </c>
      <c r="Q769" s="6">
        <f t="shared" si="63"/>
        <v>9</v>
      </c>
    </row>
    <row r="770" spans="1:17" x14ac:dyDescent="0.2">
      <c r="A770" s="16">
        <f t="shared" si="59"/>
        <v>1800270</v>
      </c>
      <c r="B770">
        <v>2015</v>
      </c>
      <c r="C770" t="s">
        <v>904</v>
      </c>
      <c r="D770" t="s">
        <v>906</v>
      </c>
      <c r="E770" t="s">
        <v>1676</v>
      </c>
      <c r="F770" t="s">
        <v>679</v>
      </c>
      <c r="G770" t="s">
        <v>95</v>
      </c>
      <c r="H770" s="6">
        <v>1618016</v>
      </c>
      <c r="I770" s="6">
        <v>7.8679378236769775E-3</v>
      </c>
      <c r="J770" s="6">
        <v>45720.586693386918</v>
      </c>
      <c r="K770" s="6">
        <v>6653254.1107064299</v>
      </c>
      <c r="M770" s="6">
        <f t="shared" si="60"/>
        <v>1663736.586693387</v>
      </c>
      <c r="N770" s="6">
        <f t="shared" si="61"/>
        <v>6653254.1107064299</v>
      </c>
      <c r="O770" s="6">
        <f t="shared" si="62"/>
        <v>8316990.6973998174</v>
      </c>
      <c r="P770" s="8">
        <f>VLOOKUP(F770,'LEAID Match'!$A$2:$B$436,2,FALSE)</f>
        <v>1800270</v>
      </c>
      <c r="Q770" s="6">
        <f t="shared" si="63"/>
        <v>9</v>
      </c>
    </row>
    <row r="771" spans="1:17" x14ac:dyDescent="0.2">
      <c r="A771" s="16">
        <f t="shared" ref="A771:A834" si="64">P771</f>
        <v>1800270</v>
      </c>
      <c r="B771">
        <v>2016</v>
      </c>
      <c r="C771" t="s">
        <v>904</v>
      </c>
      <c r="D771" t="s">
        <v>906</v>
      </c>
      <c r="E771" t="s">
        <v>1677</v>
      </c>
      <c r="F771" t="s">
        <v>679</v>
      </c>
      <c r="G771" t="s">
        <v>95</v>
      </c>
      <c r="H771" s="6">
        <v>1828290</v>
      </c>
      <c r="I771" s="6">
        <v>8.4834901437318404E-3</v>
      </c>
      <c r="J771" s="6">
        <v>42824.658245558334</v>
      </c>
      <c r="K771" s="6">
        <v>7529097.5025620004</v>
      </c>
      <c r="M771" s="6">
        <f t="shared" ref="M771:M834" si="65">SUM(H771,J771)</f>
        <v>1871114.6582455584</v>
      </c>
      <c r="N771" s="6">
        <f t="shared" ref="N771:N834" si="66">K771</f>
        <v>7529097.5025620004</v>
      </c>
      <c r="O771" s="6">
        <f t="shared" ref="O771:O834" si="67">SUM(M771:N771)</f>
        <v>9400212.1608075593</v>
      </c>
      <c r="P771" s="8">
        <f>VLOOKUP(F771,'LEAID Match'!$A$2:$B$436,2,FALSE)</f>
        <v>1800270</v>
      </c>
      <c r="Q771" s="6">
        <f t="shared" ref="Q771:Q834" si="68">COUNTIF($P$2:$P$3691,P771)</f>
        <v>9</v>
      </c>
    </row>
    <row r="772" spans="1:17" x14ac:dyDescent="0.2">
      <c r="A772" s="16">
        <f t="shared" si="64"/>
        <v>1800270</v>
      </c>
      <c r="B772">
        <v>2017</v>
      </c>
      <c r="C772" t="s">
        <v>904</v>
      </c>
      <c r="D772" t="s">
        <v>906</v>
      </c>
      <c r="E772" t="s">
        <v>1678</v>
      </c>
      <c r="F772" t="s">
        <v>679</v>
      </c>
      <c r="G772" t="s">
        <v>95</v>
      </c>
      <c r="H772" s="6">
        <v>1919759</v>
      </c>
      <c r="I772" s="6">
        <v>8.4535201616160165E-3</v>
      </c>
      <c r="J772" s="6">
        <v>38252.178731312473</v>
      </c>
      <c r="K772" s="6">
        <v>7363016.06076755</v>
      </c>
      <c r="M772" s="6">
        <f t="shared" si="65"/>
        <v>1958011.1787313125</v>
      </c>
      <c r="N772" s="6">
        <f t="shared" si="66"/>
        <v>7363016.06076755</v>
      </c>
      <c r="O772" s="6">
        <f t="shared" si="67"/>
        <v>9321027.239498863</v>
      </c>
      <c r="P772" s="8">
        <f>VLOOKUP(F772,'LEAID Match'!$A$2:$B$436,2,FALSE)</f>
        <v>1800270</v>
      </c>
      <c r="Q772" s="6">
        <f t="shared" si="68"/>
        <v>9</v>
      </c>
    </row>
    <row r="773" spans="1:17" x14ac:dyDescent="0.2">
      <c r="A773" s="16">
        <f t="shared" si="64"/>
        <v>1800270</v>
      </c>
      <c r="B773">
        <v>2018</v>
      </c>
      <c r="C773" t="s">
        <v>904</v>
      </c>
      <c r="D773" t="s">
        <v>906</v>
      </c>
      <c r="E773" t="s">
        <v>1679</v>
      </c>
      <c r="F773" t="s">
        <v>679</v>
      </c>
      <c r="G773" t="s">
        <v>95</v>
      </c>
      <c r="H773" s="6">
        <v>2035143</v>
      </c>
      <c r="I773" s="6">
        <v>8.6338312765174164E-3</v>
      </c>
      <c r="J773" s="6">
        <v>35985.808760524589</v>
      </c>
      <c r="K773" s="6">
        <v>3424042</v>
      </c>
      <c r="M773" s="6">
        <f t="shared" si="65"/>
        <v>2071128.8087605245</v>
      </c>
      <c r="N773" s="6">
        <f t="shared" si="66"/>
        <v>3424042</v>
      </c>
      <c r="O773" s="6">
        <f t="shared" si="67"/>
        <v>5495170.8087605247</v>
      </c>
      <c r="P773" s="8">
        <f>VLOOKUP(F773,'LEAID Match'!$A$2:$B$436,2,FALSE)</f>
        <v>1800270</v>
      </c>
      <c r="Q773" s="6">
        <f t="shared" si="68"/>
        <v>9</v>
      </c>
    </row>
    <row r="774" spans="1:17" x14ac:dyDescent="0.2">
      <c r="A774" s="16">
        <f t="shared" si="64"/>
        <v>1800270</v>
      </c>
      <c r="B774">
        <v>2019</v>
      </c>
      <c r="C774" t="s">
        <v>904</v>
      </c>
      <c r="D774" t="s">
        <v>906</v>
      </c>
      <c r="E774" t="s">
        <v>1680</v>
      </c>
      <c r="F774" t="s">
        <v>679</v>
      </c>
      <c r="G774" t="s">
        <v>95</v>
      </c>
      <c r="H774" s="6">
        <v>2414470</v>
      </c>
      <c r="I774" s="6">
        <v>6.1423985852907216E-3</v>
      </c>
      <c r="J774" s="6">
        <v>21529.107041443978</v>
      </c>
      <c r="K774" s="6">
        <v>5797810.0246559102</v>
      </c>
      <c r="M774" s="6">
        <f t="shared" si="65"/>
        <v>2435999.1070414442</v>
      </c>
      <c r="N774" s="6">
        <f t="shared" si="66"/>
        <v>5797810.0246559102</v>
      </c>
      <c r="O774" s="6">
        <f t="shared" si="67"/>
        <v>8233809.1316973548</v>
      </c>
      <c r="P774" s="8">
        <f>VLOOKUP(F774,'LEAID Match'!$A$2:$B$436,2,FALSE)</f>
        <v>1800270</v>
      </c>
      <c r="Q774" s="6">
        <f t="shared" si="68"/>
        <v>9</v>
      </c>
    </row>
    <row r="775" spans="1:17" x14ac:dyDescent="0.2">
      <c r="A775" s="16">
        <f t="shared" si="64"/>
        <v>1800270</v>
      </c>
      <c r="B775">
        <v>2020</v>
      </c>
      <c r="C775" t="s">
        <v>904</v>
      </c>
      <c r="D775" t="s">
        <v>906</v>
      </c>
      <c r="E775" t="s">
        <v>1681</v>
      </c>
      <c r="F775" t="s">
        <v>679</v>
      </c>
      <c r="G775" t="s">
        <v>95</v>
      </c>
      <c r="H775" s="6">
        <v>1929204</v>
      </c>
      <c r="I775" s="6">
        <v>1.0222288100466381E-2</v>
      </c>
      <c r="J775" s="6">
        <v>24083.710764698793</v>
      </c>
      <c r="K775" s="6">
        <v>3636986</v>
      </c>
      <c r="M775" s="6">
        <f t="shared" si="65"/>
        <v>1953287.7107646987</v>
      </c>
      <c r="N775" s="6">
        <f t="shared" si="66"/>
        <v>3636986</v>
      </c>
      <c r="O775" s="6">
        <f t="shared" si="67"/>
        <v>5590273.7107646987</v>
      </c>
      <c r="P775" s="8">
        <f>VLOOKUP(F775,'LEAID Match'!$A$2:$B$436,2,FALSE)</f>
        <v>1800270</v>
      </c>
      <c r="Q775" s="6">
        <f t="shared" si="68"/>
        <v>9</v>
      </c>
    </row>
    <row r="776" spans="1:17" x14ac:dyDescent="0.2">
      <c r="A776" s="16">
        <f t="shared" si="64"/>
        <v>1800270</v>
      </c>
      <c r="B776">
        <v>2021</v>
      </c>
      <c r="C776" t="s">
        <v>904</v>
      </c>
      <c r="D776" t="s">
        <v>906</v>
      </c>
      <c r="E776" t="s">
        <v>1682</v>
      </c>
      <c r="F776" t="s">
        <v>679</v>
      </c>
      <c r="G776" t="s">
        <v>95</v>
      </c>
      <c r="H776" s="6">
        <v>1966120</v>
      </c>
      <c r="I776" s="6">
        <v>9.7128156470569129E-3</v>
      </c>
      <c r="J776" s="6">
        <v>21892.686468466283</v>
      </c>
      <c r="K776" s="6">
        <v>5951709</v>
      </c>
      <c r="M776" s="6">
        <f t="shared" si="65"/>
        <v>1988012.6864684662</v>
      </c>
      <c r="N776" s="6">
        <f t="shared" si="66"/>
        <v>5951709</v>
      </c>
      <c r="O776" s="6">
        <f t="shared" si="67"/>
        <v>7939721.6864684662</v>
      </c>
      <c r="P776" s="8">
        <f>VLOOKUP(F776,'LEAID Match'!$A$2:$B$436,2,FALSE)</f>
        <v>1800270</v>
      </c>
      <c r="Q776" s="6">
        <f t="shared" si="68"/>
        <v>9</v>
      </c>
    </row>
    <row r="777" spans="1:17" x14ac:dyDescent="0.2">
      <c r="A777" s="16">
        <f t="shared" si="64"/>
        <v>1800270</v>
      </c>
      <c r="B777">
        <v>2022</v>
      </c>
      <c r="C777" t="s">
        <v>904</v>
      </c>
      <c r="D777" t="s">
        <v>906</v>
      </c>
      <c r="E777" t="s">
        <v>1683</v>
      </c>
      <c r="F777" t="s">
        <v>679</v>
      </c>
      <c r="G777" t="s">
        <v>95</v>
      </c>
      <c r="H777" s="6">
        <v>2236677</v>
      </c>
      <c r="I777" s="6">
        <v>1.0620158084960163E-2</v>
      </c>
      <c r="J777" s="6">
        <v>23417.44857733716</v>
      </c>
      <c r="K777" s="6">
        <v>5694347</v>
      </c>
      <c r="M777" s="6">
        <f t="shared" si="65"/>
        <v>2260094.448577337</v>
      </c>
      <c r="N777" s="6">
        <f t="shared" si="66"/>
        <v>5694347</v>
      </c>
      <c r="O777" s="6">
        <f t="shared" si="67"/>
        <v>7954441.448577337</v>
      </c>
      <c r="P777" s="8">
        <f>VLOOKUP(F777,'LEAID Match'!$A$2:$B$436,2,FALSE)</f>
        <v>1800270</v>
      </c>
      <c r="Q777" s="6">
        <f t="shared" si="68"/>
        <v>9</v>
      </c>
    </row>
    <row r="778" spans="1:17" x14ac:dyDescent="0.2">
      <c r="A778" s="16">
        <f t="shared" si="64"/>
        <v>1800270</v>
      </c>
      <c r="B778">
        <v>2023</v>
      </c>
      <c r="C778" t="s">
        <v>904</v>
      </c>
      <c r="D778" t="s">
        <v>906</v>
      </c>
      <c r="E778" t="s">
        <v>1684</v>
      </c>
      <c r="F778" t="s">
        <v>679</v>
      </c>
      <c r="G778" t="s">
        <v>95</v>
      </c>
      <c r="H778" s="6">
        <v>2688148</v>
      </c>
      <c r="I778" s="6">
        <v>1.099304831029874E-2</v>
      </c>
      <c r="J778" s="6">
        <v>27119.85018150699</v>
      </c>
      <c r="K778" s="6">
        <v>17011572</v>
      </c>
      <c r="M778" s="6">
        <f t="shared" si="65"/>
        <v>2715267.8501815069</v>
      </c>
      <c r="N778" s="6">
        <f t="shared" si="66"/>
        <v>17011572</v>
      </c>
      <c r="O778" s="6">
        <f t="shared" si="67"/>
        <v>19726839.850181505</v>
      </c>
      <c r="P778" s="8">
        <f>VLOOKUP(F778,'LEAID Match'!$A$2:$B$436,2,FALSE)</f>
        <v>1800270</v>
      </c>
      <c r="Q778" s="6">
        <f t="shared" si="68"/>
        <v>9</v>
      </c>
    </row>
    <row r="779" spans="1:17" x14ac:dyDescent="0.2">
      <c r="A779" s="16">
        <f t="shared" si="64"/>
        <v>1802550</v>
      </c>
      <c r="B779">
        <v>2015</v>
      </c>
      <c r="C779" t="s">
        <v>904</v>
      </c>
      <c r="D779" t="s">
        <v>906</v>
      </c>
      <c r="E779" t="s">
        <v>1685</v>
      </c>
      <c r="F779" t="s">
        <v>680</v>
      </c>
      <c r="G779" t="s">
        <v>96</v>
      </c>
      <c r="H779" s="6">
        <v>477286</v>
      </c>
      <c r="I779" s="6">
        <v>2.3209020010379936E-3</v>
      </c>
      <c r="J779" s="6">
        <v>13486.76152803178</v>
      </c>
      <c r="K779" s="6">
        <v>1962591.86650974</v>
      </c>
      <c r="M779" s="6">
        <f t="shared" si="65"/>
        <v>490772.76152803178</v>
      </c>
      <c r="N779" s="6">
        <f t="shared" si="66"/>
        <v>1962591.86650974</v>
      </c>
      <c r="O779" s="6">
        <f t="shared" si="67"/>
        <v>2453364.6280377717</v>
      </c>
      <c r="P779" s="8">
        <f>VLOOKUP(F779,'LEAID Match'!$A$2:$B$436,2,FALSE)</f>
        <v>1802550</v>
      </c>
      <c r="Q779" s="6">
        <f t="shared" si="68"/>
        <v>9</v>
      </c>
    </row>
    <row r="780" spans="1:17" x14ac:dyDescent="0.2">
      <c r="A780" s="16">
        <f t="shared" si="64"/>
        <v>1802550</v>
      </c>
      <c r="B780">
        <v>2016</v>
      </c>
      <c r="C780" t="s">
        <v>904</v>
      </c>
      <c r="D780" t="s">
        <v>906</v>
      </c>
      <c r="E780" t="s">
        <v>1686</v>
      </c>
      <c r="F780" t="s">
        <v>680</v>
      </c>
      <c r="G780" t="s">
        <v>96</v>
      </c>
      <c r="H780" s="6">
        <v>508514</v>
      </c>
      <c r="I780" s="6">
        <v>2.3595674137853696E-3</v>
      </c>
      <c r="J780" s="6">
        <v>11911.096304788545</v>
      </c>
      <c r="K780" s="6">
        <v>2094116.07973451</v>
      </c>
      <c r="M780" s="6">
        <f t="shared" si="65"/>
        <v>520425.09630478855</v>
      </c>
      <c r="N780" s="6">
        <f t="shared" si="66"/>
        <v>2094116.07973451</v>
      </c>
      <c r="O780" s="6">
        <f t="shared" si="67"/>
        <v>2614541.1760392985</v>
      </c>
      <c r="P780" s="8">
        <f>VLOOKUP(F780,'LEAID Match'!$A$2:$B$436,2,FALSE)</f>
        <v>1802550</v>
      </c>
      <c r="Q780" s="6">
        <f t="shared" si="68"/>
        <v>9</v>
      </c>
    </row>
    <row r="781" spans="1:17" x14ac:dyDescent="0.2">
      <c r="A781" s="16">
        <f t="shared" si="64"/>
        <v>1802550</v>
      </c>
      <c r="B781">
        <v>2017</v>
      </c>
      <c r="C781" t="s">
        <v>904</v>
      </c>
      <c r="D781" t="s">
        <v>906</v>
      </c>
      <c r="E781" t="s">
        <v>1687</v>
      </c>
      <c r="F781" t="s">
        <v>680</v>
      </c>
      <c r="G781" t="s">
        <v>96</v>
      </c>
      <c r="H781" s="6">
        <v>536001</v>
      </c>
      <c r="I781" s="6">
        <v>2.3602417074988823E-3</v>
      </c>
      <c r="J781" s="6">
        <v>10680.093726432442</v>
      </c>
      <c r="K781" s="6">
        <v>2055770.52723152</v>
      </c>
      <c r="M781" s="6">
        <f t="shared" si="65"/>
        <v>546681.09372643242</v>
      </c>
      <c r="N781" s="6">
        <f t="shared" si="66"/>
        <v>2055770.52723152</v>
      </c>
      <c r="O781" s="6">
        <f t="shared" si="67"/>
        <v>2602451.6209579525</v>
      </c>
      <c r="P781" s="8">
        <f>VLOOKUP(F781,'LEAID Match'!$A$2:$B$436,2,FALSE)</f>
        <v>1802550</v>
      </c>
      <c r="Q781" s="6">
        <f t="shared" si="68"/>
        <v>9</v>
      </c>
    </row>
    <row r="782" spans="1:17" x14ac:dyDescent="0.2">
      <c r="A782" s="16">
        <f t="shared" si="64"/>
        <v>1802550</v>
      </c>
      <c r="B782">
        <v>2018</v>
      </c>
      <c r="C782" t="s">
        <v>904</v>
      </c>
      <c r="D782" t="s">
        <v>906</v>
      </c>
      <c r="E782" t="s">
        <v>1688</v>
      </c>
      <c r="F782" t="s">
        <v>680</v>
      </c>
      <c r="G782" t="s">
        <v>96</v>
      </c>
      <c r="H782" s="6">
        <v>527340</v>
      </c>
      <c r="I782" s="6">
        <v>2.237171827905309E-3</v>
      </c>
      <c r="J782" s="6">
        <v>9324.5321787093271</v>
      </c>
      <c r="K782" s="6">
        <v>1635239</v>
      </c>
      <c r="M782" s="6">
        <f t="shared" si="65"/>
        <v>536664.53217870928</v>
      </c>
      <c r="N782" s="6">
        <f t="shared" si="66"/>
        <v>1635239</v>
      </c>
      <c r="O782" s="6">
        <f t="shared" si="67"/>
        <v>2171903.5321787093</v>
      </c>
      <c r="P782" s="8">
        <f>VLOOKUP(F782,'LEAID Match'!$A$2:$B$436,2,FALSE)</f>
        <v>1802550</v>
      </c>
      <c r="Q782" s="6">
        <f t="shared" si="68"/>
        <v>9</v>
      </c>
    </row>
    <row r="783" spans="1:17" x14ac:dyDescent="0.2">
      <c r="A783" s="16">
        <f t="shared" si="64"/>
        <v>1802550</v>
      </c>
      <c r="B783">
        <v>2019</v>
      </c>
      <c r="C783" t="s">
        <v>904</v>
      </c>
      <c r="D783" t="s">
        <v>906</v>
      </c>
      <c r="E783" t="s">
        <v>1689</v>
      </c>
      <c r="F783" t="s">
        <v>680</v>
      </c>
      <c r="G783" t="s">
        <v>96</v>
      </c>
      <c r="H783" s="6">
        <v>560418</v>
      </c>
      <c r="I783" s="6">
        <v>1.4257003526121491E-3</v>
      </c>
      <c r="J783" s="6">
        <v>4997.0797359055823</v>
      </c>
      <c r="K783" s="6">
        <v>1345718.5628306</v>
      </c>
      <c r="M783" s="6">
        <f t="shared" si="65"/>
        <v>565415.07973590563</v>
      </c>
      <c r="N783" s="6">
        <f t="shared" si="66"/>
        <v>1345718.5628306</v>
      </c>
      <c r="O783" s="6">
        <f t="shared" si="67"/>
        <v>1911133.6425665056</v>
      </c>
      <c r="P783" s="8">
        <f>VLOOKUP(F783,'LEAID Match'!$A$2:$B$436,2,FALSE)</f>
        <v>1802550</v>
      </c>
      <c r="Q783" s="6">
        <f t="shared" si="68"/>
        <v>9</v>
      </c>
    </row>
    <row r="784" spans="1:17" x14ac:dyDescent="0.2">
      <c r="A784" s="16">
        <f t="shared" si="64"/>
        <v>1802550</v>
      </c>
      <c r="B784">
        <v>2020</v>
      </c>
      <c r="C784" t="s">
        <v>904</v>
      </c>
      <c r="D784" t="s">
        <v>906</v>
      </c>
      <c r="E784" t="s">
        <v>1690</v>
      </c>
      <c r="F784" t="s">
        <v>680</v>
      </c>
      <c r="G784" t="s">
        <v>96</v>
      </c>
      <c r="H784" s="6">
        <v>426293</v>
      </c>
      <c r="I784" s="6">
        <v>2.2588020039415813E-3</v>
      </c>
      <c r="J784" s="6">
        <v>5321.7375212863653</v>
      </c>
      <c r="K784" s="6">
        <v>1809122</v>
      </c>
      <c r="M784" s="6">
        <f t="shared" si="65"/>
        <v>431614.73752128636</v>
      </c>
      <c r="N784" s="6">
        <f t="shared" si="66"/>
        <v>1809122</v>
      </c>
      <c r="O784" s="6">
        <f t="shared" si="67"/>
        <v>2240736.7375212861</v>
      </c>
      <c r="P784" s="8">
        <f>VLOOKUP(F784,'LEAID Match'!$A$2:$B$436,2,FALSE)</f>
        <v>1802550</v>
      </c>
      <c r="Q784" s="6">
        <f t="shared" si="68"/>
        <v>9</v>
      </c>
    </row>
    <row r="785" spans="1:17" x14ac:dyDescent="0.2">
      <c r="A785" s="16">
        <f t="shared" si="64"/>
        <v>1802550</v>
      </c>
      <c r="B785">
        <v>2021</v>
      </c>
      <c r="C785" t="s">
        <v>904</v>
      </c>
      <c r="D785" t="s">
        <v>906</v>
      </c>
      <c r="E785" t="s">
        <v>1691</v>
      </c>
      <c r="F785" t="s">
        <v>680</v>
      </c>
      <c r="G785" t="s">
        <v>96</v>
      </c>
      <c r="H785" s="6">
        <v>440011</v>
      </c>
      <c r="I785" s="6">
        <v>2.1736952605523364E-3</v>
      </c>
      <c r="J785" s="6">
        <v>4899.5091172849661</v>
      </c>
      <c r="K785" s="6">
        <v>3017572</v>
      </c>
      <c r="M785" s="6">
        <f t="shared" si="65"/>
        <v>444910.50911728496</v>
      </c>
      <c r="N785" s="6">
        <f t="shared" si="66"/>
        <v>3017572</v>
      </c>
      <c r="O785" s="6">
        <f t="shared" si="67"/>
        <v>3462482.5091172848</v>
      </c>
      <c r="P785" s="8">
        <f>VLOOKUP(F785,'LEAID Match'!$A$2:$B$436,2,FALSE)</f>
        <v>1802550</v>
      </c>
      <c r="Q785" s="6">
        <f t="shared" si="68"/>
        <v>9</v>
      </c>
    </row>
    <row r="786" spans="1:17" x14ac:dyDescent="0.2">
      <c r="A786" s="16">
        <f t="shared" si="64"/>
        <v>1802550</v>
      </c>
      <c r="B786">
        <v>2022</v>
      </c>
      <c r="C786" t="s">
        <v>904</v>
      </c>
      <c r="D786" t="s">
        <v>906</v>
      </c>
      <c r="E786" t="s">
        <v>1692</v>
      </c>
      <c r="F786" t="s">
        <v>680</v>
      </c>
      <c r="G786" t="s">
        <v>96</v>
      </c>
      <c r="H786" s="6">
        <v>488662</v>
      </c>
      <c r="I786" s="6">
        <v>2.3202579943875684E-3</v>
      </c>
      <c r="J786" s="6">
        <v>5116.1688776245883</v>
      </c>
      <c r="K786" s="6">
        <v>3009657</v>
      </c>
      <c r="M786" s="6">
        <f t="shared" si="65"/>
        <v>493778.16887762462</v>
      </c>
      <c r="N786" s="6">
        <f t="shared" si="66"/>
        <v>3009657</v>
      </c>
      <c r="O786" s="6">
        <f t="shared" si="67"/>
        <v>3503435.1688776244</v>
      </c>
      <c r="P786" s="8">
        <f>VLOOKUP(F786,'LEAID Match'!$A$2:$B$436,2,FALSE)</f>
        <v>1802550</v>
      </c>
      <c r="Q786" s="6">
        <f t="shared" si="68"/>
        <v>9</v>
      </c>
    </row>
    <row r="787" spans="1:17" x14ac:dyDescent="0.2">
      <c r="A787" s="16">
        <f t="shared" si="64"/>
        <v>1802550</v>
      </c>
      <c r="B787">
        <v>2023</v>
      </c>
      <c r="C787" t="s">
        <v>904</v>
      </c>
      <c r="D787" t="s">
        <v>906</v>
      </c>
      <c r="E787" t="s">
        <v>1693</v>
      </c>
      <c r="F787" t="s">
        <v>680</v>
      </c>
      <c r="G787" t="s">
        <v>96</v>
      </c>
      <c r="H787" s="6">
        <v>597986</v>
      </c>
      <c r="I787" s="6">
        <v>2.4454341750834783E-3</v>
      </c>
      <c r="J787" s="6">
        <v>6032.8861099309406</v>
      </c>
      <c r="K787" s="6">
        <v>8853691</v>
      </c>
      <c r="M787" s="6">
        <f t="shared" si="65"/>
        <v>604018.88610993093</v>
      </c>
      <c r="N787" s="6">
        <f t="shared" si="66"/>
        <v>8853691</v>
      </c>
      <c r="O787" s="6">
        <f t="shared" si="67"/>
        <v>9457709.8861099314</v>
      </c>
      <c r="P787" s="8">
        <f>VLOOKUP(F787,'LEAID Match'!$A$2:$B$436,2,FALSE)</f>
        <v>1802550</v>
      </c>
      <c r="Q787" s="6">
        <f t="shared" si="68"/>
        <v>9</v>
      </c>
    </row>
    <row r="788" spans="1:17" x14ac:dyDescent="0.2">
      <c r="A788" s="16">
        <f t="shared" si="64"/>
        <v>1808970</v>
      </c>
      <c r="B788">
        <v>2015</v>
      </c>
      <c r="C788" t="s">
        <v>904</v>
      </c>
      <c r="D788" t="s">
        <v>906</v>
      </c>
      <c r="E788" t="s">
        <v>1694</v>
      </c>
      <c r="F788" t="s">
        <v>681</v>
      </c>
      <c r="G788" t="s">
        <v>97</v>
      </c>
      <c r="H788" s="6">
        <v>1059651</v>
      </c>
      <c r="I788" s="6">
        <v>5.1527723970573426E-3</v>
      </c>
      <c r="J788" s="6">
        <v>29942.760399300219</v>
      </c>
      <c r="K788" s="6">
        <v>4357266.7833100399</v>
      </c>
      <c r="M788" s="6">
        <f t="shared" si="65"/>
        <v>1089593.7603993001</v>
      </c>
      <c r="N788" s="6">
        <f t="shared" si="66"/>
        <v>4357266.7833100399</v>
      </c>
      <c r="O788" s="6">
        <f t="shared" si="67"/>
        <v>5446860.5437093396</v>
      </c>
      <c r="P788" s="8">
        <f>VLOOKUP(F788,'LEAID Match'!$A$2:$B$436,2,FALSE)</f>
        <v>1808970</v>
      </c>
      <c r="Q788" s="6">
        <f t="shared" si="68"/>
        <v>9</v>
      </c>
    </row>
    <row r="789" spans="1:17" x14ac:dyDescent="0.2">
      <c r="A789" s="16">
        <f t="shared" si="64"/>
        <v>1808970</v>
      </c>
      <c r="B789">
        <v>2016</v>
      </c>
      <c r="C789" t="s">
        <v>904</v>
      </c>
      <c r="D789" t="s">
        <v>906</v>
      </c>
      <c r="E789" t="s">
        <v>1695</v>
      </c>
      <c r="F789" t="s">
        <v>681</v>
      </c>
      <c r="G789" t="s">
        <v>97</v>
      </c>
      <c r="H789" s="6">
        <v>1098273</v>
      </c>
      <c r="I789" s="6">
        <v>5.0961216057774207E-3</v>
      </c>
      <c r="J789" s="6">
        <v>25725.22186596442</v>
      </c>
      <c r="K789" s="6">
        <v>4522807.9251274597</v>
      </c>
      <c r="M789" s="6">
        <f t="shared" si="65"/>
        <v>1123998.2218659644</v>
      </c>
      <c r="N789" s="6">
        <f t="shared" si="66"/>
        <v>4522807.9251274597</v>
      </c>
      <c r="O789" s="6">
        <f t="shared" si="67"/>
        <v>5646806.1469934238</v>
      </c>
      <c r="P789" s="8">
        <f>VLOOKUP(F789,'LEAID Match'!$A$2:$B$436,2,FALSE)</f>
        <v>1808970</v>
      </c>
      <c r="Q789" s="6">
        <f t="shared" si="68"/>
        <v>9</v>
      </c>
    </row>
    <row r="790" spans="1:17" x14ac:dyDescent="0.2">
      <c r="A790" s="16">
        <f t="shared" si="64"/>
        <v>1808970</v>
      </c>
      <c r="B790">
        <v>2017</v>
      </c>
      <c r="C790" t="s">
        <v>904</v>
      </c>
      <c r="D790" t="s">
        <v>906</v>
      </c>
      <c r="E790" t="s">
        <v>1696</v>
      </c>
      <c r="F790" t="s">
        <v>681</v>
      </c>
      <c r="G790" t="s">
        <v>97</v>
      </c>
      <c r="H790" s="6">
        <v>1174915</v>
      </c>
      <c r="I790" s="6">
        <v>5.1736533808072168E-3</v>
      </c>
      <c r="J790" s="6">
        <v>23410.781548152656</v>
      </c>
      <c r="K790" s="6">
        <v>4506252.09468308</v>
      </c>
      <c r="M790" s="6">
        <f t="shared" si="65"/>
        <v>1198325.7815481527</v>
      </c>
      <c r="N790" s="6">
        <f t="shared" si="66"/>
        <v>4506252.09468308</v>
      </c>
      <c r="O790" s="6">
        <f t="shared" si="67"/>
        <v>5704577.8762312327</v>
      </c>
      <c r="P790" s="8">
        <f>VLOOKUP(F790,'LEAID Match'!$A$2:$B$436,2,FALSE)</f>
        <v>1808970</v>
      </c>
      <c r="Q790" s="6">
        <f t="shared" si="68"/>
        <v>9</v>
      </c>
    </row>
    <row r="791" spans="1:17" x14ac:dyDescent="0.2">
      <c r="A791" s="16">
        <f t="shared" si="64"/>
        <v>1808970</v>
      </c>
      <c r="B791">
        <v>2018</v>
      </c>
      <c r="C791" t="s">
        <v>904</v>
      </c>
      <c r="D791" t="s">
        <v>906</v>
      </c>
      <c r="E791" t="s">
        <v>1697</v>
      </c>
      <c r="F791" t="s">
        <v>681</v>
      </c>
      <c r="G791" t="s">
        <v>97</v>
      </c>
      <c r="H791" s="6">
        <v>1229607</v>
      </c>
      <c r="I791" s="6">
        <v>5.2164488561367676E-3</v>
      </c>
      <c r="J791" s="6">
        <v>21742.158832378049</v>
      </c>
      <c r="K791" s="6">
        <v>3343726</v>
      </c>
      <c r="M791" s="6">
        <f t="shared" si="65"/>
        <v>1251349.158832378</v>
      </c>
      <c r="N791" s="6">
        <f t="shared" si="66"/>
        <v>3343726</v>
      </c>
      <c r="O791" s="6">
        <f t="shared" si="67"/>
        <v>4595075.1588323778</v>
      </c>
      <c r="P791" s="8">
        <f>VLOOKUP(F791,'LEAID Match'!$A$2:$B$436,2,FALSE)</f>
        <v>1808970</v>
      </c>
      <c r="Q791" s="6">
        <f t="shared" si="68"/>
        <v>9</v>
      </c>
    </row>
    <row r="792" spans="1:17" x14ac:dyDescent="0.2">
      <c r="A792" s="16">
        <f t="shared" si="64"/>
        <v>1808970</v>
      </c>
      <c r="B792">
        <v>2019</v>
      </c>
      <c r="C792" t="s">
        <v>904</v>
      </c>
      <c r="D792" t="s">
        <v>906</v>
      </c>
      <c r="E792" t="s">
        <v>1698</v>
      </c>
      <c r="F792" t="s">
        <v>681</v>
      </c>
      <c r="G792" t="s">
        <v>97</v>
      </c>
      <c r="H792" s="6">
        <v>1312815</v>
      </c>
      <c r="I792" s="6">
        <v>3.3397942400396107E-3</v>
      </c>
      <c r="J792" s="6">
        <v>11705.978811338835</v>
      </c>
      <c r="K792" s="6">
        <v>3152431.78317338</v>
      </c>
      <c r="M792" s="6">
        <f t="shared" si="65"/>
        <v>1324520.9788113388</v>
      </c>
      <c r="N792" s="6">
        <f t="shared" si="66"/>
        <v>3152431.78317338</v>
      </c>
      <c r="O792" s="6">
        <f t="shared" si="67"/>
        <v>4476952.761984719</v>
      </c>
      <c r="P792" s="8">
        <f>VLOOKUP(F792,'LEAID Match'!$A$2:$B$436,2,FALSE)</f>
        <v>1808970</v>
      </c>
      <c r="Q792" s="6">
        <f t="shared" si="68"/>
        <v>9</v>
      </c>
    </row>
    <row r="793" spans="1:17" x14ac:dyDescent="0.2">
      <c r="A793" s="16">
        <f t="shared" si="64"/>
        <v>1808970</v>
      </c>
      <c r="B793">
        <v>2020</v>
      </c>
      <c r="C793" t="s">
        <v>904</v>
      </c>
      <c r="D793" t="s">
        <v>906</v>
      </c>
      <c r="E793" t="s">
        <v>1699</v>
      </c>
      <c r="F793" t="s">
        <v>681</v>
      </c>
      <c r="G793" t="s">
        <v>97</v>
      </c>
      <c r="H793" s="6">
        <v>1016577</v>
      </c>
      <c r="I793" s="6">
        <v>5.386544383231536E-3</v>
      </c>
      <c r="J793" s="6">
        <v>12690.698566893499</v>
      </c>
      <c r="K793" s="6">
        <v>3563569</v>
      </c>
      <c r="M793" s="6">
        <f t="shared" si="65"/>
        <v>1029267.6985668935</v>
      </c>
      <c r="N793" s="6">
        <f t="shared" si="66"/>
        <v>3563569</v>
      </c>
      <c r="O793" s="6">
        <f t="shared" si="67"/>
        <v>4592836.6985668931</v>
      </c>
      <c r="P793" s="8">
        <f>VLOOKUP(F793,'LEAID Match'!$A$2:$B$436,2,FALSE)</f>
        <v>1808970</v>
      </c>
      <c r="Q793" s="6">
        <f t="shared" si="68"/>
        <v>9</v>
      </c>
    </row>
    <row r="794" spans="1:17" x14ac:dyDescent="0.2">
      <c r="A794" s="16">
        <f t="shared" si="64"/>
        <v>1808970</v>
      </c>
      <c r="B794">
        <v>2021</v>
      </c>
      <c r="C794" t="s">
        <v>904</v>
      </c>
      <c r="D794" t="s">
        <v>906</v>
      </c>
      <c r="E794" t="s">
        <v>1700</v>
      </c>
      <c r="F794" t="s">
        <v>681</v>
      </c>
      <c r="G794" t="s">
        <v>97</v>
      </c>
      <c r="H794" s="6">
        <v>1059140</v>
      </c>
      <c r="I794" s="6">
        <v>5.2322500988870764E-3</v>
      </c>
      <c r="J794" s="6">
        <v>11793.491722891471</v>
      </c>
      <c r="K794" s="6">
        <v>6179797</v>
      </c>
      <c r="M794" s="6">
        <f t="shared" si="65"/>
        <v>1070933.4917228916</v>
      </c>
      <c r="N794" s="6">
        <f t="shared" si="66"/>
        <v>6179797</v>
      </c>
      <c r="O794" s="6">
        <f t="shared" si="67"/>
        <v>7250730.4917228911</v>
      </c>
      <c r="P794" s="8">
        <f>VLOOKUP(F794,'LEAID Match'!$A$2:$B$436,2,FALSE)</f>
        <v>1808970</v>
      </c>
      <c r="Q794" s="6">
        <f t="shared" si="68"/>
        <v>9</v>
      </c>
    </row>
    <row r="795" spans="1:17" x14ac:dyDescent="0.2">
      <c r="A795" s="16">
        <f t="shared" si="64"/>
        <v>1808970</v>
      </c>
      <c r="B795">
        <v>2022</v>
      </c>
      <c r="C795" t="s">
        <v>904</v>
      </c>
      <c r="D795" t="s">
        <v>906</v>
      </c>
      <c r="E795" t="s">
        <v>1701</v>
      </c>
      <c r="F795" t="s">
        <v>681</v>
      </c>
      <c r="G795" t="s">
        <v>97</v>
      </c>
      <c r="H795" s="6">
        <v>1135269</v>
      </c>
      <c r="I795" s="6">
        <v>5.3904682030327311E-3</v>
      </c>
      <c r="J795" s="6">
        <v>11885.982387687172</v>
      </c>
      <c r="K795" s="6">
        <v>6093268</v>
      </c>
      <c r="M795" s="6">
        <f t="shared" si="65"/>
        <v>1147154.9823876871</v>
      </c>
      <c r="N795" s="6">
        <f t="shared" si="66"/>
        <v>6093268</v>
      </c>
      <c r="O795" s="6">
        <f t="shared" si="67"/>
        <v>7240422.9823876871</v>
      </c>
      <c r="P795" s="8">
        <f>VLOOKUP(F795,'LEAID Match'!$A$2:$B$436,2,FALSE)</f>
        <v>1808970</v>
      </c>
      <c r="Q795" s="6">
        <f t="shared" si="68"/>
        <v>9</v>
      </c>
    </row>
    <row r="796" spans="1:17" x14ac:dyDescent="0.2">
      <c r="A796" s="16">
        <f t="shared" si="64"/>
        <v>1808970</v>
      </c>
      <c r="B796">
        <v>2023</v>
      </c>
      <c r="C796" t="s">
        <v>904</v>
      </c>
      <c r="D796" t="s">
        <v>906</v>
      </c>
      <c r="E796" t="s">
        <v>1702</v>
      </c>
      <c r="F796" t="s">
        <v>681</v>
      </c>
      <c r="G796" t="s">
        <v>97</v>
      </c>
      <c r="H796" s="6">
        <v>1268205</v>
      </c>
      <c r="I796" s="6">
        <v>5.1862616315628508E-3</v>
      </c>
      <c r="J796" s="6">
        <v>12794.507445065552</v>
      </c>
      <c r="K796" s="6">
        <v>18653481</v>
      </c>
      <c r="M796" s="6">
        <f t="shared" si="65"/>
        <v>1280999.5074450655</v>
      </c>
      <c r="N796" s="6">
        <f t="shared" si="66"/>
        <v>18653481</v>
      </c>
      <c r="O796" s="6">
        <f t="shared" si="67"/>
        <v>19934480.507445067</v>
      </c>
      <c r="P796" s="8">
        <f>VLOOKUP(F796,'LEAID Match'!$A$2:$B$436,2,FALSE)</f>
        <v>1808970</v>
      </c>
      <c r="Q796" s="6">
        <f t="shared" si="68"/>
        <v>9</v>
      </c>
    </row>
    <row r="797" spans="1:17" x14ac:dyDescent="0.2">
      <c r="A797" s="16">
        <f t="shared" si="64"/>
        <v>1801020</v>
      </c>
      <c r="B797">
        <v>2015</v>
      </c>
      <c r="C797" t="s">
        <v>904</v>
      </c>
      <c r="D797" t="s">
        <v>906</v>
      </c>
      <c r="E797" t="s">
        <v>1703</v>
      </c>
      <c r="F797" t="s">
        <v>494</v>
      </c>
      <c r="G797" t="s">
        <v>98</v>
      </c>
      <c r="H797" s="6">
        <v>1784877</v>
      </c>
      <c r="I797" s="6">
        <v>8.6793339861355474E-3</v>
      </c>
      <c r="J797" s="6">
        <v>50435.609793433665</v>
      </c>
      <c r="K797" s="6">
        <v>7339383.68801999</v>
      </c>
      <c r="M797" s="6">
        <f t="shared" si="65"/>
        <v>1835312.6097934337</v>
      </c>
      <c r="N797" s="6">
        <f t="shared" si="66"/>
        <v>7339383.68801999</v>
      </c>
      <c r="O797" s="6">
        <f t="shared" si="67"/>
        <v>9174696.297813423</v>
      </c>
      <c r="P797" s="8">
        <f>VLOOKUP(F797,'LEAID Match'!$A$2:$B$436,2,FALSE)</f>
        <v>1801020</v>
      </c>
      <c r="Q797" s="6">
        <f t="shared" si="68"/>
        <v>9</v>
      </c>
    </row>
    <row r="798" spans="1:17" x14ac:dyDescent="0.2">
      <c r="A798" s="16">
        <f t="shared" si="64"/>
        <v>1801020</v>
      </c>
      <c r="B798">
        <v>2016</v>
      </c>
      <c r="C798" t="s">
        <v>904</v>
      </c>
      <c r="D798" t="s">
        <v>906</v>
      </c>
      <c r="E798" t="s">
        <v>1704</v>
      </c>
      <c r="F798" t="s">
        <v>494</v>
      </c>
      <c r="G798" t="s">
        <v>98</v>
      </c>
      <c r="H798" s="6">
        <v>1907140</v>
      </c>
      <c r="I798" s="6">
        <v>8.8493638277935896E-3</v>
      </c>
      <c r="J798" s="6">
        <v>44671.588602702039</v>
      </c>
      <c r="K798" s="6">
        <v>7853810.39716681</v>
      </c>
      <c r="M798" s="6">
        <f t="shared" si="65"/>
        <v>1951811.5886027021</v>
      </c>
      <c r="N798" s="6">
        <f t="shared" si="66"/>
        <v>7853810.39716681</v>
      </c>
      <c r="O798" s="6">
        <f t="shared" si="67"/>
        <v>9805621.9857695121</v>
      </c>
      <c r="P798" s="8">
        <f>VLOOKUP(F798,'LEAID Match'!$A$2:$B$436,2,FALSE)</f>
        <v>1801020</v>
      </c>
      <c r="Q798" s="6">
        <f t="shared" si="68"/>
        <v>9</v>
      </c>
    </row>
    <row r="799" spans="1:17" x14ac:dyDescent="0.2">
      <c r="A799" s="16">
        <f t="shared" si="64"/>
        <v>1801020</v>
      </c>
      <c r="B799">
        <v>2017</v>
      </c>
      <c r="C799" t="s">
        <v>904</v>
      </c>
      <c r="D799" t="s">
        <v>906</v>
      </c>
      <c r="E799" t="s">
        <v>1705</v>
      </c>
      <c r="F799" t="s">
        <v>494</v>
      </c>
      <c r="G799" t="s">
        <v>98</v>
      </c>
      <c r="H799" s="6">
        <v>2041591</v>
      </c>
      <c r="I799" s="6">
        <v>8.9899985780891277E-3</v>
      </c>
      <c r="J799" s="6">
        <v>40679.7435658533</v>
      </c>
      <c r="K799" s="6">
        <v>7830288.7615156304</v>
      </c>
      <c r="M799" s="6">
        <f t="shared" si="65"/>
        <v>2082270.7435658532</v>
      </c>
      <c r="N799" s="6">
        <f t="shared" si="66"/>
        <v>7830288.7615156304</v>
      </c>
      <c r="O799" s="6">
        <f t="shared" si="67"/>
        <v>9912559.5050814841</v>
      </c>
      <c r="P799" s="8">
        <f>VLOOKUP(F799,'LEAID Match'!$A$2:$B$436,2,FALSE)</f>
        <v>1801020</v>
      </c>
      <c r="Q799" s="6">
        <f t="shared" si="68"/>
        <v>9</v>
      </c>
    </row>
    <row r="800" spans="1:17" x14ac:dyDescent="0.2">
      <c r="A800" s="16">
        <f t="shared" si="64"/>
        <v>1801020</v>
      </c>
      <c r="B800">
        <v>2018</v>
      </c>
      <c r="C800" t="s">
        <v>904</v>
      </c>
      <c r="D800" t="s">
        <v>906</v>
      </c>
      <c r="E800" t="s">
        <v>1706</v>
      </c>
      <c r="F800" t="s">
        <v>494</v>
      </c>
      <c r="G800" t="s">
        <v>98</v>
      </c>
      <c r="H800" s="6">
        <v>2163425</v>
      </c>
      <c r="I800" s="6">
        <v>9.1780510899723954E-3</v>
      </c>
      <c r="J800" s="6">
        <v>38254.116943004941</v>
      </c>
      <c r="K800" s="6">
        <v>3636169</v>
      </c>
      <c r="M800" s="6">
        <f t="shared" si="65"/>
        <v>2201679.116943005</v>
      </c>
      <c r="N800" s="6">
        <f t="shared" si="66"/>
        <v>3636169</v>
      </c>
      <c r="O800" s="6">
        <f t="shared" si="67"/>
        <v>5837848.1169430055</v>
      </c>
      <c r="P800" s="8">
        <f>VLOOKUP(F800,'LEAID Match'!$A$2:$B$436,2,FALSE)</f>
        <v>1801020</v>
      </c>
      <c r="Q800" s="6">
        <f t="shared" si="68"/>
        <v>9</v>
      </c>
    </row>
    <row r="801" spans="1:17" x14ac:dyDescent="0.2">
      <c r="A801" s="16">
        <f t="shared" si="64"/>
        <v>1801020</v>
      </c>
      <c r="B801">
        <v>2019</v>
      </c>
      <c r="C801" t="s">
        <v>904</v>
      </c>
      <c r="D801" t="s">
        <v>906</v>
      </c>
      <c r="E801" t="s">
        <v>1707</v>
      </c>
      <c r="F801" t="s">
        <v>494</v>
      </c>
      <c r="G801" t="s">
        <v>98</v>
      </c>
      <c r="H801" s="6">
        <v>2346062</v>
      </c>
      <c r="I801" s="6">
        <v>5.9683690042967282E-3</v>
      </c>
      <c r="J801" s="6">
        <v>20919.133360060034</v>
      </c>
      <c r="K801" s="6">
        <v>5633543.5031556804</v>
      </c>
      <c r="M801" s="6">
        <f t="shared" si="65"/>
        <v>2366981.1333600599</v>
      </c>
      <c r="N801" s="6">
        <f t="shared" si="66"/>
        <v>5633543.5031556804</v>
      </c>
      <c r="O801" s="6">
        <f t="shared" si="67"/>
        <v>8000524.6365157403</v>
      </c>
      <c r="P801" s="8">
        <f>VLOOKUP(F801,'LEAID Match'!$A$2:$B$436,2,FALSE)</f>
        <v>1801020</v>
      </c>
      <c r="Q801" s="6">
        <f t="shared" si="68"/>
        <v>9</v>
      </c>
    </row>
    <row r="802" spans="1:17" x14ac:dyDescent="0.2">
      <c r="A802" s="16">
        <f t="shared" si="64"/>
        <v>1801020</v>
      </c>
      <c r="B802">
        <v>2020</v>
      </c>
      <c r="C802" t="s">
        <v>904</v>
      </c>
      <c r="D802" t="s">
        <v>906</v>
      </c>
      <c r="E802" t="s">
        <v>1708</v>
      </c>
      <c r="F802" t="s">
        <v>494</v>
      </c>
      <c r="G802" t="s">
        <v>98</v>
      </c>
      <c r="H802" s="6">
        <v>1889004</v>
      </c>
      <c r="I802" s="6">
        <v>1.0009280050701426E-2</v>
      </c>
      <c r="J802" s="6">
        <v>23581.86379945256</v>
      </c>
      <c r="K802" s="6">
        <v>3854034</v>
      </c>
      <c r="M802" s="6">
        <f t="shared" si="65"/>
        <v>1912585.8637994525</v>
      </c>
      <c r="N802" s="6">
        <f t="shared" si="66"/>
        <v>3854034</v>
      </c>
      <c r="O802" s="6">
        <f t="shared" si="67"/>
        <v>5766619.8637994528</v>
      </c>
      <c r="P802" s="8">
        <f>VLOOKUP(F802,'LEAID Match'!$A$2:$B$436,2,FALSE)</f>
        <v>1801020</v>
      </c>
      <c r="Q802" s="6">
        <f t="shared" si="68"/>
        <v>9</v>
      </c>
    </row>
    <row r="803" spans="1:17" x14ac:dyDescent="0.2">
      <c r="A803" s="16">
        <f t="shared" si="64"/>
        <v>1801020</v>
      </c>
      <c r="B803">
        <v>2021</v>
      </c>
      <c r="C803" t="s">
        <v>904</v>
      </c>
      <c r="D803" t="s">
        <v>906</v>
      </c>
      <c r="E803" t="s">
        <v>1709</v>
      </c>
      <c r="F803" t="s">
        <v>494</v>
      </c>
      <c r="G803" t="s">
        <v>98</v>
      </c>
      <c r="H803" s="6">
        <v>1960749</v>
      </c>
      <c r="I803" s="6">
        <v>9.6862824075596588E-3</v>
      </c>
      <c r="J803" s="6">
        <v>21832.88054663947</v>
      </c>
      <c r="K803" s="6">
        <v>6419394</v>
      </c>
      <c r="M803" s="6">
        <f t="shared" si="65"/>
        <v>1982581.8805466394</v>
      </c>
      <c r="N803" s="6">
        <f t="shared" si="66"/>
        <v>6419394</v>
      </c>
      <c r="O803" s="6">
        <f t="shared" si="67"/>
        <v>8401975.8805466387</v>
      </c>
      <c r="P803" s="8">
        <f>VLOOKUP(F803,'LEAID Match'!$A$2:$B$436,2,FALSE)</f>
        <v>1801020</v>
      </c>
      <c r="Q803" s="6">
        <f t="shared" si="68"/>
        <v>9</v>
      </c>
    </row>
    <row r="804" spans="1:17" x14ac:dyDescent="0.2">
      <c r="A804" s="16">
        <f t="shared" si="64"/>
        <v>1801020</v>
      </c>
      <c r="B804">
        <v>2022</v>
      </c>
      <c r="C804" t="s">
        <v>904</v>
      </c>
      <c r="D804" t="s">
        <v>906</v>
      </c>
      <c r="E804" t="s">
        <v>1710</v>
      </c>
      <c r="F804" t="s">
        <v>494</v>
      </c>
      <c r="G804" t="s">
        <v>98</v>
      </c>
      <c r="H804" s="6">
        <v>2105678</v>
      </c>
      <c r="I804" s="6">
        <v>9.9981504866472649E-3</v>
      </c>
      <c r="J804" s="6">
        <v>22045.921823057219</v>
      </c>
      <c r="K804" s="6">
        <v>6382574</v>
      </c>
      <c r="M804" s="6">
        <f t="shared" si="65"/>
        <v>2127723.9218230573</v>
      </c>
      <c r="N804" s="6">
        <f t="shared" si="66"/>
        <v>6382574</v>
      </c>
      <c r="O804" s="6">
        <f t="shared" si="67"/>
        <v>8510297.9218230583</v>
      </c>
      <c r="P804" s="8">
        <f>VLOOKUP(F804,'LEAID Match'!$A$2:$B$436,2,FALSE)</f>
        <v>1801020</v>
      </c>
      <c r="Q804" s="6">
        <f t="shared" si="68"/>
        <v>9</v>
      </c>
    </row>
    <row r="805" spans="1:17" x14ac:dyDescent="0.2">
      <c r="A805" s="16">
        <f t="shared" si="64"/>
        <v>1801020</v>
      </c>
      <c r="B805">
        <v>2023</v>
      </c>
      <c r="C805" t="s">
        <v>904</v>
      </c>
      <c r="D805" t="s">
        <v>906</v>
      </c>
      <c r="E805" t="s">
        <v>1711</v>
      </c>
      <c r="F805" t="s">
        <v>494</v>
      </c>
      <c r="G805" t="s">
        <v>98</v>
      </c>
      <c r="H805" s="6">
        <v>2645411</v>
      </c>
      <c r="I805" s="6">
        <v>1.0818277462251223E-2</v>
      </c>
      <c r="J805" s="6">
        <v>26688.690499373766</v>
      </c>
      <c r="K805" s="6">
        <v>19049877</v>
      </c>
      <c r="M805" s="6">
        <f t="shared" si="65"/>
        <v>2672099.6904993737</v>
      </c>
      <c r="N805" s="6">
        <f t="shared" si="66"/>
        <v>19049877</v>
      </c>
      <c r="O805" s="6">
        <f t="shared" si="67"/>
        <v>21721976.690499373</v>
      </c>
      <c r="P805" s="8">
        <f>VLOOKUP(F805,'LEAID Match'!$A$2:$B$436,2,FALSE)</f>
        <v>1801020</v>
      </c>
      <c r="Q805" s="6">
        <f t="shared" si="68"/>
        <v>9</v>
      </c>
    </row>
    <row r="806" spans="1:17" x14ac:dyDescent="0.2">
      <c r="A806" s="16">
        <f t="shared" si="64"/>
        <v>1806660</v>
      </c>
      <c r="B806">
        <v>2015</v>
      </c>
      <c r="C806" t="s">
        <v>904</v>
      </c>
      <c r="D806" t="s">
        <v>906</v>
      </c>
      <c r="E806" t="s">
        <v>1712</v>
      </c>
      <c r="F806" t="s">
        <v>682</v>
      </c>
      <c r="G806" t="s">
        <v>99</v>
      </c>
      <c r="H806" s="6">
        <v>308360</v>
      </c>
      <c r="I806" s="6">
        <v>1.4994643485039907E-3</v>
      </c>
      <c r="J806" s="6">
        <v>8713.3873291566906</v>
      </c>
      <c r="K806" s="6">
        <v>1267971.04452455</v>
      </c>
      <c r="M806" s="6">
        <f t="shared" si="65"/>
        <v>317073.38732915669</v>
      </c>
      <c r="N806" s="6">
        <f t="shared" si="66"/>
        <v>1267971.04452455</v>
      </c>
      <c r="O806" s="6">
        <f t="shared" si="67"/>
        <v>1585044.4318537067</v>
      </c>
      <c r="P806" s="8">
        <f>VLOOKUP(F806,'LEAID Match'!$A$2:$B$436,2,FALSE)</f>
        <v>1806660</v>
      </c>
      <c r="Q806" s="6">
        <f t="shared" si="68"/>
        <v>9</v>
      </c>
    </row>
    <row r="807" spans="1:17" x14ac:dyDescent="0.2">
      <c r="A807" s="16">
        <f t="shared" si="64"/>
        <v>1806660</v>
      </c>
      <c r="B807">
        <v>2016</v>
      </c>
      <c r="C807" t="s">
        <v>904</v>
      </c>
      <c r="D807" t="s">
        <v>906</v>
      </c>
      <c r="E807" t="s">
        <v>1713</v>
      </c>
      <c r="F807" t="s">
        <v>682</v>
      </c>
      <c r="G807" t="s">
        <v>99</v>
      </c>
      <c r="H807" s="6">
        <v>314337</v>
      </c>
      <c r="I807" s="6">
        <v>1.4585622856933176E-3</v>
      </c>
      <c r="J807" s="6">
        <v>7362.8224181798669</v>
      </c>
      <c r="K807" s="6">
        <v>1294474.02855281</v>
      </c>
      <c r="M807" s="6">
        <f t="shared" si="65"/>
        <v>321699.82241817989</v>
      </c>
      <c r="N807" s="6">
        <f t="shared" si="66"/>
        <v>1294474.02855281</v>
      </c>
      <c r="O807" s="6">
        <f t="shared" si="67"/>
        <v>1616173.8509709898</v>
      </c>
      <c r="P807" s="8">
        <f>VLOOKUP(F807,'LEAID Match'!$A$2:$B$436,2,FALSE)</f>
        <v>1806660</v>
      </c>
      <c r="Q807" s="6">
        <f t="shared" si="68"/>
        <v>9</v>
      </c>
    </row>
    <row r="808" spans="1:17" x14ac:dyDescent="0.2">
      <c r="A808" s="16">
        <f t="shared" si="64"/>
        <v>1806660</v>
      </c>
      <c r="B808">
        <v>2017</v>
      </c>
      <c r="C808" t="s">
        <v>904</v>
      </c>
      <c r="D808" t="s">
        <v>906</v>
      </c>
      <c r="E808" t="s">
        <v>1714</v>
      </c>
      <c r="F808" t="s">
        <v>682</v>
      </c>
      <c r="G808" t="s">
        <v>99</v>
      </c>
      <c r="H808" s="6">
        <v>347777</v>
      </c>
      <c r="I808" s="6">
        <v>1.5314109121229973E-3</v>
      </c>
      <c r="J808" s="6">
        <v>6929.6343773565632</v>
      </c>
      <c r="K808" s="6">
        <v>1333858.90445913</v>
      </c>
      <c r="M808" s="6">
        <f t="shared" si="65"/>
        <v>354706.63437735656</v>
      </c>
      <c r="N808" s="6">
        <f t="shared" si="66"/>
        <v>1333858.90445913</v>
      </c>
      <c r="O808" s="6">
        <f t="shared" si="67"/>
        <v>1688565.5388364866</v>
      </c>
      <c r="P808" s="8">
        <f>VLOOKUP(F808,'LEAID Match'!$A$2:$B$436,2,FALSE)</f>
        <v>1806660</v>
      </c>
      <c r="Q808" s="6">
        <f t="shared" si="68"/>
        <v>9</v>
      </c>
    </row>
    <row r="809" spans="1:17" x14ac:dyDescent="0.2">
      <c r="A809" s="16">
        <f t="shared" si="64"/>
        <v>1806660</v>
      </c>
      <c r="B809">
        <v>2018</v>
      </c>
      <c r="C809" t="s">
        <v>904</v>
      </c>
      <c r="D809" t="s">
        <v>906</v>
      </c>
      <c r="E809" t="s">
        <v>1715</v>
      </c>
      <c r="F809" t="s">
        <v>682</v>
      </c>
      <c r="G809" t="s">
        <v>99</v>
      </c>
      <c r="H809" s="6">
        <v>352049</v>
      </c>
      <c r="I809" s="6">
        <v>1.4935224046008953E-3</v>
      </c>
      <c r="J809" s="6">
        <v>6225.0013823765312</v>
      </c>
      <c r="K809" s="6">
        <v>1067793</v>
      </c>
      <c r="M809" s="6">
        <f t="shared" si="65"/>
        <v>358274.00138237653</v>
      </c>
      <c r="N809" s="6">
        <f t="shared" si="66"/>
        <v>1067793</v>
      </c>
      <c r="O809" s="6">
        <f t="shared" si="67"/>
        <v>1426067.0013823765</v>
      </c>
      <c r="P809" s="8">
        <f>VLOOKUP(F809,'LEAID Match'!$A$2:$B$436,2,FALSE)</f>
        <v>1806660</v>
      </c>
      <c r="Q809" s="6">
        <f t="shared" si="68"/>
        <v>9</v>
      </c>
    </row>
    <row r="810" spans="1:17" x14ac:dyDescent="0.2">
      <c r="A810" s="16">
        <f t="shared" si="64"/>
        <v>1806660</v>
      </c>
      <c r="B810">
        <v>2019</v>
      </c>
      <c r="C810" t="s">
        <v>904</v>
      </c>
      <c r="D810" t="s">
        <v>906</v>
      </c>
      <c r="E810" t="s">
        <v>1716</v>
      </c>
      <c r="F810" t="s">
        <v>682</v>
      </c>
      <c r="G810" t="s">
        <v>99</v>
      </c>
      <c r="H810" s="6">
        <v>355854</v>
      </c>
      <c r="I810" s="6">
        <v>9.0529064605070447E-4</v>
      </c>
      <c r="J810" s="6">
        <v>3173.0437144077191</v>
      </c>
      <c r="K810" s="6">
        <v>854503.84080725897</v>
      </c>
      <c r="M810" s="6">
        <f t="shared" si="65"/>
        <v>359027.04371440772</v>
      </c>
      <c r="N810" s="6">
        <f t="shared" si="66"/>
        <v>854503.84080725897</v>
      </c>
      <c r="O810" s="6">
        <f t="shared" si="67"/>
        <v>1213530.8845216667</v>
      </c>
      <c r="P810" s="8">
        <f>VLOOKUP(F810,'LEAID Match'!$A$2:$B$436,2,FALSE)</f>
        <v>1806660</v>
      </c>
      <c r="Q810" s="6">
        <f t="shared" si="68"/>
        <v>9</v>
      </c>
    </row>
    <row r="811" spans="1:17" x14ac:dyDescent="0.2">
      <c r="A811" s="16">
        <f t="shared" si="64"/>
        <v>1806660</v>
      </c>
      <c r="B811">
        <v>2020</v>
      </c>
      <c r="C811" t="s">
        <v>904</v>
      </c>
      <c r="D811" t="s">
        <v>906</v>
      </c>
      <c r="E811" t="s">
        <v>1717</v>
      </c>
      <c r="F811" t="s">
        <v>682</v>
      </c>
      <c r="G811" t="s">
        <v>99</v>
      </c>
      <c r="H811" s="6">
        <v>263590</v>
      </c>
      <c r="I811" s="6">
        <v>1.3966863641180162E-3</v>
      </c>
      <c r="J811" s="6">
        <v>3290.5930738620459</v>
      </c>
      <c r="K811" s="6">
        <v>1148072</v>
      </c>
      <c r="M811" s="6">
        <f t="shared" si="65"/>
        <v>266880.59307386202</v>
      </c>
      <c r="N811" s="6">
        <f t="shared" si="66"/>
        <v>1148072</v>
      </c>
      <c r="O811" s="6">
        <f t="shared" si="67"/>
        <v>1414952.5930738621</v>
      </c>
      <c r="P811" s="8">
        <f>VLOOKUP(F811,'LEAID Match'!$A$2:$B$436,2,FALSE)</f>
        <v>1806660</v>
      </c>
      <c r="Q811" s="6">
        <f t="shared" si="68"/>
        <v>9</v>
      </c>
    </row>
    <row r="812" spans="1:17" x14ac:dyDescent="0.2">
      <c r="A812" s="16">
        <f t="shared" si="64"/>
        <v>1806660</v>
      </c>
      <c r="B812">
        <v>2021</v>
      </c>
      <c r="C812" t="s">
        <v>904</v>
      </c>
      <c r="D812" t="s">
        <v>906</v>
      </c>
      <c r="E812" t="s">
        <v>1718</v>
      </c>
      <c r="F812" t="s">
        <v>682</v>
      </c>
      <c r="G812" t="s">
        <v>99</v>
      </c>
      <c r="H812" s="6">
        <v>292516</v>
      </c>
      <c r="I812" s="6">
        <v>1.4450562436751063E-3</v>
      </c>
      <c r="J812" s="6">
        <v>3257.1567732436897</v>
      </c>
      <c r="K812" s="6">
        <v>1945063</v>
      </c>
      <c r="M812" s="6">
        <f t="shared" si="65"/>
        <v>295773.15677324368</v>
      </c>
      <c r="N812" s="6">
        <f t="shared" si="66"/>
        <v>1945063</v>
      </c>
      <c r="O812" s="6">
        <f t="shared" si="67"/>
        <v>2240836.1567732436</v>
      </c>
      <c r="P812" s="8">
        <f>VLOOKUP(F812,'LEAID Match'!$A$2:$B$436,2,FALSE)</f>
        <v>1806660</v>
      </c>
      <c r="Q812" s="6">
        <f t="shared" si="68"/>
        <v>9</v>
      </c>
    </row>
    <row r="813" spans="1:17" x14ac:dyDescent="0.2">
      <c r="A813" s="16">
        <f t="shared" si="64"/>
        <v>1806660</v>
      </c>
      <c r="B813">
        <v>2022</v>
      </c>
      <c r="C813" t="s">
        <v>904</v>
      </c>
      <c r="D813" t="s">
        <v>906</v>
      </c>
      <c r="E813" t="s">
        <v>1719</v>
      </c>
      <c r="F813" t="s">
        <v>682</v>
      </c>
      <c r="G813" t="s">
        <v>99</v>
      </c>
      <c r="H813" s="6">
        <v>304897</v>
      </c>
      <c r="I813" s="6">
        <v>1.447707621453656E-3</v>
      </c>
      <c r="J813" s="6">
        <v>3192.1953053053116</v>
      </c>
      <c r="K813" s="6">
        <v>1947005</v>
      </c>
      <c r="M813" s="6">
        <f t="shared" si="65"/>
        <v>308089.1953053053</v>
      </c>
      <c r="N813" s="6">
        <f t="shared" si="66"/>
        <v>1947005</v>
      </c>
      <c r="O813" s="6">
        <f t="shared" si="67"/>
        <v>2255094.1953053055</v>
      </c>
      <c r="P813" s="8">
        <f>VLOOKUP(F813,'LEAID Match'!$A$2:$B$436,2,FALSE)</f>
        <v>1806660</v>
      </c>
      <c r="Q813" s="6">
        <f t="shared" si="68"/>
        <v>9</v>
      </c>
    </row>
    <row r="814" spans="1:17" x14ac:dyDescent="0.2">
      <c r="A814" s="16">
        <f t="shared" si="64"/>
        <v>1806660</v>
      </c>
      <c r="B814">
        <v>2023</v>
      </c>
      <c r="C814" t="s">
        <v>904</v>
      </c>
      <c r="D814" t="s">
        <v>906</v>
      </c>
      <c r="E814" t="s">
        <v>1720</v>
      </c>
      <c r="F814" t="s">
        <v>682</v>
      </c>
      <c r="G814" t="s">
        <v>99</v>
      </c>
      <c r="H814" s="6">
        <v>370364</v>
      </c>
      <c r="I814" s="6">
        <v>1.5145852625657078E-3</v>
      </c>
      <c r="J814" s="6">
        <v>3736.4818427496011</v>
      </c>
      <c r="K814" s="6">
        <v>5694805</v>
      </c>
      <c r="M814" s="6">
        <f t="shared" si="65"/>
        <v>374100.48184274958</v>
      </c>
      <c r="N814" s="6">
        <f t="shared" si="66"/>
        <v>5694805</v>
      </c>
      <c r="O814" s="6">
        <f t="shared" si="67"/>
        <v>6068905.4818427498</v>
      </c>
      <c r="P814" s="8">
        <f>VLOOKUP(F814,'LEAID Match'!$A$2:$B$436,2,FALSE)</f>
        <v>1806660</v>
      </c>
      <c r="Q814" s="6">
        <f t="shared" si="68"/>
        <v>9</v>
      </c>
    </row>
    <row r="815" spans="1:17" x14ac:dyDescent="0.2">
      <c r="A815" s="16">
        <f t="shared" si="64"/>
        <v>1808100</v>
      </c>
      <c r="B815">
        <v>2015</v>
      </c>
      <c r="C815" t="s">
        <v>904</v>
      </c>
      <c r="D815" t="s">
        <v>906</v>
      </c>
      <c r="E815" t="s">
        <v>1721</v>
      </c>
      <c r="F815" t="s">
        <v>495</v>
      </c>
      <c r="G815" t="s">
        <v>100</v>
      </c>
      <c r="H815" s="6">
        <v>294291</v>
      </c>
      <c r="I815" s="6">
        <v>1.4310509229004667E-3</v>
      </c>
      <c r="J815" s="6">
        <v>8315.8369129746116</v>
      </c>
      <c r="K815" s="6">
        <v>1210119.5572194001</v>
      </c>
      <c r="M815" s="6">
        <f t="shared" si="65"/>
        <v>302606.8369129746</v>
      </c>
      <c r="N815" s="6">
        <f t="shared" si="66"/>
        <v>1210119.5572194001</v>
      </c>
      <c r="O815" s="6">
        <f t="shared" si="67"/>
        <v>1512726.3941323748</v>
      </c>
      <c r="P815" s="8">
        <f>VLOOKUP(F815,'LEAID Match'!$A$2:$B$436,2,FALSE)</f>
        <v>1808100</v>
      </c>
      <c r="Q815" s="6">
        <f t="shared" si="68"/>
        <v>9</v>
      </c>
    </row>
    <row r="816" spans="1:17" x14ac:dyDescent="0.2">
      <c r="A816" s="16">
        <f t="shared" si="64"/>
        <v>1808100</v>
      </c>
      <c r="B816">
        <v>2016</v>
      </c>
      <c r="C816" t="s">
        <v>904</v>
      </c>
      <c r="D816" t="s">
        <v>906</v>
      </c>
      <c r="E816" t="s">
        <v>1722</v>
      </c>
      <c r="F816" t="s">
        <v>495</v>
      </c>
      <c r="G816" t="s">
        <v>100</v>
      </c>
      <c r="H816" s="6">
        <v>313585</v>
      </c>
      <c r="I816" s="6">
        <v>1.4550729133354936E-3</v>
      </c>
      <c r="J816" s="6">
        <v>7345.2080665175718</v>
      </c>
      <c r="K816" s="6">
        <v>1291377.2105852501</v>
      </c>
      <c r="M816" s="6">
        <f t="shared" si="65"/>
        <v>320930.20806651755</v>
      </c>
      <c r="N816" s="6">
        <f t="shared" si="66"/>
        <v>1291377.2105852501</v>
      </c>
      <c r="O816" s="6">
        <f t="shared" si="67"/>
        <v>1612307.4186517675</v>
      </c>
      <c r="P816" s="8">
        <f>VLOOKUP(F816,'LEAID Match'!$A$2:$B$436,2,FALSE)</f>
        <v>1808100</v>
      </c>
      <c r="Q816" s="6">
        <f t="shared" si="68"/>
        <v>9</v>
      </c>
    </row>
    <row r="817" spans="1:17" x14ac:dyDescent="0.2">
      <c r="A817" s="16">
        <f t="shared" si="64"/>
        <v>1808100</v>
      </c>
      <c r="B817">
        <v>2017</v>
      </c>
      <c r="C817" t="s">
        <v>904</v>
      </c>
      <c r="D817" t="s">
        <v>906</v>
      </c>
      <c r="E817" t="s">
        <v>1723</v>
      </c>
      <c r="F817" t="s">
        <v>495</v>
      </c>
      <c r="G817" t="s">
        <v>100</v>
      </c>
      <c r="H817" s="6">
        <v>335639</v>
      </c>
      <c r="I817" s="6">
        <v>1.4779621054125222E-3</v>
      </c>
      <c r="J817" s="6">
        <v>6687.7785269916631</v>
      </c>
      <c r="K817" s="6">
        <v>1287304.9938143</v>
      </c>
      <c r="M817" s="6">
        <f t="shared" si="65"/>
        <v>342326.77852699166</v>
      </c>
      <c r="N817" s="6">
        <f t="shared" si="66"/>
        <v>1287304.9938143</v>
      </c>
      <c r="O817" s="6">
        <f t="shared" si="67"/>
        <v>1629631.7723412917</v>
      </c>
      <c r="P817" s="8">
        <f>VLOOKUP(F817,'LEAID Match'!$A$2:$B$436,2,FALSE)</f>
        <v>1808100</v>
      </c>
      <c r="Q817" s="6">
        <f t="shared" si="68"/>
        <v>9</v>
      </c>
    </row>
    <row r="818" spans="1:17" x14ac:dyDescent="0.2">
      <c r="A818" s="16">
        <f t="shared" si="64"/>
        <v>1808100</v>
      </c>
      <c r="B818">
        <v>2018</v>
      </c>
      <c r="C818" t="s">
        <v>904</v>
      </c>
      <c r="D818" t="s">
        <v>906</v>
      </c>
      <c r="E818" t="s">
        <v>1724</v>
      </c>
      <c r="F818" t="s">
        <v>495</v>
      </c>
      <c r="G818" t="s">
        <v>100</v>
      </c>
      <c r="H818" s="6">
        <v>358182</v>
      </c>
      <c r="I818" s="6">
        <v>1.5195408648363093E-3</v>
      </c>
      <c r="J818" s="6">
        <v>6333.4463246377372</v>
      </c>
      <c r="K818" s="6">
        <v>958563</v>
      </c>
      <c r="M818" s="6">
        <f t="shared" si="65"/>
        <v>364515.44632463774</v>
      </c>
      <c r="N818" s="6">
        <f t="shared" si="66"/>
        <v>958563</v>
      </c>
      <c r="O818" s="6">
        <f t="shared" si="67"/>
        <v>1323078.4463246376</v>
      </c>
      <c r="P818" s="8">
        <f>VLOOKUP(F818,'LEAID Match'!$A$2:$B$436,2,FALSE)</f>
        <v>1808100</v>
      </c>
      <c r="Q818" s="6">
        <f t="shared" si="68"/>
        <v>9</v>
      </c>
    </row>
    <row r="819" spans="1:17" x14ac:dyDescent="0.2">
      <c r="A819" s="16">
        <f t="shared" si="64"/>
        <v>1808100</v>
      </c>
      <c r="B819">
        <v>2019</v>
      </c>
      <c r="C819" t="s">
        <v>904</v>
      </c>
      <c r="D819" t="s">
        <v>906</v>
      </c>
      <c r="E819" t="s">
        <v>1725</v>
      </c>
      <c r="F819" t="s">
        <v>495</v>
      </c>
      <c r="G819" t="s">
        <v>100</v>
      </c>
      <c r="H819" s="6">
        <v>389908</v>
      </c>
      <c r="I819" s="6">
        <v>9.9192383736121576E-4</v>
      </c>
      <c r="J819" s="6">
        <v>3476.6930499510613</v>
      </c>
      <c r="K819" s="6">
        <v>936276.91008525097</v>
      </c>
      <c r="M819" s="6">
        <f t="shared" si="65"/>
        <v>393384.69304995105</v>
      </c>
      <c r="N819" s="6">
        <f t="shared" si="66"/>
        <v>936276.91008525097</v>
      </c>
      <c r="O819" s="6">
        <f t="shared" si="67"/>
        <v>1329661.6031352021</v>
      </c>
      <c r="P819" s="8">
        <f>VLOOKUP(F819,'LEAID Match'!$A$2:$B$436,2,FALSE)</f>
        <v>1808100</v>
      </c>
      <c r="Q819" s="6">
        <f t="shared" si="68"/>
        <v>9</v>
      </c>
    </row>
    <row r="820" spans="1:17" x14ac:dyDescent="0.2">
      <c r="A820" s="16">
        <f t="shared" si="64"/>
        <v>1808100</v>
      </c>
      <c r="B820">
        <v>2020</v>
      </c>
      <c r="C820" t="s">
        <v>904</v>
      </c>
      <c r="D820" t="s">
        <v>906</v>
      </c>
      <c r="E820" t="s">
        <v>1726</v>
      </c>
      <c r="F820" t="s">
        <v>495</v>
      </c>
      <c r="G820" t="s">
        <v>100</v>
      </c>
      <c r="H820" s="6">
        <v>298536</v>
      </c>
      <c r="I820" s="6">
        <v>1.5818550035977695E-3</v>
      </c>
      <c r="J820" s="6">
        <v>3726.850388476345</v>
      </c>
      <c r="K820" s="6">
        <v>1037072</v>
      </c>
      <c r="M820" s="6">
        <f t="shared" si="65"/>
        <v>302262.85038847633</v>
      </c>
      <c r="N820" s="6">
        <f t="shared" si="66"/>
        <v>1037072</v>
      </c>
      <c r="O820" s="6">
        <f t="shared" si="67"/>
        <v>1339334.8503884764</v>
      </c>
      <c r="P820" s="8">
        <f>VLOOKUP(F820,'LEAID Match'!$A$2:$B$436,2,FALSE)</f>
        <v>1808100</v>
      </c>
      <c r="Q820" s="6">
        <f t="shared" si="68"/>
        <v>9</v>
      </c>
    </row>
    <row r="821" spans="1:17" x14ac:dyDescent="0.2">
      <c r="A821" s="16">
        <f t="shared" si="64"/>
        <v>1808100</v>
      </c>
      <c r="B821">
        <v>2021</v>
      </c>
      <c r="C821" t="s">
        <v>904</v>
      </c>
      <c r="D821" t="s">
        <v>906</v>
      </c>
      <c r="E821" t="s">
        <v>1727</v>
      </c>
      <c r="F821" t="s">
        <v>495</v>
      </c>
      <c r="G821" t="s">
        <v>100</v>
      </c>
      <c r="H821" s="6">
        <v>331801</v>
      </c>
      <c r="I821" s="6">
        <v>1.6391277971380845E-3</v>
      </c>
      <c r="J821" s="6">
        <v>3694.5940547492423</v>
      </c>
      <c r="K821" s="6">
        <v>1725286</v>
      </c>
      <c r="M821" s="6">
        <f t="shared" si="65"/>
        <v>335495.59405474924</v>
      </c>
      <c r="N821" s="6">
        <f t="shared" si="66"/>
        <v>1725286</v>
      </c>
      <c r="O821" s="6">
        <f t="shared" si="67"/>
        <v>2060781.5940547492</v>
      </c>
      <c r="P821" s="8">
        <f>VLOOKUP(F821,'LEAID Match'!$A$2:$B$436,2,FALSE)</f>
        <v>1808100</v>
      </c>
      <c r="Q821" s="6">
        <f t="shared" si="68"/>
        <v>9</v>
      </c>
    </row>
    <row r="822" spans="1:17" x14ac:dyDescent="0.2">
      <c r="A822" s="16">
        <f t="shared" si="64"/>
        <v>1808100</v>
      </c>
      <c r="B822">
        <v>2022</v>
      </c>
      <c r="C822" t="s">
        <v>904</v>
      </c>
      <c r="D822" t="s">
        <v>906</v>
      </c>
      <c r="E822" t="s">
        <v>1728</v>
      </c>
      <c r="F822" t="s">
        <v>495</v>
      </c>
      <c r="G822" t="s">
        <v>100</v>
      </c>
      <c r="H822" s="6">
        <v>357421</v>
      </c>
      <c r="I822" s="6">
        <v>1.6971013350986961E-3</v>
      </c>
      <c r="J822" s="6">
        <v>3742.108443892625</v>
      </c>
      <c r="K822" s="6">
        <v>1677699</v>
      </c>
      <c r="M822" s="6">
        <f t="shared" si="65"/>
        <v>361163.10844389262</v>
      </c>
      <c r="N822" s="6">
        <f t="shared" si="66"/>
        <v>1677699</v>
      </c>
      <c r="O822" s="6">
        <f t="shared" si="67"/>
        <v>2038862.1084438926</v>
      </c>
      <c r="P822" s="8">
        <f>VLOOKUP(F822,'LEAID Match'!$A$2:$B$436,2,FALSE)</f>
        <v>1808100</v>
      </c>
      <c r="Q822" s="6">
        <f t="shared" si="68"/>
        <v>9</v>
      </c>
    </row>
    <row r="823" spans="1:17" x14ac:dyDescent="0.2">
      <c r="A823" s="16">
        <f t="shared" si="64"/>
        <v>1808100</v>
      </c>
      <c r="B823">
        <v>2023</v>
      </c>
      <c r="C823" t="s">
        <v>904</v>
      </c>
      <c r="D823" t="s">
        <v>906</v>
      </c>
      <c r="E823" t="s">
        <v>1729</v>
      </c>
      <c r="F823" t="s">
        <v>495</v>
      </c>
      <c r="G823" t="s">
        <v>100</v>
      </c>
      <c r="H823" s="6">
        <v>457300</v>
      </c>
      <c r="I823" s="6">
        <v>1.8701057353611534E-3</v>
      </c>
      <c r="J823" s="6">
        <v>4613.5508491359651</v>
      </c>
      <c r="K823" s="6">
        <v>4315889</v>
      </c>
      <c r="M823" s="6">
        <f t="shared" si="65"/>
        <v>461913.55084913597</v>
      </c>
      <c r="N823" s="6">
        <f t="shared" si="66"/>
        <v>4315889</v>
      </c>
      <c r="O823" s="6">
        <f t="shared" si="67"/>
        <v>4777802.550849136</v>
      </c>
      <c r="P823" s="8">
        <f>VLOOKUP(F823,'LEAID Match'!$A$2:$B$436,2,FALSE)</f>
        <v>1808100</v>
      </c>
      <c r="Q823" s="6">
        <f t="shared" si="68"/>
        <v>9</v>
      </c>
    </row>
    <row r="824" spans="1:17" x14ac:dyDescent="0.2">
      <c r="A824" s="16">
        <f t="shared" si="64"/>
        <v>1800660</v>
      </c>
      <c r="B824">
        <v>2015</v>
      </c>
      <c r="C824" t="s">
        <v>904</v>
      </c>
      <c r="D824" t="s">
        <v>906</v>
      </c>
      <c r="E824" t="s">
        <v>1730</v>
      </c>
      <c r="F824" t="s">
        <v>496</v>
      </c>
      <c r="G824" t="s">
        <v>101</v>
      </c>
      <c r="H824" s="6">
        <v>107202</v>
      </c>
      <c r="I824" s="6">
        <v>5.2129192206617201E-4</v>
      </c>
      <c r="J824" s="6">
        <v>3029.2273591265257</v>
      </c>
      <c r="K824" s="6">
        <v>440812.78996990802</v>
      </c>
      <c r="M824" s="6">
        <f t="shared" si="65"/>
        <v>110231.22735912653</v>
      </c>
      <c r="N824" s="6">
        <f t="shared" si="66"/>
        <v>440812.78996990802</v>
      </c>
      <c r="O824" s="6">
        <f t="shared" si="67"/>
        <v>551044.01732903451</v>
      </c>
      <c r="P824" s="8">
        <f>VLOOKUP(F824,'LEAID Match'!$A$2:$B$436,2,FALSE)</f>
        <v>1800660</v>
      </c>
      <c r="Q824" s="6">
        <f t="shared" si="68"/>
        <v>9</v>
      </c>
    </row>
    <row r="825" spans="1:17" x14ac:dyDescent="0.2">
      <c r="A825" s="16">
        <f t="shared" si="64"/>
        <v>1800660</v>
      </c>
      <c r="B825">
        <v>2016</v>
      </c>
      <c r="C825" t="s">
        <v>904</v>
      </c>
      <c r="D825" t="s">
        <v>906</v>
      </c>
      <c r="E825" t="s">
        <v>1731</v>
      </c>
      <c r="F825" t="s">
        <v>496</v>
      </c>
      <c r="G825" t="s">
        <v>101</v>
      </c>
      <c r="H825" s="6">
        <v>113113</v>
      </c>
      <c r="I825" s="6">
        <v>5.2485821211511292E-4</v>
      </c>
      <c r="J825" s="6">
        <v>2649.4842547570902</v>
      </c>
      <c r="K825" s="6">
        <v>465811.66325216199</v>
      </c>
      <c r="M825" s="6">
        <f t="shared" si="65"/>
        <v>115762.48425475709</v>
      </c>
      <c r="N825" s="6">
        <f t="shared" si="66"/>
        <v>465811.66325216199</v>
      </c>
      <c r="O825" s="6">
        <f t="shared" si="67"/>
        <v>581574.14750691911</v>
      </c>
      <c r="P825" s="8">
        <f>VLOOKUP(F825,'LEAID Match'!$A$2:$B$436,2,FALSE)</f>
        <v>1800660</v>
      </c>
      <c r="Q825" s="6">
        <f t="shared" si="68"/>
        <v>9</v>
      </c>
    </row>
    <row r="826" spans="1:17" x14ac:dyDescent="0.2">
      <c r="A826" s="16">
        <f t="shared" si="64"/>
        <v>1800660</v>
      </c>
      <c r="B826">
        <v>2017</v>
      </c>
      <c r="C826" t="s">
        <v>904</v>
      </c>
      <c r="D826" t="s">
        <v>906</v>
      </c>
      <c r="E826" t="s">
        <v>1732</v>
      </c>
      <c r="F826" t="s">
        <v>496</v>
      </c>
      <c r="G826" t="s">
        <v>101</v>
      </c>
      <c r="H826" s="6">
        <v>124810</v>
      </c>
      <c r="I826" s="6">
        <v>5.4959182447968471E-4</v>
      </c>
      <c r="J826" s="6">
        <v>2486.9030057705731</v>
      </c>
      <c r="K826" s="6">
        <v>478694.47912180499</v>
      </c>
      <c r="M826" s="6">
        <f t="shared" si="65"/>
        <v>127296.90300577057</v>
      </c>
      <c r="N826" s="6">
        <f t="shared" si="66"/>
        <v>478694.47912180499</v>
      </c>
      <c r="O826" s="6">
        <f t="shared" si="67"/>
        <v>605991.38212757558</v>
      </c>
      <c r="P826" s="8">
        <f>VLOOKUP(F826,'LEAID Match'!$A$2:$B$436,2,FALSE)</f>
        <v>1800660</v>
      </c>
      <c r="Q826" s="6">
        <f t="shared" si="68"/>
        <v>9</v>
      </c>
    </row>
    <row r="827" spans="1:17" x14ac:dyDescent="0.2">
      <c r="A827" s="16">
        <f t="shared" si="64"/>
        <v>1800660</v>
      </c>
      <c r="B827">
        <v>2018</v>
      </c>
      <c r="C827" t="s">
        <v>904</v>
      </c>
      <c r="D827" t="s">
        <v>906</v>
      </c>
      <c r="E827" t="s">
        <v>1733</v>
      </c>
      <c r="F827" t="s">
        <v>496</v>
      </c>
      <c r="G827" t="s">
        <v>101</v>
      </c>
      <c r="H827" s="6">
        <v>134010</v>
      </c>
      <c r="I827" s="6">
        <v>5.6852011350853426E-4</v>
      </c>
      <c r="J827" s="6">
        <v>2369.5918331035709</v>
      </c>
      <c r="K827" s="6">
        <v>738910</v>
      </c>
      <c r="M827" s="6">
        <f t="shared" si="65"/>
        <v>136379.59183310356</v>
      </c>
      <c r="N827" s="6">
        <f t="shared" si="66"/>
        <v>738910</v>
      </c>
      <c r="O827" s="6">
        <f t="shared" si="67"/>
        <v>875289.59183310356</v>
      </c>
      <c r="P827" s="8">
        <f>VLOOKUP(F827,'LEAID Match'!$A$2:$B$436,2,FALSE)</f>
        <v>1800660</v>
      </c>
      <c r="Q827" s="6">
        <f t="shared" si="68"/>
        <v>9</v>
      </c>
    </row>
    <row r="828" spans="1:17" x14ac:dyDescent="0.2">
      <c r="A828" s="16">
        <f t="shared" si="64"/>
        <v>1800660</v>
      </c>
      <c r="B828">
        <v>2019</v>
      </c>
      <c r="C828" t="s">
        <v>904</v>
      </c>
      <c r="D828" t="s">
        <v>906</v>
      </c>
      <c r="E828" t="s">
        <v>1734</v>
      </c>
      <c r="F828" t="s">
        <v>496</v>
      </c>
      <c r="G828" t="s">
        <v>101</v>
      </c>
      <c r="H828" s="6">
        <v>139628</v>
      </c>
      <c r="I828" s="6">
        <v>3.5521287473730173E-4</v>
      </c>
      <c r="J828" s="6">
        <v>1245.0211259542425</v>
      </c>
      <c r="K828" s="6">
        <v>335285.43246453902</v>
      </c>
      <c r="M828" s="6">
        <f t="shared" si="65"/>
        <v>140873.02112595426</v>
      </c>
      <c r="N828" s="6">
        <f t="shared" si="66"/>
        <v>335285.43246453902</v>
      </c>
      <c r="O828" s="6">
        <f t="shared" si="67"/>
        <v>476158.4535904933</v>
      </c>
      <c r="P828" s="8">
        <f>VLOOKUP(F828,'LEAID Match'!$A$2:$B$436,2,FALSE)</f>
        <v>1800660</v>
      </c>
      <c r="Q828" s="6">
        <f t="shared" si="68"/>
        <v>9</v>
      </c>
    </row>
    <row r="829" spans="1:17" x14ac:dyDescent="0.2">
      <c r="A829" s="16">
        <f t="shared" si="64"/>
        <v>1800660</v>
      </c>
      <c r="B829">
        <v>2020</v>
      </c>
      <c r="C829" t="s">
        <v>904</v>
      </c>
      <c r="D829" t="s">
        <v>906</v>
      </c>
      <c r="E829" t="s">
        <v>1735</v>
      </c>
      <c r="F829" t="s">
        <v>496</v>
      </c>
      <c r="G829" t="s">
        <v>101</v>
      </c>
      <c r="H829" s="6">
        <v>110041</v>
      </c>
      <c r="I829" s="6">
        <v>5.8307509463147546E-4</v>
      </c>
      <c r="J829" s="6">
        <v>1373.7249229517563</v>
      </c>
      <c r="K829" s="6">
        <v>785937</v>
      </c>
      <c r="M829" s="6">
        <f t="shared" si="65"/>
        <v>111414.72492295176</v>
      </c>
      <c r="N829" s="6">
        <f t="shared" si="66"/>
        <v>785937</v>
      </c>
      <c r="O829" s="6">
        <f t="shared" si="67"/>
        <v>897351.72492295178</v>
      </c>
      <c r="P829" s="8">
        <f>VLOOKUP(F829,'LEAID Match'!$A$2:$B$436,2,FALSE)</f>
        <v>1800660</v>
      </c>
      <c r="Q829" s="6">
        <f t="shared" si="68"/>
        <v>9</v>
      </c>
    </row>
    <row r="830" spans="1:17" x14ac:dyDescent="0.2">
      <c r="A830" s="16">
        <f t="shared" si="64"/>
        <v>1800660</v>
      </c>
      <c r="B830">
        <v>2021</v>
      </c>
      <c r="C830" t="s">
        <v>904</v>
      </c>
      <c r="D830" t="s">
        <v>906</v>
      </c>
      <c r="E830" t="s">
        <v>1736</v>
      </c>
      <c r="F830" t="s">
        <v>496</v>
      </c>
      <c r="G830" t="s">
        <v>101</v>
      </c>
      <c r="H830" s="6">
        <v>111889</v>
      </c>
      <c r="I830" s="6">
        <v>5.5274206555731647E-4</v>
      </c>
      <c r="J830" s="6">
        <v>1245.8806157661913</v>
      </c>
      <c r="K830" s="6">
        <v>1304913</v>
      </c>
      <c r="M830" s="6">
        <f t="shared" si="65"/>
        <v>113134.88061576619</v>
      </c>
      <c r="N830" s="6">
        <f t="shared" si="66"/>
        <v>1304913</v>
      </c>
      <c r="O830" s="6">
        <f t="shared" si="67"/>
        <v>1418047.8806157662</v>
      </c>
      <c r="P830" s="8">
        <f>VLOOKUP(F830,'LEAID Match'!$A$2:$B$436,2,FALSE)</f>
        <v>1800660</v>
      </c>
      <c r="Q830" s="6">
        <f t="shared" si="68"/>
        <v>9</v>
      </c>
    </row>
    <row r="831" spans="1:17" x14ac:dyDescent="0.2">
      <c r="A831" s="16">
        <f t="shared" si="64"/>
        <v>1800660</v>
      </c>
      <c r="B831">
        <v>2022</v>
      </c>
      <c r="C831" t="s">
        <v>904</v>
      </c>
      <c r="D831" t="s">
        <v>906</v>
      </c>
      <c r="E831" t="s">
        <v>1737</v>
      </c>
      <c r="F831" t="s">
        <v>496</v>
      </c>
      <c r="G831" t="s">
        <v>101</v>
      </c>
      <c r="H831" s="6">
        <v>116452</v>
      </c>
      <c r="I831" s="6">
        <v>5.5293573873642951E-4</v>
      </c>
      <c r="J831" s="6">
        <v>1219.2233039138271</v>
      </c>
      <c r="K831" s="6">
        <v>1369012</v>
      </c>
      <c r="M831" s="6">
        <f t="shared" si="65"/>
        <v>117671.22330391382</v>
      </c>
      <c r="N831" s="6">
        <f t="shared" si="66"/>
        <v>1369012</v>
      </c>
      <c r="O831" s="6">
        <f t="shared" si="67"/>
        <v>1486683.2233039138</v>
      </c>
      <c r="P831" s="8">
        <f>VLOOKUP(F831,'LEAID Match'!$A$2:$B$436,2,FALSE)</f>
        <v>1800660</v>
      </c>
      <c r="Q831" s="6">
        <f t="shared" si="68"/>
        <v>9</v>
      </c>
    </row>
    <row r="832" spans="1:17" x14ac:dyDescent="0.2">
      <c r="A832" s="16">
        <f t="shared" si="64"/>
        <v>1800660</v>
      </c>
      <c r="B832">
        <v>2023</v>
      </c>
      <c r="C832" t="s">
        <v>904</v>
      </c>
      <c r="D832" t="s">
        <v>906</v>
      </c>
      <c r="E832" t="s">
        <v>1738</v>
      </c>
      <c r="F832" t="s">
        <v>496</v>
      </c>
      <c r="G832" t="s">
        <v>101</v>
      </c>
      <c r="H832" s="6">
        <v>138978</v>
      </c>
      <c r="I832" s="6">
        <v>5.6834365818723455E-4</v>
      </c>
      <c r="J832" s="6">
        <v>1402.1038047479076</v>
      </c>
      <c r="K832" s="6">
        <v>3277890</v>
      </c>
      <c r="M832" s="6">
        <f t="shared" si="65"/>
        <v>140380.10380474789</v>
      </c>
      <c r="N832" s="6">
        <f t="shared" si="66"/>
        <v>3277890</v>
      </c>
      <c r="O832" s="6">
        <f t="shared" si="67"/>
        <v>3418270.103804748</v>
      </c>
      <c r="P832" s="8">
        <f>VLOOKUP(F832,'LEAID Match'!$A$2:$B$436,2,FALSE)</f>
        <v>1800660</v>
      </c>
      <c r="Q832" s="6">
        <f t="shared" si="68"/>
        <v>9</v>
      </c>
    </row>
    <row r="833" spans="1:17" x14ac:dyDescent="0.2">
      <c r="A833" s="16">
        <f t="shared" si="64"/>
        <v>0</v>
      </c>
      <c r="B833">
        <v>2015</v>
      </c>
      <c r="C833" t="s">
        <v>904</v>
      </c>
      <c r="D833" t="s">
        <v>906</v>
      </c>
      <c r="E833" t="s">
        <v>1739</v>
      </c>
      <c r="F833" t="s">
        <v>497</v>
      </c>
      <c r="G833" t="s">
        <v>102</v>
      </c>
      <c r="H833" s="6">
        <v>225362</v>
      </c>
      <c r="I833" s="6">
        <v>1.09586938807743E-3</v>
      </c>
      <c r="J833" s="6">
        <v>6368.0970141179459</v>
      </c>
      <c r="K833" s="6">
        <v>926684.68846848398</v>
      </c>
      <c r="M833" s="6">
        <f t="shared" si="65"/>
        <v>231730.09701411796</v>
      </c>
      <c r="N833" s="6">
        <f t="shared" si="66"/>
        <v>926684.68846848398</v>
      </c>
      <c r="O833" s="6">
        <f t="shared" si="67"/>
        <v>1158414.785482602</v>
      </c>
      <c r="P833" s="8">
        <f>VLOOKUP(F833,'LEAID Match'!$A$2:$B$436,2,FALSE)</f>
        <v>0</v>
      </c>
      <c r="Q833" s="6">
        <f t="shared" si="68"/>
        <v>371</v>
      </c>
    </row>
    <row r="834" spans="1:17" x14ac:dyDescent="0.2">
      <c r="A834" s="16">
        <f t="shared" si="64"/>
        <v>0</v>
      </c>
      <c r="B834">
        <v>2016</v>
      </c>
      <c r="C834" t="s">
        <v>904</v>
      </c>
      <c r="D834" t="s">
        <v>906</v>
      </c>
      <c r="E834" t="s">
        <v>1740</v>
      </c>
      <c r="F834" t="s">
        <v>497</v>
      </c>
      <c r="G834" t="s">
        <v>102</v>
      </c>
      <c r="H834" s="6">
        <v>212043</v>
      </c>
      <c r="I834" s="6">
        <v>9.8390556232727348E-4</v>
      </c>
      <c r="J834" s="6">
        <v>4966.7552786280767</v>
      </c>
      <c r="K834" s="6">
        <v>873216.18656545505</v>
      </c>
      <c r="M834" s="6">
        <f t="shared" si="65"/>
        <v>217009.75527862809</v>
      </c>
      <c r="N834" s="6">
        <f t="shared" si="66"/>
        <v>873216.18656545505</v>
      </c>
      <c r="O834" s="6">
        <f t="shared" si="67"/>
        <v>1090225.9418440831</v>
      </c>
      <c r="P834" s="8">
        <f>VLOOKUP(F834,'LEAID Match'!$A$2:$B$436,2,FALSE)</f>
        <v>0</v>
      </c>
      <c r="Q834" s="6">
        <f t="shared" si="68"/>
        <v>371</v>
      </c>
    </row>
    <row r="835" spans="1:17" x14ac:dyDescent="0.2">
      <c r="A835" s="16">
        <f t="shared" ref="A835:A898" si="69">P835</f>
        <v>0</v>
      </c>
      <c r="B835">
        <v>2017</v>
      </c>
      <c r="C835" t="s">
        <v>904</v>
      </c>
      <c r="D835" t="s">
        <v>906</v>
      </c>
      <c r="E835" t="s">
        <v>1741</v>
      </c>
      <c r="F835" t="s">
        <v>497</v>
      </c>
      <c r="G835" t="s">
        <v>102</v>
      </c>
      <c r="H835" s="6">
        <v>219091</v>
      </c>
      <c r="I835" s="6">
        <v>9.6475140146685848E-4</v>
      </c>
      <c r="J835" s="6">
        <v>4365.5000916375348</v>
      </c>
      <c r="K835" s="6">
        <v>840298.47067763295</v>
      </c>
      <c r="M835" s="6">
        <f t="shared" ref="M835:M898" si="70">SUM(H835,J835)</f>
        <v>223456.50009163754</v>
      </c>
      <c r="N835" s="6">
        <f t="shared" ref="N835:N898" si="71">K835</f>
        <v>840298.47067763295</v>
      </c>
      <c r="O835" s="6">
        <f t="shared" ref="O835:O898" si="72">SUM(M835:N835)</f>
        <v>1063754.9707692706</v>
      </c>
      <c r="P835" s="8">
        <f>VLOOKUP(F835,'LEAID Match'!$A$2:$B$436,2,FALSE)</f>
        <v>0</v>
      </c>
      <c r="Q835" s="6">
        <f t="shared" ref="Q835:Q898" si="73">COUNTIF($P$2:$P$3691,P835)</f>
        <v>371</v>
      </c>
    </row>
    <row r="836" spans="1:17" x14ac:dyDescent="0.2">
      <c r="A836" s="16">
        <f t="shared" si="69"/>
        <v>0</v>
      </c>
      <c r="B836">
        <v>2018</v>
      </c>
      <c r="C836" t="s">
        <v>904</v>
      </c>
      <c r="D836" t="s">
        <v>906</v>
      </c>
      <c r="E836" t="s">
        <v>1742</v>
      </c>
      <c r="F836" t="s">
        <v>497</v>
      </c>
      <c r="G836" t="s">
        <v>102</v>
      </c>
      <c r="H836" s="6">
        <v>229111</v>
      </c>
      <c r="I836" s="6">
        <v>9.7197382080481897E-4</v>
      </c>
      <c r="J836" s="6">
        <v>4051.1868851144854</v>
      </c>
      <c r="K836" s="6">
        <v>1103316</v>
      </c>
      <c r="M836" s="6">
        <f t="shared" si="70"/>
        <v>233162.1868851145</v>
      </c>
      <c r="N836" s="6">
        <f t="shared" si="71"/>
        <v>1103316</v>
      </c>
      <c r="O836" s="6">
        <f t="shared" si="72"/>
        <v>1336478.1868851145</v>
      </c>
      <c r="P836" s="8">
        <f>VLOOKUP(F836,'LEAID Match'!$A$2:$B$436,2,FALSE)</f>
        <v>0</v>
      </c>
      <c r="Q836" s="6">
        <f t="shared" si="73"/>
        <v>371</v>
      </c>
    </row>
    <row r="837" spans="1:17" x14ac:dyDescent="0.2">
      <c r="A837" s="16">
        <f t="shared" si="69"/>
        <v>0</v>
      </c>
      <c r="B837">
        <v>2019</v>
      </c>
      <c r="C837" t="s">
        <v>904</v>
      </c>
      <c r="D837" t="s">
        <v>906</v>
      </c>
      <c r="E837" t="s">
        <v>1743</v>
      </c>
      <c r="F837" t="s">
        <v>497</v>
      </c>
      <c r="G837" t="s">
        <v>102</v>
      </c>
      <c r="H837" s="6">
        <v>234114</v>
      </c>
      <c r="I837" s="6">
        <v>5.9558474629908505E-4</v>
      </c>
      <c r="J837" s="6">
        <v>2087.5245357782933</v>
      </c>
      <c r="K837" s="6">
        <v>562172.44203170598</v>
      </c>
      <c r="M837" s="6">
        <f t="shared" si="70"/>
        <v>236201.5245357783</v>
      </c>
      <c r="N837" s="6">
        <f t="shared" si="71"/>
        <v>562172.44203170598</v>
      </c>
      <c r="O837" s="6">
        <f t="shared" si="72"/>
        <v>798373.96656748431</v>
      </c>
      <c r="P837" s="8">
        <f>VLOOKUP(F837,'LEAID Match'!$A$2:$B$436,2,FALSE)</f>
        <v>0</v>
      </c>
      <c r="Q837" s="6">
        <f t="shared" si="73"/>
        <v>371</v>
      </c>
    </row>
    <row r="838" spans="1:17" x14ac:dyDescent="0.2">
      <c r="A838" s="16">
        <f t="shared" si="69"/>
        <v>0</v>
      </c>
      <c r="B838">
        <v>2020</v>
      </c>
      <c r="C838" t="s">
        <v>904</v>
      </c>
      <c r="D838" t="s">
        <v>906</v>
      </c>
      <c r="E838" t="s">
        <v>1744</v>
      </c>
      <c r="F838" t="s">
        <v>497</v>
      </c>
      <c r="G838" t="s">
        <v>102</v>
      </c>
      <c r="H838" s="6">
        <v>169999</v>
      </c>
      <c r="I838" s="6">
        <v>9.0077501124359279E-4</v>
      </c>
      <c r="J838" s="6">
        <v>2122.2259264899044</v>
      </c>
      <c r="K838" s="6">
        <v>1153413</v>
      </c>
      <c r="M838" s="6">
        <f t="shared" si="70"/>
        <v>172121.22592648992</v>
      </c>
      <c r="N838" s="6">
        <f t="shared" si="71"/>
        <v>1153413</v>
      </c>
      <c r="O838" s="6">
        <f t="shared" si="72"/>
        <v>1325534.22592649</v>
      </c>
      <c r="P838" s="8">
        <f>VLOOKUP(F838,'LEAID Match'!$A$2:$B$436,2,FALSE)</f>
        <v>0</v>
      </c>
      <c r="Q838" s="6">
        <f t="shared" si="73"/>
        <v>371</v>
      </c>
    </row>
    <row r="839" spans="1:17" x14ac:dyDescent="0.2">
      <c r="A839" s="16">
        <f t="shared" si="69"/>
        <v>0</v>
      </c>
      <c r="B839">
        <v>2021</v>
      </c>
      <c r="C839" t="s">
        <v>904</v>
      </c>
      <c r="D839" t="s">
        <v>906</v>
      </c>
      <c r="E839" t="s">
        <v>1745</v>
      </c>
      <c r="F839" t="s">
        <v>497</v>
      </c>
      <c r="G839" t="s">
        <v>102</v>
      </c>
      <c r="H839" s="6">
        <v>184846</v>
      </c>
      <c r="I839" s="6">
        <v>9.13156430480277E-4</v>
      </c>
      <c r="J839" s="6">
        <v>2058.2545943025443</v>
      </c>
      <c r="K839" s="6">
        <v>1880488</v>
      </c>
      <c r="M839" s="6">
        <f t="shared" si="70"/>
        <v>186904.25459430253</v>
      </c>
      <c r="N839" s="6">
        <f t="shared" si="71"/>
        <v>1880488</v>
      </c>
      <c r="O839" s="6">
        <f t="shared" si="72"/>
        <v>2067392.2545943025</v>
      </c>
      <c r="P839" s="8">
        <f>VLOOKUP(F839,'LEAID Match'!$A$2:$B$436,2,FALSE)</f>
        <v>0</v>
      </c>
      <c r="Q839" s="6">
        <f t="shared" si="73"/>
        <v>371</v>
      </c>
    </row>
    <row r="840" spans="1:17" x14ac:dyDescent="0.2">
      <c r="A840" s="16">
        <f t="shared" si="69"/>
        <v>0</v>
      </c>
      <c r="B840">
        <v>2022</v>
      </c>
      <c r="C840" t="s">
        <v>904</v>
      </c>
      <c r="D840" t="s">
        <v>906</v>
      </c>
      <c r="E840" t="s">
        <v>1746</v>
      </c>
      <c r="F840" t="s">
        <v>497</v>
      </c>
      <c r="G840" t="s">
        <v>102</v>
      </c>
      <c r="H840" s="6">
        <v>217333</v>
      </c>
      <c r="I840" s="6">
        <v>1.0319374755848284E-3</v>
      </c>
      <c r="J840" s="6">
        <v>2275.4221336645464</v>
      </c>
      <c r="K840" s="6">
        <v>1903284</v>
      </c>
      <c r="M840" s="6">
        <f t="shared" si="70"/>
        <v>219608.42213366454</v>
      </c>
      <c r="N840" s="6">
        <f t="shared" si="71"/>
        <v>1903284</v>
      </c>
      <c r="O840" s="6">
        <f t="shared" si="72"/>
        <v>2122892.4221336646</v>
      </c>
      <c r="P840" s="8">
        <f>VLOOKUP(F840,'LEAID Match'!$A$2:$B$436,2,FALSE)</f>
        <v>0</v>
      </c>
      <c r="Q840" s="6">
        <f t="shared" si="73"/>
        <v>371</v>
      </c>
    </row>
    <row r="841" spans="1:17" x14ac:dyDescent="0.2">
      <c r="A841" s="16">
        <f t="shared" si="69"/>
        <v>0</v>
      </c>
      <c r="B841">
        <v>2023</v>
      </c>
      <c r="C841" t="s">
        <v>904</v>
      </c>
      <c r="D841" t="s">
        <v>906</v>
      </c>
      <c r="E841" t="s">
        <v>1747</v>
      </c>
      <c r="F841" t="s">
        <v>497</v>
      </c>
      <c r="G841" t="s">
        <v>102</v>
      </c>
      <c r="H841" s="6">
        <v>258215</v>
      </c>
      <c r="I841" s="6">
        <v>1.0559574731167291E-3</v>
      </c>
      <c r="J841" s="6">
        <v>2605.0470861789709</v>
      </c>
      <c r="K841" s="6">
        <v>4728378</v>
      </c>
      <c r="M841" s="6">
        <f t="shared" si="70"/>
        <v>260820.04708617897</v>
      </c>
      <c r="N841" s="6">
        <f t="shared" si="71"/>
        <v>4728378</v>
      </c>
      <c r="O841" s="6">
        <f t="shared" si="72"/>
        <v>4989198.0470861793</v>
      </c>
      <c r="P841" s="8">
        <f>VLOOKUP(F841,'LEAID Match'!$A$2:$B$436,2,FALSE)</f>
        <v>0</v>
      </c>
      <c r="Q841" s="6">
        <f t="shared" si="73"/>
        <v>371</v>
      </c>
    </row>
    <row r="842" spans="1:17" x14ac:dyDescent="0.2">
      <c r="A842" s="16">
        <f t="shared" si="69"/>
        <v>1808280</v>
      </c>
      <c r="B842">
        <v>2015</v>
      </c>
      <c r="C842" t="s">
        <v>904</v>
      </c>
      <c r="D842" t="s">
        <v>906</v>
      </c>
      <c r="E842" t="s">
        <v>1748</v>
      </c>
      <c r="F842" t="s">
        <v>498</v>
      </c>
      <c r="G842" t="s">
        <v>103</v>
      </c>
      <c r="H842" s="6">
        <v>222926</v>
      </c>
      <c r="I842" s="6">
        <v>1.084023833683359E-3</v>
      </c>
      <c r="J842" s="6">
        <v>6299.2624975339995</v>
      </c>
      <c r="K842" s="6">
        <v>916667.89814398705</v>
      </c>
      <c r="M842" s="6">
        <f t="shared" si="70"/>
        <v>229225.26249753399</v>
      </c>
      <c r="N842" s="6">
        <f t="shared" si="71"/>
        <v>916667.89814398705</v>
      </c>
      <c r="O842" s="6">
        <f t="shared" si="72"/>
        <v>1145893.160641521</v>
      </c>
      <c r="P842" s="8">
        <f>VLOOKUP(F842,'LEAID Match'!$A$2:$B$436,2,FALSE)</f>
        <v>1808280</v>
      </c>
      <c r="Q842" s="6">
        <f t="shared" si="73"/>
        <v>9</v>
      </c>
    </row>
    <row r="843" spans="1:17" x14ac:dyDescent="0.2">
      <c r="A843" s="16">
        <f t="shared" si="69"/>
        <v>1808280</v>
      </c>
      <c r="B843">
        <v>2016</v>
      </c>
      <c r="C843" t="s">
        <v>904</v>
      </c>
      <c r="D843" t="s">
        <v>906</v>
      </c>
      <c r="E843" t="s">
        <v>1749</v>
      </c>
      <c r="F843" t="s">
        <v>498</v>
      </c>
      <c r="G843" t="s">
        <v>103</v>
      </c>
      <c r="H843" s="6">
        <v>229267</v>
      </c>
      <c r="I843" s="6">
        <v>1.0638270377144588E-3</v>
      </c>
      <c r="J843" s="6">
        <v>5370.1988863825882</v>
      </c>
      <c r="K843" s="6">
        <v>944146.49597158202</v>
      </c>
      <c r="M843" s="6">
        <f t="shared" si="70"/>
        <v>234637.1988863826</v>
      </c>
      <c r="N843" s="6">
        <f t="shared" si="71"/>
        <v>944146.49597158202</v>
      </c>
      <c r="O843" s="6">
        <f t="shared" si="72"/>
        <v>1178783.6948579645</v>
      </c>
      <c r="P843" s="8">
        <f>VLOOKUP(F843,'LEAID Match'!$A$2:$B$436,2,FALSE)</f>
        <v>1808280</v>
      </c>
      <c r="Q843" s="6">
        <f t="shared" si="73"/>
        <v>9</v>
      </c>
    </row>
    <row r="844" spans="1:17" x14ac:dyDescent="0.2">
      <c r="A844" s="16">
        <f t="shared" si="69"/>
        <v>1808280</v>
      </c>
      <c r="B844">
        <v>2017</v>
      </c>
      <c r="C844" t="s">
        <v>904</v>
      </c>
      <c r="D844" t="s">
        <v>906</v>
      </c>
      <c r="E844" t="s">
        <v>1750</v>
      </c>
      <c r="F844" t="s">
        <v>498</v>
      </c>
      <c r="G844" t="s">
        <v>103</v>
      </c>
      <c r="H844" s="6">
        <v>235817</v>
      </c>
      <c r="I844" s="6">
        <v>1.038403134951733E-3</v>
      </c>
      <c r="J844" s="6">
        <v>4698.7741856565917</v>
      </c>
      <c r="K844" s="6">
        <v>904449.13054295897</v>
      </c>
      <c r="M844" s="6">
        <f t="shared" si="70"/>
        <v>240515.7741856566</v>
      </c>
      <c r="N844" s="6">
        <f t="shared" si="71"/>
        <v>904449.13054295897</v>
      </c>
      <c r="O844" s="6">
        <f t="shared" si="72"/>
        <v>1144964.9047286157</v>
      </c>
      <c r="P844" s="8">
        <f>VLOOKUP(F844,'LEAID Match'!$A$2:$B$436,2,FALSE)</f>
        <v>1808280</v>
      </c>
      <c r="Q844" s="6">
        <f t="shared" si="73"/>
        <v>9</v>
      </c>
    </row>
    <row r="845" spans="1:17" x14ac:dyDescent="0.2">
      <c r="A845" s="16">
        <f t="shared" si="69"/>
        <v>1808280</v>
      </c>
      <c r="B845">
        <v>2018</v>
      </c>
      <c r="C845" t="s">
        <v>904</v>
      </c>
      <c r="D845" t="s">
        <v>906</v>
      </c>
      <c r="E845" t="s">
        <v>1751</v>
      </c>
      <c r="F845" t="s">
        <v>498</v>
      </c>
      <c r="G845" t="s">
        <v>103</v>
      </c>
      <c r="H845" s="6">
        <v>246879</v>
      </c>
      <c r="I845" s="6">
        <v>1.0473522655240163E-3</v>
      </c>
      <c r="J845" s="6">
        <v>4365.3642427040995</v>
      </c>
      <c r="K845" s="6">
        <v>1100011</v>
      </c>
      <c r="M845" s="6">
        <f t="shared" si="70"/>
        <v>251244.36424270409</v>
      </c>
      <c r="N845" s="6">
        <f t="shared" si="71"/>
        <v>1100011</v>
      </c>
      <c r="O845" s="6">
        <f t="shared" si="72"/>
        <v>1351255.3642427041</v>
      </c>
      <c r="P845" s="8">
        <f>VLOOKUP(F845,'LEAID Match'!$A$2:$B$436,2,FALSE)</f>
        <v>1808280</v>
      </c>
      <c r="Q845" s="6">
        <f t="shared" si="73"/>
        <v>9</v>
      </c>
    </row>
    <row r="846" spans="1:17" x14ac:dyDescent="0.2">
      <c r="A846" s="16">
        <f t="shared" si="69"/>
        <v>1808280</v>
      </c>
      <c r="B846">
        <v>2019</v>
      </c>
      <c r="C846" t="s">
        <v>904</v>
      </c>
      <c r="D846" t="s">
        <v>906</v>
      </c>
      <c r="E846" t="s">
        <v>1752</v>
      </c>
      <c r="F846" t="s">
        <v>498</v>
      </c>
      <c r="G846" t="s">
        <v>103</v>
      </c>
      <c r="H846" s="6">
        <v>253124</v>
      </c>
      <c r="I846" s="6">
        <v>6.4394608319967887E-4</v>
      </c>
      <c r="J846" s="6">
        <v>2257.0310216148746</v>
      </c>
      <c r="K846" s="6">
        <v>607820.70793217595</v>
      </c>
      <c r="M846" s="6">
        <f t="shared" si="70"/>
        <v>255381.03102161488</v>
      </c>
      <c r="N846" s="6">
        <f t="shared" si="71"/>
        <v>607820.70793217595</v>
      </c>
      <c r="O846" s="6">
        <f t="shared" si="72"/>
        <v>863201.73895379086</v>
      </c>
      <c r="P846" s="8">
        <f>VLOOKUP(F846,'LEAID Match'!$A$2:$B$436,2,FALSE)</f>
        <v>1808280</v>
      </c>
      <c r="Q846" s="6">
        <f t="shared" si="73"/>
        <v>9</v>
      </c>
    </row>
    <row r="847" spans="1:17" x14ac:dyDescent="0.2">
      <c r="A847" s="16">
        <f t="shared" si="69"/>
        <v>1808280</v>
      </c>
      <c r="B847">
        <v>2020</v>
      </c>
      <c r="C847" t="s">
        <v>904</v>
      </c>
      <c r="D847" t="s">
        <v>906</v>
      </c>
      <c r="E847" t="s">
        <v>1753</v>
      </c>
      <c r="F847" t="s">
        <v>498</v>
      </c>
      <c r="G847" t="s">
        <v>103</v>
      </c>
      <c r="H847" s="6">
        <v>194398</v>
      </c>
      <c r="I847" s="6">
        <v>1.0300581805524265E-3</v>
      </c>
      <c r="J847" s="6">
        <v>2426.8170733815168</v>
      </c>
      <c r="K847" s="6">
        <v>1188860</v>
      </c>
      <c r="M847" s="6">
        <f t="shared" si="70"/>
        <v>196824.81707338151</v>
      </c>
      <c r="N847" s="6">
        <f t="shared" si="71"/>
        <v>1188860</v>
      </c>
      <c r="O847" s="6">
        <f t="shared" si="72"/>
        <v>1385684.8170733815</v>
      </c>
      <c r="P847" s="8">
        <f>VLOOKUP(F847,'LEAID Match'!$A$2:$B$436,2,FALSE)</f>
        <v>1808280</v>
      </c>
      <c r="Q847" s="6">
        <f t="shared" si="73"/>
        <v>9</v>
      </c>
    </row>
    <row r="848" spans="1:17" x14ac:dyDescent="0.2">
      <c r="A848" s="16">
        <f t="shared" si="69"/>
        <v>1808280</v>
      </c>
      <c r="B848">
        <v>2021</v>
      </c>
      <c r="C848" t="s">
        <v>904</v>
      </c>
      <c r="D848" t="s">
        <v>906</v>
      </c>
      <c r="E848" t="s">
        <v>1754</v>
      </c>
      <c r="F848" t="s">
        <v>498</v>
      </c>
      <c r="G848" t="s">
        <v>103</v>
      </c>
      <c r="H848" s="6">
        <v>201627</v>
      </c>
      <c r="I848" s="6">
        <v>9.9605613109532702E-4</v>
      </c>
      <c r="J848" s="6">
        <v>2245.1105194888669</v>
      </c>
      <c r="K848" s="6">
        <v>2060305</v>
      </c>
      <c r="M848" s="6">
        <f t="shared" si="70"/>
        <v>203872.11051948887</v>
      </c>
      <c r="N848" s="6">
        <f t="shared" si="71"/>
        <v>2060305</v>
      </c>
      <c r="O848" s="6">
        <f t="shared" si="72"/>
        <v>2264177.1105194888</v>
      </c>
      <c r="P848" s="8">
        <f>VLOOKUP(F848,'LEAID Match'!$A$2:$B$436,2,FALSE)</f>
        <v>1808280</v>
      </c>
      <c r="Q848" s="6">
        <f t="shared" si="73"/>
        <v>9</v>
      </c>
    </row>
    <row r="849" spans="1:17" x14ac:dyDescent="0.2">
      <c r="A849" s="16">
        <f t="shared" si="69"/>
        <v>1808280</v>
      </c>
      <c r="B849">
        <v>2022</v>
      </c>
      <c r="C849" t="s">
        <v>904</v>
      </c>
      <c r="D849" t="s">
        <v>906</v>
      </c>
      <c r="E849" t="s">
        <v>1755</v>
      </c>
      <c r="F849" t="s">
        <v>498</v>
      </c>
      <c r="G849" t="s">
        <v>103</v>
      </c>
      <c r="H849" s="6">
        <v>241159</v>
      </c>
      <c r="I849" s="6">
        <v>1.1450677516739824E-3</v>
      </c>
      <c r="J849" s="6">
        <v>2524.8743924411315</v>
      </c>
      <c r="K849" s="6">
        <v>1975533</v>
      </c>
      <c r="M849" s="6">
        <f t="shared" si="70"/>
        <v>243683.87439244112</v>
      </c>
      <c r="N849" s="6">
        <f t="shared" si="71"/>
        <v>1975533</v>
      </c>
      <c r="O849" s="6">
        <f t="shared" si="72"/>
        <v>2219216.874392441</v>
      </c>
      <c r="P849" s="8">
        <f>VLOOKUP(F849,'LEAID Match'!$A$2:$B$436,2,FALSE)</f>
        <v>1808280</v>
      </c>
      <c r="Q849" s="6">
        <f t="shared" si="73"/>
        <v>9</v>
      </c>
    </row>
    <row r="850" spans="1:17" x14ac:dyDescent="0.2">
      <c r="A850" s="16">
        <f t="shared" si="69"/>
        <v>1808280</v>
      </c>
      <c r="B850">
        <v>2023</v>
      </c>
      <c r="C850" t="s">
        <v>904</v>
      </c>
      <c r="D850" t="s">
        <v>906</v>
      </c>
      <c r="E850" t="s">
        <v>1756</v>
      </c>
      <c r="F850" t="s">
        <v>498</v>
      </c>
      <c r="G850" t="s">
        <v>103</v>
      </c>
      <c r="H850" s="6">
        <v>298846</v>
      </c>
      <c r="I850" s="6">
        <v>1.22211593831126E-3</v>
      </c>
      <c r="J850" s="6">
        <v>3014.9600198138787</v>
      </c>
      <c r="K850" s="6">
        <v>5599517</v>
      </c>
      <c r="M850" s="6">
        <f t="shared" si="70"/>
        <v>301860.96001981385</v>
      </c>
      <c r="N850" s="6">
        <f t="shared" si="71"/>
        <v>5599517</v>
      </c>
      <c r="O850" s="6">
        <f t="shared" si="72"/>
        <v>5901377.9600198139</v>
      </c>
      <c r="P850" s="8">
        <f>VLOOKUP(F850,'LEAID Match'!$A$2:$B$436,2,FALSE)</f>
        <v>1808280</v>
      </c>
      <c r="Q850" s="6">
        <f t="shared" si="73"/>
        <v>9</v>
      </c>
    </row>
    <row r="851" spans="1:17" x14ac:dyDescent="0.2">
      <c r="A851" s="16">
        <f t="shared" si="69"/>
        <v>1810380</v>
      </c>
      <c r="B851">
        <v>2015</v>
      </c>
      <c r="C851" t="s">
        <v>904</v>
      </c>
      <c r="D851" t="s">
        <v>906</v>
      </c>
      <c r="E851" t="s">
        <v>1757</v>
      </c>
      <c r="F851" t="s">
        <v>499</v>
      </c>
      <c r="G851" t="s">
        <v>104</v>
      </c>
      <c r="H851" s="6">
        <v>81996</v>
      </c>
      <c r="I851" s="6">
        <v>3.9872252795412249E-4</v>
      </c>
      <c r="J851" s="6">
        <v>2316.976609941406</v>
      </c>
      <c r="K851" s="6">
        <v>337166.149198453</v>
      </c>
      <c r="M851" s="6">
        <f t="shared" si="70"/>
        <v>84312.976609941412</v>
      </c>
      <c r="N851" s="6">
        <f t="shared" si="71"/>
        <v>337166.149198453</v>
      </c>
      <c r="O851" s="6">
        <f t="shared" si="72"/>
        <v>421479.1258083944</v>
      </c>
      <c r="P851" s="8">
        <f>VLOOKUP(F851,'LEAID Match'!$A$2:$B$436,2,FALSE)</f>
        <v>1810380</v>
      </c>
      <c r="Q851" s="6">
        <f t="shared" si="73"/>
        <v>9</v>
      </c>
    </row>
    <row r="852" spans="1:17" x14ac:dyDescent="0.2">
      <c r="A852" s="16">
        <f t="shared" si="69"/>
        <v>1810380</v>
      </c>
      <c r="B852">
        <v>2016</v>
      </c>
      <c r="C852" t="s">
        <v>904</v>
      </c>
      <c r="D852" t="s">
        <v>906</v>
      </c>
      <c r="E852" t="s">
        <v>1758</v>
      </c>
      <c r="F852" t="s">
        <v>499</v>
      </c>
      <c r="G852" t="s">
        <v>104</v>
      </c>
      <c r="H852" s="6">
        <v>99285</v>
      </c>
      <c r="I852" s="6">
        <v>4.6069459381193126E-4</v>
      </c>
      <c r="J852" s="6">
        <v>2325.5863095626291</v>
      </c>
      <c r="K852" s="6">
        <v>408866.45200808899</v>
      </c>
      <c r="M852" s="6">
        <f t="shared" si="70"/>
        <v>101610.58630956263</v>
      </c>
      <c r="N852" s="6">
        <f t="shared" si="71"/>
        <v>408866.45200808899</v>
      </c>
      <c r="O852" s="6">
        <f t="shared" si="72"/>
        <v>510477.0383176516</v>
      </c>
      <c r="P852" s="8">
        <f>VLOOKUP(F852,'LEAID Match'!$A$2:$B$436,2,FALSE)</f>
        <v>1810380</v>
      </c>
      <c r="Q852" s="6">
        <f t="shared" si="73"/>
        <v>9</v>
      </c>
    </row>
    <row r="853" spans="1:17" x14ac:dyDescent="0.2">
      <c r="A853" s="16">
        <f t="shared" si="69"/>
        <v>1810380</v>
      </c>
      <c r="B853">
        <v>2017</v>
      </c>
      <c r="C853" t="s">
        <v>904</v>
      </c>
      <c r="D853" t="s">
        <v>906</v>
      </c>
      <c r="E853" t="s">
        <v>1759</v>
      </c>
      <c r="F853" t="s">
        <v>499</v>
      </c>
      <c r="G853" t="s">
        <v>104</v>
      </c>
      <c r="H853" s="6">
        <v>105025</v>
      </c>
      <c r="I853" s="6">
        <v>4.6247000533594174E-4</v>
      </c>
      <c r="J853" s="6">
        <v>2092.6767741451363</v>
      </c>
      <c r="K853" s="6">
        <v>402811.374647605</v>
      </c>
      <c r="M853" s="6">
        <f t="shared" si="70"/>
        <v>107117.67677414513</v>
      </c>
      <c r="N853" s="6">
        <f t="shared" si="71"/>
        <v>402811.374647605</v>
      </c>
      <c r="O853" s="6">
        <f t="shared" si="72"/>
        <v>509929.0514217501</v>
      </c>
      <c r="P853" s="8">
        <f>VLOOKUP(F853,'LEAID Match'!$A$2:$B$436,2,FALSE)</f>
        <v>1810380</v>
      </c>
      <c r="Q853" s="6">
        <f t="shared" si="73"/>
        <v>9</v>
      </c>
    </row>
    <row r="854" spans="1:17" x14ac:dyDescent="0.2">
      <c r="A854" s="16">
        <f t="shared" si="69"/>
        <v>1810380</v>
      </c>
      <c r="B854">
        <v>2018</v>
      </c>
      <c r="C854" t="s">
        <v>904</v>
      </c>
      <c r="D854" t="s">
        <v>906</v>
      </c>
      <c r="E854" t="s">
        <v>1760</v>
      </c>
      <c r="F854" t="s">
        <v>499</v>
      </c>
      <c r="G854" t="s">
        <v>104</v>
      </c>
      <c r="H854" s="6">
        <v>112369</v>
      </c>
      <c r="I854" s="6">
        <v>4.7671096660577929E-4</v>
      </c>
      <c r="J854" s="6">
        <v>1986.9313088128881</v>
      </c>
      <c r="K854" s="6">
        <v>872372</v>
      </c>
      <c r="M854" s="6">
        <f t="shared" si="70"/>
        <v>114355.93130881288</v>
      </c>
      <c r="N854" s="6">
        <f t="shared" si="71"/>
        <v>872372</v>
      </c>
      <c r="O854" s="6">
        <f t="shared" si="72"/>
        <v>986727.93130881293</v>
      </c>
      <c r="P854" s="8">
        <f>VLOOKUP(F854,'LEAID Match'!$A$2:$B$436,2,FALSE)</f>
        <v>1810380</v>
      </c>
      <c r="Q854" s="6">
        <f t="shared" si="73"/>
        <v>9</v>
      </c>
    </row>
    <row r="855" spans="1:17" x14ac:dyDescent="0.2">
      <c r="A855" s="16">
        <f t="shared" si="69"/>
        <v>1810380</v>
      </c>
      <c r="B855">
        <v>2019</v>
      </c>
      <c r="C855" t="s">
        <v>904</v>
      </c>
      <c r="D855" t="s">
        <v>906</v>
      </c>
      <c r="E855" t="s">
        <v>1761</v>
      </c>
      <c r="F855" t="s">
        <v>499</v>
      </c>
      <c r="G855" t="s">
        <v>104</v>
      </c>
      <c r="H855" s="6">
        <v>117517</v>
      </c>
      <c r="I855" s="6">
        <v>2.9896261065476471E-4</v>
      </c>
      <c r="J855" s="6">
        <v>1047.8639503449504</v>
      </c>
      <c r="K855" s="6">
        <v>282190.80819703202</v>
      </c>
      <c r="M855" s="6">
        <f t="shared" si="70"/>
        <v>118564.86395034495</v>
      </c>
      <c r="N855" s="6">
        <f t="shared" si="71"/>
        <v>282190.80819703202</v>
      </c>
      <c r="O855" s="6">
        <f t="shared" si="72"/>
        <v>400755.67214737699</v>
      </c>
      <c r="P855" s="8">
        <f>VLOOKUP(F855,'LEAID Match'!$A$2:$B$436,2,FALSE)</f>
        <v>1810380</v>
      </c>
      <c r="Q855" s="6">
        <f t="shared" si="73"/>
        <v>9</v>
      </c>
    </row>
    <row r="856" spans="1:17" x14ac:dyDescent="0.2">
      <c r="A856" s="16">
        <f t="shared" si="69"/>
        <v>1810380</v>
      </c>
      <c r="B856">
        <v>2020</v>
      </c>
      <c r="C856" t="s">
        <v>904</v>
      </c>
      <c r="D856" t="s">
        <v>906</v>
      </c>
      <c r="E856" t="s">
        <v>1762</v>
      </c>
      <c r="F856" t="s">
        <v>499</v>
      </c>
      <c r="G856" t="s">
        <v>104</v>
      </c>
      <c r="H856" s="6">
        <v>78102</v>
      </c>
      <c r="I856" s="6">
        <v>4.1383966922244888E-4</v>
      </c>
      <c r="J856" s="6">
        <v>975.00626068808958</v>
      </c>
      <c r="K856" s="6">
        <v>906649</v>
      </c>
      <c r="M856" s="6">
        <f t="shared" si="70"/>
        <v>79077.006260688097</v>
      </c>
      <c r="N856" s="6">
        <f t="shared" si="71"/>
        <v>906649</v>
      </c>
      <c r="O856" s="6">
        <f t="shared" si="72"/>
        <v>985726.00626068807</v>
      </c>
      <c r="P856" s="8">
        <f>VLOOKUP(F856,'LEAID Match'!$A$2:$B$436,2,FALSE)</f>
        <v>1810380</v>
      </c>
      <c r="Q856" s="6">
        <f t="shared" si="73"/>
        <v>9</v>
      </c>
    </row>
    <row r="857" spans="1:17" x14ac:dyDescent="0.2">
      <c r="A857" s="16">
        <f t="shared" si="69"/>
        <v>1810380</v>
      </c>
      <c r="B857">
        <v>2021</v>
      </c>
      <c r="C857" t="s">
        <v>904</v>
      </c>
      <c r="D857" t="s">
        <v>906</v>
      </c>
      <c r="E857" t="s">
        <v>1763</v>
      </c>
      <c r="F857" t="s">
        <v>499</v>
      </c>
      <c r="G857" t="s">
        <v>104</v>
      </c>
      <c r="H857" s="6">
        <v>83284</v>
      </c>
      <c r="I857" s="6">
        <v>4.1143070532291412E-4</v>
      </c>
      <c r="J857" s="6">
        <v>927.36480979784847</v>
      </c>
      <c r="K857" s="6">
        <v>1597895</v>
      </c>
      <c r="M857" s="6">
        <f t="shared" si="70"/>
        <v>84211.364809797844</v>
      </c>
      <c r="N857" s="6">
        <f t="shared" si="71"/>
        <v>1597895</v>
      </c>
      <c r="O857" s="6">
        <f t="shared" si="72"/>
        <v>1682106.3648097978</v>
      </c>
      <c r="P857" s="8">
        <f>VLOOKUP(F857,'LEAID Match'!$A$2:$B$436,2,FALSE)</f>
        <v>1810380</v>
      </c>
      <c r="Q857" s="6">
        <f t="shared" si="73"/>
        <v>9</v>
      </c>
    </row>
    <row r="858" spans="1:17" x14ac:dyDescent="0.2">
      <c r="A858" s="16">
        <f t="shared" si="69"/>
        <v>1810380</v>
      </c>
      <c r="B858">
        <v>2022</v>
      </c>
      <c r="C858" t="s">
        <v>904</v>
      </c>
      <c r="D858" t="s">
        <v>906</v>
      </c>
      <c r="E858" t="s">
        <v>1764</v>
      </c>
      <c r="F858" t="s">
        <v>499</v>
      </c>
      <c r="G858" t="s">
        <v>104</v>
      </c>
      <c r="H858" s="6">
        <v>109388</v>
      </c>
      <c r="I858" s="6">
        <v>5.1939455388400838E-4</v>
      </c>
      <c r="J858" s="6">
        <v>1145.2649913142384</v>
      </c>
      <c r="K858" s="6">
        <v>1533201</v>
      </c>
      <c r="M858" s="6">
        <f t="shared" si="70"/>
        <v>110533.26499131424</v>
      </c>
      <c r="N858" s="6">
        <f t="shared" si="71"/>
        <v>1533201</v>
      </c>
      <c r="O858" s="6">
        <f t="shared" si="72"/>
        <v>1643734.2649913142</v>
      </c>
      <c r="P858" s="8">
        <f>VLOOKUP(F858,'LEAID Match'!$A$2:$B$436,2,FALSE)</f>
        <v>1810380</v>
      </c>
      <c r="Q858" s="6">
        <f t="shared" si="73"/>
        <v>9</v>
      </c>
    </row>
    <row r="859" spans="1:17" x14ac:dyDescent="0.2">
      <c r="A859" s="16">
        <f t="shared" si="69"/>
        <v>1810380</v>
      </c>
      <c r="B859">
        <v>2023</v>
      </c>
      <c r="C859" t="s">
        <v>904</v>
      </c>
      <c r="D859" t="s">
        <v>906</v>
      </c>
      <c r="E859" t="s">
        <v>1765</v>
      </c>
      <c r="F859" t="s">
        <v>499</v>
      </c>
      <c r="G859" t="s">
        <v>104</v>
      </c>
      <c r="H859" s="6">
        <v>123219</v>
      </c>
      <c r="I859" s="6">
        <v>5.0389800700954726E-4</v>
      </c>
      <c r="J859" s="6">
        <v>1243.1163832925531</v>
      </c>
      <c r="K859" s="6">
        <v>4198156</v>
      </c>
      <c r="M859" s="6">
        <f t="shared" si="70"/>
        <v>124462.11638329255</v>
      </c>
      <c r="N859" s="6">
        <f t="shared" si="71"/>
        <v>4198156</v>
      </c>
      <c r="O859" s="6">
        <f t="shared" si="72"/>
        <v>4322618.1163832927</v>
      </c>
      <c r="P859" s="8">
        <f>VLOOKUP(F859,'LEAID Match'!$A$2:$B$436,2,FALSE)</f>
        <v>1810380</v>
      </c>
      <c r="Q859" s="6">
        <f t="shared" si="73"/>
        <v>9</v>
      </c>
    </row>
    <row r="860" spans="1:17" x14ac:dyDescent="0.2">
      <c r="A860" s="16">
        <f t="shared" si="69"/>
        <v>1807440</v>
      </c>
      <c r="B860">
        <v>2015</v>
      </c>
      <c r="C860" t="s">
        <v>904</v>
      </c>
      <c r="D860" t="s">
        <v>906</v>
      </c>
      <c r="E860" t="s">
        <v>1766</v>
      </c>
      <c r="F860" t="s">
        <v>683</v>
      </c>
      <c r="G860" t="s">
        <v>105</v>
      </c>
      <c r="H860" s="6">
        <v>616735</v>
      </c>
      <c r="I860" s="6">
        <v>2.9990016376138561E-3</v>
      </c>
      <c r="J860" s="6">
        <v>17427.198516174118</v>
      </c>
      <c r="K860" s="6">
        <v>2536003.76879247</v>
      </c>
      <c r="M860" s="6">
        <f t="shared" si="70"/>
        <v>634162.1985161741</v>
      </c>
      <c r="N860" s="6">
        <f t="shared" si="71"/>
        <v>2536003.76879247</v>
      </c>
      <c r="O860" s="6">
        <f t="shared" si="72"/>
        <v>3170165.9673086442</v>
      </c>
      <c r="P860" s="8">
        <f>VLOOKUP(F860,'LEAID Match'!$A$2:$B$436,2,FALSE)</f>
        <v>1807440</v>
      </c>
      <c r="Q860" s="6">
        <f t="shared" si="73"/>
        <v>9</v>
      </c>
    </row>
    <row r="861" spans="1:17" x14ac:dyDescent="0.2">
      <c r="A861" s="16">
        <f t="shared" si="69"/>
        <v>1807440</v>
      </c>
      <c r="B861">
        <v>2016</v>
      </c>
      <c r="C861" t="s">
        <v>904</v>
      </c>
      <c r="D861" t="s">
        <v>906</v>
      </c>
      <c r="E861" t="s">
        <v>1767</v>
      </c>
      <c r="F861" t="s">
        <v>683</v>
      </c>
      <c r="G861" t="s">
        <v>105</v>
      </c>
      <c r="H861" s="6">
        <v>668932</v>
      </c>
      <c r="I861" s="6">
        <v>3.1039266357234508E-3</v>
      </c>
      <c r="J861" s="6">
        <v>15668.62165713198</v>
      </c>
      <c r="K861" s="6">
        <v>2754734.8892045598</v>
      </c>
      <c r="M861" s="6">
        <f t="shared" si="70"/>
        <v>684600.62165713194</v>
      </c>
      <c r="N861" s="6">
        <f t="shared" si="71"/>
        <v>2754734.8892045598</v>
      </c>
      <c r="O861" s="6">
        <f t="shared" si="72"/>
        <v>3439335.510861692</v>
      </c>
      <c r="P861" s="8">
        <f>VLOOKUP(F861,'LEAID Match'!$A$2:$B$436,2,FALSE)</f>
        <v>1807440</v>
      </c>
      <c r="Q861" s="6">
        <f t="shared" si="73"/>
        <v>9</v>
      </c>
    </row>
    <row r="862" spans="1:17" x14ac:dyDescent="0.2">
      <c r="A862" s="16">
        <f t="shared" si="69"/>
        <v>1807440</v>
      </c>
      <c r="B862">
        <v>2017</v>
      </c>
      <c r="C862" t="s">
        <v>904</v>
      </c>
      <c r="D862" t="s">
        <v>906</v>
      </c>
      <c r="E862" t="s">
        <v>1768</v>
      </c>
      <c r="F862" t="s">
        <v>683</v>
      </c>
      <c r="G862" t="s">
        <v>105</v>
      </c>
      <c r="H862" s="6">
        <v>689061</v>
      </c>
      <c r="I862" s="6">
        <v>3.0342303675009695E-3</v>
      </c>
      <c r="J862" s="6">
        <v>13729.892412941887</v>
      </c>
      <c r="K862" s="6">
        <v>2642814.6500933398</v>
      </c>
      <c r="M862" s="6">
        <f t="shared" si="70"/>
        <v>702790.8924129419</v>
      </c>
      <c r="N862" s="6">
        <f t="shared" si="71"/>
        <v>2642814.6500933398</v>
      </c>
      <c r="O862" s="6">
        <f t="shared" si="72"/>
        <v>3345605.5425062818</v>
      </c>
      <c r="P862" s="8">
        <f>VLOOKUP(F862,'LEAID Match'!$A$2:$B$436,2,FALSE)</f>
        <v>1807440</v>
      </c>
      <c r="Q862" s="6">
        <f t="shared" si="73"/>
        <v>9</v>
      </c>
    </row>
    <row r="863" spans="1:17" x14ac:dyDescent="0.2">
      <c r="A863" s="16">
        <f t="shared" si="69"/>
        <v>1807440</v>
      </c>
      <c r="B863">
        <v>2018</v>
      </c>
      <c r="C863" t="s">
        <v>904</v>
      </c>
      <c r="D863" t="s">
        <v>906</v>
      </c>
      <c r="E863" t="s">
        <v>1769</v>
      </c>
      <c r="F863" t="s">
        <v>683</v>
      </c>
      <c r="G863" t="s">
        <v>105</v>
      </c>
      <c r="H863" s="6">
        <v>695826</v>
      </c>
      <c r="I863" s="6">
        <v>2.951951917783668E-3</v>
      </c>
      <c r="J863" s="6">
        <v>12303.735593322328</v>
      </c>
      <c r="K863" s="6">
        <v>4881392</v>
      </c>
      <c r="M863" s="6">
        <f t="shared" si="70"/>
        <v>708129.73559332232</v>
      </c>
      <c r="N863" s="6">
        <f t="shared" si="71"/>
        <v>4881392</v>
      </c>
      <c r="O863" s="6">
        <f t="shared" si="72"/>
        <v>5589521.7355933227</v>
      </c>
      <c r="P863" s="8">
        <f>VLOOKUP(F863,'LEAID Match'!$A$2:$B$436,2,FALSE)</f>
        <v>1807440</v>
      </c>
      <c r="Q863" s="6">
        <f t="shared" si="73"/>
        <v>9</v>
      </c>
    </row>
    <row r="864" spans="1:17" x14ac:dyDescent="0.2">
      <c r="A864" s="16">
        <f t="shared" si="69"/>
        <v>1807440</v>
      </c>
      <c r="B864">
        <v>2019</v>
      </c>
      <c r="C864" t="s">
        <v>904</v>
      </c>
      <c r="D864" t="s">
        <v>906</v>
      </c>
      <c r="E864" t="s">
        <v>1770</v>
      </c>
      <c r="F864" t="s">
        <v>683</v>
      </c>
      <c r="G864" t="s">
        <v>105</v>
      </c>
      <c r="H864" s="6">
        <v>686135</v>
      </c>
      <c r="I864" s="6">
        <v>1.7455237187947868E-3</v>
      </c>
      <c r="J864" s="6">
        <v>6118.0606343757281</v>
      </c>
      <c r="K864" s="6">
        <v>1647599.8381703901</v>
      </c>
      <c r="M864" s="6">
        <f t="shared" si="70"/>
        <v>692253.06063437578</v>
      </c>
      <c r="N864" s="6">
        <f t="shared" si="71"/>
        <v>1647599.8381703901</v>
      </c>
      <c r="O864" s="6">
        <f t="shared" si="72"/>
        <v>2339852.8988047661</v>
      </c>
      <c r="P864" s="8">
        <f>VLOOKUP(F864,'LEAID Match'!$A$2:$B$436,2,FALSE)</f>
        <v>1807440</v>
      </c>
      <c r="Q864" s="6">
        <f t="shared" si="73"/>
        <v>9</v>
      </c>
    </row>
    <row r="865" spans="1:17" x14ac:dyDescent="0.2">
      <c r="A865" s="16">
        <f t="shared" si="69"/>
        <v>1807440</v>
      </c>
      <c r="B865">
        <v>2020</v>
      </c>
      <c r="C865" t="s">
        <v>904</v>
      </c>
      <c r="D865" t="s">
        <v>906</v>
      </c>
      <c r="E865" t="s">
        <v>1771</v>
      </c>
      <c r="F865" t="s">
        <v>683</v>
      </c>
      <c r="G865" t="s">
        <v>105</v>
      </c>
      <c r="H865" s="6">
        <v>542259</v>
      </c>
      <c r="I865" s="6">
        <v>2.8732719417287125E-3</v>
      </c>
      <c r="J865" s="6">
        <v>6769.4286947128467</v>
      </c>
      <c r="K865" s="6">
        <v>5189438</v>
      </c>
      <c r="M865" s="6">
        <f t="shared" si="70"/>
        <v>549028.42869471281</v>
      </c>
      <c r="N865" s="6">
        <f t="shared" si="71"/>
        <v>5189438</v>
      </c>
      <c r="O865" s="6">
        <f t="shared" si="72"/>
        <v>5738466.4286947129</v>
      </c>
      <c r="P865" s="8">
        <f>VLOOKUP(F865,'LEAID Match'!$A$2:$B$436,2,FALSE)</f>
        <v>1807440</v>
      </c>
      <c r="Q865" s="6">
        <f t="shared" si="73"/>
        <v>9</v>
      </c>
    </row>
    <row r="866" spans="1:17" x14ac:dyDescent="0.2">
      <c r="A866" s="16">
        <f t="shared" si="69"/>
        <v>1807440</v>
      </c>
      <c r="B866">
        <v>2021</v>
      </c>
      <c r="C866" t="s">
        <v>904</v>
      </c>
      <c r="D866" t="s">
        <v>906</v>
      </c>
      <c r="E866" t="s">
        <v>1772</v>
      </c>
      <c r="F866" t="s">
        <v>683</v>
      </c>
      <c r="G866" t="s">
        <v>105</v>
      </c>
      <c r="H866" s="6">
        <v>562737</v>
      </c>
      <c r="I866" s="6">
        <v>2.7799731139390607E-3</v>
      </c>
      <c r="J866" s="6">
        <v>6266.0593988186429</v>
      </c>
      <c r="K866" s="6">
        <v>8520138</v>
      </c>
      <c r="M866" s="6">
        <f t="shared" si="70"/>
        <v>569003.05939881864</v>
      </c>
      <c r="N866" s="6">
        <f t="shared" si="71"/>
        <v>8520138</v>
      </c>
      <c r="O866" s="6">
        <f t="shared" si="72"/>
        <v>9089141.0593988188</v>
      </c>
      <c r="P866" s="8">
        <f>VLOOKUP(F866,'LEAID Match'!$A$2:$B$436,2,FALSE)</f>
        <v>1807440</v>
      </c>
      <c r="Q866" s="6">
        <f t="shared" si="73"/>
        <v>9</v>
      </c>
    </row>
    <row r="867" spans="1:17" x14ac:dyDescent="0.2">
      <c r="A867" s="16">
        <f t="shared" si="69"/>
        <v>1807440</v>
      </c>
      <c r="B867">
        <v>2022</v>
      </c>
      <c r="C867" t="s">
        <v>904</v>
      </c>
      <c r="D867" t="s">
        <v>906</v>
      </c>
      <c r="E867" t="s">
        <v>1773</v>
      </c>
      <c r="F867" t="s">
        <v>683</v>
      </c>
      <c r="G867" t="s">
        <v>105</v>
      </c>
      <c r="H867" s="6">
        <v>648107</v>
      </c>
      <c r="I867" s="6">
        <v>3.0773324874218658E-3</v>
      </c>
      <c r="J867" s="6">
        <v>6785.5181347652142</v>
      </c>
      <c r="K867" s="6">
        <v>8195159</v>
      </c>
      <c r="M867" s="6">
        <f t="shared" si="70"/>
        <v>654892.51813476521</v>
      </c>
      <c r="N867" s="6">
        <f t="shared" si="71"/>
        <v>8195159</v>
      </c>
      <c r="O867" s="6">
        <f t="shared" si="72"/>
        <v>8850051.5181347653</v>
      </c>
      <c r="P867" s="8">
        <f>VLOOKUP(F867,'LEAID Match'!$A$2:$B$436,2,FALSE)</f>
        <v>1807440</v>
      </c>
      <c r="Q867" s="6">
        <f t="shared" si="73"/>
        <v>9</v>
      </c>
    </row>
    <row r="868" spans="1:17" x14ac:dyDescent="0.2">
      <c r="A868" s="16">
        <f t="shared" si="69"/>
        <v>1807440</v>
      </c>
      <c r="B868">
        <v>2023</v>
      </c>
      <c r="C868" t="s">
        <v>904</v>
      </c>
      <c r="D868" t="s">
        <v>906</v>
      </c>
      <c r="E868" t="s">
        <v>1774</v>
      </c>
      <c r="F868" t="s">
        <v>683</v>
      </c>
      <c r="G868" t="s">
        <v>105</v>
      </c>
      <c r="H868" s="6">
        <v>799498</v>
      </c>
      <c r="I868" s="6">
        <v>3.2695075338066287E-3</v>
      </c>
      <c r="J868" s="6">
        <v>8065.8750859009533</v>
      </c>
      <c r="K868" s="6">
        <v>22439995</v>
      </c>
      <c r="M868" s="6">
        <f t="shared" si="70"/>
        <v>807563.875085901</v>
      </c>
      <c r="N868" s="6">
        <f t="shared" si="71"/>
        <v>22439995</v>
      </c>
      <c r="O868" s="6">
        <f t="shared" si="72"/>
        <v>23247558.875085901</v>
      </c>
      <c r="P868" s="8">
        <f>VLOOKUP(F868,'LEAID Match'!$A$2:$B$436,2,FALSE)</f>
        <v>1807440</v>
      </c>
      <c r="Q868" s="6">
        <f t="shared" si="73"/>
        <v>9</v>
      </c>
    </row>
    <row r="869" spans="1:17" x14ac:dyDescent="0.2">
      <c r="A869" s="16">
        <f t="shared" si="69"/>
        <v>1802040</v>
      </c>
      <c r="B869">
        <v>2015</v>
      </c>
      <c r="C869" t="s">
        <v>904</v>
      </c>
      <c r="D869" t="s">
        <v>906</v>
      </c>
      <c r="E869" t="s">
        <v>1775</v>
      </c>
      <c r="F869" t="s">
        <v>684</v>
      </c>
      <c r="G869" t="s">
        <v>106</v>
      </c>
      <c r="H869" s="6">
        <v>327265</v>
      </c>
      <c r="I869" s="6">
        <v>1.5913938254415569E-3</v>
      </c>
      <c r="J869" s="6">
        <v>9247.5895196408874</v>
      </c>
      <c r="K869" s="6">
        <v>1345708.08109458</v>
      </c>
      <c r="M869" s="6">
        <f t="shared" si="70"/>
        <v>336512.5895196409</v>
      </c>
      <c r="N869" s="6">
        <f t="shared" si="71"/>
        <v>1345708.08109458</v>
      </c>
      <c r="O869" s="6">
        <f t="shared" si="72"/>
        <v>1682220.6706142209</v>
      </c>
      <c r="P869" s="8">
        <f>VLOOKUP(F869,'LEAID Match'!$A$2:$B$436,2,FALSE)</f>
        <v>1802040</v>
      </c>
      <c r="Q869" s="6">
        <f t="shared" si="73"/>
        <v>9</v>
      </c>
    </row>
    <row r="870" spans="1:17" x14ac:dyDescent="0.2">
      <c r="A870" s="16">
        <f t="shared" si="69"/>
        <v>1802040</v>
      </c>
      <c r="B870">
        <v>2016</v>
      </c>
      <c r="C870" t="s">
        <v>904</v>
      </c>
      <c r="D870" t="s">
        <v>906</v>
      </c>
      <c r="E870" t="s">
        <v>1776</v>
      </c>
      <c r="F870" t="s">
        <v>684</v>
      </c>
      <c r="G870" t="s">
        <v>106</v>
      </c>
      <c r="H870" s="6">
        <v>337571</v>
      </c>
      <c r="I870" s="6">
        <v>1.566370899206199E-3</v>
      </c>
      <c r="J870" s="6">
        <v>7907.0402991928922</v>
      </c>
      <c r="K870" s="6">
        <v>1390154.1730454999</v>
      </c>
      <c r="M870" s="6">
        <f t="shared" si="70"/>
        <v>345478.04029919289</v>
      </c>
      <c r="N870" s="6">
        <f t="shared" si="71"/>
        <v>1390154.1730454999</v>
      </c>
      <c r="O870" s="6">
        <f t="shared" si="72"/>
        <v>1735632.2133446927</v>
      </c>
      <c r="P870" s="8">
        <f>VLOOKUP(F870,'LEAID Match'!$A$2:$B$436,2,FALSE)</f>
        <v>1802040</v>
      </c>
      <c r="Q870" s="6">
        <f t="shared" si="73"/>
        <v>9</v>
      </c>
    </row>
    <row r="871" spans="1:17" x14ac:dyDescent="0.2">
      <c r="A871" s="16">
        <f t="shared" si="69"/>
        <v>1802040</v>
      </c>
      <c r="B871">
        <v>2017</v>
      </c>
      <c r="C871" t="s">
        <v>904</v>
      </c>
      <c r="D871" t="s">
        <v>906</v>
      </c>
      <c r="E871" t="s">
        <v>1777</v>
      </c>
      <c r="F871" t="s">
        <v>684</v>
      </c>
      <c r="G871" t="s">
        <v>106</v>
      </c>
      <c r="H871" s="6">
        <v>348669</v>
      </c>
      <c r="I871" s="6">
        <v>1.535338769726041E-3</v>
      </c>
      <c r="J871" s="6">
        <v>6947.407933010335</v>
      </c>
      <c r="K871" s="6">
        <v>1337280.06843138</v>
      </c>
      <c r="M871" s="6">
        <f t="shared" si="70"/>
        <v>355616.40793301031</v>
      </c>
      <c r="N871" s="6">
        <f t="shared" si="71"/>
        <v>1337280.06843138</v>
      </c>
      <c r="O871" s="6">
        <f t="shared" si="72"/>
        <v>1692896.4763643902</v>
      </c>
      <c r="P871" s="8">
        <f>VLOOKUP(F871,'LEAID Match'!$A$2:$B$436,2,FALSE)</f>
        <v>1802040</v>
      </c>
      <c r="Q871" s="6">
        <f t="shared" si="73"/>
        <v>9</v>
      </c>
    </row>
    <row r="872" spans="1:17" x14ac:dyDescent="0.2">
      <c r="A872" s="16">
        <f t="shared" si="69"/>
        <v>1802040</v>
      </c>
      <c r="B872">
        <v>2018</v>
      </c>
      <c r="C872" t="s">
        <v>904</v>
      </c>
      <c r="D872" t="s">
        <v>906</v>
      </c>
      <c r="E872" t="s">
        <v>1778</v>
      </c>
      <c r="F872" t="s">
        <v>684</v>
      </c>
      <c r="G872" t="s">
        <v>106</v>
      </c>
      <c r="H872" s="6">
        <v>363553</v>
      </c>
      <c r="I872" s="6">
        <v>1.5423266385073365E-3</v>
      </c>
      <c r="J872" s="6">
        <v>6428.417429298579</v>
      </c>
      <c r="K872" s="6">
        <v>1544917</v>
      </c>
      <c r="M872" s="6">
        <f t="shared" si="70"/>
        <v>369981.41742929857</v>
      </c>
      <c r="N872" s="6">
        <f t="shared" si="71"/>
        <v>1544917</v>
      </c>
      <c r="O872" s="6">
        <f t="shared" si="72"/>
        <v>1914898.4174292986</v>
      </c>
      <c r="P872" s="8">
        <f>VLOOKUP(F872,'LEAID Match'!$A$2:$B$436,2,FALSE)</f>
        <v>1802040</v>
      </c>
      <c r="Q872" s="6">
        <f t="shared" si="73"/>
        <v>9</v>
      </c>
    </row>
    <row r="873" spans="1:17" x14ac:dyDescent="0.2">
      <c r="A873" s="16">
        <f t="shared" si="69"/>
        <v>1802040</v>
      </c>
      <c r="B873">
        <v>2019</v>
      </c>
      <c r="C873" t="s">
        <v>904</v>
      </c>
      <c r="D873" t="s">
        <v>906</v>
      </c>
      <c r="E873" t="s">
        <v>1779</v>
      </c>
      <c r="F873" t="s">
        <v>684</v>
      </c>
      <c r="G873" t="s">
        <v>106</v>
      </c>
      <c r="H873" s="6">
        <v>385243</v>
      </c>
      <c r="I873" s="6">
        <v>9.8005610266151729E-4</v>
      </c>
      <c r="J873" s="6">
        <v>3435.0966398286182</v>
      </c>
      <c r="K873" s="6">
        <v>925074.95530220598</v>
      </c>
      <c r="M873" s="6">
        <f t="shared" si="70"/>
        <v>388678.09663982864</v>
      </c>
      <c r="N873" s="6">
        <f t="shared" si="71"/>
        <v>925074.95530220598</v>
      </c>
      <c r="O873" s="6">
        <f t="shared" si="72"/>
        <v>1313753.0519420346</v>
      </c>
      <c r="P873" s="8">
        <f>VLOOKUP(F873,'LEAID Match'!$A$2:$B$436,2,FALSE)</f>
        <v>1802040</v>
      </c>
      <c r="Q873" s="6">
        <f t="shared" si="73"/>
        <v>9</v>
      </c>
    </row>
    <row r="874" spans="1:17" x14ac:dyDescent="0.2">
      <c r="A874" s="16">
        <f t="shared" si="69"/>
        <v>1802040</v>
      </c>
      <c r="B874">
        <v>2020</v>
      </c>
      <c r="C874" t="s">
        <v>904</v>
      </c>
      <c r="D874" t="s">
        <v>906</v>
      </c>
      <c r="E874" t="s">
        <v>1780</v>
      </c>
      <c r="F874" t="s">
        <v>684</v>
      </c>
      <c r="G874" t="s">
        <v>106</v>
      </c>
      <c r="H874" s="6">
        <v>307391</v>
      </c>
      <c r="I874" s="6">
        <v>1.6287750603308209E-3</v>
      </c>
      <c r="J874" s="6">
        <v>3837.3940421394141</v>
      </c>
      <c r="K874" s="6">
        <v>1573137</v>
      </c>
      <c r="M874" s="6">
        <f t="shared" si="70"/>
        <v>311228.39404213941</v>
      </c>
      <c r="N874" s="6">
        <f t="shared" si="71"/>
        <v>1573137</v>
      </c>
      <c r="O874" s="6">
        <f t="shared" si="72"/>
        <v>1884365.3940421394</v>
      </c>
      <c r="P874" s="8">
        <f>VLOOKUP(F874,'LEAID Match'!$A$2:$B$436,2,FALSE)</f>
        <v>1802040</v>
      </c>
      <c r="Q874" s="6">
        <f t="shared" si="73"/>
        <v>9</v>
      </c>
    </row>
    <row r="875" spans="1:17" x14ac:dyDescent="0.2">
      <c r="A875" s="16">
        <f t="shared" si="69"/>
        <v>1802040</v>
      </c>
      <c r="B875">
        <v>2021</v>
      </c>
      <c r="C875" t="s">
        <v>904</v>
      </c>
      <c r="D875" t="s">
        <v>906</v>
      </c>
      <c r="E875" t="s">
        <v>1781</v>
      </c>
      <c r="F875" t="s">
        <v>684</v>
      </c>
      <c r="G875" t="s">
        <v>106</v>
      </c>
      <c r="H875" s="6">
        <v>324124</v>
      </c>
      <c r="I875" s="6">
        <v>1.6012027031852964E-3</v>
      </c>
      <c r="J875" s="6">
        <v>3609.1108929796578</v>
      </c>
      <c r="K875" s="6">
        <v>2645151</v>
      </c>
      <c r="M875" s="6">
        <f t="shared" si="70"/>
        <v>327733.11089297966</v>
      </c>
      <c r="N875" s="6">
        <f t="shared" si="71"/>
        <v>2645151</v>
      </c>
      <c r="O875" s="6">
        <f t="shared" si="72"/>
        <v>2972884.1108929794</v>
      </c>
      <c r="P875" s="8">
        <f>VLOOKUP(F875,'LEAID Match'!$A$2:$B$436,2,FALSE)</f>
        <v>1802040</v>
      </c>
      <c r="Q875" s="6">
        <f t="shared" si="73"/>
        <v>9</v>
      </c>
    </row>
    <row r="876" spans="1:17" x14ac:dyDescent="0.2">
      <c r="A876" s="16">
        <f t="shared" si="69"/>
        <v>1802040</v>
      </c>
      <c r="B876">
        <v>2022</v>
      </c>
      <c r="C876" t="s">
        <v>904</v>
      </c>
      <c r="D876" t="s">
        <v>906</v>
      </c>
      <c r="E876" t="s">
        <v>1782</v>
      </c>
      <c r="F876" t="s">
        <v>684</v>
      </c>
      <c r="G876" t="s">
        <v>106</v>
      </c>
      <c r="H876" s="6">
        <v>356340</v>
      </c>
      <c r="I876" s="6">
        <v>1.6919685461936186E-3</v>
      </c>
      <c r="J876" s="6">
        <v>3730.7906443569291</v>
      </c>
      <c r="K876" s="6">
        <v>2655698</v>
      </c>
      <c r="M876" s="6">
        <f t="shared" si="70"/>
        <v>360070.79064435692</v>
      </c>
      <c r="N876" s="6">
        <f t="shared" si="71"/>
        <v>2655698</v>
      </c>
      <c r="O876" s="6">
        <f t="shared" si="72"/>
        <v>3015768.790644357</v>
      </c>
      <c r="P876" s="8">
        <f>VLOOKUP(F876,'LEAID Match'!$A$2:$B$436,2,FALSE)</f>
        <v>1802040</v>
      </c>
      <c r="Q876" s="6">
        <f t="shared" si="73"/>
        <v>9</v>
      </c>
    </row>
    <row r="877" spans="1:17" x14ac:dyDescent="0.2">
      <c r="A877" s="16">
        <f t="shared" si="69"/>
        <v>1802040</v>
      </c>
      <c r="B877">
        <v>2023</v>
      </c>
      <c r="C877" t="s">
        <v>904</v>
      </c>
      <c r="D877" t="s">
        <v>906</v>
      </c>
      <c r="E877" t="s">
        <v>1783</v>
      </c>
      <c r="F877" t="s">
        <v>684</v>
      </c>
      <c r="G877" t="s">
        <v>106</v>
      </c>
      <c r="H877" s="6">
        <v>409339</v>
      </c>
      <c r="I877" s="6">
        <v>1.6739715976536171E-3</v>
      </c>
      <c r="J877" s="6">
        <v>4129.6879314114731</v>
      </c>
      <c r="K877" s="6">
        <v>7434543</v>
      </c>
      <c r="M877" s="6">
        <f t="shared" si="70"/>
        <v>413468.68793141149</v>
      </c>
      <c r="N877" s="6">
        <f t="shared" si="71"/>
        <v>7434543</v>
      </c>
      <c r="O877" s="6">
        <f t="shared" si="72"/>
        <v>7848011.6879314119</v>
      </c>
      <c r="P877" s="8">
        <f>VLOOKUP(F877,'LEAID Match'!$A$2:$B$436,2,FALSE)</f>
        <v>1802040</v>
      </c>
      <c r="Q877" s="6">
        <f t="shared" si="73"/>
        <v>9</v>
      </c>
    </row>
    <row r="878" spans="1:17" x14ac:dyDescent="0.2">
      <c r="A878" s="16">
        <f t="shared" si="69"/>
        <v>1803150</v>
      </c>
      <c r="B878">
        <v>2015</v>
      </c>
      <c r="C878" t="s">
        <v>904</v>
      </c>
      <c r="D878" t="s">
        <v>906</v>
      </c>
      <c r="E878" t="s">
        <v>1784</v>
      </c>
      <c r="F878" t="s">
        <v>500</v>
      </c>
      <c r="G878" t="s">
        <v>107</v>
      </c>
      <c r="H878" s="6">
        <v>291207</v>
      </c>
      <c r="I878" s="6">
        <v>1.4160543343326034E-3</v>
      </c>
      <c r="J878" s="6">
        <v>8228.6917368067589</v>
      </c>
      <c r="K878" s="6">
        <v>1197438.2019809899</v>
      </c>
      <c r="M878" s="6">
        <f t="shared" si="70"/>
        <v>299435.69173680677</v>
      </c>
      <c r="N878" s="6">
        <f t="shared" si="71"/>
        <v>1197438.2019809899</v>
      </c>
      <c r="O878" s="6">
        <f t="shared" si="72"/>
        <v>1496873.8937177965</v>
      </c>
      <c r="P878" s="8">
        <f>VLOOKUP(F878,'LEAID Match'!$A$2:$B$436,2,FALSE)</f>
        <v>1803150</v>
      </c>
      <c r="Q878" s="6">
        <f t="shared" si="73"/>
        <v>9</v>
      </c>
    </row>
    <row r="879" spans="1:17" x14ac:dyDescent="0.2">
      <c r="A879" s="16">
        <f t="shared" si="69"/>
        <v>1803150</v>
      </c>
      <c r="B879">
        <v>2016</v>
      </c>
      <c r="C879" t="s">
        <v>904</v>
      </c>
      <c r="D879" t="s">
        <v>906</v>
      </c>
      <c r="E879" t="s">
        <v>1785</v>
      </c>
      <c r="F879" t="s">
        <v>500</v>
      </c>
      <c r="G879" t="s">
        <v>107</v>
      </c>
      <c r="H879" s="6">
        <v>313533</v>
      </c>
      <c r="I879" s="6">
        <v>1.4548316269490482E-3</v>
      </c>
      <c r="J879" s="6">
        <v>7343.9900528387952</v>
      </c>
      <c r="K879" s="6">
        <v>1291163.0689172801</v>
      </c>
      <c r="M879" s="6">
        <f t="shared" si="70"/>
        <v>320876.99005283881</v>
      </c>
      <c r="N879" s="6">
        <f t="shared" si="71"/>
        <v>1291163.0689172801</v>
      </c>
      <c r="O879" s="6">
        <f t="shared" si="72"/>
        <v>1612040.0589701189</v>
      </c>
      <c r="P879" s="8">
        <f>VLOOKUP(F879,'LEAID Match'!$A$2:$B$436,2,FALSE)</f>
        <v>1803150</v>
      </c>
      <c r="Q879" s="6">
        <f t="shared" si="73"/>
        <v>9</v>
      </c>
    </row>
    <row r="880" spans="1:17" x14ac:dyDescent="0.2">
      <c r="A880" s="16">
        <f t="shared" si="69"/>
        <v>1803150</v>
      </c>
      <c r="B880">
        <v>2017</v>
      </c>
      <c r="C880" t="s">
        <v>904</v>
      </c>
      <c r="D880" t="s">
        <v>906</v>
      </c>
      <c r="E880" t="s">
        <v>1786</v>
      </c>
      <c r="F880" t="s">
        <v>500</v>
      </c>
      <c r="G880" t="s">
        <v>107</v>
      </c>
      <c r="H880" s="6">
        <v>324764</v>
      </c>
      <c r="I880" s="6">
        <v>1.4300748280211548E-3</v>
      </c>
      <c r="J880" s="6">
        <v>6471.0885967957256</v>
      </c>
      <c r="K880" s="6">
        <v>1245595.17520642</v>
      </c>
      <c r="M880" s="6">
        <f t="shared" si="70"/>
        <v>331235.08859679574</v>
      </c>
      <c r="N880" s="6">
        <f t="shared" si="71"/>
        <v>1245595.17520642</v>
      </c>
      <c r="O880" s="6">
        <f t="shared" si="72"/>
        <v>1576830.2638032157</v>
      </c>
      <c r="P880" s="8">
        <f>VLOOKUP(F880,'LEAID Match'!$A$2:$B$436,2,FALSE)</f>
        <v>1803150</v>
      </c>
      <c r="Q880" s="6">
        <f t="shared" si="73"/>
        <v>9</v>
      </c>
    </row>
    <row r="881" spans="1:17" x14ac:dyDescent="0.2">
      <c r="A881" s="16">
        <f t="shared" si="69"/>
        <v>1803150</v>
      </c>
      <c r="B881">
        <v>2018</v>
      </c>
      <c r="C881" t="s">
        <v>904</v>
      </c>
      <c r="D881" t="s">
        <v>906</v>
      </c>
      <c r="E881" t="s">
        <v>1787</v>
      </c>
      <c r="F881" t="s">
        <v>500</v>
      </c>
      <c r="G881" t="s">
        <v>107</v>
      </c>
      <c r="H881" s="6">
        <v>299558</v>
      </c>
      <c r="I881" s="6">
        <v>1.27083611791948E-3</v>
      </c>
      <c r="J881" s="6">
        <v>5296.8449394883928</v>
      </c>
      <c r="K881" s="6">
        <v>1009047</v>
      </c>
      <c r="M881" s="6">
        <f t="shared" si="70"/>
        <v>304854.84493948839</v>
      </c>
      <c r="N881" s="6">
        <f t="shared" si="71"/>
        <v>1009047</v>
      </c>
      <c r="O881" s="6">
        <f t="shared" si="72"/>
        <v>1313901.8449394885</v>
      </c>
      <c r="P881" s="8">
        <f>VLOOKUP(F881,'LEAID Match'!$A$2:$B$436,2,FALSE)</f>
        <v>1803150</v>
      </c>
      <c r="Q881" s="6">
        <f t="shared" si="73"/>
        <v>9</v>
      </c>
    </row>
    <row r="882" spans="1:17" x14ac:dyDescent="0.2">
      <c r="A882" s="16">
        <f t="shared" si="69"/>
        <v>1803150</v>
      </c>
      <c r="B882">
        <v>2019</v>
      </c>
      <c r="C882" t="s">
        <v>904</v>
      </c>
      <c r="D882" t="s">
        <v>906</v>
      </c>
      <c r="E882" t="s">
        <v>1788</v>
      </c>
      <c r="F882" t="s">
        <v>500</v>
      </c>
      <c r="G882" t="s">
        <v>107</v>
      </c>
      <c r="H882" s="6">
        <v>334177</v>
      </c>
      <c r="I882" s="6">
        <v>8.5014447561439883E-4</v>
      </c>
      <c r="J882" s="6">
        <v>2979.756387028468</v>
      </c>
      <c r="K882" s="6">
        <v>802451.37053243106</v>
      </c>
      <c r="M882" s="6">
        <f t="shared" si="70"/>
        <v>337156.75638702849</v>
      </c>
      <c r="N882" s="6">
        <f t="shared" si="71"/>
        <v>802451.37053243106</v>
      </c>
      <c r="O882" s="6">
        <f t="shared" si="72"/>
        <v>1139608.1269194596</v>
      </c>
      <c r="P882" s="8">
        <f>VLOOKUP(F882,'LEAID Match'!$A$2:$B$436,2,FALSE)</f>
        <v>1803150</v>
      </c>
      <c r="Q882" s="6">
        <f t="shared" si="73"/>
        <v>9</v>
      </c>
    </row>
    <row r="883" spans="1:17" x14ac:dyDescent="0.2">
      <c r="A883" s="16">
        <f t="shared" si="69"/>
        <v>1803150</v>
      </c>
      <c r="B883">
        <v>2020</v>
      </c>
      <c r="C883" t="s">
        <v>904</v>
      </c>
      <c r="D883" t="s">
        <v>906</v>
      </c>
      <c r="E883" t="s">
        <v>1789</v>
      </c>
      <c r="F883" t="s">
        <v>500</v>
      </c>
      <c r="G883" t="s">
        <v>107</v>
      </c>
      <c r="H883" s="6">
        <v>252189</v>
      </c>
      <c r="I883" s="6">
        <v>1.3362757975665177E-3</v>
      </c>
      <c r="J883" s="6">
        <v>3148.2657790667154</v>
      </c>
      <c r="K883" s="6">
        <v>1100098</v>
      </c>
      <c r="M883" s="6">
        <f t="shared" si="70"/>
        <v>255337.26577906671</v>
      </c>
      <c r="N883" s="6">
        <f t="shared" si="71"/>
        <v>1100098</v>
      </c>
      <c r="O883" s="6">
        <f t="shared" si="72"/>
        <v>1355435.2657790668</v>
      </c>
      <c r="P883" s="8">
        <f>VLOOKUP(F883,'LEAID Match'!$A$2:$B$436,2,FALSE)</f>
        <v>1803150</v>
      </c>
      <c r="Q883" s="6">
        <f t="shared" si="73"/>
        <v>9</v>
      </c>
    </row>
    <row r="884" spans="1:17" x14ac:dyDescent="0.2">
      <c r="A884" s="16">
        <f t="shared" si="69"/>
        <v>1803150</v>
      </c>
      <c r="B884">
        <v>2021</v>
      </c>
      <c r="C884" t="s">
        <v>904</v>
      </c>
      <c r="D884" t="s">
        <v>906</v>
      </c>
      <c r="E884" t="s">
        <v>1790</v>
      </c>
      <c r="F884" t="s">
        <v>500</v>
      </c>
      <c r="G884" t="s">
        <v>107</v>
      </c>
      <c r="H884" s="6">
        <v>255153</v>
      </c>
      <c r="I884" s="6">
        <v>1.2604795489560721E-3</v>
      </c>
      <c r="J884" s="6">
        <v>2841.1209033469868</v>
      </c>
      <c r="K884" s="6">
        <v>1808242</v>
      </c>
      <c r="M884" s="6">
        <f t="shared" si="70"/>
        <v>257994.12090334698</v>
      </c>
      <c r="N884" s="6">
        <f t="shared" si="71"/>
        <v>1808242</v>
      </c>
      <c r="O884" s="6">
        <f t="shared" si="72"/>
        <v>2066236.1209033469</v>
      </c>
      <c r="P884" s="8">
        <f>VLOOKUP(F884,'LEAID Match'!$A$2:$B$436,2,FALSE)</f>
        <v>1803150</v>
      </c>
      <c r="Q884" s="6">
        <f t="shared" si="73"/>
        <v>9</v>
      </c>
    </row>
    <row r="885" spans="1:17" x14ac:dyDescent="0.2">
      <c r="A885" s="16">
        <f t="shared" si="69"/>
        <v>1803150</v>
      </c>
      <c r="B885">
        <v>2022</v>
      </c>
      <c r="C885" t="s">
        <v>904</v>
      </c>
      <c r="D885" t="s">
        <v>906</v>
      </c>
      <c r="E885" t="s">
        <v>1791</v>
      </c>
      <c r="F885" t="s">
        <v>500</v>
      </c>
      <c r="G885" t="s">
        <v>107</v>
      </c>
      <c r="H885" s="6">
        <v>275191</v>
      </c>
      <c r="I885" s="6">
        <v>1.3066580125598252E-3</v>
      </c>
      <c r="J885" s="6">
        <v>2881.1809176944143</v>
      </c>
      <c r="K885" s="6">
        <v>1815686</v>
      </c>
      <c r="M885" s="6">
        <f t="shared" si="70"/>
        <v>278072.18091769441</v>
      </c>
      <c r="N885" s="6">
        <f t="shared" si="71"/>
        <v>1815686</v>
      </c>
      <c r="O885" s="6">
        <f t="shared" si="72"/>
        <v>2093758.1809176945</v>
      </c>
      <c r="P885" s="8">
        <f>VLOOKUP(F885,'LEAID Match'!$A$2:$B$436,2,FALSE)</f>
        <v>1803150</v>
      </c>
      <c r="Q885" s="6">
        <f t="shared" si="73"/>
        <v>9</v>
      </c>
    </row>
    <row r="886" spans="1:17" x14ac:dyDescent="0.2">
      <c r="A886" s="16">
        <f t="shared" si="69"/>
        <v>1803150</v>
      </c>
      <c r="B886">
        <v>2023</v>
      </c>
      <c r="C886" t="s">
        <v>904</v>
      </c>
      <c r="D886" t="s">
        <v>906</v>
      </c>
      <c r="E886" t="s">
        <v>1792</v>
      </c>
      <c r="F886" t="s">
        <v>500</v>
      </c>
      <c r="G886" t="s">
        <v>107</v>
      </c>
      <c r="H886" s="6">
        <v>321347</v>
      </c>
      <c r="I886" s="6">
        <v>1.3141326650800362E-3</v>
      </c>
      <c r="J886" s="6">
        <v>3241.9652847524494</v>
      </c>
      <c r="K886" s="6">
        <v>5523287</v>
      </c>
      <c r="M886" s="6">
        <f t="shared" si="70"/>
        <v>324588.96528475243</v>
      </c>
      <c r="N886" s="6">
        <f t="shared" si="71"/>
        <v>5523287</v>
      </c>
      <c r="O886" s="6">
        <f t="shared" si="72"/>
        <v>5847875.9652847527</v>
      </c>
      <c r="P886" s="8">
        <f>VLOOKUP(F886,'LEAID Match'!$A$2:$B$436,2,FALSE)</f>
        <v>1803150</v>
      </c>
      <c r="Q886" s="6">
        <f t="shared" si="73"/>
        <v>9</v>
      </c>
    </row>
    <row r="887" spans="1:17" x14ac:dyDescent="0.2">
      <c r="A887" s="16">
        <f t="shared" si="69"/>
        <v>1804470</v>
      </c>
      <c r="B887">
        <v>2015</v>
      </c>
      <c r="C887" t="s">
        <v>904</v>
      </c>
      <c r="D887" t="s">
        <v>906</v>
      </c>
      <c r="E887" t="s">
        <v>1793</v>
      </c>
      <c r="F887" t="s">
        <v>501</v>
      </c>
      <c r="G887" t="s">
        <v>108</v>
      </c>
      <c r="H887" s="6">
        <v>539792</v>
      </c>
      <c r="I887" s="6">
        <v>2.6248503684254318E-3</v>
      </c>
      <c r="J887" s="6">
        <v>15253.005490920184</v>
      </c>
      <c r="K887" s="6">
        <v>2219615.4691464398</v>
      </c>
      <c r="M887" s="6">
        <f t="shared" si="70"/>
        <v>555045.00549092016</v>
      </c>
      <c r="N887" s="6">
        <f t="shared" si="71"/>
        <v>2219615.4691464398</v>
      </c>
      <c r="O887" s="6">
        <f t="shared" si="72"/>
        <v>2774660.4746373598</v>
      </c>
      <c r="P887" s="8">
        <f>VLOOKUP(F887,'LEAID Match'!$A$2:$B$436,2,FALSE)</f>
        <v>1804470</v>
      </c>
      <c r="Q887" s="6">
        <f t="shared" si="73"/>
        <v>9</v>
      </c>
    </row>
    <row r="888" spans="1:17" x14ac:dyDescent="0.2">
      <c r="A888" s="16">
        <f t="shared" si="69"/>
        <v>1804470</v>
      </c>
      <c r="B888">
        <v>2016</v>
      </c>
      <c r="C888" t="s">
        <v>904</v>
      </c>
      <c r="D888" t="s">
        <v>906</v>
      </c>
      <c r="E888" t="s">
        <v>1794</v>
      </c>
      <c r="F888" t="s">
        <v>501</v>
      </c>
      <c r="G888" t="s">
        <v>108</v>
      </c>
      <c r="H888" s="6">
        <v>574942</v>
      </c>
      <c r="I888" s="6">
        <v>2.6678014922235926E-3</v>
      </c>
      <c r="J888" s="6">
        <v>13467.061932744695</v>
      </c>
      <c r="K888" s="6">
        <v>2367673.8243484301</v>
      </c>
      <c r="M888" s="6">
        <f t="shared" si="70"/>
        <v>588409.06193274469</v>
      </c>
      <c r="N888" s="6">
        <f t="shared" si="71"/>
        <v>2367673.8243484301</v>
      </c>
      <c r="O888" s="6">
        <f t="shared" si="72"/>
        <v>2956082.8862811746</v>
      </c>
      <c r="P888" s="8">
        <f>VLOOKUP(F888,'LEAID Match'!$A$2:$B$436,2,FALSE)</f>
        <v>1804470</v>
      </c>
      <c r="Q888" s="6">
        <f t="shared" si="73"/>
        <v>9</v>
      </c>
    </row>
    <row r="889" spans="1:17" x14ac:dyDescent="0.2">
      <c r="A889" s="16">
        <f t="shared" si="69"/>
        <v>1804470</v>
      </c>
      <c r="B889">
        <v>2017</v>
      </c>
      <c r="C889" t="s">
        <v>904</v>
      </c>
      <c r="D889" t="s">
        <v>906</v>
      </c>
      <c r="E889" t="s">
        <v>1795</v>
      </c>
      <c r="F889" t="s">
        <v>501</v>
      </c>
      <c r="G889" t="s">
        <v>108</v>
      </c>
      <c r="H889" s="6">
        <v>604114</v>
      </c>
      <c r="I889" s="6">
        <v>2.6601723856559591E-3</v>
      </c>
      <c r="J889" s="6">
        <v>12037.280045093215</v>
      </c>
      <c r="K889" s="6">
        <v>2317010.1479063402</v>
      </c>
      <c r="M889" s="6">
        <f t="shared" si="70"/>
        <v>616151.28004509327</v>
      </c>
      <c r="N889" s="6">
        <f t="shared" si="71"/>
        <v>2317010.1479063402</v>
      </c>
      <c r="O889" s="6">
        <f t="shared" si="72"/>
        <v>2933161.4279514337</v>
      </c>
      <c r="P889" s="8">
        <f>VLOOKUP(F889,'LEAID Match'!$A$2:$B$436,2,FALSE)</f>
        <v>1804470</v>
      </c>
      <c r="Q889" s="6">
        <f t="shared" si="73"/>
        <v>9</v>
      </c>
    </row>
    <row r="890" spans="1:17" x14ac:dyDescent="0.2">
      <c r="A890" s="16">
        <f t="shared" si="69"/>
        <v>1804470</v>
      </c>
      <c r="B890">
        <v>2018</v>
      </c>
      <c r="C890" t="s">
        <v>904</v>
      </c>
      <c r="D890" t="s">
        <v>906</v>
      </c>
      <c r="E890" t="s">
        <v>1796</v>
      </c>
      <c r="F890" t="s">
        <v>501</v>
      </c>
      <c r="G890" t="s">
        <v>108</v>
      </c>
      <c r="H890" s="6">
        <v>613411</v>
      </c>
      <c r="I890" s="6">
        <v>2.6023169267023619E-3</v>
      </c>
      <c r="J890" s="6">
        <v>10846.456950495445</v>
      </c>
      <c r="K890" s="6">
        <v>1849569</v>
      </c>
      <c r="M890" s="6">
        <f t="shared" si="70"/>
        <v>624257.45695049549</v>
      </c>
      <c r="N890" s="6">
        <f t="shared" si="71"/>
        <v>1849569</v>
      </c>
      <c r="O890" s="6">
        <f t="shared" si="72"/>
        <v>2473826.4569504955</v>
      </c>
      <c r="P890" s="8">
        <f>VLOOKUP(F890,'LEAID Match'!$A$2:$B$436,2,FALSE)</f>
        <v>1804470</v>
      </c>
      <c r="Q890" s="6">
        <f t="shared" si="73"/>
        <v>9</v>
      </c>
    </row>
    <row r="891" spans="1:17" x14ac:dyDescent="0.2">
      <c r="A891" s="16">
        <f t="shared" si="69"/>
        <v>1804470</v>
      </c>
      <c r="B891">
        <v>2019</v>
      </c>
      <c r="C891" t="s">
        <v>904</v>
      </c>
      <c r="D891" t="s">
        <v>906</v>
      </c>
      <c r="E891" t="s">
        <v>1797</v>
      </c>
      <c r="F891" t="s">
        <v>501</v>
      </c>
      <c r="G891" t="s">
        <v>108</v>
      </c>
      <c r="H891" s="6">
        <v>649441</v>
      </c>
      <c r="I891" s="6">
        <v>1.6521743818021311E-3</v>
      </c>
      <c r="J891" s="6">
        <v>5790.8712082164693</v>
      </c>
      <c r="K891" s="6">
        <v>1559487.3989830301</v>
      </c>
      <c r="M891" s="6">
        <f t="shared" si="70"/>
        <v>655231.87120821641</v>
      </c>
      <c r="N891" s="6">
        <f t="shared" si="71"/>
        <v>1559487.3989830301</v>
      </c>
      <c r="O891" s="6">
        <f t="shared" si="72"/>
        <v>2214719.2701912466</v>
      </c>
      <c r="P891" s="8">
        <f>VLOOKUP(F891,'LEAID Match'!$A$2:$B$436,2,FALSE)</f>
        <v>1804470</v>
      </c>
      <c r="Q891" s="6">
        <f t="shared" si="73"/>
        <v>9</v>
      </c>
    </row>
    <row r="892" spans="1:17" x14ac:dyDescent="0.2">
      <c r="A892" s="16">
        <f t="shared" si="69"/>
        <v>1804470</v>
      </c>
      <c r="B892">
        <v>2020</v>
      </c>
      <c r="C892" t="s">
        <v>904</v>
      </c>
      <c r="D892" t="s">
        <v>906</v>
      </c>
      <c r="E892" t="s">
        <v>1798</v>
      </c>
      <c r="F892" t="s">
        <v>501</v>
      </c>
      <c r="G892" t="s">
        <v>108</v>
      </c>
      <c r="H892" s="6">
        <v>496971</v>
      </c>
      <c r="I892" s="6">
        <v>2.6333040671576865E-3</v>
      </c>
      <c r="J892" s="6">
        <v>6204.0643822235097</v>
      </c>
      <c r="K892" s="6">
        <v>1837964</v>
      </c>
      <c r="M892" s="6">
        <f t="shared" si="70"/>
        <v>503175.06438222353</v>
      </c>
      <c r="N892" s="6">
        <f t="shared" si="71"/>
        <v>1837964</v>
      </c>
      <c r="O892" s="6">
        <f t="shared" si="72"/>
        <v>2341139.0643822234</v>
      </c>
      <c r="P892" s="8">
        <f>VLOOKUP(F892,'LEAID Match'!$A$2:$B$436,2,FALSE)</f>
        <v>1804470</v>
      </c>
      <c r="Q892" s="6">
        <f t="shared" si="73"/>
        <v>9</v>
      </c>
    </row>
    <row r="893" spans="1:17" x14ac:dyDescent="0.2">
      <c r="A893" s="16">
        <f t="shared" si="69"/>
        <v>1804470</v>
      </c>
      <c r="B893">
        <v>2021</v>
      </c>
      <c r="C893" t="s">
        <v>904</v>
      </c>
      <c r="D893" t="s">
        <v>906</v>
      </c>
      <c r="E893" t="s">
        <v>1799</v>
      </c>
      <c r="F893" t="s">
        <v>501</v>
      </c>
      <c r="G893" t="s">
        <v>108</v>
      </c>
      <c r="H893" s="6">
        <v>520531</v>
      </c>
      <c r="I893" s="6">
        <v>2.5714715488262068E-3</v>
      </c>
      <c r="J893" s="6">
        <v>5796.0968710542702</v>
      </c>
      <c r="K893" s="6">
        <v>3123065</v>
      </c>
      <c r="M893" s="6">
        <f t="shared" si="70"/>
        <v>526327.09687105427</v>
      </c>
      <c r="N893" s="6">
        <f t="shared" si="71"/>
        <v>3123065</v>
      </c>
      <c r="O893" s="6">
        <f t="shared" si="72"/>
        <v>3649392.0968710543</v>
      </c>
      <c r="P893" s="8">
        <f>VLOOKUP(F893,'LEAID Match'!$A$2:$B$436,2,FALSE)</f>
        <v>1804470</v>
      </c>
      <c r="Q893" s="6">
        <f t="shared" si="73"/>
        <v>9</v>
      </c>
    </row>
    <row r="894" spans="1:17" x14ac:dyDescent="0.2">
      <c r="A894" s="16">
        <f t="shared" si="69"/>
        <v>1804470</v>
      </c>
      <c r="B894">
        <v>2022</v>
      </c>
      <c r="C894" t="s">
        <v>904</v>
      </c>
      <c r="D894" t="s">
        <v>906</v>
      </c>
      <c r="E894" t="s">
        <v>1800</v>
      </c>
      <c r="F894" t="s">
        <v>501</v>
      </c>
      <c r="G894" t="s">
        <v>108</v>
      </c>
      <c r="H894" s="6">
        <v>537623</v>
      </c>
      <c r="I894" s="6">
        <v>2.5527339218450128E-3</v>
      </c>
      <c r="J894" s="6">
        <v>5628.7782976682529</v>
      </c>
      <c r="K894" s="6">
        <v>2971982</v>
      </c>
      <c r="M894" s="6">
        <f t="shared" si="70"/>
        <v>543251.77829766821</v>
      </c>
      <c r="N894" s="6">
        <f t="shared" si="71"/>
        <v>2971982</v>
      </c>
      <c r="O894" s="6">
        <f t="shared" si="72"/>
        <v>3515233.7782976683</v>
      </c>
      <c r="P894" s="8">
        <f>VLOOKUP(F894,'LEAID Match'!$A$2:$B$436,2,FALSE)</f>
        <v>1804470</v>
      </c>
      <c r="Q894" s="6">
        <f t="shared" si="73"/>
        <v>9</v>
      </c>
    </row>
    <row r="895" spans="1:17" x14ac:dyDescent="0.2">
      <c r="A895" s="16">
        <f t="shared" si="69"/>
        <v>1804470</v>
      </c>
      <c r="B895">
        <v>2023</v>
      </c>
      <c r="C895" t="s">
        <v>904</v>
      </c>
      <c r="D895" t="s">
        <v>906</v>
      </c>
      <c r="E895" t="s">
        <v>1801</v>
      </c>
      <c r="F895" t="s">
        <v>501</v>
      </c>
      <c r="G895" t="s">
        <v>108</v>
      </c>
      <c r="H895" s="6">
        <v>599940</v>
      </c>
      <c r="I895" s="6">
        <v>2.4534249614532482E-3</v>
      </c>
      <c r="J895" s="6">
        <v>6052.599379905163</v>
      </c>
      <c r="K895" s="6">
        <v>8198537</v>
      </c>
      <c r="M895" s="6">
        <f t="shared" si="70"/>
        <v>605992.59937990515</v>
      </c>
      <c r="N895" s="6">
        <f t="shared" si="71"/>
        <v>8198537</v>
      </c>
      <c r="O895" s="6">
        <f t="shared" si="72"/>
        <v>8804529.5993799046</v>
      </c>
      <c r="P895" s="8">
        <f>VLOOKUP(F895,'LEAID Match'!$A$2:$B$436,2,FALSE)</f>
        <v>1804470</v>
      </c>
      <c r="Q895" s="6">
        <f t="shared" si="73"/>
        <v>9</v>
      </c>
    </row>
    <row r="896" spans="1:17" x14ac:dyDescent="0.2">
      <c r="A896" s="16">
        <f t="shared" si="69"/>
        <v>1805370</v>
      </c>
      <c r="B896">
        <v>2015</v>
      </c>
      <c r="C896" t="s">
        <v>904</v>
      </c>
      <c r="D896" t="s">
        <v>906</v>
      </c>
      <c r="E896" t="s">
        <v>1802</v>
      </c>
      <c r="F896" t="s">
        <v>502</v>
      </c>
      <c r="G896" t="s">
        <v>109</v>
      </c>
      <c r="H896" s="6">
        <v>1238481</v>
      </c>
      <c r="I896" s="6">
        <v>6.0223703002969609E-3</v>
      </c>
      <c r="J896" s="6">
        <v>34995.993815025642</v>
      </c>
      <c r="K896" s="6">
        <v>5092612.6838559099</v>
      </c>
      <c r="M896" s="6">
        <f t="shared" si="70"/>
        <v>1273476.9938150255</v>
      </c>
      <c r="N896" s="6">
        <f t="shared" si="71"/>
        <v>5092612.6838559099</v>
      </c>
      <c r="O896" s="6">
        <f t="shared" si="72"/>
        <v>6366089.6776709352</v>
      </c>
      <c r="P896" s="8">
        <f>VLOOKUP(F896,'LEAID Match'!$A$2:$B$436,2,FALSE)</f>
        <v>1805370</v>
      </c>
      <c r="Q896" s="6">
        <f t="shared" si="73"/>
        <v>9</v>
      </c>
    </row>
    <row r="897" spans="1:17" x14ac:dyDescent="0.2">
      <c r="A897" s="16">
        <f t="shared" si="69"/>
        <v>1805370</v>
      </c>
      <c r="B897">
        <v>2016</v>
      </c>
      <c r="C897" t="s">
        <v>904</v>
      </c>
      <c r="D897" t="s">
        <v>906</v>
      </c>
      <c r="E897" t="s">
        <v>1803</v>
      </c>
      <c r="F897" t="s">
        <v>502</v>
      </c>
      <c r="G897" t="s">
        <v>109</v>
      </c>
      <c r="H897" s="6">
        <v>1324852</v>
      </c>
      <c r="I897" s="6">
        <v>6.1474759933617847E-3</v>
      </c>
      <c r="J897" s="6">
        <v>31032.458814490288</v>
      </c>
      <c r="K897" s="6">
        <v>5455884.9441085802</v>
      </c>
      <c r="M897" s="6">
        <f t="shared" si="70"/>
        <v>1355884.4588144904</v>
      </c>
      <c r="N897" s="6">
        <f t="shared" si="71"/>
        <v>5455884.9441085802</v>
      </c>
      <c r="O897" s="6">
        <f t="shared" si="72"/>
        <v>6811769.4029230708</v>
      </c>
      <c r="P897" s="8">
        <f>VLOOKUP(F897,'LEAID Match'!$A$2:$B$436,2,FALSE)</f>
        <v>1805370</v>
      </c>
      <c r="Q897" s="6">
        <f t="shared" si="73"/>
        <v>9</v>
      </c>
    </row>
    <row r="898" spans="1:17" x14ac:dyDescent="0.2">
      <c r="A898" s="16">
        <f t="shared" si="69"/>
        <v>1805370</v>
      </c>
      <c r="B898">
        <v>2017</v>
      </c>
      <c r="C898" t="s">
        <v>904</v>
      </c>
      <c r="D898" t="s">
        <v>906</v>
      </c>
      <c r="E898" t="s">
        <v>1804</v>
      </c>
      <c r="F898" t="s">
        <v>502</v>
      </c>
      <c r="G898" t="s">
        <v>109</v>
      </c>
      <c r="H898" s="6">
        <v>1394795</v>
      </c>
      <c r="I898" s="6">
        <v>6.1418790868130908E-3</v>
      </c>
      <c r="J898" s="6">
        <v>27792.002867829236</v>
      </c>
      <c r="K898" s="6">
        <v>5349576.6846142001</v>
      </c>
      <c r="M898" s="6">
        <f t="shared" si="70"/>
        <v>1422587.0028678293</v>
      </c>
      <c r="N898" s="6">
        <f t="shared" si="71"/>
        <v>5349576.6846142001</v>
      </c>
      <c r="O898" s="6">
        <f t="shared" si="72"/>
        <v>6772163.6874820292</v>
      </c>
      <c r="P898" s="8">
        <f>VLOOKUP(F898,'LEAID Match'!$A$2:$B$436,2,FALSE)</f>
        <v>1805370</v>
      </c>
      <c r="Q898" s="6">
        <f t="shared" si="73"/>
        <v>9</v>
      </c>
    </row>
    <row r="899" spans="1:17" x14ac:dyDescent="0.2">
      <c r="A899" s="16">
        <f t="shared" ref="A899:A962" si="74">P899</f>
        <v>1805370</v>
      </c>
      <c r="B899">
        <v>2018</v>
      </c>
      <c r="C899" t="s">
        <v>904</v>
      </c>
      <c r="D899" t="s">
        <v>906</v>
      </c>
      <c r="E899" t="s">
        <v>1805</v>
      </c>
      <c r="F899" t="s">
        <v>502</v>
      </c>
      <c r="G899" t="s">
        <v>109</v>
      </c>
      <c r="H899" s="6">
        <v>1387764</v>
      </c>
      <c r="I899" s="6">
        <v>5.8874094978214877E-3</v>
      </c>
      <c r="J899" s="6">
        <v>24538.72278691996</v>
      </c>
      <c r="K899" s="6">
        <v>7585526</v>
      </c>
      <c r="M899" s="6">
        <f t="shared" ref="M899:M962" si="75">SUM(H899,J899)</f>
        <v>1412302.7227869199</v>
      </c>
      <c r="N899" s="6">
        <f t="shared" ref="N899:N962" si="76">K899</f>
        <v>7585526</v>
      </c>
      <c r="O899" s="6">
        <f t="shared" ref="O899:O962" si="77">SUM(M899:N899)</f>
        <v>8997828.7227869201</v>
      </c>
      <c r="P899" s="8">
        <f>VLOOKUP(F899,'LEAID Match'!$A$2:$B$436,2,FALSE)</f>
        <v>1805370</v>
      </c>
      <c r="Q899" s="6">
        <f t="shared" ref="Q899:Q962" si="78">COUNTIF($P$2:$P$3691,P899)</f>
        <v>9</v>
      </c>
    </row>
    <row r="900" spans="1:17" x14ac:dyDescent="0.2">
      <c r="A900" s="16">
        <f t="shared" si="74"/>
        <v>1805370</v>
      </c>
      <c r="B900">
        <v>2019</v>
      </c>
      <c r="C900" t="s">
        <v>904</v>
      </c>
      <c r="D900" t="s">
        <v>906</v>
      </c>
      <c r="E900" t="s">
        <v>1806</v>
      </c>
      <c r="F900" t="s">
        <v>502</v>
      </c>
      <c r="G900" t="s">
        <v>109</v>
      </c>
      <c r="H900" s="6">
        <v>1394733</v>
      </c>
      <c r="I900" s="6">
        <v>3.5481931877630636E-3</v>
      </c>
      <c r="J900" s="6">
        <v>12436.417123109539</v>
      </c>
      <c r="K900" s="6">
        <v>3349139.5499295499</v>
      </c>
      <c r="M900" s="6">
        <f t="shared" si="75"/>
        <v>1407169.4171231096</v>
      </c>
      <c r="N900" s="6">
        <f t="shared" si="76"/>
        <v>3349139.5499295499</v>
      </c>
      <c r="O900" s="6">
        <f t="shared" si="77"/>
        <v>4756308.967052659</v>
      </c>
      <c r="P900" s="8">
        <f>VLOOKUP(F900,'LEAID Match'!$A$2:$B$436,2,FALSE)</f>
        <v>1805370</v>
      </c>
      <c r="Q900" s="6">
        <f t="shared" si="78"/>
        <v>9</v>
      </c>
    </row>
    <row r="901" spans="1:17" x14ac:dyDescent="0.2">
      <c r="A901" s="16">
        <f t="shared" si="74"/>
        <v>1805370</v>
      </c>
      <c r="B901">
        <v>2020</v>
      </c>
      <c r="C901" t="s">
        <v>904</v>
      </c>
      <c r="D901" t="s">
        <v>906</v>
      </c>
      <c r="E901" t="s">
        <v>1807</v>
      </c>
      <c r="F901" t="s">
        <v>502</v>
      </c>
      <c r="G901" t="s">
        <v>109</v>
      </c>
      <c r="H901" s="6">
        <v>1045184</v>
      </c>
      <c r="I901" s="6">
        <v>5.5381245145655171E-3</v>
      </c>
      <c r="J901" s="6">
        <v>13047.821356316359</v>
      </c>
      <c r="K901" s="6">
        <v>7908608</v>
      </c>
      <c r="M901" s="6">
        <f t="shared" si="75"/>
        <v>1058231.8213563163</v>
      </c>
      <c r="N901" s="6">
        <f t="shared" si="76"/>
        <v>7908608</v>
      </c>
      <c r="O901" s="6">
        <f t="shared" si="77"/>
        <v>8966839.821356317</v>
      </c>
      <c r="P901" s="8">
        <f>VLOOKUP(F901,'LEAID Match'!$A$2:$B$436,2,FALSE)</f>
        <v>1805370</v>
      </c>
      <c r="Q901" s="6">
        <f t="shared" si="78"/>
        <v>9</v>
      </c>
    </row>
    <row r="902" spans="1:17" x14ac:dyDescent="0.2">
      <c r="A902" s="16">
        <f t="shared" si="74"/>
        <v>1805370</v>
      </c>
      <c r="B902">
        <v>2021</v>
      </c>
      <c r="C902" t="s">
        <v>904</v>
      </c>
      <c r="D902" t="s">
        <v>906</v>
      </c>
      <c r="E902" t="s">
        <v>1808</v>
      </c>
      <c r="F902" t="s">
        <v>502</v>
      </c>
      <c r="G902" t="s">
        <v>109</v>
      </c>
      <c r="H902" s="6">
        <v>1048809</v>
      </c>
      <c r="I902" s="6">
        <v>5.1812139981151275E-3</v>
      </c>
      <c r="J902" s="6">
        <v>11678.456351751498</v>
      </c>
      <c r="K902" s="6">
        <v>12807299</v>
      </c>
      <c r="M902" s="6">
        <f t="shared" si="75"/>
        <v>1060487.4563517515</v>
      </c>
      <c r="N902" s="6">
        <f t="shared" si="76"/>
        <v>12807299</v>
      </c>
      <c r="O902" s="6">
        <f t="shared" si="77"/>
        <v>13867786.456351751</v>
      </c>
      <c r="P902" s="8">
        <f>VLOOKUP(F902,'LEAID Match'!$A$2:$B$436,2,FALSE)</f>
        <v>1805370</v>
      </c>
      <c r="Q902" s="6">
        <f t="shared" si="78"/>
        <v>9</v>
      </c>
    </row>
    <row r="903" spans="1:17" x14ac:dyDescent="0.2">
      <c r="A903" s="16">
        <f t="shared" si="74"/>
        <v>1805370</v>
      </c>
      <c r="B903">
        <v>2022</v>
      </c>
      <c r="C903" t="s">
        <v>904</v>
      </c>
      <c r="D903" t="s">
        <v>906</v>
      </c>
      <c r="E903" t="s">
        <v>1809</v>
      </c>
      <c r="F903" t="s">
        <v>502</v>
      </c>
      <c r="G903" t="s">
        <v>109</v>
      </c>
      <c r="H903" s="6">
        <v>1087348</v>
      </c>
      <c r="I903" s="6">
        <v>5.1629303888604677E-3</v>
      </c>
      <c r="J903" s="6">
        <v>11384.261507437332</v>
      </c>
      <c r="K903" s="6">
        <v>12329793</v>
      </c>
      <c r="M903" s="6">
        <f t="shared" si="75"/>
        <v>1098732.2615074373</v>
      </c>
      <c r="N903" s="6">
        <f t="shared" si="76"/>
        <v>12329793</v>
      </c>
      <c r="O903" s="6">
        <f t="shared" si="77"/>
        <v>13428525.261507437</v>
      </c>
      <c r="P903" s="8">
        <f>VLOOKUP(F903,'LEAID Match'!$A$2:$B$436,2,FALSE)</f>
        <v>1805370</v>
      </c>
      <c r="Q903" s="6">
        <f t="shared" si="78"/>
        <v>9</v>
      </c>
    </row>
    <row r="904" spans="1:17" x14ac:dyDescent="0.2">
      <c r="A904" s="16">
        <f t="shared" si="74"/>
        <v>1805370</v>
      </c>
      <c r="B904">
        <v>2023</v>
      </c>
      <c r="C904" t="s">
        <v>904</v>
      </c>
      <c r="D904" t="s">
        <v>906</v>
      </c>
      <c r="E904" t="s">
        <v>1810</v>
      </c>
      <c r="F904" t="s">
        <v>502</v>
      </c>
      <c r="G904" t="s">
        <v>109</v>
      </c>
      <c r="H904" s="6">
        <v>1177140</v>
      </c>
      <c r="I904" s="6">
        <v>4.8138558174568727E-3</v>
      </c>
      <c r="J904" s="6">
        <v>11875.782301666104</v>
      </c>
      <c r="K904" s="6">
        <v>32505743</v>
      </c>
      <c r="M904" s="6">
        <f t="shared" si="75"/>
        <v>1189015.7823016662</v>
      </c>
      <c r="N904" s="6">
        <f t="shared" si="76"/>
        <v>32505743</v>
      </c>
      <c r="O904" s="6">
        <f t="shared" si="77"/>
        <v>33694758.782301664</v>
      </c>
      <c r="P904" s="8">
        <f>VLOOKUP(F904,'LEAID Match'!$A$2:$B$436,2,FALSE)</f>
        <v>1805370</v>
      </c>
      <c r="Q904" s="6">
        <f t="shared" si="78"/>
        <v>9</v>
      </c>
    </row>
    <row r="905" spans="1:17" x14ac:dyDescent="0.2">
      <c r="A905" s="16">
        <f t="shared" si="74"/>
        <v>1811250</v>
      </c>
      <c r="B905">
        <v>2015</v>
      </c>
      <c r="C905" t="s">
        <v>904</v>
      </c>
      <c r="D905" t="s">
        <v>906</v>
      </c>
      <c r="E905" t="s">
        <v>1811</v>
      </c>
      <c r="F905" t="s">
        <v>685</v>
      </c>
      <c r="G905" t="s">
        <v>110</v>
      </c>
      <c r="H905" s="6">
        <v>233808</v>
      </c>
      <c r="I905" s="6">
        <v>1.1369398118920126E-3</v>
      </c>
      <c r="J905" s="6">
        <v>6606.7572469044853</v>
      </c>
      <c r="K905" s="6">
        <v>961414.49597287597</v>
      </c>
      <c r="M905" s="6">
        <f t="shared" si="75"/>
        <v>240414.75724690448</v>
      </c>
      <c r="N905" s="6">
        <f t="shared" si="76"/>
        <v>961414.49597287597</v>
      </c>
      <c r="O905" s="6">
        <f t="shared" si="77"/>
        <v>1201829.2532197805</v>
      </c>
      <c r="P905" s="8">
        <f>VLOOKUP(F905,'LEAID Match'!$A$2:$B$436,2,FALSE)</f>
        <v>1811250</v>
      </c>
      <c r="Q905" s="6">
        <f t="shared" si="78"/>
        <v>9</v>
      </c>
    </row>
    <row r="906" spans="1:17" x14ac:dyDescent="0.2">
      <c r="A906" s="16">
        <f t="shared" si="74"/>
        <v>1811250</v>
      </c>
      <c r="B906">
        <v>2016</v>
      </c>
      <c r="C906" t="s">
        <v>904</v>
      </c>
      <c r="D906" t="s">
        <v>906</v>
      </c>
      <c r="E906" t="s">
        <v>1812</v>
      </c>
      <c r="F906" t="s">
        <v>685</v>
      </c>
      <c r="G906" t="s">
        <v>110</v>
      </c>
      <c r="H906" s="6">
        <v>226809</v>
      </c>
      <c r="I906" s="6">
        <v>1.0524216158321028E-3</v>
      </c>
      <c r="J906" s="6">
        <v>5312.6243167204548</v>
      </c>
      <c r="K906" s="6">
        <v>934024.18405099097</v>
      </c>
      <c r="M906" s="6">
        <f t="shared" si="75"/>
        <v>232121.62431672047</v>
      </c>
      <c r="N906" s="6">
        <f t="shared" si="76"/>
        <v>934024.18405099097</v>
      </c>
      <c r="O906" s="6">
        <f t="shared" si="77"/>
        <v>1166145.8083677115</v>
      </c>
      <c r="P906" s="8">
        <f>VLOOKUP(F906,'LEAID Match'!$A$2:$B$436,2,FALSE)</f>
        <v>1811250</v>
      </c>
      <c r="Q906" s="6">
        <f t="shared" si="78"/>
        <v>9</v>
      </c>
    </row>
    <row r="907" spans="1:17" x14ac:dyDescent="0.2">
      <c r="A907" s="16">
        <f t="shared" si="74"/>
        <v>1811250</v>
      </c>
      <c r="B907">
        <v>2017</v>
      </c>
      <c r="C907" t="s">
        <v>904</v>
      </c>
      <c r="D907" t="s">
        <v>906</v>
      </c>
      <c r="E907" t="s">
        <v>1813</v>
      </c>
      <c r="F907" t="s">
        <v>685</v>
      </c>
      <c r="G907" t="s">
        <v>110</v>
      </c>
      <c r="H907" s="6">
        <v>240118</v>
      </c>
      <c r="I907" s="6">
        <v>1.0573422779457809E-3</v>
      </c>
      <c r="J907" s="6">
        <v>4784.4738077046586</v>
      </c>
      <c r="K907" s="6">
        <v>920945.12409077503</v>
      </c>
      <c r="M907" s="6">
        <f t="shared" si="75"/>
        <v>244902.47380770466</v>
      </c>
      <c r="N907" s="6">
        <f t="shared" si="76"/>
        <v>920945.12409077503</v>
      </c>
      <c r="O907" s="6">
        <f t="shared" si="77"/>
        <v>1165847.5978984798</v>
      </c>
      <c r="P907" s="8">
        <f>VLOOKUP(F907,'LEAID Match'!$A$2:$B$436,2,FALSE)</f>
        <v>1811250</v>
      </c>
      <c r="Q907" s="6">
        <f t="shared" si="78"/>
        <v>9</v>
      </c>
    </row>
    <row r="908" spans="1:17" x14ac:dyDescent="0.2">
      <c r="A908" s="16">
        <f t="shared" si="74"/>
        <v>1811250</v>
      </c>
      <c r="B908">
        <v>2018</v>
      </c>
      <c r="C908" t="s">
        <v>904</v>
      </c>
      <c r="D908" t="s">
        <v>906</v>
      </c>
      <c r="E908" t="s">
        <v>1814</v>
      </c>
      <c r="F908" t="s">
        <v>685</v>
      </c>
      <c r="G908" t="s">
        <v>110</v>
      </c>
      <c r="H908" s="6">
        <v>261025</v>
      </c>
      <c r="I908" s="6">
        <v>1.107364843135327E-3</v>
      </c>
      <c r="J908" s="6">
        <v>4615.4966661880426</v>
      </c>
      <c r="K908" s="6">
        <v>1420358</v>
      </c>
      <c r="M908" s="6">
        <f t="shared" si="75"/>
        <v>265640.49666618806</v>
      </c>
      <c r="N908" s="6">
        <f t="shared" si="76"/>
        <v>1420358</v>
      </c>
      <c r="O908" s="6">
        <f t="shared" si="77"/>
        <v>1685998.4966661881</v>
      </c>
      <c r="P908" s="8">
        <f>VLOOKUP(F908,'LEAID Match'!$A$2:$B$436,2,FALSE)</f>
        <v>1811250</v>
      </c>
      <c r="Q908" s="6">
        <f t="shared" si="78"/>
        <v>9</v>
      </c>
    </row>
    <row r="909" spans="1:17" x14ac:dyDescent="0.2">
      <c r="A909" s="16">
        <f t="shared" si="74"/>
        <v>1811250</v>
      </c>
      <c r="B909">
        <v>2019</v>
      </c>
      <c r="C909" t="s">
        <v>904</v>
      </c>
      <c r="D909" t="s">
        <v>906</v>
      </c>
      <c r="E909" t="s">
        <v>1815</v>
      </c>
      <c r="F909" t="s">
        <v>685</v>
      </c>
      <c r="G909" t="s">
        <v>110</v>
      </c>
      <c r="H909" s="6">
        <v>300904</v>
      </c>
      <c r="I909" s="6">
        <v>7.6549814406818857E-4</v>
      </c>
      <c r="J909" s="6">
        <v>2683.0709949590009</v>
      </c>
      <c r="K909" s="6">
        <v>722553.69818596297</v>
      </c>
      <c r="M909" s="6">
        <f t="shared" si="75"/>
        <v>303587.07099495898</v>
      </c>
      <c r="N909" s="6">
        <f t="shared" si="76"/>
        <v>722553.69818596297</v>
      </c>
      <c r="O909" s="6">
        <f t="shared" si="77"/>
        <v>1026140.769180922</v>
      </c>
      <c r="P909" s="8">
        <f>VLOOKUP(F909,'LEAID Match'!$A$2:$B$436,2,FALSE)</f>
        <v>1811250</v>
      </c>
      <c r="Q909" s="6">
        <f t="shared" si="78"/>
        <v>9</v>
      </c>
    </row>
    <row r="910" spans="1:17" x14ac:dyDescent="0.2">
      <c r="A910" s="16">
        <f t="shared" si="74"/>
        <v>1811250</v>
      </c>
      <c r="B910">
        <v>2020</v>
      </c>
      <c r="C910" t="s">
        <v>904</v>
      </c>
      <c r="D910" t="s">
        <v>906</v>
      </c>
      <c r="E910" t="s">
        <v>1816</v>
      </c>
      <c r="F910" t="s">
        <v>685</v>
      </c>
      <c r="G910" t="s">
        <v>110</v>
      </c>
      <c r="H910" s="6">
        <v>221452</v>
      </c>
      <c r="I910" s="6">
        <v>1.1734094188196173E-3</v>
      </c>
      <c r="J910" s="6">
        <v>2764.5525907390183</v>
      </c>
      <c r="K910" s="6">
        <v>1471556</v>
      </c>
      <c r="M910" s="6">
        <f t="shared" si="75"/>
        <v>224216.55259073901</v>
      </c>
      <c r="N910" s="6">
        <f t="shared" si="76"/>
        <v>1471556</v>
      </c>
      <c r="O910" s="6">
        <f t="shared" si="77"/>
        <v>1695772.552590739</v>
      </c>
      <c r="P910" s="8">
        <f>VLOOKUP(F910,'LEAID Match'!$A$2:$B$436,2,FALSE)</f>
        <v>1811250</v>
      </c>
      <c r="Q910" s="6">
        <f t="shared" si="78"/>
        <v>9</v>
      </c>
    </row>
    <row r="911" spans="1:17" x14ac:dyDescent="0.2">
      <c r="A911" s="16">
        <f t="shared" si="74"/>
        <v>1811250</v>
      </c>
      <c r="B911">
        <v>2021</v>
      </c>
      <c r="C911" t="s">
        <v>904</v>
      </c>
      <c r="D911" t="s">
        <v>906</v>
      </c>
      <c r="E911" t="s">
        <v>1817</v>
      </c>
      <c r="F911" t="s">
        <v>685</v>
      </c>
      <c r="G911" t="s">
        <v>110</v>
      </c>
      <c r="H911" s="6">
        <v>231940</v>
      </c>
      <c r="I911" s="6">
        <v>1.1458051701719024E-3</v>
      </c>
      <c r="J911" s="6">
        <v>2582.6448535674681</v>
      </c>
      <c r="K911" s="6">
        <v>2399481</v>
      </c>
      <c r="M911" s="6">
        <f t="shared" si="75"/>
        <v>234522.64485356747</v>
      </c>
      <c r="N911" s="6">
        <f t="shared" si="76"/>
        <v>2399481</v>
      </c>
      <c r="O911" s="6">
        <f t="shared" si="77"/>
        <v>2634003.6448535677</v>
      </c>
      <c r="P911" s="8">
        <f>VLOOKUP(F911,'LEAID Match'!$A$2:$B$436,2,FALSE)</f>
        <v>1811250</v>
      </c>
      <c r="Q911" s="6">
        <f t="shared" si="78"/>
        <v>9</v>
      </c>
    </row>
    <row r="912" spans="1:17" x14ac:dyDescent="0.2">
      <c r="A912" s="16">
        <f t="shared" si="74"/>
        <v>1811250</v>
      </c>
      <c r="B912">
        <v>2022</v>
      </c>
      <c r="C912" t="s">
        <v>904</v>
      </c>
      <c r="D912" t="s">
        <v>906</v>
      </c>
      <c r="E912" t="s">
        <v>1818</v>
      </c>
      <c r="F912" t="s">
        <v>685</v>
      </c>
      <c r="G912" t="s">
        <v>110</v>
      </c>
      <c r="H912" s="6">
        <v>262704</v>
      </c>
      <c r="I912" s="6">
        <v>1.2473674158366963E-3</v>
      </c>
      <c r="J912" s="6">
        <v>2750.4451519199156</v>
      </c>
      <c r="K912" s="6">
        <v>2300344</v>
      </c>
      <c r="M912" s="6">
        <f t="shared" si="75"/>
        <v>265454.44515191991</v>
      </c>
      <c r="N912" s="6">
        <f t="shared" si="76"/>
        <v>2300344</v>
      </c>
      <c r="O912" s="6">
        <f t="shared" si="77"/>
        <v>2565798.44515192</v>
      </c>
      <c r="P912" s="8">
        <f>VLOOKUP(F912,'LEAID Match'!$A$2:$B$436,2,FALSE)</f>
        <v>1811250</v>
      </c>
      <c r="Q912" s="6">
        <f t="shared" si="78"/>
        <v>9</v>
      </c>
    </row>
    <row r="913" spans="1:17" x14ac:dyDescent="0.2">
      <c r="A913" s="16">
        <f t="shared" si="74"/>
        <v>1811250</v>
      </c>
      <c r="B913">
        <v>2023</v>
      </c>
      <c r="C913" t="s">
        <v>904</v>
      </c>
      <c r="D913" t="s">
        <v>906</v>
      </c>
      <c r="E913" t="s">
        <v>1819</v>
      </c>
      <c r="F913" t="s">
        <v>685</v>
      </c>
      <c r="G913" t="s">
        <v>110</v>
      </c>
      <c r="H913" s="6">
        <v>307056</v>
      </c>
      <c r="I913" s="6">
        <v>1.2556903273060447E-3</v>
      </c>
      <c r="J913" s="6">
        <v>3097.7880374640122</v>
      </c>
      <c r="K913" s="6">
        <v>5594859</v>
      </c>
      <c r="M913" s="6">
        <f t="shared" si="75"/>
        <v>310153.78803746402</v>
      </c>
      <c r="N913" s="6">
        <f t="shared" si="76"/>
        <v>5594859</v>
      </c>
      <c r="O913" s="6">
        <f t="shared" si="77"/>
        <v>5905012.788037464</v>
      </c>
      <c r="P913" s="8">
        <f>VLOOKUP(F913,'LEAID Match'!$A$2:$B$436,2,FALSE)</f>
        <v>1811250</v>
      </c>
      <c r="Q913" s="6">
        <f t="shared" si="78"/>
        <v>9</v>
      </c>
    </row>
    <row r="914" spans="1:17" x14ac:dyDescent="0.2">
      <c r="A914" s="16">
        <f t="shared" si="74"/>
        <v>1804710</v>
      </c>
      <c r="B914">
        <v>2015</v>
      </c>
      <c r="C914" t="s">
        <v>904</v>
      </c>
      <c r="D914" t="s">
        <v>906</v>
      </c>
      <c r="E914" t="s">
        <v>1820</v>
      </c>
      <c r="F914" t="s">
        <v>686</v>
      </c>
      <c r="G914" t="s">
        <v>111</v>
      </c>
      <c r="H914" s="6">
        <v>998765</v>
      </c>
      <c r="I914" s="6">
        <v>4.8567016151043847E-3</v>
      </c>
      <c r="J914" s="6">
        <v>28222.293085371581</v>
      </c>
      <c r="K914" s="6">
        <v>4106904.5929581001</v>
      </c>
      <c r="M914" s="6">
        <f t="shared" si="75"/>
        <v>1026987.2930853716</v>
      </c>
      <c r="N914" s="6">
        <f t="shared" si="76"/>
        <v>4106904.5929581001</v>
      </c>
      <c r="O914" s="6">
        <f t="shared" si="77"/>
        <v>5133891.8860434722</v>
      </c>
      <c r="P914" s="8">
        <f>VLOOKUP(F914,'LEAID Match'!$A$2:$B$436,2,FALSE)</f>
        <v>1804710</v>
      </c>
      <c r="Q914" s="6">
        <f t="shared" si="78"/>
        <v>9</v>
      </c>
    </row>
    <row r="915" spans="1:17" x14ac:dyDescent="0.2">
      <c r="A915" s="16">
        <f t="shared" si="74"/>
        <v>1804710</v>
      </c>
      <c r="B915">
        <v>2016</v>
      </c>
      <c r="C915" t="s">
        <v>904</v>
      </c>
      <c r="D915" t="s">
        <v>906</v>
      </c>
      <c r="E915" t="s">
        <v>1821</v>
      </c>
      <c r="F915" t="s">
        <v>686</v>
      </c>
      <c r="G915" t="s">
        <v>111</v>
      </c>
      <c r="H915" s="6">
        <v>994950</v>
      </c>
      <c r="I915" s="6">
        <v>4.6166901960334496E-3</v>
      </c>
      <c r="J915" s="6">
        <v>23305.052109576853</v>
      </c>
      <c r="K915" s="6">
        <v>4097312.5489796801</v>
      </c>
      <c r="M915" s="6">
        <f t="shared" si="75"/>
        <v>1018255.0521095769</v>
      </c>
      <c r="N915" s="6">
        <f t="shared" si="76"/>
        <v>4097312.5489796801</v>
      </c>
      <c r="O915" s="6">
        <f t="shared" si="77"/>
        <v>5115567.6010892568</v>
      </c>
      <c r="P915" s="8">
        <f>VLOOKUP(F915,'LEAID Match'!$A$2:$B$436,2,FALSE)</f>
        <v>1804710</v>
      </c>
      <c r="Q915" s="6">
        <f t="shared" si="78"/>
        <v>9</v>
      </c>
    </row>
    <row r="916" spans="1:17" x14ac:dyDescent="0.2">
      <c r="A916" s="16">
        <f t="shared" si="74"/>
        <v>1804710</v>
      </c>
      <c r="B916">
        <v>2017</v>
      </c>
      <c r="C916" t="s">
        <v>904</v>
      </c>
      <c r="D916" t="s">
        <v>906</v>
      </c>
      <c r="E916" t="s">
        <v>1822</v>
      </c>
      <c r="F916" t="s">
        <v>686</v>
      </c>
      <c r="G916" t="s">
        <v>111</v>
      </c>
      <c r="H916" s="6">
        <v>1038327</v>
      </c>
      <c r="I916" s="6">
        <v>4.5721979836272544E-3</v>
      </c>
      <c r="J916" s="6">
        <v>20689.195875913327</v>
      </c>
      <c r="K916" s="6">
        <v>3982384.4437393299</v>
      </c>
      <c r="M916" s="6">
        <f t="shared" si="75"/>
        <v>1059016.1958759134</v>
      </c>
      <c r="N916" s="6">
        <f t="shared" si="76"/>
        <v>3982384.4437393299</v>
      </c>
      <c r="O916" s="6">
        <f t="shared" si="77"/>
        <v>5041400.6396152433</v>
      </c>
      <c r="P916" s="8">
        <f>VLOOKUP(F916,'LEAID Match'!$A$2:$B$436,2,FALSE)</f>
        <v>1804710</v>
      </c>
      <c r="Q916" s="6">
        <f t="shared" si="78"/>
        <v>9</v>
      </c>
    </row>
    <row r="917" spans="1:17" x14ac:dyDescent="0.2">
      <c r="A917" s="16">
        <f t="shared" si="74"/>
        <v>1804710</v>
      </c>
      <c r="B917">
        <v>2018</v>
      </c>
      <c r="C917" t="s">
        <v>904</v>
      </c>
      <c r="D917" t="s">
        <v>906</v>
      </c>
      <c r="E917" t="s">
        <v>1823</v>
      </c>
      <c r="F917" t="s">
        <v>686</v>
      </c>
      <c r="G917" t="s">
        <v>111</v>
      </c>
      <c r="H917" s="6">
        <v>1094599</v>
      </c>
      <c r="I917" s="6">
        <v>4.6436948565504671E-3</v>
      </c>
      <c r="J917" s="6">
        <v>19354.920162102346</v>
      </c>
      <c r="K917" s="6">
        <v>5822148</v>
      </c>
      <c r="M917" s="6">
        <f t="shared" si="75"/>
        <v>1113953.9201621024</v>
      </c>
      <c r="N917" s="6">
        <f t="shared" si="76"/>
        <v>5822148</v>
      </c>
      <c r="O917" s="6">
        <f t="shared" si="77"/>
        <v>6936101.9201621022</v>
      </c>
      <c r="P917" s="8">
        <f>VLOOKUP(F917,'LEAID Match'!$A$2:$B$436,2,FALSE)</f>
        <v>1804710</v>
      </c>
      <c r="Q917" s="6">
        <f t="shared" si="78"/>
        <v>9</v>
      </c>
    </row>
    <row r="918" spans="1:17" x14ac:dyDescent="0.2">
      <c r="A918" s="16">
        <f t="shared" si="74"/>
        <v>1804710</v>
      </c>
      <c r="B918">
        <v>2019</v>
      </c>
      <c r="C918" t="s">
        <v>904</v>
      </c>
      <c r="D918" t="s">
        <v>906</v>
      </c>
      <c r="E918" t="s">
        <v>1824</v>
      </c>
      <c r="F918" t="s">
        <v>686</v>
      </c>
      <c r="G918" t="s">
        <v>111</v>
      </c>
      <c r="H918" s="6">
        <v>1118993</v>
      </c>
      <c r="I918" s="6">
        <v>2.8467121232196796E-3</v>
      </c>
      <c r="J918" s="6">
        <v>9977.7259918849777</v>
      </c>
      <c r="K918" s="6">
        <v>2687011.5731070498</v>
      </c>
      <c r="M918" s="6">
        <f t="shared" si="75"/>
        <v>1128970.7259918849</v>
      </c>
      <c r="N918" s="6">
        <f t="shared" si="76"/>
        <v>2687011.5731070498</v>
      </c>
      <c r="O918" s="6">
        <f t="shared" si="77"/>
        <v>3815982.299098935</v>
      </c>
      <c r="P918" s="8">
        <f>VLOOKUP(F918,'LEAID Match'!$A$2:$B$436,2,FALSE)</f>
        <v>1804710</v>
      </c>
      <c r="Q918" s="6">
        <f t="shared" si="78"/>
        <v>9</v>
      </c>
    </row>
    <row r="919" spans="1:17" x14ac:dyDescent="0.2">
      <c r="A919" s="16">
        <f t="shared" si="74"/>
        <v>1804710</v>
      </c>
      <c r="B919">
        <v>2020</v>
      </c>
      <c r="C919" t="s">
        <v>904</v>
      </c>
      <c r="D919" t="s">
        <v>906</v>
      </c>
      <c r="E919" t="s">
        <v>1825</v>
      </c>
      <c r="F919" t="s">
        <v>686</v>
      </c>
      <c r="G919" t="s">
        <v>111</v>
      </c>
      <c r="H919" s="6">
        <v>834690</v>
      </c>
      <c r="I919" s="6">
        <v>4.4227783347838192E-3</v>
      </c>
      <c r="J919" s="6">
        <v>10420.065756750679</v>
      </c>
      <c r="K919" s="6">
        <v>6130271</v>
      </c>
      <c r="M919" s="6">
        <f t="shared" si="75"/>
        <v>845110.06575675064</v>
      </c>
      <c r="N919" s="6">
        <f t="shared" si="76"/>
        <v>6130271</v>
      </c>
      <c r="O919" s="6">
        <f t="shared" si="77"/>
        <v>6975381.0657567503</v>
      </c>
      <c r="P919" s="8">
        <f>VLOOKUP(F919,'LEAID Match'!$A$2:$B$436,2,FALSE)</f>
        <v>1804710</v>
      </c>
      <c r="Q919" s="6">
        <f t="shared" si="78"/>
        <v>9</v>
      </c>
    </row>
    <row r="920" spans="1:17" x14ac:dyDescent="0.2">
      <c r="A920" s="16">
        <f t="shared" si="74"/>
        <v>1804710</v>
      </c>
      <c r="B920">
        <v>2021</v>
      </c>
      <c r="C920" t="s">
        <v>904</v>
      </c>
      <c r="D920" t="s">
        <v>906</v>
      </c>
      <c r="E920" t="s">
        <v>1826</v>
      </c>
      <c r="F920" t="s">
        <v>686</v>
      </c>
      <c r="G920" t="s">
        <v>111</v>
      </c>
      <c r="H920" s="6">
        <v>882435</v>
      </c>
      <c r="I920" s="6">
        <v>4.3593109655110911E-3</v>
      </c>
      <c r="J920" s="6">
        <v>9825.8869162619994</v>
      </c>
      <c r="K920" s="6">
        <v>10275314</v>
      </c>
      <c r="M920" s="6">
        <f t="shared" si="75"/>
        <v>892260.88691626198</v>
      </c>
      <c r="N920" s="6">
        <f t="shared" si="76"/>
        <v>10275314</v>
      </c>
      <c r="O920" s="6">
        <f t="shared" si="77"/>
        <v>11167574.886916261</v>
      </c>
      <c r="P920" s="8">
        <f>VLOOKUP(F920,'LEAID Match'!$A$2:$B$436,2,FALSE)</f>
        <v>1804710</v>
      </c>
      <c r="Q920" s="6">
        <f t="shared" si="78"/>
        <v>9</v>
      </c>
    </row>
    <row r="921" spans="1:17" x14ac:dyDescent="0.2">
      <c r="A921" s="16">
        <f t="shared" si="74"/>
        <v>1804710</v>
      </c>
      <c r="B921">
        <v>2022</v>
      </c>
      <c r="C921" t="s">
        <v>904</v>
      </c>
      <c r="D921" t="s">
        <v>906</v>
      </c>
      <c r="E921" t="s">
        <v>1827</v>
      </c>
      <c r="F921" t="s">
        <v>686</v>
      </c>
      <c r="G921" t="s">
        <v>111</v>
      </c>
      <c r="H921" s="6">
        <v>909351</v>
      </c>
      <c r="I921" s="6">
        <v>4.3177675519159046E-3</v>
      </c>
      <c r="J921" s="6">
        <v>9520.6774519745704</v>
      </c>
      <c r="K921" s="6">
        <v>9755957</v>
      </c>
      <c r="M921" s="6">
        <f t="shared" si="75"/>
        <v>918871.6774519746</v>
      </c>
      <c r="N921" s="6">
        <f t="shared" si="76"/>
        <v>9755957</v>
      </c>
      <c r="O921" s="6">
        <f t="shared" si="77"/>
        <v>10674828.677451974</v>
      </c>
      <c r="P921" s="8">
        <f>VLOOKUP(F921,'LEAID Match'!$A$2:$B$436,2,FALSE)</f>
        <v>1804710</v>
      </c>
      <c r="Q921" s="6">
        <f t="shared" si="78"/>
        <v>9</v>
      </c>
    </row>
    <row r="922" spans="1:17" x14ac:dyDescent="0.2">
      <c r="A922" s="16">
        <f t="shared" si="74"/>
        <v>1804710</v>
      </c>
      <c r="B922">
        <v>2023</v>
      </c>
      <c r="C922" t="s">
        <v>904</v>
      </c>
      <c r="D922" t="s">
        <v>906</v>
      </c>
      <c r="E922" t="s">
        <v>1828</v>
      </c>
      <c r="F922" t="s">
        <v>686</v>
      </c>
      <c r="G922" t="s">
        <v>111</v>
      </c>
      <c r="H922" s="6">
        <v>1039811</v>
      </c>
      <c r="I922" s="6">
        <v>4.2522556632224274E-3</v>
      </c>
      <c r="J922" s="6">
        <v>10490.314721169729</v>
      </c>
      <c r="K922" s="6">
        <v>28071698</v>
      </c>
      <c r="M922" s="6">
        <f t="shared" si="75"/>
        <v>1050301.3147211696</v>
      </c>
      <c r="N922" s="6">
        <f t="shared" si="76"/>
        <v>28071698</v>
      </c>
      <c r="O922" s="6">
        <f t="shared" si="77"/>
        <v>29121999.314721171</v>
      </c>
      <c r="P922" s="8">
        <f>VLOOKUP(F922,'LEAID Match'!$A$2:$B$436,2,FALSE)</f>
        <v>1804710</v>
      </c>
      <c r="Q922" s="6">
        <f t="shared" si="78"/>
        <v>9</v>
      </c>
    </row>
    <row r="923" spans="1:17" x14ac:dyDescent="0.2">
      <c r="A923" s="16">
        <f t="shared" si="74"/>
        <v>1800110</v>
      </c>
      <c r="B923">
        <v>2015</v>
      </c>
      <c r="C923" t="s">
        <v>904</v>
      </c>
      <c r="D923" t="s">
        <v>906</v>
      </c>
      <c r="E923" t="s">
        <v>1829</v>
      </c>
      <c r="F923" t="s">
        <v>835</v>
      </c>
      <c r="G923" t="s">
        <v>112</v>
      </c>
      <c r="H923" s="6">
        <v>10512</v>
      </c>
      <c r="I923" s="6">
        <v>5.1116776597074683E-5</v>
      </c>
      <c r="J923" s="6">
        <v>297.039588805601</v>
      </c>
      <c r="K923" s="6">
        <v>43225.164158911903</v>
      </c>
      <c r="M923" s="6">
        <f t="shared" si="75"/>
        <v>10809.039588805601</v>
      </c>
      <c r="N923" s="6">
        <f t="shared" si="76"/>
        <v>43225.164158911903</v>
      </c>
      <c r="O923" s="6">
        <f t="shared" si="77"/>
        <v>54034.203747717504</v>
      </c>
      <c r="P923" s="8">
        <f>VLOOKUP(F923,'LEAID Match'!$A$2:$B$436,2,FALSE)</f>
        <v>1800110</v>
      </c>
      <c r="Q923" s="6">
        <f t="shared" si="78"/>
        <v>9</v>
      </c>
    </row>
    <row r="924" spans="1:17" x14ac:dyDescent="0.2">
      <c r="A924" s="16">
        <f t="shared" si="74"/>
        <v>1800110</v>
      </c>
      <c r="B924">
        <v>2016</v>
      </c>
      <c r="C924" t="s">
        <v>904</v>
      </c>
      <c r="D924" t="s">
        <v>906</v>
      </c>
      <c r="E924" t="s">
        <v>1830</v>
      </c>
      <c r="F924" t="s">
        <v>835</v>
      </c>
      <c r="G924" t="s">
        <v>112</v>
      </c>
      <c r="H924" s="6">
        <v>9430</v>
      </c>
      <c r="I924" s="6">
        <v>4.3756358157289741E-5</v>
      </c>
      <c r="J924" s="6">
        <v>220.8820959779986</v>
      </c>
      <c r="K924" s="6">
        <v>38833.7678645946</v>
      </c>
      <c r="M924" s="6">
        <f t="shared" si="75"/>
        <v>9650.8820959779987</v>
      </c>
      <c r="N924" s="6">
        <f t="shared" si="76"/>
        <v>38833.7678645946</v>
      </c>
      <c r="O924" s="6">
        <f t="shared" si="77"/>
        <v>48484.649960572599</v>
      </c>
      <c r="P924" s="8">
        <f>VLOOKUP(F924,'LEAID Match'!$A$2:$B$436,2,FALSE)</f>
        <v>1800110</v>
      </c>
      <c r="Q924" s="6">
        <f t="shared" si="78"/>
        <v>9</v>
      </c>
    </row>
    <row r="925" spans="1:17" x14ac:dyDescent="0.2">
      <c r="A925" s="16">
        <f t="shared" si="74"/>
        <v>1800110</v>
      </c>
      <c r="B925">
        <v>2017</v>
      </c>
      <c r="C925" t="s">
        <v>904</v>
      </c>
      <c r="D925" t="s">
        <v>906</v>
      </c>
      <c r="E925" t="s">
        <v>1831</v>
      </c>
      <c r="F925" t="s">
        <v>835</v>
      </c>
      <c r="G925" t="s">
        <v>112</v>
      </c>
      <c r="H925" s="6">
        <v>12852</v>
      </c>
      <c r="I925" s="6">
        <v>5.6592854164032591E-5</v>
      </c>
      <c r="J925" s="6">
        <v>256.08266509224745</v>
      </c>
      <c r="K925" s="6">
        <v>49292.375976872303</v>
      </c>
      <c r="M925" s="6">
        <f t="shared" si="75"/>
        <v>13108.082665092248</v>
      </c>
      <c r="N925" s="6">
        <f t="shared" si="76"/>
        <v>49292.375976872303</v>
      </c>
      <c r="O925" s="6">
        <f t="shared" si="77"/>
        <v>62400.458641964549</v>
      </c>
      <c r="P925" s="8">
        <f>VLOOKUP(F925,'LEAID Match'!$A$2:$B$436,2,FALSE)</f>
        <v>1800110</v>
      </c>
      <c r="Q925" s="6">
        <f t="shared" si="78"/>
        <v>9</v>
      </c>
    </row>
    <row r="926" spans="1:17" x14ac:dyDescent="0.2">
      <c r="A926" s="16">
        <f t="shared" si="74"/>
        <v>1800110</v>
      </c>
      <c r="B926">
        <v>2018</v>
      </c>
      <c r="C926" t="s">
        <v>904</v>
      </c>
      <c r="D926" t="s">
        <v>906</v>
      </c>
      <c r="E926" t="s">
        <v>1832</v>
      </c>
      <c r="F926" t="s">
        <v>835</v>
      </c>
      <c r="G926" t="s">
        <v>112</v>
      </c>
      <c r="H926" s="6">
        <v>16145</v>
      </c>
      <c r="I926" s="6">
        <v>6.8493076879302183E-5</v>
      </c>
      <c r="J926" s="6">
        <v>285.47914443293149</v>
      </c>
      <c r="K926" s="6">
        <v>0</v>
      </c>
      <c r="M926" s="6">
        <f t="shared" si="75"/>
        <v>16430.479144432931</v>
      </c>
      <c r="N926" s="6">
        <f t="shared" si="76"/>
        <v>0</v>
      </c>
      <c r="O926" s="6">
        <f t="shared" si="77"/>
        <v>16430.479144432931</v>
      </c>
      <c r="P926" s="8">
        <f>VLOOKUP(F926,'LEAID Match'!$A$2:$B$436,2,FALSE)</f>
        <v>1800110</v>
      </c>
      <c r="Q926" s="6">
        <f t="shared" si="78"/>
        <v>9</v>
      </c>
    </row>
    <row r="927" spans="1:17" x14ac:dyDescent="0.2">
      <c r="A927" s="16">
        <f t="shared" si="74"/>
        <v>1800110</v>
      </c>
      <c r="B927">
        <v>2019</v>
      </c>
      <c r="C927" t="s">
        <v>904</v>
      </c>
      <c r="D927" t="s">
        <v>906</v>
      </c>
      <c r="E927" t="s">
        <v>1833</v>
      </c>
      <c r="F927" t="s">
        <v>835</v>
      </c>
      <c r="G927" t="s">
        <v>112</v>
      </c>
      <c r="H927" s="6">
        <v>16581</v>
      </c>
      <c r="I927" s="6">
        <v>4.2181974074105475E-5</v>
      </c>
      <c r="J927" s="6">
        <v>147.84781912973969</v>
      </c>
      <c r="K927" s="6">
        <v>39815.565328548102</v>
      </c>
      <c r="M927" s="6">
        <f t="shared" si="75"/>
        <v>16728.84781912974</v>
      </c>
      <c r="N927" s="6">
        <f t="shared" si="76"/>
        <v>39815.565328548102</v>
      </c>
      <c r="O927" s="6">
        <f t="shared" si="77"/>
        <v>56544.413147677842</v>
      </c>
      <c r="P927" s="8">
        <f>VLOOKUP(F927,'LEAID Match'!$A$2:$B$436,2,FALSE)</f>
        <v>1800110</v>
      </c>
      <c r="Q927" s="6">
        <f t="shared" si="78"/>
        <v>9</v>
      </c>
    </row>
    <row r="928" spans="1:17" x14ac:dyDescent="0.2">
      <c r="A928" s="16">
        <f t="shared" si="74"/>
        <v>1800110</v>
      </c>
      <c r="B928">
        <v>2020</v>
      </c>
      <c r="C928" t="s">
        <v>904</v>
      </c>
      <c r="D928" t="s">
        <v>906</v>
      </c>
      <c r="E928" t="s">
        <v>1834</v>
      </c>
      <c r="F928" t="s">
        <v>835</v>
      </c>
      <c r="G928" t="s">
        <v>112</v>
      </c>
      <c r="H928" s="6">
        <v>12481</v>
      </c>
      <c r="I928" s="6">
        <v>6.6133170873542094E-5</v>
      </c>
      <c r="J928" s="6">
        <v>155.80975057806518</v>
      </c>
      <c r="K928" s="6">
        <v>0</v>
      </c>
      <c r="M928" s="6">
        <f t="shared" si="75"/>
        <v>12636.809750578064</v>
      </c>
      <c r="N928" s="6">
        <f t="shared" si="76"/>
        <v>0</v>
      </c>
      <c r="O928" s="6">
        <f t="shared" si="77"/>
        <v>12636.809750578064</v>
      </c>
      <c r="P928" s="8">
        <f>VLOOKUP(F928,'LEAID Match'!$A$2:$B$436,2,FALSE)</f>
        <v>1800110</v>
      </c>
      <c r="Q928" s="6">
        <f t="shared" si="78"/>
        <v>9</v>
      </c>
    </row>
    <row r="929" spans="1:17" x14ac:dyDescent="0.2">
      <c r="A929" s="16">
        <f t="shared" si="74"/>
        <v>1800110</v>
      </c>
      <c r="B929">
        <v>2021</v>
      </c>
      <c r="C929" t="s">
        <v>904</v>
      </c>
      <c r="D929" t="s">
        <v>906</v>
      </c>
      <c r="E929" t="s">
        <v>1835</v>
      </c>
      <c r="F929" t="s">
        <v>835</v>
      </c>
      <c r="G929" t="s">
        <v>112</v>
      </c>
      <c r="H929" s="6">
        <v>12702</v>
      </c>
      <c r="I929" s="6">
        <v>6.2749061272413133E-5</v>
      </c>
      <c r="J929" s="6">
        <v>141.43638410801921</v>
      </c>
      <c r="K929" s="6">
        <v>0</v>
      </c>
      <c r="M929" s="6">
        <f t="shared" si="75"/>
        <v>12843.436384108019</v>
      </c>
      <c r="N929" s="6">
        <f t="shared" si="76"/>
        <v>0</v>
      </c>
      <c r="O929" s="6">
        <f t="shared" si="77"/>
        <v>12843.436384108019</v>
      </c>
      <c r="P929" s="8">
        <f>VLOOKUP(F929,'LEAID Match'!$A$2:$B$436,2,FALSE)</f>
        <v>1800110</v>
      </c>
      <c r="Q929" s="6">
        <f t="shared" si="78"/>
        <v>9</v>
      </c>
    </row>
    <row r="930" spans="1:17" x14ac:dyDescent="0.2">
      <c r="A930" s="16">
        <f t="shared" si="74"/>
        <v>1800110</v>
      </c>
      <c r="B930">
        <v>2022</v>
      </c>
      <c r="C930" t="s">
        <v>904</v>
      </c>
      <c r="D930" t="s">
        <v>906</v>
      </c>
      <c r="E930" t="s">
        <v>1836</v>
      </c>
      <c r="F930" t="s">
        <v>835</v>
      </c>
      <c r="G930" t="s">
        <v>112</v>
      </c>
      <c r="H930" s="6">
        <v>13033</v>
      </c>
      <c r="I930" s="6">
        <v>6.1883106197848777E-5</v>
      </c>
      <c r="J930" s="6">
        <v>136.45224916625656</v>
      </c>
      <c r="K930" s="6">
        <v>0</v>
      </c>
      <c r="M930" s="6">
        <f t="shared" si="75"/>
        <v>13169.452249166257</v>
      </c>
      <c r="N930" s="6">
        <f t="shared" si="76"/>
        <v>0</v>
      </c>
      <c r="O930" s="6">
        <f t="shared" si="77"/>
        <v>13169.452249166257</v>
      </c>
      <c r="P930" s="8">
        <f>VLOOKUP(F930,'LEAID Match'!$A$2:$B$436,2,FALSE)</f>
        <v>1800110</v>
      </c>
      <c r="Q930" s="6">
        <f t="shared" si="78"/>
        <v>9</v>
      </c>
    </row>
    <row r="931" spans="1:17" x14ac:dyDescent="0.2">
      <c r="A931" s="16">
        <f t="shared" si="74"/>
        <v>1800110</v>
      </c>
      <c r="B931">
        <v>2023</v>
      </c>
      <c r="C931" t="s">
        <v>904</v>
      </c>
      <c r="D931" t="s">
        <v>906</v>
      </c>
      <c r="E931" t="s">
        <v>1837</v>
      </c>
      <c r="F931" t="s">
        <v>835</v>
      </c>
      <c r="G931" t="s">
        <v>112</v>
      </c>
      <c r="H931" s="6">
        <v>19387</v>
      </c>
      <c r="I931" s="6">
        <v>7.9282177763933257E-5</v>
      </c>
      <c r="J931" s="6">
        <v>195.58913254362335</v>
      </c>
      <c r="K931" s="6">
        <v>0</v>
      </c>
      <c r="M931" s="6">
        <f t="shared" si="75"/>
        <v>19582.589132543624</v>
      </c>
      <c r="N931" s="6">
        <f t="shared" si="76"/>
        <v>0</v>
      </c>
      <c r="O931" s="6">
        <f t="shared" si="77"/>
        <v>19582.589132543624</v>
      </c>
      <c r="P931" s="8">
        <f>VLOOKUP(F931,'LEAID Match'!$A$2:$B$436,2,FALSE)</f>
        <v>1800110</v>
      </c>
      <c r="Q931" s="6">
        <f t="shared" si="78"/>
        <v>9</v>
      </c>
    </row>
    <row r="932" spans="1:17" x14ac:dyDescent="0.2">
      <c r="A932" s="16">
        <f t="shared" si="74"/>
        <v>1801230</v>
      </c>
      <c r="B932">
        <v>2015</v>
      </c>
      <c r="C932" t="s">
        <v>904</v>
      </c>
      <c r="D932" t="s">
        <v>906</v>
      </c>
      <c r="E932" t="s">
        <v>1838</v>
      </c>
      <c r="F932" t="s">
        <v>687</v>
      </c>
      <c r="G932" t="s">
        <v>113</v>
      </c>
      <c r="H932" s="6">
        <v>51986</v>
      </c>
      <c r="I932" s="6">
        <v>2.5279268913389692E-4</v>
      </c>
      <c r="J932" s="6">
        <v>1468.978316557075</v>
      </c>
      <c r="K932" s="6">
        <v>213765.54261464899</v>
      </c>
      <c r="M932" s="6">
        <f t="shared" si="75"/>
        <v>53454.978316557077</v>
      </c>
      <c r="N932" s="6">
        <f t="shared" si="76"/>
        <v>213765.54261464899</v>
      </c>
      <c r="O932" s="6">
        <f t="shared" si="77"/>
        <v>267220.52093120606</v>
      </c>
      <c r="P932" s="8">
        <f>VLOOKUP(F932,'LEAID Match'!$A$2:$B$436,2,FALSE)</f>
        <v>1801230</v>
      </c>
      <c r="Q932" s="6">
        <f t="shared" si="78"/>
        <v>9</v>
      </c>
    </row>
    <row r="933" spans="1:17" x14ac:dyDescent="0.2">
      <c r="A933" s="16">
        <f t="shared" si="74"/>
        <v>1801230</v>
      </c>
      <c r="B933">
        <v>2016</v>
      </c>
      <c r="C933" t="s">
        <v>904</v>
      </c>
      <c r="D933" t="s">
        <v>906</v>
      </c>
      <c r="E933" t="s">
        <v>1839</v>
      </c>
      <c r="F933" t="s">
        <v>687</v>
      </c>
      <c r="G933" t="s">
        <v>113</v>
      </c>
      <c r="H933" s="6">
        <v>52579</v>
      </c>
      <c r="I933" s="6">
        <v>2.4397301755590004E-4</v>
      </c>
      <c r="J933" s="6">
        <v>1231.5757926221834</v>
      </c>
      <c r="K933" s="6">
        <v>216526.05308086099</v>
      </c>
      <c r="M933" s="6">
        <f t="shared" si="75"/>
        <v>53810.575792622185</v>
      </c>
      <c r="N933" s="6">
        <f t="shared" si="76"/>
        <v>216526.05308086099</v>
      </c>
      <c r="O933" s="6">
        <f t="shared" si="77"/>
        <v>270336.62887348316</v>
      </c>
      <c r="P933" s="8">
        <f>VLOOKUP(F933,'LEAID Match'!$A$2:$B$436,2,FALSE)</f>
        <v>1801230</v>
      </c>
      <c r="Q933" s="6">
        <f t="shared" si="78"/>
        <v>9</v>
      </c>
    </row>
    <row r="934" spans="1:17" x14ac:dyDescent="0.2">
      <c r="A934" s="16">
        <f t="shared" si="74"/>
        <v>1801230</v>
      </c>
      <c r="B934">
        <v>2017</v>
      </c>
      <c r="C934" t="s">
        <v>904</v>
      </c>
      <c r="D934" t="s">
        <v>906</v>
      </c>
      <c r="E934" t="s">
        <v>1840</v>
      </c>
      <c r="F934" t="s">
        <v>687</v>
      </c>
      <c r="G934" t="s">
        <v>113</v>
      </c>
      <c r="H934" s="6">
        <v>49923</v>
      </c>
      <c r="I934" s="6">
        <v>2.1983232636406779E-4</v>
      </c>
      <c r="J934" s="6">
        <v>994.74127679740673</v>
      </c>
      <c r="K934" s="6">
        <v>191473.956263103</v>
      </c>
      <c r="M934" s="6">
        <f t="shared" si="75"/>
        <v>50917.741276797409</v>
      </c>
      <c r="N934" s="6">
        <f t="shared" si="76"/>
        <v>191473.956263103</v>
      </c>
      <c r="O934" s="6">
        <f t="shared" si="77"/>
        <v>242391.6975399004</v>
      </c>
      <c r="P934" s="8">
        <f>VLOOKUP(F934,'LEAID Match'!$A$2:$B$436,2,FALSE)</f>
        <v>1801230</v>
      </c>
      <c r="Q934" s="6">
        <f t="shared" si="78"/>
        <v>9</v>
      </c>
    </row>
    <row r="935" spans="1:17" x14ac:dyDescent="0.2">
      <c r="A935" s="16">
        <f t="shared" si="74"/>
        <v>1801230</v>
      </c>
      <c r="B935">
        <v>2018</v>
      </c>
      <c r="C935" t="s">
        <v>904</v>
      </c>
      <c r="D935" t="s">
        <v>906</v>
      </c>
      <c r="E935" t="s">
        <v>1841</v>
      </c>
      <c r="F935" t="s">
        <v>687</v>
      </c>
      <c r="G935" t="s">
        <v>113</v>
      </c>
      <c r="H935" s="6">
        <v>43865</v>
      </c>
      <c r="I935" s="6">
        <v>1.860915959932233E-4</v>
      </c>
      <c r="J935" s="6">
        <v>775.62977209975475</v>
      </c>
      <c r="K935" s="6">
        <v>263254</v>
      </c>
      <c r="M935" s="6">
        <f t="shared" si="75"/>
        <v>44640.629772099754</v>
      </c>
      <c r="N935" s="6">
        <f t="shared" si="76"/>
        <v>263254</v>
      </c>
      <c r="O935" s="6">
        <f t="shared" si="77"/>
        <v>307894.62977209978</v>
      </c>
      <c r="P935" s="8">
        <f>VLOOKUP(F935,'LEAID Match'!$A$2:$B$436,2,FALSE)</f>
        <v>1801230</v>
      </c>
      <c r="Q935" s="6">
        <f t="shared" si="78"/>
        <v>9</v>
      </c>
    </row>
    <row r="936" spans="1:17" x14ac:dyDescent="0.2">
      <c r="A936" s="16">
        <f t="shared" si="74"/>
        <v>1801230</v>
      </c>
      <c r="B936">
        <v>2019</v>
      </c>
      <c r="C936" t="s">
        <v>904</v>
      </c>
      <c r="D936" t="s">
        <v>906</v>
      </c>
      <c r="E936" t="s">
        <v>1842</v>
      </c>
      <c r="F936" t="s">
        <v>687</v>
      </c>
      <c r="G936" t="s">
        <v>113</v>
      </c>
      <c r="H936" s="6">
        <v>51738</v>
      </c>
      <c r="I936" s="6">
        <v>1.3162119140257338E-4</v>
      </c>
      <c r="J936" s="6">
        <v>461.3322758660197</v>
      </c>
      <c r="K936" s="6">
        <v>124237.24256488901</v>
      </c>
      <c r="M936" s="6">
        <f t="shared" si="75"/>
        <v>52199.332275866022</v>
      </c>
      <c r="N936" s="6">
        <f t="shared" si="76"/>
        <v>124237.24256488901</v>
      </c>
      <c r="O936" s="6">
        <f t="shared" si="77"/>
        <v>176436.57484075503</v>
      </c>
      <c r="P936" s="8">
        <f>VLOOKUP(F936,'LEAID Match'!$A$2:$B$436,2,FALSE)</f>
        <v>1801230</v>
      </c>
      <c r="Q936" s="6">
        <f t="shared" si="78"/>
        <v>9</v>
      </c>
    </row>
    <row r="937" spans="1:17" x14ac:dyDescent="0.2">
      <c r="A937" s="16">
        <f t="shared" si="74"/>
        <v>1801230</v>
      </c>
      <c r="B937">
        <v>2020</v>
      </c>
      <c r="C937" t="s">
        <v>904</v>
      </c>
      <c r="D937" t="s">
        <v>906</v>
      </c>
      <c r="E937" t="s">
        <v>1843</v>
      </c>
      <c r="F937" t="s">
        <v>687</v>
      </c>
      <c r="G937" t="s">
        <v>113</v>
      </c>
      <c r="H937" s="6">
        <v>39491</v>
      </c>
      <c r="I937" s="6">
        <v>2.0925126600168661E-4</v>
      </c>
      <c r="J937" s="6">
        <v>492.99598269997364</v>
      </c>
      <c r="K937" s="6">
        <v>277452</v>
      </c>
      <c r="M937" s="6">
        <f t="shared" si="75"/>
        <v>39983.995982699977</v>
      </c>
      <c r="N937" s="6">
        <f t="shared" si="76"/>
        <v>277452</v>
      </c>
      <c r="O937" s="6">
        <f t="shared" si="77"/>
        <v>317435.99598269997</v>
      </c>
      <c r="P937" s="8">
        <f>VLOOKUP(F937,'LEAID Match'!$A$2:$B$436,2,FALSE)</f>
        <v>1801230</v>
      </c>
      <c r="Q937" s="6">
        <f t="shared" si="78"/>
        <v>9</v>
      </c>
    </row>
    <row r="938" spans="1:17" x14ac:dyDescent="0.2">
      <c r="A938" s="16">
        <f t="shared" si="74"/>
        <v>1801230</v>
      </c>
      <c r="B938">
        <v>2021</v>
      </c>
      <c r="C938" t="s">
        <v>904</v>
      </c>
      <c r="D938" t="s">
        <v>906</v>
      </c>
      <c r="E938" t="s">
        <v>1844</v>
      </c>
      <c r="F938" t="s">
        <v>687</v>
      </c>
      <c r="G938" t="s">
        <v>113</v>
      </c>
      <c r="H938" s="6">
        <v>47092</v>
      </c>
      <c r="I938" s="6">
        <v>2.3263885950562741E-4</v>
      </c>
      <c r="J938" s="6">
        <v>524.36798932568422</v>
      </c>
      <c r="K938" s="6">
        <v>418774</v>
      </c>
      <c r="M938" s="6">
        <f t="shared" si="75"/>
        <v>47616.367989325685</v>
      </c>
      <c r="N938" s="6">
        <f t="shared" si="76"/>
        <v>418774</v>
      </c>
      <c r="O938" s="6">
        <f t="shared" si="77"/>
        <v>466390.36798932566</v>
      </c>
      <c r="P938" s="8">
        <f>VLOOKUP(F938,'LEAID Match'!$A$2:$B$436,2,FALSE)</f>
        <v>1801230</v>
      </c>
      <c r="Q938" s="6">
        <f t="shared" si="78"/>
        <v>9</v>
      </c>
    </row>
    <row r="939" spans="1:17" x14ac:dyDescent="0.2">
      <c r="A939" s="16">
        <f t="shared" si="74"/>
        <v>1801230</v>
      </c>
      <c r="B939">
        <v>2022</v>
      </c>
      <c r="C939" t="s">
        <v>904</v>
      </c>
      <c r="D939" t="s">
        <v>906</v>
      </c>
      <c r="E939" t="s">
        <v>1845</v>
      </c>
      <c r="F939" t="s">
        <v>687</v>
      </c>
      <c r="G939" t="s">
        <v>113</v>
      </c>
      <c r="H939" s="6">
        <v>47576</v>
      </c>
      <c r="I939" s="6">
        <v>2.2589969005362183E-4</v>
      </c>
      <c r="J939" s="6">
        <v>498.10881656823614</v>
      </c>
      <c r="K939" s="6">
        <v>424967</v>
      </c>
      <c r="M939" s="6">
        <f t="shared" si="75"/>
        <v>48074.108816568238</v>
      </c>
      <c r="N939" s="6">
        <f t="shared" si="76"/>
        <v>424967</v>
      </c>
      <c r="O939" s="6">
        <f t="shared" si="77"/>
        <v>473041.10881656822</v>
      </c>
      <c r="P939" s="8">
        <f>VLOOKUP(F939,'LEAID Match'!$A$2:$B$436,2,FALSE)</f>
        <v>1801230</v>
      </c>
      <c r="Q939" s="6">
        <f t="shared" si="78"/>
        <v>9</v>
      </c>
    </row>
    <row r="940" spans="1:17" x14ac:dyDescent="0.2">
      <c r="A940" s="16">
        <f t="shared" si="74"/>
        <v>1801230</v>
      </c>
      <c r="B940">
        <v>2023</v>
      </c>
      <c r="C940" t="s">
        <v>904</v>
      </c>
      <c r="D940" t="s">
        <v>906</v>
      </c>
      <c r="E940" t="s">
        <v>1846</v>
      </c>
      <c r="F940" t="s">
        <v>687</v>
      </c>
      <c r="G940" t="s">
        <v>113</v>
      </c>
      <c r="H940" s="6">
        <v>55752</v>
      </c>
      <c r="I940" s="6">
        <v>2.279950469229281E-4</v>
      </c>
      <c r="J940" s="6">
        <v>562.46378075886366</v>
      </c>
      <c r="K940" s="6">
        <v>867328</v>
      </c>
      <c r="M940" s="6">
        <f t="shared" si="75"/>
        <v>56314.463780758866</v>
      </c>
      <c r="N940" s="6">
        <f t="shared" si="76"/>
        <v>867328</v>
      </c>
      <c r="O940" s="6">
        <f t="shared" si="77"/>
        <v>923642.4637807589</v>
      </c>
      <c r="P940" s="8">
        <f>VLOOKUP(F940,'LEAID Match'!$A$2:$B$436,2,FALSE)</f>
        <v>1801230</v>
      </c>
      <c r="Q940" s="6">
        <f t="shared" si="78"/>
        <v>9</v>
      </c>
    </row>
    <row r="941" spans="1:17" x14ac:dyDescent="0.2">
      <c r="A941" s="16">
        <f t="shared" si="74"/>
        <v>1812060</v>
      </c>
      <c r="B941">
        <v>2015</v>
      </c>
      <c r="C941" t="s">
        <v>904</v>
      </c>
      <c r="D941" t="s">
        <v>906</v>
      </c>
      <c r="E941" t="s">
        <v>1847</v>
      </c>
      <c r="F941" t="s">
        <v>688</v>
      </c>
      <c r="G941" t="s">
        <v>114</v>
      </c>
      <c r="H941" s="6">
        <v>106225</v>
      </c>
      <c r="I941" s="6">
        <v>5.1654105727019198E-4</v>
      </c>
      <c r="J941" s="6">
        <v>3001.6200837970855</v>
      </c>
      <c r="K941" s="6">
        <v>436795.38268459</v>
      </c>
      <c r="M941" s="6">
        <f t="shared" si="75"/>
        <v>109226.62008379708</v>
      </c>
      <c r="N941" s="6">
        <f t="shared" si="76"/>
        <v>436795.38268459</v>
      </c>
      <c r="O941" s="6">
        <f t="shared" si="77"/>
        <v>546022.00276838709</v>
      </c>
      <c r="P941" s="8">
        <f>VLOOKUP(F941,'LEAID Match'!$A$2:$B$436,2,FALSE)</f>
        <v>1812060</v>
      </c>
      <c r="Q941" s="6">
        <f t="shared" si="78"/>
        <v>9</v>
      </c>
    </row>
    <row r="942" spans="1:17" x14ac:dyDescent="0.2">
      <c r="A942" s="16">
        <f t="shared" si="74"/>
        <v>1812060</v>
      </c>
      <c r="B942">
        <v>2016</v>
      </c>
      <c r="C942" t="s">
        <v>904</v>
      </c>
      <c r="D942" t="s">
        <v>906</v>
      </c>
      <c r="E942" t="s">
        <v>1848</v>
      </c>
      <c r="F942" t="s">
        <v>688</v>
      </c>
      <c r="G942" t="s">
        <v>114</v>
      </c>
      <c r="H942" s="6">
        <v>99153</v>
      </c>
      <c r="I942" s="6">
        <v>4.6008209760018553E-4</v>
      </c>
      <c r="J942" s="6">
        <v>2322.4944286857367</v>
      </c>
      <c r="K942" s="6">
        <v>408322.86162016401</v>
      </c>
      <c r="M942" s="6">
        <f t="shared" si="75"/>
        <v>101475.49442868574</v>
      </c>
      <c r="N942" s="6">
        <f t="shared" si="76"/>
        <v>408322.86162016401</v>
      </c>
      <c r="O942" s="6">
        <f t="shared" si="77"/>
        <v>509798.35604884976</v>
      </c>
      <c r="P942" s="8">
        <f>VLOOKUP(F942,'LEAID Match'!$A$2:$B$436,2,FALSE)</f>
        <v>1812060</v>
      </c>
      <c r="Q942" s="6">
        <f t="shared" si="78"/>
        <v>9</v>
      </c>
    </row>
    <row r="943" spans="1:17" x14ac:dyDescent="0.2">
      <c r="A943" s="16">
        <f t="shared" si="74"/>
        <v>1812060</v>
      </c>
      <c r="B943">
        <v>2017</v>
      </c>
      <c r="C943" t="s">
        <v>904</v>
      </c>
      <c r="D943" t="s">
        <v>906</v>
      </c>
      <c r="E943" t="s">
        <v>1849</v>
      </c>
      <c r="F943" t="s">
        <v>688</v>
      </c>
      <c r="G943" t="s">
        <v>114</v>
      </c>
      <c r="H943" s="6">
        <v>92700</v>
      </c>
      <c r="I943" s="6">
        <v>4.0819775762572529E-4</v>
      </c>
      <c r="J943" s="6">
        <v>1847.0948532564069</v>
      </c>
      <c r="K943" s="6">
        <v>355540.24689200602</v>
      </c>
      <c r="M943" s="6">
        <f t="shared" si="75"/>
        <v>94547.094853256407</v>
      </c>
      <c r="N943" s="6">
        <f t="shared" si="76"/>
        <v>355540.24689200602</v>
      </c>
      <c r="O943" s="6">
        <f t="shared" si="77"/>
        <v>450087.34174526244</v>
      </c>
      <c r="P943" s="8">
        <f>VLOOKUP(F943,'LEAID Match'!$A$2:$B$436,2,FALSE)</f>
        <v>1812060</v>
      </c>
      <c r="Q943" s="6">
        <f t="shared" si="78"/>
        <v>9</v>
      </c>
    </row>
    <row r="944" spans="1:17" x14ac:dyDescent="0.2">
      <c r="A944" s="16">
        <f t="shared" si="74"/>
        <v>1812060</v>
      </c>
      <c r="B944">
        <v>2018</v>
      </c>
      <c r="C944" t="s">
        <v>904</v>
      </c>
      <c r="D944" t="s">
        <v>906</v>
      </c>
      <c r="E944" t="s">
        <v>1850</v>
      </c>
      <c r="F944" t="s">
        <v>688</v>
      </c>
      <c r="G944" t="s">
        <v>114</v>
      </c>
      <c r="H944" s="6">
        <v>85877</v>
      </c>
      <c r="I944" s="6">
        <v>3.6432207885808818E-4</v>
      </c>
      <c r="J944" s="6">
        <v>1518.4944246805114</v>
      </c>
      <c r="K944" s="6">
        <v>466293</v>
      </c>
      <c r="M944" s="6">
        <f t="shared" si="75"/>
        <v>87395.49442468051</v>
      </c>
      <c r="N944" s="6">
        <f t="shared" si="76"/>
        <v>466293</v>
      </c>
      <c r="O944" s="6">
        <f t="shared" si="77"/>
        <v>553688.49442468048</v>
      </c>
      <c r="P944" s="8">
        <f>VLOOKUP(F944,'LEAID Match'!$A$2:$B$436,2,FALSE)</f>
        <v>1812060</v>
      </c>
      <c r="Q944" s="6">
        <f t="shared" si="78"/>
        <v>9</v>
      </c>
    </row>
    <row r="945" spans="1:17" x14ac:dyDescent="0.2">
      <c r="A945" s="16">
        <f t="shared" si="74"/>
        <v>1812060</v>
      </c>
      <c r="B945">
        <v>2019</v>
      </c>
      <c r="C945" t="s">
        <v>904</v>
      </c>
      <c r="D945" t="s">
        <v>906</v>
      </c>
      <c r="E945" t="s">
        <v>1851</v>
      </c>
      <c r="F945" t="s">
        <v>688</v>
      </c>
      <c r="G945" t="s">
        <v>114</v>
      </c>
      <c r="H945" s="6">
        <v>83839</v>
      </c>
      <c r="I945" s="6">
        <v>2.1328596130504367E-4</v>
      </c>
      <c r="J945" s="6">
        <v>747.567294374178</v>
      </c>
      <c r="K945" s="6">
        <v>201320.61887583</v>
      </c>
      <c r="M945" s="6">
        <f t="shared" si="75"/>
        <v>84586.567294374181</v>
      </c>
      <c r="N945" s="6">
        <f t="shared" si="76"/>
        <v>201320.61887583</v>
      </c>
      <c r="O945" s="6">
        <f t="shared" si="77"/>
        <v>285907.18617020419</v>
      </c>
      <c r="P945" s="8">
        <f>VLOOKUP(F945,'LEAID Match'!$A$2:$B$436,2,FALSE)</f>
        <v>1812060</v>
      </c>
      <c r="Q945" s="6">
        <f t="shared" si="78"/>
        <v>9</v>
      </c>
    </row>
    <row r="946" spans="1:17" x14ac:dyDescent="0.2">
      <c r="A946" s="16">
        <f t="shared" si="74"/>
        <v>1812060</v>
      </c>
      <c r="B946">
        <v>2020</v>
      </c>
      <c r="C946" t="s">
        <v>904</v>
      </c>
      <c r="D946" t="s">
        <v>906</v>
      </c>
      <c r="E946" t="s">
        <v>1852</v>
      </c>
      <c r="F946" t="s">
        <v>688</v>
      </c>
      <c r="G946" t="s">
        <v>114</v>
      </c>
      <c r="H946" s="6">
        <v>61351</v>
      </c>
      <c r="I946" s="6">
        <v>3.2508101644601243E-4</v>
      </c>
      <c r="J946" s="6">
        <v>765.89087474680525</v>
      </c>
      <c r="K946" s="6">
        <v>482070</v>
      </c>
      <c r="M946" s="6">
        <f t="shared" si="75"/>
        <v>62116.890874746809</v>
      </c>
      <c r="N946" s="6">
        <f t="shared" si="76"/>
        <v>482070</v>
      </c>
      <c r="O946" s="6">
        <f t="shared" si="77"/>
        <v>544186.89087474684</v>
      </c>
      <c r="P946" s="8">
        <f>VLOOKUP(F946,'LEAID Match'!$A$2:$B$436,2,FALSE)</f>
        <v>1812060</v>
      </c>
      <c r="Q946" s="6">
        <f t="shared" si="78"/>
        <v>9</v>
      </c>
    </row>
    <row r="947" spans="1:17" x14ac:dyDescent="0.2">
      <c r="A947" s="16">
        <f t="shared" si="74"/>
        <v>1812060</v>
      </c>
      <c r="B947">
        <v>2021</v>
      </c>
      <c r="C947" t="s">
        <v>904</v>
      </c>
      <c r="D947" t="s">
        <v>906</v>
      </c>
      <c r="E947" t="s">
        <v>1853</v>
      </c>
      <c r="F947" t="s">
        <v>688</v>
      </c>
      <c r="G947" t="s">
        <v>114</v>
      </c>
      <c r="H947" s="6">
        <v>65244</v>
      </c>
      <c r="I947" s="6">
        <v>3.223114276222109E-4</v>
      </c>
      <c r="J947" s="6">
        <v>726.48995786046339</v>
      </c>
      <c r="K947" s="6">
        <v>782564</v>
      </c>
      <c r="M947" s="6">
        <f t="shared" si="75"/>
        <v>65970.489957860467</v>
      </c>
      <c r="N947" s="6">
        <f t="shared" si="76"/>
        <v>782564</v>
      </c>
      <c r="O947" s="6">
        <f t="shared" si="77"/>
        <v>848534.48995786044</v>
      </c>
      <c r="P947" s="8">
        <f>VLOOKUP(F947,'LEAID Match'!$A$2:$B$436,2,FALSE)</f>
        <v>1812060</v>
      </c>
      <c r="Q947" s="6">
        <f t="shared" si="78"/>
        <v>9</v>
      </c>
    </row>
    <row r="948" spans="1:17" x14ac:dyDescent="0.2">
      <c r="A948" s="16">
        <f t="shared" si="74"/>
        <v>1812060</v>
      </c>
      <c r="B948">
        <v>2022</v>
      </c>
      <c r="C948" t="s">
        <v>904</v>
      </c>
      <c r="D948" t="s">
        <v>906</v>
      </c>
      <c r="E948" t="s">
        <v>1854</v>
      </c>
      <c r="F948" t="s">
        <v>688</v>
      </c>
      <c r="G948" t="s">
        <v>114</v>
      </c>
      <c r="H948" s="6">
        <v>71144</v>
      </c>
      <c r="I948" s="6">
        <v>3.3780493419318297E-4</v>
      </c>
      <c r="J948" s="6">
        <v>744.85987989596845</v>
      </c>
      <c r="K948" s="6">
        <v>776911</v>
      </c>
      <c r="M948" s="6">
        <f t="shared" si="75"/>
        <v>71888.859879895972</v>
      </c>
      <c r="N948" s="6">
        <f t="shared" si="76"/>
        <v>776911</v>
      </c>
      <c r="O948" s="6">
        <f t="shared" si="77"/>
        <v>848799.85987989593</v>
      </c>
      <c r="P948" s="8">
        <f>VLOOKUP(F948,'LEAID Match'!$A$2:$B$436,2,FALSE)</f>
        <v>1812060</v>
      </c>
      <c r="Q948" s="6">
        <f t="shared" si="78"/>
        <v>9</v>
      </c>
    </row>
    <row r="949" spans="1:17" x14ac:dyDescent="0.2">
      <c r="A949" s="16">
        <f t="shared" si="74"/>
        <v>1812060</v>
      </c>
      <c r="B949">
        <v>2023</v>
      </c>
      <c r="C949" t="s">
        <v>904</v>
      </c>
      <c r="D949" t="s">
        <v>906</v>
      </c>
      <c r="E949" t="s">
        <v>1855</v>
      </c>
      <c r="F949" t="s">
        <v>688</v>
      </c>
      <c r="G949" t="s">
        <v>114</v>
      </c>
      <c r="H949" s="6">
        <v>84720</v>
      </c>
      <c r="I949" s="6">
        <v>3.4645825038223687E-4</v>
      </c>
      <c r="J949" s="6">
        <v>854.71250369297832</v>
      </c>
      <c r="K949" s="6">
        <v>1951065</v>
      </c>
      <c r="M949" s="6">
        <f t="shared" si="75"/>
        <v>85574.712503692979</v>
      </c>
      <c r="N949" s="6">
        <f t="shared" si="76"/>
        <v>1951065</v>
      </c>
      <c r="O949" s="6">
        <f t="shared" si="77"/>
        <v>2036639.7125036931</v>
      </c>
      <c r="P949" s="8">
        <f>VLOOKUP(F949,'LEAID Match'!$A$2:$B$436,2,FALSE)</f>
        <v>1812060</v>
      </c>
      <c r="Q949" s="6">
        <f t="shared" si="78"/>
        <v>9</v>
      </c>
    </row>
    <row r="950" spans="1:17" x14ac:dyDescent="0.2">
      <c r="A950" s="16">
        <f t="shared" si="74"/>
        <v>1810080</v>
      </c>
      <c r="B950">
        <v>2015</v>
      </c>
      <c r="C950" t="s">
        <v>904</v>
      </c>
      <c r="D950" t="s">
        <v>906</v>
      </c>
      <c r="E950" t="s">
        <v>1856</v>
      </c>
      <c r="F950" t="s">
        <v>689</v>
      </c>
      <c r="G950" t="s">
        <v>115</v>
      </c>
      <c r="H950" s="6">
        <v>907575</v>
      </c>
      <c r="I950" s="6">
        <v>4.4132713584560555E-3</v>
      </c>
      <c r="J950" s="6">
        <v>25645.519863988138</v>
      </c>
      <c r="K950" s="6">
        <v>3731932.87305217</v>
      </c>
      <c r="M950" s="6">
        <f t="shared" si="75"/>
        <v>933220.51986398816</v>
      </c>
      <c r="N950" s="6">
        <f t="shared" si="76"/>
        <v>3731932.87305217</v>
      </c>
      <c r="O950" s="6">
        <f t="shared" si="77"/>
        <v>4665153.3929161578</v>
      </c>
      <c r="P950" s="8">
        <f>VLOOKUP(F950,'LEAID Match'!$A$2:$B$436,2,FALSE)</f>
        <v>1810080</v>
      </c>
      <c r="Q950" s="6">
        <f t="shared" si="78"/>
        <v>9</v>
      </c>
    </row>
    <row r="951" spans="1:17" x14ac:dyDescent="0.2">
      <c r="A951" s="16">
        <f t="shared" si="74"/>
        <v>1810080</v>
      </c>
      <c r="B951">
        <v>2016</v>
      </c>
      <c r="C951" t="s">
        <v>904</v>
      </c>
      <c r="D951" t="s">
        <v>906</v>
      </c>
      <c r="E951" t="s">
        <v>1857</v>
      </c>
      <c r="F951" t="s">
        <v>689</v>
      </c>
      <c r="G951" t="s">
        <v>115</v>
      </c>
      <c r="H951" s="6">
        <v>1011756</v>
      </c>
      <c r="I951" s="6">
        <v>4.6946721000834402E-3</v>
      </c>
      <c r="J951" s="6">
        <v>23698.704761221205</v>
      </c>
      <c r="K951" s="6">
        <v>4166521.4888240499</v>
      </c>
      <c r="M951" s="6">
        <f t="shared" si="75"/>
        <v>1035454.7047612212</v>
      </c>
      <c r="N951" s="6">
        <f t="shared" si="76"/>
        <v>4166521.4888240499</v>
      </c>
      <c r="O951" s="6">
        <f t="shared" si="77"/>
        <v>5201976.193585271</v>
      </c>
      <c r="P951" s="8">
        <f>VLOOKUP(F951,'LEAID Match'!$A$2:$B$436,2,FALSE)</f>
        <v>1810080</v>
      </c>
      <c r="Q951" s="6">
        <f t="shared" si="78"/>
        <v>9</v>
      </c>
    </row>
    <row r="952" spans="1:17" x14ac:dyDescent="0.2">
      <c r="A952" s="16">
        <f t="shared" si="74"/>
        <v>1810080</v>
      </c>
      <c r="B952">
        <v>2017</v>
      </c>
      <c r="C952" t="s">
        <v>904</v>
      </c>
      <c r="D952" t="s">
        <v>906</v>
      </c>
      <c r="E952" t="s">
        <v>1858</v>
      </c>
      <c r="F952" t="s">
        <v>689</v>
      </c>
      <c r="G952" t="s">
        <v>115</v>
      </c>
      <c r="H952" s="6">
        <v>1074810</v>
      </c>
      <c r="I952" s="6">
        <v>4.7328482402773011E-3</v>
      </c>
      <c r="J952" s="6">
        <v>21416.138287254787</v>
      </c>
      <c r="K952" s="6">
        <v>4122310.81728152</v>
      </c>
      <c r="M952" s="6">
        <f t="shared" si="75"/>
        <v>1096226.1382872548</v>
      </c>
      <c r="N952" s="6">
        <f t="shared" si="76"/>
        <v>4122310.81728152</v>
      </c>
      <c r="O952" s="6">
        <f t="shared" si="77"/>
        <v>5218536.9555687746</v>
      </c>
      <c r="P952" s="8">
        <f>VLOOKUP(F952,'LEAID Match'!$A$2:$B$436,2,FALSE)</f>
        <v>1810080</v>
      </c>
      <c r="Q952" s="6">
        <f t="shared" si="78"/>
        <v>9</v>
      </c>
    </row>
    <row r="953" spans="1:17" x14ac:dyDescent="0.2">
      <c r="A953" s="16">
        <f t="shared" si="74"/>
        <v>1810080</v>
      </c>
      <c r="B953">
        <v>2018</v>
      </c>
      <c r="C953" t="s">
        <v>904</v>
      </c>
      <c r="D953" t="s">
        <v>906</v>
      </c>
      <c r="E953" t="s">
        <v>1859</v>
      </c>
      <c r="F953" t="s">
        <v>689</v>
      </c>
      <c r="G953" t="s">
        <v>115</v>
      </c>
      <c r="H953" s="6">
        <v>1100035</v>
      </c>
      <c r="I953" s="6">
        <v>4.6667563843247554E-3</v>
      </c>
      <c r="J953" s="6">
        <v>19451.04060986558</v>
      </c>
      <c r="K953" s="6">
        <v>3532722</v>
      </c>
      <c r="M953" s="6">
        <f t="shared" si="75"/>
        <v>1119486.0406098657</v>
      </c>
      <c r="N953" s="6">
        <f t="shared" si="76"/>
        <v>3532722</v>
      </c>
      <c r="O953" s="6">
        <f t="shared" si="77"/>
        <v>4652208.0406098654</v>
      </c>
      <c r="P953" s="8">
        <f>VLOOKUP(F953,'LEAID Match'!$A$2:$B$436,2,FALSE)</f>
        <v>1810080</v>
      </c>
      <c r="Q953" s="6">
        <f t="shared" si="78"/>
        <v>9</v>
      </c>
    </row>
    <row r="954" spans="1:17" x14ac:dyDescent="0.2">
      <c r="A954" s="16">
        <f t="shared" si="74"/>
        <v>1810080</v>
      </c>
      <c r="B954">
        <v>2019</v>
      </c>
      <c r="C954" t="s">
        <v>904</v>
      </c>
      <c r="D954" t="s">
        <v>906</v>
      </c>
      <c r="E954" t="s">
        <v>1860</v>
      </c>
      <c r="F954" t="s">
        <v>689</v>
      </c>
      <c r="G954" t="s">
        <v>115</v>
      </c>
      <c r="H954" s="6">
        <v>1128398</v>
      </c>
      <c r="I954" s="6">
        <v>2.8706383922123199E-3</v>
      </c>
      <c r="J954" s="6">
        <v>10061.587564704181</v>
      </c>
      <c r="K954" s="6">
        <v>2709595.5784092001</v>
      </c>
      <c r="M954" s="6">
        <f t="shared" si="75"/>
        <v>1138459.5875647042</v>
      </c>
      <c r="N954" s="6">
        <f t="shared" si="76"/>
        <v>2709595.5784092001</v>
      </c>
      <c r="O954" s="6">
        <f t="shared" si="77"/>
        <v>3848055.1659739045</v>
      </c>
      <c r="P954" s="8">
        <f>VLOOKUP(F954,'LEAID Match'!$A$2:$B$436,2,FALSE)</f>
        <v>1810080</v>
      </c>
      <c r="Q954" s="6">
        <f t="shared" si="78"/>
        <v>9</v>
      </c>
    </row>
    <row r="955" spans="1:17" x14ac:dyDescent="0.2">
      <c r="A955" s="16">
        <f t="shared" si="74"/>
        <v>1810080</v>
      </c>
      <c r="B955">
        <v>2020</v>
      </c>
      <c r="C955" t="s">
        <v>904</v>
      </c>
      <c r="D955" t="s">
        <v>906</v>
      </c>
      <c r="E955" t="s">
        <v>1861</v>
      </c>
      <c r="F955" t="s">
        <v>689</v>
      </c>
      <c r="G955" t="s">
        <v>115</v>
      </c>
      <c r="H955" s="6">
        <v>885497</v>
      </c>
      <c r="I955" s="6">
        <v>4.6919897771820285E-3</v>
      </c>
      <c r="J955" s="6">
        <v>11054.32791504086</v>
      </c>
      <c r="K955" s="6">
        <v>3824900</v>
      </c>
      <c r="M955" s="6">
        <f t="shared" si="75"/>
        <v>896551.32791504089</v>
      </c>
      <c r="N955" s="6">
        <f t="shared" si="76"/>
        <v>3824900</v>
      </c>
      <c r="O955" s="6">
        <f t="shared" si="77"/>
        <v>4721451.3279150408</v>
      </c>
      <c r="P955" s="8">
        <f>VLOOKUP(F955,'LEAID Match'!$A$2:$B$436,2,FALSE)</f>
        <v>1810080</v>
      </c>
      <c r="Q955" s="6">
        <f t="shared" si="78"/>
        <v>9</v>
      </c>
    </row>
    <row r="956" spans="1:17" x14ac:dyDescent="0.2">
      <c r="A956" s="16">
        <f t="shared" si="74"/>
        <v>1810080</v>
      </c>
      <c r="B956">
        <v>2021</v>
      </c>
      <c r="C956" t="s">
        <v>904</v>
      </c>
      <c r="D956" t="s">
        <v>906</v>
      </c>
      <c r="E956" t="s">
        <v>1862</v>
      </c>
      <c r="F956" t="s">
        <v>689</v>
      </c>
      <c r="G956" t="s">
        <v>115</v>
      </c>
      <c r="H956" s="6">
        <v>913867</v>
      </c>
      <c r="I956" s="6">
        <v>4.5145879686534695E-3</v>
      </c>
      <c r="J956" s="6">
        <v>10175.88128134492</v>
      </c>
      <c r="K956" s="6">
        <v>6534157</v>
      </c>
      <c r="M956" s="6">
        <f t="shared" si="75"/>
        <v>924042.88128134492</v>
      </c>
      <c r="N956" s="6">
        <f t="shared" si="76"/>
        <v>6534157</v>
      </c>
      <c r="O956" s="6">
        <f t="shared" si="77"/>
        <v>7458199.8812813452</v>
      </c>
      <c r="P956" s="8">
        <f>VLOOKUP(F956,'LEAID Match'!$A$2:$B$436,2,FALSE)</f>
        <v>1810080</v>
      </c>
      <c r="Q956" s="6">
        <f t="shared" si="78"/>
        <v>9</v>
      </c>
    </row>
    <row r="957" spans="1:17" x14ac:dyDescent="0.2">
      <c r="A957" s="16">
        <f t="shared" si="74"/>
        <v>1810080</v>
      </c>
      <c r="B957">
        <v>2022</v>
      </c>
      <c r="C957" t="s">
        <v>904</v>
      </c>
      <c r="D957" t="s">
        <v>906</v>
      </c>
      <c r="E957" t="s">
        <v>1863</v>
      </c>
      <c r="F957" t="s">
        <v>689</v>
      </c>
      <c r="G957" t="s">
        <v>115</v>
      </c>
      <c r="H957" s="6">
        <v>1033285</v>
      </c>
      <c r="I957" s="6">
        <v>4.9062292171905292E-3</v>
      </c>
      <c r="J957" s="6">
        <v>10818.235423905116</v>
      </c>
      <c r="K957" s="6">
        <v>6249084</v>
      </c>
      <c r="M957" s="6">
        <f t="shared" si="75"/>
        <v>1044103.2354239051</v>
      </c>
      <c r="N957" s="6">
        <f t="shared" si="76"/>
        <v>6249084</v>
      </c>
      <c r="O957" s="6">
        <f t="shared" si="77"/>
        <v>7293187.2354239048</v>
      </c>
      <c r="P957" s="8">
        <f>VLOOKUP(F957,'LEAID Match'!$A$2:$B$436,2,FALSE)</f>
        <v>1810080</v>
      </c>
      <c r="Q957" s="6">
        <f t="shared" si="78"/>
        <v>9</v>
      </c>
    </row>
    <row r="958" spans="1:17" x14ac:dyDescent="0.2">
      <c r="A958" s="16">
        <f t="shared" si="74"/>
        <v>1810080</v>
      </c>
      <c r="B958">
        <v>2023</v>
      </c>
      <c r="C958" t="s">
        <v>904</v>
      </c>
      <c r="D958" t="s">
        <v>906</v>
      </c>
      <c r="E958" t="s">
        <v>1864</v>
      </c>
      <c r="F958" t="s">
        <v>689</v>
      </c>
      <c r="G958" t="s">
        <v>115</v>
      </c>
      <c r="H958" s="6">
        <v>1164817</v>
      </c>
      <c r="I958" s="6">
        <v>4.7634615183603166E-3</v>
      </c>
      <c r="J958" s="6">
        <v>11751.459565794901</v>
      </c>
      <c r="K958" s="6">
        <v>18481964</v>
      </c>
      <c r="M958" s="6">
        <f t="shared" si="75"/>
        <v>1176568.4595657948</v>
      </c>
      <c r="N958" s="6">
        <f t="shared" si="76"/>
        <v>18481964</v>
      </c>
      <c r="O958" s="6">
        <f t="shared" si="77"/>
        <v>19658532.459565796</v>
      </c>
      <c r="P958" s="8">
        <f>VLOOKUP(F958,'LEAID Match'!$A$2:$B$436,2,FALSE)</f>
        <v>1810080</v>
      </c>
      <c r="Q958" s="6">
        <f t="shared" si="78"/>
        <v>9</v>
      </c>
    </row>
    <row r="959" spans="1:17" x14ac:dyDescent="0.2">
      <c r="A959" s="16">
        <f t="shared" si="74"/>
        <v>1801050</v>
      </c>
      <c r="B959">
        <v>2015</v>
      </c>
      <c r="C959" t="s">
        <v>904</v>
      </c>
      <c r="D959" t="s">
        <v>906</v>
      </c>
      <c r="E959" t="s">
        <v>1865</v>
      </c>
      <c r="F959" t="s">
        <v>690</v>
      </c>
      <c r="G959" t="s">
        <v>116</v>
      </c>
      <c r="H959" s="6">
        <v>288618</v>
      </c>
      <c r="I959" s="6">
        <v>1.4034647857586093E-3</v>
      </c>
      <c r="J959" s="6">
        <v>8155.5338700432785</v>
      </c>
      <c r="K959" s="6">
        <v>1186792.27827405</v>
      </c>
      <c r="M959" s="6">
        <f t="shared" si="75"/>
        <v>296773.53387004329</v>
      </c>
      <c r="N959" s="6">
        <f t="shared" si="76"/>
        <v>1186792.27827405</v>
      </c>
      <c r="O959" s="6">
        <f t="shared" si="77"/>
        <v>1483565.8121440932</v>
      </c>
      <c r="P959" s="8">
        <f>VLOOKUP(F959,'LEAID Match'!$A$2:$B$436,2,FALSE)</f>
        <v>1801050</v>
      </c>
      <c r="Q959" s="6">
        <f t="shared" si="78"/>
        <v>9</v>
      </c>
    </row>
    <row r="960" spans="1:17" x14ac:dyDescent="0.2">
      <c r="A960" s="16">
        <f t="shared" si="74"/>
        <v>1801050</v>
      </c>
      <c r="B960">
        <v>2016</v>
      </c>
      <c r="C960" t="s">
        <v>904</v>
      </c>
      <c r="D960" t="s">
        <v>906</v>
      </c>
      <c r="E960" t="s">
        <v>1866</v>
      </c>
      <c r="F960" t="s">
        <v>690</v>
      </c>
      <c r="G960" t="s">
        <v>116</v>
      </c>
      <c r="H960" s="6">
        <v>324325</v>
      </c>
      <c r="I960" s="6">
        <v>1.504907832382078E-3</v>
      </c>
      <c r="J960" s="6">
        <v>7596.77473786473</v>
      </c>
      <c r="K960" s="6">
        <v>1335605.7012390899</v>
      </c>
      <c r="M960" s="6">
        <f t="shared" si="75"/>
        <v>331921.77473786473</v>
      </c>
      <c r="N960" s="6">
        <f t="shared" si="76"/>
        <v>1335605.7012390899</v>
      </c>
      <c r="O960" s="6">
        <f t="shared" si="77"/>
        <v>1667527.4759769547</v>
      </c>
      <c r="P960" s="8">
        <f>VLOOKUP(F960,'LEAID Match'!$A$2:$B$436,2,FALSE)</f>
        <v>1801050</v>
      </c>
      <c r="Q960" s="6">
        <f t="shared" si="78"/>
        <v>9</v>
      </c>
    </row>
    <row r="961" spans="1:17" x14ac:dyDescent="0.2">
      <c r="A961" s="16">
        <f t="shared" si="74"/>
        <v>1801050</v>
      </c>
      <c r="B961">
        <v>2017</v>
      </c>
      <c r="C961" t="s">
        <v>904</v>
      </c>
      <c r="D961" t="s">
        <v>906</v>
      </c>
      <c r="E961" t="s">
        <v>1867</v>
      </c>
      <c r="F961" t="s">
        <v>690</v>
      </c>
      <c r="G961" t="s">
        <v>116</v>
      </c>
      <c r="H961" s="6">
        <v>336995</v>
      </c>
      <c r="I961" s="6">
        <v>1.4839331535175975E-3</v>
      </c>
      <c r="J961" s="6">
        <v>6714.7975196671287</v>
      </c>
      <c r="K961" s="6">
        <v>1292505.7767138199</v>
      </c>
      <c r="M961" s="6">
        <f t="shared" si="75"/>
        <v>343709.79751966713</v>
      </c>
      <c r="N961" s="6">
        <f t="shared" si="76"/>
        <v>1292505.7767138199</v>
      </c>
      <c r="O961" s="6">
        <f t="shared" si="77"/>
        <v>1636215.574233487</v>
      </c>
      <c r="P961" s="8">
        <f>VLOOKUP(F961,'LEAID Match'!$A$2:$B$436,2,FALSE)</f>
        <v>1801050</v>
      </c>
      <c r="Q961" s="6">
        <f t="shared" si="78"/>
        <v>9</v>
      </c>
    </row>
    <row r="962" spans="1:17" x14ac:dyDescent="0.2">
      <c r="A962" s="16">
        <f t="shared" si="74"/>
        <v>1801050</v>
      </c>
      <c r="B962">
        <v>2018</v>
      </c>
      <c r="C962" t="s">
        <v>904</v>
      </c>
      <c r="D962" t="s">
        <v>906</v>
      </c>
      <c r="E962" t="s">
        <v>1868</v>
      </c>
      <c r="F962" t="s">
        <v>690</v>
      </c>
      <c r="G962" t="s">
        <v>116</v>
      </c>
      <c r="H962" s="6">
        <v>326508</v>
      </c>
      <c r="I962" s="6">
        <v>1.3851680115024587E-3</v>
      </c>
      <c r="J962" s="6">
        <v>5773.3802719422474</v>
      </c>
      <c r="K962" s="6">
        <v>1769069</v>
      </c>
      <c r="M962" s="6">
        <f t="shared" si="75"/>
        <v>332281.38027194224</v>
      </c>
      <c r="N962" s="6">
        <f t="shared" si="76"/>
        <v>1769069</v>
      </c>
      <c r="O962" s="6">
        <f t="shared" si="77"/>
        <v>2101350.3802719424</v>
      </c>
      <c r="P962" s="8">
        <f>VLOOKUP(F962,'LEAID Match'!$A$2:$B$436,2,FALSE)</f>
        <v>1801050</v>
      </c>
      <c r="Q962" s="6">
        <f t="shared" si="78"/>
        <v>9</v>
      </c>
    </row>
    <row r="963" spans="1:17" x14ac:dyDescent="0.2">
      <c r="A963" s="16">
        <f t="shared" ref="A963:A1026" si="79">P963</f>
        <v>1801050</v>
      </c>
      <c r="B963">
        <v>2019</v>
      </c>
      <c r="C963" t="s">
        <v>904</v>
      </c>
      <c r="D963" t="s">
        <v>906</v>
      </c>
      <c r="E963" t="s">
        <v>1869</v>
      </c>
      <c r="F963" t="s">
        <v>690</v>
      </c>
      <c r="G963" t="s">
        <v>116</v>
      </c>
      <c r="H963" s="6">
        <v>336600</v>
      </c>
      <c r="I963" s="6">
        <v>8.5630857447342766E-4</v>
      </c>
      <c r="J963" s="6">
        <v>3001.3615535293638</v>
      </c>
      <c r="K963" s="6">
        <v>808269.66344546794</v>
      </c>
      <c r="M963" s="6">
        <f t="shared" ref="M963:M1026" si="80">SUM(H963,J963)</f>
        <v>339601.36155352934</v>
      </c>
      <c r="N963" s="6">
        <f t="shared" ref="N963:N1026" si="81">K963</f>
        <v>808269.66344546794</v>
      </c>
      <c r="O963" s="6">
        <f t="shared" ref="O963:O1026" si="82">SUM(M963:N963)</f>
        <v>1147871.0249989973</v>
      </c>
      <c r="P963" s="8">
        <f>VLOOKUP(F963,'LEAID Match'!$A$2:$B$436,2,FALSE)</f>
        <v>1801050</v>
      </c>
      <c r="Q963" s="6">
        <f t="shared" ref="Q963:Q1026" si="83">COUNTIF($P$2:$P$3691,P963)</f>
        <v>9</v>
      </c>
    </row>
    <row r="964" spans="1:17" x14ac:dyDescent="0.2">
      <c r="A964" s="16">
        <f t="shared" si="79"/>
        <v>1801050</v>
      </c>
      <c r="B964">
        <v>2020</v>
      </c>
      <c r="C964" t="s">
        <v>904</v>
      </c>
      <c r="D964" t="s">
        <v>906</v>
      </c>
      <c r="E964" t="s">
        <v>1870</v>
      </c>
      <c r="F964" t="s">
        <v>690</v>
      </c>
      <c r="G964" t="s">
        <v>116</v>
      </c>
      <c r="H964" s="6">
        <v>265403</v>
      </c>
      <c r="I964" s="6">
        <v>1.4062929211882615E-3</v>
      </c>
      <c r="J964" s="6">
        <v>3313.2261223195442</v>
      </c>
      <c r="K964" s="6">
        <v>1854085</v>
      </c>
      <c r="M964" s="6">
        <f t="shared" si="80"/>
        <v>268716.22612231952</v>
      </c>
      <c r="N964" s="6">
        <f t="shared" si="81"/>
        <v>1854085</v>
      </c>
      <c r="O964" s="6">
        <f t="shared" si="82"/>
        <v>2122801.2261223197</v>
      </c>
      <c r="P964" s="8">
        <f>VLOOKUP(F964,'LEAID Match'!$A$2:$B$436,2,FALSE)</f>
        <v>1801050</v>
      </c>
      <c r="Q964" s="6">
        <f t="shared" si="83"/>
        <v>9</v>
      </c>
    </row>
    <row r="965" spans="1:17" x14ac:dyDescent="0.2">
      <c r="A965" s="16">
        <f t="shared" si="79"/>
        <v>1801050</v>
      </c>
      <c r="B965">
        <v>2021</v>
      </c>
      <c r="C965" t="s">
        <v>904</v>
      </c>
      <c r="D965" t="s">
        <v>906</v>
      </c>
      <c r="E965" t="s">
        <v>1871</v>
      </c>
      <c r="F965" t="s">
        <v>690</v>
      </c>
      <c r="G965" t="s">
        <v>116</v>
      </c>
      <c r="H965" s="6">
        <v>273095</v>
      </c>
      <c r="I965" s="6">
        <v>1.3491146975428802E-3</v>
      </c>
      <c r="J965" s="6">
        <v>3040.9045282616521</v>
      </c>
      <c r="K965" s="6">
        <v>3204103</v>
      </c>
      <c r="M965" s="6">
        <f t="shared" si="80"/>
        <v>276135.90452826163</v>
      </c>
      <c r="N965" s="6">
        <f t="shared" si="81"/>
        <v>3204103</v>
      </c>
      <c r="O965" s="6">
        <f t="shared" si="82"/>
        <v>3480238.9045282616</v>
      </c>
      <c r="P965" s="8">
        <f>VLOOKUP(F965,'LEAID Match'!$A$2:$B$436,2,FALSE)</f>
        <v>1801050</v>
      </c>
      <c r="Q965" s="6">
        <f t="shared" si="83"/>
        <v>9</v>
      </c>
    </row>
    <row r="966" spans="1:17" x14ac:dyDescent="0.2">
      <c r="A966" s="16">
        <f t="shared" si="79"/>
        <v>1801050</v>
      </c>
      <c r="B966">
        <v>2022</v>
      </c>
      <c r="C966" t="s">
        <v>904</v>
      </c>
      <c r="D966" t="s">
        <v>906</v>
      </c>
      <c r="E966" t="s">
        <v>1872</v>
      </c>
      <c r="F966" t="s">
        <v>690</v>
      </c>
      <c r="G966" t="s">
        <v>116</v>
      </c>
      <c r="H966" s="6">
        <v>254826</v>
      </c>
      <c r="I966" s="6">
        <v>1.2099612077014512E-3</v>
      </c>
      <c r="J966" s="6">
        <v>2667.9644629816999</v>
      </c>
      <c r="K966" s="6">
        <v>3136170</v>
      </c>
      <c r="M966" s="6">
        <f t="shared" si="80"/>
        <v>257493.9644629817</v>
      </c>
      <c r="N966" s="6">
        <f t="shared" si="81"/>
        <v>3136170</v>
      </c>
      <c r="O966" s="6">
        <f t="shared" si="82"/>
        <v>3393663.9644629816</v>
      </c>
      <c r="P966" s="8">
        <f>VLOOKUP(F966,'LEAID Match'!$A$2:$B$436,2,FALSE)</f>
        <v>1801050</v>
      </c>
      <c r="Q966" s="6">
        <f t="shared" si="83"/>
        <v>9</v>
      </c>
    </row>
    <row r="967" spans="1:17" x14ac:dyDescent="0.2">
      <c r="A967" s="16">
        <f t="shared" si="79"/>
        <v>1801050</v>
      </c>
      <c r="B967">
        <v>2023</v>
      </c>
      <c r="C967" t="s">
        <v>904</v>
      </c>
      <c r="D967" t="s">
        <v>906</v>
      </c>
      <c r="E967" t="s">
        <v>1873</v>
      </c>
      <c r="F967" t="s">
        <v>690</v>
      </c>
      <c r="G967" t="s">
        <v>116</v>
      </c>
      <c r="H967" s="6">
        <v>293941</v>
      </c>
      <c r="I967" s="6">
        <v>1.2020571833758862E-3</v>
      </c>
      <c r="J967" s="6">
        <v>2965.4750713883113</v>
      </c>
      <c r="K967" s="6">
        <v>9352151</v>
      </c>
      <c r="M967" s="6">
        <f t="shared" si="80"/>
        <v>296906.4750713883</v>
      </c>
      <c r="N967" s="6">
        <f t="shared" si="81"/>
        <v>9352151</v>
      </c>
      <c r="O967" s="6">
        <f t="shared" si="82"/>
        <v>9649057.4750713892</v>
      </c>
      <c r="P967" s="8">
        <f>VLOOKUP(F967,'LEAID Match'!$A$2:$B$436,2,FALSE)</f>
        <v>1801050</v>
      </c>
      <c r="Q967" s="6">
        <f t="shared" si="83"/>
        <v>9</v>
      </c>
    </row>
    <row r="968" spans="1:17" x14ac:dyDescent="0.2">
      <c r="A968" s="16">
        <f t="shared" si="79"/>
        <v>1809420</v>
      </c>
      <c r="B968">
        <v>2015</v>
      </c>
      <c r="C968" t="s">
        <v>904</v>
      </c>
      <c r="D968" t="s">
        <v>906</v>
      </c>
      <c r="E968" t="s">
        <v>1874</v>
      </c>
      <c r="F968" t="s">
        <v>503</v>
      </c>
      <c r="G968" t="s">
        <v>117</v>
      </c>
      <c r="H968" s="6">
        <v>352321</v>
      </c>
      <c r="I968" s="6">
        <v>1.7132338134948583E-3</v>
      </c>
      <c r="J968" s="6">
        <v>9955.601690218622</v>
      </c>
      <c r="K968" s="6">
        <v>1448737.92443226</v>
      </c>
      <c r="M968" s="6">
        <f t="shared" si="80"/>
        <v>362276.60169021861</v>
      </c>
      <c r="N968" s="6">
        <f t="shared" si="81"/>
        <v>1448737.92443226</v>
      </c>
      <c r="O968" s="6">
        <f t="shared" si="82"/>
        <v>1811014.5261224785</v>
      </c>
      <c r="P968" s="8">
        <f>VLOOKUP(F968,'LEAID Match'!$A$2:$B$436,2,FALSE)</f>
        <v>1809420</v>
      </c>
      <c r="Q968" s="6">
        <f t="shared" si="83"/>
        <v>9</v>
      </c>
    </row>
    <row r="969" spans="1:17" x14ac:dyDescent="0.2">
      <c r="A969" s="16">
        <f t="shared" si="79"/>
        <v>1809420</v>
      </c>
      <c r="B969">
        <v>2016</v>
      </c>
      <c r="C969" t="s">
        <v>904</v>
      </c>
      <c r="D969" t="s">
        <v>906</v>
      </c>
      <c r="E969" t="s">
        <v>1875</v>
      </c>
      <c r="F969" t="s">
        <v>503</v>
      </c>
      <c r="G969" t="s">
        <v>117</v>
      </c>
      <c r="H969" s="6">
        <v>363616</v>
      </c>
      <c r="I969" s="6">
        <v>1.6872228979555744E-3</v>
      </c>
      <c r="J969" s="6">
        <v>8517.1011888797402</v>
      </c>
      <c r="K969" s="6">
        <v>1497410.3219355701</v>
      </c>
      <c r="M969" s="6">
        <f t="shared" si="80"/>
        <v>372133.10118887975</v>
      </c>
      <c r="N969" s="6">
        <f t="shared" si="81"/>
        <v>1497410.3219355701</v>
      </c>
      <c r="O969" s="6">
        <f t="shared" si="82"/>
        <v>1869543.4231244498</v>
      </c>
      <c r="P969" s="8">
        <f>VLOOKUP(F969,'LEAID Match'!$A$2:$B$436,2,FALSE)</f>
        <v>1809420</v>
      </c>
      <c r="Q969" s="6">
        <f t="shared" si="83"/>
        <v>9</v>
      </c>
    </row>
    <row r="970" spans="1:17" x14ac:dyDescent="0.2">
      <c r="A970" s="16">
        <f t="shared" si="79"/>
        <v>1809420</v>
      </c>
      <c r="B970">
        <v>2017</v>
      </c>
      <c r="C970" t="s">
        <v>904</v>
      </c>
      <c r="D970" t="s">
        <v>906</v>
      </c>
      <c r="E970" t="s">
        <v>1876</v>
      </c>
      <c r="F970" t="s">
        <v>503</v>
      </c>
      <c r="G970" t="s">
        <v>117</v>
      </c>
      <c r="H970" s="6">
        <v>388058</v>
      </c>
      <c r="I970" s="6">
        <v>1.7087853875806223E-3</v>
      </c>
      <c r="J970" s="6">
        <v>7732.2538788023157</v>
      </c>
      <c r="K970" s="6">
        <v>1488352.0725827201</v>
      </c>
      <c r="M970" s="6">
        <f t="shared" si="80"/>
        <v>395790.25387880229</v>
      </c>
      <c r="N970" s="6">
        <f t="shared" si="81"/>
        <v>1488352.0725827201</v>
      </c>
      <c r="O970" s="6">
        <f t="shared" si="82"/>
        <v>1884142.3264615224</v>
      </c>
      <c r="P970" s="8">
        <f>VLOOKUP(F970,'LEAID Match'!$A$2:$B$436,2,FALSE)</f>
        <v>1809420</v>
      </c>
      <c r="Q970" s="6">
        <f t="shared" si="83"/>
        <v>9</v>
      </c>
    </row>
    <row r="971" spans="1:17" x14ac:dyDescent="0.2">
      <c r="A971" s="16">
        <f t="shared" si="79"/>
        <v>1809420</v>
      </c>
      <c r="B971">
        <v>2018</v>
      </c>
      <c r="C971" t="s">
        <v>904</v>
      </c>
      <c r="D971" t="s">
        <v>906</v>
      </c>
      <c r="E971" t="s">
        <v>1877</v>
      </c>
      <c r="F971" t="s">
        <v>503</v>
      </c>
      <c r="G971" t="s">
        <v>117</v>
      </c>
      <c r="H971" s="6">
        <v>366153</v>
      </c>
      <c r="I971" s="6">
        <v>1.5533568026377907E-3</v>
      </c>
      <c r="J971" s="6">
        <v>6474.3911533943119</v>
      </c>
      <c r="K971" s="6">
        <v>1264499</v>
      </c>
      <c r="M971" s="6">
        <f t="shared" si="80"/>
        <v>372627.3911533943</v>
      </c>
      <c r="N971" s="6">
        <f t="shared" si="81"/>
        <v>1264499</v>
      </c>
      <c r="O971" s="6">
        <f t="shared" si="82"/>
        <v>1637126.3911533942</v>
      </c>
      <c r="P971" s="8">
        <f>VLOOKUP(F971,'LEAID Match'!$A$2:$B$436,2,FALSE)</f>
        <v>1809420</v>
      </c>
      <c r="Q971" s="6">
        <f t="shared" si="83"/>
        <v>9</v>
      </c>
    </row>
    <row r="972" spans="1:17" x14ac:dyDescent="0.2">
      <c r="A972" s="16">
        <f t="shared" si="79"/>
        <v>1809420</v>
      </c>
      <c r="B972">
        <v>2019</v>
      </c>
      <c r="C972" t="s">
        <v>904</v>
      </c>
      <c r="D972" t="s">
        <v>906</v>
      </c>
      <c r="E972" t="s">
        <v>1878</v>
      </c>
      <c r="F972" t="s">
        <v>503</v>
      </c>
      <c r="G972" t="s">
        <v>117</v>
      </c>
      <c r="H972" s="6">
        <v>361868</v>
      </c>
      <c r="I972" s="6">
        <v>9.2059022943419581E-4</v>
      </c>
      <c r="J972" s="6">
        <v>3226.6687541668562</v>
      </c>
      <c r="K972" s="6">
        <v>868945.11756293697</v>
      </c>
      <c r="M972" s="6">
        <f t="shared" si="80"/>
        <v>365094.66875416687</v>
      </c>
      <c r="N972" s="6">
        <f t="shared" si="81"/>
        <v>868945.11756293697</v>
      </c>
      <c r="O972" s="6">
        <f t="shared" si="82"/>
        <v>1234039.7863171038</v>
      </c>
      <c r="P972" s="8">
        <f>VLOOKUP(F972,'LEAID Match'!$A$2:$B$436,2,FALSE)</f>
        <v>1809420</v>
      </c>
      <c r="Q972" s="6">
        <f t="shared" si="83"/>
        <v>9</v>
      </c>
    </row>
    <row r="973" spans="1:17" x14ac:dyDescent="0.2">
      <c r="A973" s="16">
        <f t="shared" si="79"/>
        <v>1809420</v>
      </c>
      <c r="B973">
        <v>2020</v>
      </c>
      <c r="C973" t="s">
        <v>904</v>
      </c>
      <c r="D973" t="s">
        <v>906</v>
      </c>
      <c r="E973" t="s">
        <v>1879</v>
      </c>
      <c r="F973" t="s">
        <v>503</v>
      </c>
      <c r="G973" t="s">
        <v>117</v>
      </c>
      <c r="H973" s="6">
        <v>272724</v>
      </c>
      <c r="I973" s="6">
        <v>1.4450847603009289E-3</v>
      </c>
      <c r="J973" s="6">
        <v>3404.6196952689884</v>
      </c>
      <c r="K973" s="6">
        <v>1368713</v>
      </c>
      <c r="M973" s="6">
        <f t="shared" si="80"/>
        <v>276128.61969526898</v>
      </c>
      <c r="N973" s="6">
        <f t="shared" si="81"/>
        <v>1368713</v>
      </c>
      <c r="O973" s="6">
        <f t="shared" si="82"/>
        <v>1644841.619695269</v>
      </c>
      <c r="P973" s="8">
        <f>VLOOKUP(F973,'LEAID Match'!$A$2:$B$436,2,FALSE)</f>
        <v>1809420</v>
      </c>
      <c r="Q973" s="6">
        <f t="shared" si="83"/>
        <v>9</v>
      </c>
    </row>
    <row r="974" spans="1:17" x14ac:dyDescent="0.2">
      <c r="A974" s="16">
        <f t="shared" si="79"/>
        <v>1809420</v>
      </c>
      <c r="B974">
        <v>2021</v>
      </c>
      <c r="C974" t="s">
        <v>904</v>
      </c>
      <c r="D974" t="s">
        <v>906</v>
      </c>
      <c r="E974" t="s">
        <v>1880</v>
      </c>
      <c r="F974" t="s">
        <v>503</v>
      </c>
      <c r="G974" t="s">
        <v>117</v>
      </c>
      <c r="H974" s="6">
        <v>278047</v>
      </c>
      <c r="I974" s="6">
        <v>1.3735780380735832E-3</v>
      </c>
      <c r="J974" s="6">
        <v>3096.0448978178565</v>
      </c>
      <c r="K974" s="6">
        <v>2246037</v>
      </c>
      <c r="M974" s="6">
        <f t="shared" si="80"/>
        <v>281143.04489781783</v>
      </c>
      <c r="N974" s="6">
        <f t="shared" si="81"/>
        <v>2246037</v>
      </c>
      <c r="O974" s="6">
        <f t="shared" si="82"/>
        <v>2527180.044897818</v>
      </c>
      <c r="P974" s="8">
        <f>VLOOKUP(F974,'LEAID Match'!$A$2:$B$436,2,FALSE)</f>
        <v>1809420</v>
      </c>
      <c r="Q974" s="6">
        <f t="shared" si="83"/>
        <v>9</v>
      </c>
    </row>
    <row r="975" spans="1:17" x14ac:dyDescent="0.2">
      <c r="A975" s="16">
        <f t="shared" si="79"/>
        <v>1809420</v>
      </c>
      <c r="B975">
        <v>2022</v>
      </c>
      <c r="C975" t="s">
        <v>904</v>
      </c>
      <c r="D975" t="s">
        <v>906</v>
      </c>
      <c r="E975" t="s">
        <v>1881</v>
      </c>
      <c r="F975" t="s">
        <v>503</v>
      </c>
      <c r="G975" t="s">
        <v>117</v>
      </c>
      <c r="H975" s="6">
        <v>306973</v>
      </c>
      <c r="I975" s="6">
        <v>1.4575648552806132E-3</v>
      </c>
      <c r="J975" s="6">
        <v>3213.9305058937521</v>
      </c>
      <c r="K975" s="6">
        <v>2151814</v>
      </c>
      <c r="M975" s="6">
        <f t="shared" si="80"/>
        <v>310186.93050589378</v>
      </c>
      <c r="N975" s="6">
        <f t="shared" si="81"/>
        <v>2151814</v>
      </c>
      <c r="O975" s="6">
        <f t="shared" si="82"/>
        <v>2462000.9305058937</v>
      </c>
      <c r="P975" s="8">
        <f>VLOOKUP(F975,'LEAID Match'!$A$2:$B$436,2,FALSE)</f>
        <v>1809420</v>
      </c>
      <c r="Q975" s="6">
        <f t="shared" si="83"/>
        <v>9</v>
      </c>
    </row>
    <row r="976" spans="1:17" x14ac:dyDescent="0.2">
      <c r="A976" s="16">
        <f t="shared" si="79"/>
        <v>1809420</v>
      </c>
      <c r="B976">
        <v>2023</v>
      </c>
      <c r="C976" t="s">
        <v>904</v>
      </c>
      <c r="D976" t="s">
        <v>906</v>
      </c>
      <c r="E976" t="s">
        <v>1882</v>
      </c>
      <c r="F976" t="s">
        <v>503</v>
      </c>
      <c r="G976" t="s">
        <v>117</v>
      </c>
      <c r="H976" s="6">
        <v>347881</v>
      </c>
      <c r="I976" s="6">
        <v>1.4226421459067864E-3</v>
      </c>
      <c r="J976" s="6">
        <v>3509.658173952042</v>
      </c>
      <c r="K976" s="6">
        <v>5918413</v>
      </c>
      <c r="M976" s="6">
        <f t="shared" si="80"/>
        <v>351390.65817395202</v>
      </c>
      <c r="N976" s="6">
        <f t="shared" si="81"/>
        <v>5918413</v>
      </c>
      <c r="O976" s="6">
        <f t="shared" si="82"/>
        <v>6269803.6581739523</v>
      </c>
      <c r="P976" s="8">
        <f>VLOOKUP(F976,'LEAID Match'!$A$2:$B$436,2,FALSE)</f>
        <v>1809420</v>
      </c>
      <c r="Q976" s="6">
        <f t="shared" si="83"/>
        <v>9</v>
      </c>
    </row>
    <row r="977" spans="1:17" x14ac:dyDescent="0.2">
      <c r="A977" s="16">
        <f t="shared" si="79"/>
        <v>1805280</v>
      </c>
      <c r="B977">
        <v>2015</v>
      </c>
      <c r="C977" t="s">
        <v>904</v>
      </c>
      <c r="D977" t="s">
        <v>906</v>
      </c>
      <c r="E977" t="s">
        <v>1883</v>
      </c>
      <c r="F977" t="s">
        <v>504</v>
      </c>
      <c r="G977" t="s">
        <v>118</v>
      </c>
      <c r="H977" s="6">
        <v>555224</v>
      </c>
      <c r="I977" s="6">
        <v>2.6998916637494476E-3</v>
      </c>
      <c r="J977" s="6">
        <v>15689.07045804804</v>
      </c>
      <c r="K977" s="6">
        <v>2283071.5891331499</v>
      </c>
      <c r="M977" s="6">
        <f t="shared" si="80"/>
        <v>570913.07045804802</v>
      </c>
      <c r="N977" s="6">
        <f t="shared" si="81"/>
        <v>2283071.5891331499</v>
      </c>
      <c r="O977" s="6">
        <f t="shared" si="82"/>
        <v>2853984.659591198</v>
      </c>
      <c r="P977" s="8">
        <f>VLOOKUP(F977,'LEAID Match'!$A$2:$B$436,2,FALSE)</f>
        <v>1805280</v>
      </c>
      <c r="Q977" s="6">
        <f t="shared" si="83"/>
        <v>9</v>
      </c>
    </row>
    <row r="978" spans="1:17" x14ac:dyDescent="0.2">
      <c r="A978" s="16">
        <f t="shared" si="79"/>
        <v>1805280</v>
      </c>
      <c r="B978">
        <v>2016</v>
      </c>
      <c r="C978" t="s">
        <v>904</v>
      </c>
      <c r="D978" t="s">
        <v>906</v>
      </c>
      <c r="E978" t="s">
        <v>1884</v>
      </c>
      <c r="F978" t="s">
        <v>504</v>
      </c>
      <c r="G978" t="s">
        <v>118</v>
      </c>
      <c r="H978" s="6">
        <v>610514</v>
      </c>
      <c r="I978" s="6">
        <v>2.8328599410434347E-3</v>
      </c>
      <c r="J978" s="6">
        <v>14300.276982387259</v>
      </c>
      <c r="K978" s="6">
        <v>2514163.1976760402</v>
      </c>
      <c r="M978" s="6">
        <f t="shared" si="80"/>
        <v>624814.27698238729</v>
      </c>
      <c r="N978" s="6">
        <f t="shared" si="81"/>
        <v>2514163.1976760402</v>
      </c>
      <c r="O978" s="6">
        <f t="shared" si="82"/>
        <v>3138977.4746584278</v>
      </c>
      <c r="P978" s="8">
        <f>VLOOKUP(F978,'LEAID Match'!$A$2:$B$436,2,FALSE)</f>
        <v>1805280</v>
      </c>
      <c r="Q978" s="6">
        <f t="shared" si="83"/>
        <v>9</v>
      </c>
    </row>
    <row r="979" spans="1:17" x14ac:dyDescent="0.2">
      <c r="A979" s="16">
        <f t="shared" si="79"/>
        <v>1805280</v>
      </c>
      <c r="B979">
        <v>2017</v>
      </c>
      <c r="C979" t="s">
        <v>904</v>
      </c>
      <c r="D979" t="s">
        <v>906</v>
      </c>
      <c r="E979" t="s">
        <v>1885</v>
      </c>
      <c r="F979" t="s">
        <v>504</v>
      </c>
      <c r="G979" t="s">
        <v>118</v>
      </c>
      <c r="H979" s="6">
        <v>682895</v>
      </c>
      <c r="I979" s="6">
        <v>3.0070788316485402E-3</v>
      </c>
      <c r="J979" s="6">
        <v>13607.031713209644</v>
      </c>
      <c r="K979" s="6">
        <v>2619165.6623658701</v>
      </c>
      <c r="M979" s="6">
        <f t="shared" si="80"/>
        <v>696502.0317132097</v>
      </c>
      <c r="N979" s="6">
        <f t="shared" si="81"/>
        <v>2619165.6623658701</v>
      </c>
      <c r="O979" s="6">
        <f t="shared" si="82"/>
        <v>3315667.6940790797</v>
      </c>
      <c r="P979" s="8">
        <f>VLOOKUP(F979,'LEAID Match'!$A$2:$B$436,2,FALSE)</f>
        <v>1805280</v>
      </c>
      <c r="Q979" s="6">
        <f t="shared" si="83"/>
        <v>9</v>
      </c>
    </row>
    <row r="980" spans="1:17" x14ac:dyDescent="0.2">
      <c r="A980" s="16">
        <f t="shared" si="79"/>
        <v>1805280</v>
      </c>
      <c r="B980">
        <v>2018</v>
      </c>
      <c r="C980" t="s">
        <v>904</v>
      </c>
      <c r="D980" t="s">
        <v>906</v>
      </c>
      <c r="E980" t="s">
        <v>1886</v>
      </c>
      <c r="F980" t="s">
        <v>504</v>
      </c>
      <c r="G980" t="s">
        <v>118</v>
      </c>
      <c r="H980" s="6">
        <v>690805</v>
      </c>
      <c r="I980" s="6">
        <v>2.9306509738994328E-3</v>
      </c>
      <c r="J980" s="6">
        <v>12214.953259212836</v>
      </c>
      <c r="K980" s="6">
        <v>2593802</v>
      </c>
      <c r="M980" s="6">
        <f t="shared" si="80"/>
        <v>703019.95325921278</v>
      </c>
      <c r="N980" s="6">
        <f t="shared" si="81"/>
        <v>2593802</v>
      </c>
      <c r="O980" s="6">
        <f t="shared" si="82"/>
        <v>3296821.9532592129</v>
      </c>
      <c r="P980" s="8">
        <f>VLOOKUP(F980,'LEAID Match'!$A$2:$B$436,2,FALSE)</f>
        <v>1805280</v>
      </c>
      <c r="Q980" s="6">
        <f t="shared" si="83"/>
        <v>9</v>
      </c>
    </row>
    <row r="981" spans="1:17" x14ac:dyDescent="0.2">
      <c r="A981" s="16">
        <f t="shared" si="79"/>
        <v>1805280</v>
      </c>
      <c r="B981">
        <v>2019</v>
      </c>
      <c r="C981" t="s">
        <v>904</v>
      </c>
      <c r="D981" t="s">
        <v>906</v>
      </c>
      <c r="E981" t="s">
        <v>1887</v>
      </c>
      <c r="F981" t="s">
        <v>504</v>
      </c>
      <c r="G981" t="s">
        <v>118</v>
      </c>
      <c r="H981" s="6">
        <v>724222</v>
      </c>
      <c r="I981" s="6">
        <v>1.8424168402326046E-3</v>
      </c>
      <c r="J981" s="6">
        <v>6457.6710250152792</v>
      </c>
      <c r="K981" s="6">
        <v>1739057.2554955501</v>
      </c>
      <c r="M981" s="6">
        <f t="shared" si="80"/>
        <v>730679.6710250153</v>
      </c>
      <c r="N981" s="6">
        <f t="shared" si="81"/>
        <v>1739057.2554955501</v>
      </c>
      <c r="O981" s="6">
        <f t="shared" si="82"/>
        <v>2469736.9265205655</v>
      </c>
      <c r="P981" s="8">
        <f>VLOOKUP(F981,'LEAID Match'!$A$2:$B$436,2,FALSE)</f>
        <v>1805280</v>
      </c>
      <c r="Q981" s="6">
        <f t="shared" si="83"/>
        <v>9</v>
      </c>
    </row>
    <row r="982" spans="1:17" x14ac:dyDescent="0.2">
      <c r="A982" s="16">
        <f t="shared" si="79"/>
        <v>1805280</v>
      </c>
      <c r="B982">
        <v>2020</v>
      </c>
      <c r="C982" t="s">
        <v>904</v>
      </c>
      <c r="D982" t="s">
        <v>906</v>
      </c>
      <c r="E982" t="s">
        <v>1888</v>
      </c>
      <c r="F982" t="s">
        <v>504</v>
      </c>
      <c r="G982" t="s">
        <v>118</v>
      </c>
      <c r="H982" s="6">
        <v>545155</v>
      </c>
      <c r="I982" s="6">
        <v>2.8886169992441181E-3</v>
      </c>
      <c r="J982" s="6">
        <v>6805.5816502191419</v>
      </c>
      <c r="K982" s="6">
        <v>2795598</v>
      </c>
      <c r="M982" s="6">
        <f t="shared" si="80"/>
        <v>551960.58165021916</v>
      </c>
      <c r="N982" s="6">
        <f t="shared" si="81"/>
        <v>2795598</v>
      </c>
      <c r="O982" s="6">
        <f t="shared" si="82"/>
        <v>3347558.5816502189</v>
      </c>
      <c r="P982" s="8">
        <f>VLOOKUP(F982,'LEAID Match'!$A$2:$B$436,2,FALSE)</f>
        <v>1805280</v>
      </c>
      <c r="Q982" s="6">
        <f t="shared" si="83"/>
        <v>9</v>
      </c>
    </row>
    <row r="983" spans="1:17" x14ac:dyDescent="0.2">
      <c r="A983" s="16">
        <f t="shared" si="79"/>
        <v>1805280</v>
      </c>
      <c r="B983">
        <v>2021</v>
      </c>
      <c r="C983" t="s">
        <v>904</v>
      </c>
      <c r="D983" t="s">
        <v>906</v>
      </c>
      <c r="E983" t="s">
        <v>1889</v>
      </c>
      <c r="F983" t="s">
        <v>504</v>
      </c>
      <c r="G983" t="s">
        <v>118</v>
      </c>
      <c r="H983" s="6">
        <v>565812</v>
      </c>
      <c r="I983" s="6">
        <v>2.7951638999107716E-3</v>
      </c>
      <c r="J983" s="6">
        <v>6300.2994303988789</v>
      </c>
      <c r="K983" s="6">
        <v>4706575</v>
      </c>
      <c r="M983" s="6">
        <f t="shared" si="80"/>
        <v>572112.29943039885</v>
      </c>
      <c r="N983" s="6">
        <f t="shared" si="81"/>
        <v>4706575</v>
      </c>
      <c r="O983" s="6">
        <f t="shared" si="82"/>
        <v>5278687.2994303992</v>
      </c>
      <c r="P983" s="8">
        <f>VLOOKUP(F983,'LEAID Match'!$A$2:$B$436,2,FALSE)</f>
        <v>1805280</v>
      </c>
      <c r="Q983" s="6">
        <f t="shared" si="83"/>
        <v>9</v>
      </c>
    </row>
    <row r="984" spans="1:17" x14ac:dyDescent="0.2">
      <c r="A984" s="16">
        <f t="shared" si="79"/>
        <v>1805280</v>
      </c>
      <c r="B984">
        <v>2022</v>
      </c>
      <c r="C984" t="s">
        <v>904</v>
      </c>
      <c r="D984" t="s">
        <v>906</v>
      </c>
      <c r="E984" t="s">
        <v>1890</v>
      </c>
      <c r="F984" t="s">
        <v>504</v>
      </c>
      <c r="G984" t="s">
        <v>118</v>
      </c>
      <c r="H984" s="6">
        <v>596567</v>
      </c>
      <c r="I984" s="6">
        <v>2.832610988654343E-3</v>
      </c>
      <c r="J984" s="6">
        <v>6245.9072299828267</v>
      </c>
      <c r="K984" s="6">
        <v>4416344</v>
      </c>
      <c r="M984" s="6">
        <f t="shared" si="80"/>
        <v>602812.90722998278</v>
      </c>
      <c r="N984" s="6">
        <f t="shared" si="81"/>
        <v>4416344</v>
      </c>
      <c r="O984" s="6">
        <f t="shared" si="82"/>
        <v>5019156.9072299823</v>
      </c>
      <c r="P984" s="8">
        <f>VLOOKUP(F984,'LEAID Match'!$A$2:$B$436,2,FALSE)</f>
        <v>1805280</v>
      </c>
      <c r="Q984" s="6">
        <f t="shared" si="83"/>
        <v>9</v>
      </c>
    </row>
    <row r="985" spans="1:17" x14ac:dyDescent="0.2">
      <c r="A985" s="16">
        <f t="shared" si="79"/>
        <v>1805280</v>
      </c>
      <c r="B985">
        <v>2023</v>
      </c>
      <c r="C985" t="s">
        <v>904</v>
      </c>
      <c r="D985" t="s">
        <v>906</v>
      </c>
      <c r="E985" t="s">
        <v>1891</v>
      </c>
      <c r="F985" t="s">
        <v>504</v>
      </c>
      <c r="G985" t="s">
        <v>118</v>
      </c>
      <c r="H985" s="6">
        <v>660633</v>
      </c>
      <c r="I985" s="6">
        <v>2.7016259835312591E-3</v>
      </c>
      <c r="J985" s="6">
        <v>6664.911301371616</v>
      </c>
      <c r="K985" s="6">
        <v>13076833</v>
      </c>
      <c r="M985" s="6">
        <f t="shared" si="80"/>
        <v>667297.91130137164</v>
      </c>
      <c r="N985" s="6">
        <f t="shared" si="81"/>
        <v>13076833</v>
      </c>
      <c r="O985" s="6">
        <f t="shared" si="82"/>
        <v>13744130.911301371</v>
      </c>
      <c r="P985" s="8">
        <f>VLOOKUP(F985,'LEAID Match'!$A$2:$B$436,2,FALSE)</f>
        <v>1805280</v>
      </c>
      <c r="Q985" s="6">
        <f t="shared" si="83"/>
        <v>9</v>
      </c>
    </row>
    <row r="986" spans="1:17" x14ac:dyDescent="0.2">
      <c r="A986" s="16">
        <f t="shared" si="79"/>
        <v>1804980</v>
      </c>
      <c r="B986">
        <v>2015</v>
      </c>
      <c r="C986" t="s">
        <v>904</v>
      </c>
      <c r="D986" t="s">
        <v>906</v>
      </c>
      <c r="E986" t="s">
        <v>1892</v>
      </c>
      <c r="F986" t="s">
        <v>505</v>
      </c>
      <c r="G986" t="s">
        <v>119</v>
      </c>
      <c r="H986" s="6">
        <v>761834</v>
      </c>
      <c r="I986" s="6">
        <v>3.7045755690692348E-3</v>
      </c>
      <c r="J986" s="6">
        <v>21527.288631861324</v>
      </c>
      <c r="K986" s="6">
        <v>3132648.37441405</v>
      </c>
      <c r="M986" s="6">
        <f t="shared" si="80"/>
        <v>783361.28863186133</v>
      </c>
      <c r="N986" s="6">
        <f t="shared" si="81"/>
        <v>3132648.37441405</v>
      </c>
      <c r="O986" s="6">
        <f t="shared" si="82"/>
        <v>3916009.6630459111</v>
      </c>
      <c r="P986" s="8">
        <f>VLOOKUP(F986,'LEAID Match'!$A$2:$B$436,2,FALSE)</f>
        <v>1804980</v>
      </c>
      <c r="Q986" s="6">
        <f t="shared" si="83"/>
        <v>9</v>
      </c>
    </row>
    <row r="987" spans="1:17" x14ac:dyDescent="0.2">
      <c r="A987" s="16">
        <f t="shared" si="79"/>
        <v>1804980</v>
      </c>
      <c r="B987">
        <v>2016</v>
      </c>
      <c r="C987" t="s">
        <v>904</v>
      </c>
      <c r="D987" t="s">
        <v>906</v>
      </c>
      <c r="E987" t="s">
        <v>1893</v>
      </c>
      <c r="F987" t="s">
        <v>505</v>
      </c>
      <c r="G987" t="s">
        <v>119</v>
      </c>
      <c r="H987" s="6">
        <v>766227</v>
      </c>
      <c r="I987" s="6">
        <v>3.5553873851310335E-3</v>
      </c>
      <c r="J987" s="6">
        <v>17947.595520141458</v>
      </c>
      <c r="K987" s="6">
        <v>3155406.30430379</v>
      </c>
      <c r="M987" s="6">
        <f t="shared" si="80"/>
        <v>784174.59552014142</v>
      </c>
      <c r="N987" s="6">
        <f t="shared" si="81"/>
        <v>3155406.30430379</v>
      </c>
      <c r="O987" s="6">
        <f t="shared" si="82"/>
        <v>3939580.8998239315</v>
      </c>
      <c r="P987" s="8">
        <f>VLOOKUP(F987,'LEAID Match'!$A$2:$B$436,2,FALSE)</f>
        <v>1804980</v>
      </c>
      <c r="Q987" s="6">
        <f t="shared" si="83"/>
        <v>9</v>
      </c>
    </row>
    <row r="988" spans="1:17" x14ac:dyDescent="0.2">
      <c r="A988" s="16">
        <f t="shared" si="79"/>
        <v>1804980</v>
      </c>
      <c r="B988">
        <v>2017</v>
      </c>
      <c r="C988" t="s">
        <v>904</v>
      </c>
      <c r="D988" t="s">
        <v>906</v>
      </c>
      <c r="E988" t="s">
        <v>1894</v>
      </c>
      <c r="F988" t="s">
        <v>505</v>
      </c>
      <c r="G988" t="s">
        <v>119</v>
      </c>
      <c r="H988" s="6">
        <v>798444</v>
      </c>
      <c r="I988" s="6">
        <v>3.5158905112159071E-3</v>
      </c>
      <c r="J988" s="6">
        <v>15909.404563251979</v>
      </c>
      <c r="K988" s="6">
        <v>3062340.63526905</v>
      </c>
      <c r="M988" s="6">
        <f t="shared" si="80"/>
        <v>814353.404563252</v>
      </c>
      <c r="N988" s="6">
        <f t="shared" si="81"/>
        <v>3062340.63526905</v>
      </c>
      <c r="O988" s="6">
        <f t="shared" si="82"/>
        <v>3876694.0398323019</v>
      </c>
      <c r="P988" s="8">
        <f>VLOOKUP(F988,'LEAID Match'!$A$2:$B$436,2,FALSE)</f>
        <v>1804980</v>
      </c>
      <c r="Q988" s="6">
        <f t="shared" si="83"/>
        <v>9</v>
      </c>
    </row>
    <row r="989" spans="1:17" x14ac:dyDescent="0.2">
      <c r="A989" s="16">
        <f t="shared" si="79"/>
        <v>1804980</v>
      </c>
      <c r="B989">
        <v>2018</v>
      </c>
      <c r="C989" t="s">
        <v>904</v>
      </c>
      <c r="D989" t="s">
        <v>906</v>
      </c>
      <c r="E989" t="s">
        <v>1895</v>
      </c>
      <c r="F989" t="s">
        <v>505</v>
      </c>
      <c r="G989" t="s">
        <v>119</v>
      </c>
      <c r="H989" s="6">
        <v>773528</v>
      </c>
      <c r="I989" s="6">
        <v>3.2815926151931159E-3</v>
      </c>
      <c r="J989" s="6">
        <v>13677.678020124908</v>
      </c>
      <c r="K989" s="6">
        <v>3337852</v>
      </c>
      <c r="M989" s="6">
        <f t="shared" si="80"/>
        <v>787205.67802012491</v>
      </c>
      <c r="N989" s="6">
        <f t="shared" si="81"/>
        <v>3337852</v>
      </c>
      <c r="O989" s="6">
        <f t="shared" si="82"/>
        <v>4125057.6780201248</v>
      </c>
      <c r="P989" s="8">
        <f>VLOOKUP(F989,'LEAID Match'!$A$2:$B$436,2,FALSE)</f>
        <v>1804980</v>
      </c>
      <c r="Q989" s="6">
        <f t="shared" si="83"/>
        <v>9</v>
      </c>
    </row>
    <row r="990" spans="1:17" x14ac:dyDescent="0.2">
      <c r="A990" s="16">
        <f t="shared" si="79"/>
        <v>1804980</v>
      </c>
      <c r="B990">
        <v>2019</v>
      </c>
      <c r="C990" t="s">
        <v>904</v>
      </c>
      <c r="D990" t="s">
        <v>906</v>
      </c>
      <c r="E990" t="s">
        <v>1896</v>
      </c>
      <c r="F990" t="s">
        <v>505</v>
      </c>
      <c r="G990" t="s">
        <v>119</v>
      </c>
      <c r="H990" s="6">
        <v>786769</v>
      </c>
      <c r="I990" s="6">
        <v>2.0015360690133219E-3</v>
      </c>
      <c r="J990" s="6">
        <v>7015.3839218916937</v>
      </c>
      <c r="K990" s="6">
        <v>1889249.89554167</v>
      </c>
      <c r="M990" s="6">
        <f t="shared" si="80"/>
        <v>793784.38392189168</v>
      </c>
      <c r="N990" s="6">
        <f t="shared" si="81"/>
        <v>1889249.89554167</v>
      </c>
      <c r="O990" s="6">
        <f t="shared" si="82"/>
        <v>2683034.2794635617</v>
      </c>
      <c r="P990" s="8">
        <f>VLOOKUP(F990,'LEAID Match'!$A$2:$B$436,2,FALSE)</f>
        <v>1804980</v>
      </c>
      <c r="Q990" s="6">
        <f t="shared" si="83"/>
        <v>9</v>
      </c>
    </row>
    <row r="991" spans="1:17" x14ac:dyDescent="0.2">
      <c r="A991" s="16">
        <f t="shared" si="79"/>
        <v>1804980</v>
      </c>
      <c r="B991">
        <v>2020</v>
      </c>
      <c r="C991" t="s">
        <v>904</v>
      </c>
      <c r="D991" t="s">
        <v>906</v>
      </c>
      <c r="E991" t="s">
        <v>1897</v>
      </c>
      <c r="F991" t="s">
        <v>505</v>
      </c>
      <c r="G991" t="s">
        <v>119</v>
      </c>
      <c r="H991" s="6">
        <v>581420</v>
      </c>
      <c r="I991" s="6">
        <v>3.0807746341875524E-3</v>
      </c>
      <c r="J991" s="6">
        <v>7258.3050381458734</v>
      </c>
      <c r="K991" s="6">
        <v>3583574</v>
      </c>
      <c r="M991" s="6">
        <f t="shared" si="80"/>
        <v>588678.30503814586</v>
      </c>
      <c r="N991" s="6">
        <f t="shared" si="81"/>
        <v>3583574</v>
      </c>
      <c r="O991" s="6">
        <f t="shared" si="82"/>
        <v>4172252.3050381457</v>
      </c>
      <c r="P991" s="8">
        <f>VLOOKUP(F991,'LEAID Match'!$A$2:$B$436,2,FALSE)</f>
        <v>1804980</v>
      </c>
      <c r="Q991" s="6">
        <f t="shared" si="83"/>
        <v>9</v>
      </c>
    </row>
    <row r="992" spans="1:17" x14ac:dyDescent="0.2">
      <c r="A992" s="16">
        <f t="shared" si="79"/>
        <v>1804980</v>
      </c>
      <c r="B992">
        <v>2021</v>
      </c>
      <c r="C992" t="s">
        <v>904</v>
      </c>
      <c r="D992" t="s">
        <v>906</v>
      </c>
      <c r="E992" t="s">
        <v>1898</v>
      </c>
      <c r="F992" t="s">
        <v>505</v>
      </c>
      <c r="G992" t="s">
        <v>119</v>
      </c>
      <c r="H992" s="6">
        <v>581002</v>
      </c>
      <c r="I992" s="6">
        <v>2.8702039125645235E-3</v>
      </c>
      <c r="J992" s="6">
        <v>6469.4396189204363</v>
      </c>
      <c r="K992" s="6">
        <v>5745998</v>
      </c>
      <c r="M992" s="6">
        <f t="shared" si="80"/>
        <v>587471.43961892044</v>
      </c>
      <c r="N992" s="6">
        <f t="shared" si="81"/>
        <v>5745998</v>
      </c>
      <c r="O992" s="6">
        <f t="shared" si="82"/>
        <v>6333469.4396189209</v>
      </c>
      <c r="P992" s="8">
        <f>VLOOKUP(F992,'LEAID Match'!$A$2:$B$436,2,FALSE)</f>
        <v>1804980</v>
      </c>
      <c r="Q992" s="6">
        <f t="shared" si="83"/>
        <v>9</v>
      </c>
    </row>
    <row r="993" spans="1:17" x14ac:dyDescent="0.2">
      <c r="A993" s="16">
        <f t="shared" si="79"/>
        <v>1804980</v>
      </c>
      <c r="B993">
        <v>2022</v>
      </c>
      <c r="C993" t="s">
        <v>904</v>
      </c>
      <c r="D993" t="s">
        <v>906</v>
      </c>
      <c r="E993" t="s">
        <v>1899</v>
      </c>
      <c r="F993" t="s">
        <v>505</v>
      </c>
      <c r="G993" t="s">
        <v>119</v>
      </c>
      <c r="H993" s="6">
        <v>622502</v>
      </c>
      <c r="I993" s="6">
        <v>2.9557551887035415E-3</v>
      </c>
      <c r="J993" s="6">
        <v>6517.4401910913093</v>
      </c>
      <c r="K993" s="6">
        <v>5681944</v>
      </c>
      <c r="M993" s="6">
        <f t="shared" si="80"/>
        <v>629019.44019109127</v>
      </c>
      <c r="N993" s="6">
        <f t="shared" si="81"/>
        <v>5681944</v>
      </c>
      <c r="O993" s="6">
        <f t="shared" si="82"/>
        <v>6310963.440191091</v>
      </c>
      <c r="P993" s="8">
        <f>VLOOKUP(F993,'LEAID Match'!$A$2:$B$436,2,FALSE)</f>
        <v>1804980</v>
      </c>
      <c r="Q993" s="6">
        <f t="shared" si="83"/>
        <v>9</v>
      </c>
    </row>
    <row r="994" spans="1:17" x14ac:dyDescent="0.2">
      <c r="A994" s="16">
        <f t="shared" si="79"/>
        <v>1804980</v>
      </c>
      <c r="B994">
        <v>2023</v>
      </c>
      <c r="C994" t="s">
        <v>904</v>
      </c>
      <c r="D994" t="s">
        <v>906</v>
      </c>
      <c r="E994" t="s">
        <v>1900</v>
      </c>
      <c r="F994" t="s">
        <v>505</v>
      </c>
      <c r="G994" t="s">
        <v>119</v>
      </c>
      <c r="H994" s="6">
        <v>704955</v>
      </c>
      <c r="I994" s="6">
        <v>2.8828786106965269E-3</v>
      </c>
      <c r="J994" s="6">
        <v>7112.0615325883318</v>
      </c>
      <c r="K994" s="6">
        <v>13589692</v>
      </c>
      <c r="M994" s="6">
        <f t="shared" si="80"/>
        <v>712067.06153258833</v>
      </c>
      <c r="N994" s="6">
        <f t="shared" si="81"/>
        <v>13589692</v>
      </c>
      <c r="O994" s="6">
        <f t="shared" si="82"/>
        <v>14301759.061532589</v>
      </c>
      <c r="P994" s="8">
        <f>VLOOKUP(F994,'LEAID Match'!$A$2:$B$436,2,FALSE)</f>
        <v>1804980</v>
      </c>
      <c r="Q994" s="6">
        <f t="shared" si="83"/>
        <v>9</v>
      </c>
    </row>
    <row r="995" spans="1:17" x14ac:dyDescent="0.2">
      <c r="A995" s="16">
        <f t="shared" si="79"/>
        <v>1810800</v>
      </c>
      <c r="B995">
        <v>2015</v>
      </c>
      <c r="C995" t="s">
        <v>904</v>
      </c>
      <c r="D995" t="s">
        <v>906</v>
      </c>
      <c r="E995" t="s">
        <v>1901</v>
      </c>
      <c r="F995" t="s">
        <v>691</v>
      </c>
      <c r="G995" t="s">
        <v>120</v>
      </c>
      <c r="H995" s="6">
        <v>221018</v>
      </c>
      <c r="I995" s="6">
        <v>1.0747457886160819E-3</v>
      </c>
      <c r="J995" s="6">
        <v>6245.3477776480522</v>
      </c>
      <c r="K995" s="6">
        <v>908822.23478637601</v>
      </c>
      <c r="M995" s="6">
        <f t="shared" si="80"/>
        <v>227263.34777764804</v>
      </c>
      <c r="N995" s="6">
        <f t="shared" si="81"/>
        <v>908822.23478637601</v>
      </c>
      <c r="O995" s="6">
        <f t="shared" si="82"/>
        <v>1136085.582564024</v>
      </c>
      <c r="P995" s="8">
        <f>VLOOKUP(F995,'LEAID Match'!$A$2:$B$436,2,FALSE)</f>
        <v>1810800</v>
      </c>
      <c r="Q995" s="6">
        <f t="shared" si="83"/>
        <v>9</v>
      </c>
    </row>
    <row r="996" spans="1:17" x14ac:dyDescent="0.2">
      <c r="A996" s="16">
        <f t="shared" si="79"/>
        <v>1810800</v>
      </c>
      <c r="B996">
        <v>2016</v>
      </c>
      <c r="C996" t="s">
        <v>904</v>
      </c>
      <c r="D996" t="s">
        <v>906</v>
      </c>
      <c r="E996" t="s">
        <v>1902</v>
      </c>
      <c r="F996" t="s">
        <v>691</v>
      </c>
      <c r="G996" t="s">
        <v>120</v>
      </c>
      <c r="H996" s="6">
        <v>243646</v>
      </c>
      <c r="I996" s="6">
        <v>1.1305473636893974E-3</v>
      </c>
      <c r="J996" s="6">
        <v>5707.0030919040782</v>
      </c>
      <c r="K996" s="6">
        <v>1003360.78527434</v>
      </c>
      <c r="M996" s="6">
        <f t="shared" si="80"/>
        <v>249353.00309190407</v>
      </c>
      <c r="N996" s="6">
        <f t="shared" si="81"/>
        <v>1003360.78527434</v>
      </c>
      <c r="O996" s="6">
        <f t="shared" si="82"/>
        <v>1252713.7883662439</v>
      </c>
      <c r="P996" s="8">
        <f>VLOOKUP(F996,'LEAID Match'!$A$2:$B$436,2,FALSE)</f>
        <v>1810800</v>
      </c>
      <c r="Q996" s="6">
        <f t="shared" si="83"/>
        <v>9</v>
      </c>
    </row>
    <row r="997" spans="1:17" x14ac:dyDescent="0.2">
      <c r="A997" s="16">
        <f t="shared" si="79"/>
        <v>1810800</v>
      </c>
      <c r="B997">
        <v>2017</v>
      </c>
      <c r="C997" t="s">
        <v>904</v>
      </c>
      <c r="D997" t="s">
        <v>906</v>
      </c>
      <c r="E997" t="s">
        <v>1903</v>
      </c>
      <c r="F997" t="s">
        <v>691</v>
      </c>
      <c r="G997" t="s">
        <v>120</v>
      </c>
      <c r="H997" s="6">
        <v>264550</v>
      </c>
      <c r="I997" s="6">
        <v>1.1649268261044836E-3</v>
      </c>
      <c r="J997" s="6">
        <v>5271.2938881227883</v>
      </c>
      <c r="K997" s="6">
        <v>1014651.265537</v>
      </c>
      <c r="M997" s="6">
        <f t="shared" si="80"/>
        <v>269821.29388812277</v>
      </c>
      <c r="N997" s="6">
        <f t="shared" si="81"/>
        <v>1014651.265537</v>
      </c>
      <c r="O997" s="6">
        <f t="shared" si="82"/>
        <v>1284472.5594251228</v>
      </c>
      <c r="P997" s="8">
        <f>VLOOKUP(F997,'LEAID Match'!$A$2:$B$436,2,FALSE)</f>
        <v>1810800</v>
      </c>
      <c r="Q997" s="6">
        <f t="shared" si="83"/>
        <v>9</v>
      </c>
    </row>
    <row r="998" spans="1:17" x14ac:dyDescent="0.2">
      <c r="A998" s="16">
        <f t="shared" si="79"/>
        <v>1810800</v>
      </c>
      <c r="B998">
        <v>2018</v>
      </c>
      <c r="C998" t="s">
        <v>904</v>
      </c>
      <c r="D998" t="s">
        <v>906</v>
      </c>
      <c r="E998" t="s">
        <v>1904</v>
      </c>
      <c r="F998" t="s">
        <v>691</v>
      </c>
      <c r="G998" t="s">
        <v>120</v>
      </c>
      <c r="H998" s="6">
        <v>260607</v>
      </c>
      <c r="I998" s="6">
        <v>1.1055915321328154E-3</v>
      </c>
      <c r="J998" s="6">
        <v>4608.105505929575</v>
      </c>
      <c r="K998" s="6">
        <v>1283041</v>
      </c>
      <c r="M998" s="6">
        <f t="shared" si="80"/>
        <v>265215.10550592956</v>
      </c>
      <c r="N998" s="6">
        <f t="shared" si="81"/>
        <v>1283041</v>
      </c>
      <c r="O998" s="6">
        <f t="shared" si="82"/>
        <v>1548256.1055059296</v>
      </c>
      <c r="P998" s="8">
        <f>VLOOKUP(F998,'LEAID Match'!$A$2:$B$436,2,FALSE)</f>
        <v>1810800</v>
      </c>
      <c r="Q998" s="6">
        <f t="shared" si="83"/>
        <v>9</v>
      </c>
    </row>
    <row r="999" spans="1:17" x14ac:dyDescent="0.2">
      <c r="A999" s="16">
        <f t="shared" si="79"/>
        <v>1810800</v>
      </c>
      <c r="B999">
        <v>2019</v>
      </c>
      <c r="C999" t="s">
        <v>904</v>
      </c>
      <c r="D999" t="s">
        <v>906</v>
      </c>
      <c r="E999" t="s">
        <v>1905</v>
      </c>
      <c r="F999" t="s">
        <v>691</v>
      </c>
      <c r="G999" t="s">
        <v>120</v>
      </c>
      <c r="H999" s="6">
        <v>259809</v>
      </c>
      <c r="I999" s="6">
        <v>6.6095268694404865E-4</v>
      </c>
      <c r="J999" s="6">
        <v>2316.6391677388906</v>
      </c>
      <c r="K999" s="6">
        <v>623873.24120648694</v>
      </c>
      <c r="M999" s="6">
        <f t="shared" si="80"/>
        <v>262125.6391677389</v>
      </c>
      <c r="N999" s="6">
        <f t="shared" si="81"/>
        <v>623873.24120648694</v>
      </c>
      <c r="O999" s="6">
        <f t="shared" si="82"/>
        <v>885998.88037422579</v>
      </c>
      <c r="P999" s="8">
        <f>VLOOKUP(F999,'LEAID Match'!$A$2:$B$436,2,FALSE)</f>
        <v>1810800</v>
      </c>
      <c r="Q999" s="6">
        <f t="shared" si="83"/>
        <v>9</v>
      </c>
    </row>
    <row r="1000" spans="1:17" x14ac:dyDescent="0.2">
      <c r="A1000" s="16">
        <f t="shared" si="79"/>
        <v>1810800</v>
      </c>
      <c r="B1000">
        <v>2020</v>
      </c>
      <c r="C1000" t="s">
        <v>904</v>
      </c>
      <c r="D1000" t="s">
        <v>906</v>
      </c>
      <c r="E1000" t="s">
        <v>1906</v>
      </c>
      <c r="F1000" t="s">
        <v>691</v>
      </c>
      <c r="G1000" t="s">
        <v>120</v>
      </c>
      <c r="H1000" s="6">
        <v>179569</v>
      </c>
      <c r="I1000" s="6">
        <v>9.5148364398614537E-4</v>
      </c>
      <c r="J1000" s="6">
        <v>2241.6954652313584</v>
      </c>
      <c r="K1000" s="6">
        <v>1373472</v>
      </c>
      <c r="M1000" s="6">
        <f t="shared" si="80"/>
        <v>181810.69546523137</v>
      </c>
      <c r="N1000" s="6">
        <f t="shared" si="81"/>
        <v>1373472</v>
      </c>
      <c r="O1000" s="6">
        <f t="shared" si="82"/>
        <v>1555282.6954652313</v>
      </c>
      <c r="P1000" s="8">
        <f>VLOOKUP(F1000,'LEAID Match'!$A$2:$B$436,2,FALSE)</f>
        <v>1810800</v>
      </c>
      <c r="Q1000" s="6">
        <f t="shared" si="83"/>
        <v>9</v>
      </c>
    </row>
    <row r="1001" spans="1:17" x14ac:dyDescent="0.2">
      <c r="A1001" s="16">
        <f t="shared" si="79"/>
        <v>1810800</v>
      </c>
      <c r="B1001">
        <v>2021</v>
      </c>
      <c r="C1001" t="s">
        <v>904</v>
      </c>
      <c r="D1001" t="s">
        <v>906</v>
      </c>
      <c r="E1001" t="s">
        <v>1907</v>
      </c>
      <c r="F1001" t="s">
        <v>691</v>
      </c>
      <c r="G1001" t="s">
        <v>120</v>
      </c>
      <c r="H1001" s="6">
        <v>178254</v>
      </c>
      <c r="I1001" s="6">
        <v>8.8059133743132823E-4</v>
      </c>
      <c r="J1001" s="6">
        <v>1984.8528745702138</v>
      </c>
      <c r="K1001" s="6">
        <v>2303258</v>
      </c>
      <c r="M1001" s="6">
        <f t="shared" si="80"/>
        <v>180238.85287457021</v>
      </c>
      <c r="N1001" s="6">
        <f t="shared" si="81"/>
        <v>2303258</v>
      </c>
      <c r="O1001" s="6">
        <f t="shared" si="82"/>
        <v>2483496.8528745701</v>
      </c>
      <c r="P1001" s="8">
        <f>VLOOKUP(F1001,'LEAID Match'!$A$2:$B$436,2,FALSE)</f>
        <v>1810800</v>
      </c>
      <c r="Q1001" s="6">
        <f t="shared" si="83"/>
        <v>9</v>
      </c>
    </row>
    <row r="1002" spans="1:17" x14ac:dyDescent="0.2">
      <c r="A1002" s="16">
        <f t="shared" si="79"/>
        <v>1810800</v>
      </c>
      <c r="B1002">
        <v>2022</v>
      </c>
      <c r="C1002" t="s">
        <v>904</v>
      </c>
      <c r="D1002" t="s">
        <v>906</v>
      </c>
      <c r="E1002" t="s">
        <v>1908</v>
      </c>
      <c r="F1002" t="s">
        <v>691</v>
      </c>
      <c r="G1002" t="s">
        <v>120</v>
      </c>
      <c r="H1002" s="6">
        <v>200520</v>
      </c>
      <c r="I1002" s="6">
        <v>9.5210622686968741E-4</v>
      </c>
      <c r="J1002" s="6">
        <v>2099.3942302476607</v>
      </c>
      <c r="K1002" s="6">
        <v>2229025</v>
      </c>
      <c r="M1002" s="6">
        <f t="shared" si="80"/>
        <v>202619.39423024765</v>
      </c>
      <c r="N1002" s="6">
        <f t="shared" si="81"/>
        <v>2229025</v>
      </c>
      <c r="O1002" s="6">
        <f t="shared" si="82"/>
        <v>2431644.3942302475</v>
      </c>
      <c r="P1002" s="8">
        <f>VLOOKUP(F1002,'LEAID Match'!$A$2:$B$436,2,FALSE)</f>
        <v>1810800</v>
      </c>
      <c r="Q1002" s="6">
        <f t="shared" si="83"/>
        <v>9</v>
      </c>
    </row>
    <row r="1003" spans="1:17" x14ac:dyDescent="0.2">
      <c r="A1003" s="16">
        <f t="shared" si="79"/>
        <v>1810800</v>
      </c>
      <c r="B1003">
        <v>2023</v>
      </c>
      <c r="C1003" t="s">
        <v>904</v>
      </c>
      <c r="D1003" t="s">
        <v>906</v>
      </c>
      <c r="E1003" t="s">
        <v>1909</v>
      </c>
      <c r="F1003" t="s">
        <v>691</v>
      </c>
      <c r="G1003" t="s">
        <v>120</v>
      </c>
      <c r="H1003" s="6">
        <v>239542</v>
      </c>
      <c r="I1003" s="6">
        <v>9.795951630436942E-4</v>
      </c>
      <c r="J1003" s="6">
        <v>2416.6612672287938</v>
      </c>
      <c r="K1003" s="6">
        <v>6653185</v>
      </c>
      <c r="M1003" s="6">
        <f t="shared" si="80"/>
        <v>241958.6612672288</v>
      </c>
      <c r="N1003" s="6">
        <f t="shared" si="81"/>
        <v>6653185</v>
      </c>
      <c r="O1003" s="6">
        <f t="shared" si="82"/>
        <v>6895143.6612672284</v>
      </c>
      <c r="P1003" s="8">
        <f>VLOOKUP(F1003,'LEAID Match'!$A$2:$B$436,2,FALSE)</f>
        <v>1810800</v>
      </c>
      <c r="Q1003" s="6">
        <f t="shared" si="83"/>
        <v>9</v>
      </c>
    </row>
    <row r="1004" spans="1:17" x14ac:dyDescent="0.2">
      <c r="A1004" s="16">
        <f t="shared" si="79"/>
        <v>1806120</v>
      </c>
      <c r="B1004">
        <v>2015</v>
      </c>
      <c r="C1004" t="s">
        <v>904</v>
      </c>
      <c r="D1004" t="s">
        <v>906</v>
      </c>
      <c r="E1004" t="s">
        <v>1910</v>
      </c>
      <c r="F1004" t="s">
        <v>506</v>
      </c>
      <c r="G1004" t="s">
        <v>121</v>
      </c>
      <c r="H1004" s="6">
        <v>433721</v>
      </c>
      <c r="I1004" s="6">
        <v>2.1090581680422212E-3</v>
      </c>
      <c r="J1004" s="6">
        <v>12255.737014493348</v>
      </c>
      <c r="K1004" s="6">
        <v>1783453.33182719</v>
      </c>
      <c r="M1004" s="6">
        <f t="shared" si="80"/>
        <v>445976.73701449332</v>
      </c>
      <c r="N1004" s="6">
        <f t="shared" si="81"/>
        <v>1783453.33182719</v>
      </c>
      <c r="O1004" s="6">
        <f t="shared" si="82"/>
        <v>2229430.0688416832</v>
      </c>
      <c r="P1004" s="8">
        <f>VLOOKUP(F1004,'LEAID Match'!$A$2:$B$436,2,FALSE)</f>
        <v>1806120</v>
      </c>
      <c r="Q1004" s="6">
        <f t="shared" si="83"/>
        <v>9</v>
      </c>
    </row>
    <row r="1005" spans="1:17" x14ac:dyDescent="0.2">
      <c r="A1005" s="16">
        <f t="shared" si="79"/>
        <v>1806120</v>
      </c>
      <c r="B1005">
        <v>2016</v>
      </c>
      <c r="C1005" t="s">
        <v>904</v>
      </c>
      <c r="D1005" t="s">
        <v>906</v>
      </c>
      <c r="E1005" t="s">
        <v>1911</v>
      </c>
      <c r="F1005" t="s">
        <v>506</v>
      </c>
      <c r="G1005" t="s">
        <v>121</v>
      </c>
      <c r="H1005" s="6">
        <v>493664</v>
      </c>
      <c r="I1005" s="6">
        <v>2.2906615899639751E-3</v>
      </c>
      <c r="J1005" s="6">
        <v>11563.259706138146</v>
      </c>
      <c r="K1005" s="6">
        <v>2032962.1610930201</v>
      </c>
      <c r="M1005" s="6">
        <f t="shared" si="80"/>
        <v>505227.25970613817</v>
      </c>
      <c r="N1005" s="6">
        <f t="shared" si="81"/>
        <v>2032962.1610930201</v>
      </c>
      <c r="O1005" s="6">
        <f t="shared" si="82"/>
        <v>2538189.4207991585</v>
      </c>
      <c r="P1005" s="8">
        <f>VLOOKUP(F1005,'LEAID Match'!$A$2:$B$436,2,FALSE)</f>
        <v>1806120</v>
      </c>
      <c r="Q1005" s="6">
        <f t="shared" si="83"/>
        <v>9</v>
      </c>
    </row>
    <row r="1006" spans="1:17" x14ac:dyDescent="0.2">
      <c r="A1006" s="16">
        <f t="shared" si="79"/>
        <v>1806120</v>
      </c>
      <c r="B1006">
        <v>2017</v>
      </c>
      <c r="C1006" t="s">
        <v>904</v>
      </c>
      <c r="D1006" t="s">
        <v>906</v>
      </c>
      <c r="E1006" t="s">
        <v>1912</v>
      </c>
      <c r="F1006" t="s">
        <v>506</v>
      </c>
      <c r="G1006" t="s">
        <v>121</v>
      </c>
      <c r="H1006" s="6">
        <v>544881</v>
      </c>
      <c r="I1006" s="6">
        <v>2.3993441464170745E-3</v>
      </c>
      <c r="J1006" s="6">
        <v>10857.032262537263</v>
      </c>
      <c r="K1006" s="6">
        <v>2089828.7515292701</v>
      </c>
      <c r="M1006" s="6">
        <f t="shared" si="80"/>
        <v>555738.03226253728</v>
      </c>
      <c r="N1006" s="6">
        <f t="shared" si="81"/>
        <v>2089828.7515292701</v>
      </c>
      <c r="O1006" s="6">
        <f t="shared" si="82"/>
        <v>2645566.7837918075</v>
      </c>
      <c r="P1006" s="8">
        <f>VLOOKUP(F1006,'LEAID Match'!$A$2:$B$436,2,FALSE)</f>
        <v>1806120</v>
      </c>
      <c r="Q1006" s="6">
        <f t="shared" si="83"/>
        <v>9</v>
      </c>
    </row>
    <row r="1007" spans="1:17" x14ac:dyDescent="0.2">
      <c r="A1007" s="16">
        <f t="shared" si="79"/>
        <v>1806120</v>
      </c>
      <c r="B1007">
        <v>2018</v>
      </c>
      <c r="C1007" t="s">
        <v>904</v>
      </c>
      <c r="D1007" t="s">
        <v>906</v>
      </c>
      <c r="E1007" t="s">
        <v>1913</v>
      </c>
      <c r="F1007" t="s">
        <v>506</v>
      </c>
      <c r="G1007" t="s">
        <v>121</v>
      </c>
      <c r="H1007" s="6">
        <v>561844</v>
      </c>
      <c r="I1007" s="6">
        <v>2.383550590658077E-3</v>
      </c>
      <c r="J1007" s="6">
        <v>9934.6388618628644</v>
      </c>
      <c r="K1007" s="6">
        <v>3365205</v>
      </c>
      <c r="M1007" s="6">
        <f t="shared" si="80"/>
        <v>571778.63886186283</v>
      </c>
      <c r="N1007" s="6">
        <f t="shared" si="81"/>
        <v>3365205</v>
      </c>
      <c r="O1007" s="6">
        <f t="shared" si="82"/>
        <v>3936983.6388618629</v>
      </c>
      <c r="P1007" s="8">
        <f>VLOOKUP(F1007,'LEAID Match'!$A$2:$B$436,2,FALSE)</f>
        <v>1806120</v>
      </c>
      <c r="Q1007" s="6">
        <f t="shared" si="83"/>
        <v>9</v>
      </c>
    </row>
    <row r="1008" spans="1:17" x14ac:dyDescent="0.2">
      <c r="A1008" s="16">
        <f t="shared" si="79"/>
        <v>1806120</v>
      </c>
      <c r="B1008">
        <v>2019</v>
      </c>
      <c r="C1008" t="s">
        <v>904</v>
      </c>
      <c r="D1008" t="s">
        <v>906</v>
      </c>
      <c r="E1008" t="s">
        <v>1914</v>
      </c>
      <c r="F1008" t="s">
        <v>506</v>
      </c>
      <c r="G1008" t="s">
        <v>121</v>
      </c>
      <c r="H1008" s="6">
        <v>570177</v>
      </c>
      <c r="I1008" s="6">
        <v>1.4505271956848948E-3</v>
      </c>
      <c r="J1008" s="6">
        <v>5084.097820875556</v>
      </c>
      <c r="K1008" s="6">
        <v>1369152.6200069699</v>
      </c>
      <c r="M1008" s="6">
        <f t="shared" si="80"/>
        <v>575261.09782087558</v>
      </c>
      <c r="N1008" s="6">
        <f t="shared" si="81"/>
        <v>1369152.6200069699</v>
      </c>
      <c r="O1008" s="6">
        <f t="shared" si="82"/>
        <v>1944413.7178278454</v>
      </c>
      <c r="P1008" s="8">
        <f>VLOOKUP(F1008,'LEAID Match'!$A$2:$B$436,2,FALSE)</f>
        <v>1806120</v>
      </c>
      <c r="Q1008" s="6">
        <f t="shared" si="83"/>
        <v>9</v>
      </c>
    </row>
    <row r="1009" spans="1:17" x14ac:dyDescent="0.2">
      <c r="A1009" s="16">
        <f t="shared" si="79"/>
        <v>1806120</v>
      </c>
      <c r="B1009">
        <v>2020</v>
      </c>
      <c r="C1009" t="s">
        <v>904</v>
      </c>
      <c r="D1009" t="s">
        <v>906</v>
      </c>
      <c r="E1009" t="s">
        <v>1915</v>
      </c>
      <c r="F1009" t="s">
        <v>506</v>
      </c>
      <c r="G1009" t="s">
        <v>121</v>
      </c>
      <c r="H1009" s="6">
        <v>434048</v>
      </c>
      <c r="I1009" s="6">
        <v>2.2998934821984777E-3</v>
      </c>
      <c r="J1009" s="6">
        <v>5418.5490440596132</v>
      </c>
      <c r="K1009" s="6">
        <v>3465873</v>
      </c>
      <c r="M1009" s="6">
        <f t="shared" si="80"/>
        <v>439466.54904405959</v>
      </c>
      <c r="N1009" s="6">
        <f t="shared" si="81"/>
        <v>3465873</v>
      </c>
      <c r="O1009" s="6">
        <f t="shared" si="82"/>
        <v>3905339.5490440596</v>
      </c>
      <c r="P1009" s="8">
        <f>VLOOKUP(F1009,'LEAID Match'!$A$2:$B$436,2,FALSE)</f>
        <v>1806120</v>
      </c>
      <c r="Q1009" s="6">
        <f t="shared" si="83"/>
        <v>9</v>
      </c>
    </row>
    <row r="1010" spans="1:17" x14ac:dyDescent="0.2">
      <c r="A1010" s="16">
        <f t="shared" si="79"/>
        <v>1806120</v>
      </c>
      <c r="B1010">
        <v>2021</v>
      </c>
      <c r="C1010" t="s">
        <v>904</v>
      </c>
      <c r="D1010" t="s">
        <v>906</v>
      </c>
      <c r="E1010" t="s">
        <v>1916</v>
      </c>
      <c r="F1010" t="s">
        <v>506</v>
      </c>
      <c r="G1010" t="s">
        <v>121</v>
      </c>
      <c r="H1010" s="6">
        <v>497863</v>
      </c>
      <c r="I1010" s="6">
        <v>2.4594895207264542E-3</v>
      </c>
      <c r="J1010" s="6">
        <v>5543.689379717428</v>
      </c>
      <c r="K1010" s="6">
        <v>5863319</v>
      </c>
      <c r="M1010" s="6">
        <f t="shared" si="80"/>
        <v>503406.68937971746</v>
      </c>
      <c r="N1010" s="6">
        <f t="shared" si="81"/>
        <v>5863319</v>
      </c>
      <c r="O1010" s="6">
        <f t="shared" si="82"/>
        <v>6366725.6893797172</v>
      </c>
      <c r="P1010" s="8">
        <f>VLOOKUP(F1010,'LEAID Match'!$A$2:$B$436,2,FALSE)</f>
        <v>1806120</v>
      </c>
      <c r="Q1010" s="6">
        <f t="shared" si="83"/>
        <v>9</v>
      </c>
    </row>
    <row r="1011" spans="1:17" x14ac:dyDescent="0.2">
      <c r="A1011" s="16">
        <f t="shared" si="79"/>
        <v>1806120</v>
      </c>
      <c r="B1011">
        <v>2022</v>
      </c>
      <c r="C1011" t="s">
        <v>904</v>
      </c>
      <c r="D1011" t="s">
        <v>906</v>
      </c>
      <c r="E1011" t="s">
        <v>1917</v>
      </c>
      <c r="F1011" t="s">
        <v>506</v>
      </c>
      <c r="G1011" t="s">
        <v>121</v>
      </c>
      <c r="H1011" s="6">
        <v>512006</v>
      </c>
      <c r="I1011" s="6">
        <v>2.4310996448964751E-3</v>
      </c>
      <c r="J1011" s="6">
        <v>5360.5747169967281</v>
      </c>
      <c r="K1011" s="6">
        <v>5612175</v>
      </c>
      <c r="M1011" s="6">
        <f t="shared" si="80"/>
        <v>517366.57471699675</v>
      </c>
      <c r="N1011" s="6">
        <f t="shared" si="81"/>
        <v>5612175</v>
      </c>
      <c r="O1011" s="6">
        <f t="shared" si="82"/>
        <v>6129541.5747169964</v>
      </c>
      <c r="P1011" s="8">
        <f>VLOOKUP(F1011,'LEAID Match'!$A$2:$B$436,2,FALSE)</f>
        <v>1806120</v>
      </c>
      <c r="Q1011" s="6">
        <f t="shared" si="83"/>
        <v>9</v>
      </c>
    </row>
    <row r="1012" spans="1:17" x14ac:dyDescent="0.2">
      <c r="A1012" s="16">
        <f t="shared" si="79"/>
        <v>1806120</v>
      </c>
      <c r="B1012">
        <v>2023</v>
      </c>
      <c r="C1012" t="s">
        <v>904</v>
      </c>
      <c r="D1012" t="s">
        <v>906</v>
      </c>
      <c r="E1012" t="s">
        <v>1918</v>
      </c>
      <c r="F1012" t="s">
        <v>506</v>
      </c>
      <c r="G1012" t="s">
        <v>121</v>
      </c>
      <c r="H1012" s="6">
        <v>604845</v>
      </c>
      <c r="I1012" s="6">
        <v>2.4734837163886219E-3</v>
      </c>
      <c r="J1012" s="6">
        <v>6102.0843283307304</v>
      </c>
      <c r="K1012" s="6">
        <v>15516193</v>
      </c>
      <c r="M1012" s="6">
        <f t="shared" si="80"/>
        <v>610947.0843283307</v>
      </c>
      <c r="N1012" s="6">
        <f t="shared" si="81"/>
        <v>15516193</v>
      </c>
      <c r="O1012" s="6">
        <f t="shared" si="82"/>
        <v>16127140.084328331</v>
      </c>
      <c r="P1012" s="8">
        <f>VLOOKUP(F1012,'LEAID Match'!$A$2:$B$436,2,FALSE)</f>
        <v>1806120</v>
      </c>
      <c r="Q1012" s="6">
        <f t="shared" si="83"/>
        <v>9</v>
      </c>
    </row>
    <row r="1013" spans="1:17" x14ac:dyDescent="0.2">
      <c r="A1013" s="16">
        <f t="shared" si="79"/>
        <v>1806100</v>
      </c>
      <c r="B1013">
        <v>2015</v>
      </c>
      <c r="C1013" t="s">
        <v>904</v>
      </c>
      <c r="D1013" t="s">
        <v>906</v>
      </c>
      <c r="E1013" t="s">
        <v>1919</v>
      </c>
      <c r="F1013" t="s">
        <v>692</v>
      </c>
      <c r="G1013" t="s">
        <v>122</v>
      </c>
      <c r="H1013" s="6">
        <v>123439</v>
      </c>
      <c r="I1013" s="6">
        <v>6.0024769657213682E-4</v>
      </c>
      <c r="J1013" s="6">
        <v>3488.0393647806873</v>
      </c>
      <c r="K1013" s="6">
        <v>507579.056184544</v>
      </c>
      <c r="M1013" s="6">
        <f t="shared" si="80"/>
        <v>126927.03936478069</v>
      </c>
      <c r="N1013" s="6">
        <f t="shared" si="81"/>
        <v>507579.056184544</v>
      </c>
      <c r="O1013" s="6">
        <f t="shared" si="82"/>
        <v>634506.09554932464</v>
      </c>
      <c r="P1013" s="8">
        <f>VLOOKUP(F1013,'LEAID Match'!$A$2:$B$436,2,FALSE)</f>
        <v>1806100</v>
      </c>
      <c r="Q1013" s="6">
        <f t="shared" si="83"/>
        <v>9</v>
      </c>
    </row>
    <row r="1014" spans="1:17" x14ac:dyDescent="0.2">
      <c r="A1014" s="16">
        <f t="shared" si="79"/>
        <v>1806100</v>
      </c>
      <c r="B1014">
        <v>2016</v>
      </c>
      <c r="C1014" t="s">
        <v>904</v>
      </c>
      <c r="D1014" t="s">
        <v>906</v>
      </c>
      <c r="E1014" t="s">
        <v>1920</v>
      </c>
      <c r="F1014" t="s">
        <v>692</v>
      </c>
      <c r="G1014" t="s">
        <v>122</v>
      </c>
      <c r="H1014" s="6">
        <v>124694</v>
      </c>
      <c r="I1014" s="6">
        <v>5.7859547445016828E-4</v>
      </c>
      <c r="J1014" s="6">
        <v>2920.7499550244493</v>
      </c>
      <c r="K1014" s="6">
        <v>513503.483574524</v>
      </c>
      <c r="M1014" s="6">
        <f t="shared" si="80"/>
        <v>127614.74995502445</v>
      </c>
      <c r="N1014" s="6">
        <f t="shared" si="81"/>
        <v>513503.483574524</v>
      </c>
      <c r="O1014" s="6">
        <f t="shared" si="82"/>
        <v>641118.23352954839</v>
      </c>
      <c r="P1014" s="8">
        <f>VLOOKUP(F1014,'LEAID Match'!$A$2:$B$436,2,FALSE)</f>
        <v>1806100</v>
      </c>
      <c r="Q1014" s="6">
        <f t="shared" si="83"/>
        <v>9</v>
      </c>
    </row>
    <row r="1015" spans="1:17" x14ac:dyDescent="0.2">
      <c r="A1015" s="16">
        <f t="shared" si="79"/>
        <v>1806100</v>
      </c>
      <c r="B1015">
        <v>2017</v>
      </c>
      <c r="C1015" t="s">
        <v>904</v>
      </c>
      <c r="D1015" t="s">
        <v>906</v>
      </c>
      <c r="E1015" t="s">
        <v>1921</v>
      </c>
      <c r="F1015" t="s">
        <v>692</v>
      </c>
      <c r="G1015" t="s">
        <v>122</v>
      </c>
      <c r="H1015" s="6">
        <v>85878</v>
      </c>
      <c r="I1015" s="6">
        <v>3.7815757313249226E-4</v>
      </c>
      <c r="J1015" s="6">
        <v>1711.1630184245275</v>
      </c>
      <c r="K1015" s="6">
        <v>329375.24619839998</v>
      </c>
      <c r="M1015" s="6">
        <f t="shared" si="80"/>
        <v>87589.16301842453</v>
      </c>
      <c r="N1015" s="6">
        <f t="shared" si="81"/>
        <v>329375.24619839998</v>
      </c>
      <c r="O1015" s="6">
        <f t="shared" si="82"/>
        <v>416964.40921682451</v>
      </c>
      <c r="P1015" s="8">
        <f>VLOOKUP(F1015,'LEAID Match'!$A$2:$B$436,2,FALSE)</f>
        <v>1806100</v>
      </c>
      <c r="Q1015" s="6">
        <f t="shared" si="83"/>
        <v>9</v>
      </c>
    </row>
    <row r="1016" spans="1:17" x14ac:dyDescent="0.2">
      <c r="A1016" s="16">
        <f t="shared" si="79"/>
        <v>1806100</v>
      </c>
      <c r="B1016">
        <v>2018</v>
      </c>
      <c r="C1016" t="s">
        <v>904</v>
      </c>
      <c r="D1016" t="s">
        <v>906</v>
      </c>
      <c r="E1016" t="s">
        <v>1922</v>
      </c>
      <c r="F1016" t="s">
        <v>692</v>
      </c>
      <c r="G1016" t="s">
        <v>122</v>
      </c>
      <c r="H1016" s="6">
        <v>89332</v>
      </c>
      <c r="I1016" s="6">
        <v>3.7897947003913423E-4</v>
      </c>
      <c r="J1016" s="6">
        <v>1579.5864311231114</v>
      </c>
      <c r="K1016" s="6">
        <v>586263</v>
      </c>
      <c r="M1016" s="6">
        <f t="shared" si="80"/>
        <v>90911.586431123113</v>
      </c>
      <c r="N1016" s="6">
        <f t="shared" si="81"/>
        <v>586263</v>
      </c>
      <c r="O1016" s="6">
        <f t="shared" si="82"/>
        <v>677174.58643112308</v>
      </c>
      <c r="P1016" s="8">
        <f>VLOOKUP(F1016,'LEAID Match'!$A$2:$B$436,2,FALSE)</f>
        <v>1806100</v>
      </c>
      <c r="Q1016" s="6">
        <f t="shared" si="83"/>
        <v>9</v>
      </c>
    </row>
    <row r="1017" spans="1:17" x14ac:dyDescent="0.2">
      <c r="A1017" s="16">
        <f t="shared" si="79"/>
        <v>1806100</v>
      </c>
      <c r="B1017">
        <v>2019</v>
      </c>
      <c r="C1017" t="s">
        <v>904</v>
      </c>
      <c r="D1017" t="s">
        <v>906</v>
      </c>
      <c r="E1017" t="s">
        <v>1923</v>
      </c>
      <c r="F1017" t="s">
        <v>692</v>
      </c>
      <c r="G1017" t="s">
        <v>122</v>
      </c>
      <c r="H1017" s="6">
        <v>97585</v>
      </c>
      <c r="I1017" s="6">
        <v>2.4825571075457348E-4</v>
      </c>
      <c r="J1017" s="6">
        <v>870.13626619478009</v>
      </c>
      <c r="K1017" s="6">
        <v>234328.565381241</v>
      </c>
      <c r="M1017" s="6">
        <f t="shared" si="80"/>
        <v>98455.136266194779</v>
      </c>
      <c r="N1017" s="6">
        <f t="shared" si="81"/>
        <v>234328.565381241</v>
      </c>
      <c r="O1017" s="6">
        <f t="shared" si="82"/>
        <v>332783.70164743578</v>
      </c>
      <c r="P1017" s="8">
        <f>VLOOKUP(F1017,'LEAID Match'!$A$2:$B$436,2,FALSE)</f>
        <v>1806100</v>
      </c>
      <c r="Q1017" s="6">
        <f t="shared" si="83"/>
        <v>9</v>
      </c>
    </row>
    <row r="1018" spans="1:17" x14ac:dyDescent="0.2">
      <c r="A1018" s="16">
        <f t="shared" si="79"/>
        <v>1806100</v>
      </c>
      <c r="B1018">
        <v>2020</v>
      </c>
      <c r="C1018" t="s">
        <v>904</v>
      </c>
      <c r="D1018" t="s">
        <v>906</v>
      </c>
      <c r="E1018" t="s">
        <v>1924</v>
      </c>
      <c r="F1018" t="s">
        <v>692</v>
      </c>
      <c r="G1018" t="s">
        <v>122</v>
      </c>
      <c r="H1018" s="6">
        <v>76581</v>
      </c>
      <c r="I1018" s="6">
        <v>4.0578033480223754E-4</v>
      </c>
      <c r="J1018" s="6">
        <v>956.01846879407162</v>
      </c>
      <c r="K1018" s="6">
        <v>674451</v>
      </c>
      <c r="M1018" s="6">
        <f t="shared" si="80"/>
        <v>77537.018468794078</v>
      </c>
      <c r="N1018" s="6">
        <f t="shared" si="81"/>
        <v>674451</v>
      </c>
      <c r="O1018" s="6">
        <f t="shared" si="82"/>
        <v>751988.01846879406</v>
      </c>
      <c r="P1018" s="8">
        <f>VLOOKUP(F1018,'LEAID Match'!$A$2:$B$436,2,FALSE)</f>
        <v>1806100</v>
      </c>
      <c r="Q1018" s="6">
        <f t="shared" si="83"/>
        <v>9</v>
      </c>
    </row>
    <row r="1019" spans="1:17" x14ac:dyDescent="0.2">
      <c r="A1019" s="16">
        <f t="shared" si="79"/>
        <v>1806100</v>
      </c>
      <c r="B1019">
        <v>2021</v>
      </c>
      <c r="C1019" t="s">
        <v>904</v>
      </c>
      <c r="D1019" t="s">
        <v>906</v>
      </c>
      <c r="E1019" t="s">
        <v>1925</v>
      </c>
      <c r="F1019" t="s">
        <v>692</v>
      </c>
      <c r="G1019" t="s">
        <v>122</v>
      </c>
      <c r="H1019" s="6">
        <v>78045</v>
      </c>
      <c r="I1019" s="6">
        <v>3.8554955810151813E-4</v>
      </c>
      <c r="J1019" s="6">
        <v>869.02870396082187</v>
      </c>
      <c r="K1019" s="6">
        <v>1049173</v>
      </c>
      <c r="M1019" s="6">
        <f t="shared" si="80"/>
        <v>78914.028703960823</v>
      </c>
      <c r="N1019" s="6">
        <f t="shared" si="81"/>
        <v>1049173</v>
      </c>
      <c r="O1019" s="6">
        <f t="shared" si="82"/>
        <v>1128087.0287039608</v>
      </c>
      <c r="P1019" s="8">
        <f>VLOOKUP(F1019,'LEAID Match'!$A$2:$B$436,2,FALSE)</f>
        <v>1806100</v>
      </c>
      <c r="Q1019" s="6">
        <f t="shared" si="83"/>
        <v>9</v>
      </c>
    </row>
    <row r="1020" spans="1:17" x14ac:dyDescent="0.2">
      <c r="A1020" s="16">
        <f t="shared" si="79"/>
        <v>1806100</v>
      </c>
      <c r="B1020">
        <v>2022</v>
      </c>
      <c r="C1020" t="s">
        <v>904</v>
      </c>
      <c r="D1020" t="s">
        <v>906</v>
      </c>
      <c r="E1020" t="s">
        <v>1926</v>
      </c>
      <c r="F1020" t="s">
        <v>692</v>
      </c>
      <c r="G1020" t="s">
        <v>122</v>
      </c>
      <c r="H1020" s="6">
        <v>74230</v>
      </c>
      <c r="I1020" s="6">
        <v>3.5245783572978705E-4</v>
      </c>
      <c r="J1020" s="6">
        <v>777.16952778418045</v>
      </c>
      <c r="K1020" s="6">
        <v>1038775</v>
      </c>
      <c r="M1020" s="6">
        <f t="shared" si="80"/>
        <v>75007.169527784179</v>
      </c>
      <c r="N1020" s="6">
        <f t="shared" si="81"/>
        <v>1038775</v>
      </c>
      <c r="O1020" s="6">
        <f t="shared" si="82"/>
        <v>1113782.1695277842</v>
      </c>
      <c r="P1020" s="8">
        <f>VLOOKUP(F1020,'LEAID Match'!$A$2:$B$436,2,FALSE)</f>
        <v>1806100</v>
      </c>
      <c r="Q1020" s="6">
        <f t="shared" si="83"/>
        <v>9</v>
      </c>
    </row>
    <row r="1021" spans="1:17" x14ac:dyDescent="0.2">
      <c r="A1021" s="16">
        <f t="shared" si="79"/>
        <v>1806100</v>
      </c>
      <c r="B1021">
        <v>2023</v>
      </c>
      <c r="C1021" t="s">
        <v>904</v>
      </c>
      <c r="D1021" t="s">
        <v>906</v>
      </c>
      <c r="E1021" t="s">
        <v>1927</v>
      </c>
      <c r="F1021" t="s">
        <v>692</v>
      </c>
      <c r="G1021" t="s">
        <v>122</v>
      </c>
      <c r="H1021" s="6">
        <v>87448</v>
      </c>
      <c r="I1021" s="6">
        <v>3.5761427147575363E-4</v>
      </c>
      <c r="J1021" s="6">
        <v>882.23440773068421</v>
      </c>
      <c r="K1021" s="6">
        <v>2432584</v>
      </c>
      <c r="M1021" s="6">
        <f t="shared" si="80"/>
        <v>88330.234407730677</v>
      </c>
      <c r="N1021" s="6">
        <f t="shared" si="81"/>
        <v>2432584</v>
      </c>
      <c r="O1021" s="6">
        <f t="shared" si="82"/>
        <v>2520914.2344077309</v>
      </c>
      <c r="P1021" s="8">
        <f>VLOOKUP(F1021,'LEAID Match'!$A$2:$B$436,2,FALSE)</f>
        <v>1806100</v>
      </c>
      <c r="Q1021" s="6">
        <f t="shared" si="83"/>
        <v>9</v>
      </c>
    </row>
    <row r="1022" spans="1:17" x14ac:dyDescent="0.2">
      <c r="A1022" s="16">
        <f t="shared" si="79"/>
        <v>1805190</v>
      </c>
      <c r="B1022">
        <v>2015</v>
      </c>
      <c r="C1022" t="s">
        <v>904</v>
      </c>
      <c r="D1022" t="s">
        <v>906</v>
      </c>
      <c r="E1022" t="s">
        <v>1928</v>
      </c>
      <c r="F1022" t="s">
        <v>693</v>
      </c>
      <c r="G1022" t="s">
        <v>123</v>
      </c>
      <c r="H1022" s="6">
        <v>877936</v>
      </c>
      <c r="I1022" s="6">
        <v>4.2691455839544675E-3</v>
      </c>
      <c r="J1022" s="6">
        <v>24808.004988359411</v>
      </c>
      <c r="K1022" s="6">
        <v>3610057.81212124</v>
      </c>
      <c r="M1022" s="6">
        <f t="shared" si="80"/>
        <v>902744.0049883594</v>
      </c>
      <c r="N1022" s="6">
        <f t="shared" si="81"/>
        <v>3610057.81212124</v>
      </c>
      <c r="O1022" s="6">
        <f t="shared" si="82"/>
        <v>4512801.8171095997</v>
      </c>
      <c r="P1022" s="8">
        <f>VLOOKUP(F1022,'LEAID Match'!$A$2:$B$436,2,FALSE)</f>
        <v>1805190</v>
      </c>
      <c r="Q1022" s="6">
        <f t="shared" si="83"/>
        <v>9</v>
      </c>
    </row>
    <row r="1023" spans="1:17" x14ac:dyDescent="0.2">
      <c r="A1023" s="16">
        <f t="shared" si="79"/>
        <v>1805190</v>
      </c>
      <c r="B1023">
        <v>2016</v>
      </c>
      <c r="C1023" t="s">
        <v>904</v>
      </c>
      <c r="D1023" t="s">
        <v>906</v>
      </c>
      <c r="E1023" t="s">
        <v>1929</v>
      </c>
      <c r="F1023" t="s">
        <v>693</v>
      </c>
      <c r="G1023" t="s">
        <v>123</v>
      </c>
      <c r="H1023" s="6">
        <v>867903</v>
      </c>
      <c r="I1023" s="6">
        <v>4.0271765125966322E-3</v>
      </c>
      <c r="J1023" s="6">
        <v>20329.187035587798</v>
      </c>
      <c r="K1023" s="6">
        <v>3574119.1549295099</v>
      </c>
      <c r="M1023" s="6">
        <f t="shared" si="80"/>
        <v>888232.18703558785</v>
      </c>
      <c r="N1023" s="6">
        <f t="shared" si="81"/>
        <v>3574119.1549295099</v>
      </c>
      <c r="O1023" s="6">
        <f t="shared" si="82"/>
        <v>4462351.3419650979</v>
      </c>
      <c r="P1023" s="8">
        <f>VLOOKUP(F1023,'LEAID Match'!$A$2:$B$436,2,FALSE)</f>
        <v>1805190</v>
      </c>
      <c r="Q1023" s="6">
        <f t="shared" si="83"/>
        <v>9</v>
      </c>
    </row>
    <row r="1024" spans="1:17" x14ac:dyDescent="0.2">
      <c r="A1024" s="16">
        <f t="shared" si="79"/>
        <v>1805190</v>
      </c>
      <c r="B1024">
        <v>2017</v>
      </c>
      <c r="C1024" t="s">
        <v>904</v>
      </c>
      <c r="D1024" t="s">
        <v>906</v>
      </c>
      <c r="E1024" t="s">
        <v>1930</v>
      </c>
      <c r="F1024" t="s">
        <v>693</v>
      </c>
      <c r="G1024" t="s">
        <v>123</v>
      </c>
      <c r="H1024" s="6">
        <v>920935</v>
      </c>
      <c r="I1024" s="6">
        <v>4.0552707866132395E-3</v>
      </c>
      <c r="J1024" s="6">
        <v>18350.10030942491</v>
      </c>
      <c r="K1024" s="6">
        <v>3532140.85514013</v>
      </c>
      <c r="M1024" s="6">
        <f t="shared" si="80"/>
        <v>939285.10030942492</v>
      </c>
      <c r="N1024" s="6">
        <f t="shared" si="81"/>
        <v>3532140.85514013</v>
      </c>
      <c r="O1024" s="6">
        <f t="shared" si="82"/>
        <v>4471425.9554495551</v>
      </c>
      <c r="P1024" s="8">
        <f>VLOOKUP(F1024,'LEAID Match'!$A$2:$B$436,2,FALSE)</f>
        <v>1805190</v>
      </c>
      <c r="Q1024" s="6">
        <f t="shared" si="83"/>
        <v>9</v>
      </c>
    </row>
    <row r="1025" spans="1:17" x14ac:dyDescent="0.2">
      <c r="A1025" s="16">
        <f t="shared" si="79"/>
        <v>1805190</v>
      </c>
      <c r="B1025">
        <v>2018</v>
      </c>
      <c r="C1025" t="s">
        <v>904</v>
      </c>
      <c r="D1025" t="s">
        <v>906</v>
      </c>
      <c r="E1025" t="s">
        <v>1931</v>
      </c>
      <c r="F1025" t="s">
        <v>693</v>
      </c>
      <c r="G1025" t="s">
        <v>123</v>
      </c>
      <c r="H1025" s="6">
        <v>938050</v>
      </c>
      <c r="I1025" s="6">
        <v>3.9795559471433517E-3</v>
      </c>
      <c r="J1025" s="6">
        <v>16586.789187693488</v>
      </c>
      <c r="K1025" s="6">
        <v>4113661</v>
      </c>
      <c r="M1025" s="6">
        <f t="shared" si="80"/>
        <v>954636.7891876935</v>
      </c>
      <c r="N1025" s="6">
        <f t="shared" si="81"/>
        <v>4113661</v>
      </c>
      <c r="O1025" s="6">
        <f t="shared" si="82"/>
        <v>5068297.789187694</v>
      </c>
      <c r="P1025" s="8">
        <f>VLOOKUP(F1025,'LEAID Match'!$A$2:$B$436,2,FALSE)</f>
        <v>1805190</v>
      </c>
      <c r="Q1025" s="6">
        <f t="shared" si="83"/>
        <v>9</v>
      </c>
    </row>
    <row r="1026" spans="1:17" x14ac:dyDescent="0.2">
      <c r="A1026" s="16">
        <f t="shared" si="79"/>
        <v>1805190</v>
      </c>
      <c r="B1026">
        <v>2019</v>
      </c>
      <c r="C1026" t="s">
        <v>904</v>
      </c>
      <c r="D1026" t="s">
        <v>906</v>
      </c>
      <c r="E1026" t="s">
        <v>1932</v>
      </c>
      <c r="F1026" t="s">
        <v>693</v>
      </c>
      <c r="G1026" t="s">
        <v>123</v>
      </c>
      <c r="H1026" s="6">
        <v>1002970</v>
      </c>
      <c r="I1026" s="6">
        <v>2.5515502404623107E-3</v>
      </c>
      <c r="J1026" s="6">
        <v>8943.1835928204</v>
      </c>
      <c r="K1026" s="6">
        <v>2408408.2719723699</v>
      </c>
      <c r="M1026" s="6">
        <f t="shared" si="80"/>
        <v>1011913.1835928204</v>
      </c>
      <c r="N1026" s="6">
        <f t="shared" si="81"/>
        <v>2408408.2719723699</v>
      </c>
      <c r="O1026" s="6">
        <f t="shared" si="82"/>
        <v>3420321.4555651904</v>
      </c>
      <c r="P1026" s="8">
        <f>VLOOKUP(F1026,'LEAID Match'!$A$2:$B$436,2,FALSE)</f>
        <v>1805190</v>
      </c>
      <c r="Q1026" s="6">
        <f t="shared" si="83"/>
        <v>9</v>
      </c>
    </row>
    <row r="1027" spans="1:17" x14ac:dyDescent="0.2">
      <c r="A1027" s="16">
        <f t="shared" ref="A1027:A1090" si="84">P1027</f>
        <v>1805190</v>
      </c>
      <c r="B1027">
        <v>2020</v>
      </c>
      <c r="C1027" t="s">
        <v>904</v>
      </c>
      <c r="D1027" t="s">
        <v>906</v>
      </c>
      <c r="E1027" t="s">
        <v>1933</v>
      </c>
      <c r="F1027" t="s">
        <v>693</v>
      </c>
      <c r="G1027" t="s">
        <v>123</v>
      </c>
      <c r="H1027" s="6">
        <v>755914</v>
      </c>
      <c r="I1027" s="6">
        <v>4.0053673365677989E-3</v>
      </c>
      <c r="J1027" s="6">
        <v>9436.6454449537341</v>
      </c>
      <c r="K1027" s="6">
        <v>4323965</v>
      </c>
      <c r="M1027" s="6">
        <f t="shared" ref="M1027:M1090" si="85">SUM(H1027,J1027)</f>
        <v>765350.6454449537</v>
      </c>
      <c r="N1027" s="6">
        <f t="shared" ref="N1027:N1090" si="86">K1027</f>
        <v>4323965</v>
      </c>
      <c r="O1027" s="6">
        <f t="shared" ref="O1027:O1090" si="87">SUM(M1027:N1027)</f>
        <v>5089315.6454449538</v>
      </c>
      <c r="P1027" s="8">
        <f>VLOOKUP(F1027,'LEAID Match'!$A$2:$B$436,2,FALSE)</f>
        <v>1805190</v>
      </c>
      <c r="Q1027" s="6">
        <f t="shared" ref="Q1027:Q1090" si="88">COUNTIF($P$2:$P$3691,P1027)</f>
        <v>9</v>
      </c>
    </row>
    <row r="1028" spans="1:17" x14ac:dyDescent="0.2">
      <c r="A1028" s="16">
        <f t="shared" si="84"/>
        <v>1805190</v>
      </c>
      <c r="B1028">
        <v>2021</v>
      </c>
      <c r="C1028" t="s">
        <v>904</v>
      </c>
      <c r="D1028" t="s">
        <v>906</v>
      </c>
      <c r="E1028" t="s">
        <v>1934</v>
      </c>
      <c r="F1028" t="s">
        <v>693</v>
      </c>
      <c r="G1028" t="s">
        <v>123</v>
      </c>
      <c r="H1028" s="6">
        <v>767911</v>
      </c>
      <c r="I1028" s="6">
        <v>3.7935517549015935E-3</v>
      </c>
      <c r="J1028" s="6">
        <v>8550.6656555481914</v>
      </c>
      <c r="K1028" s="6">
        <v>7418218</v>
      </c>
      <c r="M1028" s="6">
        <f t="shared" si="85"/>
        <v>776461.66565554822</v>
      </c>
      <c r="N1028" s="6">
        <f t="shared" si="86"/>
        <v>7418218</v>
      </c>
      <c r="O1028" s="6">
        <f t="shared" si="87"/>
        <v>8194679.6656555478</v>
      </c>
      <c r="P1028" s="8">
        <f>VLOOKUP(F1028,'LEAID Match'!$A$2:$B$436,2,FALSE)</f>
        <v>1805190</v>
      </c>
      <c r="Q1028" s="6">
        <f t="shared" si="88"/>
        <v>9</v>
      </c>
    </row>
    <row r="1029" spans="1:17" x14ac:dyDescent="0.2">
      <c r="A1029" s="16">
        <f t="shared" si="84"/>
        <v>1805190</v>
      </c>
      <c r="B1029">
        <v>2022</v>
      </c>
      <c r="C1029" t="s">
        <v>904</v>
      </c>
      <c r="D1029" t="s">
        <v>906</v>
      </c>
      <c r="E1029" t="s">
        <v>1935</v>
      </c>
      <c r="F1029" t="s">
        <v>693</v>
      </c>
      <c r="G1029" t="s">
        <v>123</v>
      </c>
      <c r="H1029" s="6">
        <v>816924</v>
      </c>
      <c r="I1029" s="6">
        <v>3.8789069782530048E-3</v>
      </c>
      <c r="J1029" s="6">
        <v>8552.9898870478755</v>
      </c>
      <c r="K1029" s="6">
        <v>7103670</v>
      </c>
      <c r="M1029" s="6">
        <f t="shared" si="85"/>
        <v>825476.98988704791</v>
      </c>
      <c r="N1029" s="6">
        <f t="shared" si="86"/>
        <v>7103670</v>
      </c>
      <c r="O1029" s="6">
        <f t="shared" si="87"/>
        <v>7929146.9898870476</v>
      </c>
      <c r="P1029" s="8">
        <f>VLOOKUP(F1029,'LEAID Match'!$A$2:$B$436,2,FALSE)</f>
        <v>1805190</v>
      </c>
      <c r="Q1029" s="6">
        <f t="shared" si="88"/>
        <v>9</v>
      </c>
    </row>
    <row r="1030" spans="1:17" x14ac:dyDescent="0.2">
      <c r="A1030" s="16">
        <f t="shared" si="84"/>
        <v>1805190</v>
      </c>
      <c r="B1030">
        <v>2023</v>
      </c>
      <c r="C1030" t="s">
        <v>904</v>
      </c>
      <c r="D1030" t="s">
        <v>906</v>
      </c>
      <c r="E1030" t="s">
        <v>1936</v>
      </c>
      <c r="F1030" t="s">
        <v>693</v>
      </c>
      <c r="G1030" t="s">
        <v>123</v>
      </c>
      <c r="H1030" s="6">
        <v>972455</v>
      </c>
      <c r="I1030" s="6">
        <v>3.9768066321465784E-3</v>
      </c>
      <c r="J1030" s="6">
        <v>9810.7819615056087</v>
      </c>
      <c r="K1030" s="6">
        <v>19793967</v>
      </c>
      <c r="M1030" s="6">
        <f t="shared" si="85"/>
        <v>982265.78196150565</v>
      </c>
      <c r="N1030" s="6">
        <f t="shared" si="86"/>
        <v>19793967</v>
      </c>
      <c r="O1030" s="6">
        <f t="shared" si="87"/>
        <v>20776232.781961504</v>
      </c>
      <c r="P1030" s="8">
        <f>VLOOKUP(F1030,'LEAID Match'!$A$2:$B$436,2,FALSE)</f>
        <v>1805190</v>
      </c>
      <c r="Q1030" s="6">
        <f t="shared" si="88"/>
        <v>9</v>
      </c>
    </row>
    <row r="1031" spans="1:17" x14ac:dyDescent="0.2">
      <c r="A1031" s="16">
        <f t="shared" si="84"/>
        <v>1800480</v>
      </c>
      <c r="B1031">
        <v>2015</v>
      </c>
      <c r="C1031" t="s">
        <v>904</v>
      </c>
      <c r="D1031" t="s">
        <v>906</v>
      </c>
      <c r="E1031" t="s">
        <v>1937</v>
      </c>
      <c r="F1031" t="s">
        <v>624</v>
      </c>
      <c r="G1031" t="s">
        <v>10</v>
      </c>
      <c r="H1031" s="6">
        <v>310629</v>
      </c>
      <c r="I1031" s="6">
        <v>1.5104978308193219E-3</v>
      </c>
      <c r="J1031" s="6">
        <v>8777.5028948910804</v>
      </c>
      <c r="K1031" s="6">
        <v>1277301.1337061101</v>
      </c>
      <c r="M1031" s="6">
        <f t="shared" si="85"/>
        <v>319406.50289489108</v>
      </c>
      <c r="N1031" s="6">
        <f t="shared" si="86"/>
        <v>1277301.1337061101</v>
      </c>
      <c r="O1031" s="6">
        <f t="shared" si="87"/>
        <v>1596707.636601001</v>
      </c>
      <c r="P1031" s="8">
        <f>VLOOKUP(F1031,'LEAID Match'!$A$2:$B$436,2,FALSE)</f>
        <v>1800480</v>
      </c>
      <c r="Q1031" s="6">
        <f t="shared" si="88"/>
        <v>9</v>
      </c>
    </row>
    <row r="1032" spans="1:17" x14ac:dyDescent="0.2">
      <c r="A1032" s="16">
        <f t="shared" si="84"/>
        <v>1800480</v>
      </c>
      <c r="B1032">
        <v>2016</v>
      </c>
      <c r="C1032" t="s">
        <v>904</v>
      </c>
      <c r="D1032" t="s">
        <v>906</v>
      </c>
      <c r="E1032" t="s">
        <v>1938</v>
      </c>
      <c r="F1032" t="s">
        <v>624</v>
      </c>
      <c r="G1032" t="s">
        <v>10</v>
      </c>
      <c r="H1032" s="6">
        <v>339876</v>
      </c>
      <c r="I1032" s="6">
        <v>1.5770663822976679E-3</v>
      </c>
      <c r="J1032" s="6">
        <v>7961.0310978386278</v>
      </c>
      <c r="K1032" s="6">
        <v>1399646.41428918</v>
      </c>
      <c r="M1032" s="6">
        <f t="shared" si="85"/>
        <v>347837.03109783866</v>
      </c>
      <c r="N1032" s="6">
        <f t="shared" si="86"/>
        <v>1399646.41428918</v>
      </c>
      <c r="O1032" s="6">
        <f t="shared" si="87"/>
        <v>1747483.4453870186</v>
      </c>
      <c r="P1032" s="8">
        <f>VLOOKUP(F1032,'LEAID Match'!$A$2:$B$436,2,FALSE)</f>
        <v>1800480</v>
      </c>
      <c r="Q1032" s="6">
        <f t="shared" si="88"/>
        <v>9</v>
      </c>
    </row>
    <row r="1033" spans="1:17" x14ac:dyDescent="0.2">
      <c r="A1033" s="16">
        <f t="shared" si="84"/>
        <v>1800480</v>
      </c>
      <c r="B1033">
        <v>2017</v>
      </c>
      <c r="C1033" t="s">
        <v>904</v>
      </c>
      <c r="D1033" t="s">
        <v>906</v>
      </c>
      <c r="E1033" t="s">
        <v>1939</v>
      </c>
      <c r="F1033" t="s">
        <v>624</v>
      </c>
      <c r="G1033" t="s">
        <v>10</v>
      </c>
      <c r="H1033" s="6">
        <v>361888</v>
      </c>
      <c r="I1033" s="6">
        <v>1.5935476818949134E-3</v>
      </c>
      <c r="J1033" s="6">
        <v>7210.8032605744829</v>
      </c>
      <c r="K1033" s="6">
        <v>1387980.03093047</v>
      </c>
      <c r="M1033" s="6">
        <f t="shared" si="85"/>
        <v>369098.80326057447</v>
      </c>
      <c r="N1033" s="6">
        <f t="shared" si="86"/>
        <v>1387980.03093047</v>
      </c>
      <c r="O1033" s="6">
        <f t="shared" si="87"/>
        <v>1757078.8341910443</v>
      </c>
      <c r="P1033" s="8">
        <f>VLOOKUP(F1033,'LEAID Match'!$A$2:$B$436,2,FALSE)</f>
        <v>1800480</v>
      </c>
      <c r="Q1033" s="6">
        <f t="shared" si="88"/>
        <v>9</v>
      </c>
    </row>
    <row r="1034" spans="1:17" x14ac:dyDescent="0.2">
      <c r="A1034" s="16">
        <f t="shared" si="84"/>
        <v>1800480</v>
      </c>
      <c r="B1034">
        <v>2018</v>
      </c>
      <c r="C1034" t="s">
        <v>904</v>
      </c>
      <c r="D1034" t="s">
        <v>906</v>
      </c>
      <c r="E1034" t="s">
        <v>1940</v>
      </c>
      <c r="F1034" t="s">
        <v>624</v>
      </c>
      <c r="G1034" t="s">
        <v>10</v>
      </c>
      <c r="H1034" s="6">
        <v>380570</v>
      </c>
      <c r="I1034" s="6">
        <v>1.6145190627411602E-3</v>
      </c>
      <c r="J1034" s="6">
        <v>6729.3154535051553</v>
      </c>
      <c r="K1034" s="6">
        <v>2096851</v>
      </c>
      <c r="M1034" s="6">
        <f t="shared" si="85"/>
        <v>387299.31545350514</v>
      </c>
      <c r="N1034" s="6">
        <f t="shared" si="86"/>
        <v>2096851</v>
      </c>
      <c r="O1034" s="6">
        <f t="shared" si="87"/>
        <v>2484150.3154535051</v>
      </c>
      <c r="P1034" s="8">
        <f>VLOOKUP(F1034,'LEAID Match'!$A$2:$B$436,2,FALSE)</f>
        <v>1800480</v>
      </c>
      <c r="Q1034" s="6">
        <f t="shared" si="88"/>
        <v>9</v>
      </c>
    </row>
    <row r="1035" spans="1:17" x14ac:dyDescent="0.2">
      <c r="A1035" s="16">
        <f t="shared" si="84"/>
        <v>1800480</v>
      </c>
      <c r="B1035">
        <v>2019</v>
      </c>
      <c r="C1035" t="s">
        <v>904</v>
      </c>
      <c r="D1035" t="s">
        <v>906</v>
      </c>
      <c r="E1035" t="s">
        <v>1941</v>
      </c>
      <c r="F1035" t="s">
        <v>624</v>
      </c>
      <c r="G1035" t="s">
        <v>10</v>
      </c>
      <c r="H1035" s="6">
        <v>391886</v>
      </c>
      <c r="I1035" s="6">
        <v>9.96955858633671E-4</v>
      </c>
      <c r="J1035" s="6">
        <v>3494.330284511017</v>
      </c>
      <c r="K1035" s="6">
        <v>941026.63496432197</v>
      </c>
      <c r="M1035" s="6">
        <f t="shared" si="85"/>
        <v>395380.33028451103</v>
      </c>
      <c r="N1035" s="6">
        <f t="shared" si="86"/>
        <v>941026.63496432197</v>
      </c>
      <c r="O1035" s="6">
        <f t="shared" si="87"/>
        <v>1336406.9652488329</v>
      </c>
      <c r="P1035" s="8">
        <f>VLOOKUP(F1035,'LEAID Match'!$A$2:$B$436,2,FALSE)</f>
        <v>1800480</v>
      </c>
      <c r="Q1035" s="6">
        <f t="shared" si="88"/>
        <v>9</v>
      </c>
    </row>
    <row r="1036" spans="1:17" x14ac:dyDescent="0.2">
      <c r="A1036" s="16">
        <f t="shared" si="84"/>
        <v>1800480</v>
      </c>
      <c r="B1036">
        <v>2020</v>
      </c>
      <c r="C1036" t="s">
        <v>904</v>
      </c>
      <c r="D1036" t="s">
        <v>906</v>
      </c>
      <c r="E1036" t="s">
        <v>1942</v>
      </c>
      <c r="F1036" t="s">
        <v>624</v>
      </c>
      <c r="G1036" t="s">
        <v>10</v>
      </c>
      <c r="H1036" s="6">
        <v>287155</v>
      </c>
      <c r="I1036" s="6">
        <v>1.521550411200383E-3</v>
      </c>
      <c r="J1036" s="6">
        <v>3584.7727687881024</v>
      </c>
      <c r="K1036" s="6">
        <v>2186309</v>
      </c>
      <c r="M1036" s="6">
        <f t="shared" si="85"/>
        <v>290739.7727687881</v>
      </c>
      <c r="N1036" s="6">
        <f t="shared" si="86"/>
        <v>2186309</v>
      </c>
      <c r="O1036" s="6">
        <f t="shared" si="87"/>
        <v>2477048.772768788</v>
      </c>
      <c r="P1036" s="8">
        <f>VLOOKUP(F1036,'LEAID Match'!$A$2:$B$436,2,FALSE)</f>
        <v>1800480</v>
      </c>
      <c r="Q1036" s="6">
        <f t="shared" si="88"/>
        <v>9</v>
      </c>
    </row>
    <row r="1037" spans="1:17" x14ac:dyDescent="0.2">
      <c r="A1037" s="16">
        <f t="shared" si="84"/>
        <v>1800480</v>
      </c>
      <c r="B1037">
        <v>2021</v>
      </c>
      <c r="C1037" t="s">
        <v>904</v>
      </c>
      <c r="D1037" t="s">
        <v>906</v>
      </c>
      <c r="E1037" t="s">
        <v>1943</v>
      </c>
      <c r="F1037" t="s">
        <v>624</v>
      </c>
      <c r="G1037" t="s">
        <v>10</v>
      </c>
      <c r="H1037" s="6">
        <v>308179</v>
      </c>
      <c r="I1037" s="6">
        <v>1.5224329203173523E-3</v>
      </c>
      <c r="J1037" s="6">
        <v>3431.563802395312</v>
      </c>
      <c r="K1037" s="6">
        <v>3664115</v>
      </c>
      <c r="M1037" s="6">
        <f t="shared" si="85"/>
        <v>311610.56380239531</v>
      </c>
      <c r="N1037" s="6">
        <f t="shared" si="86"/>
        <v>3664115</v>
      </c>
      <c r="O1037" s="6">
        <f t="shared" si="87"/>
        <v>3975725.5638023955</v>
      </c>
      <c r="P1037" s="8">
        <f>VLOOKUP(F1037,'LEAID Match'!$A$2:$B$436,2,FALSE)</f>
        <v>1800480</v>
      </c>
      <c r="Q1037" s="6">
        <f t="shared" si="88"/>
        <v>9</v>
      </c>
    </row>
    <row r="1038" spans="1:17" x14ac:dyDescent="0.2">
      <c r="A1038" s="16">
        <f t="shared" si="84"/>
        <v>1800480</v>
      </c>
      <c r="B1038">
        <v>2022</v>
      </c>
      <c r="C1038" t="s">
        <v>904</v>
      </c>
      <c r="D1038" t="s">
        <v>906</v>
      </c>
      <c r="E1038" t="s">
        <v>1944</v>
      </c>
      <c r="F1038" t="s">
        <v>624</v>
      </c>
      <c r="G1038" t="s">
        <v>10</v>
      </c>
      <c r="H1038" s="6">
        <v>345225</v>
      </c>
      <c r="I1038" s="6">
        <v>1.6391924604582477E-3</v>
      </c>
      <c r="J1038" s="6">
        <v>3614.4193753104364</v>
      </c>
      <c r="K1038" s="6">
        <v>3576642</v>
      </c>
      <c r="M1038" s="6">
        <f t="shared" si="85"/>
        <v>348839.41937531042</v>
      </c>
      <c r="N1038" s="6">
        <f t="shared" si="86"/>
        <v>3576642</v>
      </c>
      <c r="O1038" s="6">
        <f t="shared" si="87"/>
        <v>3925481.4193753107</v>
      </c>
      <c r="P1038" s="8">
        <f>VLOOKUP(F1038,'LEAID Match'!$A$2:$B$436,2,FALSE)</f>
        <v>1800480</v>
      </c>
      <c r="Q1038" s="6">
        <f t="shared" si="88"/>
        <v>9</v>
      </c>
    </row>
    <row r="1039" spans="1:17" x14ac:dyDescent="0.2">
      <c r="A1039" s="16">
        <f t="shared" si="84"/>
        <v>1800480</v>
      </c>
      <c r="B1039">
        <v>2023</v>
      </c>
      <c r="C1039" t="s">
        <v>904</v>
      </c>
      <c r="D1039" t="s">
        <v>906</v>
      </c>
      <c r="E1039" t="s">
        <v>1945</v>
      </c>
      <c r="F1039" t="s">
        <v>624</v>
      </c>
      <c r="G1039" t="s">
        <v>10</v>
      </c>
      <c r="H1039" s="6">
        <v>379760</v>
      </c>
      <c r="I1039" s="6">
        <v>1.5530097399098E-3</v>
      </c>
      <c r="J1039" s="6">
        <v>3831.2750283574769</v>
      </c>
      <c r="K1039" s="6">
        <v>8862585</v>
      </c>
      <c r="M1039" s="6">
        <f t="shared" si="85"/>
        <v>383591.27502835746</v>
      </c>
      <c r="N1039" s="6">
        <f t="shared" si="86"/>
        <v>8862585</v>
      </c>
      <c r="O1039" s="6">
        <f t="shared" si="87"/>
        <v>9246176.2750283573</v>
      </c>
      <c r="P1039" s="8">
        <f>VLOOKUP(F1039,'LEAID Match'!$A$2:$B$436,2,FALSE)</f>
        <v>1800480</v>
      </c>
      <c r="Q1039" s="6">
        <f t="shared" si="88"/>
        <v>9</v>
      </c>
    </row>
    <row r="1040" spans="1:17" x14ac:dyDescent="0.2">
      <c r="A1040" s="16">
        <f t="shared" si="84"/>
        <v>1801440</v>
      </c>
      <c r="B1040">
        <v>2015</v>
      </c>
      <c r="C1040" t="s">
        <v>904</v>
      </c>
      <c r="D1040" t="s">
        <v>906</v>
      </c>
      <c r="E1040" t="s">
        <v>1946</v>
      </c>
      <c r="F1040" t="s">
        <v>694</v>
      </c>
      <c r="G1040" t="s">
        <v>124</v>
      </c>
      <c r="H1040" s="6">
        <v>1399209</v>
      </c>
      <c r="I1040" s="6">
        <v>6.8039434803668442E-3</v>
      </c>
      <c r="J1040" s="6">
        <v>39537.71556441173</v>
      </c>
      <c r="K1040" s="6">
        <v>5753523.4700938798</v>
      </c>
      <c r="M1040" s="6">
        <f t="shared" si="85"/>
        <v>1438746.7155644118</v>
      </c>
      <c r="N1040" s="6">
        <f t="shared" si="86"/>
        <v>5753523.4700938798</v>
      </c>
      <c r="O1040" s="6">
        <f t="shared" si="87"/>
        <v>7192270.1856582919</v>
      </c>
      <c r="P1040" s="8">
        <f>VLOOKUP(F1040,'LEAID Match'!$A$2:$B$436,2,FALSE)</f>
        <v>1801440</v>
      </c>
      <c r="Q1040" s="6">
        <f t="shared" si="88"/>
        <v>9</v>
      </c>
    </row>
    <row r="1041" spans="1:17" x14ac:dyDescent="0.2">
      <c r="A1041" s="16">
        <f t="shared" si="84"/>
        <v>1801440</v>
      </c>
      <c r="B1041">
        <v>2016</v>
      </c>
      <c r="C1041" t="s">
        <v>904</v>
      </c>
      <c r="D1041" t="s">
        <v>906</v>
      </c>
      <c r="E1041" t="s">
        <v>1947</v>
      </c>
      <c r="F1041" t="s">
        <v>694</v>
      </c>
      <c r="G1041" t="s">
        <v>124</v>
      </c>
      <c r="H1041" s="6">
        <v>1543815</v>
      </c>
      <c r="I1041" s="6">
        <v>7.1634912055775464E-3</v>
      </c>
      <c r="J1041" s="6">
        <v>36161.303605755456</v>
      </c>
      <c r="K1041" s="6">
        <v>6357598.4449500702</v>
      </c>
      <c r="M1041" s="6">
        <f t="shared" si="85"/>
        <v>1579976.3036057556</v>
      </c>
      <c r="N1041" s="6">
        <f t="shared" si="86"/>
        <v>6357598.4449500702</v>
      </c>
      <c r="O1041" s="6">
        <f t="shared" si="87"/>
        <v>7937574.748555826</v>
      </c>
      <c r="P1041" s="8">
        <f>VLOOKUP(F1041,'LEAID Match'!$A$2:$B$436,2,FALSE)</f>
        <v>1801440</v>
      </c>
      <c r="Q1041" s="6">
        <f t="shared" si="88"/>
        <v>9</v>
      </c>
    </row>
    <row r="1042" spans="1:17" x14ac:dyDescent="0.2">
      <c r="A1042" s="16">
        <f t="shared" si="84"/>
        <v>1801440</v>
      </c>
      <c r="B1042">
        <v>2017</v>
      </c>
      <c r="C1042" t="s">
        <v>904</v>
      </c>
      <c r="D1042" t="s">
        <v>906</v>
      </c>
      <c r="E1042" t="s">
        <v>1948</v>
      </c>
      <c r="F1042" t="s">
        <v>694</v>
      </c>
      <c r="G1042" t="s">
        <v>124</v>
      </c>
      <c r="H1042" s="6">
        <v>1659724</v>
      </c>
      <c r="I1042" s="6">
        <v>7.308474812056087E-3</v>
      </c>
      <c r="J1042" s="6">
        <v>33070.848524553796</v>
      </c>
      <c r="K1042" s="6">
        <v>6365681.5613008495</v>
      </c>
      <c r="M1042" s="6">
        <f t="shared" si="85"/>
        <v>1692794.8485245537</v>
      </c>
      <c r="N1042" s="6">
        <f t="shared" si="86"/>
        <v>6365681.5613008495</v>
      </c>
      <c r="O1042" s="6">
        <f t="shared" si="87"/>
        <v>8058476.4098254032</v>
      </c>
      <c r="P1042" s="8">
        <f>VLOOKUP(F1042,'LEAID Match'!$A$2:$B$436,2,FALSE)</f>
        <v>1801440</v>
      </c>
      <c r="Q1042" s="6">
        <f t="shared" si="88"/>
        <v>9</v>
      </c>
    </row>
    <row r="1043" spans="1:17" x14ac:dyDescent="0.2">
      <c r="A1043" s="16">
        <f t="shared" si="84"/>
        <v>1801440</v>
      </c>
      <c r="B1043">
        <v>2018</v>
      </c>
      <c r="C1043" t="s">
        <v>904</v>
      </c>
      <c r="D1043" t="s">
        <v>906</v>
      </c>
      <c r="E1043" t="s">
        <v>1949</v>
      </c>
      <c r="F1043" t="s">
        <v>694</v>
      </c>
      <c r="G1043" t="s">
        <v>124</v>
      </c>
      <c r="H1043" s="6">
        <v>1779788</v>
      </c>
      <c r="I1043" s="6">
        <v>7.5505206759281188E-3</v>
      </c>
      <c r="J1043" s="6">
        <v>31470.570177268401</v>
      </c>
      <c r="K1043" s="6">
        <v>4961800</v>
      </c>
      <c r="M1043" s="6">
        <f t="shared" si="85"/>
        <v>1811258.5701772685</v>
      </c>
      <c r="N1043" s="6">
        <f t="shared" si="86"/>
        <v>4961800</v>
      </c>
      <c r="O1043" s="6">
        <f t="shared" si="87"/>
        <v>6773058.5701772682</v>
      </c>
      <c r="P1043" s="8">
        <f>VLOOKUP(F1043,'LEAID Match'!$A$2:$B$436,2,FALSE)</f>
        <v>1801440</v>
      </c>
      <c r="Q1043" s="6">
        <f t="shared" si="88"/>
        <v>9</v>
      </c>
    </row>
    <row r="1044" spans="1:17" x14ac:dyDescent="0.2">
      <c r="A1044" s="16">
        <f t="shared" si="84"/>
        <v>1801440</v>
      </c>
      <c r="B1044">
        <v>2019</v>
      </c>
      <c r="C1044" t="s">
        <v>904</v>
      </c>
      <c r="D1044" t="s">
        <v>906</v>
      </c>
      <c r="E1044" t="s">
        <v>1950</v>
      </c>
      <c r="F1044" t="s">
        <v>694</v>
      </c>
      <c r="G1044" t="s">
        <v>124</v>
      </c>
      <c r="H1044" s="6">
        <v>1873090</v>
      </c>
      <c r="I1044" s="6">
        <v>4.7651308014273102E-3</v>
      </c>
      <c r="J1044" s="6">
        <v>16701.783459002723</v>
      </c>
      <c r="K1044" s="6">
        <v>4497806.9634672301</v>
      </c>
      <c r="M1044" s="6">
        <f t="shared" si="85"/>
        <v>1889791.7834590026</v>
      </c>
      <c r="N1044" s="6">
        <f t="shared" si="86"/>
        <v>4497806.9634672301</v>
      </c>
      <c r="O1044" s="6">
        <f t="shared" si="87"/>
        <v>6387598.7469262332</v>
      </c>
      <c r="P1044" s="8">
        <f>VLOOKUP(F1044,'LEAID Match'!$A$2:$B$436,2,FALSE)</f>
        <v>1801440</v>
      </c>
      <c r="Q1044" s="6">
        <f t="shared" si="88"/>
        <v>9</v>
      </c>
    </row>
    <row r="1045" spans="1:17" x14ac:dyDescent="0.2">
      <c r="A1045" s="16">
        <f t="shared" si="84"/>
        <v>1801440</v>
      </c>
      <c r="B1045">
        <v>2020</v>
      </c>
      <c r="C1045" t="s">
        <v>904</v>
      </c>
      <c r="D1045" t="s">
        <v>906</v>
      </c>
      <c r="E1045" t="s">
        <v>1951</v>
      </c>
      <c r="F1045" t="s">
        <v>694</v>
      </c>
      <c r="G1045" t="s">
        <v>124</v>
      </c>
      <c r="H1045" s="6">
        <v>1470924</v>
      </c>
      <c r="I1045" s="6">
        <v>7.7939963331459042E-3</v>
      </c>
      <c r="J1045" s="6">
        <v>18362.655360891749</v>
      </c>
      <c r="K1045" s="6">
        <v>5512145</v>
      </c>
      <c r="M1045" s="6">
        <f t="shared" si="85"/>
        <v>1489286.6553608917</v>
      </c>
      <c r="N1045" s="6">
        <f t="shared" si="86"/>
        <v>5512145</v>
      </c>
      <c r="O1045" s="6">
        <f t="shared" si="87"/>
        <v>7001431.6553608915</v>
      </c>
      <c r="P1045" s="8">
        <f>VLOOKUP(F1045,'LEAID Match'!$A$2:$B$436,2,FALSE)</f>
        <v>1801440</v>
      </c>
      <c r="Q1045" s="6">
        <f t="shared" si="88"/>
        <v>9</v>
      </c>
    </row>
    <row r="1046" spans="1:17" x14ac:dyDescent="0.2">
      <c r="A1046" s="16">
        <f t="shared" si="84"/>
        <v>1801440</v>
      </c>
      <c r="B1046">
        <v>2021</v>
      </c>
      <c r="C1046" t="s">
        <v>904</v>
      </c>
      <c r="D1046" t="s">
        <v>906</v>
      </c>
      <c r="E1046" t="s">
        <v>1952</v>
      </c>
      <c r="F1046" t="s">
        <v>694</v>
      </c>
      <c r="G1046" t="s">
        <v>124</v>
      </c>
      <c r="H1046" s="6">
        <v>1614974</v>
      </c>
      <c r="I1046" s="6">
        <v>7.9781217508545204E-3</v>
      </c>
      <c r="J1046" s="6">
        <v>17982.686426426088</v>
      </c>
      <c r="K1046" s="6">
        <v>9156451</v>
      </c>
      <c r="M1046" s="6">
        <f t="shared" si="85"/>
        <v>1632956.6864264261</v>
      </c>
      <c r="N1046" s="6">
        <f t="shared" si="86"/>
        <v>9156451</v>
      </c>
      <c r="O1046" s="6">
        <f t="shared" si="87"/>
        <v>10789407.686426425</v>
      </c>
      <c r="P1046" s="8">
        <f>VLOOKUP(F1046,'LEAID Match'!$A$2:$B$436,2,FALSE)</f>
        <v>1801440</v>
      </c>
      <c r="Q1046" s="6">
        <f t="shared" si="88"/>
        <v>9</v>
      </c>
    </row>
    <row r="1047" spans="1:17" x14ac:dyDescent="0.2">
      <c r="A1047" s="16">
        <f t="shared" si="84"/>
        <v>1801440</v>
      </c>
      <c r="B1047">
        <v>2022</v>
      </c>
      <c r="C1047" t="s">
        <v>904</v>
      </c>
      <c r="D1047" t="s">
        <v>906</v>
      </c>
      <c r="E1047" t="s">
        <v>1953</v>
      </c>
      <c r="F1047" t="s">
        <v>694</v>
      </c>
      <c r="G1047" t="s">
        <v>124</v>
      </c>
      <c r="H1047" s="6">
        <v>1730368</v>
      </c>
      <c r="I1047" s="6">
        <v>8.2161088548576063E-3</v>
      </c>
      <c r="J1047" s="6">
        <v>18116.520024961021</v>
      </c>
      <c r="K1047" s="6">
        <v>9057342</v>
      </c>
      <c r="M1047" s="6">
        <f t="shared" si="85"/>
        <v>1748484.5200249611</v>
      </c>
      <c r="N1047" s="6">
        <f t="shared" si="86"/>
        <v>9057342</v>
      </c>
      <c r="O1047" s="6">
        <f t="shared" si="87"/>
        <v>10805826.520024961</v>
      </c>
      <c r="P1047" s="8">
        <f>VLOOKUP(F1047,'LEAID Match'!$A$2:$B$436,2,FALSE)</f>
        <v>1801440</v>
      </c>
      <c r="Q1047" s="6">
        <f t="shared" si="88"/>
        <v>9</v>
      </c>
    </row>
    <row r="1048" spans="1:17" x14ac:dyDescent="0.2">
      <c r="A1048" s="16">
        <f t="shared" si="84"/>
        <v>1801440</v>
      </c>
      <c r="B1048">
        <v>2023</v>
      </c>
      <c r="C1048" t="s">
        <v>904</v>
      </c>
      <c r="D1048" t="s">
        <v>906</v>
      </c>
      <c r="E1048" t="s">
        <v>1954</v>
      </c>
      <c r="F1048" t="s">
        <v>694</v>
      </c>
      <c r="G1048" t="s">
        <v>124</v>
      </c>
      <c r="H1048" s="6">
        <v>2057132</v>
      </c>
      <c r="I1048" s="6">
        <v>8.4125395836321011E-3</v>
      </c>
      <c r="J1048" s="6">
        <v>20753.735152820394</v>
      </c>
      <c r="K1048" s="6">
        <v>25113127</v>
      </c>
      <c r="M1048" s="6">
        <f t="shared" si="85"/>
        <v>2077885.7351528204</v>
      </c>
      <c r="N1048" s="6">
        <f t="shared" si="86"/>
        <v>25113127</v>
      </c>
      <c r="O1048" s="6">
        <f t="shared" si="87"/>
        <v>27191012.735152822</v>
      </c>
      <c r="P1048" s="8">
        <f>VLOOKUP(F1048,'LEAID Match'!$A$2:$B$436,2,FALSE)</f>
        <v>1801440</v>
      </c>
      <c r="Q1048" s="6">
        <f t="shared" si="88"/>
        <v>9</v>
      </c>
    </row>
    <row r="1049" spans="1:17" x14ac:dyDescent="0.2">
      <c r="A1049" s="16">
        <f t="shared" si="84"/>
        <v>1803690</v>
      </c>
      <c r="B1049">
        <v>2015</v>
      </c>
      <c r="C1049" t="s">
        <v>904</v>
      </c>
      <c r="D1049" t="s">
        <v>906</v>
      </c>
      <c r="E1049" t="s">
        <v>1955</v>
      </c>
      <c r="F1049" t="s">
        <v>695</v>
      </c>
      <c r="G1049" t="s">
        <v>125</v>
      </c>
      <c r="H1049" s="6">
        <v>869913</v>
      </c>
      <c r="I1049" s="6">
        <v>4.2301320852255542E-3</v>
      </c>
      <c r="J1049" s="6">
        <v>24581.297547245696</v>
      </c>
      <c r="K1049" s="6">
        <v>3577067.3733800901</v>
      </c>
      <c r="M1049" s="6">
        <f t="shared" si="85"/>
        <v>894494.29754724575</v>
      </c>
      <c r="N1049" s="6">
        <f t="shared" si="86"/>
        <v>3577067.3733800901</v>
      </c>
      <c r="O1049" s="6">
        <f t="shared" si="87"/>
        <v>4471561.6709273355</v>
      </c>
      <c r="P1049" s="8">
        <f>VLOOKUP(F1049,'LEAID Match'!$A$2:$B$436,2,FALSE)</f>
        <v>1803690</v>
      </c>
      <c r="Q1049" s="6">
        <f t="shared" si="88"/>
        <v>9</v>
      </c>
    </row>
    <row r="1050" spans="1:17" x14ac:dyDescent="0.2">
      <c r="A1050" s="16">
        <f t="shared" si="84"/>
        <v>1803690</v>
      </c>
      <c r="B1050">
        <v>2016</v>
      </c>
      <c r="C1050" t="s">
        <v>904</v>
      </c>
      <c r="D1050" t="s">
        <v>906</v>
      </c>
      <c r="E1050" t="s">
        <v>1956</v>
      </c>
      <c r="F1050" t="s">
        <v>695</v>
      </c>
      <c r="G1050" t="s">
        <v>125</v>
      </c>
      <c r="H1050" s="6">
        <v>912608</v>
      </c>
      <c r="I1050" s="6">
        <v>4.2346132030973357E-3</v>
      </c>
      <c r="J1050" s="6">
        <v>21376.327449235352</v>
      </c>
      <c r="K1050" s="6">
        <v>3758219.2177488799</v>
      </c>
      <c r="M1050" s="6">
        <f t="shared" si="85"/>
        <v>933984.32744923537</v>
      </c>
      <c r="N1050" s="6">
        <f t="shared" si="86"/>
        <v>3758219.2177488799</v>
      </c>
      <c r="O1050" s="6">
        <f t="shared" si="87"/>
        <v>4692203.5451981155</v>
      </c>
      <c r="P1050" s="8">
        <f>VLOOKUP(F1050,'LEAID Match'!$A$2:$B$436,2,FALSE)</f>
        <v>1803690</v>
      </c>
      <c r="Q1050" s="6">
        <f t="shared" si="88"/>
        <v>9</v>
      </c>
    </row>
    <row r="1051" spans="1:17" x14ac:dyDescent="0.2">
      <c r="A1051" s="16">
        <f t="shared" si="84"/>
        <v>1803690</v>
      </c>
      <c r="B1051">
        <v>2017</v>
      </c>
      <c r="C1051" t="s">
        <v>904</v>
      </c>
      <c r="D1051" t="s">
        <v>906</v>
      </c>
      <c r="E1051" t="s">
        <v>1957</v>
      </c>
      <c r="F1051" t="s">
        <v>695</v>
      </c>
      <c r="G1051" t="s">
        <v>125</v>
      </c>
      <c r="H1051" s="6">
        <v>959509</v>
      </c>
      <c r="I1051" s="6">
        <v>4.2251286108058467E-3</v>
      </c>
      <c r="J1051" s="6">
        <v>19118.706963896457</v>
      </c>
      <c r="K1051" s="6">
        <v>3680087.0200118902</v>
      </c>
      <c r="M1051" s="6">
        <f t="shared" si="85"/>
        <v>978627.7069638964</v>
      </c>
      <c r="N1051" s="6">
        <f t="shared" si="86"/>
        <v>3680087.0200118902</v>
      </c>
      <c r="O1051" s="6">
        <f t="shared" si="87"/>
        <v>4658714.7269757865</v>
      </c>
      <c r="P1051" s="8">
        <f>VLOOKUP(F1051,'LEAID Match'!$A$2:$B$436,2,FALSE)</f>
        <v>1803690</v>
      </c>
      <c r="Q1051" s="6">
        <f t="shared" si="88"/>
        <v>9</v>
      </c>
    </row>
    <row r="1052" spans="1:17" x14ac:dyDescent="0.2">
      <c r="A1052" s="16">
        <f t="shared" si="84"/>
        <v>1803690</v>
      </c>
      <c r="B1052">
        <v>2018</v>
      </c>
      <c r="C1052" t="s">
        <v>904</v>
      </c>
      <c r="D1052" t="s">
        <v>906</v>
      </c>
      <c r="E1052" t="s">
        <v>1958</v>
      </c>
      <c r="F1052" t="s">
        <v>695</v>
      </c>
      <c r="G1052" t="s">
        <v>125</v>
      </c>
      <c r="H1052" s="6">
        <v>994857</v>
      </c>
      <c r="I1052" s="6">
        <v>4.2205523062813213E-3</v>
      </c>
      <c r="J1052" s="6">
        <v>17591.262012580548</v>
      </c>
      <c r="K1052" s="6">
        <v>3253405</v>
      </c>
      <c r="M1052" s="6">
        <f t="shared" si="85"/>
        <v>1012448.2620125805</v>
      </c>
      <c r="N1052" s="6">
        <f t="shared" si="86"/>
        <v>3253405</v>
      </c>
      <c r="O1052" s="6">
        <f t="shared" si="87"/>
        <v>4265853.2620125804</v>
      </c>
      <c r="P1052" s="8">
        <f>VLOOKUP(F1052,'LEAID Match'!$A$2:$B$436,2,FALSE)</f>
        <v>1803690</v>
      </c>
      <c r="Q1052" s="6">
        <f t="shared" si="88"/>
        <v>9</v>
      </c>
    </row>
    <row r="1053" spans="1:17" x14ac:dyDescent="0.2">
      <c r="A1053" s="16">
        <f t="shared" si="84"/>
        <v>1803690</v>
      </c>
      <c r="B1053">
        <v>2019</v>
      </c>
      <c r="C1053" t="s">
        <v>904</v>
      </c>
      <c r="D1053" t="s">
        <v>906</v>
      </c>
      <c r="E1053" t="s">
        <v>1959</v>
      </c>
      <c r="F1053" t="s">
        <v>695</v>
      </c>
      <c r="G1053" t="s">
        <v>125</v>
      </c>
      <c r="H1053" s="6">
        <v>1043627</v>
      </c>
      <c r="I1053" s="6">
        <v>2.6549814279619127E-3</v>
      </c>
      <c r="J1053" s="6">
        <v>9305.7099050065044</v>
      </c>
      <c r="K1053" s="6">
        <v>2506036.9698532401</v>
      </c>
      <c r="M1053" s="6">
        <f t="shared" si="85"/>
        <v>1052932.7099050065</v>
      </c>
      <c r="N1053" s="6">
        <f t="shared" si="86"/>
        <v>2506036.9698532401</v>
      </c>
      <c r="O1053" s="6">
        <f t="shared" si="87"/>
        <v>3558969.6797582465</v>
      </c>
      <c r="P1053" s="8">
        <f>VLOOKUP(F1053,'LEAID Match'!$A$2:$B$436,2,FALSE)</f>
        <v>1803690</v>
      </c>
      <c r="Q1053" s="6">
        <f t="shared" si="88"/>
        <v>9</v>
      </c>
    </row>
    <row r="1054" spans="1:17" x14ac:dyDescent="0.2">
      <c r="A1054" s="16">
        <f t="shared" si="84"/>
        <v>1803690</v>
      </c>
      <c r="B1054">
        <v>2020</v>
      </c>
      <c r="C1054" t="s">
        <v>904</v>
      </c>
      <c r="D1054" t="s">
        <v>906</v>
      </c>
      <c r="E1054" t="s">
        <v>1960</v>
      </c>
      <c r="F1054" t="s">
        <v>695</v>
      </c>
      <c r="G1054" t="s">
        <v>125</v>
      </c>
      <c r="H1054" s="6">
        <v>839035</v>
      </c>
      <c r="I1054" s="6">
        <v>4.4458012197646337E-3</v>
      </c>
      <c r="J1054" s="6">
        <v>10474.307673765477</v>
      </c>
      <c r="K1054" s="6">
        <v>3483159</v>
      </c>
      <c r="M1054" s="6">
        <f t="shared" si="85"/>
        <v>849509.30767376546</v>
      </c>
      <c r="N1054" s="6">
        <f t="shared" si="86"/>
        <v>3483159</v>
      </c>
      <c r="O1054" s="6">
        <f t="shared" si="87"/>
        <v>4332668.3076737653</v>
      </c>
      <c r="P1054" s="8">
        <f>VLOOKUP(F1054,'LEAID Match'!$A$2:$B$436,2,FALSE)</f>
        <v>1803690</v>
      </c>
      <c r="Q1054" s="6">
        <f t="shared" si="88"/>
        <v>9</v>
      </c>
    </row>
    <row r="1055" spans="1:17" x14ac:dyDescent="0.2">
      <c r="A1055" s="16">
        <f t="shared" si="84"/>
        <v>1803690</v>
      </c>
      <c r="B1055">
        <v>2021</v>
      </c>
      <c r="C1055" t="s">
        <v>904</v>
      </c>
      <c r="D1055" t="s">
        <v>906</v>
      </c>
      <c r="E1055" t="s">
        <v>1961</v>
      </c>
      <c r="F1055" t="s">
        <v>695</v>
      </c>
      <c r="G1055" t="s">
        <v>125</v>
      </c>
      <c r="H1055" s="6">
        <v>949245</v>
      </c>
      <c r="I1055" s="6">
        <v>4.6893585787696271E-3</v>
      </c>
      <c r="J1055" s="6">
        <v>10569.814236546739</v>
      </c>
      <c r="K1055" s="6">
        <v>5807056</v>
      </c>
      <c r="M1055" s="6">
        <f t="shared" si="85"/>
        <v>959814.81423654675</v>
      </c>
      <c r="N1055" s="6">
        <f t="shared" si="86"/>
        <v>5807056</v>
      </c>
      <c r="O1055" s="6">
        <f t="shared" si="87"/>
        <v>6766870.8142365469</v>
      </c>
      <c r="P1055" s="8">
        <f>VLOOKUP(F1055,'LEAID Match'!$A$2:$B$436,2,FALSE)</f>
        <v>1803690</v>
      </c>
      <c r="Q1055" s="6">
        <f t="shared" si="88"/>
        <v>9</v>
      </c>
    </row>
    <row r="1056" spans="1:17" x14ac:dyDescent="0.2">
      <c r="A1056" s="16">
        <f t="shared" si="84"/>
        <v>1803690</v>
      </c>
      <c r="B1056">
        <v>2022</v>
      </c>
      <c r="C1056" t="s">
        <v>904</v>
      </c>
      <c r="D1056" t="s">
        <v>906</v>
      </c>
      <c r="E1056" t="s">
        <v>1962</v>
      </c>
      <c r="F1056" t="s">
        <v>695</v>
      </c>
      <c r="G1056" t="s">
        <v>125</v>
      </c>
      <c r="H1056" s="6">
        <v>980087</v>
      </c>
      <c r="I1056" s="6">
        <v>4.6536352262818237E-3</v>
      </c>
      <c r="J1056" s="6">
        <v>10261.26567395142</v>
      </c>
      <c r="K1056" s="6">
        <v>5596361</v>
      </c>
      <c r="M1056" s="6">
        <f t="shared" si="85"/>
        <v>990348.26567395148</v>
      </c>
      <c r="N1056" s="6">
        <f t="shared" si="86"/>
        <v>5596361</v>
      </c>
      <c r="O1056" s="6">
        <f t="shared" si="87"/>
        <v>6586709.2656739512</v>
      </c>
      <c r="P1056" s="8">
        <f>VLOOKUP(F1056,'LEAID Match'!$A$2:$B$436,2,FALSE)</f>
        <v>1803690</v>
      </c>
      <c r="Q1056" s="6">
        <f t="shared" si="88"/>
        <v>9</v>
      </c>
    </row>
    <row r="1057" spans="1:17" x14ac:dyDescent="0.2">
      <c r="A1057" s="16">
        <f t="shared" si="84"/>
        <v>1803690</v>
      </c>
      <c r="B1057">
        <v>2023</v>
      </c>
      <c r="C1057" t="s">
        <v>904</v>
      </c>
      <c r="D1057" t="s">
        <v>906</v>
      </c>
      <c r="E1057" t="s">
        <v>1963</v>
      </c>
      <c r="F1057" t="s">
        <v>695</v>
      </c>
      <c r="G1057" t="s">
        <v>125</v>
      </c>
      <c r="H1057" s="6">
        <v>1211606</v>
      </c>
      <c r="I1057" s="6">
        <v>4.9548028200262096E-3</v>
      </c>
      <c r="J1057" s="6">
        <v>12223.498557004659</v>
      </c>
      <c r="K1057" s="6">
        <v>14520545</v>
      </c>
      <c r="M1057" s="6">
        <f t="shared" si="85"/>
        <v>1223829.4985570046</v>
      </c>
      <c r="N1057" s="6">
        <f t="shared" si="86"/>
        <v>14520545</v>
      </c>
      <c r="O1057" s="6">
        <f t="shared" si="87"/>
        <v>15744374.498557005</v>
      </c>
      <c r="P1057" s="8">
        <f>VLOOKUP(F1057,'LEAID Match'!$A$2:$B$436,2,FALSE)</f>
        <v>1803690</v>
      </c>
      <c r="Q1057" s="6">
        <f t="shared" si="88"/>
        <v>9</v>
      </c>
    </row>
    <row r="1058" spans="1:17" x14ac:dyDescent="0.2">
      <c r="A1058" s="16">
        <f t="shared" si="84"/>
        <v>1801470</v>
      </c>
      <c r="B1058">
        <v>2015</v>
      </c>
      <c r="C1058" t="s">
        <v>904</v>
      </c>
      <c r="D1058" t="s">
        <v>906</v>
      </c>
      <c r="E1058" t="s">
        <v>1964</v>
      </c>
      <c r="F1058" t="s">
        <v>696</v>
      </c>
      <c r="G1058" t="s">
        <v>126</v>
      </c>
      <c r="H1058" s="6">
        <v>107195</v>
      </c>
      <c r="I1058" s="6">
        <v>5.2125788311676376E-4</v>
      </c>
      <c r="J1058" s="6">
        <v>3029.0295587915143</v>
      </c>
      <c r="K1058" s="6">
        <v>440784.006089665</v>
      </c>
      <c r="M1058" s="6">
        <f t="shared" si="85"/>
        <v>110224.02955879152</v>
      </c>
      <c r="N1058" s="6">
        <f t="shared" si="86"/>
        <v>440784.006089665</v>
      </c>
      <c r="O1058" s="6">
        <f t="shared" si="87"/>
        <v>551008.03564845654</v>
      </c>
      <c r="P1058" s="8">
        <f>VLOOKUP(F1058,'LEAID Match'!$A$2:$B$436,2,FALSE)</f>
        <v>1801470</v>
      </c>
      <c r="Q1058" s="6">
        <f t="shared" si="88"/>
        <v>9</v>
      </c>
    </row>
    <row r="1059" spans="1:17" x14ac:dyDescent="0.2">
      <c r="A1059" s="16">
        <f t="shared" si="84"/>
        <v>1801470</v>
      </c>
      <c r="B1059">
        <v>2016</v>
      </c>
      <c r="C1059" t="s">
        <v>904</v>
      </c>
      <c r="D1059" t="s">
        <v>906</v>
      </c>
      <c r="E1059" t="s">
        <v>1965</v>
      </c>
      <c r="F1059" t="s">
        <v>696</v>
      </c>
      <c r="G1059" t="s">
        <v>126</v>
      </c>
      <c r="H1059" s="6">
        <v>115886</v>
      </c>
      <c r="I1059" s="6">
        <v>5.377252726845895E-4</v>
      </c>
      <c r="J1059" s="6">
        <v>2714.4371765118076</v>
      </c>
      <c r="K1059" s="6">
        <v>477231.17950757302</v>
      </c>
      <c r="M1059" s="6">
        <f t="shared" si="85"/>
        <v>118600.43717651181</v>
      </c>
      <c r="N1059" s="6">
        <f t="shared" si="86"/>
        <v>477231.17950757302</v>
      </c>
      <c r="O1059" s="6">
        <f t="shared" si="87"/>
        <v>595831.61668408487</v>
      </c>
      <c r="P1059" s="8">
        <f>VLOOKUP(F1059,'LEAID Match'!$A$2:$B$436,2,FALSE)</f>
        <v>1801470</v>
      </c>
      <c r="Q1059" s="6">
        <f t="shared" si="88"/>
        <v>9</v>
      </c>
    </row>
    <row r="1060" spans="1:17" x14ac:dyDescent="0.2">
      <c r="A1060" s="16">
        <f t="shared" si="84"/>
        <v>1801470</v>
      </c>
      <c r="B1060">
        <v>2017</v>
      </c>
      <c r="C1060" t="s">
        <v>904</v>
      </c>
      <c r="D1060" t="s">
        <v>906</v>
      </c>
      <c r="E1060" t="s">
        <v>1966</v>
      </c>
      <c r="F1060" t="s">
        <v>696</v>
      </c>
      <c r="G1060" t="s">
        <v>126</v>
      </c>
      <c r="H1060" s="6">
        <v>121564</v>
      </c>
      <c r="I1060" s="6">
        <v>5.3529829782107512E-4</v>
      </c>
      <c r="J1060" s="6">
        <v>2422.2247976403651</v>
      </c>
      <c r="K1060" s="6">
        <v>466244.81740215601</v>
      </c>
      <c r="M1060" s="6">
        <f t="shared" si="85"/>
        <v>123986.22479764036</v>
      </c>
      <c r="N1060" s="6">
        <f t="shared" si="86"/>
        <v>466244.81740215601</v>
      </c>
      <c r="O1060" s="6">
        <f t="shared" si="87"/>
        <v>590231.04219979641</v>
      </c>
      <c r="P1060" s="8">
        <f>VLOOKUP(F1060,'LEAID Match'!$A$2:$B$436,2,FALSE)</f>
        <v>1801470</v>
      </c>
      <c r="Q1060" s="6">
        <f t="shared" si="88"/>
        <v>9</v>
      </c>
    </row>
    <row r="1061" spans="1:17" x14ac:dyDescent="0.2">
      <c r="A1061" s="16">
        <f t="shared" si="84"/>
        <v>1801470</v>
      </c>
      <c r="B1061">
        <v>2018</v>
      </c>
      <c r="C1061" t="s">
        <v>904</v>
      </c>
      <c r="D1061" t="s">
        <v>906</v>
      </c>
      <c r="E1061" t="s">
        <v>1967</v>
      </c>
      <c r="F1061" t="s">
        <v>696</v>
      </c>
      <c r="G1061" t="s">
        <v>126</v>
      </c>
      <c r="H1061" s="6">
        <v>121631</v>
      </c>
      <c r="I1061" s="6">
        <v>5.1600380513511332E-4</v>
      </c>
      <c r="J1061" s="6">
        <v>2150.7038598031522</v>
      </c>
      <c r="K1061" s="6">
        <v>391576</v>
      </c>
      <c r="M1061" s="6">
        <f t="shared" si="85"/>
        <v>123781.70385980315</v>
      </c>
      <c r="N1061" s="6">
        <f t="shared" si="86"/>
        <v>391576</v>
      </c>
      <c r="O1061" s="6">
        <f t="shared" si="87"/>
        <v>515357.70385980315</v>
      </c>
      <c r="P1061" s="8">
        <f>VLOOKUP(F1061,'LEAID Match'!$A$2:$B$436,2,FALSE)</f>
        <v>1801470</v>
      </c>
      <c r="Q1061" s="6">
        <f t="shared" si="88"/>
        <v>9</v>
      </c>
    </row>
    <row r="1062" spans="1:17" x14ac:dyDescent="0.2">
      <c r="A1062" s="16">
        <f t="shared" si="84"/>
        <v>1801470</v>
      </c>
      <c r="B1062">
        <v>2019</v>
      </c>
      <c r="C1062" t="s">
        <v>904</v>
      </c>
      <c r="D1062" t="s">
        <v>906</v>
      </c>
      <c r="E1062" t="s">
        <v>1968</v>
      </c>
      <c r="F1062" t="s">
        <v>696</v>
      </c>
      <c r="G1062" t="s">
        <v>126</v>
      </c>
      <c r="H1062" s="6">
        <v>146955</v>
      </c>
      <c r="I1062" s="6">
        <v>3.7385272299982937E-4</v>
      </c>
      <c r="J1062" s="6">
        <v>1310.353794114402</v>
      </c>
      <c r="K1062" s="6">
        <v>352879.58523953799</v>
      </c>
      <c r="M1062" s="6">
        <f t="shared" si="85"/>
        <v>148265.3537941144</v>
      </c>
      <c r="N1062" s="6">
        <f t="shared" si="86"/>
        <v>352879.58523953799</v>
      </c>
      <c r="O1062" s="6">
        <f t="shared" si="87"/>
        <v>501144.93903365242</v>
      </c>
      <c r="P1062" s="8">
        <f>VLOOKUP(F1062,'LEAID Match'!$A$2:$B$436,2,FALSE)</f>
        <v>1801470</v>
      </c>
      <c r="Q1062" s="6">
        <f t="shared" si="88"/>
        <v>9</v>
      </c>
    </row>
    <row r="1063" spans="1:17" x14ac:dyDescent="0.2">
      <c r="A1063" s="16">
        <f t="shared" si="84"/>
        <v>1801470</v>
      </c>
      <c r="B1063">
        <v>2020</v>
      </c>
      <c r="C1063" t="s">
        <v>904</v>
      </c>
      <c r="D1063" t="s">
        <v>906</v>
      </c>
      <c r="E1063" t="s">
        <v>1969</v>
      </c>
      <c r="F1063" t="s">
        <v>696</v>
      </c>
      <c r="G1063" t="s">
        <v>126</v>
      </c>
      <c r="H1063" s="6">
        <v>111746</v>
      </c>
      <c r="I1063" s="6">
        <v>5.9210939126951641E-4</v>
      </c>
      <c r="J1063" s="6">
        <v>1395.0097258309806</v>
      </c>
      <c r="K1063" s="6">
        <v>416907</v>
      </c>
      <c r="M1063" s="6">
        <f t="shared" si="85"/>
        <v>113141.00972583098</v>
      </c>
      <c r="N1063" s="6">
        <f t="shared" si="86"/>
        <v>416907</v>
      </c>
      <c r="O1063" s="6">
        <f t="shared" si="87"/>
        <v>530048.00972583098</v>
      </c>
      <c r="P1063" s="8">
        <f>VLOOKUP(F1063,'LEAID Match'!$A$2:$B$436,2,FALSE)</f>
        <v>1801470</v>
      </c>
      <c r="Q1063" s="6">
        <f t="shared" si="88"/>
        <v>9</v>
      </c>
    </row>
    <row r="1064" spans="1:17" x14ac:dyDescent="0.2">
      <c r="A1064" s="16">
        <f t="shared" si="84"/>
        <v>1801470</v>
      </c>
      <c r="B1064">
        <v>2021</v>
      </c>
      <c r="C1064" t="s">
        <v>904</v>
      </c>
      <c r="D1064" t="s">
        <v>906</v>
      </c>
      <c r="E1064" t="s">
        <v>1970</v>
      </c>
      <c r="F1064" t="s">
        <v>696</v>
      </c>
      <c r="G1064" t="s">
        <v>126</v>
      </c>
      <c r="H1064" s="6">
        <v>118619</v>
      </c>
      <c r="I1064" s="6">
        <v>5.8598889144011754E-4</v>
      </c>
      <c r="J1064" s="6">
        <v>1320.8189613060249</v>
      </c>
      <c r="K1064" s="6">
        <v>671477</v>
      </c>
      <c r="M1064" s="6">
        <f t="shared" si="85"/>
        <v>119939.81896130602</v>
      </c>
      <c r="N1064" s="6">
        <f t="shared" si="86"/>
        <v>671477</v>
      </c>
      <c r="O1064" s="6">
        <f t="shared" si="87"/>
        <v>791416.81896130601</v>
      </c>
      <c r="P1064" s="8">
        <f>VLOOKUP(F1064,'LEAID Match'!$A$2:$B$436,2,FALSE)</f>
        <v>1801470</v>
      </c>
      <c r="Q1064" s="6">
        <f t="shared" si="88"/>
        <v>9</v>
      </c>
    </row>
    <row r="1065" spans="1:17" x14ac:dyDescent="0.2">
      <c r="A1065" s="16">
        <f t="shared" si="84"/>
        <v>1801470</v>
      </c>
      <c r="B1065">
        <v>2022</v>
      </c>
      <c r="C1065" t="s">
        <v>904</v>
      </c>
      <c r="D1065" t="s">
        <v>906</v>
      </c>
      <c r="E1065" t="s">
        <v>1971</v>
      </c>
      <c r="F1065" t="s">
        <v>696</v>
      </c>
      <c r="G1065" t="s">
        <v>126</v>
      </c>
      <c r="H1065" s="6">
        <v>119958</v>
      </c>
      <c r="I1065" s="6">
        <v>5.6958287833051055E-4</v>
      </c>
      <c r="J1065" s="6">
        <v>1255.9302467187758</v>
      </c>
      <c r="K1065" s="6">
        <v>656134</v>
      </c>
      <c r="M1065" s="6">
        <f t="shared" si="85"/>
        <v>121213.93024671878</v>
      </c>
      <c r="N1065" s="6">
        <f t="shared" si="86"/>
        <v>656134</v>
      </c>
      <c r="O1065" s="6">
        <f t="shared" si="87"/>
        <v>777347.93024671881</v>
      </c>
      <c r="P1065" s="8">
        <f>VLOOKUP(F1065,'LEAID Match'!$A$2:$B$436,2,FALSE)</f>
        <v>1801470</v>
      </c>
      <c r="Q1065" s="6">
        <f t="shared" si="88"/>
        <v>9</v>
      </c>
    </row>
    <row r="1066" spans="1:17" x14ac:dyDescent="0.2">
      <c r="A1066" s="16">
        <f t="shared" si="84"/>
        <v>1801470</v>
      </c>
      <c r="B1066">
        <v>2023</v>
      </c>
      <c r="C1066" t="s">
        <v>904</v>
      </c>
      <c r="D1066" t="s">
        <v>906</v>
      </c>
      <c r="E1066" t="s">
        <v>1972</v>
      </c>
      <c r="F1066" t="s">
        <v>696</v>
      </c>
      <c r="G1066" t="s">
        <v>126</v>
      </c>
      <c r="H1066" s="6">
        <v>134302</v>
      </c>
      <c r="I1066" s="6">
        <v>5.4922138742723289E-4</v>
      </c>
      <c r="J1066" s="6">
        <v>1354.9291627829834</v>
      </c>
      <c r="K1066" s="6">
        <v>1891775</v>
      </c>
      <c r="M1066" s="6">
        <f t="shared" si="85"/>
        <v>135656.929162783</v>
      </c>
      <c r="N1066" s="6">
        <f t="shared" si="86"/>
        <v>1891775</v>
      </c>
      <c r="O1066" s="6">
        <f t="shared" si="87"/>
        <v>2027431.9291627831</v>
      </c>
      <c r="P1066" s="8">
        <f>VLOOKUP(F1066,'LEAID Match'!$A$2:$B$436,2,FALSE)</f>
        <v>1801470</v>
      </c>
      <c r="Q1066" s="6">
        <f t="shared" si="88"/>
        <v>9</v>
      </c>
    </row>
    <row r="1067" spans="1:17" x14ac:dyDescent="0.2">
      <c r="A1067" s="16">
        <f t="shared" si="84"/>
        <v>1807620</v>
      </c>
      <c r="B1067">
        <v>2015</v>
      </c>
      <c r="C1067" t="s">
        <v>904</v>
      </c>
      <c r="D1067" t="s">
        <v>906</v>
      </c>
      <c r="E1067" t="s">
        <v>1973</v>
      </c>
      <c r="F1067" t="s">
        <v>507</v>
      </c>
      <c r="G1067" t="s">
        <v>127</v>
      </c>
      <c r="H1067" s="6">
        <v>308068</v>
      </c>
      <c r="I1067" s="6">
        <v>1.4980444380429607E-3</v>
      </c>
      <c r="J1067" s="6">
        <v>8705.1362294676437</v>
      </c>
      <c r="K1067" s="6">
        <v>1266770.3455201299</v>
      </c>
      <c r="M1067" s="6">
        <f t="shared" si="85"/>
        <v>316773.13622946764</v>
      </c>
      <c r="N1067" s="6">
        <f t="shared" si="86"/>
        <v>1266770.3455201299</v>
      </c>
      <c r="O1067" s="6">
        <f t="shared" si="87"/>
        <v>1583543.4817495975</v>
      </c>
      <c r="P1067" s="8">
        <f>VLOOKUP(F1067,'LEAID Match'!$A$2:$B$436,2,FALSE)</f>
        <v>1807620</v>
      </c>
      <c r="Q1067" s="6">
        <f t="shared" si="88"/>
        <v>9</v>
      </c>
    </row>
    <row r="1068" spans="1:17" x14ac:dyDescent="0.2">
      <c r="A1068" s="16">
        <f t="shared" si="84"/>
        <v>1807620</v>
      </c>
      <c r="B1068">
        <v>2016</v>
      </c>
      <c r="C1068" t="s">
        <v>904</v>
      </c>
      <c r="D1068" t="s">
        <v>906</v>
      </c>
      <c r="E1068" t="s">
        <v>1974</v>
      </c>
      <c r="F1068" t="s">
        <v>507</v>
      </c>
      <c r="G1068" t="s">
        <v>127</v>
      </c>
      <c r="H1068" s="6">
        <v>312297</v>
      </c>
      <c r="I1068" s="6">
        <v>1.4490964351481564E-3</v>
      </c>
      <c r="J1068" s="6">
        <v>7315.038804627894</v>
      </c>
      <c r="K1068" s="6">
        <v>1286073.08619398</v>
      </c>
      <c r="M1068" s="6">
        <f t="shared" si="85"/>
        <v>319612.0388046279</v>
      </c>
      <c r="N1068" s="6">
        <f t="shared" si="86"/>
        <v>1286073.08619398</v>
      </c>
      <c r="O1068" s="6">
        <f t="shared" si="87"/>
        <v>1605685.1249986079</v>
      </c>
      <c r="P1068" s="8">
        <f>VLOOKUP(F1068,'LEAID Match'!$A$2:$B$436,2,FALSE)</f>
        <v>1807620</v>
      </c>
      <c r="Q1068" s="6">
        <f t="shared" si="88"/>
        <v>9</v>
      </c>
    </row>
    <row r="1069" spans="1:17" x14ac:dyDescent="0.2">
      <c r="A1069" s="16">
        <f t="shared" si="84"/>
        <v>1807620</v>
      </c>
      <c r="B1069">
        <v>2017</v>
      </c>
      <c r="C1069" t="s">
        <v>904</v>
      </c>
      <c r="D1069" t="s">
        <v>906</v>
      </c>
      <c r="E1069" t="s">
        <v>1975</v>
      </c>
      <c r="F1069" t="s">
        <v>507</v>
      </c>
      <c r="G1069" t="s">
        <v>127</v>
      </c>
      <c r="H1069" s="6">
        <v>317320</v>
      </c>
      <c r="I1069" s="6">
        <v>1.3972957114325257E-3</v>
      </c>
      <c r="J1069" s="6">
        <v>6322.7630942321794</v>
      </c>
      <c r="K1069" s="6">
        <v>1217044.5646577301</v>
      </c>
      <c r="M1069" s="6">
        <f t="shared" si="85"/>
        <v>323642.76309423218</v>
      </c>
      <c r="N1069" s="6">
        <f t="shared" si="86"/>
        <v>1217044.5646577301</v>
      </c>
      <c r="O1069" s="6">
        <f t="shared" si="87"/>
        <v>1540687.3277519622</v>
      </c>
      <c r="P1069" s="8">
        <f>VLOOKUP(F1069,'LEAID Match'!$A$2:$B$436,2,FALSE)</f>
        <v>1807620</v>
      </c>
      <c r="Q1069" s="6">
        <f t="shared" si="88"/>
        <v>9</v>
      </c>
    </row>
    <row r="1070" spans="1:17" x14ac:dyDescent="0.2">
      <c r="A1070" s="16">
        <f t="shared" si="84"/>
        <v>1807620</v>
      </c>
      <c r="B1070">
        <v>2018</v>
      </c>
      <c r="C1070" t="s">
        <v>904</v>
      </c>
      <c r="D1070" t="s">
        <v>906</v>
      </c>
      <c r="E1070" t="s">
        <v>1976</v>
      </c>
      <c r="F1070" t="s">
        <v>507</v>
      </c>
      <c r="G1070" t="s">
        <v>127</v>
      </c>
      <c r="H1070" s="6">
        <v>361155</v>
      </c>
      <c r="I1070" s="6">
        <v>1.532153433282402E-3</v>
      </c>
      <c r="J1070" s="6">
        <v>6386.0155099210515</v>
      </c>
      <c r="K1070" s="6">
        <v>1317829</v>
      </c>
      <c r="M1070" s="6">
        <f t="shared" si="85"/>
        <v>367541.01550992107</v>
      </c>
      <c r="N1070" s="6">
        <f t="shared" si="86"/>
        <v>1317829</v>
      </c>
      <c r="O1070" s="6">
        <f t="shared" si="87"/>
        <v>1685370.0155099211</v>
      </c>
      <c r="P1070" s="8">
        <f>VLOOKUP(F1070,'LEAID Match'!$A$2:$B$436,2,FALSE)</f>
        <v>1807620</v>
      </c>
      <c r="Q1070" s="6">
        <f t="shared" si="88"/>
        <v>9</v>
      </c>
    </row>
    <row r="1071" spans="1:17" x14ac:dyDescent="0.2">
      <c r="A1071" s="16">
        <f t="shared" si="84"/>
        <v>1807620</v>
      </c>
      <c r="B1071">
        <v>2019</v>
      </c>
      <c r="C1071" t="s">
        <v>904</v>
      </c>
      <c r="D1071" t="s">
        <v>906</v>
      </c>
      <c r="E1071" t="s">
        <v>1977</v>
      </c>
      <c r="F1071" t="s">
        <v>507</v>
      </c>
      <c r="G1071" t="s">
        <v>127</v>
      </c>
      <c r="H1071" s="6">
        <v>377384</v>
      </c>
      <c r="I1071" s="6">
        <v>9.6006284928425438E-4</v>
      </c>
      <c r="J1071" s="6">
        <v>3365.0202867413118</v>
      </c>
      <c r="K1071" s="6">
        <v>906203.32343940705</v>
      </c>
      <c r="M1071" s="6">
        <f t="shared" si="85"/>
        <v>380749.02028674132</v>
      </c>
      <c r="N1071" s="6">
        <f t="shared" si="86"/>
        <v>906203.32343940705</v>
      </c>
      <c r="O1071" s="6">
        <f t="shared" si="87"/>
        <v>1286952.3437261484</v>
      </c>
      <c r="P1071" s="8">
        <f>VLOOKUP(F1071,'LEAID Match'!$A$2:$B$436,2,FALSE)</f>
        <v>1807620</v>
      </c>
      <c r="Q1071" s="6">
        <f t="shared" si="88"/>
        <v>9</v>
      </c>
    </row>
    <row r="1072" spans="1:17" x14ac:dyDescent="0.2">
      <c r="A1072" s="16">
        <f t="shared" si="84"/>
        <v>1807620</v>
      </c>
      <c r="B1072">
        <v>2020</v>
      </c>
      <c r="C1072" t="s">
        <v>904</v>
      </c>
      <c r="D1072" t="s">
        <v>906</v>
      </c>
      <c r="E1072" t="s">
        <v>1978</v>
      </c>
      <c r="F1072" t="s">
        <v>507</v>
      </c>
      <c r="G1072" t="s">
        <v>127</v>
      </c>
      <c r="H1072" s="6">
        <v>285722</v>
      </c>
      <c r="I1072" s="6">
        <v>1.513957363058264E-3</v>
      </c>
      <c r="J1072" s="6">
        <v>3566.8835473652703</v>
      </c>
      <c r="K1072" s="6">
        <v>1384543</v>
      </c>
      <c r="M1072" s="6">
        <f t="shared" si="85"/>
        <v>289288.88354736526</v>
      </c>
      <c r="N1072" s="6">
        <f t="shared" si="86"/>
        <v>1384543</v>
      </c>
      <c r="O1072" s="6">
        <f t="shared" si="87"/>
        <v>1673831.8835473652</v>
      </c>
      <c r="P1072" s="8">
        <f>VLOOKUP(F1072,'LEAID Match'!$A$2:$B$436,2,FALSE)</f>
        <v>1807620</v>
      </c>
      <c r="Q1072" s="6">
        <f t="shared" si="88"/>
        <v>9</v>
      </c>
    </row>
    <row r="1073" spans="1:17" x14ac:dyDescent="0.2">
      <c r="A1073" s="16">
        <f t="shared" si="84"/>
        <v>1807620</v>
      </c>
      <c r="B1073">
        <v>2021</v>
      </c>
      <c r="C1073" t="s">
        <v>904</v>
      </c>
      <c r="D1073" t="s">
        <v>906</v>
      </c>
      <c r="E1073" t="s">
        <v>1979</v>
      </c>
      <c r="F1073" t="s">
        <v>507</v>
      </c>
      <c r="G1073" t="s">
        <v>127</v>
      </c>
      <c r="H1073" s="6">
        <v>292672</v>
      </c>
      <c r="I1073" s="6">
        <v>1.4458268981829394E-3</v>
      </c>
      <c r="J1073" s="6">
        <v>3258.8938285043455</v>
      </c>
      <c r="K1073" s="6">
        <v>2321800</v>
      </c>
      <c r="M1073" s="6">
        <f t="shared" si="85"/>
        <v>295930.89382850437</v>
      </c>
      <c r="N1073" s="6">
        <f t="shared" si="86"/>
        <v>2321800</v>
      </c>
      <c r="O1073" s="6">
        <f t="shared" si="87"/>
        <v>2617730.8938285043</v>
      </c>
      <c r="P1073" s="8">
        <f>VLOOKUP(F1073,'LEAID Match'!$A$2:$B$436,2,FALSE)</f>
        <v>1807620</v>
      </c>
      <c r="Q1073" s="6">
        <f t="shared" si="88"/>
        <v>9</v>
      </c>
    </row>
    <row r="1074" spans="1:17" x14ac:dyDescent="0.2">
      <c r="A1074" s="16">
        <f t="shared" si="84"/>
        <v>1807620</v>
      </c>
      <c r="B1074">
        <v>2022</v>
      </c>
      <c r="C1074" t="s">
        <v>904</v>
      </c>
      <c r="D1074" t="s">
        <v>906</v>
      </c>
      <c r="E1074" t="s">
        <v>1980</v>
      </c>
      <c r="F1074" t="s">
        <v>507</v>
      </c>
      <c r="G1074" t="s">
        <v>127</v>
      </c>
      <c r="H1074" s="6">
        <v>345624</v>
      </c>
      <c r="I1074" s="6">
        <v>1.6410869866128508E-3</v>
      </c>
      <c r="J1074" s="6">
        <v>3618.5968054813361</v>
      </c>
      <c r="K1074" s="6">
        <v>2211195</v>
      </c>
      <c r="M1074" s="6">
        <f t="shared" si="85"/>
        <v>349242.59680548136</v>
      </c>
      <c r="N1074" s="6">
        <f t="shared" si="86"/>
        <v>2211195</v>
      </c>
      <c r="O1074" s="6">
        <f t="shared" si="87"/>
        <v>2560437.5968054812</v>
      </c>
      <c r="P1074" s="8">
        <f>VLOOKUP(F1074,'LEAID Match'!$A$2:$B$436,2,FALSE)</f>
        <v>1807620</v>
      </c>
      <c r="Q1074" s="6">
        <f t="shared" si="88"/>
        <v>9</v>
      </c>
    </row>
    <row r="1075" spans="1:17" x14ac:dyDescent="0.2">
      <c r="A1075" s="16">
        <f t="shared" si="84"/>
        <v>1807620</v>
      </c>
      <c r="B1075">
        <v>2023</v>
      </c>
      <c r="C1075" t="s">
        <v>904</v>
      </c>
      <c r="D1075" t="s">
        <v>906</v>
      </c>
      <c r="E1075" t="s">
        <v>1981</v>
      </c>
      <c r="F1075" t="s">
        <v>507</v>
      </c>
      <c r="G1075" t="s">
        <v>127</v>
      </c>
      <c r="H1075" s="6">
        <v>396148</v>
      </c>
      <c r="I1075" s="6">
        <v>1.6200276554818505E-3</v>
      </c>
      <c r="J1075" s="6">
        <v>3996.6082260737248</v>
      </c>
      <c r="K1075" s="6">
        <v>6721792</v>
      </c>
      <c r="M1075" s="6">
        <f t="shared" si="85"/>
        <v>400144.60822607373</v>
      </c>
      <c r="N1075" s="6">
        <f t="shared" si="86"/>
        <v>6721792</v>
      </c>
      <c r="O1075" s="6">
        <f t="shared" si="87"/>
        <v>7121936.6082260739</v>
      </c>
      <c r="P1075" s="8">
        <f>VLOOKUP(F1075,'LEAID Match'!$A$2:$B$436,2,FALSE)</f>
        <v>1807620</v>
      </c>
      <c r="Q1075" s="6">
        <f t="shared" si="88"/>
        <v>9</v>
      </c>
    </row>
    <row r="1076" spans="1:17" x14ac:dyDescent="0.2">
      <c r="A1076" s="16">
        <f t="shared" si="84"/>
        <v>1803240</v>
      </c>
      <c r="B1076">
        <v>2015</v>
      </c>
      <c r="C1076" t="s">
        <v>904</v>
      </c>
      <c r="D1076" t="s">
        <v>906</v>
      </c>
      <c r="E1076" t="s">
        <v>1982</v>
      </c>
      <c r="F1076" t="s">
        <v>508</v>
      </c>
      <c r="G1076" t="s">
        <v>128</v>
      </c>
      <c r="H1076" s="6">
        <v>148245</v>
      </c>
      <c r="I1076" s="6">
        <v>7.208720078608577E-4</v>
      </c>
      <c r="J1076" s="6">
        <v>4188.9872376794438</v>
      </c>
      <c r="K1076" s="6">
        <v>609580.90379926702</v>
      </c>
      <c r="M1076" s="6">
        <f t="shared" si="85"/>
        <v>152433.98723767945</v>
      </c>
      <c r="N1076" s="6">
        <f t="shared" si="86"/>
        <v>609580.90379926702</v>
      </c>
      <c r="O1076" s="6">
        <f t="shared" si="87"/>
        <v>762014.89103694644</v>
      </c>
      <c r="P1076" s="8">
        <f>VLOOKUP(F1076,'LEAID Match'!$A$2:$B$436,2,FALSE)</f>
        <v>1803240</v>
      </c>
      <c r="Q1076" s="6">
        <f t="shared" si="88"/>
        <v>9</v>
      </c>
    </row>
    <row r="1077" spans="1:17" x14ac:dyDescent="0.2">
      <c r="A1077" s="16">
        <f t="shared" si="84"/>
        <v>1803240</v>
      </c>
      <c r="B1077">
        <v>2016</v>
      </c>
      <c r="C1077" t="s">
        <v>904</v>
      </c>
      <c r="D1077" t="s">
        <v>906</v>
      </c>
      <c r="E1077" t="s">
        <v>1983</v>
      </c>
      <c r="F1077" t="s">
        <v>508</v>
      </c>
      <c r="G1077" t="s">
        <v>128</v>
      </c>
      <c r="H1077" s="6">
        <v>149200</v>
      </c>
      <c r="I1077" s="6">
        <v>6.9230632418532654E-4</v>
      </c>
      <c r="J1077" s="6">
        <v>3494.7623244875285</v>
      </c>
      <c r="K1077" s="6">
        <v>614421.862714477</v>
      </c>
      <c r="M1077" s="6">
        <f t="shared" si="85"/>
        <v>152694.76232448753</v>
      </c>
      <c r="N1077" s="6">
        <f t="shared" si="86"/>
        <v>614421.862714477</v>
      </c>
      <c r="O1077" s="6">
        <f t="shared" si="87"/>
        <v>767116.62503896456</v>
      </c>
      <c r="P1077" s="8">
        <f>VLOOKUP(F1077,'LEAID Match'!$A$2:$B$436,2,FALSE)</f>
        <v>1803240</v>
      </c>
      <c r="Q1077" s="6">
        <f t="shared" si="88"/>
        <v>9</v>
      </c>
    </row>
    <row r="1078" spans="1:17" x14ac:dyDescent="0.2">
      <c r="A1078" s="16">
        <f t="shared" si="84"/>
        <v>1803240</v>
      </c>
      <c r="B1078">
        <v>2017</v>
      </c>
      <c r="C1078" t="s">
        <v>904</v>
      </c>
      <c r="D1078" t="s">
        <v>906</v>
      </c>
      <c r="E1078" t="s">
        <v>1984</v>
      </c>
      <c r="F1078" t="s">
        <v>508</v>
      </c>
      <c r="G1078" t="s">
        <v>128</v>
      </c>
      <c r="H1078" s="6">
        <v>159599</v>
      </c>
      <c r="I1078" s="6">
        <v>7.0278267442619338E-4</v>
      </c>
      <c r="J1078" s="6">
        <v>3180.0916017785253</v>
      </c>
      <c r="K1078" s="6">
        <v>612123.70942521398</v>
      </c>
      <c r="M1078" s="6">
        <f t="shared" si="85"/>
        <v>162779.09160177852</v>
      </c>
      <c r="N1078" s="6">
        <f t="shared" si="86"/>
        <v>612123.70942521398</v>
      </c>
      <c r="O1078" s="6">
        <f t="shared" si="87"/>
        <v>774902.8010269925</v>
      </c>
      <c r="P1078" s="8">
        <f>VLOOKUP(F1078,'LEAID Match'!$A$2:$B$436,2,FALSE)</f>
        <v>1803240</v>
      </c>
      <c r="Q1078" s="6">
        <f t="shared" si="88"/>
        <v>9</v>
      </c>
    </row>
    <row r="1079" spans="1:17" x14ac:dyDescent="0.2">
      <c r="A1079" s="16">
        <f t="shared" si="84"/>
        <v>1803240</v>
      </c>
      <c r="B1079">
        <v>2018</v>
      </c>
      <c r="C1079" t="s">
        <v>904</v>
      </c>
      <c r="D1079" t="s">
        <v>906</v>
      </c>
      <c r="E1079" t="s">
        <v>1985</v>
      </c>
      <c r="F1079" t="s">
        <v>508</v>
      </c>
      <c r="G1079" t="s">
        <v>128</v>
      </c>
      <c r="H1079" s="6">
        <v>164908</v>
      </c>
      <c r="I1079" s="6">
        <v>6.9960088708652618E-4</v>
      </c>
      <c r="J1079" s="6">
        <v>2915.936497376641</v>
      </c>
      <c r="K1079" s="6">
        <v>980409</v>
      </c>
      <c r="M1079" s="6">
        <f t="shared" si="85"/>
        <v>167823.93649737665</v>
      </c>
      <c r="N1079" s="6">
        <f t="shared" si="86"/>
        <v>980409</v>
      </c>
      <c r="O1079" s="6">
        <f t="shared" si="87"/>
        <v>1148232.9364973768</v>
      </c>
      <c r="P1079" s="8">
        <f>VLOOKUP(F1079,'LEAID Match'!$A$2:$B$436,2,FALSE)</f>
        <v>1803240</v>
      </c>
      <c r="Q1079" s="6">
        <f t="shared" si="88"/>
        <v>9</v>
      </c>
    </row>
    <row r="1080" spans="1:17" x14ac:dyDescent="0.2">
      <c r="A1080" s="16">
        <f t="shared" si="84"/>
        <v>1803240</v>
      </c>
      <c r="B1080">
        <v>2019</v>
      </c>
      <c r="C1080" t="s">
        <v>904</v>
      </c>
      <c r="D1080" t="s">
        <v>906</v>
      </c>
      <c r="E1080" t="s">
        <v>1986</v>
      </c>
      <c r="F1080" t="s">
        <v>508</v>
      </c>
      <c r="G1080" t="s">
        <v>128</v>
      </c>
      <c r="H1080" s="6">
        <v>162736</v>
      </c>
      <c r="I1080" s="6">
        <v>4.1399950141267892E-4</v>
      </c>
      <c r="J1080" s="6">
        <v>1451.0682524514395</v>
      </c>
      <c r="K1080" s="6">
        <v>390774.12938342697</v>
      </c>
      <c r="M1080" s="6">
        <f t="shared" si="85"/>
        <v>164187.06825245143</v>
      </c>
      <c r="N1080" s="6">
        <f t="shared" si="86"/>
        <v>390774.12938342697</v>
      </c>
      <c r="O1080" s="6">
        <f t="shared" si="87"/>
        <v>554961.19763587834</v>
      </c>
      <c r="P1080" s="8">
        <f>VLOOKUP(F1080,'LEAID Match'!$A$2:$B$436,2,FALSE)</f>
        <v>1803240</v>
      </c>
      <c r="Q1080" s="6">
        <f t="shared" si="88"/>
        <v>9</v>
      </c>
    </row>
    <row r="1081" spans="1:17" x14ac:dyDescent="0.2">
      <c r="A1081" s="16">
        <f t="shared" si="84"/>
        <v>1803240</v>
      </c>
      <c r="B1081">
        <v>2020</v>
      </c>
      <c r="C1081" t="s">
        <v>904</v>
      </c>
      <c r="D1081" t="s">
        <v>906</v>
      </c>
      <c r="E1081" t="s">
        <v>1987</v>
      </c>
      <c r="F1081" t="s">
        <v>508</v>
      </c>
      <c r="G1081" t="s">
        <v>128</v>
      </c>
      <c r="H1081" s="6">
        <v>111850</v>
      </c>
      <c r="I1081" s="6">
        <v>5.9266045687089838E-4</v>
      </c>
      <c r="J1081" s="6">
        <v>1396.3080363878366</v>
      </c>
      <c r="K1081" s="6">
        <v>1065235</v>
      </c>
      <c r="M1081" s="6">
        <f t="shared" si="85"/>
        <v>113246.30803638784</v>
      </c>
      <c r="N1081" s="6">
        <f t="shared" si="86"/>
        <v>1065235</v>
      </c>
      <c r="O1081" s="6">
        <f t="shared" si="87"/>
        <v>1178481.3080363879</v>
      </c>
      <c r="P1081" s="8">
        <f>VLOOKUP(F1081,'LEAID Match'!$A$2:$B$436,2,FALSE)</f>
        <v>1803240</v>
      </c>
      <c r="Q1081" s="6">
        <f t="shared" si="88"/>
        <v>9</v>
      </c>
    </row>
    <row r="1082" spans="1:17" x14ac:dyDescent="0.2">
      <c r="A1082" s="16">
        <f t="shared" si="84"/>
        <v>1803240</v>
      </c>
      <c r="B1082">
        <v>2021</v>
      </c>
      <c r="C1082" t="s">
        <v>904</v>
      </c>
      <c r="D1082" t="s">
        <v>906</v>
      </c>
      <c r="E1082" t="s">
        <v>1988</v>
      </c>
      <c r="F1082" t="s">
        <v>508</v>
      </c>
      <c r="G1082" t="s">
        <v>128</v>
      </c>
      <c r="H1082" s="6">
        <v>114426</v>
      </c>
      <c r="I1082" s="6">
        <v>5.6527508149560265E-4</v>
      </c>
      <c r="J1082" s="6">
        <v>1274.1300336910883</v>
      </c>
      <c r="K1082" s="6">
        <v>1816074</v>
      </c>
      <c r="M1082" s="6">
        <f t="shared" si="85"/>
        <v>115700.13003369109</v>
      </c>
      <c r="N1082" s="6">
        <f t="shared" si="86"/>
        <v>1816074</v>
      </c>
      <c r="O1082" s="6">
        <f t="shared" si="87"/>
        <v>1931774.1300336912</v>
      </c>
      <c r="P1082" s="8">
        <f>VLOOKUP(F1082,'LEAID Match'!$A$2:$B$436,2,FALSE)</f>
        <v>1803240</v>
      </c>
      <c r="Q1082" s="6">
        <f t="shared" si="88"/>
        <v>9</v>
      </c>
    </row>
    <row r="1083" spans="1:17" x14ac:dyDescent="0.2">
      <c r="A1083" s="16">
        <f t="shared" si="84"/>
        <v>1803240</v>
      </c>
      <c r="B1083">
        <v>2022</v>
      </c>
      <c r="C1083" t="s">
        <v>904</v>
      </c>
      <c r="D1083" t="s">
        <v>906</v>
      </c>
      <c r="E1083" t="s">
        <v>1989</v>
      </c>
      <c r="F1083" t="s">
        <v>508</v>
      </c>
      <c r="G1083" t="s">
        <v>128</v>
      </c>
      <c r="H1083" s="6">
        <v>129873</v>
      </c>
      <c r="I1083" s="6">
        <v>6.1666114104451885E-4</v>
      </c>
      <c r="J1083" s="6">
        <v>1359.737816003164</v>
      </c>
      <c r="K1083" s="6">
        <v>1740956</v>
      </c>
      <c r="M1083" s="6">
        <f t="shared" si="85"/>
        <v>131232.73781600315</v>
      </c>
      <c r="N1083" s="6">
        <f t="shared" si="86"/>
        <v>1740956</v>
      </c>
      <c r="O1083" s="6">
        <f t="shared" si="87"/>
        <v>1872188.7378160032</v>
      </c>
      <c r="P1083" s="8">
        <f>VLOOKUP(F1083,'LEAID Match'!$A$2:$B$436,2,FALSE)</f>
        <v>1803240</v>
      </c>
      <c r="Q1083" s="6">
        <f t="shared" si="88"/>
        <v>9</v>
      </c>
    </row>
    <row r="1084" spans="1:17" x14ac:dyDescent="0.2">
      <c r="A1084" s="16">
        <f t="shared" si="84"/>
        <v>1803240</v>
      </c>
      <c r="B1084">
        <v>2023</v>
      </c>
      <c r="C1084" t="s">
        <v>904</v>
      </c>
      <c r="D1084" t="s">
        <v>906</v>
      </c>
      <c r="E1084" t="s">
        <v>1990</v>
      </c>
      <c r="F1084" t="s">
        <v>508</v>
      </c>
      <c r="G1084" t="s">
        <v>128</v>
      </c>
      <c r="H1084" s="6">
        <v>149743</v>
      </c>
      <c r="I1084" s="6">
        <v>6.1236659333082266E-4</v>
      </c>
      <c r="J1084" s="6">
        <v>1510.7083857471396</v>
      </c>
      <c r="K1084" s="6">
        <v>4544579</v>
      </c>
      <c r="M1084" s="6">
        <f t="shared" si="85"/>
        <v>151253.70838574713</v>
      </c>
      <c r="N1084" s="6">
        <f t="shared" si="86"/>
        <v>4544579</v>
      </c>
      <c r="O1084" s="6">
        <f t="shared" si="87"/>
        <v>4695832.7083857469</v>
      </c>
      <c r="P1084" s="8">
        <f>VLOOKUP(F1084,'LEAID Match'!$A$2:$B$436,2,FALSE)</f>
        <v>1803240</v>
      </c>
      <c r="Q1084" s="6">
        <f t="shared" si="88"/>
        <v>9</v>
      </c>
    </row>
    <row r="1085" spans="1:17" x14ac:dyDescent="0.2">
      <c r="A1085" s="16">
        <f t="shared" si="84"/>
        <v>1801890</v>
      </c>
      <c r="B1085">
        <v>2015</v>
      </c>
      <c r="C1085" t="s">
        <v>904</v>
      </c>
      <c r="D1085" t="s">
        <v>906</v>
      </c>
      <c r="E1085" t="s">
        <v>1991</v>
      </c>
      <c r="F1085" t="s">
        <v>697</v>
      </c>
      <c r="G1085" t="s">
        <v>129</v>
      </c>
      <c r="H1085" s="6">
        <v>1234519</v>
      </c>
      <c r="I1085" s="6">
        <v>6.0031042549318911E-3</v>
      </c>
      <c r="J1085" s="6">
        <v>34884.038825409218</v>
      </c>
      <c r="K1085" s="6">
        <v>5076321.0076384796</v>
      </c>
      <c r="M1085" s="6">
        <f t="shared" si="85"/>
        <v>1269403.0388254093</v>
      </c>
      <c r="N1085" s="6">
        <f t="shared" si="86"/>
        <v>5076321.0076384796</v>
      </c>
      <c r="O1085" s="6">
        <f t="shared" si="87"/>
        <v>6345724.0464638891</v>
      </c>
      <c r="P1085" s="8">
        <f>VLOOKUP(F1085,'LEAID Match'!$A$2:$B$436,2,FALSE)</f>
        <v>1801890</v>
      </c>
      <c r="Q1085" s="6">
        <f t="shared" si="88"/>
        <v>9</v>
      </c>
    </row>
    <row r="1086" spans="1:17" x14ac:dyDescent="0.2">
      <c r="A1086" s="16">
        <f t="shared" si="84"/>
        <v>1801890</v>
      </c>
      <c r="B1086">
        <v>2016</v>
      </c>
      <c r="C1086" t="s">
        <v>904</v>
      </c>
      <c r="D1086" t="s">
        <v>906</v>
      </c>
      <c r="E1086" t="s">
        <v>1992</v>
      </c>
      <c r="F1086" t="s">
        <v>697</v>
      </c>
      <c r="G1086" t="s">
        <v>129</v>
      </c>
      <c r="H1086" s="6">
        <v>1331393</v>
      </c>
      <c r="I1086" s="6">
        <v>6.1778270367029119E-3</v>
      </c>
      <c r="J1086" s="6">
        <v>31185.670881276299</v>
      </c>
      <c r="K1086" s="6">
        <v>5482821.4950738298</v>
      </c>
      <c r="M1086" s="6">
        <f t="shared" si="85"/>
        <v>1362578.6708812763</v>
      </c>
      <c r="N1086" s="6">
        <f t="shared" si="86"/>
        <v>5482821.4950738298</v>
      </c>
      <c r="O1086" s="6">
        <f t="shared" si="87"/>
        <v>6845400.1659551058</v>
      </c>
      <c r="P1086" s="8">
        <f>VLOOKUP(F1086,'LEAID Match'!$A$2:$B$436,2,FALSE)</f>
        <v>1801890</v>
      </c>
      <c r="Q1086" s="6">
        <f t="shared" si="88"/>
        <v>9</v>
      </c>
    </row>
    <row r="1087" spans="1:17" x14ac:dyDescent="0.2">
      <c r="A1087" s="16">
        <f t="shared" si="84"/>
        <v>1801890</v>
      </c>
      <c r="B1087">
        <v>2017</v>
      </c>
      <c r="C1087" t="s">
        <v>904</v>
      </c>
      <c r="D1087" t="s">
        <v>906</v>
      </c>
      <c r="E1087" t="s">
        <v>1993</v>
      </c>
      <c r="F1087" t="s">
        <v>697</v>
      </c>
      <c r="G1087" t="s">
        <v>129</v>
      </c>
      <c r="H1087" s="6">
        <v>1536794</v>
      </c>
      <c r="I1087" s="6">
        <v>6.7671614318518753E-3</v>
      </c>
      <c r="J1087" s="6">
        <v>30621.405479129735</v>
      </c>
      <c r="K1087" s="6">
        <v>5894197.6071429802</v>
      </c>
      <c r="M1087" s="6">
        <f t="shared" si="85"/>
        <v>1567415.4054791296</v>
      </c>
      <c r="N1087" s="6">
        <f t="shared" si="86"/>
        <v>5894197.6071429802</v>
      </c>
      <c r="O1087" s="6">
        <f t="shared" si="87"/>
        <v>7461613.0126221096</v>
      </c>
      <c r="P1087" s="8">
        <f>VLOOKUP(F1087,'LEAID Match'!$A$2:$B$436,2,FALSE)</f>
        <v>1801890</v>
      </c>
      <c r="Q1087" s="6">
        <f t="shared" si="88"/>
        <v>9</v>
      </c>
    </row>
    <row r="1088" spans="1:17" x14ac:dyDescent="0.2">
      <c r="A1088" s="16">
        <f t="shared" si="84"/>
        <v>1801890</v>
      </c>
      <c r="B1088">
        <v>2018</v>
      </c>
      <c r="C1088" t="s">
        <v>904</v>
      </c>
      <c r="D1088" t="s">
        <v>906</v>
      </c>
      <c r="E1088" t="s">
        <v>1994</v>
      </c>
      <c r="F1088" t="s">
        <v>697</v>
      </c>
      <c r="G1088" t="s">
        <v>129</v>
      </c>
      <c r="H1088" s="6">
        <v>1474476</v>
      </c>
      <c r="I1088" s="6">
        <v>6.2552739563137795E-3</v>
      </c>
      <c r="J1088" s="6">
        <v>26071.981849915832</v>
      </c>
      <c r="K1088" s="6">
        <v>2382960</v>
      </c>
      <c r="M1088" s="6">
        <f t="shared" si="85"/>
        <v>1500547.9818499158</v>
      </c>
      <c r="N1088" s="6">
        <f t="shared" si="86"/>
        <v>2382960</v>
      </c>
      <c r="O1088" s="6">
        <f t="shared" si="87"/>
        <v>3883507.9818499158</v>
      </c>
      <c r="P1088" s="8">
        <f>VLOOKUP(F1088,'LEAID Match'!$A$2:$B$436,2,FALSE)</f>
        <v>1801890</v>
      </c>
      <c r="Q1088" s="6">
        <f t="shared" si="88"/>
        <v>9</v>
      </c>
    </row>
    <row r="1089" spans="1:17" x14ac:dyDescent="0.2">
      <c r="A1089" s="16">
        <f t="shared" si="84"/>
        <v>1801890</v>
      </c>
      <c r="B1089">
        <v>2019</v>
      </c>
      <c r="C1089" t="s">
        <v>904</v>
      </c>
      <c r="D1089" t="s">
        <v>906</v>
      </c>
      <c r="E1089" t="s">
        <v>1995</v>
      </c>
      <c r="F1089" t="s">
        <v>697</v>
      </c>
      <c r="G1089" t="s">
        <v>129</v>
      </c>
      <c r="H1089" s="6">
        <v>1560319</v>
      </c>
      <c r="I1089" s="6">
        <v>3.9694430737189663E-3</v>
      </c>
      <c r="J1089" s="6">
        <v>13912.897973384977</v>
      </c>
      <c r="K1089" s="6">
        <v>3746757.31728333</v>
      </c>
      <c r="M1089" s="6">
        <f t="shared" si="85"/>
        <v>1574231.8979733849</v>
      </c>
      <c r="N1089" s="6">
        <f t="shared" si="86"/>
        <v>3746757.31728333</v>
      </c>
      <c r="O1089" s="6">
        <f t="shared" si="87"/>
        <v>5320989.2152567152</v>
      </c>
      <c r="P1089" s="8">
        <f>VLOOKUP(F1089,'LEAID Match'!$A$2:$B$436,2,FALSE)</f>
        <v>1801890</v>
      </c>
      <c r="Q1089" s="6">
        <f t="shared" si="88"/>
        <v>9</v>
      </c>
    </row>
    <row r="1090" spans="1:17" x14ac:dyDescent="0.2">
      <c r="A1090" s="16">
        <f t="shared" si="84"/>
        <v>1801890</v>
      </c>
      <c r="B1090">
        <v>2020</v>
      </c>
      <c r="C1090" t="s">
        <v>904</v>
      </c>
      <c r="D1090" t="s">
        <v>906</v>
      </c>
      <c r="E1090" t="s">
        <v>1996</v>
      </c>
      <c r="F1090" t="s">
        <v>697</v>
      </c>
      <c r="G1090" t="s">
        <v>129</v>
      </c>
      <c r="H1090" s="6">
        <v>1206632</v>
      </c>
      <c r="I1090" s="6">
        <v>6.3935902762185595E-3</v>
      </c>
      <c r="J1090" s="6">
        <v>15063.298690770926</v>
      </c>
      <c r="K1090" s="6">
        <v>2473279</v>
      </c>
      <c r="M1090" s="6">
        <f t="shared" si="85"/>
        <v>1221695.298690771</v>
      </c>
      <c r="N1090" s="6">
        <f t="shared" si="86"/>
        <v>2473279</v>
      </c>
      <c r="O1090" s="6">
        <f t="shared" si="87"/>
        <v>3694974.2986907708</v>
      </c>
      <c r="P1090" s="8">
        <f>VLOOKUP(F1090,'LEAID Match'!$A$2:$B$436,2,FALSE)</f>
        <v>1801890</v>
      </c>
      <c r="Q1090" s="6">
        <f t="shared" si="88"/>
        <v>9</v>
      </c>
    </row>
    <row r="1091" spans="1:17" x14ac:dyDescent="0.2">
      <c r="A1091" s="16">
        <f t="shared" ref="A1091:A1154" si="89">P1091</f>
        <v>1801890</v>
      </c>
      <c r="B1091">
        <v>2021</v>
      </c>
      <c r="C1091" t="s">
        <v>904</v>
      </c>
      <c r="D1091" t="s">
        <v>906</v>
      </c>
      <c r="E1091" t="s">
        <v>1997</v>
      </c>
      <c r="F1091" t="s">
        <v>697</v>
      </c>
      <c r="G1091" t="s">
        <v>129</v>
      </c>
      <c r="H1091" s="6">
        <v>1316538</v>
      </c>
      <c r="I1091" s="6">
        <v>6.5038201566257475E-3</v>
      </c>
      <c r="J1091" s="6">
        <v>14659.610633034436</v>
      </c>
      <c r="K1091" s="6">
        <v>4179751</v>
      </c>
      <c r="M1091" s="6">
        <f t="shared" ref="M1091:M1154" si="90">SUM(H1091,J1091)</f>
        <v>1331197.6106330345</v>
      </c>
      <c r="N1091" s="6">
        <f t="shared" ref="N1091:N1154" si="91">K1091</f>
        <v>4179751</v>
      </c>
      <c r="O1091" s="6">
        <f t="shared" ref="O1091:O1154" si="92">SUM(M1091:N1091)</f>
        <v>5510948.6106330343</v>
      </c>
      <c r="P1091" s="8">
        <f>VLOOKUP(F1091,'LEAID Match'!$A$2:$B$436,2,FALSE)</f>
        <v>1801890</v>
      </c>
      <c r="Q1091" s="6">
        <f t="shared" ref="Q1091:Q1154" si="93">COUNTIF($P$2:$P$3691,P1091)</f>
        <v>9</v>
      </c>
    </row>
    <row r="1092" spans="1:17" x14ac:dyDescent="0.2">
      <c r="A1092" s="16">
        <f t="shared" si="89"/>
        <v>1801890</v>
      </c>
      <c r="B1092">
        <v>2022</v>
      </c>
      <c r="C1092" t="s">
        <v>904</v>
      </c>
      <c r="D1092" t="s">
        <v>906</v>
      </c>
      <c r="E1092" t="s">
        <v>1998</v>
      </c>
      <c r="F1092" t="s">
        <v>697</v>
      </c>
      <c r="G1092" t="s">
        <v>129</v>
      </c>
      <c r="H1092" s="6">
        <v>1454837</v>
      </c>
      <c r="I1092" s="6">
        <v>6.9078364591083959E-3</v>
      </c>
      <c r="J1092" s="6">
        <v>15231.779392334012</v>
      </c>
      <c r="K1092" s="6">
        <v>4042075</v>
      </c>
      <c r="M1092" s="6">
        <f t="shared" si="90"/>
        <v>1470068.7793923339</v>
      </c>
      <c r="N1092" s="6">
        <f t="shared" si="91"/>
        <v>4042075</v>
      </c>
      <c r="O1092" s="6">
        <f t="shared" si="92"/>
        <v>5512143.7793923337</v>
      </c>
      <c r="P1092" s="8">
        <f>VLOOKUP(F1092,'LEAID Match'!$A$2:$B$436,2,FALSE)</f>
        <v>1801890</v>
      </c>
      <c r="Q1092" s="6">
        <f t="shared" si="93"/>
        <v>9</v>
      </c>
    </row>
    <row r="1093" spans="1:17" x14ac:dyDescent="0.2">
      <c r="A1093" s="16">
        <f t="shared" si="89"/>
        <v>1801890</v>
      </c>
      <c r="B1093">
        <v>2023</v>
      </c>
      <c r="C1093" t="s">
        <v>904</v>
      </c>
      <c r="D1093" t="s">
        <v>906</v>
      </c>
      <c r="E1093" t="s">
        <v>1999</v>
      </c>
      <c r="F1093" t="s">
        <v>697</v>
      </c>
      <c r="G1093" t="s">
        <v>129</v>
      </c>
      <c r="H1093" s="6">
        <v>1737034</v>
      </c>
      <c r="I1093" s="6">
        <v>7.1035146422858643E-3</v>
      </c>
      <c r="J1093" s="6">
        <v>17524.370622519225</v>
      </c>
      <c r="K1093" s="6">
        <v>11772453</v>
      </c>
      <c r="M1093" s="6">
        <f t="shared" si="90"/>
        <v>1754558.3706225192</v>
      </c>
      <c r="N1093" s="6">
        <f t="shared" si="91"/>
        <v>11772453</v>
      </c>
      <c r="O1093" s="6">
        <f t="shared" si="92"/>
        <v>13527011.370622519</v>
      </c>
      <c r="P1093" s="8">
        <f>VLOOKUP(F1093,'LEAID Match'!$A$2:$B$436,2,FALSE)</f>
        <v>1801890</v>
      </c>
      <c r="Q1093" s="6">
        <f t="shared" si="93"/>
        <v>9</v>
      </c>
    </row>
    <row r="1094" spans="1:17" x14ac:dyDescent="0.2">
      <c r="A1094" s="16">
        <f t="shared" si="89"/>
        <v>1804110</v>
      </c>
      <c r="B1094">
        <v>2015</v>
      </c>
      <c r="C1094" t="s">
        <v>904</v>
      </c>
      <c r="D1094" t="s">
        <v>906</v>
      </c>
      <c r="E1094" t="s">
        <v>2000</v>
      </c>
      <c r="F1094" t="s">
        <v>509</v>
      </c>
      <c r="G1094" t="s">
        <v>130</v>
      </c>
      <c r="H1094" s="6">
        <v>624006</v>
      </c>
      <c r="I1094" s="6">
        <v>3.0343583806349112E-3</v>
      </c>
      <c r="J1094" s="6">
        <v>17632.656549869469</v>
      </c>
      <c r="K1094" s="6">
        <v>2565901.99639897</v>
      </c>
      <c r="M1094" s="6">
        <f t="shared" si="90"/>
        <v>641638.65654986945</v>
      </c>
      <c r="N1094" s="6">
        <f t="shared" si="91"/>
        <v>2565901.99639897</v>
      </c>
      <c r="O1094" s="6">
        <f t="shared" si="92"/>
        <v>3207540.6529488396</v>
      </c>
      <c r="P1094" s="8">
        <f>VLOOKUP(F1094,'LEAID Match'!$A$2:$B$436,2,FALSE)</f>
        <v>1804110</v>
      </c>
      <c r="Q1094" s="6">
        <f t="shared" si="93"/>
        <v>9</v>
      </c>
    </row>
    <row r="1095" spans="1:17" x14ac:dyDescent="0.2">
      <c r="A1095" s="16">
        <f t="shared" si="89"/>
        <v>1804110</v>
      </c>
      <c r="B1095">
        <v>2016</v>
      </c>
      <c r="C1095" t="s">
        <v>904</v>
      </c>
      <c r="D1095" t="s">
        <v>906</v>
      </c>
      <c r="E1095" t="s">
        <v>2001</v>
      </c>
      <c r="F1095" t="s">
        <v>509</v>
      </c>
      <c r="G1095" t="s">
        <v>130</v>
      </c>
      <c r="H1095" s="6">
        <v>647236</v>
      </c>
      <c r="I1095" s="6">
        <v>3.0032545311019705E-3</v>
      </c>
      <c r="J1095" s="6">
        <v>15160.428873002747</v>
      </c>
      <c r="K1095" s="6">
        <v>2665388.3963529901</v>
      </c>
      <c r="M1095" s="6">
        <f t="shared" si="90"/>
        <v>662396.42887300276</v>
      </c>
      <c r="N1095" s="6">
        <f t="shared" si="91"/>
        <v>2665388.3963529901</v>
      </c>
      <c r="O1095" s="6">
        <f t="shared" si="92"/>
        <v>3327784.8252259931</v>
      </c>
      <c r="P1095" s="8">
        <f>VLOOKUP(F1095,'LEAID Match'!$A$2:$B$436,2,FALSE)</f>
        <v>1804110</v>
      </c>
      <c r="Q1095" s="6">
        <f t="shared" si="93"/>
        <v>9</v>
      </c>
    </row>
    <row r="1096" spans="1:17" x14ac:dyDescent="0.2">
      <c r="A1096" s="16">
        <f t="shared" si="89"/>
        <v>1804110</v>
      </c>
      <c r="B1096">
        <v>2017</v>
      </c>
      <c r="C1096" t="s">
        <v>904</v>
      </c>
      <c r="D1096" t="s">
        <v>906</v>
      </c>
      <c r="E1096" t="s">
        <v>2002</v>
      </c>
      <c r="F1096" t="s">
        <v>509</v>
      </c>
      <c r="G1096" t="s">
        <v>130</v>
      </c>
      <c r="H1096" s="6">
        <v>705876</v>
      </c>
      <c r="I1096" s="6">
        <v>3.1082740060605872E-3</v>
      </c>
      <c r="J1096" s="6">
        <v>14064.939877424156</v>
      </c>
      <c r="K1096" s="6">
        <v>2707306.65927877</v>
      </c>
      <c r="M1096" s="6">
        <f t="shared" si="90"/>
        <v>719940.93987742416</v>
      </c>
      <c r="N1096" s="6">
        <f t="shared" si="91"/>
        <v>2707306.65927877</v>
      </c>
      <c r="O1096" s="6">
        <f t="shared" si="92"/>
        <v>3427247.5991561944</v>
      </c>
      <c r="P1096" s="8">
        <f>VLOOKUP(F1096,'LEAID Match'!$A$2:$B$436,2,FALSE)</f>
        <v>1804110</v>
      </c>
      <c r="Q1096" s="6">
        <f t="shared" si="93"/>
        <v>9</v>
      </c>
    </row>
    <row r="1097" spans="1:17" x14ac:dyDescent="0.2">
      <c r="A1097" s="16">
        <f t="shared" si="89"/>
        <v>1804110</v>
      </c>
      <c r="B1097">
        <v>2018</v>
      </c>
      <c r="C1097" t="s">
        <v>904</v>
      </c>
      <c r="D1097" t="s">
        <v>906</v>
      </c>
      <c r="E1097" t="s">
        <v>2003</v>
      </c>
      <c r="F1097" t="s">
        <v>509</v>
      </c>
      <c r="G1097" t="s">
        <v>130</v>
      </c>
      <c r="H1097" s="6">
        <v>805132</v>
      </c>
      <c r="I1097" s="6">
        <v>3.4156685025696081E-3</v>
      </c>
      <c r="J1097" s="6">
        <v>14236.506318710126</v>
      </c>
      <c r="K1097" s="6">
        <v>3133894</v>
      </c>
      <c r="M1097" s="6">
        <f t="shared" si="90"/>
        <v>819368.50631871016</v>
      </c>
      <c r="N1097" s="6">
        <f t="shared" si="91"/>
        <v>3133894</v>
      </c>
      <c r="O1097" s="6">
        <f t="shared" si="92"/>
        <v>3953262.5063187103</v>
      </c>
      <c r="P1097" s="8">
        <f>VLOOKUP(F1097,'LEAID Match'!$A$2:$B$436,2,FALSE)</f>
        <v>1804110</v>
      </c>
      <c r="Q1097" s="6">
        <f t="shared" si="93"/>
        <v>9</v>
      </c>
    </row>
    <row r="1098" spans="1:17" x14ac:dyDescent="0.2">
      <c r="A1098" s="16">
        <f t="shared" si="89"/>
        <v>1804110</v>
      </c>
      <c r="B1098">
        <v>2019</v>
      </c>
      <c r="C1098" t="s">
        <v>904</v>
      </c>
      <c r="D1098" t="s">
        <v>906</v>
      </c>
      <c r="E1098" t="s">
        <v>2004</v>
      </c>
      <c r="F1098" t="s">
        <v>509</v>
      </c>
      <c r="G1098" t="s">
        <v>130</v>
      </c>
      <c r="H1098" s="6">
        <v>860999</v>
      </c>
      <c r="I1098" s="6">
        <v>2.1903767864321056E-3</v>
      </c>
      <c r="J1098" s="6">
        <v>7677.2706364445303</v>
      </c>
      <c r="K1098" s="6">
        <v>2067496.64871326</v>
      </c>
      <c r="M1098" s="6">
        <f t="shared" si="90"/>
        <v>868676.27063644456</v>
      </c>
      <c r="N1098" s="6">
        <f t="shared" si="91"/>
        <v>2067496.64871326</v>
      </c>
      <c r="O1098" s="6">
        <f t="shared" si="92"/>
        <v>2936172.9193497044</v>
      </c>
      <c r="P1098" s="8">
        <f>VLOOKUP(F1098,'LEAID Match'!$A$2:$B$436,2,FALSE)</f>
        <v>1804110</v>
      </c>
      <c r="Q1098" s="6">
        <f t="shared" si="93"/>
        <v>9</v>
      </c>
    </row>
    <row r="1099" spans="1:17" x14ac:dyDescent="0.2">
      <c r="A1099" s="16">
        <f t="shared" si="89"/>
        <v>1804110</v>
      </c>
      <c r="B1099">
        <v>2020</v>
      </c>
      <c r="C1099" t="s">
        <v>904</v>
      </c>
      <c r="D1099" t="s">
        <v>906</v>
      </c>
      <c r="E1099" t="s">
        <v>2005</v>
      </c>
      <c r="F1099" t="s">
        <v>509</v>
      </c>
      <c r="G1099" t="s">
        <v>130</v>
      </c>
      <c r="H1099" s="6">
        <v>669928</v>
      </c>
      <c r="I1099" s="6">
        <v>3.549752655794432E-3</v>
      </c>
      <c r="J1099" s="6">
        <v>8363.2172570516814</v>
      </c>
      <c r="K1099" s="6">
        <v>3315639</v>
      </c>
      <c r="M1099" s="6">
        <f t="shared" si="90"/>
        <v>678291.21725705173</v>
      </c>
      <c r="N1099" s="6">
        <f t="shared" si="91"/>
        <v>3315639</v>
      </c>
      <c r="O1099" s="6">
        <f t="shared" si="92"/>
        <v>3993930.2172570517</v>
      </c>
      <c r="P1099" s="8">
        <f>VLOOKUP(F1099,'LEAID Match'!$A$2:$B$436,2,FALSE)</f>
        <v>1804110</v>
      </c>
      <c r="Q1099" s="6">
        <f t="shared" si="93"/>
        <v>9</v>
      </c>
    </row>
    <row r="1100" spans="1:17" x14ac:dyDescent="0.2">
      <c r="A1100" s="16">
        <f t="shared" si="89"/>
        <v>1804110</v>
      </c>
      <c r="B1100">
        <v>2021</v>
      </c>
      <c r="C1100" t="s">
        <v>904</v>
      </c>
      <c r="D1100" t="s">
        <v>906</v>
      </c>
      <c r="E1100" t="s">
        <v>2006</v>
      </c>
      <c r="F1100" t="s">
        <v>509</v>
      </c>
      <c r="G1100" t="s">
        <v>130</v>
      </c>
      <c r="H1100" s="6">
        <v>721095</v>
      </c>
      <c r="I1100" s="6">
        <v>3.5622763610636708E-3</v>
      </c>
      <c r="J1100" s="6">
        <v>8029.3709178375138</v>
      </c>
      <c r="K1100" s="6">
        <v>5604382</v>
      </c>
      <c r="M1100" s="6">
        <f t="shared" si="90"/>
        <v>729124.37091783748</v>
      </c>
      <c r="N1100" s="6">
        <f t="shared" si="91"/>
        <v>5604382</v>
      </c>
      <c r="O1100" s="6">
        <f t="shared" si="92"/>
        <v>6333506.3709178371</v>
      </c>
      <c r="P1100" s="8">
        <f>VLOOKUP(F1100,'LEAID Match'!$A$2:$B$436,2,FALSE)</f>
        <v>1804110</v>
      </c>
      <c r="Q1100" s="6">
        <f t="shared" si="93"/>
        <v>9</v>
      </c>
    </row>
    <row r="1101" spans="1:17" x14ac:dyDescent="0.2">
      <c r="A1101" s="16">
        <f t="shared" si="89"/>
        <v>1804110</v>
      </c>
      <c r="B1101">
        <v>2022</v>
      </c>
      <c r="C1101" t="s">
        <v>904</v>
      </c>
      <c r="D1101" t="s">
        <v>906</v>
      </c>
      <c r="E1101" t="s">
        <v>2007</v>
      </c>
      <c r="F1101" t="s">
        <v>509</v>
      </c>
      <c r="G1101" t="s">
        <v>130</v>
      </c>
      <c r="H1101" s="6">
        <v>762552</v>
      </c>
      <c r="I1101" s="6">
        <v>3.6207386171550663E-3</v>
      </c>
      <c r="J1101" s="6">
        <v>7983.7286508269208</v>
      </c>
      <c r="K1101" s="6">
        <v>5503802</v>
      </c>
      <c r="M1101" s="6">
        <f t="shared" si="90"/>
        <v>770535.72865082696</v>
      </c>
      <c r="N1101" s="6">
        <f t="shared" si="91"/>
        <v>5503802</v>
      </c>
      <c r="O1101" s="6">
        <f t="shared" si="92"/>
        <v>6274337.728650827</v>
      </c>
      <c r="P1101" s="8">
        <f>VLOOKUP(F1101,'LEAID Match'!$A$2:$B$436,2,FALSE)</f>
        <v>1804110</v>
      </c>
      <c r="Q1101" s="6">
        <f t="shared" si="93"/>
        <v>9</v>
      </c>
    </row>
    <row r="1102" spans="1:17" x14ac:dyDescent="0.2">
      <c r="A1102" s="16">
        <f t="shared" si="89"/>
        <v>1804110</v>
      </c>
      <c r="B1102">
        <v>2023</v>
      </c>
      <c r="C1102" t="s">
        <v>904</v>
      </c>
      <c r="D1102" t="s">
        <v>906</v>
      </c>
      <c r="E1102" t="s">
        <v>2008</v>
      </c>
      <c r="F1102" t="s">
        <v>509</v>
      </c>
      <c r="G1102" t="s">
        <v>130</v>
      </c>
      <c r="H1102" s="6">
        <v>871851</v>
      </c>
      <c r="I1102" s="6">
        <v>3.5653915492682197E-3</v>
      </c>
      <c r="J1102" s="6">
        <v>8795.8209520446981</v>
      </c>
      <c r="K1102" s="6">
        <v>15509417</v>
      </c>
      <c r="M1102" s="6">
        <f t="shared" si="90"/>
        <v>880646.82095204468</v>
      </c>
      <c r="N1102" s="6">
        <f t="shared" si="91"/>
        <v>15509417</v>
      </c>
      <c r="O1102" s="6">
        <f t="shared" si="92"/>
        <v>16390063.820952045</v>
      </c>
      <c r="P1102" s="8">
        <f>VLOOKUP(F1102,'LEAID Match'!$A$2:$B$436,2,FALSE)</f>
        <v>1804110</v>
      </c>
      <c r="Q1102" s="6">
        <f t="shared" si="93"/>
        <v>9</v>
      </c>
    </row>
    <row r="1103" spans="1:17" x14ac:dyDescent="0.2">
      <c r="A1103" s="16">
        <f t="shared" si="89"/>
        <v>1805240</v>
      </c>
      <c r="B1103">
        <v>2015</v>
      </c>
      <c r="C1103" t="s">
        <v>904</v>
      </c>
      <c r="D1103" t="s">
        <v>906</v>
      </c>
      <c r="E1103" t="s">
        <v>2009</v>
      </c>
      <c r="F1103" t="s">
        <v>698</v>
      </c>
      <c r="G1103" t="s">
        <v>131</v>
      </c>
      <c r="H1103" s="6">
        <v>229283</v>
      </c>
      <c r="I1103" s="6">
        <v>1.1149360624531084E-3</v>
      </c>
      <c r="J1103" s="6">
        <v>6478.8934589150131</v>
      </c>
      <c r="K1103" s="6">
        <v>942807.773387347</v>
      </c>
      <c r="M1103" s="6">
        <f t="shared" si="90"/>
        <v>235761.893458915</v>
      </c>
      <c r="N1103" s="6">
        <f t="shared" si="91"/>
        <v>942807.773387347</v>
      </c>
      <c r="O1103" s="6">
        <f t="shared" si="92"/>
        <v>1178569.6668462621</v>
      </c>
      <c r="P1103" s="8">
        <f>VLOOKUP(F1103,'LEAID Match'!$A$2:$B$436,2,FALSE)</f>
        <v>1805240</v>
      </c>
      <c r="Q1103" s="6">
        <f t="shared" si="93"/>
        <v>9</v>
      </c>
    </row>
    <row r="1104" spans="1:17" x14ac:dyDescent="0.2">
      <c r="A1104" s="16">
        <f t="shared" si="89"/>
        <v>1805240</v>
      </c>
      <c r="B1104">
        <v>2016</v>
      </c>
      <c r="C1104" t="s">
        <v>904</v>
      </c>
      <c r="D1104" t="s">
        <v>906</v>
      </c>
      <c r="E1104" t="s">
        <v>2010</v>
      </c>
      <c r="F1104" t="s">
        <v>698</v>
      </c>
      <c r="G1104" t="s">
        <v>131</v>
      </c>
      <c r="H1104" s="6">
        <v>193567</v>
      </c>
      <c r="I1104" s="6">
        <v>8.9817465317413615E-4</v>
      </c>
      <c r="J1104" s="6">
        <v>4533.9856492230392</v>
      </c>
      <c r="K1104" s="6">
        <v>797130.00469204504</v>
      </c>
      <c r="M1104" s="6">
        <f t="shared" si="90"/>
        <v>198100.98564922303</v>
      </c>
      <c r="N1104" s="6">
        <f t="shared" si="91"/>
        <v>797130.00469204504</v>
      </c>
      <c r="O1104" s="6">
        <f t="shared" si="92"/>
        <v>995230.99034126801</v>
      </c>
      <c r="P1104" s="8">
        <f>VLOOKUP(F1104,'LEAID Match'!$A$2:$B$436,2,FALSE)</f>
        <v>1805240</v>
      </c>
      <c r="Q1104" s="6">
        <f t="shared" si="93"/>
        <v>9</v>
      </c>
    </row>
    <row r="1105" spans="1:17" x14ac:dyDescent="0.2">
      <c r="A1105" s="16">
        <f t="shared" si="89"/>
        <v>1805240</v>
      </c>
      <c r="B1105">
        <v>2017</v>
      </c>
      <c r="C1105" t="s">
        <v>904</v>
      </c>
      <c r="D1105" t="s">
        <v>906</v>
      </c>
      <c r="E1105" t="s">
        <v>2011</v>
      </c>
      <c r="F1105" t="s">
        <v>698</v>
      </c>
      <c r="G1105" t="s">
        <v>131</v>
      </c>
      <c r="H1105" s="6">
        <v>190959</v>
      </c>
      <c r="I1105" s="6">
        <v>8.4087417042557581E-4</v>
      </c>
      <c r="J1105" s="6">
        <v>3804.9556211757304</v>
      </c>
      <c r="K1105" s="6">
        <v>732401.402440676</v>
      </c>
      <c r="M1105" s="6">
        <f t="shared" si="90"/>
        <v>194763.95562117573</v>
      </c>
      <c r="N1105" s="6">
        <f t="shared" si="91"/>
        <v>732401.402440676</v>
      </c>
      <c r="O1105" s="6">
        <f t="shared" si="92"/>
        <v>927165.3580618517</v>
      </c>
      <c r="P1105" s="8">
        <f>VLOOKUP(F1105,'LEAID Match'!$A$2:$B$436,2,FALSE)</f>
        <v>1805240</v>
      </c>
      <c r="Q1105" s="6">
        <f t="shared" si="93"/>
        <v>9</v>
      </c>
    </row>
    <row r="1106" spans="1:17" x14ac:dyDescent="0.2">
      <c r="A1106" s="16">
        <f t="shared" si="89"/>
        <v>1805240</v>
      </c>
      <c r="B1106">
        <v>2018</v>
      </c>
      <c r="C1106" t="s">
        <v>904</v>
      </c>
      <c r="D1106" t="s">
        <v>906</v>
      </c>
      <c r="E1106" t="s">
        <v>2012</v>
      </c>
      <c r="F1106" t="s">
        <v>698</v>
      </c>
      <c r="G1106" t="s">
        <v>131</v>
      </c>
      <c r="H1106" s="6">
        <v>162019</v>
      </c>
      <c r="I1106" s="6">
        <v>6.8734467778926362E-4</v>
      </c>
      <c r="J1106" s="6">
        <v>2864.8526170256509</v>
      </c>
      <c r="K1106" s="6">
        <v>706324</v>
      </c>
      <c r="M1106" s="6">
        <f t="shared" si="90"/>
        <v>164883.85261702564</v>
      </c>
      <c r="N1106" s="6">
        <f t="shared" si="91"/>
        <v>706324</v>
      </c>
      <c r="O1106" s="6">
        <f t="shared" si="92"/>
        <v>871207.85261702561</v>
      </c>
      <c r="P1106" s="8">
        <f>VLOOKUP(F1106,'LEAID Match'!$A$2:$B$436,2,FALSE)</f>
        <v>1805240</v>
      </c>
      <c r="Q1106" s="6">
        <f t="shared" si="93"/>
        <v>9</v>
      </c>
    </row>
    <row r="1107" spans="1:17" x14ac:dyDescent="0.2">
      <c r="A1107" s="16">
        <f t="shared" si="89"/>
        <v>1805240</v>
      </c>
      <c r="B1107">
        <v>2019</v>
      </c>
      <c r="C1107" t="s">
        <v>904</v>
      </c>
      <c r="D1107" t="s">
        <v>906</v>
      </c>
      <c r="E1107" t="s">
        <v>2013</v>
      </c>
      <c r="F1107" t="s">
        <v>698</v>
      </c>
      <c r="G1107" t="s">
        <v>131</v>
      </c>
      <c r="H1107" s="6">
        <v>169763</v>
      </c>
      <c r="I1107" s="6">
        <v>4.3187615130223559E-4</v>
      </c>
      <c r="J1107" s="6">
        <v>1513.7259103143358</v>
      </c>
      <c r="K1107" s="6">
        <v>407647.89921418001</v>
      </c>
      <c r="M1107" s="6">
        <f t="shared" si="90"/>
        <v>171276.72591031433</v>
      </c>
      <c r="N1107" s="6">
        <f t="shared" si="91"/>
        <v>407647.89921418001</v>
      </c>
      <c r="O1107" s="6">
        <f t="shared" si="92"/>
        <v>578924.62512449431</v>
      </c>
      <c r="P1107" s="8">
        <f>VLOOKUP(F1107,'LEAID Match'!$A$2:$B$436,2,FALSE)</f>
        <v>1805240</v>
      </c>
      <c r="Q1107" s="6">
        <f t="shared" si="93"/>
        <v>9</v>
      </c>
    </row>
    <row r="1108" spans="1:17" x14ac:dyDescent="0.2">
      <c r="A1108" s="16">
        <f t="shared" si="89"/>
        <v>1805240</v>
      </c>
      <c r="B1108">
        <v>2020</v>
      </c>
      <c r="C1108" t="s">
        <v>904</v>
      </c>
      <c r="D1108" t="s">
        <v>906</v>
      </c>
      <c r="E1108" t="s">
        <v>2014</v>
      </c>
      <c r="F1108" t="s">
        <v>698</v>
      </c>
      <c r="G1108" t="s">
        <v>131</v>
      </c>
      <c r="H1108" s="6">
        <v>122911</v>
      </c>
      <c r="I1108" s="6">
        <v>6.5126946280249435E-4</v>
      </c>
      <c r="J1108" s="6">
        <v>1534.3908543626767</v>
      </c>
      <c r="K1108" s="6">
        <v>794483</v>
      </c>
      <c r="M1108" s="6">
        <f t="shared" si="90"/>
        <v>124445.39085436267</v>
      </c>
      <c r="N1108" s="6">
        <f t="shared" si="91"/>
        <v>794483</v>
      </c>
      <c r="O1108" s="6">
        <f t="shared" si="92"/>
        <v>918928.39085436263</v>
      </c>
      <c r="P1108" s="8">
        <f>VLOOKUP(F1108,'LEAID Match'!$A$2:$B$436,2,FALSE)</f>
        <v>1805240</v>
      </c>
      <c r="Q1108" s="6">
        <f t="shared" si="93"/>
        <v>9</v>
      </c>
    </row>
    <row r="1109" spans="1:17" x14ac:dyDescent="0.2">
      <c r="A1109" s="16">
        <f t="shared" si="89"/>
        <v>1805240</v>
      </c>
      <c r="B1109">
        <v>2021</v>
      </c>
      <c r="C1109" t="s">
        <v>904</v>
      </c>
      <c r="D1109" t="s">
        <v>906</v>
      </c>
      <c r="E1109" t="s">
        <v>2015</v>
      </c>
      <c r="F1109" t="s">
        <v>698</v>
      </c>
      <c r="G1109" t="s">
        <v>131</v>
      </c>
      <c r="H1109" s="6">
        <v>141678</v>
      </c>
      <c r="I1109" s="6">
        <v>6.9990249590245221E-4</v>
      </c>
      <c r="J1109" s="6">
        <v>1577.5802257641274</v>
      </c>
      <c r="K1109" s="6">
        <v>1272626</v>
      </c>
      <c r="M1109" s="6">
        <f t="shared" si="90"/>
        <v>143255.58022576413</v>
      </c>
      <c r="N1109" s="6">
        <f t="shared" si="91"/>
        <v>1272626</v>
      </c>
      <c r="O1109" s="6">
        <f t="shared" si="92"/>
        <v>1415881.5802257641</v>
      </c>
      <c r="P1109" s="8">
        <f>VLOOKUP(F1109,'LEAID Match'!$A$2:$B$436,2,FALSE)</f>
        <v>1805240</v>
      </c>
      <c r="Q1109" s="6">
        <f t="shared" si="93"/>
        <v>9</v>
      </c>
    </row>
    <row r="1110" spans="1:17" x14ac:dyDescent="0.2">
      <c r="A1110" s="16">
        <f t="shared" si="89"/>
        <v>1805240</v>
      </c>
      <c r="B1110">
        <v>2022</v>
      </c>
      <c r="C1110" t="s">
        <v>904</v>
      </c>
      <c r="D1110" t="s">
        <v>906</v>
      </c>
      <c r="E1110" t="s">
        <v>2016</v>
      </c>
      <c r="F1110" t="s">
        <v>698</v>
      </c>
      <c r="G1110" t="s">
        <v>131</v>
      </c>
      <c r="H1110" s="6">
        <v>155311</v>
      </c>
      <c r="I1110" s="6">
        <v>7.3744549272570332E-4</v>
      </c>
      <c r="J1110" s="6">
        <v>1626.0673114601759</v>
      </c>
      <c r="K1110" s="6">
        <v>1286375</v>
      </c>
      <c r="M1110" s="6">
        <f t="shared" si="90"/>
        <v>156937.06731146018</v>
      </c>
      <c r="N1110" s="6">
        <f t="shared" si="91"/>
        <v>1286375</v>
      </c>
      <c r="O1110" s="6">
        <f t="shared" si="92"/>
        <v>1443312.0673114602</v>
      </c>
      <c r="P1110" s="8">
        <f>VLOOKUP(F1110,'LEAID Match'!$A$2:$B$436,2,FALSE)</f>
        <v>1805240</v>
      </c>
      <c r="Q1110" s="6">
        <f t="shared" si="93"/>
        <v>9</v>
      </c>
    </row>
    <row r="1111" spans="1:17" x14ac:dyDescent="0.2">
      <c r="A1111" s="16">
        <f t="shared" si="89"/>
        <v>1805240</v>
      </c>
      <c r="B1111">
        <v>2023</v>
      </c>
      <c r="C1111" t="s">
        <v>904</v>
      </c>
      <c r="D1111" t="s">
        <v>906</v>
      </c>
      <c r="E1111" t="s">
        <v>2017</v>
      </c>
      <c r="F1111" t="s">
        <v>698</v>
      </c>
      <c r="G1111" t="s">
        <v>131</v>
      </c>
      <c r="H1111" s="6">
        <v>179516</v>
      </c>
      <c r="I1111" s="6">
        <v>7.3412180448085022E-4</v>
      </c>
      <c r="J1111" s="6">
        <v>1811.0784916542575</v>
      </c>
      <c r="K1111" s="6">
        <v>2952219</v>
      </c>
      <c r="M1111" s="6">
        <f t="shared" si="90"/>
        <v>181327.07849165425</v>
      </c>
      <c r="N1111" s="6">
        <f t="shared" si="91"/>
        <v>2952219</v>
      </c>
      <c r="O1111" s="6">
        <f t="shared" si="92"/>
        <v>3133546.0784916542</v>
      </c>
      <c r="P1111" s="8">
        <f>VLOOKUP(F1111,'LEAID Match'!$A$2:$B$436,2,FALSE)</f>
        <v>1805240</v>
      </c>
      <c r="Q1111" s="6">
        <f t="shared" si="93"/>
        <v>9</v>
      </c>
    </row>
    <row r="1112" spans="1:17" x14ac:dyDescent="0.2">
      <c r="A1112" s="16">
        <f t="shared" si="89"/>
        <v>1807830</v>
      </c>
      <c r="B1112">
        <v>2015</v>
      </c>
      <c r="C1112" t="s">
        <v>904</v>
      </c>
      <c r="D1112" t="s">
        <v>906</v>
      </c>
      <c r="E1112" t="s">
        <v>2018</v>
      </c>
      <c r="F1112" t="s">
        <v>510</v>
      </c>
      <c r="G1112" t="s">
        <v>132</v>
      </c>
      <c r="H1112" s="6">
        <v>181041</v>
      </c>
      <c r="I1112" s="6">
        <v>8.8034934854556675E-4</v>
      </c>
      <c r="J1112" s="6">
        <v>5115.7100643982885</v>
      </c>
      <c r="K1112" s="6">
        <v>744437.49471970799</v>
      </c>
      <c r="M1112" s="6">
        <f t="shared" si="90"/>
        <v>186156.7100643983</v>
      </c>
      <c r="N1112" s="6">
        <f t="shared" si="91"/>
        <v>744437.49471970799</v>
      </c>
      <c r="O1112" s="6">
        <f t="shared" si="92"/>
        <v>930594.20478410623</v>
      </c>
      <c r="P1112" s="8">
        <f>VLOOKUP(F1112,'LEAID Match'!$A$2:$B$436,2,FALSE)</f>
        <v>1807830</v>
      </c>
      <c r="Q1112" s="6">
        <f t="shared" si="93"/>
        <v>9</v>
      </c>
    </row>
    <row r="1113" spans="1:17" x14ac:dyDescent="0.2">
      <c r="A1113" s="16">
        <f t="shared" si="89"/>
        <v>1807830</v>
      </c>
      <c r="B1113">
        <v>2016</v>
      </c>
      <c r="C1113" t="s">
        <v>904</v>
      </c>
      <c r="D1113" t="s">
        <v>906</v>
      </c>
      <c r="E1113" t="s">
        <v>2019</v>
      </c>
      <c r="F1113" t="s">
        <v>510</v>
      </c>
      <c r="G1113" t="s">
        <v>132</v>
      </c>
      <c r="H1113" s="6">
        <v>179967</v>
      </c>
      <c r="I1113" s="6">
        <v>8.3506898287306073E-4</v>
      </c>
      <c r="J1113" s="6">
        <v>4215.4282255432108</v>
      </c>
      <c r="K1113" s="6">
        <v>741123.722299841</v>
      </c>
      <c r="M1113" s="6">
        <f t="shared" si="90"/>
        <v>184182.4282255432</v>
      </c>
      <c r="N1113" s="6">
        <f t="shared" si="91"/>
        <v>741123.722299841</v>
      </c>
      <c r="O1113" s="6">
        <f t="shared" si="92"/>
        <v>925306.15052538423</v>
      </c>
      <c r="P1113" s="8">
        <f>VLOOKUP(F1113,'LEAID Match'!$A$2:$B$436,2,FALSE)</f>
        <v>1807830</v>
      </c>
      <c r="Q1113" s="6">
        <f t="shared" si="93"/>
        <v>9</v>
      </c>
    </row>
    <row r="1114" spans="1:17" x14ac:dyDescent="0.2">
      <c r="A1114" s="16">
        <f t="shared" si="89"/>
        <v>1807830</v>
      </c>
      <c r="B1114">
        <v>2017</v>
      </c>
      <c r="C1114" t="s">
        <v>904</v>
      </c>
      <c r="D1114" t="s">
        <v>906</v>
      </c>
      <c r="E1114" t="s">
        <v>2020</v>
      </c>
      <c r="F1114" t="s">
        <v>510</v>
      </c>
      <c r="G1114" t="s">
        <v>132</v>
      </c>
      <c r="H1114" s="6">
        <v>178164</v>
      </c>
      <c r="I1114" s="6">
        <v>7.8453231164649106E-4</v>
      </c>
      <c r="J1114" s="6">
        <v>3550.0087102003722</v>
      </c>
      <c r="K1114" s="6">
        <v>683327.64344409294</v>
      </c>
      <c r="M1114" s="6">
        <f t="shared" si="90"/>
        <v>181714.00871020037</v>
      </c>
      <c r="N1114" s="6">
        <f t="shared" si="91"/>
        <v>683327.64344409294</v>
      </c>
      <c r="O1114" s="6">
        <f t="shared" si="92"/>
        <v>865041.65215429338</v>
      </c>
      <c r="P1114" s="8">
        <f>VLOOKUP(F1114,'LEAID Match'!$A$2:$B$436,2,FALSE)</f>
        <v>1807830</v>
      </c>
      <c r="Q1114" s="6">
        <f t="shared" si="93"/>
        <v>9</v>
      </c>
    </row>
    <row r="1115" spans="1:17" x14ac:dyDescent="0.2">
      <c r="A1115" s="16">
        <f t="shared" si="89"/>
        <v>1807830</v>
      </c>
      <c r="B1115">
        <v>2018</v>
      </c>
      <c r="C1115" t="s">
        <v>904</v>
      </c>
      <c r="D1115" t="s">
        <v>906</v>
      </c>
      <c r="E1115" t="s">
        <v>2021</v>
      </c>
      <c r="F1115" t="s">
        <v>510</v>
      </c>
      <c r="G1115" t="s">
        <v>132</v>
      </c>
      <c r="H1115" s="6">
        <v>191068</v>
      </c>
      <c r="I1115" s="6">
        <v>8.1058130772217467E-4</v>
      </c>
      <c r="J1115" s="6">
        <v>3378.502890586024</v>
      </c>
      <c r="K1115" s="6">
        <v>1703255</v>
      </c>
      <c r="M1115" s="6">
        <f t="shared" si="90"/>
        <v>194446.50289058604</v>
      </c>
      <c r="N1115" s="6">
        <f t="shared" si="91"/>
        <v>1703255</v>
      </c>
      <c r="O1115" s="6">
        <f t="shared" si="92"/>
        <v>1897701.5028905859</v>
      </c>
      <c r="P1115" s="8">
        <f>VLOOKUP(F1115,'LEAID Match'!$A$2:$B$436,2,FALSE)</f>
        <v>1807830</v>
      </c>
      <c r="Q1115" s="6">
        <f t="shared" si="93"/>
        <v>9</v>
      </c>
    </row>
    <row r="1116" spans="1:17" x14ac:dyDescent="0.2">
      <c r="A1116" s="16">
        <f t="shared" si="89"/>
        <v>1807830</v>
      </c>
      <c r="B1116">
        <v>2019</v>
      </c>
      <c r="C1116" t="s">
        <v>904</v>
      </c>
      <c r="D1116" t="s">
        <v>906</v>
      </c>
      <c r="E1116" t="s">
        <v>2022</v>
      </c>
      <c r="F1116" t="s">
        <v>510</v>
      </c>
      <c r="G1116" t="s">
        <v>132</v>
      </c>
      <c r="H1116" s="6">
        <v>199611</v>
      </c>
      <c r="I1116" s="6">
        <v>5.0780930142369386E-4</v>
      </c>
      <c r="J1116" s="6">
        <v>1779.8716014900469</v>
      </c>
      <c r="K1116" s="6">
        <v>479321.19961382402</v>
      </c>
      <c r="M1116" s="6">
        <f t="shared" si="90"/>
        <v>201390.87160149004</v>
      </c>
      <c r="N1116" s="6">
        <f t="shared" si="91"/>
        <v>479321.19961382402</v>
      </c>
      <c r="O1116" s="6">
        <f t="shared" si="92"/>
        <v>680712.07121531409</v>
      </c>
      <c r="P1116" s="8">
        <f>VLOOKUP(F1116,'LEAID Match'!$A$2:$B$436,2,FALSE)</f>
        <v>1807830</v>
      </c>
      <c r="Q1116" s="6">
        <f t="shared" si="93"/>
        <v>9</v>
      </c>
    </row>
    <row r="1117" spans="1:17" x14ac:dyDescent="0.2">
      <c r="A1117" s="16">
        <f t="shared" si="89"/>
        <v>1807830</v>
      </c>
      <c r="B1117">
        <v>2020</v>
      </c>
      <c r="C1117" t="s">
        <v>904</v>
      </c>
      <c r="D1117" t="s">
        <v>906</v>
      </c>
      <c r="E1117" t="s">
        <v>2023</v>
      </c>
      <c r="F1117" t="s">
        <v>510</v>
      </c>
      <c r="G1117" t="s">
        <v>132</v>
      </c>
      <c r="H1117" s="6">
        <v>181296</v>
      </c>
      <c r="I1117" s="6">
        <v>9.6063451219370935E-4</v>
      </c>
      <c r="J1117" s="6">
        <v>2263.2549107283794</v>
      </c>
      <c r="K1117" s="6">
        <v>1787854</v>
      </c>
      <c r="M1117" s="6">
        <f t="shared" si="90"/>
        <v>183559.25491072837</v>
      </c>
      <c r="N1117" s="6">
        <f t="shared" si="91"/>
        <v>1787854</v>
      </c>
      <c r="O1117" s="6">
        <f t="shared" si="92"/>
        <v>1971413.2549107284</v>
      </c>
      <c r="P1117" s="8">
        <f>VLOOKUP(F1117,'LEAID Match'!$A$2:$B$436,2,FALSE)</f>
        <v>1807830</v>
      </c>
      <c r="Q1117" s="6">
        <f t="shared" si="93"/>
        <v>9</v>
      </c>
    </row>
    <row r="1118" spans="1:17" x14ac:dyDescent="0.2">
      <c r="A1118" s="16">
        <f t="shared" si="89"/>
        <v>1807830</v>
      </c>
      <c r="B1118">
        <v>2021</v>
      </c>
      <c r="C1118" t="s">
        <v>904</v>
      </c>
      <c r="D1118" t="s">
        <v>906</v>
      </c>
      <c r="E1118" t="s">
        <v>2024</v>
      </c>
      <c r="F1118" t="s">
        <v>510</v>
      </c>
      <c r="G1118" t="s">
        <v>132</v>
      </c>
      <c r="H1118" s="6">
        <v>195690</v>
      </c>
      <c r="I1118" s="6">
        <v>9.6672679896067757E-4</v>
      </c>
      <c r="J1118" s="6">
        <v>2179.0022048573674</v>
      </c>
      <c r="K1118" s="6">
        <v>2892899</v>
      </c>
      <c r="M1118" s="6">
        <f t="shared" si="90"/>
        <v>197869.00220485736</v>
      </c>
      <c r="N1118" s="6">
        <f t="shared" si="91"/>
        <v>2892899</v>
      </c>
      <c r="O1118" s="6">
        <f t="shared" si="92"/>
        <v>3090768.0022048573</v>
      </c>
      <c r="P1118" s="8">
        <f>VLOOKUP(F1118,'LEAID Match'!$A$2:$B$436,2,FALSE)</f>
        <v>1807830</v>
      </c>
      <c r="Q1118" s="6">
        <f t="shared" si="93"/>
        <v>9</v>
      </c>
    </row>
    <row r="1119" spans="1:17" x14ac:dyDescent="0.2">
      <c r="A1119" s="16">
        <f t="shared" si="89"/>
        <v>1807830</v>
      </c>
      <c r="B1119">
        <v>2022</v>
      </c>
      <c r="C1119" t="s">
        <v>904</v>
      </c>
      <c r="D1119" t="s">
        <v>906</v>
      </c>
      <c r="E1119" t="s">
        <v>2025</v>
      </c>
      <c r="F1119" t="s">
        <v>510</v>
      </c>
      <c r="G1119" t="s">
        <v>132</v>
      </c>
      <c r="H1119" s="6">
        <v>200069</v>
      </c>
      <c r="I1119" s="6">
        <v>9.4996479505082539E-4</v>
      </c>
      <c r="J1119" s="6">
        <v>2094.6723730870699</v>
      </c>
      <c r="K1119" s="6">
        <v>2774459</v>
      </c>
      <c r="M1119" s="6">
        <f t="shared" si="90"/>
        <v>202163.67237308706</v>
      </c>
      <c r="N1119" s="6">
        <f t="shared" si="91"/>
        <v>2774459</v>
      </c>
      <c r="O1119" s="6">
        <f t="shared" si="92"/>
        <v>2976622.6723730871</v>
      </c>
      <c r="P1119" s="8">
        <f>VLOOKUP(F1119,'LEAID Match'!$A$2:$B$436,2,FALSE)</f>
        <v>1807830</v>
      </c>
      <c r="Q1119" s="6">
        <f t="shared" si="93"/>
        <v>9</v>
      </c>
    </row>
    <row r="1120" spans="1:17" x14ac:dyDescent="0.2">
      <c r="A1120" s="16">
        <f t="shared" si="89"/>
        <v>1807830</v>
      </c>
      <c r="B1120">
        <v>2023</v>
      </c>
      <c r="C1120" t="s">
        <v>904</v>
      </c>
      <c r="D1120" t="s">
        <v>906</v>
      </c>
      <c r="E1120" t="s">
        <v>2026</v>
      </c>
      <c r="F1120" t="s">
        <v>510</v>
      </c>
      <c r="G1120" t="s">
        <v>132</v>
      </c>
      <c r="H1120" s="6">
        <v>234548</v>
      </c>
      <c r="I1120" s="6">
        <v>9.5917244700959503E-4</v>
      </c>
      <c r="J1120" s="6">
        <v>2366.2784267726711</v>
      </c>
      <c r="K1120" s="6">
        <v>7435813</v>
      </c>
      <c r="M1120" s="6">
        <f t="shared" si="90"/>
        <v>236914.27842677268</v>
      </c>
      <c r="N1120" s="6">
        <f t="shared" si="91"/>
        <v>7435813</v>
      </c>
      <c r="O1120" s="6">
        <f t="shared" si="92"/>
        <v>7672727.2784267729</v>
      </c>
      <c r="P1120" s="8">
        <f>VLOOKUP(F1120,'LEAID Match'!$A$2:$B$436,2,FALSE)</f>
        <v>1807830</v>
      </c>
      <c r="Q1120" s="6">
        <f t="shared" si="93"/>
        <v>9</v>
      </c>
    </row>
    <row r="1121" spans="1:17" x14ac:dyDescent="0.2">
      <c r="A1121" s="16">
        <f t="shared" si="89"/>
        <v>1810410</v>
      </c>
      <c r="B1121">
        <v>2015</v>
      </c>
      <c r="C1121" t="s">
        <v>904</v>
      </c>
      <c r="D1121" t="s">
        <v>906</v>
      </c>
      <c r="E1121" t="s">
        <v>2027</v>
      </c>
      <c r="F1121" t="s">
        <v>699</v>
      </c>
      <c r="G1121" t="s">
        <v>133</v>
      </c>
      <c r="H1121" s="6">
        <v>167616</v>
      </c>
      <c r="I1121" s="6">
        <v>8.1506750628760184E-4</v>
      </c>
      <c r="J1121" s="6">
        <v>4736.3572790372546</v>
      </c>
      <c r="K1121" s="6">
        <v>689234.12439689599</v>
      </c>
      <c r="M1121" s="6">
        <f t="shared" si="90"/>
        <v>172352.35727903724</v>
      </c>
      <c r="N1121" s="6">
        <f t="shared" si="91"/>
        <v>689234.12439689599</v>
      </c>
      <c r="O1121" s="6">
        <f t="shared" si="92"/>
        <v>861586.48167593323</v>
      </c>
      <c r="P1121" s="8">
        <f>VLOOKUP(F1121,'LEAID Match'!$A$2:$B$436,2,FALSE)</f>
        <v>1810410</v>
      </c>
      <c r="Q1121" s="6">
        <f t="shared" si="93"/>
        <v>9</v>
      </c>
    </row>
    <row r="1122" spans="1:17" x14ac:dyDescent="0.2">
      <c r="A1122" s="16">
        <f t="shared" si="89"/>
        <v>1810410</v>
      </c>
      <c r="B1122">
        <v>2016</v>
      </c>
      <c r="C1122" t="s">
        <v>904</v>
      </c>
      <c r="D1122" t="s">
        <v>906</v>
      </c>
      <c r="E1122" t="s">
        <v>2028</v>
      </c>
      <c r="F1122" t="s">
        <v>699</v>
      </c>
      <c r="G1122" t="s">
        <v>133</v>
      </c>
      <c r="H1122" s="6">
        <v>189115</v>
      </c>
      <c r="I1122" s="6">
        <v>8.775168263961664E-4</v>
      </c>
      <c r="J1122" s="6">
        <v>4429.7049396478478</v>
      </c>
      <c r="K1122" s="6">
        <v>778796.18342659704</v>
      </c>
      <c r="M1122" s="6">
        <f t="shared" si="90"/>
        <v>193544.70493964784</v>
      </c>
      <c r="N1122" s="6">
        <f t="shared" si="91"/>
        <v>778796.18342659704</v>
      </c>
      <c r="O1122" s="6">
        <f t="shared" si="92"/>
        <v>972340.88836624485</v>
      </c>
      <c r="P1122" s="8">
        <f>VLOOKUP(F1122,'LEAID Match'!$A$2:$B$436,2,FALSE)</f>
        <v>1810410</v>
      </c>
      <c r="Q1122" s="6">
        <f t="shared" si="93"/>
        <v>9</v>
      </c>
    </row>
    <row r="1123" spans="1:17" x14ac:dyDescent="0.2">
      <c r="A1123" s="16">
        <f t="shared" si="89"/>
        <v>1810410</v>
      </c>
      <c r="B1123">
        <v>2017</v>
      </c>
      <c r="C1123" t="s">
        <v>904</v>
      </c>
      <c r="D1123" t="s">
        <v>906</v>
      </c>
      <c r="E1123" t="s">
        <v>2029</v>
      </c>
      <c r="F1123" t="s">
        <v>699</v>
      </c>
      <c r="G1123" t="s">
        <v>133</v>
      </c>
      <c r="H1123" s="6">
        <v>203462</v>
      </c>
      <c r="I1123" s="6">
        <v>8.9593022828527845E-4</v>
      </c>
      <c r="J1123" s="6">
        <v>4054.0842829908852</v>
      </c>
      <c r="K1123" s="6">
        <v>780355.22883647704</v>
      </c>
      <c r="M1123" s="6">
        <f t="shared" si="90"/>
        <v>207516.08428299089</v>
      </c>
      <c r="N1123" s="6">
        <f t="shared" si="91"/>
        <v>780355.22883647704</v>
      </c>
      <c r="O1123" s="6">
        <f t="shared" si="92"/>
        <v>987871.31311946793</v>
      </c>
      <c r="P1123" s="8">
        <f>VLOOKUP(F1123,'LEAID Match'!$A$2:$B$436,2,FALSE)</f>
        <v>1810410</v>
      </c>
      <c r="Q1123" s="6">
        <f t="shared" si="93"/>
        <v>9</v>
      </c>
    </row>
    <row r="1124" spans="1:17" x14ac:dyDescent="0.2">
      <c r="A1124" s="16">
        <f t="shared" si="89"/>
        <v>1810410</v>
      </c>
      <c r="B1124">
        <v>2018</v>
      </c>
      <c r="C1124" t="s">
        <v>904</v>
      </c>
      <c r="D1124" t="s">
        <v>906</v>
      </c>
      <c r="E1124" t="s">
        <v>2030</v>
      </c>
      <c r="F1124" t="s">
        <v>699</v>
      </c>
      <c r="G1124" t="s">
        <v>133</v>
      </c>
      <c r="H1124" s="6">
        <v>216777</v>
      </c>
      <c r="I1124" s="6">
        <v>9.1964841911827125E-4</v>
      </c>
      <c r="J1124" s="6">
        <v>3833.0946108849544</v>
      </c>
      <c r="K1124" s="6">
        <v>1125529</v>
      </c>
      <c r="M1124" s="6">
        <f t="shared" si="90"/>
        <v>220610.09461088496</v>
      </c>
      <c r="N1124" s="6">
        <f t="shared" si="91"/>
        <v>1125529</v>
      </c>
      <c r="O1124" s="6">
        <f t="shared" si="92"/>
        <v>1346139.094610885</v>
      </c>
      <c r="P1124" s="8">
        <f>VLOOKUP(F1124,'LEAID Match'!$A$2:$B$436,2,FALSE)</f>
        <v>1810410</v>
      </c>
      <c r="Q1124" s="6">
        <f t="shared" si="93"/>
        <v>9</v>
      </c>
    </row>
    <row r="1125" spans="1:17" x14ac:dyDescent="0.2">
      <c r="A1125" s="16">
        <f t="shared" si="89"/>
        <v>1810410</v>
      </c>
      <c r="B1125">
        <v>2019</v>
      </c>
      <c r="C1125" t="s">
        <v>904</v>
      </c>
      <c r="D1125" t="s">
        <v>906</v>
      </c>
      <c r="E1125" t="s">
        <v>2031</v>
      </c>
      <c r="F1125" t="s">
        <v>699</v>
      </c>
      <c r="G1125" t="s">
        <v>133</v>
      </c>
      <c r="H1125" s="6">
        <v>234102</v>
      </c>
      <c r="I1125" s="6">
        <v>5.9555421836416625E-4</v>
      </c>
      <c r="J1125" s="6">
        <v>2087.4175353664027</v>
      </c>
      <c r="K1125" s="6">
        <v>562143.62671393598</v>
      </c>
      <c r="M1125" s="6">
        <f t="shared" si="90"/>
        <v>236189.4175353664</v>
      </c>
      <c r="N1125" s="6">
        <f t="shared" si="91"/>
        <v>562143.62671393598</v>
      </c>
      <c r="O1125" s="6">
        <f t="shared" si="92"/>
        <v>798333.04424930236</v>
      </c>
      <c r="P1125" s="8">
        <f>VLOOKUP(F1125,'LEAID Match'!$A$2:$B$436,2,FALSE)</f>
        <v>1810410</v>
      </c>
      <c r="Q1125" s="6">
        <f t="shared" si="93"/>
        <v>9</v>
      </c>
    </row>
    <row r="1126" spans="1:17" x14ac:dyDescent="0.2">
      <c r="A1126" s="16">
        <f t="shared" si="89"/>
        <v>1810410</v>
      </c>
      <c r="B1126">
        <v>2020</v>
      </c>
      <c r="C1126" t="s">
        <v>904</v>
      </c>
      <c r="D1126" t="s">
        <v>906</v>
      </c>
      <c r="E1126" t="s">
        <v>2032</v>
      </c>
      <c r="F1126" t="s">
        <v>699</v>
      </c>
      <c r="G1126" t="s">
        <v>133</v>
      </c>
      <c r="H1126" s="6">
        <v>184317</v>
      </c>
      <c r="I1126" s="6">
        <v>9.7664190817231458E-4</v>
      </c>
      <c r="J1126" s="6">
        <v>2300.9683356539731</v>
      </c>
      <c r="K1126" s="6">
        <v>1202067</v>
      </c>
      <c r="M1126" s="6">
        <f t="shared" si="90"/>
        <v>186617.96833565398</v>
      </c>
      <c r="N1126" s="6">
        <f t="shared" si="91"/>
        <v>1202067</v>
      </c>
      <c r="O1126" s="6">
        <f t="shared" si="92"/>
        <v>1388684.9683356539</v>
      </c>
      <c r="P1126" s="8">
        <f>VLOOKUP(F1126,'LEAID Match'!$A$2:$B$436,2,FALSE)</f>
        <v>1810410</v>
      </c>
      <c r="Q1126" s="6">
        <f t="shared" si="93"/>
        <v>9</v>
      </c>
    </row>
    <row r="1127" spans="1:17" x14ac:dyDescent="0.2">
      <c r="A1127" s="16">
        <f t="shared" si="89"/>
        <v>1810410</v>
      </c>
      <c r="B1127">
        <v>2021</v>
      </c>
      <c r="C1127" t="s">
        <v>904</v>
      </c>
      <c r="D1127" t="s">
        <v>906</v>
      </c>
      <c r="E1127" t="s">
        <v>2033</v>
      </c>
      <c r="F1127" t="s">
        <v>699</v>
      </c>
      <c r="G1127" t="s">
        <v>133</v>
      </c>
      <c r="H1127" s="6">
        <v>198094</v>
      </c>
      <c r="I1127" s="6">
        <v>9.7860278253010611E-4</v>
      </c>
      <c r="J1127" s="6">
        <v>2205.7706718228592</v>
      </c>
      <c r="K1127" s="6">
        <v>2009797</v>
      </c>
      <c r="M1127" s="6">
        <f t="shared" si="90"/>
        <v>200299.77067182286</v>
      </c>
      <c r="N1127" s="6">
        <f t="shared" si="91"/>
        <v>2009797</v>
      </c>
      <c r="O1127" s="6">
        <f t="shared" si="92"/>
        <v>2210096.7706718231</v>
      </c>
      <c r="P1127" s="8">
        <f>VLOOKUP(F1127,'LEAID Match'!$A$2:$B$436,2,FALSE)</f>
        <v>1810410</v>
      </c>
      <c r="Q1127" s="6">
        <f t="shared" si="93"/>
        <v>9</v>
      </c>
    </row>
    <row r="1128" spans="1:17" x14ac:dyDescent="0.2">
      <c r="A1128" s="16">
        <f t="shared" si="89"/>
        <v>1810410</v>
      </c>
      <c r="B1128">
        <v>2022</v>
      </c>
      <c r="C1128" t="s">
        <v>904</v>
      </c>
      <c r="D1128" t="s">
        <v>906</v>
      </c>
      <c r="E1128" t="s">
        <v>2034</v>
      </c>
      <c r="F1128" t="s">
        <v>699</v>
      </c>
      <c r="G1128" t="s">
        <v>133</v>
      </c>
      <c r="H1128" s="6">
        <v>220505</v>
      </c>
      <c r="I1128" s="6">
        <v>1.0469987211046302E-3</v>
      </c>
      <c r="J1128" s="6">
        <v>2308.6321800357096</v>
      </c>
      <c r="K1128" s="6">
        <v>1896462</v>
      </c>
      <c r="M1128" s="6">
        <f t="shared" si="90"/>
        <v>222813.6321800357</v>
      </c>
      <c r="N1128" s="6">
        <f t="shared" si="91"/>
        <v>1896462</v>
      </c>
      <c r="O1128" s="6">
        <f t="shared" si="92"/>
        <v>2119275.6321800356</v>
      </c>
      <c r="P1128" s="8">
        <f>VLOOKUP(F1128,'LEAID Match'!$A$2:$B$436,2,FALSE)</f>
        <v>1810410</v>
      </c>
      <c r="Q1128" s="6">
        <f t="shared" si="93"/>
        <v>9</v>
      </c>
    </row>
    <row r="1129" spans="1:17" x14ac:dyDescent="0.2">
      <c r="A1129" s="16">
        <f t="shared" si="89"/>
        <v>1810410</v>
      </c>
      <c r="B1129">
        <v>2023</v>
      </c>
      <c r="C1129" t="s">
        <v>904</v>
      </c>
      <c r="D1129" t="s">
        <v>906</v>
      </c>
      <c r="E1129" t="s">
        <v>2035</v>
      </c>
      <c r="F1129" t="s">
        <v>699</v>
      </c>
      <c r="G1129" t="s">
        <v>133</v>
      </c>
      <c r="H1129" s="6">
        <v>260304</v>
      </c>
      <c r="I1129" s="6">
        <v>1.0645003353104083E-3</v>
      </c>
      <c r="J1129" s="6">
        <v>2626.1223272107773</v>
      </c>
      <c r="K1129" s="6">
        <v>4980784</v>
      </c>
      <c r="M1129" s="6">
        <f t="shared" si="90"/>
        <v>262930.12232721079</v>
      </c>
      <c r="N1129" s="6">
        <f t="shared" si="91"/>
        <v>4980784</v>
      </c>
      <c r="O1129" s="6">
        <f t="shared" si="92"/>
        <v>5243714.1223272104</v>
      </c>
      <c r="P1129" s="8">
        <f>VLOOKUP(F1129,'LEAID Match'!$A$2:$B$436,2,FALSE)</f>
        <v>1810410</v>
      </c>
      <c r="Q1129" s="6">
        <f t="shared" si="93"/>
        <v>9</v>
      </c>
    </row>
    <row r="1130" spans="1:17" x14ac:dyDescent="0.2">
      <c r="A1130" s="16">
        <f t="shared" si="89"/>
        <v>1812120</v>
      </c>
      <c r="B1130">
        <v>2015</v>
      </c>
      <c r="C1130" t="s">
        <v>904</v>
      </c>
      <c r="D1130" t="s">
        <v>906</v>
      </c>
      <c r="E1130" t="s">
        <v>2036</v>
      </c>
      <c r="F1130" t="s">
        <v>511</v>
      </c>
      <c r="G1130" t="s">
        <v>134</v>
      </c>
      <c r="H1130" s="6">
        <v>475452</v>
      </c>
      <c r="I1130" s="6">
        <v>2.311983796293032E-3</v>
      </c>
      <c r="J1130" s="6">
        <v>13434.93784025881</v>
      </c>
      <c r="K1130" s="6">
        <v>1955050.48988612</v>
      </c>
      <c r="M1130" s="6">
        <f t="shared" si="90"/>
        <v>488886.93784025882</v>
      </c>
      <c r="N1130" s="6">
        <f t="shared" si="91"/>
        <v>1955050.48988612</v>
      </c>
      <c r="O1130" s="6">
        <f t="shared" si="92"/>
        <v>2443937.4277263787</v>
      </c>
      <c r="P1130" s="8">
        <f>VLOOKUP(F1130,'LEAID Match'!$A$2:$B$436,2,FALSE)</f>
        <v>1812120</v>
      </c>
      <c r="Q1130" s="6">
        <f t="shared" si="93"/>
        <v>9</v>
      </c>
    </row>
    <row r="1131" spans="1:17" x14ac:dyDescent="0.2">
      <c r="A1131" s="16">
        <f t="shared" si="89"/>
        <v>1812120</v>
      </c>
      <c r="B1131">
        <v>2016</v>
      </c>
      <c r="C1131" t="s">
        <v>904</v>
      </c>
      <c r="D1131" t="s">
        <v>906</v>
      </c>
      <c r="E1131" t="s">
        <v>2037</v>
      </c>
      <c r="F1131" t="s">
        <v>511</v>
      </c>
      <c r="G1131" t="s">
        <v>134</v>
      </c>
      <c r="H1131" s="6">
        <v>505570</v>
      </c>
      <c r="I1131" s="6">
        <v>2.3459068922143133E-3</v>
      </c>
      <c r="J1131" s="6">
        <v>11842.137991897853</v>
      </c>
      <c r="K1131" s="6">
        <v>2081992.3668402</v>
      </c>
      <c r="M1131" s="6">
        <f t="shared" si="90"/>
        <v>517412.13799189788</v>
      </c>
      <c r="N1131" s="6">
        <f t="shared" si="91"/>
        <v>2081992.3668402</v>
      </c>
      <c r="O1131" s="6">
        <f t="shared" si="92"/>
        <v>2599404.5048320978</v>
      </c>
      <c r="P1131" s="8">
        <f>VLOOKUP(F1131,'LEAID Match'!$A$2:$B$436,2,FALSE)</f>
        <v>1812120</v>
      </c>
      <c r="Q1131" s="6">
        <f t="shared" si="93"/>
        <v>9</v>
      </c>
    </row>
    <row r="1132" spans="1:17" x14ac:dyDescent="0.2">
      <c r="A1132" s="16">
        <f t="shared" si="89"/>
        <v>1812120</v>
      </c>
      <c r="B1132">
        <v>2017</v>
      </c>
      <c r="C1132" t="s">
        <v>904</v>
      </c>
      <c r="D1132" t="s">
        <v>906</v>
      </c>
      <c r="E1132" t="s">
        <v>2038</v>
      </c>
      <c r="F1132" t="s">
        <v>511</v>
      </c>
      <c r="G1132" t="s">
        <v>134</v>
      </c>
      <c r="H1132" s="6">
        <v>549446</v>
      </c>
      <c r="I1132" s="6">
        <v>2.4194457943519337E-3</v>
      </c>
      <c r="J1132" s="6">
        <v>10947.9922194425</v>
      </c>
      <c r="K1132" s="6">
        <v>2107337.28688053</v>
      </c>
      <c r="M1132" s="6">
        <f t="shared" si="90"/>
        <v>560393.9922194425</v>
      </c>
      <c r="N1132" s="6">
        <f t="shared" si="91"/>
        <v>2107337.28688053</v>
      </c>
      <c r="O1132" s="6">
        <f t="shared" si="92"/>
        <v>2667731.2790999725</v>
      </c>
      <c r="P1132" s="8">
        <f>VLOOKUP(F1132,'LEAID Match'!$A$2:$B$436,2,FALSE)</f>
        <v>1812120</v>
      </c>
      <c r="Q1132" s="6">
        <f t="shared" si="93"/>
        <v>9</v>
      </c>
    </row>
    <row r="1133" spans="1:17" x14ac:dyDescent="0.2">
      <c r="A1133" s="16">
        <f t="shared" si="89"/>
        <v>1812120</v>
      </c>
      <c r="B1133">
        <v>2018</v>
      </c>
      <c r="C1133" t="s">
        <v>904</v>
      </c>
      <c r="D1133" t="s">
        <v>906</v>
      </c>
      <c r="E1133" t="s">
        <v>2039</v>
      </c>
      <c r="F1133" t="s">
        <v>511</v>
      </c>
      <c r="G1133" t="s">
        <v>134</v>
      </c>
      <c r="H1133" s="6">
        <v>561747</v>
      </c>
      <c r="I1133" s="6">
        <v>2.383139080688595E-3</v>
      </c>
      <c r="J1133" s="6">
        <v>9932.9236883100639</v>
      </c>
      <c r="K1133" s="6">
        <v>2978953</v>
      </c>
      <c r="M1133" s="6">
        <f t="shared" si="90"/>
        <v>571679.92368831008</v>
      </c>
      <c r="N1133" s="6">
        <f t="shared" si="91"/>
        <v>2978953</v>
      </c>
      <c r="O1133" s="6">
        <f t="shared" si="92"/>
        <v>3550632.9236883102</v>
      </c>
      <c r="P1133" s="8">
        <f>VLOOKUP(F1133,'LEAID Match'!$A$2:$B$436,2,FALSE)</f>
        <v>1812120</v>
      </c>
      <c r="Q1133" s="6">
        <f t="shared" si="93"/>
        <v>9</v>
      </c>
    </row>
    <row r="1134" spans="1:17" x14ac:dyDescent="0.2">
      <c r="A1134" s="16">
        <f t="shared" si="89"/>
        <v>1812120</v>
      </c>
      <c r="B1134">
        <v>2019</v>
      </c>
      <c r="C1134" t="s">
        <v>904</v>
      </c>
      <c r="D1134" t="s">
        <v>906</v>
      </c>
      <c r="E1134" t="s">
        <v>2040</v>
      </c>
      <c r="F1134" t="s">
        <v>511</v>
      </c>
      <c r="G1134" t="s">
        <v>134</v>
      </c>
      <c r="H1134" s="6">
        <v>620586</v>
      </c>
      <c r="I1134" s="6">
        <v>1.5787674182952066E-3</v>
      </c>
      <c r="J1134" s="6">
        <v>5533.5798011246989</v>
      </c>
      <c r="K1134" s="6">
        <v>1490198.56612884</v>
      </c>
      <c r="M1134" s="6">
        <f t="shared" si="90"/>
        <v>626119.57980112475</v>
      </c>
      <c r="N1134" s="6">
        <f t="shared" si="91"/>
        <v>1490198.56612884</v>
      </c>
      <c r="O1134" s="6">
        <f t="shared" si="92"/>
        <v>2116318.1459299647</v>
      </c>
      <c r="P1134" s="8">
        <f>VLOOKUP(F1134,'LEAID Match'!$A$2:$B$436,2,FALSE)</f>
        <v>1812120</v>
      </c>
      <c r="Q1134" s="6">
        <f t="shared" si="93"/>
        <v>9</v>
      </c>
    </row>
    <row r="1135" spans="1:17" x14ac:dyDescent="0.2">
      <c r="A1135" s="16">
        <f t="shared" si="89"/>
        <v>1812120</v>
      </c>
      <c r="B1135">
        <v>2020</v>
      </c>
      <c r="C1135" t="s">
        <v>904</v>
      </c>
      <c r="D1135" t="s">
        <v>906</v>
      </c>
      <c r="E1135" t="s">
        <v>2041</v>
      </c>
      <c r="F1135" t="s">
        <v>511</v>
      </c>
      <c r="G1135" t="s">
        <v>134</v>
      </c>
      <c r="H1135" s="6">
        <v>490523</v>
      </c>
      <c r="I1135" s="6">
        <v>2.5991379998720043E-3</v>
      </c>
      <c r="J1135" s="6">
        <v>6123.5691276984417</v>
      </c>
      <c r="K1135" s="6">
        <v>3235812</v>
      </c>
      <c r="M1135" s="6">
        <f t="shared" si="90"/>
        <v>496646.56912769843</v>
      </c>
      <c r="N1135" s="6">
        <f t="shared" si="91"/>
        <v>3235812</v>
      </c>
      <c r="O1135" s="6">
        <f t="shared" si="92"/>
        <v>3732458.5691276984</v>
      </c>
      <c r="P1135" s="8">
        <f>VLOOKUP(F1135,'LEAID Match'!$A$2:$B$436,2,FALSE)</f>
        <v>1812120</v>
      </c>
      <c r="Q1135" s="6">
        <f t="shared" si="93"/>
        <v>9</v>
      </c>
    </row>
    <row r="1136" spans="1:17" x14ac:dyDescent="0.2">
      <c r="A1136" s="16">
        <f t="shared" si="89"/>
        <v>1812120</v>
      </c>
      <c r="B1136">
        <v>2021</v>
      </c>
      <c r="C1136" t="s">
        <v>904</v>
      </c>
      <c r="D1136" t="s">
        <v>906</v>
      </c>
      <c r="E1136" t="s">
        <v>2042</v>
      </c>
      <c r="F1136" t="s">
        <v>511</v>
      </c>
      <c r="G1136" t="s">
        <v>134</v>
      </c>
      <c r="H1136" s="6">
        <v>489908</v>
      </c>
      <c r="I1136" s="6">
        <v>2.4201910809199634E-3</v>
      </c>
      <c r="J1136" s="6">
        <v>5455.1106963935972</v>
      </c>
      <c r="K1136" s="6">
        <v>5306445</v>
      </c>
      <c r="M1136" s="6">
        <f t="shared" si="90"/>
        <v>495363.11069639359</v>
      </c>
      <c r="N1136" s="6">
        <f t="shared" si="91"/>
        <v>5306445</v>
      </c>
      <c r="O1136" s="6">
        <f t="shared" si="92"/>
        <v>5801808.110696394</v>
      </c>
      <c r="P1136" s="8">
        <f>VLOOKUP(F1136,'LEAID Match'!$A$2:$B$436,2,FALSE)</f>
        <v>1812120</v>
      </c>
      <c r="Q1136" s="6">
        <f t="shared" si="93"/>
        <v>9</v>
      </c>
    </row>
    <row r="1137" spans="1:17" x14ac:dyDescent="0.2">
      <c r="A1137" s="16">
        <f t="shared" si="89"/>
        <v>1812120</v>
      </c>
      <c r="B1137">
        <v>2022</v>
      </c>
      <c r="C1137" t="s">
        <v>904</v>
      </c>
      <c r="D1137" t="s">
        <v>906</v>
      </c>
      <c r="E1137" t="s">
        <v>2043</v>
      </c>
      <c r="F1137" t="s">
        <v>511</v>
      </c>
      <c r="G1137" t="s">
        <v>134</v>
      </c>
      <c r="H1137" s="6">
        <v>558637</v>
      </c>
      <c r="I1137" s="6">
        <v>2.652512299320774E-3</v>
      </c>
      <c r="J1137" s="6">
        <v>5848.7896200023069</v>
      </c>
      <c r="K1137" s="6">
        <v>5157595</v>
      </c>
      <c r="M1137" s="6">
        <f t="shared" si="90"/>
        <v>564485.78962000227</v>
      </c>
      <c r="N1137" s="6">
        <f t="shared" si="91"/>
        <v>5157595</v>
      </c>
      <c r="O1137" s="6">
        <f t="shared" si="92"/>
        <v>5722080.7896200027</v>
      </c>
      <c r="P1137" s="8">
        <f>VLOOKUP(F1137,'LEAID Match'!$A$2:$B$436,2,FALSE)</f>
        <v>1812120</v>
      </c>
      <c r="Q1137" s="6">
        <f t="shared" si="93"/>
        <v>9</v>
      </c>
    </row>
    <row r="1138" spans="1:17" x14ac:dyDescent="0.2">
      <c r="A1138" s="16">
        <f t="shared" si="89"/>
        <v>1812120</v>
      </c>
      <c r="B1138">
        <v>2023</v>
      </c>
      <c r="C1138" t="s">
        <v>904</v>
      </c>
      <c r="D1138" t="s">
        <v>906</v>
      </c>
      <c r="E1138" t="s">
        <v>2044</v>
      </c>
      <c r="F1138" t="s">
        <v>511</v>
      </c>
      <c r="G1138" t="s">
        <v>134</v>
      </c>
      <c r="H1138" s="6">
        <v>606803</v>
      </c>
      <c r="I1138" s="6">
        <v>2.4814908605605814E-3</v>
      </c>
      <c r="J1138" s="6">
        <v>6121.8379530029542</v>
      </c>
      <c r="K1138" s="6">
        <v>13811606</v>
      </c>
      <c r="M1138" s="6">
        <f t="shared" si="90"/>
        <v>612924.83795300301</v>
      </c>
      <c r="N1138" s="6">
        <f t="shared" si="91"/>
        <v>13811606</v>
      </c>
      <c r="O1138" s="6">
        <f t="shared" si="92"/>
        <v>14424530.837953003</v>
      </c>
      <c r="P1138" s="8">
        <f>VLOOKUP(F1138,'LEAID Match'!$A$2:$B$436,2,FALSE)</f>
        <v>1812120</v>
      </c>
      <c r="Q1138" s="6">
        <f t="shared" si="93"/>
        <v>9</v>
      </c>
    </row>
    <row r="1139" spans="1:17" x14ac:dyDescent="0.2">
      <c r="A1139" s="16">
        <f t="shared" si="89"/>
        <v>1812420</v>
      </c>
      <c r="B1139">
        <v>2015</v>
      </c>
      <c r="C1139" t="s">
        <v>904</v>
      </c>
      <c r="D1139" t="s">
        <v>906</v>
      </c>
      <c r="E1139" t="s">
        <v>2045</v>
      </c>
      <c r="F1139" t="s">
        <v>700</v>
      </c>
      <c r="G1139" t="s">
        <v>135</v>
      </c>
      <c r="H1139" s="6">
        <v>1372982</v>
      </c>
      <c r="I1139" s="6">
        <v>6.6764092623482485E-3</v>
      </c>
      <c r="J1139" s="6">
        <v>38796.614223505669</v>
      </c>
      <c r="K1139" s="6">
        <v>5645678.4947898705</v>
      </c>
      <c r="M1139" s="6">
        <f t="shared" si="90"/>
        <v>1411778.6142235056</v>
      </c>
      <c r="N1139" s="6">
        <f t="shared" si="91"/>
        <v>5645678.4947898705</v>
      </c>
      <c r="O1139" s="6">
        <f t="shared" si="92"/>
        <v>7057457.1090133758</v>
      </c>
      <c r="P1139" s="8">
        <f>VLOOKUP(F1139,'LEAID Match'!$A$2:$B$436,2,FALSE)</f>
        <v>1812420</v>
      </c>
      <c r="Q1139" s="6">
        <f t="shared" si="93"/>
        <v>9</v>
      </c>
    </row>
    <row r="1140" spans="1:17" x14ac:dyDescent="0.2">
      <c r="A1140" s="16">
        <f t="shared" si="89"/>
        <v>1812420</v>
      </c>
      <c r="B1140">
        <v>2016</v>
      </c>
      <c r="C1140" t="s">
        <v>904</v>
      </c>
      <c r="D1140" t="s">
        <v>906</v>
      </c>
      <c r="E1140" t="s">
        <v>2046</v>
      </c>
      <c r="F1140" t="s">
        <v>700</v>
      </c>
      <c r="G1140" t="s">
        <v>135</v>
      </c>
      <c r="H1140" s="6">
        <v>1400829</v>
      </c>
      <c r="I1140" s="6">
        <v>6.5000186045724318E-3</v>
      </c>
      <c r="J1140" s="6">
        <v>32812.093915881633</v>
      </c>
      <c r="K1140" s="6">
        <v>5768766.5115580298</v>
      </c>
      <c r="M1140" s="6">
        <f t="shared" si="90"/>
        <v>1433641.0939158816</v>
      </c>
      <c r="N1140" s="6">
        <f t="shared" si="91"/>
        <v>5768766.5115580298</v>
      </c>
      <c r="O1140" s="6">
        <f t="shared" si="92"/>
        <v>7202407.6054739114</v>
      </c>
      <c r="P1140" s="8">
        <f>VLOOKUP(F1140,'LEAID Match'!$A$2:$B$436,2,FALSE)</f>
        <v>1812420</v>
      </c>
      <c r="Q1140" s="6">
        <f t="shared" si="93"/>
        <v>9</v>
      </c>
    </row>
    <row r="1141" spans="1:17" x14ac:dyDescent="0.2">
      <c r="A1141" s="16">
        <f t="shared" si="89"/>
        <v>1812420</v>
      </c>
      <c r="B1141">
        <v>2017</v>
      </c>
      <c r="C1141" t="s">
        <v>904</v>
      </c>
      <c r="D1141" t="s">
        <v>906</v>
      </c>
      <c r="E1141" t="s">
        <v>2047</v>
      </c>
      <c r="F1141" t="s">
        <v>700</v>
      </c>
      <c r="G1141" t="s">
        <v>135</v>
      </c>
      <c r="H1141" s="6">
        <v>1455105</v>
      </c>
      <c r="I1141" s="6">
        <v>6.4074498177991478E-3</v>
      </c>
      <c r="J1141" s="6">
        <v>28993.710425541143</v>
      </c>
      <c r="K1141" s="6">
        <v>5580888.7913030498</v>
      </c>
      <c r="M1141" s="6">
        <f t="shared" si="90"/>
        <v>1484098.710425541</v>
      </c>
      <c r="N1141" s="6">
        <f t="shared" si="91"/>
        <v>5580888.7913030498</v>
      </c>
      <c r="O1141" s="6">
        <f t="shared" si="92"/>
        <v>7064987.5017285906</v>
      </c>
      <c r="P1141" s="8">
        <f>VLOOKUP(F1141,'LEAID Match'!$A$2:$B$436,2,FALSE)</f>
        <v>1812420</v>
      </c>
      <c r="Q1141" s="6">
        <f t="shared" si="93"/>
        <v>9</v>
      </c>
    </row>
    <row r="1142" spans="1:17" x14ac:dyDescent="0.2">
      <c r="A1142" s="16">
        <f t="shared" si="89"/>
        <v>1812420</v>
      </c>
      <c r="B1142">
        <v>2018</v>
      </c>
      <c r="C1142" t="s">
        <v>904</v>
      </c>
      <c r="D1142" t="s">
        <v>906</v>
      </c>
      <c r="E1142" t="s">
        <v>2048</v>
      </c>
      <c r="F1142" t="s">
        <v>700</v>
      </c>
      <c r="G1142" t="s">
        <v>135</v>
      </c>
      <c r="H1142" s="6">
        <v>1498286</v>
      </c>
      <c r="I1142" s="6">
        <v>6.356284805523825E-3</v>
      </c>
      <c r="J1142" s="6">
        <v>26492.995069423301</v>
      </c>
      <c r="K1142" s="6">
        <v>5506574</v>
      </c>
      <c r="M1142" s="6">
        <f t="shared" si="90"/>
        <v>1524778.9950694232</v>
      </c>
      <c r="N1142" s="6">
        <f t="shared" si="91"/>
        <v>5506574</v>
      </c>
      <c r="O1142" s="6">
        <f t="shared" si="92"/>
        <v>7031352.9950694237</v>
      </c>
      <c r="P1142" s="8">
        <f>VLOOKUP(F1142,'LEAID Match'!$A$2:$B$436,2,FALSE)</f>
        <v>1812420</v>
      </c>
      <c r="Q1142" s="6">
        <f t="shared" si="93"/>
        <v>9</v>
      </c>
    </row>
    <row r="1143" spans="1:17" x14ac:dyDescent="0.2">
      <c r="A1143" s="16">
        <f t="shared" si="89"/>
        <v>1812420</v>
      </c>
      <c r="B1143">
        <v>2019</v>
      </c>
      <c r="C1143" t="s">
        <v>904</v>
      </c>
      <c r="D1143" t="s">
        <v>906</v>
      </c>
      <c r="E1143" t="s">
        <v>2049</v>
      </c>
      <c r="F1143" t="s">
        <v>700</v>
      </c>
      <c r="G1143" t="s">
        <v>135</v>
      </c>
      <c r="H1143" s="6">
        <v>1515401</v>
      </c>
      <c r="I1143" s="6">
        <v>3.8551719253285999E-3</v>
      </c>
      <c r="J1143" s="6">
        <v>13512.377598276742</v>
      </c>
      <c r="K1143" s="6">
        <v>3638896.78031766</v>
      </c>
      <c r="M1143" s="6">
        <f t="shared" si="90"/>
        <v>1528913.3775982768</v>
      </c>
      <c r="N1143" s="6">
        <f t="shared" si="91"/>
        <v>3638896.78031766</v>
      </c>
      <c r="O1143" s="6">
        <f t="shared" si="92"/>
        <v>5167810.1579159368</v>
      </c>
      <c r="P1143" s="8">
        <f>VLOOKUP(F1143,'LEAID Match'!$A$2:$B$436,2,FALSE)</f>
        <v>1812420</v>
      </c>
      <c r="Q1143" s="6">
        <f t="shared" si="93"/>
        <v>9</v>
      </c>
    </row>
    <row r="1144" spans="1:17" x14ac:dyDescent="0.2">
      <c r="A1144" s="16">
        <f t="shared" si="89"/>
        <v>1812420</v>
      </c>
      <c r="B1144">
        <v>2020</v>
      </c>
      <c r="C1144" t="s">
        <v>904</v>
      </c>
      <c r="D1144" t="s">
        <v>906</v>
      </c>
      <c r="E1144" t="s">
        <v>2050</v>
      </c>
      <c r="F1144" t="s">
        <v>700</v>
      </c>
      <c r="G1144" t="s">
        <v>135</v>
      </c>
      <c r="H1144" s="6">
        <v>1134187</v>
      </c>
      <c r="I1144" s="6">
        <v>6.009725396486666E-3</v>
      </c>
      <c r="J1144" s="6">
        <v>14158.913034122585</v>
      </c>
      <c r="K1144" s="6">
        <v>5978289</v>
      </c>
      <c r="M1144" s="6">
        <f t="shared" si="90"/>
        <v>1148345.9130341227</v>
      </c>
      <c r="N1144" s="6">
        <f t="shared" si="91"/>
        <v>5978289</v>
      </c>
      <c r="O1144" s="6">
        <f t="shared" si="92"/>
        <v>7126634.9130341224</v>
      </c>
      <c r="P1144" s="8">
        <f>VLOOKUP(F1144,'LEAID Match'!$A$2:$B$436,2,FALSE)</f>
        <v>1812420</v>
      </c>
      <c r="Q1144" s="6">
        <f t="shared" si="93"/>
        <v>9</v>
      </c>
    </row>
    <row r="1145" spans="1:17" x14ac:dyDescent="0.2">
      <c r="A1145" s="16">
        <f t="shared" si="89"/>
        <v>1812420</v>
      </c>
      <c r="B1145">
        <v>2021</v>
      </c>
      <c r="C1145" t="s">
        <v>904</v>
      </c>
      <c r="D1145" t="s">
        <v>906</v>
      </c>
      <c r="E1145" t="s">
        <v>2051</v>
      </c>
      <c r="F1145" t="s">
        <v>700</v>
      </c>
      <c r="G1145" t="s">
        <v>135</v>
      </c>
      <c r="H1145" s="6">
        <v>1164478</v>
      </c>
      <c r="I1145" s="6">
        <v>5.7526296152084003E-3</v>
      </c>
      <c r="J1145" s="6">
        <v>12966.427152679735</v>
      </c>
      <c r="K1145" s="6">
        <v>10438987</v>
      </c>
      <c r="M1145" s="6">
        <f t="shared" si="90"/>
        <v>1177444.4271526798</v>
      </c>
      <c r="N1145" s="6">
        <f t="shared" si="91"/>
        <v>10438987</v>
      </c>
      <c r="O1145" s="6">
        <f t="shared" si="92"/>
        <v>11616431.42715268</v>
      </c>
      <c r="P1145" s="8">
        <f>VLOOKUP(F1145,'LEAID Match'!$A$2:$B$436,2,FALSE)</f>
        <v>1812420</v>
      </c>
      <c r="Q1145" s="6">
        <f t="shared" si="93"/>
        <v>9</v>
      </c>
    </row>
    <row r="1146" spans="1:17" x14ac:dyDescent="0.2">
      <c r="A1146" s="16">
        <f t="shared" si="89"/>
        <v>1812420</v>
      </c>
      <c r="B1146">
        <v>2022</v>
      </c>
      <c r="C1146" t="s">
        <v>904</v>
      </c>
      <c r="D1146" t="s">
        <v>906</v>
      </c>
      <c r="E1146" t="s">
        <v>2052</v>
      </c>
      <c r="F1146" t="s">
        <v>700</v>
      </c>
      <c r="G1146" t="s">
        <v>135</v>
      </c>
      <c r="H1146" s="6">
        <v>1202517</v>
      </c>
      <c r="I1146" s="6">
        <v>5.7097742051498901E-3</v>
      </c>
      <c r="J1146" s="6">
        <v>12590.052122355508</v>
      </c>
      <c r="K1146" s="6">
        <v>10017201</v>
      </c>
      <c r="M1146" s="6">
        <f t="shared" si="90"/>
        <v>1215107.0521223554</v>
      </c>
      <c r="N1146" s="6">
        <f t="shared" si="91"/>
        <v>10017201</v>
      </c>
      <c r="O1146" s="6">
        <f t="shared" si="92"/>
        <v>11232308.052122355</v>
      </c>
      <c r="P1146" s="8">
        <f>VLOOKUP(F1146,'LEAID Match'!$A$2:$B$436,2,FALSE)</f>
        <v>1812420</v>
      </c>
      <c r="Q1146" s="6">
        <f t="shared" si="93"/>
        <v>9</v>
      </c>
    </row>
    <row r="1147" spans="1:17" x14ac:dyDescent="0.2">
      <c r="A1147" s="16">
        <f t="shared" si="89"/>
        <v>1812420</v>
      </c>
      <c r="B1147">
        <v>2023</v>
      </c>
      <c r="C1147" t="s">
        <v>904</v>
      </c>
      <c r="D1147" t="s">
        <v>906</v>
      </c>
      <c r="E1147" t="s">
        <v>2053</v>
      </c>
      <c r="F1147" t="s">
        <v>700</v>
      </c>
      <c r="G1147" t="s">
        <v>135</v>
      </c>
      <c r="H1147" s="6">
        <v>1376471</v>
      </c>
      <c r="I1147" s="6">
        <v>5.6290100845359766E-3</v>
      </c>
      <c r="J1147" s="6">
        <v>13886.767878550254</v>
      </c>
      <c r="K1147" s="6">
        <v>29315941</v>
      </c>
      <c r="M1147" s="6">
        <f t="shared" si="90"/>
        <v>1390357.7678785503</v>
      </c>
      <c r="N1147" s="6">
        <f t="shared" si="91"/>
        <v>29315941</v>
      </c>
      <c r="O1147" s="6">
        <f t="shared" si="92"/>
        <v>30706298.767878551</v>
      </c>
      <c r="P1147" s="8">
        <f>VLOOKUP(F1147,'LEAID Match'!$A$2:$B$436,2,FALSE)</f>
        <v>1812420</v>
      </c>
      <c r="Q1147" s="6">
        <f t="shared" si="93"/>
        <v>9</v>
      </c>
    </row>
    <row r="1148" spans="1:17" x14ac:dyDescent="0.2">
      <c r="A1148" s="16">
        <f t="shared" si="89"/>
        <v>1805550</v>
      </c>
      <c r="B1148">
        <v>2015</v>
      </c>
      <c r="C1148" t="s">
        <v>904</v>
      </c>
      <c r="D1148" t="s">
        <v>906</v>
      </c>
      <c r="E1148" t="s">
        <v>2054</v>
      </c>
      <c r="F1148" t="s">
        <v>701</v>
      </c>
      <c r="G1148" t="s">
        <v>136</v>
      </c>
      <c r="H1148" s="6">
        <v>615419</v>
      </c>
      <c r="I1148" s="6">
        <v>2.9926023151251049E-3</v>
      </c>
      <c r="J1148" s="6">
        <v>17390.012053191986</v>
      </c>
      <c r="K1148" s="6">
        <v>2530592.39930683</v>
      </c>
      <c r="M1148" s="6">
        <f t="shared" si="90"/>
        <v>632809.01205319201</v>
      </c>
      <c r="N1148" s="6">
        <f t="shared" si="91"/>
        <v>2530592.39930683</v>
      </c>
      <c r="O1148" s="6">
        <f t="shared" si="92"/>
        <v>3163401.4113600221</v>
      </c>
      <c r="P1148" s="8">
        <f>VLOOKUP(F1148,'LEAID Match'!$A$2:$B$436,2,FALSE)</f>
        <v>1805550</v>
      </c>
      <c r="Q1148" s="6">
        <f t="shared" si="93"/>
        <v>9</v>
      </c>
    </row>
    <row r="1149" spans="1:17" x14ac:dyDescent="0.2">
      <c r="A1149" s="16">
        <f t="shared" si="89"/>
        <v>1805550</v>
      </c>
      <c r="B1149">
        <v>2016</v>
      </c>
      <c r="C1149" t="s">
        <v>904</v>
      </c>
      <c r="D1149" t="s">
        <v>906</v>
      </c>
      <c r="E1149" t="s">
        <v>2055</v>
      </c>
      <c r="F1149" t="s">
        <v>701</v>
      </c>
      <c r="G1149" t="s">
        <v>136</v>
      </c>
      <c r="H1149" s="6">
        <v>674210</v>
      </c>
      <c r="I1149" s="6">
        <v>3.1284172039476475E-3</v>
      </c>
      <c r="J1149" s="6">
        <v>15792.250045527724</v>
      </c>
      <c r="K1149" s="6">
        <v>2776470.26850353</v>
      </c>
      <c r="M1149" s="6">
        <f t="shared" si="90"/>
        <v>690002.2500455277</v>
      </c>
      <c r="N1149" s="6">
        <f t="shared" si="91"/>
        <v>2776470.26850353</v>
      </c>
      <c r="O1149" s="6">
        <f t="shared" si="92"/>
        <v>3466472.5185490577</v>
      </c>
      <c r="P1149" s="8">
        <f>VLOOKUP(F1149,'LEAID Match'!$A$2:$B$436,2,FALSE)</f>
        <v>1805550</v>
      </c>
      <c r="Q1149" s="6">
        <f t="shared" si="93"/>
        <v>9</v>
      </c>
    </row>
    <row r="1150" spans="1:17" x14ac:dyDescent="0.2">
      <c r="A1150" s="16">
        <f t="shared" si="89"/>
        <v>1805550</v>
      </c>
      <c r="B1150">
        <v>2017</v>
      </c>
      <c r="C1150" t="s">
        <v>904</v>
      </c>
      <c r="D1150" t="s">
        <v>906</v>
      </c>
      <c r="E1150" t="s">
        <v>2056</v>
      </c>
      <c r="F1150" t="s">
        <v>701</v>
      </c>
      <c r="G1150" t="s">
        <v>136</v>
      </c>
      <c r="H1150" s="6">
        <v>719168</v>
      </c>
      <c r="I1150" s="6">
        <v>3.1668043684593052E-3</v>
      </c>
      <c r="J1150" s="6">
        <v>14329.789767278357</v>
      </c>
      <c r="K1150" s="6">
        <v>2758286.6049280502</v>
      </c>
      <c r="M1150" s="6">
        <f t="shared" si="90"/>
        <v>733497.78976727836</v>
      </c>
      <c r="N1150" s="6">
        <f t="shared" si="91"/>
        <v>2758286.6049280502</v>
      </c>
      <c r="O1150" s="6">
        <f t="shared" si="92"/>
        <v>3491784.3946953285</v>
      </c>
      <c r="P1150" s="8">
        <f>VLOOKUP(F1150,'LEAID Match'!$A$2:$B$436,2,FALSE)</f>
        <v>1805550</v>
      </c>
      <c r="Q1150" s="6">
        <f t="shared" si="93"/>
        <v>9</v>
      </c>
    </row>
    <row r="1151" spans="1:17" x14ac:dyDescent="0.2">
      <c r="A1151" s="16">
        <f t="shared" si="89"/>
        <v>1805550</v>
      </c>
      <c r="B1151">
        <v>2018</v>
      </c>
      <c r="C1151" t="s">
        <v>904</v>
      </c>
      <c r="D1151" t="s">
        <v>906</v>
      </c>
      <c r="E1151" t="s">
        <v>2057</v>
      </c>
      <c r="F1151" t="s">
        <v>701</v>
      </c>
      <c r="G1151" t="s">
        <v>136</v>
      </c>
      <c r="H1151" s="6">
        <v>772131</v>
      </c>
      <c r="I1151" s="6">
        <v>3.2756660231584066E-3</v>
      </c>
      <c r="J1151" s="6">
        <v>13652.975984524239</v>
      </c>
      <c r="K1151" s="6">
        <v>3184287</v>
      </c>
      <c r="M1151" s="6">
        <f t="shared" si="90"/>
        <v>785783.97598452424</v>
      </c>
      <c r="N1151" s="6">
        <f t="shared" si="91"/>
        <v>3184287</v>
      </c>
      <c r="O1151" s="6">
        <f t="shared" si="92"/>
        <v>3970070.975984524</v>
      </c>
      <c r="P1151" s="8">
        <f>VLOOKUP(F1151,'LEAID Match'!$A$2:$B$436,2,FALSE)</f>
        <v>1805550</v>
      </c>
      <c r="Q1151" s="6">
        <f t="shared" si="93"/>
        <v>9</v>
      </c>
    </row>
    <row r="1152" spans="1:17" x14ac:dyDescent="0.2">
      <c r="A1152" s="16">
        <f t="shared" si="89"/>
        <v>1805550</v>
      </c>
      <c r="B1152">
        <v>2019</v>
      </c>
      <c r="C1152" t="s">
        <v>904</v>
      </c>
      <c r="D1152" t="s">
        <v>906</v>
      </c>
      <c r="E1152" t="s">
        <v>2058</v>
      </c>
      <c r="F1152" t="s">
        <v>701</v>
      </c>
      <c r="G1152" t="s">
        <v>136</v>
      </c>
      <c r="H1152" s="6">
        <v>813853</v>
      </c>
      <c r="I1152" s="6">
        <v>2.070437618125141E-3</v>
      </c>
      <c r="J1152" s="6">
        <v>7256.8838515286188</v>
      </c>
      <c r="K1152" s="6">
        <v>1954286.0677483201</v>
      </c>
      <c r="M1152" s="6">
        <f t="shared" si="90"/>
        <v>821109.88385152863</v>
      </c>
      <c r="N1152" s="6">
        <f t="shared" si="91"/>
        <v>1954286.0677483201</v>
      </c>
      <c r="O1152" s="6">
        <f t="shared" si="92"/>
        <v>2775395.9515998485</v>
      </c>
      <c r="P1152" s="8">
        <f>VLOOKUP(F1152,'LEAID Match'!$A$2:$B$436,2,FALSE)</f>
        <v>1805550</v>
      </c>
      <c r="Q1152" s="6">
        <f t="shared" si="93"/>
        <v>9</v>
      </c>
    </row>
    <row r="1153" spans="1:17" x14ac:dyDescent="0.2">
      <c r="A1153" s="16">
        <f t="shared" si="89"/>
        <v>1805550</v>
      </c>
      <c r="B1153">
        <v>2020</v>
      </c>
      <c r="C1153" t="s">
        <v>904</v>
      </c>
      <c r="D1153" t="s">
        <v>906</v>
      </c>
      <c r="E1153" t="s">
        <v>2059</v>
      </c>
      <c r="F1153" t="s">
        <v>701</v>
      </c>
      <c r="G1153" t="s">
        <v>136</v>
      </c>
      <c r="H1153" s="6">
        <v>594263</v>
      </c>
      <c r="I1153" s="6">
        <v>3.1488259372505203E-3</v>
      </c>
      <c r="J1153" s="6">
        <v>7418.6339081622255</v>
      </c>
      <c r="K1153" s="6">
        <v>3326030</v>
      </c>
      <c r="M1153" s="6">
        <f t="shared" si="90"/>
        <v>601681.63390816224</v>
      </c>
      <c r="N1153" s="6">
        <f t="shared" si="91"/>
        <v>3326030</v>
      </c>
      <c r="O1153" s="6">
        <f t="shared" si="92"/>
        <v>3927711.6339081624</v>
      </c>
      <c r="P1153" s="8">
        <f>VLOOKUP(F1153,'LEAID Match'!$A$2:$B$436,2,FALSE)</f>
        <v>1805550</v>
      </c>
      <c r="Q1153" s="6">
        <f t="shared" si="93"/>
        <v>9</v>
      </c>
    </row>
    <row r="1154" spans="1:17" x14ac:dyDescent="0.2">
      <c r="A1154" s="16">
        <f t="shared" si="89"/>
        <v>1805550</v>
      </c>
      <c r="B1154">
        <v>2021</v>
      </c>
      <c r="C1154" t="s">
        <v>904</v>
      </c>
      <c r="D1154" t="s">
        <v>906</v>
      </c>
      <c r="E1154" t="s">
        <v>2060</v>
      </c>
      <c r="F1154" t="s">
        <v>701</v>
      </c>
      <c r="G1154" t="s">
        <v>136</v>
      </c>
      <c r="H1154" s="6">
        <v>593292</v>
      </c>
      <c r="I1154" s="6">
        <v>2.9309176555213771E-3</v>
      </c>
      <c r="J1154" s="6">
        <v>6606.2883955451844</v>
      </c>
      <c r="K1154" s="6">
        <v>5491537</v>
      </c>
      <c r="M1154" s="6">
        <f t="shared" si="90"/>
        <v>599898.28839554521</v>
      </c>
      <c r="N1154" s="6">
        <f t="shared" si="91"/>
        <v>5491537</v>
      </c>
      <c r="O1154" s="6">
        <f t="shared" si="92"/>
        <v>6091435.2883955454</v>
      </c>
      <c r="P1154" s="8">
        <f>VLOOKUP(F1154,'LEAID Match'!$A$2:$B$436,2,FALSE)</f>
        <v>1805550</v>
      </c>
      <c r="Q1154" s="6">
        <f t="shared" si="93"/>
        <v>9</v>
      </c>
    </row>
    <row r="1155" spans="1:17" x14ac:dyDescent="0.2">
      <c r="A1155" s="16">
        <f t="shared" ref="A1155:A1218" si="94">P1155</f>
        <v>1805550</v>
      </c>
      <c r="B1155">
        <v>2022</v>
      </c>
      <c r="C1155" t="s">
        <v>904</v>
      </c>
      <c r="D1155" t="s">
        <v>906</v>
      </c>
      <c r="E1155" t="s">
        <v>2061</v>
      </c>
      <c r="F1155" t="s">
        <v>701</v>
      </c>
      <c r="G1155" t="s">
        <v>136</v>
      </c>
      <c r="H1155" s="6">
        <v>595999</v>
      </c>
      <c r="I1155" s="6">
        <v>2.8299140190908979E-3</v>
      </c>
      <c r="J1155" s="6">
        <v>6239.96041209543</v>
      </c>
      <c r="K1155" s="6">
        <v>5259147</v>
      </c>
      <c r="M1155" s="6">
        <f t="shared" ref="M1155:M1218" si="95">SUM(H1155,J1155)</f>
        <v>602238.96041209542</v>
      </c>
      <c r="N1155" s="6">
        <f t="shared" ref="N1155:N1218" si="96">K1155</f>
        <v>5259147</v>
      </c>
      <c r="O1155" s="6">
        <f t="shared" ref="O1155:O1218" si="97">SUM(M1155:N1155)</f>
        <v>5861385.9604120953</v>
      </c>
      <c r="P1155" s="8">
        <f>VLOOKUP(F1155,'LEAID Match'!$A$2:$B$436,2,FALSE)</f>
        <v>1805550</v>
      </c>
      <c r="Q1155" s="6">
        <f t="shared" ref="Q1155:Q1218" si="98">COUNTIF($P$2:$P$3691,P1155)</f>
        <v>9</v>
      </c>
    </row>
    <row r="1156" spans="1:17" x14ac:dyDescent="0.2">
      <c r="A1156" s="16">
        <f t="shared" si="94"/>
        <v>1805550</v>
      </c>
      <c r="B1156">
        <v>2023</v>
      </c>
      <c r="C1156" t="s">
        <v>904</v>
      </c>
      <c r="D1156" t="s">
        <v>906</v>
      </c>
      <c r="E1156" t="s">
        <v>2062</v>
      </c>
      <c r="F1156" t="s">
        <v>701</v>
      </c>
      <c r="G1156" t="s">
        <v>136</v>
      </c>
      <c r="H1156" s="6">
        <v>664472</v>
      </c>
      <c r="I1156" s="6">
        <v>2.7173253841830227E-3</v>
      </c>
      <c r="J1156" s="6">
        <v>6703.6417227795173</v>
      </c>
      <c r="K1156" s="6">
        <v>14936422</v>
      </c>
      <c r="M1156" s="6">
        <f t="shared" si="95"/>
        <v>671175.64172277949</v>
      </c>
      <c r="N1156" s="6">
        <f t="shared" si="96"/>
        <v>14936422</v>
      </c>
      <c r="O1156" s="6">
        <f t="shared" si="97"/>
        <v>15607597.64172278</v>
      </c>
      <c r="P1156" s="8">
        <f>VLOOKUP(F1156,'LEAID Match'!$A$2:$B$436,2,FALSE)</f>
        <v>1805550</v>
      </c>
      <c r="Q1156" s="6">
        <f t="shared" si="98"/>
        <v>9</v>
      </c>
    </row>
    <row r="1157" spans="1:17" x14ac:dyDescent="0.2">
      <c r="A1157" s="16">
        <f t="shared" si="94"/>
        <v>1811370</v>
      </c>
      <c r="B1157">
        <v>2015</v>
      </c>
      <c r="C1157" t="s">
        <v>904</v>
      </c>
      <c r="D1157" t="s">
        <v>906</v>
      </c>
      <c r="E1157" t="s">
        <v>2063</v>
      </c>
      <c r="F1157" t="s">
        <v>512</v>
      </c>
      <c r="G1157" t="s">
        <v>137</v>
      </c>
      <c r="H1157" s="6">
        <v>320106</v>
      </c>
      <c r="I1157" s="6">
        <v>1.5565817056110338E-3</v>
      </c>
      <c r="J1157" s="6">
        <v>9045.2962913057181</v>
      </c>
      <c r="K1157" s="6">
        <v>1316270.3955719799</v>
      </c>
      <c r="M1157" s="6">
        <f t="shared" si="95"/>
        <v>329151.29629130574</v>
      </c>
      <c r="N1157" s="6">
        <f t="shared" si="96"/>
        <v>1316270.3955719799</v>
      </c>
      <c r="O1157" s="6">
        <f t="shared" si="97"/>
        <v>1645421.6918632856</v>
      </c>
      <c r="P1157" s="8">
        <f>VLOOKUP(F1157,'LEAID Match'!$A$2:$B$436,2,FALSE)</f>
        <v>1811370</v>
      </c>
      <c r="Q1157" s="6">
        <f t="shared" si="98"/>
        <v>9</v>
      </c>
    </row>
    <row r="1158" spans="1:17" x14ac:dyDescent="0.2">
      <c r="A1158" s="16">
        <f t="shared" si="94"/>
        <v>1811370</v>
      </c>
      <c r="B1158">
        <v>2016</v>
      </c>
      <c r="C1158" t="s">
        <v>904</v>
      </c>
      <c r="D1158" t="s">
        <v>906</v>
      </c>
      <c r="E1158" t="s">
        <v>2064</v>
      </c>
      <c r="F1158" t="s">
        <v>512</v>
      </c>
      <c r="G1158" t="s">
        <v>137</v>
      </c>
      <c r="H1158" s="6">
        <v>343541</v>
      </c>
      <c r="I1158" s="6">
        <v>1.5940724324192445E-3</v>
      </c>
      <c r="J1158" s="6">
        <v>8046.8776388523465</v>
      </c>
      <c r="K1158" s="6">
        <v>1414739.28377208</v>
      </c>
      <c r="M1158" s="6">
        <f t="shared" si="95"/>
        <v>351587.87763885234</v>
      </c>
      <c r="N1158" s="6">
        <f t="shared" si="96"/>
        <v>1414739.28377208</v>
      </c>
      <c r="O1158" s="6">
        <f t="shared" si="97"/>
        <v>1766327.1614109324</v>
      </c>
      <c r="P1158" s="8">
        <f>VLOOKUP(F1158,'LEAID Match'!$A$2:$B$436,2,FALSE)</f>
        <v>1811370</v>
      </c>
      <c r="Q1158" s="6">
        <f t="shared" si="98"/>
        <v>9</v>
      </c>
    </row>
    <row r="1159" spans="1:17" x14ac:dyDescent="0.2">
      <c r="A1159" s="16">
        <f t="shared" si="94"/>
        <v>1811370</v>
      </c>
      <c r="B1159">
        <v>2017</v>
      </c>
      <c r="C1159" t="s">
        <v>904</v>
      </c>
      <c r="D1159" t="s">
        <v>906</v>
      </c>
      <c r="E1159" t="s">
        <v>2065</v>
      </c>
      <c r="F1159" t="s">
        <v>512</v>
      </c>
      <c r="G1159" t="s">
        <v>137</v>
      </c>
      <c r="H1159" s="6">
        <v>364347</v>
      </c>
      <c r="I1159" s="6">
        <v>1.60437571087012E-3</v>
      </c>
      <c r="J1159" s="6">
        <v>7259.8000916872934</v>
      </c>
      <c r="K1159" s="6">
        <v>1397411.2441678699</v>
      </c>
      <c r="M1159" s="6">
        <f t="shared" si="95"/>
        <v>371606.8000916873</v>
      </c>
      <c r="N1159" s="6">
        <f t="shared" si="96"/>
        <v>1397411.2441678699</v>
      </c>
      <c r="O1159" s="6">
        <f t="shared" si="97"/>
        <v>1769018.0442595573</v>
      </c>
      <c r="P1159" s="8">
        <f>VLOOKUP(F1159,'LEAID Match'!$A$2:$B$436,2,FALSE)</f>
        <v>1811370</v>
      </c>
      <c r="Q1159" s="6">
        <f t="shared" si="98"/>
        <v>9</v>
      </c>
    </row>
    <row r="1160" spans="1:17" x14ac:dyDescent="0.2">
      <c r="A1160" s="16">
        <f t="shared" si="94"/>
        <v>1811370</v>
      </c>
      <c r="B1160">
        <v>2018</v>
      </c>
      <c r="C1160" t="s">
        <v>904</v>
      </c>
      <c r="D1160" t="s">
        <v>906</v>
      </c>
      <c r="E1160" t="s">
        <v>2066</v>
      </c>
      <c r="F1160" t="s">
        <v>512</v>
      </c>
      <c r="G1160" t="s">
        <v>137</v>
      </c>
      <c r="H1160" s="6">
        <v>376700</v>
      </c>
      <c r="I1160" s="6">
        <v>1.5981010876700609E-3</v>
      </c>
      <c r="J1160" s="6">
        <v>6660.8853334088135</v>
      </c>
      <c r="K1160" s="6">
        <v>1724642</v>
      </c>
      <c r="M1160" s="6">
        <f t="shared" si="95"/>
        <v>383360.88533340883</v>
      </c>
      <c r="N1160" s="6">
        <f t="shared" si="96"/>
        <v>1724642</v>
      </c>
      <c r="O1160" s="6">
        <f t="shared" si="97"/>
        <v>2108002.8853334086</v>
      </c>
      <c r="P1160" s="8">
        <f>VLOOKUP(F1160,'LEAID Match'!$A$2:$B$436,2,FALSE)</f>
        <v>1811370</v>
      </c>
      <c r="Q1160" s="6">
        <f t="shared" si="98"/>
        <v>9</v>
      </c>
    </row>
    <row r="1161" spans="1:17" x14ac:dyDescent="0.2">
      <c r="A1161" s="16">
        <f t="shared" si="94"/>
        <v>1811370</v>
      </c>
      <c r="B1161">
        <v>2019</v>
      </c>
      <c r="C1161" t="s">
        <v>904</v>
      </c>
      <c r="D1161" t="s">
        <v>906</v>
      </c>
      <c r="E1161" t="s">
        <v>2067</v>
      </c>
      <c r="F1161" t="s">
        <v>512</v>
      </c>
      <c r="G1161" t="s">
        <v>137</v>
      </c>
      <c r="H1161" s="6">
        <v>385078</v>
      </c>
      <c r="I1161" s="6">
        <v>9.7963634355638309E-4</v>
      </c>
      <c r="J1161" s="6">
        <v>3433.6253841651228</v>
      </c>
      <c r="K1161" s="6">
        <v>924678.74468286999</v>
      </c>
      <c r="M1161" s="6">
        <f t="shared" si="95"/>
        <v>388511.62538416515</v>
      </c>
      <c r="N1161" s="6">
        <f t="shared" si="96"/>
        <v>924678.74468286999</v>
      </c>
      <c r="O1161" s="6">
        <f t="shared" si="97"/>
        <v>1313190.3700670351</v>
      </c>
      <c r="P1161" s="8">
        <f>VLOOKUP(F1161,'LEAID Match'!$A$2:$B$436,2,FALSE)</f>
        <v>1811370</v>
      </c>
      <c r="Q1161" s="6">
        <f t="shared" si="98"/>
        <v>9</v>
      </c>
    </row>
    <row r="1162" spans="1:17" x14ac:dyDescent="0.2">
      <c r="A1162" s="16">
        <f t="shared" si="94"/>
        <v>1811370</v>
      </c>
      <c r="B1162">
        <v>2020</v>
      </c>
      <c r="C1162" t="s">
        <v>904</v>
      </c>
      <c r="D1162" t="s">
        <v>906</v>
      </c>
      <c r="E1162" t="s">
        <v>2068</v>
      </c>
      <c r="F1162" t="s">
        <v>512</v>
      </c>
      <c r="G1162" t="s">
        <v>137</v>
      </c>
      <c r="H1162" s="6">
        <v>296977</v>
      </c>
      <c r="I1162" s="6">
        <v>1.5735943182847456E-3</v>
      </c>
      <c r="J1162" s="6">
        <v>3707.3882138788604</v>
      </c>
      <c r="K1162" s="6">
        <v>1787466</v>
      </c>
      <c r="M1162" s="6">
        <f t="shared" si="95"/>
        <v>300684.38821387885</v>
      </c>
      <c r="N1162" s="6">
        <f t="shared" si="96"/>
        <v>1787466</v>
      </c>
      <c r="O1162" s="6">
        <f t="shared" si="97"/>
        <v>2088150.388213879</v>
      </c>
      <c r="P1162" s="8">
        <f>VLOOKUP(F1162,'LEAID Match'!$A$2:$B$436,2,FALSE)</f>
        <v>1811370</v>
      </c>
      <c r="Q1162" s="6">
        <f t="shared" si="98"/>
        <v>9</v>
      </c>
    </row>
    <row r="1163" spans="1:17" x14ac:dyDescent="0.2">
      <c r="A1163" s="16">
        <f t="shared" si="94"/>
        <v>1811370</v>
      </c>
      <c r="B1163">
        <v>2021</v>
      </c>
      <c r="C1163" t="s">
        <v>904</v>
      </c>
      <c r="D1163" t="s">
        <v>906</v>
      </c>
      <c r="E1163" t="s">
        <v>2069</v>
      </c>
      <c r="F1163" t="s">
        <v>512</v>
      </c>
      <c r="G1163" t="s">
        <v>137</v>
      </c>
      <c r="H1163" s="6">
        <v>315505</v>
      </c>
      <c r="I1163" s="6">
        <v>1.5586240416275159E-3</v>
      </c>
      <c r="J1163" s="6">
        <v>3513.1385898284207</v>
      </c>
      <c r="K1163" s="6">
        <v>3128020</v>
      </c>
      <c r="M1163" s="6">
        <f t="shared" si="95"/>
        <v>319018.13858982839</v>
      </c>
      <c r="N1163" s="6">
        <f t="shared" si="96"/>
        <v>3128020</v>
      </c>
      <c r="O1163" s="6">
        <f t="shared" si="97"/>
        <v>3447038.1385898283</v>
      </c>
      <c r="P1163" s="8">
        <f>VLOOKUP(F1163,'LEAID Match'!$A$2:$B$436,2,FALSE)</f>
        <v>1811370</v>
      </c>
      <c r="Q1163" s="6">
        <f t="shared" si="98"/>
        <v>9</v>
      </c>
    </row>
    <row r="1164" spans="1:17" x14ac:dyDescent="0.2">
      <c r="A1164" s="16">
        <f t="shared" si="94"/>
        <v>1811370</v>
      </c>
      <c r="B1164">
        <v>2022</v>
      </c>
      <c r="C1164" t="s">
        <v>904</v>
      </c>
      <c r="D1164" t="s">
        <v>906</v>
      </c>
      <c r="E1164" t="s">
        <v>2070</v>
      </c>
      <c r="F1164" t="s">
        <v>512</v>
      </c>
      <c r="G1164" t="s">
        <v>137</v>
      </c>
      <c r="H1164" s="6">
        <v>340279</v>
      </c>
      <c r="I1164" s="6">
        <v>1.6157079332385317E-3</v>
      </c>
      <c r="J1164" s="6">
        <v>3562.6359927909625</v>
      </c>
      <c r="K1164" s="6">
        <v>2852135</v>
      </c>
      <c r="M1164" s="6">
        <f t="shared" si="95"/>
        <v>343841.63599279098</v>
      </c>
      <c r="N1164" s="6">
        <f t="shared" si="96"/>
        <v>2852135</v>
      </c>
      <c r="O1164" s="6">
        <f t="shared" si="97"/>
        <v>3195976.635992791</v>
      </c>
      <c r="P1164" s="8">
        <f>VLOOKUP(F1164,'LEAID Match'!$A$2:$B$436,2,FALSE)</f>
        <v>1811370</v>
      </c>
      <c r="Q1164" s="6">
        <f t="shared" si="98"/>
        <v>9</v>
      </c>
    </row>
    <row r="1165" spans="1:17" x14ac:dyDescent="0.2">
      <c r="A1165" s="16">
        <f t="shared" si="94"/>
        <v>1811370</v>
      </c>
      <c r="B1165">
        <v>2023</v>
      </c>
      <c r="C1165" t="s">
        <v>904</v>
      </c>
      <c r="D1165" t="s">
        <v>906</v>
      </c>
      <c r="E1165" t="s">
        <v>2071</v>
      </c>
      <c r="F1165" t="s">
        <v>512</v>
      </c>
      <c r="G1165" t="s">
        <v>137</v>
      </c>
      <c r="H1165" s="6">
        <v>415865</v>
      </c>
      <c r="I1165" s="6">
        <v>1.7006593519264511E-3</v>
      </c>
      <c r="J1165" s="6">
        <v>4195.5266212025545</v>
      </c>
      <c r="K1165" s="6">
        <v>6543075</v>
      </c>
      <c r="M1165" s="6">
        <f t="shared" si="95"/>
        <v>420060.52662120253</v>
      </c>
      <c r="N1165" s="6">
        <f t="shared" si="96"/>
        <v>6543075</v>
      </c>
      <c r="O1165" s="6">
        <f t="shared" si="97"/>
        <v>6963135.5266212029</v>
      </c>
      <c r="P1165" s="8">
        <f>VLOOKUP(F1165,'LEAID Match'!$A$2:$B$436,2,FALSE)</f>
        <v>1811370</v>
      </c>
      <c r="Q1165" s="6">
        <f t="shared" si="98"/>
        <v>9</v>
      </c>
    </row>
    <row r="1166" spans="1:17" x14ac:dyDescent="0.2">
      <c r="A1166" s="16">
        <f t="shared" si="94"/>
        <v>1813230</v>
      </c>
      <c r="B1166">
        <v>2015</v>
      </c>
      <c r="C1166" t="s">
        <v>904</v>
      </c>
      <c r="D1166" t="s">
        <v>906</v>
      </c>
      <c r="E1166" t="s">
        <v>2072</v>
      </c>
      <c r="F1166" t="s">
        <v>702</v>
      </c>
      <c r="G1166" t="s">
        <v>138</v>
      </c>
      <c r="H1166" s="6">
        <v>254471</v>
      </c>
      <c r="I1166" s="6">
        <v>1.237417927838108E-3</v>
      </c>
      <c r="J1166" s="6">
        <v>7190.6355786672457</v>
      </c>
      <c r="K1166" s="6">
        <v>1046380.39846674</v>
      </c>
      <c r="M1166" s="6">
        <f t="shared" si="95"/>
        <v>261661.63557866725</v>
      </c>
      <c r="N1166" s="6">
        <f t="shared" si="96"/>
        <v>1046380.39846674</v>
      </c>
      <c r="O1166" s="6">
        <f t="shared" si="97"/>
        <v>1308042.0340454073</v>
      </c>
      <c r="P1166" s="8">
        <f>VLOOKUP(F1166,'LEAID Match'!$A$2:$B$436,2,FALSE)</f>
        <v>1813230</v>
      </c>
      <c r="Q1166" s="6">
        <f t="shared" si="98"/>
        <v>9</v>
      </c>
    </row>
    <row r="1167" spans="1:17" x14ac:dyDescent="0.2">
      <c r="A1167" s="16">
        <f t="shared" si="94"/>
        <v>1813230</v>
      </c>
      <c r="B1167">
        <v>2016</v>
      </c>
      <c r="C1167" t="s">
        <v>904</v>
      </c>
      <c r="D1167" t="s">
        <v>906</v>
      </c>
      <c r="E1167" t="s">
        <v>2073</v>
      </c>
      <c r="F1167" t="s">
        <v>702</v>
      </c>
      <c r="G1167" t="s">
        <v>138</v>
      </c>
      <c r="H1167" s="6">
        <v>250570</v>
      </c>
      <c r="I1167" s="6">
        <v>1.1626755740691507E-3</v>
      </c>
      <c r="J1167" s="6">
        <v>5869.186297901073</v>
      </c>
      <c r="K1167" s="6">
        <v>1031874.57198637</v>
      </c>
      <c r="M1167" s="6">
        <f t="shared" si="95"/>
        <v>256439.18629790106</v>
      </c>
      <c r="N1167" s="6">
        <f t="shared" si="96"/>
        <v>1031874.57198637</v>
      </c>
      <c r="O1167" s="6">
        <f t="shared" si="97"/>
        <v>1288313.758284271</v>
      </c>
      <c r="P1167" s="8">
        <f>VLOOKUP(F1167,'LEAID Match'!$A$2:$B$436,2,FALSE)</f>
        <v>1813230</v>
      </c>
      <c r="Q1167" s="6">
        <f t="shared" si="98"/>
        <v>9</v>
      </c>
    </row>
    <row r="1168" spans="1:17" x14ac:dyDescent="0.2">
      <c r="A1168" s="16">
        <f t="shared" si="94"/>
        <v>1813230</v>
      </c>
      <c r="B1168">
        <v>2017</v>
      </c>
      <c r="C1168" t="s">
        <v>904</v>
      </c>
      <c r="D1168" t="s">
        <v>906</v>
      </c>
      <c r="E1168" t="s">
        <v>2074</v>
      </c>
      <c r="F1168" t="s">
        <v>702</v>
      </c>
      <c r="G1168" t="s">
        <v>138</v>
      </c>
      <c r="H1168" s="6">
        <v>265738</v>
      </c>
      <c r="I1168" s="6">
        <v>1.1701580983381336E-3</v>
      </c>
      <c r="J1168" s="6">
        <v>5294.965394980054</v>
      </c>
      <c r="K1168" s="6">
        <v>1019207.70365251</v>
      </c>
      <c r="M1168" s="6">
        <f t="shared" si="95"/>
        <v>271032.96539498004</v>
      </c>
      <c r="N1168" s="6">
        <f t="shared" si="96"/>
        <v>1019207.70365251</v>
      </c>
      <c r="O1168" s="6">
        <f t="shared" si="97"/>
        <v>1290240.66904749</v>
      </c>
      <c r="P1168" s="8">
        <f>VLOOKUP(F1168,'LEAID Match'!$A$2:$B$436,2,FALSE)</f>
        <v>1813230</v>
      </c>
      <c r="Q1168" s="6">
        <f t="shared" si="98"/>
        <v>9</v>
      </c>
    </row>
    <row r="1169" spans="1:17" x14ac:dyDescent="0.2">
      <c r="A1169" s="16">
        <f t="shared" si="94"/>
        <v>1813230</v>
      </c>
      <c r="B1169">
        <v>2018</v>
      </c>
      <c r="C1169" t="s">
        <v>904</v>
      </c>
      <c r="D1169" t="s">
        <v>906</v>
      </c>
      <c r="E1169" t="s">
        <v>2075</v>
      </c>
      <c r="F1169" t="s">
        <v>702</v>
      </c>
      <c r="G1169" t="s">
        <v>138</v>
      </c>
      <c r="H1169" s="6">
        <v>259048</v>
      </c>
      <c r="I1169" s="6">
        <v>1.0989776760253621E-3</v>
      </c>
      <c r="J1169" s="6">
        <v>4580.5389536737093</v>
      </c>
      <c r="K1169" s="6">
        <v>1522613</v>
      </c>
      <c r="M1169" s="6">
        <f t="shared" si="95"/>
        <v>263628.53895367373</v>
      </c>
      <c r="N1169" s="6">
        <f t="shared" si="96"/>
        <v>1522613</v>
      </c>
      <c r="O1169" s="6">
        <f t="shared" si="97"/>
        <v>1786241.5389536738</v>
      </c>
      <c r="P1169" s="8">
        <f>VLOOKUP(F1169,'LEAID Match'!$A$2:$B$436,2,FALSE)</f>
        <v>1813230</v>
      </c>
      <c r="Q1169" s="6">
        <f t="shared" si="98"/>
        <v>9</v>
      </c>
    </row>
    <row r="1170" spans="1:17" x14ac:dyDescent="0.2">
      <c r="A1170" s="16">
        <f t="shared" si="94"/>
        <v>1813230</v>
      </c>
      <c r="B1170">
        <v>2019</v>
      </c>
      <c r="C1170" t="s">
        <v>904</v>
      </c>
      <c r="D1170" t="s">
        <v>906</v>
      </c>
      <c r="E1170" t="s">
        <v>2076</v>
      </c>
      <c r="F1170" t="s">
        <v>702</v>
      </c>
      <c r="G1170" t="s">
        <v>138</v>
      </c>
      <c r="H1170" s="6">
        <v>249050</v>
      </c>
      <c r="I1170" s="6">
        <v>6.335818492947331E-4</v>
      </c>
      <c r="J1170" s="6">
        <v>2220.7043817780395</v>
      </c>
      <c r="K1170" s="6">
        <v>598037.90754929802</v>
      </c>
      <c r="M1170" s="6">
        <f t="shared" si="95"/>
        <v>251270.70438177805</v>
      </c>
      <c r="N1170" s="6">
        <f t="shared" si="96"/>
        <v>598037.90754929802</v>
      </c>
      <c r="O1170" s="6">
        <f t="shared" si="97"/>
        <v>849308.61193107604</v>
      </c>
      <c r="P1170" s="8">
        <f>VLOOKUP(F1170,'LEAID Match'!$A$2:$B$436,2,FALSE)</f>
        <v>1813230</v>
      </c>
      <c r="Q1170" s="6">
        <f t="shared" si="98"/>
        <v>9</v>
      </c>
    </row>
    <row r="1171" spans="1:17" x14ac:dyDescent="0.2">
      <c r="A1171" s="16">
        <f t="shared" si="94"/>
        <v>1813230</v>
      </c>
      <c r="B1171">
        <v>2020</v>
      </c>
      <c r="C1171" t="s">
        <v>904</v>
      </c>
      <c r="D1171" t="s">
        <v>906</v>
      </c>
      <c r="E1171" t="s">
        <v>2077</v>
      </c>
      <c r="F1171" t="s">
        <v>702</v>
      </c>
      <c r="G1171" t="s">
        <v>138</v>
      </c>
      <c r="H1171" s="6">
        <v>200526</v>
      </c>
      <c r="I1171" s="6">
        <v>1.0625286613723181E-3</v>
      </c>
      <c r="J1171" s="6">
        <v>2503.3175261931815</v>
      </c>
      <c r="K1171" s="6">
        <v>1608971</v>
      </c>
      <c r="M1171" s="6">
        <f t="shared" si="95"/>
        <v>203029.31752619319</v>
      </c>
      <c r="N1171" s="6">
        <f t="shared" si="96"/>
        <v>1608971</v>
      </c>
      <c r="O1171" s="6">
        <f t="shared" si="97"/>
        <v>1812000.3175261931</v>
      </c>
      <c r="P1171" s="8">
        <f>VLOOKUP(F1171,'LEAID Match'!$A$2:$B$436,2,FALSE)</f>
        <v>1813230</v>
      </c>
      <c r="Q1171" s="6">
        <f t="shared" si="98"/>
        <v>9</v>
      </c>
    </row>
    <row r="1172" spans="1:17" x14ac:dyDescent="0.2">
      <c r="A1172" s="16">
        <f t="shared" si="94"/>
        <v>1813230</v>
      </c>
      <c r="B1172">
        <v>2021</v>
      </c>
      <c r="C1172" t="s">
        <v>904</v>
      </c>
      <c r="D1172" t="s">
        <v>906</v>
      </c>
      <c r="E1172" t="s">
        <v>2078</v>
      </c>
      <c r="F1172" t="s">
        <v>702</v>
      </c>
      <c r="G1172" t="s">
        <v>138</v>
      </c>
      <c r="H1172" s="6">
        <v>268306</v>
      </c>
      <c r="I1172" s="6">
        <v>1.3254565921710028E-3</v>
      </c>
      <c r="J1172" s="6">
        <v>2987.5791587534404</v>
      </c>
      <c r="K1172" s="6">
        <v>2694061</v>
      </c>
      <c r="M1172" s="6">
        <f t="shared" si="95"/>
        <v>271293.57915875345</v>
      </c>
      <c r="N1172" s="6">
        <f t="shared" si="96"/>
        <v>2694061</v>
      </c>
      <c r="O1172" s="6">
        <f t="shared" si="97"/>
        <v>2965354.5791587536</v>
      </c>
      <c r="P1172" s="8">
        <f>VLOOKUP(F1172,'LEAID Match'!$A$2:$B$436,2,FALSE)</f>
        <v>1813230</v>
      </c>
      <c r="Q1172" s="6">
        <f t="shared" si="98"/>
        <v>9</v>
      </c>
    </row>
    <row r="1173" spans="1:17" x14ac:dyDescent="0.2">
      <c r="A1173" s="16">
        <f t="shared" si="94"/>
        <v>1813230</v>
      </c>
      <c r="B1173">
        <v>2022</v>
      </c>
      <c r="C1173" t="s">
        <v>904</v>
      </c>
      <c r="D1173" t="s">
        <v>906</v>
      </c>
      <c r="E1173" t="s">
        <v>2079</v>
      </c>
      <c r="F1173" t="s">
        <v>702</v>
      </c>
      <c r="G1173" t="s">
        <v>138</v>
      </c>
      <c r="H1173" s="6">
        <v>281995</v>
      </c>
      <c r="I1173" s="6">
        <v>1.338964669090951E-3</v>
      </c>
      <c r="J1173" s="6">
        <v>2952.4170953455468</v>
      </c>
      <c r="K1173" s="6">
        <v>2664535</v>
      </c>
      <c r="M1173" s="6">
        <f t="shared" si="95"/>
        <v>284947.41709534556</v>
      </c>
      <c r="N1173" s="6">
        <f t="shared" si="96"/>
        <v>2664535</v>
      </c>
      <c r="O1173" s="6">
        <f t="shared" si="97"/>
        <v>2949482.4170953454</v>
      </c>
      <c r="P1173" s="8">
        <f>VLOOKUP(F1173,'LEAID Match'!$A$2:$B$436,2,FALSE)</f>
        <v>1813230</v>
      </c>
      <c r="Q1173" s="6">
        <f t="shared" si="98"/>
        <v>9</v>
      </c>
    </row>
    <row r="1174" spans="1:17" x14ac:dyDescent="0.2">
      <c r="A1174" s="16">
        <f t="shared" si="94"/>
        <v>1813230</v>
      </c>
      <c r="B1174">
        <v>2023</v>
      </c>
      <c r="C1174" t="s">
        <v>904</v>
      </c>
      <c r="D1174" t="s">
        <v>906</v>
      </c>
      <c r="E1174" t="s">
        <v>2080</v>
      </c>
      <c r="F1174" t="s">
        <v>702</v>
      </c>
      <c r="G1174" t="s">
        <v>138</v>
      </c>
      <c r="H1174" s="6">
        <v>310308</v>
      </c>
      <c r="I1174" s="6">
        <v>1.2689892204864395E-3</v>
      </c>
      <c r="J1174" s="6">
        <v>3130.5964069400461</v>
      </c>
      <c r="K1174" s="6">
        <v>7351537</v>
      </c>
      <c r="M1174" s="6">
        <f t="shared" si="95"/>
        <v>313438.59640694002</v>
      </c>
      <c r="N1174" s="6">
        <f t="shared" si="96"/>
        <v>7351537</v>
      </c>
      <c r="O1174" s="6">
        <f t="shared" si="97"/>
        <v>7664975.5964069404</v>
      </c>
      <c r="P1174" s="8">
        <f>VLOOKUP(F1174,'LEAID Match'!$A$2:$B$436,2,FALSE)</f>
        <v>1813230</v>
      </c>
      <c r="Q1174" s="6">
        <f t="shared" si="98"/>
        <v>9</v>
      </c>
    </row>
    <row r="1175" spans="1:17" x14ac:dyDescent="0.2">
      <c r="A1175" s="16">
        <f t="shared" si="94"/>
        <v>1805520</v>
      </c>
      <c r="B1175">
        <v>2015</v>
      </c>
      <c r="C1175" t="s">
        <v>904</v>
      </c>
      <c r="D1175" t="s">
        <v>906</v>
      </c>
      <c r="E1175" t="s">
        <v>2081</v>
      </c>
      <c r="F1175" t="s">
        <v>513</v>
      </c>
      <c r="G1175" t="s">
        <v>139</v>
      </c>
      <c r="H1175" s="6">
        <v>404254</v>
      </c>
      <c r="I1175" s="6">
        <v>1.9657687791546641E-3</v>
      </c>
      <c r="J1175" s="6">
        <v>11423.082375667753</v>
      </c>
      <c r="K1175" s="6">
        <v>1662285.5319536501</v>
      </c>
      <c r="M1175" s="6">
        <f t="shared" si="95"/>
        <v>415677.08237566776</v>
      </c>
      <c r="N1175" s="6">
        <f t="shared" si="96"/>
        <v>1662285.5319536501</v>
      </c>
      <c r="O1175" s="6">
        <f t="shared" si="97"/>
        <v>2077962.6143293178</v>
      </c>
      <c r="P1175" s="8">
        <f>VLOOKUP(F1175,'LEAID Match'!$A$2:$B$436,2,FALSE)</f>
        <v>1805520</v>
      </c>
      <c r="Q1175" s="6">
        <f t="shared" si="98"/>
        <v>9</v>
      </c>
    </row>
    <row r="1176" spans="1:17" x14ac:dyDescent="0.2">
      <c r="A1176" s="16">
        <f t="shared" si="94"/>
        <v>1805520</v>
      </c>
      <c r="B1176">
        <v>2016</v>
      </c>
      <c r="C1176" t="s">
        <v>904</v>
      </c>
      <c r="D1176" t="s">
        <v>906</v>
      </c>
      <c r="E1176" t="s">
        <v>2082</v>
      </c>
      <c r="F1176" t="s">
        <v>513</v>
      </c>
      <c r="G1176" t="s">
        <v>139</v>
      </c>
      <c r="H1176" s="6">
        <v>412171</v>
      </c>
      <c r="I1176" s="6">
        <v>1.9125240612988621E-3</v>
      </c>
      <c r="J1176" s="6">
        <v>9654.4214614366556</v>
      </c>
      <c r="K1176" s="6">
        <v>1697365.10440274</v>
      </c>
      <c r="M1176" s="6">
        <f t="shared" si="95"/>
        <v>421825.42146143666</v>
      </c>
      <c r="N1176" s="6">
        <f t="shared" si="96"/>
        <v>1697365.10440274</v>
      </c>
      <c r="O1176" s="6">
        <f t="shared" si="97"/>
        <v>2119190.5258641765</v>
      </c>
      <c r="P1176" s="8">
        <f>VLOOKUP(F1176,'LEAID Match'!$A$2:$B$436,2,FALSE)</f>
        <v>1805520</v>
      </c>
      <c r="Q1176" s="6">
        <f t="shared" si="98"/>
        <v>9</v>
      </c>
    </row>
    <row r="1177" spans="1:17" x14ac:dyDescent="0.2">
      <c r="A1177" s="16">
        <f t="shared" si="94"/>
        <v>1805520</v>
      </c>
      <c r="B1177">
        <v>2017</v>
      </c>
      <c r="C1177" t="s">
        <v>904</v>
      </c>
      <c r="D1177" t="s">
        <v>906</v>
      </c>
      <c r="E1177" t="s">
        <v>2083</v>
      </c>
      <c r="F1177" t="s">
        <v>513</v>
      </c>
      <c r="G1177" t="s">
        <v>139</v>
      </c>
      <c r="H1177" s="6">
        <v>405167</v>
      </c>
      <c r="I1177" s="6">
        <v>1.7841236339152344E-3</v>
      </c>
      <c r="J1177" s="6">
        <v>8073.1594434664357</v>
      </c>
      <c r="K1177" s="6">
        <v>1553971.6851401599</v>
      </c>
      <c r="M1177" s="6">
        <f t="shared" si="95"/>
        <v>413240.15944346646</v>
      </c>
      <c r="N1177" s="6">
        <f t="shared" si="96"/>
        <v>1553971.6851401599</v>
      </c>
      <c r="O1177" s="6">
        <f t="shared" si="97"/>
        <v>1967211.8445836264</v>
      </c>
      <c r="P1177" s="8">
        <f>VLOOKUP(F1177,'LEAID Match'!$A$2:$B$436,2,FALSE)</f>
        <v>1805520</v>
      </c>
      <c r="Q1177" s="6">
        <f t="shared" si="98"/>
        <v>9</v>
      </c>
    </row>
    <row r="1178" spans="1:17" x14ac:dyDescent="0.2">
      <c r="A1178" s="16">
        <f t="shared" si="94"/>
        <v>1805520</v>
      </c>
      <c r="B1178">
        <v>2018</v>
      </c>
      <c r="C1178" t="s">
        <v>904</v>
      </c>
      <c r="D1178" t="s">
        <v>906</v>
      </c>
      <c r="E1178" t="s">
        <v>2084</v>
      </c>
      <c r="F1178" t="s">
        <v>513</v>
      </c>
      <c r="G1178" t="s">
        <v>139</v>
      </c>
      <c r="H1178" s="6">
        <v>412717</v>
      </c>
      <c r="I1178" s="6">
        <v>1.7508985574725897E-3</v>
      </c>
      <c r="J1178" s="6">
        <v>7297.7451875457537</v>
      </c>
      <c r="K1178" s="6">
        <v>1773107</v>
      </c>
      <c r="M1178" s="6">
        <f t="shared" si="95"/>
        <v>420014.74518754578</v>
      </c>
      <c r="N1178" s="6">
        <f t="shared" si="96"/>
        <v>1773107</v>
      </c>
      <c r="O1178" s="6">
        <f t="shared" si="97"/>
        <v>2193121.7451875457</v>
      </c>
      <c r="P1178" s="8">
        <f>VLOOKUP(F1178,'LEAID Match'!$A$2:$B$436,2,FALSE)</f>
        <v>1805520</v>
      </c>
      <c r="Q1178" s="6">
        <f t="shared" si="98"/>
        <v>9</v>
      </c>
    </row>
    <row r="1179" spans="1:17" x14ac:dyDescent="0.2">
      <c r="A1179" s="16">
        <f t="shared" si="94"/>
        <v>1805520</v>
      </c>
      <c r="B1179">
        <v>2019</v>
      </c>
      <c r="C1179" t="s">
        <v>904</v>
      </c>
      <c r="D1179" t="s">
        <v>906</v>
      </c>
      <c r="E1179" t="s">
        <v>2085</v>
      </c>
      <c r="F1179" t="s">
        <v>513</v>
      </c>
      <c r="G1179" t="s">
        <v>139</v>
      </c>
      <c r="H1179" s="6">
        <v>430728</v>
      </c>
      <c r="I1179" s="6">
        <v>1.0957696959767991E-3</v>
      </c>
      <c r="J1179" s="6">
        <v>3840.672784398681</v>
      </c>
      <c r="K1179" s="6">
        <v>1034297.0160325</v>
      </c>
      <c r="M1179" s="6">
        <f t="shared" si="95"/>
        <v>434568.67278439866</v>
      </c>
      <c r="N1179" s="6">
        <f t="shared" si="96"/>
        <v>1034297.0160325</v>
      </c>
      <c r="O1179" s="6">
        <f t="shared" si="97"/>
        <v>1468865.6888168985</v>
      </c>
      <c r="P1179" s="8">
        <f>VLOOKUP(F1179,'LEAID Match'!$A$2:$B$436,2,FALSE)</f>
        <v>1805520</v>
      </c>
      <c r="Q1179" s="6">
        <f t="shared" si="98"/>
        <v>9</v>
      </c>
    </row>
    <row r="1180" spans="1:17" x14ac:dyDescent="0.2">
      <c r="A1180" s="16">
        <f t="shared" si="94"/>
        <v>1805520</v>
      </c>
      <c r="B1180">
        <v>2020</v>
      </c>
      <c r="C1180" t="s">
        <v>904</v>
      </c>
      <c r="D1180" t="s">
        <v>906</v>
      </c>
      <c r="E1180" t="s">
        <v>2086</v>
      </c>
      <c r="F1180" t="s">
        <v>513</v>
      </c>
      <c r="G1180" t="s">
        <v>139</v>
      </c>
      <c r="H1180" s="6">
        <v>280518</v>
      </c>
      <c r="I1180" s="6">
        <v>1.4863828881583432E-3</v>
      </c>
      <c r="J1180" s="6">
        <v>3501.9180845010565</v>
      </c>
      <c r="K1180" s="6">
        <v>1796206</v>
      </c>
      <c r="M1180" s="6">
        <f t="shared" si="95"/>
        <v>284019.91808450106</v>
      </c>
      <c r="N1180" s="6">
        <f t="shared" si="96"/>
        <v>1796206</v>
      </c>
      <c r="O1180" s="6">
        <f t="shared" si="97"/>
        <v>2080225.9180845011</v>
      </c>
      <c r="P1180" s="8">
        <f>VLOOKUP(F1180,'LEAID Match'!$A$2:$B$436,2,FALSE)</f>
        <v>1805520</v>
      </c>
      <c r="Q1180" s="6">
        <f t="shared" si="98"/>
        <v>9</v>
      </c>
    </row>
    <row r="1181" spans="1:17" x14ac:dyDescent="0.2">
      <c r="A1181" s="16">
        <f t="shared" si="94"/>
        <v>1805520</v>
      </c>
      <c r="B1181">
        <v>2021</v>
      </c>
      <c r="C1181" t="s">
        <v>904</v>
      </c>
      <c r="D1181" t="s">
        <v>906</v>
      </c>
      <c r="E1181" t="s">
        <v>2087</v>
      </c>
      <c r="F1181" t="s">
        <v>513</v>
      </c>
      <c r="G1181" t="s">
        <v>139</v>
      </c>
      <c r="H1181" s="6">
        <v>299563</v>
      </c>
      <c r="I1181" s="6">
        <v>1.4798690790385684E-3</v>
      </c>
      <c r="J1181" s="6">
        <v>3335.6249041529331</v>
      </c>
      <c r="K1181" s="6">
        <v>2907124</v>
      </c>
      <c r="M1181" s="6">
        <f t="shared" si="95"/>
        <v>302898.62490415294</v>
      </c>
      <c r="N1181" s="6">
        <f t="shared" si="96"/>
        <v>2907124</v>
      </c>
      <c r="O1181" s="6">
        <f t="shared" si="97"/>
        <v>3210022.6249041529</v>
      </c>
      <c r="P1181" s="8">
        <f>VLOOKUP(F1181,'LEAID Match'!$A$2:$B$436,2,FALSE)</f>
        <v>1805520</v>
      </c>
      <c r="Q1181" s="6">
        <f t="shared" si="98"/>
        <v>9</v>
      </c>
    </row>
    <row r="1182" spans="1:17" x14ac:dyDescent="0.2">
      <c r="A1182" s="16">
        <f t="shared" si="94"/>
        <v>1805520</v>
      </c>
      <c r="B1182">
        <v>2022</v>
      </c>
      <c r="C1182" t="s">
        <v>904</v>
      </c>
      <c r="D1182" t="s">
        <v>906</v>
      </c>
      <c r="E1182" t="s">
        <v>2088</v>
      </c>
      <c r="F1182" t="s">
        <v>513</v>
      </c>
      <c r="G1182" t="s">
        <v>139</v>
      </c>
      <c r="H1182" s="6">
        <v>316330</v>
      </c>
      <c r="I1182" s="6">
        <v>1.5019936302896879E-3</v>
      </c>
      <c r="J1182" s="6">
        <v>3311.8959547887621</v>
      </c>
      <c r="K1182" s="6">
        <v>2820041</v>
      </c>
      <c r="M1182" s="6">
        <f t="shared" si="95"/>
        <v>319641.89595478878</v>
      </c>
      <c r="N1182" s="6">
        <f t="shared" si="96"/>
        <v>2820041</v>
      </c>
      <c r="O1182" s="6">
        <f t="shared" si="97"/>
        <v>3139682.8959547887</v>
      </c>
      <c r="P1182" s="8">
        <f>VLOOKUP(F1182,'LEAID Match'!$A$2:$B$436,2,FALSE)</f>
        <v>1805520</v>
      </c>
      <c r="Q1182" s="6">
        <f t="shared" si="98"/>
        <v>9</v>
      </c>
    </row>
    <row r="1183" spans="1:17" x14ac:dyDescent="0.2">
      <c r="A1183" s="16">
        <f t="shared" si="94"/>
        <v>1805520</v>
      </c>
      <c r="B1183">
        <v>2023</v>
      </c>
      <c r="C1183" t="s">
        <v>904</v>
      </c>
      <c r="D1183" t="s">
        <v>906</v>
      </c>
      <c r="E1183" t="s">
        <v>2089</v>
      </c>
      <c r="F1183" t="s">
        <v>513</v>
      </c>
      <c r="G1183" t="s">
        <v>139</v>
      </c>
      <c r="H1183" s="6">
        <v>333208</v>
      </c>
      <c r="I1183" s="6">
        <v>1.3626376380236587E-3</v>
      </c>
      <c r="J1183" s="6">
        <v>3361.6270530043662</v>
      </c>
      <c r="K1183" s="6">
        <v>7119459</v>
      </c>
      <c r="M1183" s="6">
        <f t="shared" si="95"/>
        <v>336569.62705300434</v>
      </c>
      <c r="N1183" s="6">
        <f t="shared" si="96"/>
        <v>7119459</v>
      </c>
      <c r="O1183" s="6">
        <f t="shared" si="97"/>
        <v>7456028.6270530047</v>
      </c>
      <c r="P1183" s="8">
        <f>VLOOKUP(F1183,'LEAID Match'!$A$2:$B$436,2,FALSE)</f>
        <v>1805520</v>
      </c>
      <c r="Q1183" s="6">
        <f t="shared" si="98"/>
        <v>9</v>
      </c>
    </row>
    <row r="1184" spans="1:17" x14ac:dyDescent="0.2">
      <c r="A1184" s="16">
        <f t="shared" si="94"/>
        <v>1809300</v>
      </c>
      <c r="B1184">
        <v>2015</v>
      </c>
      <c r="C1184" t="s">
        <v>904</v>
      </c>
      <c r="D1184" t="s">
        <v>906</v>
      </c>
      <c r="E1184" t="s">
        <v>2090</v>
      </c>
      <c r="F1184" t="s">
        <v>703</v>
      </c>
      <c r="G1184" t="s">
        <v>140</v>
      </c>
      <c r="H1184" s="6">
        <v>259241</v>
      </c>
      <c r="I1184" s="6">
        <v>1.2606130405063013E-3</v>
      </c>
      <c r="J1184" s="6">
        <v>7325.4223783821171</v>
      </c>
      <c r="K1184" s="6">
        <v>1065994.5568607701</v>
      </c>
      <c r="M1184" s="6">
        <f t="shared" si="95"/>
        <v>266566.42237838212</v>
      </c>
      <c r="N1184" s="6">
        <f t="shared" si="96"/>
        <v>1065994.5568607701</v>
      </c>
      <c r="O1184" s="6">
        <f t="shared" si="97"/>
        <v>1332560.9792391523</v>
      </c>
      <c r="P1184" s="8">
        <f>VLOOKUP(F1184,'LEAID Match'!$A$2:$B$436,2,FALSE)</f>
        <v>1809300</v>
      </c>
      <c r="Q1184" s="6">
        <f t="shared" si="98"/>
        <v>9</v>
      </c>
    </row>
    <row r="1185" spans="1:17" x14ac:dyDescent="0.2">
      <c r="A1185" s="16">
        <f t="shared" si="94"/>
        <v>1809300</v>
      </c>
      <c r="B1185">
        <v>2016</v>
      </c>
      <c r="C1185" t="s">
        <v>904</v>
      </c>
      <c r="D1185" t="s">
        <v>906</v>
      </c>
      <c r="E1185" t="s">
        <v>2091</v>
      </c>
      <c r="F1185" t="s">
        <v>703</v>
      </c>
      <c r="G1185" t="s">
        <v>140</v>
      </c>
      <c r="H1185" s="6">
        <v>227218</v>
      </c>
      <c r="I1185" s="6">
        <v>1.0543194260639512E-3</v>
      </c>
      <c r="J1185" s="6">
        <v>5322.2044627708256</v>
      </c>
      <c r="K1185" s="6">
        <v>935708.49063175602</v>
      </c>
      <c r="M1185" s="6">
        <f t="shared" si="95"/>
        <v>232540.20446277084</v>
      </c>
      <c r="N1185" s="6">
        <f t="shared" si="96"/>
        <v>935708.49063175602</v>
      </c>
      <c r="O1185" s="6">
        <f t="shared" si="97"/>
        <v>1168248.6950945267</v>
      </c>
      <c r="P1185" s="8">
        <f>VLOOKUP(F1185,'LEAID Match'!$A$2:$B$436,2,FALSE)</f>
        <v>1809300</v>
      </c>
      <c r="Q1185" s="6">
        <f t="shared" si="98"/>
        <v>9</v>
      </c>
    </row>
    <row r="1186" spans="1:17" x14ac:dyDescent="0.2">
      <c r="A1186" s="16">
        <f t="shared" si="94"/>
        <v>1809300</v>
      </c>
      <c r="B1186">
        <v>2017</v>
      </c>
      <c r="C1186" t="s">
        <v>904</v>
      </c>
      <c r="D1186" t="s">
        <v>906</v>
      </c>
      <c r="E1186" t="s">
        <v>2092</v>
      </c>
      <c r="F1186" t="s">
        <v>703</v>
      </c>
      <c r="G1186" t="s">
        <v>140</v>
      </c>
      <c r="H1186" s="6">
        <v>232526</v>
      </c>
      <c r="I1186" s="6">
        <v>1.023911454041849E-3</v>
      </c>
      <c r="J1186" s="6">
        <v>4633.1993295393668</v>
      </c>
      <c r="K1186" s="6">
        <v>891826.87647044996</v>
      </c>
      <c r="M1186" s="6">
        <f t="shared" si="95"/>
        <v>237159.19932953938</v>
      </c>
      <c r="N1186" s="6">
        <f t="shared" si="96"/>
        <v>891826.87647044996</v>
      </c>
      <c r="O1186" s="6">
        <f t="shared" si="97"/>
        <v>1128986.0757999893</v>
      </c>
      <c r="P1186" s="8">
        <f>VLOOKUP(F1186,'LEAID Match'!$A$2:$B$436,2,FALSE)</f>
        <v>1809300</v>
      </c>
      <c r="Q1186" s="6">
        <f t="shared" si="98"/>
        <v>9</v>
      </c>
    </row>
    <row r="1187" spans="1:17" x14ac:dyDescent="0.2">
      <c r="A1187" s="16">
        <f t="shared" si="94"/>
        <v>1809300</v>
      </c>
      <c r="B1187">
        <v>2018</v>
      </c>
      <c r="C1187" t="s">
        <v>904</v>
      </c>
      <c r="D1187" t="s">
        <v>906</v>
      </c>
      <c r="E1187" t="s">
        <v>2093</v>
      </c>
      <c r="F1187" t="s">
        <v>703</v>
      </c>
      <c r="G1187" t="s">
        <v>140</v>
      </c>
      <c r="H1187" s="6">
        <v>247781</v>
      </c>
      <c r="I1187" s="6">
        <v>1.0511788840031201E-3</v>
      </c>
      <c r="J1187" s="6">
        <v>4381.3135885250049</v>
      </c>
      <c r="K1187" s="6">
        <v>1410904</v>
      </c>
      <c r="M1187" s="6">
        <f t="shared" si="95"/>
        <v>252162.31358852499</v>
      </c>
      <c r="N1187" s="6">
        <f t="shared" si="96"/>
        <v>1410904</v>
      </c>
      <c r="O1187" s="6">
        <f t="shared" si="97"/>
        <v>1663066.3135885249</v>
      </c>
      <c r="P1187" s="8">
        <f>VLOOKUP(F1187,'LEAID Match'!$A$2:$B$436,2,FALSE)</f>
        <v>1809300</v>
      </c>
      <c r="Q1187" s="6">
        <f t="shared" si="98"/>
        <v>9</v>
      </c>
    </row>
    <row r="1188" spans="1:17" x14ac:dyDescent="0.2">
      <c r="A1188" s="16">
        <f t="shared" si="94"/>
        <v>1809300</v>
      </c>
      <c r="B1188">
        <v>2019</v>
      </c>
      <c r="C1188" t="s">
        <v>904</v>
      </c>
      <c r="D1188" t="s">
        <v>906</v>
      </c>
      <c r="E1188" t="s">
        <v>2094</v>
      </c>
      <c r="F1188" t="s">
        <v>703</v>
      </c>
      <c r="G1188" t="s">
        <v>140</v>
      </c>
      <c r="H1188" s="6">
        <v>262390</v>
      </c>
      <c r="I1188" s="6">
        <v>6.675187369461755E-4</v>
      </c>
      <c r="J1188" s="6">
        <v>2339.6531729963453</v>
      </c>
      <c r="K1188" s="6">
        <v>630070.935803495</v>
      </c>
      <c r="M1188" s="6">
        <f t="shared" si="95"/>
        <v>264729.65317299636</v>
      </c>
      <c r="N1188" s="6">
        <f t="shared" si="96"/>
        <v>630070.935803495</v>
      </c>
      <c r="O1188" s="6">
        <f t="shared" si="97"/>
        <v>894800.58897649136</v>
      </c>
      <c r="P1188" s="8">
        <f>VLOOKUP(F1188,'LEAID Match'!$A$2:$B$436,2,FALSE)</f>
        <v>1809300</v>
      </c>
      <c r="Q1188" s="6">
        <f t="shared" si="98"/>
        <v>9</v>
      </c>
    </row>
    <row r="1189" spans="1:17" x14ac:dyDescent="0.2">
      <c r="A1189" s="16">
        <f t="shared" si="94"/>
        <v>1809300</v>
      </c>
      <c r="B1189">
        <v>2020</v>
      </c>
      <c r="C1189" t="s">
        <v>904</v>
      </c>
      <c r="D1189" t="s">
        <v>906</v>
      </c>
      <c r="E1189" t="s">
        <v>2095</v>
      </c>
      <c r="F1189" t="s">
        <v>703</v>
      </c>
      <c r="G1189" t="s">
        <v>140</v>
      </c>
      <c r="H1189" s="6">
        <v>211651</v>
      </c>
      <c r="I1189" s="6">
        <v>1.1214767845970721E-3</v>
      </c>
      <c r="J1189" s="6">
        <v>2642.1993045107019</v>
      </c>
      <c r="K1189" s="6">
        <v>1491853</v>
      </c>
      <c r="M1189" s="6">
        <f t="shared" si="95"/>
        <v>214293.19930451069</v>
      </c>
      <c r="N1189" s="6">
        <f t="shared" si="96"/>
        <v>1491853</v>
      </c>
      <c r="O1189" s="6">
        <f t="shared" si="97"/>
        <v>1706146.1993045106</v>
      </c>
      <c r="P1189" s="8">
        <f>VLOOKUP(F1189,'LEAID Match'!$A$2:$B$436,2,FALSE)</f>
        <v>1809300</v>
      </c>
      <c r="Q1189" s="6">
        <f t="shared" si="98"/>
        <v>9</v>
      </c>
    </row>
    <row r="1190" spans="1:17" x14ac:dyDescent="0.2">
      <c r="A1190" s="16">
        <f t="shared" si="94"/>
        <v>1809300</v>
      </c>
      <c r="B1190">
        <v>2021</v>
      </c>
      <c r="C1190" t="s">
        <v>904</v>
      </c>
      <c r="D1190" t="s">
        <v>906</v>
      </c>
      <c r="E1190" t="s">
        <v>2096</v>
      </c>
      <c r="F1190" t="s">
        <v>703</v>
      </c>
      <c r="G1190" t="s">
        <v>140</v>
      </c>
      <c r="H1190" s="6">
        <v>228144</v>
      </c>
      <c r="I1190" s="6">
        <v>1.1270525771479626E-3</v>
      </c>
      <c r="J1190" s="6">
        <v>2540.3765088915075</v>
      </c>
      <c r="K1190" s="6">
        <v>2472526</v>
      </c>
      <c r="M1190" s="6">
        <f t="shared" si="95"/>
        <v>230684.3765088915</v>
      </c>
      <c r="N1190" s="6">
        <f t="shared" si="96"/>
        <v>2472526</v>
      </c>
      <c r="O1190" s="6">
        <f t="shared" si="97"/>
        <v>2703210.3765088916</v>
      </c>
      <c r="P1190" s="8">
        <f>VLOOKUP(F1190,'LEAID Match'!$A$2:$B$436,2,FALSE)</f>
        <v>1809300</v>
      </c>
      <c r="Q1190" s="6">
        <f t="shared" si="98"/>
        <v>9</v>
      </c>
    </row>
    <row r="1191" spans="1:17" x14ac:dyDescent="0.2">
      <c r="A1191" s="16">
        <f t="shared" si="94"/>
        <v>1809300</v>
      </c>
      <c r="B1191">
        <v>2022</v>
      </c>
      <c r="C1191" t="s">
        <v>904</v>
      </c>
      <c r="D1191" t="s">
        <v>906</v>
      </c>
      <c r="E1191" t="s">
        <v>2097</v>
      </c>
      <c r="F1191" t="s">
        <v>703</v>
      </c>
      <c r="G1191" t="s">
        <v>140</v>
      </c>
      <c r="H1191" s="6">
        <v>247419</v>
      </c>
      <c r="I1191" s="6">
        <v>1.1747913951020905E-3</v>
      </c>
      <c r="J1191" s="6">
        <v>2590.4150262001094</v>
      </c>
      <c r="K1191" s="6">
        <v>2464532</v>
      </c>
      <c r="M1191" s="6">
        <f t="shared" si="95"/>
        <v>250009.41502620012</v>
      </c>
      <c r="N1191" s="6">
        <f t="shared" si="96"/>
        <v>2464532</v>
      </c>
      <c r="O1191" s="6">
        <f t="shared" si="97"/>
        <v>2714541.4150262</v>
      </c>
      <c r="P1191" s="8">
        <f>VLOOKUP(F1191,'LEAID Match'!$A$2:$B$436,2,FALSE)</f>
        <v>1809300</v>
      </c>
      <c r="Q1191" s="6">
        <f t="shared" si="98"/>
        <v>9</v>
      </c>
    </row>
    <row r="1192" spans="1:17" x14ac:dyDescent="0.2">
      <c r="A1192" s="16">
        <f t="shared" si="94"/>
        <v>1809300</v>
      </c>
      <c r="B1192">
        <v>2023</v>
      </c>
      <c r="C1192" t="s">
        <v>904</v>
      </c>
      <c r="D1192" t="s">
        <v>906</v>
      </c>
      <c r="E1192" t="s">
        <v>2098</v>
      </c>
      <c r="F1192" t="s">
        <v>703</v>
      </c>
      <c r="G1192" t="s">
        <v>140</v>
      </c>
      <c r="H1192" s="6">
        <v>283115</v>
      </c>
      <c r="I1192" s="6">
        <v>1.1577847917489021E-3</v>
      </c>
      <c r="J1192" s="6">
        <v>2856.2550812445415</v>
      </c>
      <c r="K1192" s="6">
        <v>6800140</v>
      </c>
      <c r="M1192" s="6">
        <f t="shared" si="95"/>
        <v>285971.25508124457</v>
      </c>
      <c r="N1192" s="6">
        <f t="shared" si="96"/>
        <v>6800140</v>
      </c>
      <c r="O1192" s="6">
        <f t="shared" si="97"/>
        <v>7086111.2550812447</v>
      </c>
      <c r="P1192" s="8">
        <f>VLOOKUP(F1192,'LEAID Match'!$A$2:$B$436,2,FALSE)</f>
        <v>1809300</v>
      </c>
      <c r="Q1192" s="6">
        <f t="shared" si="98"/>
        <v>9</v>
      </c>
    </row>
    <row r="1193" spans="1:17" x14ac:dyDescent="0.2">
      <c r="A1193" s="16">
        <f t="shared" si="94"/>
        <v>1813110</v>
      </c>
      <c r="B1193">
        <v>2015</v>
      </c>
      <c r="C1193" t="s">
        <v>904</v>
      </c>
      <c r="D1193" t="s">
        <v>906</v>
      </c>
      <c r="E1193" t="s">
        <v>2099</v>
      </c>
      <c r="F1193" t="s">
        <v>514</v>
      </c>
      <c r="G1193" t="s">
        <v>141</v>
      </c>
      <c r="H1193" s="6">
        <v>413469</v>
      </c>
      <c r="I1193" s="6">
        <v>2.010578624697096E-3</v>
      </c>
      <c r="J1193" s="6">
        <v>11683.472388114824</v>
      </c>
      <c r="K1193" s="6">
        <v>1700177.4543018499</v>
      </c>
      <c r="M1193" s="6">
        <f t="shared" si="95"/>
        <v>425152.47238811484</v>
      </c>
      <c r="N1193" s="6">
        <f t="shared" si="96"/>
        <v>1700177.4543018499</v>
      </c>
      <c r="O1193" s="6">
        <f t="shared" si="97"/>
        <v>2125329.9266899647</v>
      </c>
      <c r="P1193" s="8">
        <f>VLOOKUP(F1193,'LEAID Match'!$A$2:$B$436,2,FALSE)</f>
        <v>1813110</v>
      </c>
      <c r="Q1193" s="6">
        <f t="shared" si="98"/>
        <v>9</v>
      </c>
    </row>
    <row r="1194" spans="1:17" x14ac:dyDescent="0.2">
      <c r="A1194" s="16">
        <f t="shared" si="94"/>
        <v>1813110</v>
      </c>
      <c r="B1194">
        <v>2016</v>
      </c>
      <c r="C1194" t="s">
        <v>904</v>
      </c>
      <c r="D1194" t="s">
        <v>906</v>
      </c>
      <c r="E1194" t="s">
        <v>2100</v>
      </c>
      <c r="F1194" t="s">
        <v>514</v>
      </c>
      <c r="G1194" t="s">
        <v>141</v>
      </c>
      <c r="H1194" s="6">
        <v>431080</v>
      </c>
      <c r="I1194" s="6">
        <v>2.0002641436314382E-3</v>
      </c>
      <c r="J1194" s="6">
        <v>10097.3333970515</v>
      </c>
      <c r="K1194" s="6">
        <v>1775234.4274728999</v>
      </c>
      <c r="M1194" s="6">
        <f t="shared" si="95"/>
        <v>441177.33339705149</v>
      </c>
      <c r="N1194" s="6">
        <f t="shared" si="96"/>
        <v>1775234.4274728999</v>
      </c>
      <c r="O1194" s="6">
        <f t="shared" si="97"/>
        <v>2216411.7608699515</v>
      </c>
      <c r="P1194" s="8">
        <f>VLOOKUP(F1194,'LEAID Match'!$A$2:$B$436,2,FALSE)</f>
        <v>1813110</v>
      </c>
      <c r="Q1194" s="6">
        <f t="shared" si="98"/>
        <v>9</v>
      </c>
    </row>
    <row r="1195" spans="1:17" x14ac:dyDescent="0.2">
      <c r="A1195" s="16">
        <f t="shared" si="94"/>
        <v>1813110</v>
      </c>
      <c r="B1195">
        <v>2017</v>
      </c>
      <c r="C1195" t="s">
        <v>904</v>
      </c>
      <c r="D1195" t="s">
        <v>906</v>
      </c>
      <c r="E1195" t="s">
        <v>2101</v>
      </c>
      <c r="F1195" t="s">
        <v>514</v>
      </c>
      <c r="G1195" t="s">
        <v>141</v>
      </c>
      <c r="H1195" s="6">
        <v>439906</v>
      </c>
      <c r="I1195" s="6">
        <v>1.9370943124714379E-3</v>
      </c>
      <c r="J1195" s="6">
        <v>8765.3517639332567</v>
      </c>
      <c r="K1195" s="6">
        <v>1687209.14616262</v>
      </c>
      <c r="M1195" s="6">
        <f t="shared" si="95"/>
        <v>448671.35176393326</v>
      </c>
      <c r="N1195" s="6">
        <f t="shared" si="96"/>
        <v>1687209.14616262</v>
      </c>
      <c r="O1195" s="6">
        <f t="shared" si="97"/>
        <v>2135880.4979265532</v>
      </c>
      <c r="P1195" s="8">
        <f>VLOOKUP(F1195,'LEAID Match'!$A$2:$B$436,2,FALSE)</f>
        <v>1813110</v>
      </c>
      <c r="Q1195" s="6">
        <f t="shared" si="98"/>
        <v>9</v>
      </c>
    </row>
    <row r="1196" spans="1:17" x14ac:dyDescent="0.2">
      <c r="A1196" s="16">
        <f t="shared" si="94"/>
        <v>1813110</v>
      </c>
      <c r="B1196">
        <v>2018</v>
      </c>
      <c r="C1196" t="s">
        <v>904</v>
      </c>
      <c r="D1196" t="s">
        <v>906</v>
      </c>
      <c r="E1196" t="s">
        <v>2102</v>
      </c>
      <c r="F1196" t="s">
        <v>514</v>
      </c>
      <c r="G1196" t="s">
        <v>141</v>
      </c>
      <c r="H1196" s="6">
        <v>452063</v>
      </c>
      <c r="I1196" s="6">
        <v>1.9178188797329193E-3</v>
      </c>
      <c r="J1196" s="6">
        <v>7993.4690907268077</v>
      </c>
      <c r="K1196" s="6">
        <v>1906203</v>
      </c>
      <c r="M1196" s="6">
        <f t="shared" si="95"/>
        <v>460056.46909072681</v>
      </c>
      <c r="N1196" s="6">
        <f t="shared" si="96"/>
        <v>1906203</v>
      </c>
      <c r="O1196" s="6">
        <f t="shared" si="97"/>
        <v>2366259.4690907267</v>
      </c>
      <c r="P1196" s="8">
        <f>VLOOKUP(F1196,'LEAID Match'!$A$2:$B$436,2,FALSE)</f>
        <v>1813110</v>
      </c>
      <c r="Q1196" s="6">
        <f t="shared" si="98"/>
        <v>9</v>
      </c>
    </row>
    <row r="1197" spans="1:17" x14ac:dyDescent="0.2">
      <c r="A1197" s="16">
        <f t="shared" si="94"/>
        <v>1813110</v>
      </c>
      <c r="B1197">
        <v>2019</v>
      </c>
      <c r="C1197" t="s">
        <v>904</v>
      </c>
      <c r="D1197" t="s">
        <v>906</v>
      </c>
      <c r="E1197" t="s">
        <v>2103</v>
      </c>
      <c r="F1197" t="s">
        <v>514</v>
      </c>
      <c r="G1197" t="s">
        <v>141</v>
      </c>
      <c r="H1197" s="6">
        <v>472777</v>
      </c>
      <c r="I1197" s="6">
        <v>1.2027421239269866E-3</v>
      </c>
      <c r="J1197" s="6">
        <v>4215.6111443640884</v>
      </c>
      <c r="K1197" s="6">
        <v>1135268.29077468</v>
      </c>
      <c r="M1197" s="6">
        <f t="shared" si="95"/>
        <v>476992.61114436411</v>
      </c>
      <c r="N1197" s="6">
        <f t="shared" si="96"/>
        <v>1135268.29077468</v>
      </c>
      <c r="O1197" s="6">
        <f t="shared" si="97"/>
        <v>1612260.9019190441</v>
      </c>
      <c r="P1197" s="8">
        <f>VLOOKUP(F1197,'LEAID Match'!$A$2:$B$436,2,FALSE)</f>
        <v>1813110</v>
      </c>
      <c r="Q1197" s="6">
        <f t="shared" si="98"/>
        <v>9</v>
      </c>
    </row>
    <row r="1198" spans="1:17" x14ac:dyDescent="0.2">
      <c r="A1198" s="16">
        <f t="shared" si="94"/>
        <v>1813110</v>
      </c>
      <c r="B1198">
        <v>2020</v>
      </c>
      <c r="C1198" t="s">
        <v>904</v>
      </c>
      <c r="D1198" t="s">
        <v>906</v>
      </c>
      <c r="E1198" t="s">
        <v>2104</v>
      </c>
      <c r="F1198" t="s">
        <v>514</v>
      </c>
      <c r="G1198" t="s">
        <v>141</v>
      </c>
      <c r="H1198" s="6">
        <v>360412</v>
      </c>
      <c r="I1198" s="6">
        <v>1.9097178415892198E-3</v>
      </c>
      <c r="J1198" s="6">
        <v>4499.295234784202</v>
      </c>
      <c r="K1198" s="6">
        <v>2057537</v>
      </c>
      <c r="M1198" s="6">
        <f t="shared" si="95"/>
        <v>364911.29523478419</v>
      </c>
      <c r="N1198" s="6">
        <f t="shared" si="96"/>
        <v>2057537</v>
      </c>
      <c r="O1198" s="6">
        <f t="shared" si="97"/>
        <v>2422448.295234784</v>
      </c>
      <c r="P1198" s="8">
        <f>VLOOKUP(F1198,'LEAID Match'!$A$2:$B$436,2,FALSE)</f>
        <v>1813110</v>
      </c>
      <c r="Q1198" s="6">
        <f t="shared" si="98"/>
        <v>9</v>
      </c>
    </row>
    <row r="1199" spans="1:17" x14ac:dyDescent="0.2">
      <c r="A1199" s="16">
        <f t="shared" si="94"/>
        <v>1813110</v>
      </c>
      <c r="B1199">
        <v>2021</v>
      </c>
      <c r="C1199" t="s">
        <v>904</v>
      </c>
      <c r="D1199" t="s">
        <v>906</v>
      </c>
      <c r="E1199" t="s">
        <v>2105</v>
      </c>
      <c r="F1199" t="s">
        <v>514</v>
      </c>
      <c r="G1199" t="s">
        <v>141</v>
      </c>
      <c r="H1199" s="6">
        <v>375335</v>
      </c>
      <c r="I1199" s="6">
        <v>1.8541898057535177E-3</v>
      </c>
      <c r="J1199" s="6">
        <v>4179.3438221684291</v>
      </c>
      <c r="K1199" s="6">
        <v>3499322</v>
      </c>
      <c r="M1199" s="6">
        <f t="shared" si="95"/>
        <v>379514.34382216842</v>
      </c>
      <c r="N1199" s="6">
        <f t="shared" si="96"/>
        <v>3499322</v>
      </c>
      <c r="O1199" s="6">
        <f t="shared" si="97"/>
        <v>3878836.3438221682</v>
      </c>
      <c r="P1199" s="8">
        <f>VLOOKUP(F1199,'LEAID Match'!$A$2:$B$436,2,FALSE)</f>
        <v>1813110</v>
      </c>
      <c r="Q1199" s="6">
        <f t="shared" si="98"/>
        <v>9</v>
      </c>
    </row>
    <row r="1200" spans="1:17" x14ac:dyDescent="0.2">
      <c r="A1200" s="16">
        <f t="shared" si="94"/>
        <v>1813110</v>
      </c>
      <c r="B1200">
        <v>2022</v>
      </c>
      <c r="C1200" t="s">
        <v>904</v>
      </c>
      <c r="D1200" t="s">
        <v>906</v>
      </c>
      <c r="E1200" t="s">
        <v>2106</v>
      </c>
      <c r="F1200" t="s">
        <v>514</v>
      </c>
      <c r="G1200" t="s">
        <v>141</v>
      </c>
      <c r="H1200" s="6">
        <v>395739</v>
      </c>
      <c r="I1200" s="6">
        <v>1.8790423205425058E-3</v>
      </c>
      <c r="J1200" s="6">
        <v>4143.2883167962254</v>
      </c>
      <c r="K1200" s="6">
        <v>3366561</v>
      </c>
      <c r="M1200" s="6">
        <f t="shared" si="95"/>
        <v>399882.28831679624</v>
      </c>
      <c r="N1200" s="6">
        <f t="shared" si="96"/>
        <v>3366561</v>
      </c>
      <c r="O1200" s="6">
        <f t="shared" si="97"/>
        <v>3766443.2883167961</v>
      </c>
      <c r="P1200" s="8">
        <f>VLOOKUP(F1200,'LEAID Match'!$A$2:$B$436,2,FALSE)</f>
        <v>1813110</v>
      </c>
      <c r="Q1200" s="6">
        <f t="shared" si="98"/>
        <v>9</v>
      </c>
    </row>
    <row r="1201" spans="1:17" x14ac:dyDescent="0.2">
      <c r="A1201" s="16">
        <f t="shared" si="94"/>
        <v>1813110</v>
      </c>
      <c r="B1201">
        <v>2023</v>
      </c>
      <c r="C1201" t="s">
        <v>904</v>
      </c>
      <c r="D1201" t="s">
        <v>906</v>
      </c>
      <c r="E1201" t="s">
        <v>2107</v>
      </c>
      <c r="F1201" t="s">
        <v>514</v>
      </c>
      <c r="G1201" t="s">
        <v>141</v>
      </c>
      <c r="H1201" s="6">
        <v>441737</v>
      </c>
      <c r="I1201" s="6">
        <v>1.8064616164907715E-3</v>
      </c>
      <c r="J1201" s="6">
        <v>4456.5408078827331</v>
      </c>
      <c r="K1201" s="6">
        <v>9558819</v>
      </c>
      <c r="M1201" s="6">
        <f t="shared" si="95"/>
        <v>446193.54080788273</v>
      </c>
      <c r="N1201" s="6">
        <f t="shared" si="96"/>
        <v>9558819</v>
      </c>
      <c r="O1201" s="6">
        <f t="shared" si="97"/>
        <v>10005012.540807882</v>
      </c>
      <c r="P1201" s="8">
        <f>VLOOKUP(F1201,'LEAID Match'!$A$2:$B$436,2,FALSE)</f>
        <v>1813110</v>
      </c>
      <c r="Q1201" s="6">
        <f t="shared" si="98"/>
        <v>9</v>
      </c>
    </row>
    <row r="1202" spans="1:17" x14ac:dyDescent="0.2">
      <c r="A1202" s="16">
        <f t="shared" si="94"/>
        <v>1804620</v>
      </c>
      <c r="B1202">
        <v>2015</v>
      </c>
      <c r="C1202" t="s">
        <v>904</v>
      </c>
      <c r="D1202" t="s">
        <v>906</v>
      </c>
      <c r="E1202" t="s">
        <v>2108</v>
      </c>
      <c r="F1202" t="s">
        <v>704</v>
      </c>
      <c r="G1202" t="s">
        <v>142</v>
      </c>
      <c r="H1202" s="6">
        <v>260143</v>
      </c>
      <c r="I1202" s="6">
        <v>1.2649992022729071E-3</v>
      </c>
      <c r="J1202" s="6">
        <v>7350.9103644078632</v>
      </c>
      <c r="K1202" s="6">
        <v>1069703.5654292</v>
      </c>
      <c r="M1202" s="6">
        <f t="shared" si="95"/>
        <v>267493.91036440787</v>
      </c>
      <c r="N1202" s="6">
        <f t="shared" si="96"/>
        <v>1069703.5654292</v>
      </c>
      <c r="O1202" s="6">
        <f t="shared" si="97"/>
        <v>1337197.4757936078</v>
      </c>
      <c r="P1202" s="8">
        <f>VLOOKUP(F1202,'LEAID Match'!$A$2:$B$436,2,FALSE)</f>
        <v>1804620</v>
      </c>
      <c r="Q1202" s="6">
        <f t="shared" si="98"/>
        <v>9</v>
      </c>
    </row>
    <row r="1203" spans="1:17" x14ac:dyDescent="0.2">
      <c r="A1203" s="16">
        <f t="shared" si="94"/>
        <v>1804620</v>
      </c>
      <c r="B1203">
        <v>2016</v>
      </c>
      <c r="C1203" t="s">
        <v>904</v>
      </c>
      <c r="D1203" t="s">
        <v>906</v>
      </c>
      <c r="E1203" t="s">
        <v>2109</v>
      </c>
      <c r="F1203" t="s">
        <v>704</v>
      </c>
      <c r="G1203" t="s">
        <v>142</v>
      </c>
      <c r="H1203" s="6">
        <v>275208</v>
      </c>
      <c r="I1203" s="6">
        <v>1.2769989200160546E-3</v>
      </c>
      <c r="J1203" s="6">
        <v>6446.2905482410433</v>
      </c>
      <c r="K1203" s="6">
        <v>1133336.54151424</v>
      </c>
      <c r="M1203" s="6">
        <f t="shared" si="95"/>
        <v>281654.29054824106</v>
      </c>
      <c r="N1203" s="6">
        <f t="shared" si="96"/>
        <v>1133336.54151424</v>
      </c>
      <c r="O1203" s="6">
        <f t="shared" si="97"/>
        <v>1414990.832062481</v>
      </c>
      <c r="P1203" s="8">
        <f>VLOOKUP(F1203,'LEAID Match'!$A$2:$B$436,2,FALSE)</f>
        <v>1804620</v>
      </c>
      <c r="Q1203" s="6">
        <f t="shared" si="98"/>
        <v>9</v>
      </c>
    </row>
    <row r="1204" spans="1:17" x14ac:dyDescent="0.2">
      <c r="A1204" s="16">
        <f t="shared" si="94"/>
        <v>1804620</v>
      </c>
      <c r="B1204">
        <v>2017</v>
      </c>
      <c r="C1204" t="s">
        <v>904</v>
      </c>
      <c r="D1204" t="s">
        <v>906</v>
      </c>
      <c r="E1204" t="s">
        <v>2110</v>
      </c>
      <c r="F1204" t="s">
        <v>704</v>
      </c>
      <c r="G1204" t="s">
        <v>142</v>
      </c>
      <c r="H1204" s="6">
        <v>330189</v>
      </c>
      <c r="I1204" s="6">
        <v>1.4539634238692621E-3</v>
      </c>
      <c r="J1204" s="6">
        <v>6579.1844930084108</v>
      </c>
      <c r="K1204" s="6">
        <v>1266402.14219012</v>
      </c>
      <c r="M1204" s="6">
        <f t="shared" si="95"/>
        <v>336768.18449300842</v>
      </c>
      <c r="N1204" s="6">
        <f t="shared" si="96"/>
        <v>1266402.14219012</v>
      </c>
      <c r="O1204" s="6">
        <f t="shared" si="97"/>
        <v>1603170.3266831283</v>
      </c>
      <c r="P1204" s="8">
        <f>VLOOKUP(F1204,'LEAID Match'!$A$2:$B$436,2,FALSE)</f>
        <v>1804620</v>
      </c>
      <c r="Q1204" s="6">
        <f t="shared" si="98"/>
        <v>9</v>
      </c>
    </row>
    <row r="1205" spans="1:17" x14ac:dyDescent="0.2">
      <c r="A1205" s="16">
        <f t="shared" si="94"/>
        <v>1804620</v>
      </c>
      <c r="B1205">
        <v>2018</v>
      </c>
      <c r="C1205" t="s">
        <v>904</v>
      </c>
      <c r="D1205" t="s">
        <v>906</v>
      </c>
      <c r="E1205" t="s">
        <v>2111</v>
      </c>
      <c r="F1205" t="s">
        <v>704</v>
      </c>
      <c r="G1205" t="s">
        <v>142</v>
      </c>
      <c r="H1205" s="6">
        <v>357105</v>
      </c>
      <c r="I1205" s="6">
        <v>1.5149718314638096E-3</v>
      </c>
      <c r="J1205" s="6">
        <v>6314.4025935411582</v>
      </c>
      <c r="K1205" s="6">
        <v>1114698</v>
      </c>
      <c r="M1205" s="6">
        <f t="shared" si="95"/>
        <v>363419.40259354113</v>
      </c>
      <c r="N1205" s="6">
        <f t="shared" si="96"/>
        <v>1114698</v>
      </c>
      <c r="O1205" s="6">
        <f t="shared" si="97"/>
        <v>1478117.4025935412</v>
      </c>
      <c r="P1205" s="8">
        <f>VLOOKUP(F1205,'LEAID Match'!$A$2:$B$436,2,FALSE)</f>
        <v>1804620</v>
      </c>
      <c r="Q1205" s="6">
        <f t="shared" si="98"/>
        <v>9</v>
      </c>
    </row>
    <row r="1206" spans="1:17" x14ac:dyDescent="0.2">
      <c r="A1206" s="16">
        <f t="shared" si="94"/>
        <v>1804620</v>
      </c>
      <c r="B1206">
        <v>2019</v>
      </c>
      <c r="C1206" t="s">
        <v>904</v>
      </c>
      <c r="D1206" t="s">
        <v>906</v>
      </c>
      <c r="E1206" t="s">
        <v>2112</v>
      </c>
      <c r="F1206" t="s">
        <v>704</v>
      </c>
      <c r="G1206" t="s">
        <v>142</v>
      </c>
      <c r="H1206" s="6">
        <v>374661</v>
      </c>
      <c r="I1206" s="6">
        <v>9.5313555205225452E-4</v>
      </c>
      <c r="J1206" s="6">
        <v>3340.7401099431522</v>
      </c>
      <c r="K1206" s="6">
        <v>899664.64758212306</v>
      </c>
      <c r="M1206" s="6">
        <f t="shared" si="95"/>
        <v>378001.74010994314</v>
      </c>
      <c r="N1206" s="6">
        <f t="shared" si="96"/>
        <v>899664.64758212306</v>
      </c>
      <c r="O1206" s="6">
        <f t="shared" si="97"/>
        <v>1277666.3876920661</v>
      </c>
      <c r="P1206" s="8">
        <f>VLOOKUP(F1206,'LEAID Match'!$A$2:$B$436,2,FALSE)</f>
        <v>1804620</v>
      </c>
      <c r="Q1206" s="6">
        <f t="shared" si="98"/>
        <v>9</v>
      </c>
    </row>
    <row r="1207" spans="1:17" x14ac:dyDescent="0.2">
      <c r="A1207" s="16">
        <f t="shared" si="94"/>
        <v>1804620</v>
      </c>
      <c r="B1207">
        <v>2020</v>
      </c>
      <c r="C1207" t="s">
        <v>904</v>
      </c>
      <c r="D1207" t="s">
        <v>906</v>
      </c>
      <c r="E1207" t="s">
        <v>2113</v>
      </c>
      <c r="F1207" t="s">
        <v>704</v>
      </c>
      <c r="G1207" t="s">
        <v>142</v>
      </c>
      <c r="H1207" s="6">
        <v>280852</v>
      </c>
      <c r="I1207" s="6">
        <v>1.4881526565320121E-3</v>
      </c>
      <c r="J1207" s="6">
        <v>3506.0876587894204</v>
      </c>
      <c r="K1207" s="6">
        <v>1202359</v>
      </c>
      <c r="M1207" s="6">
        <f t="shared" si="95"/>
        <v>284358.08765878942</v>
      </c>
      <c r="N1207" s="6">
        <f t="shared" si="96"/>
        <v>1202359</v>
      </c>
      <c r="O1207" s="6">
        <f t="shared" si="97"/>
        <v>1486717.0876587895</v>
      </c>
      <c r="P1207" s="8">
        <f>VLOOKUP(F1207,'LEAID Match'!$A$2:$B$436,2,FALSE)</f>
        <v>1804620</v>
      </c>
      <c r="Q1207" s="6">
        <f t="shared" si="98"/>
        <v>9</v>
      </c>
    </row>
    <row r="1208" spans="1:17" x14ac:dyDescent="0.2">
      <c r="A1208" s="16">
        <f t="shared" si="94"/>
        <v>1804620</v>
      </c>
      <c r="B1208">
        <v>2021</v>
      </c>
      <c r="C1208" t="s">
        <v>904</v>
      </c>
      <c r="D1208" t="s">
        <v>906</v>
      </c>
      <c r="E1208" t="s">
        <v>2114</v>
      </c>
      <c r="F1208" t="s">
        <v>704</v>
      </c>
      <c r="G1208" t="s">
        <v>142</v>
      </c>
      <c r="H1208" s="6">
        <v>277451</v>
      </c>
      <c r="I1208" s="6">
        <v>1.3706337426462208E-3</v>
      </c>
      <c r="J1208" s="6">
        <v>3089.4084559245816</v>
      </c>
      <c r="K1208" s="6">
        <v>1986301</v>
      </c>
      <c r="M1208" s="6">
        <f t="shared" si="95"/>
        <v>280540.4084559246</v>
      </c>
      <c r="N1208" s="6">
        <f t="shared" si="96"/>
        <v>1986301</v>
      </c>
      <c r="O1208" s="6">
        <f t="shared" si="97"/>
        <v>2266841.4084559246</v>
      </c>
      <c r="P1208" s="8">
        <f>VLOOKUP(F1208,'LEAID Match'!$A$2:$B$436,2,FALSE)</f>
        <v>1804620</v>
      </c>
      <c r="Q1208" s="6">
        <f t="shared" si="98"/>
        <v>9</v>
      </c>
    </row>
    <row r="1209" spans="1:17" x14ac:dyDescent="0.2">
      <c r="A1209" s="16">
        <f t="shared" si="94"/>
        <v>1804620</v>
      </c>
      <c r="B1209">
        <v>2022</v>
      </c>
      <c r="C1209" t="s">
        <v>904</v>
      </c>
      <c r="D1209" t="s">
        <v>906</v>
      </c>
      <c r="E1209" t="s">
        <v>2115</v>
      </c>
      <c r="F1209" t="s">
        <v>704</v>
      </c>
      <c r="G1209" t="s">
        <v>142</v>
      </c>
      <c r="H1209" s="6">
        <v>304678</v>
      </c>
      <c r="I1209" s="6">
        <v>1.4466677687522574E-3</v>
      </c>
      <c r="J1209" s="6">
        <v>3189.9024300987276</v>
      </c>
      <c r="K1209" s="6">
        <v>2020650</v>
      </c>
      <c r="M1209" s="6">
        <f t="shared" si="95"/>
        <v>307867.90243009874</v>
      </c>
      <c r="N1209" s="6">
        <f t="shared" si="96"/>
        <v>2020650</v>
      </c>
      <c r="O1209" s="6">
        <f t="shared" si="97"/>
        <v>2328517.9024300985</v>
      </c>
      <c r="P1209" s="8">
        <f>VLOOKUP(F1209,'LEAID Match'!$A$2:$B$436,2,FALSE)</f>
        <v>1804620</v>
      </c>
      <c r="Q1209" s="6">
        <f t="shared" si="98"/>
        <v>9</v>
      </c>
    </row>
    <row r="1210" spans="1:17" x14ac:dyDescent="0.2">
      <c r="A1210" s="16">
        <f t="shared" si="94"/>
        <v>1804620</v>
      </c>
      <c r="B1210">
        <v>2023</v>
      </c>
      <c r="C1210" t="s">
        <v>904</v>
      </c>
      <c r="D1210" t="s">
        <v>906</v>
      </c>
      <c r="E1210" t="s">
        <v>2116</v>
      </c>
      <c r="F1210" t="s">
        <v>704</v>
      </c>
      <c r="G1210" t="s">
        <v>142</v>
      </c>
      <c r="H1210" s="6">
        <v>351492</v>
      </c>
      <c r="I1210" s="6">
        <v>1.4374091518337252E-3</v>
      </c>
      <c r="J1210" s="6">
        <v>3546.0883775738002</v>
      </c>
      <c r="K1210" s="6">
        <v>5461033</v>
      </c>
      <c r="M1210" s="6">
        <f t="shared" si="95"/>
        <v>355038.08837757382</v>
      </c>
      <c r="N1210" s="6">
        <f t="shared" si="96"/>
        <v>5461033</v>
      </c>
      <c r="O1210" s="6">
        <f t="shared" si="97"/>
        <v>5816071.0883775735</v>
      </c>
      <c r="P1210" s="8">
        <f>VLOOKUP(F1210,'LEAID Match'!$A$2:$B$436,2,FALSE)</f>
        <v>1804620</v>
      </c>
      <c r="Q1210" s="6">
        <f t="shared" si="98"/>
        <v>9</v>
      </c>
    </row>
    <row r="1211" spans="1:17" x14ac:dyDescent="0.2">
      <c r="A1211" s="16">
        <f t="shared" si="94"/>
        <v>1802880</v>
      </c>
      <c r="B1211">
        <v>2015</v>
      </c>
      <c r="C1211" t="s">
        <v>904</v>
      </c>
      <c r="D1211" t="s">
        <v>906</v>
      </c>
      <c r="E1211" t="s">
        <v>2117</v>
      </c>
      <c r="F1211" t="s">
        <v>515</v>
      </c>
      <c r="G1211" t="s">
        <v>143</v>
      </c>
      <c r="H1211" s="6">
        <v>900967</v>
      </c>
      <c r="I1211" s="6">
        <v>4.3811385902146676E-3</v>
      </c>
      <c r="J1211" s="6">
        <v>25458.796347737432</v>
      </c>
      <c r="K1211" s="6">
        <v>3704760.8901029602</v>
      </c>
      <c r="M1211" s="6">
        <f t="shared" si="95"/>
        <v>926425.79634773743</v>
      </c>
      <c r="N1211" s="6">
        <f t="shared" si="96"/>
        <v>3704760.8901029602</v>
      </c>
      <c r="O1211" s="6">
        <f t="shared" si="97"/>
        <v>4631186.6864506975</v>
      </c>
      <c r="P1211" s="8">
        <f>VLOOKUP(F1211,'LEAID Match'!$A$2:$B$436,2,FALSE)</f>
        <v>1802880</v>
      </c>
      <c r="Q1211" s="6">
        <f t="shared" si="98"/>
        <v>9</v>
      </c>
    </row>
    <row r="1212" spans="1:17" x14ac:dyDescent="0.2">
      <c r="A1212" s="16">
        <f t="shared" si="94"/>
        <v>1802880</v>
      </c>
      <c r="B1212">
        <v>2016</v>
      </c>
      <c r="C1212" t="s">
        <v>904</v>
      </c>
      <c r="D1212" t="s">
        <v>906</v>
      </c>
      <c r="E1212" t="s">
        <v>2118</v>
      </c>
      <c r="F1212" t="s">
        <v>515</v>
      </c>
      <c r="G1212" t="s">
        <v>143</v>
      </c>
      <c r="H1212" s="6">
        <v>884596</v>
      </c>
      <c r="I1212" s="6">
        <v>4.1046340827683853E-3</v>
      </c>
      <c r="J1212" s="6">
        <v>20720.192849814808</v>
      </c>
      <c r="K1212" s="6">
        <v>3642862.7484569401</v>
      </c>
      <c r="M1212" s="6">
        <f t="shared" si="95"/>
        <v>905316.19284981478</v>
      </c>
      <c r="N1212" s="6">
        <f t="shared" si="96"/>
        <v>3642862.7484569401</v>
      </c>
      <c r="O1212" s="6">
        <f t="shared" si="97"/>
        <v>4548178.9413067549</v>
      </c>
      <c r="P1212" s="8">
        <f>VLOOKUP(F1212,'LEAID Match'!$A$2:$B$436,2,FALSE)</f>
        <v>1802880</v>
      </c>
      <c r="Q1212" s="6">
        <f t="shared" si="98"/>
        <v>9</v>
      </c>
    </row>
    <row r="1213" spans="1:17" x14ac:dyDescent="0.2">
      <c r="A1213" s="16">
        <f t="shared" si="94"/>
        <v>1802880</v>
      </c>
      <c r="B1213">
        <v>2017</v>
      </c>
      <c r="C1213" t="s">
        <v>904</v>
      </c>
      <c r="D1213" t="s">
        <v>906</v>
      </c>
      <c r="E1213" t="s">
        <v>2119</v>
      </c>
      <c r="F1213" t="s">
        <v>515</v>
      </c>
      <c r="G1213" t="s">
        <v>143</v>
      </c>
      <c r="H1213" s="6">
        <v>976566</v>
      </c>
      <c r="I1213" s="6">
        <v>4.3002378788945415E-3</v>
      </c>
      <c r="J1213" s="6">
        <v>19458.576401997801</v>
      </c>
      <c r="K1213" s="6">
        <v>3745507.1925171399</v>
      </c>
      <c r="M1213" s="6">
        <f t="shared" si="95"/>
        <v>996024.57640199782</v>
      </c>
      <c r="N1213" s="6">
        <f t="shared" si="96"/>
        <v>3745507.1925171399</v>
      </c>
      <c r="O1213" s="6">
        <f t="shared" si="97"/>
        <v>4741531.7689191382</v>
      </c>
      <c r="P1213" s="8">
        <f>VLOOKUP(F1213,'LEAID Match'!$A$2:$B$436,2,FALSE)</f>
        <v>1802880</v>
      </c>
      <c r="Q1213" s="6">
        <f t="shared" si="98"/>
        <v>9</v>
      </c>
    </row>
    <row r="1214" spans="1:17" x14ac:dyDescent="0.2">
      <c r="A1214" s="16">
        <f t="shared" si="94"/>
        <v>1802880</v>
      </c>
      <c r="B1214">
        <v>2018</v>
      </c>
      <c r="C1214" t="s">
        <v>904</v>
      </c>
      <c r="D1214" t="s">
        <v>906</v>
      </c>
      <c r="E1214" t="s">
        <v>2120</v>
      </c>
      <c r="F1214" t="s">
        <v>515</v>
      </c>
      <c r="G1214" t="s">
        <v>143</v>
      </c>
      <c r="H1214" s="6">
        <v>907067</v>
      </c>
      <c r="I1214" s="6">
        <v>3.8481145720457104E-3</v>
      </c>
      <c r="J1214" s="6">
        <v>16038.94153628652</v>
      </c>
      <c r="K1214" s="6">
        <v>6483954</v>
      </c>
      <c r="M1214" s="6">
        <f t="shared" si="95"/>
        <v>923105.9415362865</v>
      </c>
      <c r="N1214" s="6">
        <f t="shared" si="96"/>
        <v>6483954</v>
      </c>
      <c r="O1214" s="6">
        <f t="shared" si="97"/>
        <v>7407059.9415362868</v>
      </c>
      <c r="P1214" s="8">
        <f>VLOOKUP(F1214,'LEAID Match'!$A$2:$B$436,2,FALSE)</f>
        <v>1802880</v>
      </c>
      <c r="Q1214" s="6">
        <f t="shared" si="98"/>
        <v>9</v>
      </c>
    </row>
    <row r="1215" spans="1:17" x14ac:dyDescent="0.2">
      <c r="A1215" s="16">
        <f t="shared" si="94"/>
        <v>1802880</v>
      </c>
      <c r="B1215">
        <v>2019</v>
      </c>
      <c r="C1215" t="s">
        <v>904</v>
      </c>
      <c r="D1215" t="s">
        <v>906</v>
      </c>
      <c r="E1215" t="s">
        <v>2121</v>
      </c>
      <c r="F1215" t="s">
        <v>515</v>
      </c>
      <c r="G1215" t="s">
        <v>143</v>
      </c>
      <c r="H1215" s="6">
        <v>960094</v>
      </c>
      <c r="I1215" s="6">
        <v>2.4424739289972998E-3</v>
      </c>
      <c r="J1215" s="6">
        <v>8560.8711211355348</v>
      </c>
      <c r="K1215" s="6">
        <v>2305451.14158055</v>
      </c>
      <c r="M1215" s="6">
        <f t="shared" si="95"/>
        <v>968654.87112113554</v>
      </c>
      <c r="N1215" s="6">
        <f t="shared" si="96"/>
        <v>2305451.14158055</v>
      </c>
      <c r="O1215" s="6">
        <f t="shared" si="97"/>
        <v>3274106.0127016855</v>
      </c>
      <c r="P1215" s="8">
        <f>VLOOKUP(F1215,'LEAID Match'!$A$2:$B$436,2,FALSE)</f>
        <v>1802880</v>
      </c>
      <c r="Q1215" s="6">
        <f t="shared" si="98"/>
        <v>9</v>
      </c>
    </row>
    <row r="1216" spans="1:17" x14ac:dyDescent="0.2">
      <c r="A1216" s="16">
        <f t="shared" si="94"/>
        <v>1802880</v>
      </c>
      <c r="B1216">
        <v>2020</v>
      </c>
      <c r="C1216" t="s">
        <v>904</v>
      </c>
      <c r="D1216" t="s">
        <v>906</v>
      </c>
      <c r="E1216" t="s">
        <v>2122</v>
      </c>
      <c r="F1216" t="s">
        <v>515</v>
      </c>
      <c r="G1216" t="s">
        <v>143</v>
      </c>
      <c r="H1216" s="6">
        <v>708797</v>
      </c>
      <c r="I1216" s="6">
        <v>3.7557081256032378E-3</v>
      </c>
      <c r="J1216" s="6">
        <v>8848.448343921229</v>
      </c>
      <c r="K1216" s="6">
        <v>6717126</v>
      </c>
      <c r="M1216" s="6">
        <f t="shared" si="95"/>
        <v>717645.44834392122</v>
      </c>
      <c r="N1216" s="6">
        <f t="shared" si="96"/>
        <v>6717126</v>
      </c>
      <c r="O1216" s="6">
        <f t="shared" si="97"/>
        <v>7434771.4483439215</v>
      </c>
      <c r="P1216" s="8">
        <f>VLOOKUP(F1216,'LEAID Match'!$A$2:$B$436,2,FALSE)</f>
        <v>1802880</v>
      </c>
      <c r="Q1216" s="6">
        <f t="shared" si="98"/>
        <v>9</v>
      </c>
    </row>
    <row r="1217" spans="1:17" x14ac:dyDescent="0.2">
      <c r="A1217" s="16">
        <f t="shared" si="94"/>
        <v>1802880</v>
      </c>
      <c r="B1217">
        <v>2021</v>
      </c>
      <c r="C1217" t="s">
        <v>904</v>
      </c>
      <c r="D1217" t="s">
        <v>906</v>
      </c>
      <c r="E1217" t="s">
        <v>2123</v>
      </c>
      <c r="F1217" t="s">
        <v>515</v>
      </c>
      <c r="G1217" t="s">
        <v>143</v>
      </c>
      <c r="H1217" s="6">
        <v>729691</v>
      </c>
      <c r="I1217" s="6">
        <v>3.604741400482476E-3</v>
      </c>
      <c r="J1217" s="6">
        <v>8125.0871166875013</v>
      </c>
      <c r="K1217" s="6">
        <v>10710072</v>
      </c>
      <c r="M1217" s="6">
        <f t="shared" si="95"/>
        <v>737816.08711668756</v>
      </c>
      <c r="N1217" s="6">
        <f t="shared" si="96"/>
        <v>10710072</v>
      </c>
      <c r="O1217" s="6">
        <f t="shared" si="97"/>
        <v>11447888.087116688</v>
      </c>
      <c r="P1217" s="8">
        <f>VLOOKUP(F1217,'LEAID Match'!$A$2:$B$436,2,FALSE)</f>
        <v>1802880</v>
      </c>
      <c r="Q1217" s="6">
        <f t="shared" si="98"/>
        <v>9</v>
      </c>
    </row>
    <row r="1218" spans="1:17" x14ac:dyDescent="0.2">
      <c r="A1218" s="16">
        <f t="shared" si="94"/>
        <v>1802880</v>
      </c>
      <c r="B1218">
        <v>2022</v>
      </c>
      <c r="C1218" t="s">
        <v>904</v>
      </c>
      <c r="D1218" t="s">
        <v>906</v>
      </c>
      <c r="E1218" t="s">
        <v>2124</v>
      </c>
      <c r="F1218" t="s">
        <v>515</v>
      </c>
      <c r="G1218" t="s">
        <v>143</v>
      </c>
      <c r="H1218" s="6">
        <v>754197</v>
      </c>
      <c r="I1218" s="6">
        <v>3.5810675243688295E-3</v>
      </c>
      <c r="J1218" s="6">
        <v>7896.2538912332693</v>
      </c>
      <c r="K1218" s="6">
        <v>10375191</v>
      </c>
      <c r="M1218" s="6">
        <f t="shared" si="95"/>
        <v>762093.25389123324</v>
      </c>
      <c r="N1218" s="6">
        <f t="shared" si="96"/>
        <v>10375191</v>
      </c>
      <c r="O1218" s="6">
        <f t="shared" si="97"/>
        <v>11137284.253891233</v>
      </c>
      <c r="P1218" s="8">
        <f>VLOOKUP(F1218,'LEAID Match'!$A$2:$B$436,2,FALSE)</f>
        <v>1802880</v>
      </c>
      <c r="Q1218" s="6">
        <f t="shared" si="98"/>
        <v>9</v>
      </c>
    </row>
    <row r="1219" spans="1:17" x14ac:dyDescent="0.2">
      <c r="A1219" s="16">
        <f t="shared" ref="A1219:A1282" si="99">P1219</f>
        <v>1802880</v>
      </c>
      <c r="B1219">
        <v>2023</v>
      </c>
      <c r="C1219" t="s">
        <v>904</v>
      </c>
      <c r="D1219" t="s">
        <v>906</v>
      </c>
      <c r="E1219" t="s">
        <v>2125</v>
      </c>
      <c r="F1219" t="s">
        <v>515</v>
      </c>
      <c r="G1219" t="s">
        <v>143</v>
      </c>
      <c r="H1219" s="6">
        <v>809270</v>
      </c>
      <c r="I1219" s="6">
        <v>3.3094696445565724E-3</v>
      </c>
      <c r="J1219" s="6">
        <v>8164.4616131210641</v>
      </c>
      <c r="K1219" s="6">
        <v>25193168</v>
      </c>
      <c r="M1219" s="6">
        <f t="shared" ref="M1219:M1282" si="100">SUM(H1219,J1219)</f>
        <v>817434.46161312109</v>
      </c>
      <c r="N1219" s="6">
        <f t="shared" ref="N1219:N1282" si="101">K1219</f>
        <v>25193168</v>
      </c>
      <c r="O1219" s="6">
        <f t="shared" ref="O1219:O1282" si="102">SUM(M1219:N1219)</f>
        <v>26010602.461613122</v>
      </c>
      <c r="P1219" s="8">
        <f>VLOOKUP(F1219,'LEAID Match'!$A$2:$B$436,2,FALSE)</f>
        <v>1802880</v>
      </c>
      <c r="Q1219" s="6">
        <f t="shared" ref="Q1219:Q1282" si="103">COUNTIF($P$2:$P$3691,P1219)</f>
        <v>9</v>
      </c>
    </row>
    <row r="1220" spans="1:17" x14ac:dyDescent="0.2">
      <c r="A1220" s="16">
        <f t="shared" si="99"/>
        <v>1802910</v>
      </c>
      <c r="B1220">
        <v>2015</v>
      </c>
      <c r="C1220" t="s">
        <v>904</v>
      </c>
      <c r="D1220" t="s">
        <v>906</v>
      </c>
      <c r="E1220" t="s">
        <v>2126</v>
      </c>
      <c r="F1220" t="s">
        <v>705</v>
      </c>
      <c r="G1220" t="s">
        <v>144</v>
      </c>
      <c r="H1220" s="6">
        <v>258733</v>
      </c>
      <c r="I1220" s="6">
        <v>1.2581427853206738E-3</v>
      </c>
      <c r="J1220" s="6">
        <v>7311.0677254984357</v>
      </c>
      <c r="K1220" s="6">
        <v>1063905.6695517199</v>
      </c>
      <c r="M1220" s="6">
        <f t="shared" si="100"/>
        <v>266044.06772549846</v>
      </c>
      <c r="N1220" s="6">
        <f t="shared" si="101"/>
        <v>1063905.6695517199</v>
      </c>
      <c r="O1220" s="6">
        <f t="shared" si="102"/>
        <v>1329949.7372772184</v>
      </c>
      <c r="P1220" s="8">
        <f>VLOOKUP(F1220,'LEAID Match'!$A$2:$B$436,2,FALSE)</f>
        <v>1802910</v>
      </c>
      <c r="Q1220" s="6">
        <f t="shared" si="103"/>
        <v>9</v>
      </c>
    </row>
    <row r="1221" spans="1:17" x14ac:dyDescent="0.2">
      <c r="A1221" s="16">
        <f t="shared" si="99"/>
        <v>1802910</v>
      </c>
      <c r="B1221">
        <v>2016</v>
      </c>
      <c r="C1221" t="s">
        <v>904</v>
      </c>
      <c r="D1221" t="s">
        <v>906</v>
      </c>
      <c r="E1221" t="s">
        <v>2127</v>
      </c>
      <c r="F1221" t="s">
        <v>705</v>
      </c>
      <c r="G1221" t="s">
        <v>144</v>
      </c>
      <c r="H1221" s="6">
        <v>225495</v>
      </c>
      <c r="I1221" s="6">
        <v>1.046324494451543E-3</v>
      </c>
      <c r="J1221" s="6">
        <v>5281.8460479913892</v>
      </c>
      <c r="K1221" s="6">
        <v>928612.98882574402</v>
      </c>
      <c r="M1221" s="6">
        <f t="shared" si="100"/>
        <v>230776.84604799139</v>
      </c>
      <c r="N1221" s="6">
        <f t="shared" si="101"/>
        <v>928612.98882574402</v>
      </c>
      <c r="O1221" s="6">
        <f t="shared" si="102"/>
        <v>1159389.8348737354</v>
      </c>
      <c r="P1221" s="8">
        <f>VLOOKUP(F1221,'LEAID Match'!$A$2:$B$436,2,FALSE)</f>
        <v>1802910</v>
      </c>
      <c r="Q1221" s="6">
        <f t="shared" si="103"/>
        <v>9</v>
      </c>
    </row>
    <row r="1222" spans="1:17" x14ac:dyDescent="0.2">
      <c r="A1222" s="16">
        <f t="shared" si="99"/>
        <v>1802910</v>
      </c>
      <c r="B1222">
        <v>2017</v>
      </c>
      <c r="C1222" t="s">
        <v>904</v>
      </c>
      <c r="D1222" t="s">
        <v>906</v>
      </c>
      <c r="E1222" t="s">
        <v>2128</v>
      </c>
      <c r="F1222" t="s">
        <v>705</v>
      </c>
      <c r="G1222" t="s">
        <v>144</v>
      </c>
      <c r="H1222" s="6">
        <v>227736</v>
      </c>
      <c r="I1222" s="6">
        <v>1.0028190348506168E-3</v>
      </c>
      <c r="J1222" s="6">
        <v>4537.7561326990408</v>
      </c>
      <c r="K1222" s="6">
        <v>873455.37935488694</v>
      </c>
      <c r="M1222" s="6">
        <f t="shared" si="100"/>
        <v>232273.75613269905</v>
      </c>
      <c r="N1222" s="6">
        <f t="shared" si="101"/>
        <v>873455.37935488694</v>
      </c>
      <c r="O1222" s="6">
        <f t="shared" si="102"/>
        <v>1105729.135487586</v>
      </c>
      <c r="P1222" s="8">
        <f>VLOOKUP(F1222,'LEAID Match'!$A$2:$B$436,2,FALSE)</f>
        <v>1802910</v>
      </c>
      <c r="Q1222" s="6">
        <f t="shared" si="103"/>
        <v>9</v>
      </c>
    </row>
    <row r="1223" spans="1:17" x14ac:dyDescent="0.2">
      <c r="A1223" s="16">
        <f t="shared" si="99"/>
        <v>1802910</v>
      </c>
      <c r="B1223">
        <v>2018</v>
      </c>
      <c r="C1223" t="s">
        <v>904</v>
      </c>
      <c r="D1223" t="s">
        <v>906</v>
      </c>
      <c r="E1223" t="s">
        <v>2129</v>
      </c>
      <c r="F1223" t="s">
        <v>705</v>
      </c>
      <c r="G1223" t="s">
        <v>144</v>
      </c>
      <c r="H1223" s="6">
        <v>198976</v>
      </c>
      <c r="I1223" s="6">
        <v>8.4412997616203347E-4</v>
      </c>
      <c r="J1223" s="6">
        <v>3518.3337406433557</v>
      </c>
      <c r="K1223" s="6">
        <v>1115432</v>
      </c>
      <c r="M1223" s="6">
        <f t="shared" si="100"/>
        <v>202494.33374064334</v>
      </c>
      <c r="N1223" s="6">
        <f t="shared" si="101"/>
        <v>1115432</v>
      </c>
      <c r="O1223" s="6">
        <f t="shared" si="102"/>
        <v>1317926.3337406432</v>
      </c>
      <c r="P1223" s="8">
        <f>VLOOKUP(F1223,'LEAID Match'!$A$2:$B$436,2,FALSE)</f>
        <v>1802910</v>
      </c>
      <c r="Q1223" s="6">
        <f t="shared" si="103"/>
        <v>9</v>
      </c>
    </row>
    <row r="1224" spans="1:17" x14ac:dyDescent="0.2">
      <c r="A1224" s="16">
        <f t="shared" si="99"/>
        <v>1802910</v>
      </c>
      <c r="B1224">
        <v>2019</v>
      </c>
      <c r="C1224" t="s">
        <v>904</v>
      </c>
      <c r="D1224" t="s">
        <v>906</v>
      </c>
      <c r="E1224" t="s">
        <v>2130</v>
      </c>
      <c r="F1224" t="s">
        <v>705</v>
      </c>
      <c r="G1224" t="s">
        <v>144</v>
      </c>
      <c r="H1224" s="6">
        <v>227216</v>
      </c>
      <c r="I1224" s="6">
        <v>5.7803627170990596E-4</v>
      </c>
      <c r="J1224" s="6">
        <v>2026.0171323432205</v>
      </c>
      <c r="K1224" s="6">
        <v>545608.43686698005</v>
      </c>
      <c r="M1224" s="6">
        <f t="shared" si="100"/>
        <v>229242.01713234323</v>
      </c>
      <c r="N1224" s="6">
        <f t="shared" si="101"/>
        <v>545608.43686698005</v>
      </c>
      <c r="O1224" s="6">
        <f t="shared" si="102"/>
        <v>774850.4539993233</v>
      </c>
      <c r="P1224" s="8">
        <f>VLOOKUP(F1224,'LEAID Match'!$A$2:$B$436,2,FALSE)</f>
        <v>1802910</v>
      </c>
      <c r="Q1224" s="6">
        <f t="shared" si="103"/>
        <v>9</v>
      </c>
    </row>
    <row r="1225" spans="1:17" x14ac:dyDescent="0.2">
      <c r="A1225" s="16">
        <f t="shared" si="99"/>
        <v>1802910</v>
      </c>
      <c r="B1225">
        <v>2020</v>
      </c>
      <c r="C1225" t="s">
        <v>904</v>
      </c>
      <c r="D1225" t="s">
        <v>906</v>
      </c>
      <c r="E1225" t="s">
        <v>2131</v>
      </c>
      <c r="F1225" t="s">
        <v>705</v>
      </c>
      <c r="G1225" t="s">
        <v>144</v>
      </c>
      <c r="H1225" s="6">
        <v>179854</v>
      </c>
      <c r="I1225" s="6">
        <v>9.5299377568224019E-4</v>
      </c>
      <c r="J1225" s="6">
        <v>2245.2533355073579</v>
      </c>
      <c r="K1225" s="6">
        <v>1237805</v>
      </c>
      <c r="M1225" s="6">
        <f t="shared" si="100"/>
        <v>182099.25333550735</v>
      </c>
      <c r="N1225" s="6">
        <f t="shared" si="101"/>
        <v>1237805</v>
      </c>
      <c r="O1225" s="6">
        <f t="shared" si="102"/>
        <v>1419904.2533355074</v>
      </c>
      <c r="P1225" s="8">
        <f>VLOOKUP(F1225,'LEAID Match'!$A$2:$B$436,2,FALSE)</f>
        <v>1802910</v>
      </c>
      <c r="Q1225" s="6">
        <f t="shared" si="103"/>
        <v>9</v>
      </c>
    </row>
    <row r="1226" spans="1:17" x14ac:dyDescent="0.2">
      <c r="A1226" s="16">
        <f t="shared" si="99"/>
        <v>1802910</v>
      </c>
      <c r="B1226">
        <v>2021</v>
      </c>
      <c r="C1226" t="s">
        <v>904</v>
      </c>
      <c r="D1226" t="s">
        <v>906</v>
      </c>
      <c r="E1226" t="s">
        <v>2132</v>
      </c>
      <c r="F1226" t="s">
        <v>705</v>
      </c>
      <c r="G1226" t="s">
        <v>144</v>
      </c>
      <c r="H1226" s="6">
        <v>178538</v>
      </c>
      <c r="I1226" s="6">
        <v>8.8199432384302443E-4</v>
      </c>
      <c r="J1226" s="6">
        <v>1988.0152059421771</v>
      </c>
      <c r="K1226" s="6">
        <v>2010596</v>
      </c>
      <c r="M1226" s="6">
        <f t="shared" si="100"/>
        <v>180526.01520594218</v>
      </c>
      <c r="N1226" s="6">
        <f t="shared" si="101"/>
        <v>2010596</v>
      </c>
      <c r="O1226" s="6">
        <f t="shared" si="102"/>
        <v>2191122.0152059421</v>
      </c>
      <c r="P1226" s="8">
        <f>VLOOKUP(F1226,'LEAID Match'!$A$2:$B$436,2,FALSE)</f>
        <v>1802910</v>
      </c>
      <c r="Q1226" s="6">
        <f t="shared" si="103"/>
        <v>9</v>
      </c>
    </row>
    <row r="1227" spans="1:17" x14ac:dyDescent="0.2">
      <c r="A1227" s="16">
        <f t="shared" si="99"/>
        <v>1802910</v>
      </c>
      <c r="B1227">
        <v>2022</v>
      </c>
      <c r="C1227" t="s">
        <v>904</v>
      </c>
      <c r="D1227" t="s">
        <v>906</v>
      </c>
      <c r="E1227" t="s">
        <v>2133</v>
      </c>
      <c r="F1227" t="s">
        <v>705</v>
      </c>
      <c r="G1227" t="s">
        <v>144</v>
      </c>
      <c r="H1227" s="6">
        <v>202087</v>
      </c>
      <c r="I1227" s="6">
        <v>9.5954663409841671E-4</v>
      </c>
      <c r="J1227" s="6">
        <v>2115.8003281870087</v>
      </c>
      <c r="K1227" s="6">
        <v>1943594</v>
      </c>
      <c r="M1227" s="6">
        <f t="shared" si="100"/>
        <v>204202.800328187</v>
      </c>
      <c r="N1227" s="6">
        <f t="shared" si="101"/>
        <v>1943594</v>
      </c>
      <c r="O1227" s="6">
        <f t="shared" si="102"/>
        <v>2147796.8003281872</v>
      </c>
      <c r="P1227" s="8">
        <f>VLOOKUP(F1227,'LEAID Match'!$A$2:$B$436,2,FALSE)</f>
        <v>1802910</v>
      </c>
      <c r="Q1227" s="6">
        <f t="shared" si="103"/>
        <v>9</v>
      </c>
    </row>
    <row r="1228" spans="1:17" x14ac:dyDescent="0.2">
      <c r="A1228" s="16">
        <f t="shared" si="99"/>
        <v>1802910</v>
      </c>
      <c r="B1228">
        <v>2023</v>
      </c>
      <c r="C1228" t="s">
        <v>904</v>
      </c>
      <c r="D1228" t="s">
        <v>906</v>
      </c>
      <c r="E1228" t="s">
        <v>2134</v>
      </c>
      <c r="F1228" t="s">
        <v>705</v>
      </c>
      <c r="G1228" t="s">
        <v>144</v>
      </c>
      <c r="H1228" s="6">
        <v>219469</v>
      </c>
      <c r="I1228" s="6">
        <v>8.9750762220419189E-4</v>
      </c>
      <c r="J1228" s="6">
        <v>2214.1513039777415</v>
      </c>
      <c r="K1228" s="6">
        <v>5278504</v>
      </c>
      <c r="M1228" s="6">
        <f t="shared" si="100"/>
        <v>221683.15130397773</v>
      </c>
      <c r="N1228" s="6">
        <f t="shared" si="101"/>
        <v>5278504</v>
      </c>
      <c r="O1228" s="6">
        <f t="shared" si="102"/>
        <v>5500187.1513039777</v>
      </c>
      <c r="P1228" s="8">
        <f>VLOOKUP(F1228,'LEAID Match'!$A$2:$B$436,2,FALSE)</f>
        <v>1802910</v>
      </c>
      <c r="Q1228" s="6">
        <f t="shared" si="103"/>
        <v>9</v>
      </c>
    </row>
    <row r="1229" spans="1:17" x14ac:dyDescent="0.2">
      <c r="A1229" s="16">
        <f t="shared" si="99"/>
        <v>1804170</v>
      </c>
      <c r="B1229">
        <v>2015</v>
      </c>
      <c r="C1229" t="s">
        <v>904</v>
      </c>
      <c r="D1229" t="s">
        <v>906</v>
      </c>
      <c r="E1229" t="s">
        <v>2135</v>
      </c>
      <c r="F1229" t="s">
        <v>516</v>
      </c>
      <c r="G1229" t="s">
        <v>145</v>
      </c>
      <c r="H1229" s="6">
        <v>382993</v>
      </c>
      <c r="I1229" s="6">
        <v>1.8623827643876926E-3</v>
      </c>
      <c r="J1229" s="6">
        <v>10822.306243856881</v>
      </c>
      <c r="K1229" s="6">
        <v>1574860.6636904599</v>
      </c>
      <c r="M1229" s="6">
        <f t="shared" si="100"/>
        <v>393815.3062438569</v>
      </c>
      <c r="N1229" s="6">
        <f t="shared" si="101"/>
        <v>1574860.6636904599</v>
      </c>
      <c r="O1229" s="6">
        <f t="shared" si="102"/>
        <v>1968675.9699343168</v>
      </c>
      <c r="P1229" s="8">
        <f>VLOOKUP(F1229,'LEAID Match'!$A$2:$B$436,2,FALSE)</f>
        <v>1804170</v>
      </c>
      <c r="Q1229" s="6">
        <f t="shared" si="103"/>
        <v>9</v>
      </c>
    </row>
    <row r="1230" spans="1:17" x14ac:dyDescent="0.2">
      <c r="A1230" s="16">
        <f t="shared" si="99"/>
        <v>1804170</v>
      </c>
      <c r="B1230">
        <v>2016</v>
      </c>
      <c r="C1230" t="s">
        <v>904</v>
      </c>
      <c r="D1230" t="s">
        <v>906</v>
      </c>
      <c r="E1230" t="s">
        <v>2136</v>
      </c>
      <c r="F1230" t="s">
        <v>516</v>
      </c>
      <c r="G1230" t="s">
        <v>145</v>
      </c>
      <c r="H1230" s="6">
        <v>441250</v>
      </c>
      <c r="I1230" s="6">
        <v>2.0474541926727569E-3</v>
      </c>
      <c r="J1230" s="6">
        <v>10335.548764612076</v>
      </c>
      <c r="K1230" s="6">
        <v>1817115.59599707</v>
      </c>
      <c r="M1230" s="6">
        <f t="shared" si="100"/>
        <v>451585.54876461206</v>
      </c>
      <c r="N1230" s="6">
        <f t="shared" si="101"/>
        <v>1817115.59599707</v>
      </c>
      <c r="O1230" s="6">
        <f t="shared" si="102"/>
        <v>2268701.144761682</v>
      </c>
      <c r="P1230" s="8">
        <f>VLOOKUP(F1230,'LEAID Match'!$A$2:$B$436,2,FALSE)</f>
        <v>1804170</v>
      </c>
      <c r="Q1230" s="6">
        <f t="shared" si="103"/>
        <v>9</v>
      </c>
    </row>
    <row r="1231" spans="1:17" x14ac:dyDescent="0.2">
      <c r="A1231" s="16">
        <f t="shared" si="99"/>
        <v>1804170</v>
      </c>
      <c r="B1231">
        <v>2017</v>
      </c>
      <c r="C1231" t="s">
        <v>904</v>
      </c>
      <c r="D1231" t="s">
        <v>906</v>
      </c>
      <c r="E1231" t="s">
        <v>2137</v>
      </c>
      <c r="F1231" t="s">
        <v>516</v>
      </c>
      <c r="G1231" t="s">
        <v>145</v>
      </c>
      <c r="H1231" s="6">
        <v>456618</v>
      </c>
      <c r="I1231" s="6">
        <v>2.0106843979670274E-3</v>
      </c>
      <c r="J1231" s="6">
        <v>9098.3469008007996</v>
      </c>
      <c r="K1231" s="6">
        <v>1751306.1106292801</v>
      </c>
      <c r="M1231" s="6">
        <f t="shared" si="100"/>
        <v>465716.34690080083</v>
      </c>
      <c r="N1231" s="6">
        <f t="shared" si="101"/>
        <v>1751306.1106292801</v>
      </c>
      <c r="O1231" s="6">
        <f t="shared" si="102"/>
        <v>2217022.4575300808</v>
      </c>
      <c r="P1231" s="8">
        <f>VLOOKUP(F1231,'LEAID Match'!$A$2:$B$436,2,FALSE)</f>
        <v>1804170</v>
      </c>
      <c r="Q1231" s="6">
        <f t="shared" si="103"/>
        <v>9</v>
      </c>
    </row>
    <row r="1232" spans="1:17" x14ac:dyDescent="0.2">
      <c r="A1232" s="16">
        <f t="shared" si="99"/>
        <v>1804170</v>
      </c>
      <c r="B1232">
        <v>2018</v>
      </c>
      <c r="C1232" t="s">
        <v>904</v>
      </c>
      <c r="D1232" t="s">
        <v>906</v>
      </c>
      <c r="E1232" t="s">
        <v>2138</v>
      </c>
      <c r="F1232" t="s">
        <v>516</v>
      </c>
      <c r="G1232" t="s">
        <v>145</v>
      </c>
      <c r="H1232" s="6">
        <v>488638</v>
      </c>
      <c r="I1232" s="6">
        <v>2.0729835924526764E-3</v>
      </c>
      <c r="J1232" s="6">
        <v>8640.1956133427557</v>
      </c>
      <c r="K1232" s="6">
        <v>2123929</v>
      </c>
      <c r="M1232" s="6">
        <f t="shared" si="100"/>
        <v>497278.19561334274</v>
      </c>
      <c r="N1232" s="6">
        <f t="shared" si="101"/>
        <v>2123929</v>
      </c>
      <c r="O1232" s="6">
        <f t="shared" si="102"/>
        <v>2621207.1956133428</v>
      </c>
      <c r="P1232" s="8">
        <f>VLOOKUP(F1232,'LEAID Match'!$A$2:$B$436,2,FALSE)</f>
        <v>1804170</v>
      </c>
      <c r="Q1232" s="6">
        <f t="shared" si="103"/>
        <v>9</v>
      </c>
    </row>
    <row r="1233" spans="1:17" x14ac:dyDescent="0.2">
      <c r="A1233" s="16">
        <f t="shared" si="99"/>
        <v>1804170</v>
      </c>
      <c r="B1233">
        <v>2019</v>
      </c>
      <c r="C1233" t="s">
        <v>904</v>
      </c>
      <c r="D1233" t="s">
        <v>906</v>
      </c>
      <c r="E1233" t="s">
        <v>2139</v>
      </c>
      <c r="F1233" t="s">
        <v>516</v>
      </c>
      <c r="G1233" t="s">
        <v>145</v>
      </c>
      <c r="H1233" s="6">
        <v>471758</v>
      </c>
      <c r="I1233" s="6">
        <v>1.200149793453462E-3</v>
      </c>
      <c r="J1233" s="6">
        <v>4206.5250260543844</v>
      </c>
      <c r="K1233" s="6">
        <v>1132821.3900407201</v>
      </c>
      <c r="M1233" s="6">
        <f t="shared" si="100"/>
        <v>475964.52502605441</v>
      </c>
      <c r="N1233" s="6">
        <f t="shared" si="101"/>
        <v>1132821.3900407201</v>
      </c>
      <c r="O1233" s="6">
        <f t="shared" si="102"/>
        <v>1608785.9150667745</v>
      </c>
      <c r="P1233" s="8">
        <f>VLOOKUP(F1233,'LEAID Match'!$A$2:$B$436,2,FALSE)</f>
        <v>1804170</v>
      </c>
      <c r="Q1233" s="6">
        <f t="shared" si="103"/>
        <v>9</v>
      </c>
    </row>
    <row r="1234" spans="1:17" x14ac:dyDescent="0.2">
      <c r="A1234" s="16">
        <f t="shared" si="99"/>
        <v>1804170</v>
      </c>
      <c r="B1234">
        <v>2020</v>
      </c>
      <c r="C1234" t="s">
        <v>904</v>
      </c>
      <c r="D1234" t="s">
        <v>906</v>
      </c>
      <c r="E1234" t="s">
        <v>2140</v>
      </c>
      <c r="F1234" t="s">
        <v>516</v>
      </c>
      <c r="G1234" t="s">
        <v>145</v>
      </c>
      <c r="H1234" s="6">
        <v>351980</v>
      </c>
      <c r="I1234" s="6">
        <v>1.8650391382156353E-3</v>
      </c>
      <c r="J1234" s="6">
        <v>4394.0322096360369</v>
      </c>
      <c r="K1234" s="6">
        <v>2302166</v>
      </c>
      <c r="M1234" s="6">
        <f t="shared" si="100"/>
        <v>356374.03220963606</v>
      </c>
      <c r="N1234" s="6">
        <f t="shared" si="101"/>
        <v>2302166</v>
      </c>
      <c r="O1234" s="6">
        <f t="shared" si="102"/>
        <v>2658540.0322096362</v>
      </c>
      <c r="P1234" s="8">
        <f>VLOOKUP(F1234,'LEAID Match'!$A$2:$B$436,2,FALSE)</f>
        <v>1804170</v>
      </c>
      <c r="Q1234" s="6">
        <f t="shared" si="103"/>
        <v>9</v>
      </c>
    </row>
    <row r="1235" spans="1:17" x14ac:dyDescent="0.2">
      <c r="A1235" s="16">
        <f t="shared" si="99"/>
        <v>1804170</v>
      </c>
      <c r="B1235">
        <v>2021</v>
      </c>
      <c r="C1235" t="s">
        <v>904</v>
      </c>
      <c r="D1235" t="s">
        <v>906</v>
      </c>
      <c r="E1235" t="s">
        <v>2141</v>
      </c>
      <c r="F1235" t="s">
        <v>516</v>
      </c>
      <c r="G1235" t="s">
        <v>145</v>
      </c>
      <c r="H1235" s="6">
        <v>321262</v>
      </c>
      <c r="I1235" s="6">
        <v>1.5870641570223578E-3</v>
      </c>
      <c r="J1235" s="6">
        <v>3577.2426099283944</v>
      </c>
      <c r="K1235" s="6">
        <v>3661078</v>
      </c>
      <c r="M1235" s="6">
        <f t="shared" si="100"/>
        <v>324839.24260992842</v>
      </c>
      <c r="N1235" s="6">
        <f t="shared" si="101"/>
        <v>3661078</v>
      </c>
      <c r="O1235" s="6">
        <f t="shared" si="102"/>
        <v>3985917.2426099284</v>
      </c>
      <c r="P1235" s="8">
        <f>VLOOKUP(F1235,'LEAID Match'!$A$2:$B$436,2,FALSE)</f>
        <v>1804170</v>
      </c>
      <c r="Q1235" s="6">
        <f t="shared" si="103"/>
        <v>9</v>
      </c>
    </row>
    <row r="1236" spans="1:17" x14ac:dyDescent="0.2">
      <c r="A1236" s="16">
        <f t="shared" si="99"/>
        <v>1804170</v>
      </c>
      <c r="B1236">
        <v>2022</v>
      </c>
      <c r="C1236" t="s">
        <v>904</v>
      </c>
      <c r="D1236" t="s">
        <v>906</v>
      </c>
      <c r="E1236" t="s">
        <v>2142</v>
      </c>
      <c r="F1236" t="s">
        <v>516</v>
      </c>
      <c r="G1236" t="s">
        <v>145</v>
      </c>
      <c r="H1236" s="6">
        <v>379696</v>
      </c>
      <c r="I1236" s="6">
        <v>1.8028671749327392E-3</v>
      </c>
      <c r="J1236" s="6">
        <v>3975.3221207266897</v>
      </c>
      <c r="K1236" s="6">
        <v>3669666</v>
      </c>
      <c r="M1236" s="6">
        <f t="shared" si="100"/>
        <v>383671.32212072669</v>
      </c>
      <c r="N1236" s="6">
        <f t="shared" si="101"/>
        <v>3669666</v>
      </c>
      <c r="O1236" s="6">
        <f t="shared" si="102"/>
        <v>4053337.3221207266</v>
      </c>
      <c r="P1236" s="8">
        <f>VLOOKUP(F1236,'LEAID Match'!$A$2:$B$436,2,FALSE)</f>
        <v>1804170</v>
      </c>
      <c r="Q1236" s="6">
        <f t="shared" si="103"/>
        <v>9</v>
      </c>
    </row>
    <row r="1237" spans="1:17" x14ac:dyDescent="0.2">
      <c r="A1237" s="16">
        <f t="shared" si="99"/>
        <v>1804170</v>
      </c>
      <c r="B1237">
        <v>2023</v>
      </c>
      <c r="C1237" t="s">
        <v>904</v>
      </c>
      <c r="D1237" t="s">
        <v>906</v>
      </c>
      <c r="E1237" t="s">
        <v>2143</v>
      </c>
      <c r="F1237" t="s">
        <v>516</v>
      </c>
      <c r="G1237" t="s">
        <v>145</v>
      </c>
      <c r="H1237" s="6">
        <v>498871</v>
      </c>
      <c r="I1237" s="6">
        <v>2.0401082840703125E-3</v>
      </c>
      <c r="J1237" s="6">
        <v>5032.9471368014611</v>
      </c>
      <c r="K1237" s="6">
        <v>9809107</v>
      </c>
      <c r="M1237" s="6">
        <f t="shared" si="100"/>
        <v>503903.94713680143</v>
      </c>
      <c r="N1237" s="6">
        <f t="shared" si="101"/>
        <v>9809107</v>
      </c>
      <c r="O1237" s="6">
        <f t="shared" si="102"/>
        <v>10313010.947136801</v>
      </c>
      <c r="P1237" s="8">
        <f>VLOOKUP(F1237,'LEAID Match'!$A$2:$B$436,2,FALSE)</f>
        <v>1804170</v>
      </c>
      <c r="Q1237" s="6">
        <f t="shared" si="103"/>
        <v>9</v>
      </c>
    </row>
    <row r="1238" spans="1:17" x14ac:dyDescent="0.2">
      <c r="A1238" s="16">
        <f t="shared" si="99"/>
        <v>1804320</v>
      </c>
      <c r="B1238">
        <v>2015</v>
      </c>
      <c r="C1238" t="s">
        <v>904</v>
      </c>
      <c r="D1238" t="s">
        <v>906</v>
      </c>
      <c r="E1238" t="s">
        <v>2144</v>
      </c>
      <c r="F1238" t="s">
        <v>517</v>
      </c>
      <c r="G1238" t="s">
        <v>146</v>
      </c>
      <c r="H1238" s="6">
        <v>2901607</v>
      </c>
      <c r="I1238" s="6">
        <v>1.4109664839374817E-2</v>
      </c>
      <c r="J1238" s="6">
        <v>81991.262381607055</v>
      </c>
      <c r="K1238" s="6">
        <v>11931358.3428127</v>
      </c>
      <c r="M1238" s="6">
        <f t="shared" si="100"/>
        <v>2983598.2623816072</v>
      </c>
      <c r="N1238" s="6">
        <f t="shared" si="101"/>
        <v>11931358.3428127</v>
      </c>
      <c r="O1238" s="6">
        <f t="shared" si="102"/>
        <v>14914956.605194308</v>
      </c>
      <c r="P1238" s="8">
        <f>VLOOKUP(F1238,'LEAID Match'!$A$2:$B$436,2,FALSE)</f>
        <v>1804320</v>
      </c>
      <c r="Q1238" s="6">
        <f t="shared" si="103"/>
        <v>9</v>
      </c>
    </row>
    <row r="1239" spans="1:17" x14ac:dyDescent="0.2">
      <c r="A1239" s="16">
        <f t="shared" si="99"/>
        <v>1804320</v>
      </c>
      <c r="B1239">
        <v>2016</v>
      </c>
      <c r="C1239" t="s">
        <v>904</v>
      </c>
      <c r="D1239" t="s">
        <v>906</v>
      </c>
      <c r="E1239" t="s">
        <v>2145</v>
      </c>
      <c r="F1239" t="s">
        <v>517</v>
      </c>
      <c r="G1239" t="s">
        <v>146</v>
      </c>
      <c r="H1239" s="6">
        <v>2982977</v>
      </c>
      <c r="I1239" s="6">
        <v>1.3841379638065502E-2</v>
      </c>
      <c r="J1239" s="6">
        <v>69871.284412954657</v>
      </c>
      <c r="K1239" s="6">
        <v>12284224.4287831</v>
      </c>
      <c r="M1239" s="6">
        <f t="shared" si="100"/>
        <v>3052848.2844129545</v>
      </c>
      <c r="N1239" s="6">
        <f t="shared" si="101"/>
        <v>12284224.4287831</v>
      </c>
      <c r="O1239" s="6">
        <f t="shared" si="102"/>
        <v>15337072.713196054</v>
      </c>
      <c r="P1239" s="8">
        <f>VLOOKUP(F1239,'LEAID Match'!$A$2:$B$436,2,FALSE)</f>
        <v>1804320</v>
      </c>
      <c r="Q1239" s="6">
        <f t="shared" si="103"/>
        <v>9</v>
      </c>
    </row>
    <row r="1240" spans="1:17" x14ac:dyDescent="0.2">
      <c r="A1240" s="16">
        <f t="shared" si="99"/>
        <v>1804320</v>
      </c>
      <c r="B1240">
        <v>2017</v>
      </c>
      <c r="C1240" t="s">
        <v>904</v>
      </c>
      <c r="D1240" t="s">
        <v>906</v>
      </c>
      <c r="E1240" t="s">
        <v>2146</v>
      </c>
      <c r="F1240" t="s">
        <v>517</v>
      </c>
      <c r="G1240" t="s">
        <v>146</v>
      </c>
      <c r="H1240" s="6">
        <v>2946396</v>
      </c>
      <c r="I1240" s="6">
        <v>1.2974242074189929E-2</v>
      </c>
      <c r="J1240" s="6">
        <v>58708.445385709427</v>
      </c>
      <c r="K1240" s="6">
        <v>11300564.846619399</v>
      </c>
      <c r="M1240" s="6">
        <f t="shared" si="100"/>
        <v>3005104.4453857094</v>
      </c>
      <c r="N1240" s="6">
        <f t="shared" si="101"/>
        <v>11300564.846619399</v>
      </c>
      <c r="O1240" s="6">
        <f t="shared" si="102"/>
        <v>14305669.292005109</v>
      </c>
      <c r="P1240" s="8">
        <f>VLOOKUP(F1240,'LEAID Match'!$A$2:$B$436,2,FALSE)</f>
        <v>1804320</v>
      </c>
      <c r="Q1240" s="6">
        <f t="shared" si="103"/>
        <v>9</v>
      </c>
    </row>
    <row r="1241" spans="1:17" x14ac:dyDescent="0.2">
      <c r="A1241" s="16">
        <f t="shared" si="99"/>
        <v>1804320</v>
      </c>
      <c r="B1241">
        <v>2018</v>
      </c>
      <c r="C1241" t="s">
        <v>904</v>
      </c>
      <c r="D1241" t="s">
        <v>906</v>
      </c>
      <c r="E1241" t="s">
        <v>2147</v>
      </c>
      <c r="F1241" t="s">
        <v>517</v>
      </c>
      <c r="G1241" t="s">
        <v>146</v>
      </c>
      <c r="H1241" s="6">
        <v>3123027</v>
      </c>
      <c r="I1241" s="6">
        <v>1.3249038613015575E-2</v>
      </c>
      <c r="J1241" s="6">
        <v>55221.99293904892</v>
      </c>
      <c r="K1241" s="6">
        <v>13901596</v>
      </c>
      <c r="M1241" s="6">
        <f t="shared" si="100"/>
        <v>3178248.9929390489</v>
      </c>
      <c r="N1241" s="6">
        <f t="shared" si="101"/>
        <v>13901596</v>
      </c>
      <c r="O1241" s="6">
        <f t="shared" si="102"/>
        <v>17079844.992939048</v>
      </c>
      <c r="P1241" s="8">
        <f>VLOOKUP(F1241,'LEAID Match'!$A$2:$B$436,2,FALSE)</f>
        <v>1804320</v>
      </c>
      <c r="Q1241" s="6">
        <f t="shared" si="103"/>
        <v>9</v>
      </c>
    </row>
    <row r="1242" spans="1:17" x14ac:dyDescent="0.2">
      <c r="A1242" s="16">
        <f t="shared" si="99"/>
        <v>1804320</v>
      </c>
      <c r="B1242">
        <v>2019</v>
      </c>
      <c r="C1242" t="s">
        <v>904</v>
      </c>
      <c r="D1242" t="s">
        <v>906</v>
      </c>
      <c r="E1242" t="s">
        <v>2148</v>
      </c>
      <c r="F1242" t="s">
        <v>517</v>
      </c>
      <c r="G1242" t="s">
        <v>146</v>
      </c>
      <c r="H1242" s="6">
        <v>3101204</v>
      </c>
      <c r="I1242" s="6">
        <v>7.8894461568368747E-3</v>
      </c>
      <c r="J1242" s="6">
        <v>27652.508779713247</v>
      </c>
      <c r="K1242" s="6">
        <v>7446848.2274383204</v>
      </c>
      <c r="M1242" s="6">
        <f t="shared" si="100"/>
        <v>3128856.5087797134</v>
      </c>
      <c r="N1242" s="6">
        <f t="shared" si="101"/>
        <v>7446848.2274383204</v>
      </c>
      <c r="O1242" s="6">
        <f t="shared" si="102"/>
        <v>10575704.736218033</v>
      </c>
      <c r="P1242" s="8">
        <f>VLOOKUP(F1242,'LEAID Match'!$A$2:$B$436,2,FALSE)</f>
        <v>1804320</v>
      </c>
      <c r="Q1242" s="6">
        <f t="shared" si="103"/>
        <v>9</v>
      </c>
    </row>
    <row r="1243" spans="1:17" x14ac:dyDescent="0.2">
      <c r="A1243" s="16">
        <f t="shared" si="99"/>
        <v>1804320</v>
      </c>
      <c r="B1243">
        <v>2020</v>
      </c>
      <c r="C1243" t="s">
        <v>904</v>
      </c>
      <c r="D1243" t="s">
        <v>906</v>
      </c>
      <c r="E1243" t="s">
        <v>2149</v>
      </c>
      <c r="F1243" t="s">
        <v>517</v>
      </c>
      <c r="G1243" t="s">
        <v>146</v>
      </c>
      <c r="H1243" s="6">
        <v>2205113</v>
      </c>
      <c r="I1243" s="6">
        <v>1.1684249244809632E-2</v>
      </c>
      <c r="J1243" s="6">
        <v>27528.091220771494</v>
      </c>
      <c r="K1243" s="6">
        <v>14236601</v>
      </c>
      <c r="M1243" s="6">
        <f t="shared" si="100"/>
        <v>2232641.0912207714</v>
      </c>
      <c r="N1243" s="6">
        <f t="shared" si="101"/>
        <v>14236601</v>
      </c>
      <c r="O1243" s="6">
        <f t="shared" si="102"/>
        <v>16469242.091220772</v>
      </c>
      <c r="P1243" s="8">
        <f>VLOOKUP(F1243,'LEAID Match'!$A$2:$B$436,2,FALSE)</f>
        <v>1804320</v>
      </c>
      <c r="Q1243" s="6">
        <f t="shared" si="103"/>
        <v>9</v>
      </c>
    </row>
    <row r="1244" spans="1:17" x14ac:dyDescent="0.2">
      <c r="A1244" s="16">
        <f t="shared" si="99"/>
        <v>1804320</v>
      </c>
      <c r="B1244">
        <v>2021</v>
      </c>
      <c r="C1244" t="s">
        <v>904</v>
      </c>
      <c r="D1244" t="s">
        <v>906</v>
      </c>
      <c r="E1244" t="s">
        <v>2150</v>
      </c>
      <c r="F1244" t="s">
        <v>517</v>
      </c>
      <c r="G1244" t="s">
        <v>146</v>
      </c>
      <c r="H1244" s="6">
        <v>2353291</v>
      </c>
      <c r="I1244" s="6">
        <v>1.162547639354577E-2</v>
      </c>
      <c r="J1244" s="6">
        <v>26203.823791052164</v>
      </c>
      <c r="K1244" s="6">
        <v>23807316</v>
      </c>
      <c r="M1244" s="6">
        <f t="shared" si="100"/>
        <v>2379494.8237910522</v>
      </c>
      <c r="N1244" s="6">
        <f t="shared" si="101"/>
        <v>23807316</v>
      </c>
      <c r="O1244" s="6">
        <f t="shared" si="102"/>
        <v>26186810.823791053</v>
      </c>
      <c r="P1244" s="8">
        <f>VLOOKUP(F1244,'LEAID Match'!$A$2:$B$436,2,FALSE)</f>
        <v>1804320</v>
      </c>
      <c r="Q1244" s="6">
        <f t="shared" si="103"/>
        <v>9</v>
      </c>
    </row>
    <row r="1245" spans="1:17" x14ac:dyDescent="0.2">
      <c r="A1245" s="16">
        <f t="shared" si="99"/>
        <v>1804320</v>
      </c>
      <c r="B1245">
        <v>2022</v>
      </c>
      <c r="C1245" t="s">
        <v>904</v>
      </c>
      <c r="D1245" t="s">
        <v>906</v>
      </c>
      <c r="E1245" t="s">
        <v>2151</v>
      </c>
      <c r="F1245" t="s">
        <v>517</v>
      </c>
      <c r="G1245" t="s">
        <v>146</v>
      </c>
      <c r="H1245" s="6">
        <v>2523845</v>
      </c>
      <c r="I1245" s="6">
        <v>1.1983685119459037E-2</v>
      </c>
      <c r="J1245" s="6">
        <v>26424.025688407179</v>
      </c>
      <c r="K1245" s="6">
        <v>23280031</v>
      </c>
      <c r="M1245" s="6">
        <f t="shared" si="100"/>
        <v>2550269.025688407</v>
      </c>
      <c r="N1245" s="6">
        <f t="shared" si="101"/>
        <v>23280031</v>
      </c>
      <c r="O1245" s="6">
        <f t="shared" si="102"/>
        <v>25830300.025688406</v>
      </c>
      <c r="P1245" s="8">
        <f>VLOOKUP(F1245,'LEAID Match'!$A$2:$B$436,2,FALSE)</f>
        <v>1804320</v>
      </c>
      <c r="Q1245" s="6">
        <f t="shared" si="103"/>
        <v>9</v>
      </c>
    </row>
    <row r="1246" spans="1:17" x14ac:dyDescent="0.2">
      <c r="A1246" s="16">
        <f t="shared" si="99"/>
        <v>1804320</v>
      </c>
      <c r="B1246">
        <v>2023</v>
      </c>
      <c r="C1246" t="s">
        <v>904</v>
      </c>
      <c r="D1246" t="s">
        <v>906</v>
      </c>
      <c r="E1246" t="s">
        <v>2152</v>
      </c>
      <c r="F1246" t="s">
        <v>517</v>
      </c>
      <c r="G1246" t="s">
        <v>146</v>
      </c>
      <c r="H1246" s="6">
        <v>2780875</v>
      </c>
      <c r="I1246" s="6">
        <v>1.1372250791214624E-2</v>
      </c>
      <c r="J1246" s="6">
        <v>28055.342701926478</v>
      </c>
      <c r="K1246" s="6">
        <v>64070468</v>
      </c>
      <c r="M1246" s="6">
        <f t="shared" si="100"/>
        <v>2808930.3427019264</v>
      </c>
      <c r="N1246" s="6">
        <f t="shared" si="101"/>
        <v>64070468</v>
      </c>
      <c r="O1246" s="6">
        <f t="shared" si="102"/>
        <v>66879398.342701927</v>
      </c>
      <c r="P1246" s="8">
        <f>VLOOKUP(F1246,'LEAID Match'!$A$2:$B$436,2,FALSE)</f>
        <v>1804320</v>
      </c>
      <c r="Q1246" s="6">
        <f t="shared" si="103"/>
        <v>9</v>
      </c>
    </row>
    <row r="1247" spans="1:17" x14ac:dyDescent="0.2">
      <c r="A1247" s="16">
        <f t="shared" si="99"/>
        <v>1804560</v>
      </c>
      <c r="B1247">
        <v>2015</v>
      </c>
      <c r="C1247" t="s">
        <v>904</v>
      </c>
      <c r="D1247" t="s">
        <v>906</v>
      </c>
      <c r="E1247" t="s">
        <v>2153</v>
      </c>
      <c r="F1247" t="s">
        <v>518</v>
      </c>
      <c r="G1247" t="s">
        <v>147</v>
      </c>
      <c r="H1247" s="6">
        <v>548274</v>
      </c>
      <c r="I1247" s="6">
        <v>2.666095849694114E-3</v>
      </c>
      <c r="J1247" s="6">
        <v>15492.682982572496</v>
      </c>
      <c r="K1247" s="6">
        <v>2254493.3080349299</v>
      </c>
      <c r="M1247" s="6">
        <f t="shared" si="100"/>
        <v>563766.68298257247</v>
      </c>
      <c r="N1247" s="6">
        <f t="shared" si="101"/>
        <v>2254493.3080349299</v>
      </c>
      <c r="O1247" s="6">
        <f t="shared" si="102"/>
        <v>2818259.9910175023</v>
      </c>
      <c r="P1247" s="8">
        <f>VLOOKUP(F1247,'LEAID Match'!$A$2:$B$436,2,FALSE)</f>
        <v>1804560</v>
      </c>
      <c r="Q1247" s="6">
        <f t="shared" si="103"/>
        <v>9</v>
      </c>
    </row>
    <row r="1248" spans="1:17" x14ac:dyDescent="0.2">
      <c r="A1248" s="16">
        <f t="shared" si="99"/>
        <v>1804560</v>
      </c>
      <c r="B1248">
        <v>2016</v>
      </c>
      <c r="C1248" t="s">
        <v>904</v>
      </c>
      <c r="D1248" t="s">
        <v>906</v>
      </c>
      <c r="E1248" t="s">
        <v>2154</v>
      </c>
      <c r="F1248" t="s">
        <v>518</v>
      </c>
      <c r="G1248" t="s">
        <v>147</v>
      </c>
      <c r="H1248" s="6">
        <v>581260</v>
      </c>
      <c r="I1248" s="6">
        <v>2.6971177881766951E-3</v>
      </c>
      <c r="J1248" s="6">
        <v>13615.050594715956</v>
      </c>
      <c r="K1248" s="6">
        <v>2393692.0370068098</v>
      </c>
      <c r="M1248" s="6">
        <f t="shared" si="100"/>
        <v>594875.05059471598</v>
      </c>
      <c r="N1248" s="6">
        <f t="shared" si="101"/>
        <v>2393692.0370068098</v>
      </c>
      <c r="O1248" s="6">
        <f t="shared" si="102"/>
        <v>2988567.0876015257</v>
      </c>
      <c r="P1248" s="8">
        <f>VLOOKUP(F1248,'LEAID Match'!$A$2:$B$436,2,FALSE)</f>
        <v>1804560</v>
      </c>
      <c r="Q1248" s="6">
        <f t="shared" si="103"/>
        <v>9</v>
      </c>
    </row>
    <row r="1249" spans="1:17" x14ac:dyDescent="0.2">
      <c r="A1249" s="16">
        <f t="shared" si="99"/>
        <v>1804560</v>
      </c>
      <c r="B1249">
        <v>2017</v>
      </c>
      <c r="C1249" t="s">
        <v>904</v>
      </c>
      <c r="D1249" t="s">
        <v>906</v>
      </c>
      <c r="E1249" t="s">
        <v>2155</v>
      </c>
      <c r="F1249" t="s">
        <v>518</v>
      </c>
      <c r="G1249" t="s">
        <v>147</v>
      </c>
      <c r="H1249" s="6">
        <v>600754</v>
      </c>
      <c r="I1249" s="6">
        <v>2.6453768682274535E-3</v>
      </c>
      <c r="J1249" s="6">
        <v>11970.330328729227</v>
      </c>
      <c r="K1249" s="6">
        <v>2304123.2522261101</v>
      </c>
      <c r="M1249" s="6">
        <f t="shared" si="100"/>
        <v>612724.33032872924</v>
      </c>
      <c r="N1249" s="6">
        <f t="shared" si="101"/>
        <v>2304123.2522261101</v>
      </c>
      <c r="O1249" s="6">
        <f t="shared" si="102"/>
        <v>2916847.5825548396</v>
      </c>
      <c r="P1249" s="8">
        <f>VLOOKUP(F1249,'LEAID Match'!$A$2:$B$436,2,FALSE)</f>
        <v>1804560</v>
      </c>
      <c r="Q1249" s="6">
        <f t="shared" si="103"/>
        <v>9</v>
      </c>
    </row>
    <row r="1250" spans="1:17" x14ac:dyDescent="0.2">
      <c r="A1250" s="16">
        <f t="shared" si="99"/>
        <v>1804560</v>
      </c>
      <c r="B1250">
        <v>2018</v>
      </c>
      <c r="C1250" t="s">
        <v>904</v>
      </c>
      <c r="D1250" t="s">
        <v>906</v>
      </c>
      <c r="E1250" t="s">
        <v>2156</v>
      </c>
      <c r="F1250" t="s">
        <v>518</v>
      </c>
      <c r="G1250" t="s">
        <v>147</v>
      </c>
      <c r="H1250" s="6">
        <v>640802</v>
      </c>
      <c r="I1250" s="6">
        <v>2.7185197058166985E-3</v>
      </c>
      <c r="J1250" s="6">
        <v>11330.790133843999</v>
      </c>
      <c r="K1250" s="6">
        <v>2548733</v>
      </c>
      <c r="M1250" s="6">
        <f t="shared" si="100"/>
        <v>652132.79013384401</v>
      </c>
      <c r="N1250" s="6">
        <f t="shared" si="101"/>
        <v>2548733</v>
      </c>
      <c r="O1250" s="6">
        <f t="shared" si="102"/>
        <v>3200865.7901338441</v>
      </c>
      <c r="P1250" s="8">
        <f>VLOOKUP(F1250,'LEAID Match'!$A$2:$B$436,2,FALSE)</f>
        <v>1804560</v>
      </c>
      <c r="Q1250" s="6">
        <f t="shared" si="103"/>
        <v>9</v>
      </c>
    </row>
    <row r="1251" spans="1:17" x14ac:dyDescent="0.2">
      <c r="A1251" s="16">
        <f t="shared" si="99"/>
        <v>1804560</v>
      </c>
      <c r="B1251">
        <v>2019</v>
      </c>
      <c r="C1251" t="s">
        <v>904</v>
      </c>
      <c r="D1251" t="s">
        <v>906</v>
      </c>
      <c r="E1251" t="s">
        <v>2157</v>
      </c>
      <c r="F1251" t="s">
        <v>518</v>
      </c>
      <c r="G1251" t="s">
        <v>147</v>
      </c>
      <c r="H1251" s="6">
        <v>687981</v>
      </c>
      <c r="I1251" s="6">
        <v>1.7502199327831349E-3</v>
      </c>
      <c r="J1251" s="6">
        <v>6134.520864404888</v>
      </c>
      <c r="K1251" s="6">
        <v>1652032.5945540001</v>
      </c>
      <c r="M1251" s="6">
        <f t="shared" si="100"/>
        <v>694115.52086440485</v>
      </c>
      <c r="N1251" s="6">
        <f t="shared" si="101"/>
        <v>1652032.5945540001</v>
      </c>
      <c r="O1251" s="6">
        <f t="shared" si="102"/>
        <v>2346148.1154184048</v>
      </c>
      <c r="P1251" s="8">
        <f>VLOOKUP(F1251,'LEAID Match'!$A$2:$B$436,2,FALSE)</f>
        <v>1804560</v>
      </c>
      <c r="Q1251" s="6">
        <f t="shared" si="103"/>
        <v>9</v>
      </c>
    </row>
    <row r="1252" spans="1:17" x14ac:dyDescent="0.2">
      <c r="A1252" s="16">
        <f t="shared" si="99"/>
        <v>1804560</v>
      </c>
      <c r="B1252">
        <v>2020</v>
      </c>
      <c r="C1252" t="s">
        <v>904</v>
      </c>
      <c r="D1252" t="s">
        <v>906</v>
      </c>
      <c r="E1252" t="s">
        <v>2158</v>
      </c>
      <c r="F1252" t="s">
        <v>518</v>
      </c>
      <c r="G1252" t="s">
        <v>147</v>
      </c>
      <c r="H1252" s="6">
        <v>532812</v>
      </c>
      <c r="I1252" s="6">
        <v>2.8232150500339484E-3</v>
      </c>
      <c r="J1252" s="6">
        <v>6651.4946578799827</v>
      </c>
      <c r="K1252" s="6">
        <v>2579229</v>
      </c>
      <c r="M1252" s="6">
        <f t="shared" si="100"/>
        <v>539463.49465787993</v>
      </c>
      <c r="N1252" s="6">
        <f t="shared" si="101"/>
        <v>2579229</v>
      </c>
      <c r="O1252" s="6">
        <f t="shared" si="102"/>
        <v>3118692.4946578797</v>
      </c>
      <c r="P1252" s="8">
        <f>VLOOKUP(F1252,'LEAID Match'!$A$2:$B$436,2,FALSE)</f>
        <v>1804560</v>
      </c>
      <c r="Q1252" s="6">
        <f t="shared" si="103"/>
        <v>9</v>
      </c>
    </row>
    <row r="1253" spans="1:17" x14ac:dyDescent="0.2">
      <c r="A1253" s="16">
        <f t="shared" si="99"/>
        <v>1804560</v>
      </c>
      <c r="B1253">
        <v>2021</v>
      </c>
      <c r="C1253" t="s">
        <v>904</v>
      </c>
      <c r="D1253" t="s">
        <v>906</v>
      </c>
      <c r="E1253" t="s">
        <v>2159</v>
      </c>
      <c r="F1253" t="s">
        <v>518</v>
      </c>
      <c r="G1253" t="s">
        <v>147</v>
      </c>
      <c r="H1253" s="6">
        <v>516962</v>
      </c>
      <c r="I1253" s="6">
        <v>2.5538403569130247E-3</v>
      </c>
      <c r="J1253" s="6">
        <v>5756.3561644819574</v>
      </c>
      <c r="K1253" s="6">
        <v>4337990</v>
      </c>
      <c r="M1253" s="6">
        <f t="shared" si="100"/>
        <v>522718.35616448196</v>
      </c>
      <c r="N1253" s="6">
        <f t="shared" si="101"/>
        <v>4337990</v>
      </c>
      <c r="O1253" s="6">
        <f t="shared" si="102"/>
        <v>4860708.3561644815</v>
      </c>
      <c r="P1253" s="8">
        <f>VLOOKUP(F1253,'LEAID Match'!$A$2:$B$436,2,FALSE)</f>
        <v>1804560</v>
      </c>
      <c r="Q1253" s="6">
        <f t="shared" si="103"/>
        <v>9</v>
      </c>
    </row>
    <row r="1254" spans="1:17" x14ac:dyDescent="0.2">
      <c r="A1254" s="16">
        <f t="shared" si="99"/>
        <v>1804560</v>
      </c>
      <c r="B1254">
        <v>2022</v>
      </c>
      <c r="C1254" t="s">
        <v>904</v>
      </c>
      <c r="D1254" t="s">
        <v>906</v>
      </c>
      <c r="E1254" t="s">
        <v>2160</v>
      </c>
      <c r="F1254" t="s">
        <v>518</v>
      </c>
      <c r="G1254" t="s">
        <v>147</v>
      </c>
      <c r="H1254" s="6">
        <v>550388</v>
      </c>
      <c r="I1254" s="6">
        <v>2.6133445142347573E-3</v>
      </c>
      <c r="J1254" s="6">
        <v>5762.4246538876396</v>
      </c>
      <c r="K1254" s="6">
        <v>4332467</v>
      </c>
      <c r="M1254" s="6">
        <f t="shared" si="100"/>
        <v>556150.42465388763</v>
      </c>
      <c r="N1254" s="6">
        <f t="shared" si="101"/>
        <v>4332467</v>
      </c>
      <c r="O1254" s="6">
        <f t="shared" si="102"/>
        <v>4888617.4246538877</v>
      </c>
      <c r="P1254" s="8">
        <f>VLOOKUP(F1254,'LEAID Match'!$A$2:$B$436,2,FALSE)</f>
        <v>1804560</v>
      </c>
      <c r="Q1254" s="6">
        <f t="shared" si="103"/>
        <v>9</v>
      </c>
    </row>
    <row r="1255" spans="1:17" x14ac:dyDescent="0.2">
      <c r="A1255" s="16">
        <f t="shared" si="99"/>
        <v>1804560</v>
      </c>
      <c r="B1255">
        <v>2023</v>
      </c>
      <c r="C1255" t="s">
        <v>904</v>
      </c>
      <c r="D1255" t="s">
        <v>906</v>
      </c>
      <c r="E1255" t="s">
        <v>2161</v>
      </c>
      <c r="F1255" t="s">
        <v>518</v>
      </c>
      <c r="G1255" t="s">
        <v>147</v>
      </c>
      <c r="H1255" s="6">
        <v>603756</v>
      </c>
      <c r="I1255" s="6">
        <v>2.4690303047424198E-3</v>
      </c>
      <c r="J1255" s="6">
        <v>6091.0977617995495</v>
      </c>
      <c r="K1255" s="6">
        <v>11690294</v>
      </c>
      <c r="M1255" s="6">
        <f t="shared" si="100"/>
        <v>609847.09776179958</v>
      </c>
      <c r="N1255" s="6">
        <f t="shared" si="101"/>
        <v>11690294</v>
      </c>
      <c r="O1255" s="6">
        <f t="shared" si="102"/>
        <v>12300141.097761799</v>
      </c>
      <c r="P1255" s="8">
        <f>VLOOKUP(F1255,'LEAID Match'!$A$2:$B$436,2,FALSE)</f>
        <v>1804560</v>
      </c>
      <c r="Q1255" s="6">
        <f t="shared" si="103"/>
        <v>9</v>
      </c>
    </row>
    <row r="1256" spans="1:17" x14ac:dyDescent="0.2">
      <c r="A1256" s="16">
        <f t="shared" si="99"/>
        <v>1804590</v>
      </c>
      <c r="B1256">
        <v>2015</v>
      </c>
      <c r="C1256" t="s">
        <v>904</v>
      </c>
      <c r="D1256" t="s">
        <v>906</v>
      </c>
      <c r="E1256" t="s">
        <v>2162</v>
      </c>
      <c r="F1256" t="s">
        <v>519</v>
      </c>
      <c r="G1256" t="s">
        <v>148</v>
      </c>
      <c r="H1256" s="6">
        <v>642189</v>
      </c>
      <c r="I1256" s="6">
        <v>3.1227769830763693E-3</v>
      </c>
      <c r="J1256" s="6">
        <v>18146.457048656783</v>
      </c>
      <c r="K1256" s="6">
        <v>2640670.1813210999</v>
      </c>
      <c r="M1256" s="6">
        <f t="shared" si="100"/>
        <v>660335.45704865677</v>
      </c>
      <c r="N1256" s="6">
        <f t="shared" si="101"/>
        <v>2640670.1813210999</v>
      </c>
      <c r="O1256" s="6">
        <f t="shared" si="102"/>
        <v>3301005.6383697568</v>
      </c>
      <c r="P1256" s="8">
        <f>VLOOKUP(F1256,'LEAID Match'!$A$2:$B$436,2,FALSE)</f>
        <v>1804590</v>
      </c>
      <c r="Q1256" s="6">
        <f t="shared" si="103"/>
        <v>9</v>
      </c>
    </row>
    <row r="1257" spans="1:17" x14ac:dyDescent="0.2">
      <c r="A1257" s="16">
        <f t="shared" si="99"/>
        <v>1804590</v>
      </c>
      <c r="B1257">
        <v>2016</v>
      </c>
      <c r="C1257" t="s">
        <v>904</v>
      </c>
      <c r="D1257" t="s">
        <v>906</v>
      </c>
      <c r="E1257" t="s">
        <v>2163</v>
      </c>
      <c r="F1257" t="s">
        <v>519</v>
      </c>
      <c r="G1257" t="s">
        <v>148</v>
      </c>
      <c r="H1257" s="6">
        <v>668535</v>
      </c>
      <c r="I1257" s="6">
        <v>3.1020845069653974E-3</v>
      </c>
      <c r="J1257" s="6">
        <v>15659.322591161326</v>
      </c>
      <c r="K1257" s="6">
        <v>2753099.9999317899</v>
      </c>
      <c r="M1257" s="6">
        <f t="shared" si="100"/>
        <v>684194.32259116136</v>
      </c>
      <c r="N1257" s="6">
        <f t="shared" si="101"/>
        <v>2753099.9999317899</v>
      </c>
      <c r="O1257" s="6">
        <f t="shared" si="102"/>
        <v>3437294.3225229513</v>
      </c>
      <c r="P1257" s="8">
        <f>VLOOKUP(F1257,'LEAID Match'!$A$2:$B$436,2,FALSE)</f>
        <v>1804590</v>
      </c>
      <c r="Q1257" s="6">
        <f t="shared" si="103"/>
        <v>9</v>
      </c>
    </row>
    <row r="1258" spans="1:17" x14ac:dyDescent="0.2">
      <c r="A1258" s="16">
        <f t="shared" si="99"/>
        <v>1804590</v>
      </c>
      <c r="B1258">
        <v>2017</v>
      </c>
      <c r="C1258" t="s">
        <v>904</v>
      </c>
      <c r="D1258" t="s">
        <v>906</v>
      </c>
      <c r="E1258" t="s">
        <v>2164</v>
      </c>
      <c r="F1258" t="s">
        <v>519</v>
      </c>
      <c r="G1258" t="s">
        <v>148</v>
      </c>
      <c r="H1258" s="6">
        <v>690812</v>
      </c>
      <c r="I1258" s="6">
        <v>3.0419407695894555E-3</v>
      </c>
      <c r="J1258" s="6">
        <v>13764.781982392285</v>
      </c>
      <c r="K1258" s="6">
        <v>2649530.41031241</v>
      </c>
      <c r="M1258" s="6">
        <f t="shared" si="100"/>
        <v>704576.78198239231</v>
      </c>
      <c r="N1258" s="6">
        <f t="shared" si="101"/>
        <v>2649530.41031241</v>
      </c>
      <c r="O1258" s="6">
        <f t="shared" si="102"/>
        <v>3354107.1922948025</v>
      </c>
      <c r="P1258" s="8">
        <f>VLOOKUP(F1258,'LEAID Match'!$A$2:$B$436,2,FALSE)</f>
        <v>1804590</v>
      </c>
      <c r="Q1258" s="6">
        <f t="shared" si="103"/>
        <v>9</v>
      </c>
    </row>
    <row r="1259" spans="1:17" x14ac:dyDescent="0.2">
      <c r="A1259" s="16">
        <f t="shared" si="99"/>
        <v>1804590</v>
      </c>
      <c r="B1259">
        <v>2018</v>
      </c>
      <c r="C1259" t="s">
        <v>904</v>
      </c>
      <c r="D1259" t="s">
        <v>906</v>
      </c>
      <c r="E1259" t="s">
        <v>2165</v>
      </c>
      <c r="F1259" t="s">
        <v>519</v>
      </c>
      <c r="G1259" t="s">
        <v>148</v>
      </c>
      <c r="H1259" s="6">
        <v>714894</v>
      </c>
      <c r="I1259" s="6">
        <v>3.0328454445680926E-3</v>
      </c>
      <c r="J1259" s="6">
        <v>12640.899812959809</v>
      </c>
      <c r="K1259" s="6">
        <v>2690824</v>
      </c>
      <c r="M1259" s="6">
        <f t="shared" si="100"/>
        <v>727534.89981295983</v>
      </c>
      <c r="N1259" s="6">
        <f t="shared" si="101"/>
        <v>2690824</v>
      </c>
      <c r="O1259" s="6">
        <f t="shared" si="102"/>
        <v>3418358.8998129601</v>
      </c>
      <c r="P1259" s="8">
        <f>VLOOKUP(F1259,'LEAID Match'!$A$2:$B$436,2,FALSE)</f>
        <v>1804590</v>
      </c>
      <c r="Q1259" s="6">
        <f t="shared" si="103"/>
        <v>9</v>
      </c>
    </row>
    <row r="1260" spans="1:17" x14ac:dyDescent="0.2">
      <c r="A1260" s="16">
        <f t="shared" si="99"/>
        <v>1804590</v>
      </c>
      <c r="B1260">
        <v>2019</v>
      </c>
      <c r="C1260" t="s">
        <v>904</v>
      </c>
      <c r="D1260" t="s">
        <v>906</v>
      </c>
      <c r="E1260" t="s">
        <v>2166</v>
      </c>
      <c r="F1260" t="s">
        <v>519</v>
      </c>
      <c r="G1260" t="s">
        <v>148</v>
      </c>
      <c r="H1260" s="6">
        <v>747711</v>
      </c>
      <c r="I1260" s="6">
        <v>1.9021727288416549E-3</v>
      </c>
      <c r="J1260" s="6">
        <v>6667.1154145900009</v>
      </c>
      <c r="K1260" s="6">
        <v>1795460.8387536299</v>
      </c>
      <c r="M1260" s="6">
        <f t="shared" si="100"/>
        <v>754378.11541458999</v>
      </c>
      <c r="N1260" s="6">
        <f t="shared" si="101"/>
        <v>1795460.8387536299</v>
      </c>
      <c r="O1260" s="6">
        <f t="shared" si="102"/>
        <v>2549838.9541682201</v>
      </c>
      <c r="P1260" s="8">
        <f>VLOOKUP(F1260,'LEAID Match'!$A$2:$B$436,2,FALSE)</f>
        <v>1804590</v>
      </c>
      <c r="Q1260" s="6">
        <f t="shared" si="103"/>
        <v>9</v>
      </c>
    </row>
    <row r="1261" spans="1:17" x14ac:dyDescent="0.2">
      <c r="A1261" s="16">
        <f t="shared" si="99"/>
        <v>1804590</v>
      </c>
      <c r="B1261">
        <v>2020</v>
      </c>
      <c r="C1261" t="s">
        <v>904</v>
      </c>
      <c r="D1261" t="s">
        <v>906</v>
      </c>
      <c r="E1261" t="s">
        <v>2167</v>
      </c>
      <c r="F1261" t="s">
        <v>519</v>
      </c>
      <c r="G1261" t="s">
        <v>148</v>
      </c>
      <c r="H1261" s="6">
        <v>581493</v>
      </c>
      <c r="I1261" s="6">
        <v>3.0811614398500611E-3</v>
      </c>
      <c r="J1261" s="6">
        <v>7259.216352286744</v>
      </c>
      <c r="K1261" s="6">
        <v>2898829</v>
      </c>
      <c r="M1261" s="6">
        <f t="shared" si="100"/>
        <v>588752.21635228675</v>
      </c>
      <c r="N1261" s="6">
        <f t="shared" si="101"/>
        <v>2898829</v>
      </c>
      <c r="O1261" s="6">
        <f t="shared" si="102"/>
        <v>3487581.2163522867</v>
      </c>
      <c r="P1261" s="8">
        <f>VLOOKUP(F1261,'LEAID Match'!$A$2:$B$436,2,FALSE)</f>
        <v>1804590</v>
      </c>
      <c r="Q1261" s="6">
        <f t="shared" si="103"/>
        <v>9</v>
      </c>
    </row>
    <row r="1262" spans="1:17" x14ac:dyDescent="0.2">
      <c r="A1262" s="16">
        <f t="shared" si="99"/>
        <v>1804590</v>
      </c>
      <c r="B1262">
        <v>2021</v>
      </c>
      <c r="C1262" t="s">
        <v>904</v>
      </c>
      <c r="D1262" t="s">
        <v>906</v>
      </c>
      <c r="E1262" t="s">
        <v>2168</v>
      </c>
      <c r="F1262" t="s">
        <v>519</v>
      </c>
      <c r="G1262" t="s">
        <v>148</v>
      </c>
      <c r="H1262" s="6">
        <v>614136</v>
      </c>
      <c r="I1262" s="6">
        <v>3.0338889539910812E-3</v>
      </c>
      <c r="J1262" s="6">
        <v>6838.3857022958973</v>
      </c>
      <c r="K1262" s="6">
        <v>4763957</v>
      </c>
      <c r="M1262" s="6">
        <f t="shared" si="100"/>
        <v>620974.38570229593</v>
      </c>
      <c r="N1262" s="6">
        <f t="shared" si="101"/>
        <v>4763957</v>
      </c>
      <c r="O1262" s="6">
        <f t="shared" si="102"/>
        <v>5384931.3857022962</v>
      </c>
      <c r="P1262" s="8">
        <f>VLOOKUP(F1262,'LEAID Match'!$A$2:$B$436,2,FALSE)</f>
        <v>1804590</v>
      </c>
      <c r="Q1262" s="6">
        <f t="shared" si="103"/>
        <v>9</v>
      </c>
    </row>
    <row r="1263" spans="1:17" x14ac:dyDescent="0.2">
      <c r="A1263" s="16">
        <f t="shared" si="99"/>
        <v>1804590</v>
      </c>
      <c r="B1263">
        <v>2022</v>
      </c>
      <c r="C1263" t="s">
        <v>904</v>
      </c>
      <c r="D1263" t="s">
        <v>906</v>
      </c>
      <c r="E1263" t="s">
        <v>2169</v>
      </c>
      <c r="F1263" t="s">
        <v>519</v>
      </c>
      <c r="G1263" t="s">
        <v>148</v>
      </c>
      <c r="H1263" s="6">
        <v>683595</v>
      </c>
      <c r="I1263" s="6">
        <v>3.2458361069069618E-3</v>
      </c>
      <c r="J1263" s="6">
        <v>7157.0686157298505</v>
      </c>
      <c r="K1263" s="6">
        <v>4655107</v>
      </c>
      <c r="M1263" s="6">
        <f t="shared" si="100"/>
        <v>690752.0686157298</v>
      </c>
      <c r="N1263" s="6">
        <f t="shared" si="101"/>
        <v>4655107</v>
      </c>
      <c r="O1263" s="6">
        <f t="shared" si="102"/>
        <v>5345859.0686157299</v>
      </c>
      <c r="P1263" s="8">
        <f>VLOOKUP(F1263,'LEAID Match'!$A$2:$B$436,2,FALSE)</f>
        <v>1804590</v>
      </c>
      <c r="Q1263" s="6">
        <f t="shared" si="103"/>
        <v>9</v>
      </c>
    </row>
    <row r="1264" spans="1:17" x14ac:dyDescent="0.2">
      <c r="A1264" s="16">
        <f t="shared" si="99"/>
        <v>1804590</v>
      </c>
      <c r="B1264">
        <v>2023</v>
      </c>
      <c r="C1264" t="s">
        <v>904</v>
      </c>
      <c r="D1264" t="s">
        <v>906</v>
      </c>
      <c r="E1264" t="s">
        <v>2170</v>
      </c>
      <c r="F1264" t="s">
        <v>519</v>
      </c>
      <c r="G1264" t="s">
        <v>148</v>
      </c>
      <c r="H1264" s="6">
        <v>819505</v>
      </c>
      <c r="I1264" s="6">
        <v>3.3513251709099976E-3</v>
      </c>
      <c r="J1264" s="6">
        <v>8267.7191966349637</v>
      </c>
      <c r="K1264" s="6">
        <v>12995098</v>
      </c>
      <c r="M1264" s="6">
        <f t="shared" si="100"/>
        <v>827772.71919663495</v>
      </c>
      <c r="N1264" s="6">
        <f t="shared" si="101"/>
        <v>12995098</v>
      </c>
      <c r="O1264" s="6">
        <f t="shared" si="102"/>
        <v>13822870.719196634</v>
      </c>
      <c r="P1264" s="8">
        <f>VLOOKUP(F1264,'LEAID Match'!$A$2:$B$436,2,FALSE)</f>
        <v>1804590</v>
      </c>
      <c r="Q1264" s="6">
        <f t="shared" si="103"/>
        <v>9</v>
      </c>
    </row>
    <row r="1265" spans="1:17" x14ac:dyDescent="0.2">
      <c r="A1265" s="16">
        <f t="shared" si="99"/>
        <v>1807350</v>
      </c>
      <c r="B1265">
        <v>2015</v>
      </c>
      <c r="C1265" t="s">
        <v>904</v>
      </c>
      <c r="D1265" t="s">
        <v>906</v>
      </c>
      <c r="E1265" t="s">
        <v>2171</v>
      </c>
      <c r="F1265" t="s">
        <v>520</v>
      </c>
      <c r="G1265" t="s">
        <v>149</v>
      </c>
      <c r="H1265" s="6">
        <v>664816</v>
      </c>
      <c r="I1265" s="6">
        <v>3.232805455685008E-3</v>
      </c>
      <c r="J1265" s="6">
        <v>18785.832502985581</v>
      </c>
      <c r="K1265" s="6">
        <v>2733712.0182145298</v>
      </c>
      <c r="M1265" s="6">
        <f t="shared" si="100"/>
        <v>683601.83250298561</v>
      </c>
      <c r="N1265" s="6">
        <f t="shared" si="101"/>
        <v>2733712.0182145298</v>
      </c>
      <c r="O1265" s="6">
        <f t="shared" si="102"/>
        <v>3417313.8507175157</v>
      </c>
      <c r="P1265" s="8">
        <f>VLOOKUP(F1265,'LEAID Match'!$A$2:$B$436,2,FALSE)</f>
        <v>1807350</v>
      </c>
      <c r="Q1265" s="6">
        <f t="shared" si="103"/>
        <v>9</v>
      </c>
    </row>
    <row r="1266" spans="1:17" x14ac:dyDescent="0.2">
      <c r="A1266" s="16">
        <f t="shared" si="99"/>
        <v>1807350</v>
      </c>
      <c r="B1266">
        <v>2016</v>
      </c>
      <c r="C1266" t="s">
        <v>904</v>
      </c>
      <c r="D1266" t="s">
        <v>906</v>
      </c>
      <c r="E1266" t="s">
        <v>2172</v>
      </c>
      <c r="F1266" t="s">
        <v>520</v>
      </c>
      <c r="G1266" t="s">
        <v>149</v>
      </c>
      <c r="H1266" s="6">
        <v>615298</v>
      </c>
      <c r="I1266" s="6">
        <v>2.8550582885964013E-3</v>
      </c>
      <c r="J1266" s="6">
        <v>14412.334240834634</v>
      </c>
      <c r="K1266" s="6">
        <v>2533864.2311292998</v>
      </c>
      <c r="M1266" s="6">
        <f t="shared" si="100"/>
        <v>629710.33424083458</v>
      </c>
      <c r="N1266" s="6">
        <f t="shared" si="101"/>
        <v>2533864.2311292998</v>
      </c>
      <c r="O1266" s="6">
        <f t="shared" si="102"/>
        <v>3163574.5653701345</v>
      </c>
      <c r="P1266" s="8">
        <f>VLOOKUP(F1266,'LEAID Match'!$A$2:$B$436,2,FALSE)</f>
        <v>1807350</v>
      </c>
      <c r="Q1266" s="6">
        <f t="shared" si="103"/>
        <v>9</v>
      </c>
    </row>
    <row r="1267" spans="1:17" x14ac:dyDescent="0.2">
      <c r="A1267" s="16">
        <f t="shared" si="99"/>
        <v>1807350</v>
      </c>
      <c r="B1267">
        <v>2017</v>
      </c>
      <c r="C1267" t="s">
        <v>904</v>
      </c>
      <c r="D1267" t="s">
        <v>906</v>
      </c>
      <c r="E1267" t="s">
        <v>2173</v>
      </c>
      <c r="F1267" t="s">
        <v>520</v>
      </c>
      <c r="G1267" t="s">
        <v>149</v>
      </c>
      <c r="H1267" s="6">
        <v>659655</v>
      </c>
      <c r="I1267" s="6">
        <v>2.9047431694347119E-3</v>
      </c>
      <c r="J1267" s="6">
        <v>13143.962841692071</v>
      </c>
      <c r="K1267" s="6">
        <v>2530031.3005776298</v>
      </c>
      <c r="M1267" s="6">
        <f t="shared" si="100"/>
        <v>672798.96284169203</v>
      </c>
      <c r="N1267" s="6">
        <f t="shared" si="101"/>
        <v>2530031.3005776298</v>
      </c>
      <c r="O1267" s="6">
        <f t="shared" si="102"/>
        <v>3202830.2634193217</v>
      </c>
      <c r="P1267" s="8">
        <f>VLOOKUP(F1267,'LEAID Match'!$A$2:$B$436,2,FALSE)</f>
        <v>1807350</v>
      </c>
      <c r="Q1267" s="6">
        <f t="shared" si="103"/>
        <v>9</v>
      </c>
    </row>
    <row r="1268" spans="1:17" x14ac:dyDescent="0.2">
      <c r="A1268" s="16">
        <f t="shared" si="99"/>
        <v>1807350</v>
      </c>
      <c r="B1268">
        <v>2018</v>
      </c>
      <c r="C1268" t="s">
        <v>904</v>
      </c>
      <c r="D1268" t="s">
        <v>906</v>
      </c>
      <c r="E1268" t="s">
        <v>2174</v>
      </c>
      <c r="F1268" t="s">
        <v>520</v>
      </c>
      <c r="G1268" t="s">
        <v>149</v>
      </c>
      <c r="H1268" s="6">
        <v>655181</v>
      </c>
      <c r="I1268" s="6">
        <v>2.7795207558289304E-3</v>
      </c>
      <c r="J1268" s="6">
        <v>11585.042510294981</v>
      </c>
      <c r="K1268" s="6">
        <v>3522441</v>
      </c>
      <c r="M1268" s="6">
        <f t="shared" si="100"/>
        <v>666766.04251029494</v>
      </c>
      <c r="N1268" s="6">
        <f t="shared" si="101"/>
        <v>3522441</v>
      </c>
      <c r="O1268" s="6">
        <f t="shared" si="102"/>
        <v>4189207.0425102948</v>
      </c>
      <c r="P1268" s="8">
        <f>VLOOKUP(F1268,'LEAID Match'!$A$2:$B$436,2,FALSE)</f>
        <v>1807350</v>
      </c>
      <c r="Q1268" s="6">
        <f t="shared" si="103"/>
        <v>9</v>
      </c>
    </row>
    <row r="1269" spans="1:17" x14ac:dyDescent="0.2">
      <c r="A1269" s="16">
        <f t="shared" si="99"/>
        <v>1807350</v>
      </c>
      <c r="B1269">
        <v>2019</v>
      </c>
      <c r="C1269" t="s">
        <v>904</v>
      </c>
      <c r="D1269" t="s">
        <v>906</v>
      </c>
      <c r="E1269" t="s">
        <v>2175</v>
      </c>
      <c r="F1269" t="s">
        <v>520</v>
      </c>
      <c r="G1269" t="s">
        <v>149</v>
      </c>
      <c r="H1269" s="6">
        <v>758494</v>
      </c>
      <c r="I1269" s="6">
        <v>1.9296046223608082E-3</v>
      </c>
      <c r="J1269" s="6">
        <v>6763.2642013746326</v>
      </c>
      <c r="K1269" s="6">
        <v>1821353.8030463599</v>
      </c>
      <c r="M1269" s="6">
        <f t="shared" si="100"/>
        <v>765257.26420137461</v>
      </c>
      <c r="N1269" s="6">
        <f t="shared" si="101"/>
        <v>1821353.8030463599</v>
      </c>
      <c r="O1269" s="6">
        <f t="shared" si="102"/>
        <v>2586611.0672477344</v>
      </c>
      <c r="P1269" s="8">
        <f>VLOOKUP(F1269,'LEAID Match'!$A$2:$B$436,2,FALSE)</f>
        <v>1807350</v>
      </c>
      <c r="Q1269" s="6">
        <f t="shared" si="103"/>
        <v>9</v>
      </c>
    </row>
    <row r="1270" spans="1:17" x14ac:dyDescent="0.2">
      <c r="A1270" s="16">
        <f t="shared" si="99"/>
        <v>1807350</v>
      </c>
      <c r="B1270">
        <v>2020</v>
      </c>
      <c r="C1270" t="s">
        <v>904</v>
      </c>
      <c r="D1270" t="s">
        <v>906</v>
      </c>
      <c r="E1270" t="s">
        <v>2176</v>
      </c>
      <c r="F1270" t="s">
        <v>520</v>
      </c>
      <c r="G1270" t="s">
        <v>149</v>
      </c>
      <c r="H1270" s="6">
        <v>667570</v>
      </c>
      <c r="I1270" s="6">
        <v>3.5372583030246368E-3</v>
      </c>
      <c r="J1270" s="6">
        <v>8333.7805619260434</v>
      </c>
      <c r="K1270" s="6">
        <v>3870349</v>
      </c>
      <c r="M1270" s="6">
        <f t="shared" si="100"/>
        <v>675903.78056192608</v>
      </c>
      <c r="N1270" s="6">
        <f t="shared" si="101"/>
        <v>3870349</v>
      </c>
      <c r="O1270" s="6">
        <f t="shared" si="102"/>
        <v>4546252.7805619258</v>
      </c>
      <c r="P1270" s="8">
        <f>VLOOKUP(F1270,'LEAID Match'!$A$2:$B$436,2,FALSE)</f>
        <v>1807350</v>
      </c>
      <c r="Q1270" s="6">
        <f t="shared" si="103"/>
        <v>9</v>
      </c>
    </row>
    <row r="1271" spans="1:17" x14ac:dyDescent="0.2">
      <c r="A1271" s="16">
        <f t="shared" si="99"/>
        <v>1807350</v>
      </c>
      <c r="B1271">
        <v>2021</v>
      </c>
      <c r="C1271" t="s">
        <v>904</v>
      </c>
      <c r="D1271" t="s">
        <v>906</v>
      </c>
      <c r="E1271" t="s">
        <v>2177</v>
      </c>
      <c r="F1271" t="s">
        <v>520</v>
      </c>
      <c r="G1271" t="s">
        <v>149</v>
      </c>
      <c r="H1271" s="6">
        <v>722290</v>
      </c>
      <c r="I1271" s="6">
        <v>3.5681797721973927E-3</v>
      </c>
      <c r="J1271" s="6">
        <v>8042.6772065329233</v>
      </c>
      <c r="K1271" s="6">
        <v>6429783</v>
      </c>
      <c r="M1271" s="6">
        <f t="shared" si="100"/>
        <v>730332.67720653291</v>
      </c>
      <c r="N1271" s="6">
        <f t="shared" si="101"/>
        <v>6429783</v>
      </c>
      <c r="O1271" s="6">
        <f t="shared" si="102"/>
        <v>7160115.677206533</v>
      </c>
      <c r="P1271" s="8">
        <f>VLOOKUP(F1271,'LEAID Match'!$A$2:$B$436,2,FALSE)</f>
        <v>1807350</v>
      </c>
      <c r="Q1271" s="6">
        <f t="shared" si="103"/>
        <v>9</v>
      </c>
    </row>
    <row r="1272" spans="1:17" x14ac:dyDescent="0.2">
      <c r="A1272" s="16">
        <f t="shared" si="99"/>
        <v>1807350</v>
      </c>
      <c r="B1272">
        <v>2022</v>
      </c>
      <c r="C1272" t="s">
        <v>904</v>
      </c>
      <c r="D1272" t="s">
        <v>906</v>
      </c>
      <c r="E1272" t="s">
        <v>2178</v>
      </c>
      <c r="F1272" t="s">
        <v>520</v>
      </c>
      <c r="G1272" t="s">
        <v>149</v>
      </c>
      <c r="H1272" s="6">
        <v>822866</v>
      </c>
      <c r="I1272" s="6">
        <v>3.9071206985804522E-3</v>
      </c>
      <c r="J1272" s="6">
        <v>8615.201140369898</v>
      </c>
      <c r="K1272" s="6">
        <v>6330015</v>
      </c>
      <c r="M1272" s="6">
        <f t="shared" si="100"/>
        <v>831481.20114036987</v>
      </c>
      <c r="N1272" s="6">
        <f t="shared" si="101"/>
        <v>6330015</v>
      </c>
      <c r="O1272" s="6">
        <f t="shared" si="102"/>
        <v>7161496.2011403702</v>
      </c>
      <c r="P1272" s="8">
        <f>VLOOKUP(F1272,'LEAID Match'!$A$2:$B$436,2,FALSE)</f>
        <v>1807350</v>
      </c>
      <c r="Q1272" s="6">
        <f t="shared" si="103"/>
        <v>9</v>
      </c>
    </row>
    <row r="1273" spans="1:17" x14ac:dyDescent="0.2">
      <c r="A1273" s="16">
        <f t="shared" si="99"/>
        <v>1807350</v>
      </c>
      <c r="B1273">
        <v>2023</v>
      </c>
      <c r="C1273" t="s">
        <v>904</v>
      </c>
      <c r="D1273" t="s">
        <v>906</v>
      </c>
      <c r="E1273" t="s">
        <v>2179</v>
      </c>
      <c r="F1273" t="s">
        <v>520</v>
      </c>
      <c r="G1273" t="s">
        <v>149</v>
      </c>
      <c r="H1273" s="6">
        <v>924817</v>
      </c>
      <c r="I1273" s="6">
        <v>3.7819933869658773E-3</v>
      </c>
      <c r="J1273" s="6">
        <v>9330.1776856448196</v>
      </c>
      <c r="K1273" s="6">
        <v>17638352</v>
      </c>
      <c r="M1273" s="6">
        <f t="shared" si="100"/>
        <v>934147.17768564483</v>
      </c>
      <c r="N1273" s="6">
        <f t="shared" si="101"/>
        <v>17638352</v>
      </c>
      <c r="O1273" s="6">
        <f t="shared" si="102"/>
        <v>18572499.177685644</v>
      </c>
      <c r="P1273" s="8">
        <f>VLOOKUP(F1273,'LEAID Match'!$A$2:$B$436,2,FALSE)</f>
        <v>1807350</v>
      </c>
      <c r="Q1273" s="6">
        <f t="shared" si="103"/>
        <v>9</v>
      </c>
    </row>
    <row r="1274" spans="1:17" x14ac:dyDescent="0.2">
      <c r="A1274" s="16">
        <f t="shared" si="99"/>
        <v>1813200</v>
      </c>
      <c r="B1274">
        <v>2015</v>
      </c>
      <c r="C1274" t="s">
        <v>904</v>
      </c>
      <c r="D1274" t="s">
        <v>906</v>
      </c>
      <c r="E1274" t="s">
        <v>2180</v>
      </c>
      <c r="F1274" t="s">
        <v>521</v>
      </c>
      <c r="G1274" t="s">
        <v>150</v>
      </c>
      <c r="H1274" s="6">
        <v>209779</v>
      </c>
      <c r="I1274" s="6">
        <v>1.0200938239876074E-3</v>
      </c>
      <c r="J1274" s="6">
        <v>5927.765211191987</v>
      </c>
      <c r="K1274" s="6">
        <v>862607.65906510397</v>
      </c>
      <c r="M1274" s="6">
        <f t="shared" si="100"/>
        <v>215706.76521119199</v>
      </c>
      <c r="N1274" s="6">
        <f t="shared" si="101"/>
        <v>862607.65906510397</v>
      </c>
      <c r="O1274" s="6">
        <f t="shared" si="102"/>
        <v>1078314.424276296</v>
      </c>
      <c r="P1274" s="8">
        <f>VLOOKUP(F1274,'LEAID Match'!$A$2:$B$436,2,FALSE)</f>
        <v>1813200</v>
      </c>
      <c r="Q1274" s="6">
        <f t="shared" si="103"/>
        <v>9</v>
      </c>
    </row>
    <row r="1275" spans="1:17" x14ac:dyDescent="0.2">
      <c r="A1275" s="16">
        <f t="shared" si="99"/>
        <v>1813200</v>
      </c>
      <c r="B1275">
        <v>2016</v>
      </c>
      <c r="C1275" t="s">
        <v>904</v>
      </c>
      <c r="D1275" t="s">
        <v>906</v>
      </c>
      <c r="E1275" t="s">
        <v>2181</v>
      </c>
      <c r="F1275" t="s">
        <v>521</v>
      </c>
      <c r="G1275" t="s">
        <v>150</v>
      </c>
      <c r="H1275" s="6">
        <v>211822</v>
      </c>
      <c r="I1275" s="6">
        <v>9.8288009518488102E-4</v>
      </c>
      <c r="J1275" s="6">
        <v>4961.5787204932794</v>
      </c>
      <c r="K1275" s="6">
        <v>872306.08447658096</v>
      </c>
      <c r="M1275" s="6">
        <f t="shared" si="100"/>
        <v>216783.57872049327</v>
      </c>
      <c r="N1275" s="6">
        <f t="shared" si="101"/>
        <v>872306.08447658096</v>
      </c>
      <c r="O1275" s="6">
        <f t="shared" si="102"/>
        <v>1089089.6631970743</v>
      </c>
      <c r="P1275" s="8">
        <f>VLOOKUP(F1275,'LEAID Match'!$A$2:$B$436,2,FALSE)</f>
        <v>1813200</v>
      </c>
      <c r="Q1275" s="6">
        <f t="shared" si="103"/>
        <v>9</v>
      </c>
    </row>
    <row r="1276" spans="1:17" x14ac:dyDescent="0.2">
      <c r="A1276" s="16">
        <f t="shared" si="99"/>
        <v>1813200</v>
      </c>
      <c r="B1276">
        <v>2017</v>
      </c>
      <c r="C1276" t="s">
        <v>904</v>
      </c>
      <c r="D1276" t="s">
        <v>906</v>
      </c>
      <c r="E1276" t="s">
        <v>2182</v>
      </c>
      <c r="F1276" t="s">
        <v>521</v>
      </c>
      <c r="G1276" t="s">
        <v>150</v>
      </c>
      <c r="H1276" s="6">
        <v>223256</v>
      </c>
      <c r="I1276" s="6">
        <v>9.8309167827927645E-4</v>
      </c>
      <c r="J1276" s="6">
        <v>4448.4898442137255</v>
      </c>
      <c r="K1276" s="6">
        <v>856272.85178124905</v>
      </c>
      <c r="M1276" s="6">
        <f t="shared" si="100"/>
        <v>227704.48984421373</v>
      </c>
      <c r="N1276" s="6">
        <f t="shared" si="101"/>
        <v>856272.85178124905</v>
      </c>
      <c r="O1276" s="6">
        <f t="shared" si="102"/>
        <v>1083977.3416254628</v>
      </c>
      <c r="P1276" s="8">
        <f>VLOOKUP(F1276,'LEAID Match'!$A$2:$B$436,2,FALSE)</f>
        <v>1813200</v>
      </c>
      <c r="Q1276" s="6">
        <f t="shared" si="103"/>
        <v>9</v>
      </c>
    </row>
    <row r="1277" spans="1:17" x14ac:dyDescent="0.2">
      <c r="A1277" s="16">
        <f t="shared" si="99"/>
        <v>1813200</v>
      </c>
      <c r="B1277">
        <v>2018</v>
      </c>
      <c r="C1277" t="s">
        <v>904</v>
      </c>
      <c r="D1277" t="s">
        <v>906</v>
      </c>
      <c r="E1277" t="s">
        <v>2183</v>
      </c>
      <c r="F1277" t="s">
        <v>521</v>
      </c>
      <c r="G1277" t="s">
        <v>150</v>
      </c>
      <c r="H1277" s="6">
        <v>226966</v>
      </c>
      <c r="I1277" s="6">
        <v>9.628739353971941E-4</v>
      </c>
      <c r="J1277" s="6">
        <v>4013.2585627355052</v>
      </c>
      <c r="K1277" s="6">
        <v>767915</v>
      </c>
      <c r="M1277" s="6">
        <f t="shared" si="100"/>
        <v>230979.25856273551</v>
      </c>
      <c r="N1277" s="6">
        <f t="shared" si="101"/>
        <v>767915</v>
      </c>
      <c r="O1277" s="6">
        <f t="shared" si="102"/>
        <v>998894.25856273551</v>
      </c>
      <c r="P1277" s="8">
        <f>VLOOKUP(F1277,'LEAID Match'!$A$2:$B$436,2,FALSE)</f>
        <v>1813200</v>
      </c>
      <c r="Q1277" s="6">
        <f t="shared" si="103"/>
        <v>9</v>
      </c>
    </row>
    <row r="1278" spans="1:17" x14ac:dyDescent="0.2">
      <c r="A1278" s="16">
        <f t="shared" si="99"/>
        <v>1813200</v>
      </c>
      <c r="B1278">
        <v>2019</v>
      </c>
      <c r="C1278" t="s">
        <v>904</v>
      </c>
      <c r="D1278" t="s">
        <v>906</v>
      </c>
      <c r="E1278" t="s">
        <v>2184</v>
      </c>
      <c r="F1278" t="s">
        <v>521</v>
      </c>
      <c r="G1278" t="s">
        <v>150</v>
      </c>
      <c r="H1278" s="6">
        <v>238327</v>
      </c>
      <c r="I1278" s="6">
        <v>6.0630259545017405E-4</v>
      </c>
      <c r="J1278" s="6">
        <v>2125.0905970528602</v>
      </c>
      <c r="K1278" s="6">
        <v>572289.01984541898</v>
      </c>
      <c r="M1278" s="6">
        <f t="shared" si="100"/>
        <v>240452.09059705285</v>
      </c>
      <c r="N1278" s="6">
        <f t="shared" si="101"/>
        <v>572289.01984541898</v>
      </c>
      <c r="O1278" s="6">
        <f t="shared" si="102"/>
        <v>812741.11044247181</v>
      </c>
      <c r="P1278" s="8">
        <f>VLOOKUP(F1278,'LEAID Match'!$A$2:$B$436,2,FALSE)</f>
        <v>1813200</v>
      </c>
      <c r="Q1278" s="6">
        <f t="shared" si="103"/>
        <v>9</v>
      </c>
    </row>
    <row r="1279" spans="1:17" x14ac:dyDescent="0.2">
      <c r="A1279" s="16">
        <f t="shared" si="99"/>
        <v>1813200</v>
      </c>
      <c r="B1279">
        <v>2020</v>
      </c>
      <c r="C1279" t="s">
        <v>904</v>
      </c>
      <c r="D1279" t="s">
        <v>906</v>
      </c>
      <c r="E1279" t="s">
        <v>2185</v>
      </c>
      <c r="F1279" t="s">
        <v>521</v>
      </c>
      <c r="G1279" t="s">
        <v>150</v>
      </c>
      <c r="H1279" s="6">
        <v>184522</v>
      </c>
      <c r="I1279" s="6">
        <v>9.777281432519617E-4</v>
      </c>
      <c r="J1279" s="6">
        <v>2303.5275055016218</v>
      </c>
      <c r="K1279" s="6">
        <v>828473</v>
      </c>
      <c r="M1279" s="6">
        <f t="shared" si="100"/>
        <v>186825.52750550161</v>
      </c>
      <c r="N1279" s="6">
        <f t="shared" si="101"/>
        <v>828473</v>
      </c>
      <c r="O1279" s="6">
        <f t="shared" si="102"/>
        <v>1015298.5275055016</v>
      </c>
      <c r="P1279" s="8">
        <f>VLOOKUP(F1279,'LEAID Match'!$A$2:$B$436,2,FALSE)</f>
        <v>1813200</v>
      </c>
      <c r="Q1279" s="6">
        <f t="shared" si="103"/>
        <v>9</v>
      </c>
    </row>
    <row r="1280" spans="1:17" x14ac:dyDescent="0.2">
      <c r="A1280" s="16">
        <f t="shared" si="99"/>
        <v>1813200</v>
      </c>
      <c r="B1280">
        <v>2021</v>
      </c>
      <c r="C1280" t="s">
        <v>904</v>
      </c>
      <c r="D1280" t="s">
        <v>906</v>
      </c>
      <c r="E1280" t="s">
        <v>2186</v>
      </c>
      <c r="F1280" t="s">
        <v>521</v>
      </c>
      <c r="G1280" t="s">
        <v>150</v>
      </c>
      <c r="H1280" s="6">
        <v>189002</v>
      </c>
      <c r="I1280" s="6">
        <v>9.3368745698383141E-4</v>
      </c>
      <c r="J1280" s="6">
        <v>2104.5315280415562</v>
      </c>
      <c r="K1280" s="6">
        <v>1336242</v>
      </c>
      <c r="M1280" s="6">
        <f t="shared" si="100"/>
        <v>191106.53152804155</v>
      </c>
      <c r="N1280" s="6">
        <f t="shared" si="101"/>
        <v>1336242</v>
      </c>
      <c r="O1280" s="6">
        <f t="shared" si="102"/>
        <v>1527348.5315280415</v>
      </c>
      <c r="P1280" s="8">
        <f>VLOOKUP(F1280,'LEAID Match'!$A$2:$B$436,2,FALSE)</f>
        <v>1813200</v>
      </c>
      <c r="Q1280" s="6">
        <f t="shared" si="103"/>
        <v>9</v>
      </c>
    </row>
    <row r="1281" spans="1:17" x14ac:dyDescent="0.2">
      <c r="A1281" s="16">
        <f t="shared" si="99"/>
        <v>1813200</v>
      </c>
      <c r="B1281">
        <v>2022</v>
      </c>
      <c r="C1281" t="s">
        <v>904</v>
      </c>
      <c r="D1281" t="s">
        <v>906</v>
      </c>
      <c r="E1281" t="s">
        <v>2187</v>
      </c>
      <c r="F1281" t="s">
        <v>521</v>
      </c>
      <c r="G1281" t="s">
        <v>150</v>
      </c>
      <c r="H1281" s="6">
        <v>187783</v>
      </c>
      <c r="I1281" s="6">
        <v>8.9162858368377481E-4</v>
      </c>
      <c r="J1281" s="6">
        <v>1966.0410270227235</v>
      </c>
      <c r="K1281" s="6">
        <v>1399245</v>
      </c>
      <c r="M1281" s="6">
        <f t="shared" si="100"/>
        <v>189749.04102702273</v>
      </c>
      <c r="N1281" s="6">
        <f t="shared" si="101"/>
        <v>1399245</v>
      </c>
      <c r="O1281" s="6">
        <f t="shared" si="102"/>
        <v>1588994.0410270228</v>
      </c>
      <c r="P1281" s="8">
        <f>VLOOKUP(F1281,'LEAID Match'!$A$2:$B$436,2,FALSE)</f>
        <v>1813200</v>
      </c>
      <c r="Q1281" s="6">
        <f t="shared" si="103"/>
        <v>9</v>
      </c>
    </row>
    <row r="1282" spans="1:17" x14ac:dyDescent="0.2">
      <c r="A1282" s="16">
        <f t="shared" si="99"/>
        <v>1813200</v>
      </c>
      <c r="B1282">
        <v>2023</v>
      </c>
      <c r="C1282" t="s">
        <v>904</v>
      </c>
      <c r="D1282" t="s">
        <v>906</v>
      </c>
      <c r="E1282" t="s">
        <v>2188</v>
      </c>
      <c r="F1282" t="s">
        <v>521</v>
      </c>
      <c r="G1282" t="s">
        <v>150</v>
      </c>
      <c r="H1282" s="6">
        <v>235909</v>
      </c>
      <c r="I1282" s="6">
        <v>9.6473818920471096E-4</v>
      </c>
      <c r="J1282" s="6">
        <v>2380.0091127680221</v>
      </c>
      <c r="K1282" s="6">
        <v>3323205</v>
      </c>
      <c r="M1282" s="6">
        <f t="shared" si="100"/>
        <v>238289.00911276802</v>
      </c>
      <c r="N1282" s="6">
        <f t="shared" si="101"/>
        <v>3323205</v>
      </c>
      <c r="O1282" s="6">
        <f t="shared" si="102"/>
        <v>3561494.0091127679</v>
      </c>
      <c r="P1282" s="8">
        <f>VLOOKUP(F1282,'LEAID Match'!$A$2:$B$436,2,FALSE)</f>
        <v>1813200</v>
      </c>
      <c r="Q1282" s="6">
        <f t="shared" si="103"/>
        <v>9</v>
      </c>
    </row>
    <row r="1283" spans="1:17" x14ac:dyDescent="0.2">
      <c r="A1283" s="16">
        <f t="shared" ref="A1283:A1346" si="104">P1283</f>
        <v>1809690</v>
      </c>
      <c r="B1283">
        <v>2015</v>
      </c>
      <c r="C1283" t="s">
        <v>904</v>
      </c>
      <c r="D1283" t="s">
        <v>906</v>
      </c>
      <c r="E1283" t="s">
        <v>2189</v>
      </c>
      <c r="F1283" t="s">
        <v>706</v>
      </c>
      <c r="G1283" t="s">
        <v>151</v>
      </c>
      <c r="H1283" s="6">
        <v>1386782</v>
      </c>
      <c r="I1283" s="6">
        <v>6.7435146197530847E-3</v>
      </c>
      <c r="J1283" s="6">
        <v>39186.563455385178</v>
      </c>
      <c r="K1283" s="6">
        <v>5702423.8586971201</v>
      </c>
      <c r="M1283" s="6">
        <f t="shared" ref="M1283:M1346" si="105">SUM(H1283,J1283)</f>
        <v>1425968.5634553852</v>
      </c>
      <c r="N1283" s="6">
        <f t="shared" ref="N1283:N1346" si="106">K1283</f>
        <v>5702423.8586971201</v>
      </c>
      <c r="O1283" s="6">
        <f t="shared" ref="O1283:O1346" si="107">SUM(M1283:N1283)</f>
        <v>7128392.4221525053</v>
      </c>
      <c r="P1283" s="8">
        <f>VLOOKUP(F1283,'LEAID Match'!$A$2:$B$436,2,FALSE)</f>
        <v>1809690</v>
      </c>
      <c r="Q1283" s="6">
        <f t="shared" ref="Q1283:Q1346" si="108">COUNTIF($P$2:$P$3691,P1283)</f>
        <v>9</v>
      </c>
    </row>
    <row r="1284" spans="1:17" x14ac:dyDescent="0.2">
      <c r="A1284" s="16">
        <f t="shared" si="104"/>
        <v>1809690</v>
      </c>
      <c r="B1284">
        <v>2016</v>
      </c>
      <c r="C1284" t="s">
        <v>904</v>
      </c>
      <c r="D1284" t="s">
        <v>906</v>
      </c>
      <c r="E1284" t="s">
        <v>2190</v>
      </c>
      <c r="F1284" t="s">
        <v>706</v>
      </c>
      <c r="G1284" t="s">
        <v>151</v>
      </c>
      <c r="H1284" s="6">
        <v>1376378</v>
      </c>
      <c r="I1284" s="6">
        <v>6.3865629615921671E-3</v>
      </c>
      <c r="J1284" s="6">
        <v>32239.369830117259</v>
      </c>
      <c r="K1284" s="6">
        <v>5668074.6284130402</v>
      </c>
      <c r="M1284" s="6">
        <f t="shared" si="105"/>
        <v>1408617.3698301173</v>
      </c>
      <c r="N1284" s="6">
        <f t="shared" si="106"/>
        <v>5668074.6284130402</v>
      </c>
      <c r="O1284" s="6">
        <f t="shared" si="107"/>
        <v>7076691.9982431578</v>
      </c>
      <c r="P1284" s="8">
        <f>VLOOKUP(F1284,'LEAID Match'!$A$2:$B$436,2,FALSE)</f>
        <v>1809690</v>
      </c>
      <c r="Q1284" s="6">
        <f t="shared" si="108"/>
        <v>9</v>
      </c>
    </row>
    <row r="1285" spans="1:17" x14ac:dyDescent="0.2">
      <c r="A1285" s="16">
        <f t="shared" si="104"/>
        <v>1809690</v>
      </c>
      <c r="B1285">
        <v>2017</v>
      </c>
      <c r="C1285" t="s">
        <v>904</v>
      </c>
      <c r="D1285" t="s">
        <v>906</v>
      </c>
      <c r="E1285" t="s">
        <v>2191</v>
      </c>
      <c r="F1285" t="s">
        <v>706</v>
      </c>
      <c r="G1285" t="s">
        <v>151</v>
      </c>
      <c r="H1285" s="6">
        <v>1464254</v>
      </c>
      <c r="I1285" s="6">
        <v>6.4477367787971812E-3</v>
      </c>
      <c r="J1285" s="6">
        <v>29176.008924057245</v>
      </c>
      <c r="K1285" s="6">
        <v>5615978.7343323398</v>
      </c>
      <c r="M1285" s="6">
        <f t="shared" si="105"/>
        <v>1493430.0089240572</v>
      </c>
      <c r="N1285" s="6">
        <f t="shared" si="106"/>
        <v>5615978.7343323398</v>
      </c>
      <c r="O1285" s="6">
        <f t="shared" si="107"/>
        <v>7109408.7432563975</v>
      </c>
      <c r="P1285" s="8">
        <f>VLOOKUP(F1285,'LEAID Match'!$A$2:$B$436,2,FALSE)</f>
        <v>1809690</v>
      </c>
      <c r="Q1285" s="6">
        <f t="shared" si="108"/>
        <v>9</v>
      </c>
    </row>
    <row r="1286" spans="1:17" x14ac:dyDescent="0.2">
      <c r="A1286" s="16">
        <f t="shared" si="104"/>
        <v>1809690</v>
      </c>
      <c r="B1286">
        <v>2018</v>
      </c>
      <c r="C1286" t="s">
        <v>904</v>
      </c>
      <c r="D1286" t="s">
        <v>906</v>
      </c>
      <c r="E1286" t="s">
        <v>2192</v>
      </c>
      <c r="F1286" t="s">
        <v>706</v>
      </c>
      <c r="G1286" t="s">
        <v>151</v>
      </c>
      <c r="H1286" s="6">
        <v>1549702</v>
      </c>
      <c r="I1286" s="6">
        <v>6.5744105435743792E-3</v>
      </c>
      <c r="J1286" s="6">
        <v>27402.143145618014</v>
      </c>
      <c r="K1286" s="6">
        <v>4631356</v>
      </c>
      <c r="M1286" s="6">
        <f t="shared" si="105"/>
        <v>1577104.143145618</v>
      </c>
      <c r="N1286" s="6">
        <f t="shared" si="106"/>
        <v>4631356</v>
      </c>
      <c r="O1286" s="6">
        <f t="shared" si="107"/>
        <v>6208460.143145618</v>
      </c>
      <c r="P1286" s="8">
        <f>VLOOKUP(F1286,'LEAID Match'!$A$2:$B$436,2,FALSE)</f>
        <v>1809690</v>
      </c>
      <c r="Q1286" s="6">
        <f t="shared" si="108"/>
        <v>9</v>
      </c>
    </row>
    <row r="1287" spans="1:17" x14ac:dyDescent="0.2">
      <c r="A1287" s="16">
        <f t="shared" si="104"/>
        <v>1809690</v>
      </c>
      <c r="B1287">
        <v>2019</v>
      </c>
      <c r="C1287" t="s">
        <v>904</v>
      </c>
      <c r="D1287" t="s">
        <v>906</v>
      </c>
      <c r="E1287" t="s">
        <v>2193</v>
      </c>
      <c r="F1287" t="s">
        <v>706</v>
      </c>
      <c r="G1287" t="s">
        <v>151</v>
      </c>
      <c r="H1287" s="6">
        <v>1596716</v>
      </c>
      <c r="I1287" s="6">
        <v>4.0620368443223809E-3</v>
      </c>
      <c r="J1287" s="6">
        <v>14237.439139349945</v>
      </c>
      <c r="K1287" s="6">
        <v>3834156.5773558901</v>
      </c>
      <c r="M1287" s="6">
        <f t="shared" si="105"/>
        <v>1610953.4391393499</v>
      </c>
      <c r="N1287" s="6">
        <f t="shared" si="106"/>
        <v>3834156.5773558901</v>
      </c>
      <c r="O1287" s="6">
        <f t="shared" si="107"/>
        <v>5445110.0164952399</v>
      </c>
      <c r="P1287" s="8">
        <f>VLOOKUP(F1287,'LEAID Match'!$A$2:$B$436,2,FALSE)</f>
        <v>1809690</v>
      </c>
      <c r="Q1287" s="6">
        <f t="shared" si="108"/>
        <v>9</v>
      </c>
    </row>
    <row r="1288" spans="1:17" x14ac:dyDescent="0.2">
      <c r="A1288" s="16">
        <f t="shared" si="104"/>
        <v>1809690</v>
      </c>
      <c r="B1288">
        <v>2020</v>
      </c>
      <c r="C1288" t="s">
        <v>904</v>
      </c>
      <c r="D1288" t="s">
        <v>906</v>
      </c>
      <c r="E1288" t="s">
        <v>2194</v>
      </c>
      <c r="F1288" t="s">
        <v>706</v>
      </c>
      <c r="G1288" t="s">
        <v>151</v>
      </c>
      <c r="H1288" s="6">
        <v>1137161</v>
      </c>
      <c r="I1288" s="6">
        <v>6.0254837532031083E-3</v>
      </c>
      <c r="J1288" s="6">
        <v>14196.039722546524</v>
      </c>
      <c r="K1288" s="6">
        <v>4827691</v>
      </c>
      <c r="M1288" s="6">
        <f t="shared" si="105"/>
        <v>1151357.0397225465</v>
      </c>
      <c r="N1288" s="6">
        <f t="shared" si="106"/>
        <v>4827691</v>
      </c>
      <c r="O1288" s="6">
        <f t="shared" si="107"/>
        <v>5979048.0397225469</v>
      </c>
      <c r="P1288" s="8">
        <f>VLOOKUP(F1288,'LEAID Match'!$A$2:$B$436,2,FALSE)</f>
        <v>1809690</v>
      </c>
      <c r="Q1288" s="6">
        <f t="shared" si="108"/>
        <v>9</v>
      </c>
    </row>
    <row r="1289" spans="1:17" x14ac:dyDescent="0.2">
      <c r="A1289" s="16">
        <f t="shared" si="104"/>
        <v>1809690</v>
      </c>
      <c r="B1289">
        <v>2021</v>
      </c>
      <c r="C1289" t="s">
        <v>904</v>
      </c>
      <c r="D1289" t="s">
        <v>906</v>
      </c>
      <c r="E1289" t="s">
        <v>2195</v>
      </c>
      <c r="F1289" t="s">
        <v>706</v>
      </c>
      <c r="G1289" t="s">
        <v>151</v>
      </c>
      <c r="H1289" s="6">
        <v>1141787</v>
      </c>
      <c r="I1289" s="6">
        <v>5.6405339649696724E-3</v>
      </c>
      <c r="J1289" s="6">
        <v>12713.763557041642</v>
      </c>
      <c r="K1289" s="6">
        <v>7773537</v>
      </c>
      <c r="M1289" s="6">
        <f t="shared" si="105"/>
        <v>1154500.7635570415</v>
      </c>
      <c r="N1289" s="6">
        <f t="shared" si="106"/>
        <v>7773537</v>
      </c>
      <c r="O1289" s="6">
        <f t="shared" si="107"/>
        <v>8928037.7635570411</v>
      </c>
      <c r="P1289" s="8">
        <f>VLOOKUP(F1289,'LEAID Match'!$A$2:$B$436,2,FALSE)</f>
        <v>1809690</v>
      </c>
      <c r="Q1289" s="6">
        <f t="shared" si="108"/>
        <v>9</v>
      </c>
    </row>
    <row r="1290" spans="1:17" x14ac:dyDescent="0.2">
      <c r="A1290" s="16">
        <f t="shared" si="104"/>
        <v>1809690</v>
      </c>
      <c r="B1290">
        <v>2022</v>
      </c>
      <c r="C1290" t="s">
        <v>904</v>
      </c>
      <c r="D1290" t="s">
        <v>906</v>
      </c>
      <c r="E1290" t="s">
        <v>2196</v>
      </c>
      <c r="F1290" t="s">
        <v>706</v>
      </c>
      <c r="G1290" t="s">
        <v>151</v>
      </c>
      <c r="H1290" s="6">
        <v>1248448</v>
      </c>
      <c r="I1290" s="6">
        <v>5.9278631294783935E-3</v>
      </c>
      <c r="J1290" s="6">
        <v>13070.938200499857</v>
      </c>
      <c r="K1290" s="6">
        <v>7585227</v>
      </c>
      <c r="M1290" s="6">
        <f t="shared" si="105"/>
        <v>1261518.9382004999</v>
      </c>
      <c r="N1290" s="6">
        <f t="shared" si="106"/>
        <v>7585227</v>
      </c>
      <c r="O1290" s="6">
        <f t="shared" si="107"/>
        <v>8846745.9382004999</v>
      </c>
      <c r="P1290" s="8">
        <f>VLOOKUP(F1290,'LEAID Match'!$A$2:$B$436,2,FALSE)</f>
        <v>1809690</v>
      </c>
      <c r="Q1290" s="6">
        <f t="shared" si="108"/>
        <v>9</v>
      </c>
    </row>
    <row r="1291" spans="1:17" x14ac:dyDescent="0.2">
      <c r="A1291" s="16">
        <f t="shared" si="104"/>
        <v>1809690</v>
      </c>
      <c r="B1291">
        <v>2023</v>
      </c>
      <c r="C1291" t="s">
        <v>904</v>
      </c>
      <c r="D1291" t="s">
        <v>906</v>
      </c>
      <c r="E1291" t="s">
        <v>2197</v>
      </c>
      <c r="F1291" t="s">
        <v>706</v>
      </c>
      <c r="G1291" t="s">
        <v>151</v>
      </c>
      <c r="H1291" s="6">
        <v>1374365</v>
      </c>
      <c r="I1291" s="6">
        <v>5.6203977016829904E-3</v>
      </c>
      <c r="J1291" s="6">
        <v>13865.521130051937</v>
      </c>
      <c r="K1291" s="6">
        <v>19625414</v>
      </c>
      <c r="M1291" s="6">
        <f t="shared" si="105"/>
        <v>1388230.5211300519</v>
      </c>
      <c r="N1291" s="6">
        <f t="shared" si="106"/>
        <v>19625414</v>
      </c>
      <c r="O1291" s="6">
        <f t="shared" si="107"/>
        <v>21013644.521130051</v>
      </c>
      <c r="P1291" s="8">
        <f>VLOOKUP(F1291,'LEAID Match'!$A$2:$B$436,2,FALSE)</f>
        <v>1809690</v>
      </c>
      <c r="Q1291" s="6">
        <f t="shared" si="108"/>
        <v>9</v>
      </c>
    </row>
    <row r="1292" spans="1:17" x14ac:dyDescent="0.2">
      <c r="A1292" s="16">
        <f t="shared" si="104"/>
        <v>1805460</v>
      </c>
      <c r="B1292">
        <v>2015</v>
      </c>
      <c r="C1292" t="s">
        <v>904</v>
      </c>
      <c r="D1292" t="s">
        <v>906</v>
      </c>
      <c r="E1292" t="s">
        <v>2198</v>
      </c>
      <c r="F1292" t="s">
        <v>522</v>
      </c>
      <c r="G1292" t="s">
        <v>152</v>
      </c>
      <c r="H1292" s="6">
        <v>395994</v>
      </c>
      <c r="I1292" s="6">
        <v>1.9256028188529293E-3</v>
      </c>
      <c r="J1292" s="6">
        <v>11189.677980354372</v>
      </c>
      <c r="K1292" s="6">
        <v>1628320.5532671299</v>
      </c>
      <c r="M1292" s="6">
        <f t="shared" si="105"/>
        <v>407183.67798035435</v>
      </c>
      <c r="N1292" s="6">
        <f t="shared" si="106"/>
        <v>1628320.5532671299</v>
      </c>
      <c r="O1292" s="6">
        <f t="shared" si="107"/>
        <v>2035504.2312474842</v>
      </c>
      <c r="P1292" s="8">
        <f>VLOOKUP(F1292,'LEAID Match'!$A$2:$B$436,2,FALSE)</f>
        <v>1805460</v>
      </c>
      <c r="Q1292" s="6">
        <f t="shared" si="108"/>
        <v>9</v>
      </c>
    </row>
    <row r="1293" spans="1:17" x14ac:dyDescent="0.2">
      <c r="A1293" s="16">
        <f t="shared" si="104"/>
        <v>1805460</v>
      </c>
      <c r="B1293">
        <v>2016</v>
      </c>
      <c r="C1293" t="s">
        <v>904</v>
      </c>
      <c r="D1293" t="s">
        <v>906</v>
      </c>
      <c r="E1293" t="s">
        <v>2199</v>
      </c>
      <c r="F1293" t="s">
        <v>522</v>
      </c>
      <c r="G1293" t="s">
        <v>152</v>
      </c>
      <c r="H1293" s="6">
        <v>398560</v>
      </c>
      <c r="I1293" s="6">
        <v>1.849367349646808E-3</v>
      </c>
      <c r="J1293" s="6">
        <v>9335.6063810170872</v>
      </c>
      <c r="K1293" s="6">
        <v>1641313.5228115399</v>
      </c>
      <c r="M1293" s="6">
        <f t="shared" si="105"/>
        <v>407895.60638101707</v>
      </c>
      <c r="N1293" s="6">
        <f t="shared" si="106"/>
        <v>1641313.5228115399</v>
      </c>
      <c r="O1293" s="6">
        <f t="shared" si="107"/>
        <v>2049209.129192557</v>
      </c>
      <c r="P1293" s="8">
        <f>VLOOKUP(F1293,'LEAID Match'!$A$2:$B$436,2,FALSE)</f>
        <v>1805460</v>
      </c>
      <c r="Q1293" s="6">
        <f t="shared" si="108"/>
        <v>9</v>
      </c>
    </row>
    <row r="1294" spans="1:17" x14ac:dyDescent="0.2">
      <c r="A1294" s="16">
        <f t="shared" si="104"/>
        <v>1805460</v>
      </c>
      <c r="B1294">
        <v>2017</v>
      </c>
      <c r="C1294" t="s">
        <v>904</v>
      </c>
      <c r="D1294" t="s">
        <v>906</v>
      </c>
      <c r="E1294" t="s">
        <v>2200</v>
      </c>
      <c r="F1294" t="s">
        <v>522</v>
      </c>
      <c r="G1294" t="s">
        <v>152</v>
      </c>
      <c r="H1294" s="6">
        <v>408303</v>
      </c>
      <c r="I1294" s="6">
        <v>1.7979327835151726E-3</v>
      </c>
      <c r="J1294" s="6">
        <v>8135.6458454061558</v>
      </c>
      <c r="K1294" s="6">
        <v>1565999.4544417099</v>
      </c>
      <c r="M1294" s="6">
        <f t="shared" si="105"/>
        <v>416438.64584540616</v>
      </c>
      <c r="N1294" s="6">
        <f t="shared" si="106"/>
        <v>1565999.4544417099</v>
      </c>
      <c r="O1294" s="6">
        <f t="shared" si="107"/>
        <v>1982438.1002871161</v>
      </c>
      <c r="P1294" s="8">
        <f>VLOOKUP(F1294,'LEAID Match'!$A$2:$B$436,2,FALSE)</f>
        <v>1805460</v>
      </c>
      <c r="Q1294" s="6">
        <f t="shared" si="108"/>
        <v>9</v>
      </c>
    </row>
    <row r="1295" spans="1:17" x14ac:dyDescent="0.2">
      <c r="A1295" s="16">
        <f t="shared" si="104"/>
        <v>1805460</v>
      </c>
      <c r="B1295">
        <v>2018</v>
      </c>
      <c r="C1295" t="s">
        <v>904</v>
      </c>
      <c r="D1295" t="s">
        <v>906</v>
      </c>
      <c r="E1295" t="s">
        <v>2201</v>
      </c>
      <c r="F1295" t="s">
        <v>522</v>
      </c>
      <c r="G1295" t="s">
        <v>152</v>
      </c>
      <c r="H1295" s="6">
        <v>423386</v>
      </c>
      <c r="I1295" s="6">
        <v>1.796160411744827E-3</v>
      </c>
      <c r="J1295" s="6">
        <v>7486.3965961524391</v>
      </c>
      <c r="K1295" s="6">
        <v>2367081</v>
      </c>
      <c r="M1295" s="6">
        <f t="shared" si="105"/>
        <v>430872.39659615245</v>
      </c>
      <c r="N1295" s="6">
        <f t="shared" si="106"/>
        <v>2367081</v>
      </c>
      <c r="O1295" s="6">
        <f t="shared" si="107"/>
        <v>2797953.3965961523</v>
      </c>
      <c r="P1295" s="8">
        <f>VLOOKUP(F1295,'LEAID Match'!$A$2:$B$436,2,FALSE)</f>
        <v>1805460</v>
      </c>
      <c r="Q1295" s="6">
        <f t="shared" si="108"/>
        <v>9</v>
      </c>
    </row>
    <row r="1296" spans="1:17" x14ac:dyDescent="0.2">
      <c r="A1296" s="16">
        <f t="shared" si="104"/>
        <v>1805460</v>
      </c>
      <c r="B1296">
        <v>2019</v>
      </c>
      <c r="C1296" t="s">
        <v>904</v>
      </c>
      <c r="D1296" t="s">
        <v>906</v>
      </c>
      <c r="E1296" t="s">
        <v>2202</v>
      </c>
      <c r="F1296" t="s">
        <v>522</v>
      </c>
      <c r="G1296" t="s">
        <v>152</v>
      </c>
      <c r="H1296" s="6">
        <v>441351</v>
      </c>
      <c r="I1296" s="6">
        <v>1.1227945503637011E-3</v>
      </c>
      <c r="J1296" s="6">
        <v>3935.3948990247723</v>
      </c>
      <c r="K1296" s="6">
        <v>1059805.7760882899</v>
      </c>
      <c r="M1296" s="6">
        <f t="shared" si="105"/>
        <v>445286.39489902474</v>
      </c>
      <c r="N1296" s="6">
        <f t="shared" si="106"/>
        <v>1059805.7760882899</v>
      </c>
      <c r="O1296" s="6">
        <f t="shared" si="107"/>
        <v>1505092.1709873145</v>
      </c>
      <c r="P1296" s="8">
        <f>VLOOKUP(F1296,'LEAID Match'!$A$2:$B$436,2,FALSE)</f>
        <v>1805460</v>
      </c>
      <c r="Q1296" s="6">
        <f t="shared" si="108"/>
        <v>9</v>
      </c>
    </row>
    <row r="1297" spans="1:17" x14ac:dyDescent="0.2">
      <c r="A1297" s="16">
        <f t="shared" si="104"/>
        <v>1805460</v>
      </c>
      <c r="B1297">
        <v>2020</v>
      </c>
      <c r="C1297" t="s">
        <v>904</v>
      </c>
      <c r="D1297" t="s">
        <v>906</v>
      </c>
      <c r="E1297" t="s">
        <v>2203</v>
      </c>
      <c r="F1297" t="s">
        <v>522</v>
      </c>
      <c r="G1297" t="s">
        <v>152</v>
      </c>
      <c r="H1297" s="6">
        <v>282756</v>
      </c>
      <c r="I1297" s="6">
        <v>1.4982413960034668E-3</v>
      </c>
      <c r="J1297" s="6">
        <v>3529.8567289841676</v>
      </c>
      <c r="K1297" s="6">
        <v>2443368</v>
      </c>
      <c r="M1297" s="6">
        <f t="shared" si="105"/>
        <v>286285.85672898416</v>
      </c>
      <c r="N1297" s="6">
        <f t="shared" si="106"/>
        <v>2443368</v>
      </c>
      <c r="O1297" s="6">
        <f t="shared" si="107"/>
        <v>2729653.856728984</v>
      </c>
      <c r="P1297" s="8">
        <f>VLOOKUP(F1297,'LEAID Match'!$A$2:$B$436,2,FALSE)</f>
        <v>1805460</v>
      </c>
      <c r="Q1297" s="6">
        <f t="shared" si="108"/>
        <v>9</v>
      </c>
    </row>
    <row r="1298" spans="1:17" x14ac:dyDescent="0.2">
      <c r="A1298" s="16">
        <f t="shared" si="104"/>
        <v>1805460</v>
      </c>
      <c r="B1298">
        <v>2021</v>
      </c>
      <c r="C1298" t="s">
        <v>904</v>
      </c>
      <c r="D1298" t="s">
        <v>906</v>
      </c>
      <c r="E1298" t="s">
        <v>2204</v>
      </c>
      <c r="F1298" t="s">
        <v>522</v>
      </c>
      <c r="G1298" t="s">
        <v>152</v>
      </c>
      <c r="H1298" s="6">
        <v>262658</v>
      </c>
      <c r="I1298" s="6">
        <v>1.2975549469130443E-3</v>
      </c>
      <c r="J1298" s="6">
        <v>2924.6888503420018</v>
      </c>
      <c r="K1298" s="6">
        <v>3825870</v>
      </c>
      <c r="M1298" s="6">
        <f t="shared" si="105"/>
        <v>265582.68885034201</v>
      </c>
      <c r="N1298" s="6">
        <f t="shared" si="106"/>
        <v>3825870</v>
      </c>
      <c r="O1298" s="6">
        <f t="shared" si="107"/>
        <v>4091452.6888503418</v>
      </c>
      <c r="P1298" s="8">
        <f>VLOOKUP(F1298,'LEAID Match'!$A$2:$B$436,2,FALSE)</f>
        <v>1805460</v>
      </c>
      <c r="Q1298" s="6">
        <f t="shared" si="108"/>
        <v>9</v>
      </c>
    </row>
    <row r="1299" spans="1:17" x14ac:dyDescent="0.2">
      <c r="A1299" s="16">
        <f t="shared" si="104"/>
        <v>1805460</v>
      </c>
      <c r="B1299">
        <v>2022</v>
      </c>
      <c r="C1299" t="s">
        <v>904</v>
      </c>
      <c r="D1299" t="s">
        <v>906</v>
      </c>
      <c r="E1299" t="s">
        <v>2205</v>
      </c>
      <c r="F1299" t="s">
        <v>522</v>
      </c>
      <c r="G1299" t="s">
        <v>152</v>
      </c>
      <c r="H1299" s="6">
        <v>290103</v>
      </c>
      <c r="I1299" s="6">
        <v>1.3774629599719577E-3</v>
      </c>
      <c r="J1299" s="6">
        <v>3037.3058267381666</v>
      </c>
      <c r="K1299" s="6">
        <v>3635557</v>
      </c>
      <c r="M1299" s="6">
        <f t="shared" si="105"/>
        <v>293140.30582673819</v>
      </c>
      <c r="N1299" s="6">
        <f t="shared" si="106"/>
        <v>3635557</v>
      </c>
      <c r="O1299" s="6">
        <f t="shared" si="107"/>
        <v>3928697.305826738</v>
      </c>
      <c r="P1299" s="8">
        <f>VLOOKUP(F1299,'LEAID Match'!$A$2:$B$436,2,FALSE)</f>
        <v>1805460</v>
      </c>
      <c r="Q1299" s="6">
        <f t="shared" si="108"/>
        <v>9</v>
      </c>
    </row>
    <row r="1300" spans="1:17" x14ac:dyDescent="0.2">
      <c r="A1300" s="16">
        <f t="shared" si="104"/>
        <v>1805460</v>
      </c>
      <c r="B1300">
        <v>2023</v>
      </c>
      <c r="C1300" t="s">
        <v>904</v>
      </c>
      <c r="D1300" t="s">
        <v>906</v>
      </c>
      <c r="E1300" t="s">
        <v>2206</v>
      </c>
      <c r="F1300" t="s">
        <v>522</v>
      </c>
      <c r="G1300" t="s">
        <v>152</v>
      </c>
      <c r="H1300" s="6">
        <v>311559</v>
      </c>
      <c r="I1300" s="6">
        <v>1.274105123121333E-3</v>
      </c>
      <c r="J1300" s="6">
        <v>3143.2173387403286</v>
      </c>
      <c r="K1300" s="6">
        <v>8819388</v>
      </c>
      <c r="M1300" s="6">
        <f t="shared" si="105"/>
        <v>314702.2173387403</v>
      </c>
      <c r="N1300" s="6">
        <f t="shared" si="106"/>
        <v>8819388</v>
      </c>
      <c r="O1300" s="6">
        <f t="shared" si="107"/>
        <v>9134090.2173387408</v>
      </c>
      <c r="P1300" s="8">
        <f>VLOOKUP(F1300,'LEAID Match'!$A$2:$B$436,2,FALSE)</f>
        <v>1805460</v>
      </c>
      <c r="Q1300" s="6">
        <f t="shared" si="108"/>
        <v>9</v>
      </c>
    </row>
    <row r="1301" spans="1:17" x14ac:dyDescent="0.2">
      <c r="A1301" s="16">
        <f t="shared" si="104"/>
        <v>1803870</v>
      </c>
      <c r="B1301">
        <v>2015</v>
      </c>
      <c r="C1301" t="s">
        <v>904</v>
      </c>
      <c r="D1301" t="s">
        <v>906</v>
      </c>
      <c r="E1301" t="s">
        <v>2207</v>
      </c>
      <c r="F1301" t="s">
        <v>707</v>
      </c>
      <c r="G1301" t="s">
        <v>153</v>
      </c>
      <c r="H1301" s="6">
        <v>1118217</v>
      </c>
      <c r="I1301" s="6">
        <v>5.4375616986349941E-3</v>
      </c>
      <c r="J1301" s="6">
        <v>31597.67103076795</v>
      </c>
      <c r="K1301" s="6">
        <v>4598089.1733529205</v>
      </c>
      <c r="M1301" s="6">
        <f t="shared" si="105"/>
        <v>1149814.671030768</v>
      </c>
      <c r="N1301" s="6">
        <f t="shared" si="106"/>
        <v>4598089.1733529205</v>
      </c>
      <c r="O1301" s="6">
        <f t="shared" si="107"/>
        <v>5747903.8443836886</v>
      </c>
      <c r="P1301" s="8">
        <f>VLOOKUP(F1301,'LEAID Match'!$A$2:$B$436,2,FALSE)</f>
        <v>1803870</v>
      </c>
      <c r="Q1301" s="6">
        <f t="shared" si="108"/>
        <v>9</v>
      </c>
    </row>
    <row r="1302" spans="1:17" x14ac:dyDescent="0.2">
      <c r="A1302" s="16">
        <f t="shared" si="104"/>
        <v>1803870</v>
      </c>
      <c r="B1302">
        <v>2016</v>
      </c>
      <c r="C1302" t="s">
        <v>904</v>
      </c>
      <c r="D1302" t="s">
        <v>906</v>
      </c>
      <c r="E1302" t="s">
        <v>2208</v>
      </c>
      <c r="F1302" t="s">
        <v>707</v>
      </c>
      <c r="G1302" t="s">
        <v>153</v>
      </c>
      <c r="H1302" s="6">
        <v>1154554</v>
      </c>
      <c r="I1302" s="6">
        <v>5.3572723579990988E-3</v>
      </c>
      <c r="J1302" s="6">
        <v>27043.51086317945</v>
      </c>
      <c r="K1302" s="6">
        <v>4754579.2177242003</v>
      </c>
      <c r="M1302" s="6">
        <f t="shared" si="105"/>
        <v>1181597.5108631793</v>
      </c>
      <c r="N1302" s="6">
        <f t="shared" si="106"/>
        <v>4754579.2177242003</v>
      </c>
      <c r="O1302" s="6">
        <f t="shared" si="107"/>
        <v>5936176.7285873797</v>
      </c>
      <c r="P1302" s="8">
        <f>VLOOKUP(F1302,'LEAID Match'!$A$2:$B$436,2,FALSE)</f>
        <v>1803870</v>
      </c>
      <c r="Q1302" s="6">
        <f t="shared" si="108"/>
        <v>9</v>
      </c>
    </row>
    <row r="1303" spans="1:17" x14ac:dyDescent="0.2">
      <c r="A1303" s="16">
        <f t="shared" si="104"/>
        <v>1803870</v>
      </c>
      <c r="B1303">
        <v>2017</v>
      </c>
      <c r="C1303" t="s">
        <v>904</v>
      </c>
      <c r="D1303" t="s">
        <v>906</v>
      </c>
      <c r="E1303" t="s">
        <v>2209</v>
      </c>
      <c r="F1303" t="s">
        <v>707</v>
      </c>
      <c r="G1303" t="s">
        <v>153</v>
      </c>
      <c r="H1303" s="6">
        <v>1003890</v>
      </c>
      <c r="I1303" s="6">
        <v>4.4205571402684933E-3</v>
      </c>
      <c r="J1303" s="6">
        <v>20003.021059714931</v>
      </c>
      <c r="K1303" s="6">
        <v>3850305.2691738498</v>
      </c>
      <c r="M1303" s="6">
        <f t="shared" si="105"/>
        <v>1023893.021059715</v>
      </c>
      <c r="N1303" s="6">
        <f t="shared" si="106"/>
        <v>3850305.2691738498</v>
      </c>
      <c r="O1303" s="6">
        <f t="shared" si="107"/>
        <v>4874198.2902335646</v>
      </c>
      <c r="P1303" s="8">
        <f>VLOOKUP(F1303,'LEAID Match'!$A$2:$B$436,2,FALSE)</f>
        <v>1803870</v>
      </c>
      <c r="Q1303" s="6">
        <f t="shared" si="108"/>
        <v>9</v>
      </c>
    </row>
    <row r="1304" spans="1:17" x14ac:dyDescent="0.2">
      <c r="A1304" s="16">
        <f t="shared" si="104"/>
        <v>1803870</v>
      </c>
      <c r="B1304">
        <v>2018</v>
      </c>
      <c r="C1304" t="s">
        <v>904</v>
      </c>
      <c r="D1304" t="s">
        <v>906</v>
      </c>
      <c r="E1304" t="s">
        <v>2210</v>
      </c>
      <c r="F1304" t="s">
        <v>707</v>
      </c>
      <c r="G1304" t="s">
        <v>153</v>
      </c>
      <c r="H1304" s="6">
        <v>902363</v>
      </c>
      <c r="I1304" s="6">
        <v>3.8281584597112269E-3</v>
      </c>
      <c r="J1304" s="6">
        <v>15955.764460076394</v>
      </c>
      <c r="K1304" s="6">
        <v>19968456</v>
      </c>
      <c r="M1304" s="6">
        <f t="shared" si="105"/>
        <v>918318.76446007635</v>
      </c>
      <c r="N1304" s="6">
        <f t="shared" si="106"/>
        <v>19968456</v>
      </c>
      <c r="O1304" s="6">
        <f t="shared" si="107"/>
        <v>20886774.764460076</v>
      </c>
      <c r="P1304" s="8">
        <f>VLOOKUP(F1304,'LEAID Match'!$A$2:$B$436,2,FALSE)</f>
        <v>1803870</v>
      </c>
      <c r="Q1304" s="6">
        <f t="shared" si="108"/>
        <v>9</v>
      </c>
    </row>
    <row r="1305" spans="1:17" x14ac:dyDescent="0.2">
      <c r="A1305" s="16">
        <f t="shared" si="104"/>
        <v>1803870</v>
      </c>
      <c r="B1305">
        <v>2019</v>
      </c>
      <c r="C1305" t="s">
        <v>904</v>
      </c>
      <c r="D1305" t="s">
        <v>906</v>
      </c>
      <c r="E1305" t="s">
        <v>2211</v>
      </c>
      <c r="F1305" t="s">
        <v>707</v>
      </c>
      <c r="G1305" t="s">
        <v>153</v>
      </c>
      <c r="H1305" s="6">
        <v>838405</v>
      </c>
      <c r="I1305" s="6">
        <v>2.1328977729690854E-3</v>
      </c>
      <c r="J1305" s="6">
        <v>7475.8066942566438</v>
      </c>
      <c r="K1305" s="6">
        <v>2013242.20790552</v>
      </c>
      <c r="M1305" s="6">
        <f t="shared" si="105"/>
        <v>845880.80669425661</v>
      </c>
      <c r="N1305" s="6">
        <f t="shared" si="106"/>
        <v>2013242.20790552</v>
      </c>
      <c r="O1305" s="6">
        <f t="shared" si="107"/>
        <v>2859123.0145997768</v>
      </c>
      <c r="P1305" s="8">
        <f>VLOOKUP(F1305,'LEAID Match'!$A$2:$B$436,2,FALSE)</f>
        <v>1803870</v>
      </c>
      <c r="Q1305" s="6">
        <f t="shared" si="108"/>
        <v>9</v>
      </c>
    </row>
    <row r="1306" spans="1:17" x14ac:dyDescent="0.2">
      <c r="A1306" s="16">
        <f t="shared" si="104"/>
        <v>1803870</v>
      </c>
      <c r="B1306">
        <v>2020</v>
      </c>
      <c r="C1306" t="s">
        <v>904</v>
      </c>
      <c r="D1306" t="s">
        <v>906</v>
      </c>
      <c r="E1306" t="s">
        <v>2212</v>
      </c>
      <c r="F1306" t="s">
        <v>707</v>
      </c>
      <c r="G1306" t="s">
        <v>153</v>
      </c>
      <c r="H1306" s="6">
        <v>778052</v>
      </c>
      <c r="I1306" s="6">
        <v>4.1226701277542804E-3</v>
      </c>
      <c r="J1306" s="6">
        <v>9713.0108209890841</v>
      </c>
      <c r="K1306" s="6">
        <v>20976063</v>
      </c>
      <c r="M1306" s="6">
        <f t="shared" si="105"/>
        <v>787765.01082098903</v>
      </c>
      <c r="N1306" s="6">
        <f t="shared" si="106"/>
        <v>20976063</v>
      </c>
      <c r="O1306" s="6">
        <f t="shared" si="107"/>
        <v>21763828.010820989</v>
      </c>
      <c r="P1306" s="8">
        <f>VLOOKUP(F1306,'LEAID Match'!$A$2:$B$436,2,FALSE)</f>
        <v>1803870</v>
      </c>
      <c r="Q1306" s="6">
        <f t="shared" si="108"/>
        <v>9</v>
      </c>
    </row>
    <row r="1307" spans="1:17" x14ac:dyDescent="0.2">
      <c r="A1307" s="16">
        <f t="shared" si="104"/>
        <v>1803870</v>
      </c>
      <c r="B1307">
        <v>2021</v>
      </c>
      <c r="C1307" t="s">
        <v>904</v>
      </c>
      <c r="D1307" t="s">
        <v>906</v>
      </c>
      <c r="E1307" t="s">
        <v>2213</v>
      </c>
      <c r="F1307" t="s">
        <v>707</v>
      </c>
      <c r="G1307" t="s">
        <v>153</v>
      </c>
      <c r="H1307" s="6">
        <v>801985</v>
      </c>
      <c r="I1307" s="6">
        <v>3.9618804837471457E-3</v>
      </c>
      <c r="J1307" s="6">
        <v>8930.0786103660666</v>
      </c>
      <c r="K1307" s="6">
        <v>32262400</v>
      </c>
      <c r="M1307" s="6">
        <f t="shared" si="105"/>
        <v>810915.07861036609</v>
      </c>
      <c r="N1307" s="6">
        <f t="shared" si="106"/>
        <v>32262400</v>
      </c>
      <c r="O1307" s="6">
        <f t="shared" si="107"/>
        <v>33073315.078610364</v>
      </c>
      <c r="P1307" s="8">
        <f>VLOOKUP(F1307,'LEAID Match'!$A$2:$B$436,2,FALSE)</f>
        <v>1803870</v>
      </c>
      <c r="Q1307" s="6">
        <f t="shared" si="108"/>
        <v>9</v>
      </c>
    </row>
    <row r="1308" spans="1:17" x14ac:dyDescent="0.2">
      <c r="A1308" s="16">
        <f t="shared" si="104"/>
        <v>1803870</v>
      </c>
      <c r="B1308">
        <v>2022</v>
      </c>
      <c r="C1308" t="s">
        <v>904</v>
      </c>
      <c r="D1308" t="s">
        <v>906</v>
      </c>
      <c r="E1308" t="s">
        <v>2214</v>
      </c>
      <c r="F1308" t="s">
        <v>707</v>
      </c>
      <c r="G1308" t="s">
        <v>153</v>
      </c>
      <c r="H1308" s="6">
        <v>1023157</v>
      </c>
      <c r="I1308" s="6">
        <v>4.8581395908902291E-3</v>
      </c>
      <c r="J1308" s="6">
        <v>10712.197797912955</v>
      </c>
      <c r="K1308" s="6">
        <v>31013323</v>
      </c>
      <c r="M1308" s="6">
        <f t="shared" si="105"/>
        <v>1033869.197797913</v>
      </c>
      <c r="N1308" s="6">
        <f t="shared" si="106"/>
        <v>31013323</v>
      </c>
      <c r="O1308" s="6">
        <f t="shared" si="107"/>
        <v>32047192.197797913</v>
      </c>
      <c r="P1308" s="8">
        <f>VLOOKUP(F1308,'LEAID Match'!$A$2:$B$436,2,FALSE)</f>
        <v>1803870</v>
      </c>
      <c r="Q1308" s="6">
        <f t="shared" si="108"/>
        <v>9</v>
      </c>
    </row>
    <row r="1309" spans="1:17" x14ac:dyDescent="0.2">
      <c r="A1309" s="16">
        <f t="shared" si="104"/>
        <v>1803870</v>
      </c>
      <c r="B1309">
        <v>2023</v>
      </c>
      <c r="C1309" t="s">
        <v>904</v>
      </c>
      <c r="D1309" t="s">
        <v>906</v>
      </c>
      <c r="E1309" t="s">
        <v>2215</v>
      </c>
      <c r="F1309" t="s">
        <v>707</v>
      </c>
      <c r="G1309" t="s">
        <v>153</v>
      </c>
      <c r="H1309" s="6">
        <v>1224847</v>
      </c>
      <c r="I1309" s="6">
        <v>5.0089512347253505E-3</v>
      </c>
      <c r="J1309" s="6">
        <v>12357.08269606744</v>
      </c>
      <c r="K1309" s="6">
        <v>73533152</v>
      </c>
      <c r="M1309" s="6">
        <f t="shared" si="105"/>
        <v>1237204.0826960674</v>
      </c>
      <c r="N1309" s="6">
        <f t="shared" si="106"/>
        <v>73533152</v>
      </c>
      <c r="O1309" s="6">
        <f t="shared" si="107"/>
        <v>74770356.082696065</v>
      </c>
      <c r="P1309" s="8">
        <f>VLOOKUP(F1309,'LEAID Match'!$A$2:$B$436,2,FALSE)</f>
        <v>1803870</v>
      </c>
      <c r="Q1309" s="6">
        <f t="shared" si="108"/>
        <v>9</v>
      </c>
    </row>
    <row r="1310" spans="1:17" x14ac:dyDescent="0.2">
      <c r="A1310" s="16">
        <f t="shared" si="104"/>
        <v>1811460</v>
      </c>
      <c r="B1310">
        <v>2015</v>
      </c>
      <c r="C1310" t="s">
        <v>904</v>
      </c>
      <c r="D1310" t="s">
        <v>906</v>
      </c>
      <c r="E1310" t="s">
        <v>2216</v>
      </c>
      <c r="F1310" t="s">
        <v>523</v>
      </c>
      <c r="G1310" t="s">
        <v>154</v>
      </c>
      <c r="H1310" s="6">
        <v>559642</v>
      </c>
      <c r="I1310" s="6">
        <v>2.7213751035331116E-3</v>
      </c>
      <c r="J1310" s="6">
        <v>15813.910726630911</v>
      </c>
      <c r="K1310" s="6">
        <v>2301238.3295492502</v>
      </c>
      <c r="M1310" s="6">
        <f t="shared" si="105"/>
        <v>575455.91072663094</v>
      </c>
      <c r="N1310" s="6">
        <f t="shared" si="106"/>
        <v>2301238.3295492502</v>
      </c>
      <c r="O1310" s="6">
        <f t="shared" si="107"/>
        <v>2876694.2402758813</v>
      </c>
      <c r="P1310" s="8">
        <f>VLOOKUP(F1310,'LEAID Match'!$A$2:$B$436,2,FALSE)</f>
        <v>1811460</v>
      </c>
      <c r="Q1310" s="6">
        <f t="shared" si="108"/>
        <v>9</v>
      </c>
    </row>
    <row r="1311" spans="1:17" x14ac:dyDescent="0.2">
      <c r="A1311" s="16">
        <f t="shared" si="104"/>
        <v>1811460</v>
      </c>
      <c r="B1311">
        <v>2016</v>
      </c>
      <c r="C1311" t="s">
        <v>904</v>
      </c>
      <c r="D1311" t="s">
        <v>906</v>
      </c>
      <c r="E1311" t="s">
        <v>2217</v>
      </c>
      <c r="F1311" t="s">
        <v>523</v>
      </c>
      <c r="G1311" t="s">
        <v>154</v>
      </c>
      <c r="H1311" s="6">
        <v>582145</v>
      </c>
      <c r="I1311" s="6">
        <v>2.7012242968690813E-3</v>
      </c>
      <c r="J1311" s="6">
        <v>13635.780250595122</v>
      </c>
      <c r="K1311" s="6">
        <v>2397336.5634713098</v>
      </c>
      <c r="M1311" s="6">
        <f t="shared" si="105"/>
        <v>595780.78025059507</v>
      </c>
      <c r="N1311" s="6">
        <f t="shared" si="106"/>
        <v>2397336.5634713098</v>
      </c>
      <c r="O1311" s="6">
        <f t="shared" si="107"/>
        <v>2993117.3437219048</v>
      </c>
      <c r="P1311" s="8">
        <f>VLOOKUP(F1311,'LEAID Match'!$A$2:$B$436,2,FALSE)</f>
        <v>1811460</v>
      </c>
      <c r="Q1311" s="6">
        <f t="shared" si="108"/>
        <v>9</v>
      </c>
    </row>
    <row r="1312" spans="1:17" x14ac:dyDescent="0.2">
      <c r="A1312" s="16">
        <f t="shared" si="104"/>
        <v>1811460</v>
      </c>
      <c r="B1312">
        <v>2017</v>
      </c>
      <c r="C1312" t="s">
        <v>904</v>
      </c>
      <c r="D1312" t="s">
        <v>906</v>
      </c>
      <c r="E1312" t="s">
        <v>2218</v>
      </c>
      <c r="F1312" t="s">
        <v>523</v>
      </c>
      <c r="G1312" t="s">
        <v>154</v>
      </c>
      <c r="H1312" s="6">
        <v>578188</v>
      </c>
      <c r="I1312" s="6">
        <v>2.5460091163549388E-3</v>
      </c>
      <c r="J1312" s="6">
        <v>11520.691251506098</v>
      </c>
      <c r="K1312" s="6">
        <v>2217573.94034515</v>
      </c>
      <c r="M1312" s="6">
        <f t="shared" si="105"/>
        <v>589708.6912515061</v>
      </c>
      <c r="N1312" s="6">
        <f t="shared" si="106"/>
        <v>2217573.94034515</v>
      </c>
      <c r="O1312" s="6">
        <f t="shared" si="107"/>
        <v>2807282.6315966561</v>
      </c>
      <c r="P1312" s="8">
        <f>VLOOKUP(F1312,'LEAID Match'!$A$2:$B$436,2,FALSE)</f>
        <v>1811460</v>
      </c>
      <c r="Q1312" s="6">
        <f t="shared" si="108"/>
        <v>9</v>
      </c>
    </row>
    <row r="1313" spans="1:17" x14ac:dyDescent="0.2">
      <c r="A1313" s="16">
        <f t="shared" si="104"/>
        <v>1811460</v>
      </c>
      <c r="B1313">
        <v>2018</v>
      </c>
      <c r="C1313" t="s">
        <v>904</v>
      </c>
      <c r="D1313" t="s">
        <v>906</v>
      </c>
      <c r="E1313" t="s">
        <v>2219</v>
      </c>
      <c r="F1313" t="s">
        <v>523</v>
      </c>
      <c r="G1313" t="s">
        <v>154</v>
      </c>
      <c r="H1313" s="6">
        <v>606043</v>
      </c>
      <c r="I1313" s="6">
        <v>2.5710591385049819E-3</v>
      </c>
      <c r="J1313" s="6">
        <v>10716.174489288764</v>
      </c>
      <c r="K1313" s="6">
        <v>2159543</v>
      </c>
      <c r="M1313" s="6">
        <f t="shared" si="105"/>
        <v>616759.17448928871</v>
      </c>
      <c r="N1313" s="6">
        <f t="shared" si="106"/>
        <v>2159543</v>
      </c>
      <c r="O1313" s="6">
        <f t="shared" si="107"/>
        <v>2776302.1744892886</v>
      </c>
      <c r="P1313" s="8">
        <f>VLOOKUP(F1313,'LEAID Match'!$A$2:$B$436,2,FALSE)</f>
        <v>1811460</v>
      </c>
      <c r="Q1313" s="6">
        <f t="shared" si="108"/>
        <v>9</v>
      </c>
    </row>
    <row r="1314" spans="1:17" x14ac:dyDescent="0.2">
      <c r="A1314" s="16">
        <f t="shared" si="104"/>
        <v>1811460</v>
      </c>
      <c r="B1314">
        <v>2019</v>
      </c>
      <c r="C1314" t="s">
        <v>904</v>
      </c>
      <c r="D1314" t="s">
        <v>906</v>
      </c>
      <c r="E1314" t="s">
        <v>2220</v>
      </c>
      <c r="F1314" t="s">
        <v>523</v>
      </c>
      <c r="G1314" t="s">
        <v>154</v>
      </c>
      <c r="H1314" s="6">
        <v>641331</v>
      </c>
      <c r="I1314" s="6">
        <v>1.6315425857861493E-3</v>
      </c>
      <c r="J1314" s="6">
        <v>5718.5567631804533</v>
      </c>
      <c r="K1314" s="6">
        <v>1540013.0467235399</v>
      </c>
      <c r="M1314" s="6">
        <f t="shared" si="105"/>
        <v>647049.55676318042</v>
      </c>
      <c r="N1314" s="6">
        <f t="shared" si="106"/>
        <v>1540013.0467235399</v>
      </c>
      <c r="O1314" s="6">
        <f t="shared" si="107"/>
        <v>2187062.6034867205</v>
      </c>
      <c r="P1314" s="8">
        <f>VLOOKUP(F1314,'LEAID Match'!$A$2:$B$436,2,FALSE)</f>
        <v>1811460</v>
      </c>
      <c r="Q1314" s="6">
        <f t="shared" si="108"/>
        <v>9</v>
      </c>
    </row>
    <row r="1315" spans="1:17" x14ac:dyDescent="0.2">
      <c r="A1315" s="16">
        <f t="shared" si="104"/>
        <v>1811460</v>
      </c>
      <c r="B1315">
        <v>2020</v>
      </c>
      <c r="C1315" t="s">
        <v>904</v>
      </c>
      <c r="D1315" t="s">
        <v>906</v>
      </c>
      <c r="E1315" t="s">
        <v>2221</v>
      </c>
      <c r="F1315" t="s">
        <v>523</v>
      </c>
      <c r="G1315" t="s">
        <v>154</v>
      </c>
      <c r="H1315" s="6">
        <v>501020</v>
      </c>
      <c r="I1315" s="6">
        <v>2.6547585346576442E-3</v>
      </c>
      <c r="J1315" s="6">
        <v>6254.6111076534098</v>
      </c>
      <c r="K1315" s="6">
        <v>2329551</v>
      </c>
      <c r="M1315" s="6">
        <f t="shared" si="105"/>
        <v>507274.61110765341</v>
      </c>
      <c r="N1315" s="6">
        <f t="shared" si="106"/>
        <v>2329551</v>
      </c>
      <c r="O1315" s="6">
        <f t="shared" si="107"/>
        <v>2836825.6111076535</v>
      </c>
      <c r="P1315" s="8">
        <f>VLOOKUP(F1315,'LEAID Match'!$A$2:$B$436,2,FALSE)</f>
        <v>1811460</v>
      </c>
      <c r="Q1315" s="6">
        <f t="shared" si="108"/>
        <v>9</v>
      </c>
    </row>
    <row r="1316" spans="1:17" x14ac:dyDescent="0.2">
      <c r="A1316" s="16">
        <f t="shared" si="104"/>
        <v>1811460</v>
      </c>
      <c r="B1316">
        <v>2021</v>
      </c>
      <c r="C1316" t="s">
        <v>904</v>
      </c>
      <c r="D1316" t="s">
        <v>906</v>
      </c>
      <c r="E1316" t="s">
        <v>2222</v>
      </c>
      <c r="F1316" t="s">
        <v>523</v>
      </c>
      <c r="G1316" t="s">
        <v>154</v>
      </c>
      <c r="H1316" s="6">
        <v>516650</v>
      </c>
      <c r="I1316" s="6">
        <v>2.5522990478973584E-3</v>
      </c>
      <c r="J1316" s="6">
        <v>5752.8820539606459</v>
      </c>
      <c r="K1316" s="6">
        <v>4091201</v>
      </c>
      <c r="M1316" s="6">
        <f t="shared" si="105"/>
        <v>522402.88205396064</v>
      </c>
      <c r="N1316" s="6">
        <f t="shared" si="106"/>
        <v>4091201</v>
      </c>
      <c r="O1316" s="6">
        <f t="shared" si="107"/>
        <v>4613603.882053961</v>
      </c>
      <c r="P1316" s="8">
        <f>VLOOKUP(F1316,'LEAID Match'!$A$2:$B$436,2,FALSE)</f>
        <v>1811460</v>
      </c>
      <c r="Q1316" s="6">
        <f t="shared" si="108"/>
        <v>9</v>
      </c>
    </row>
    <row r="1317" spans="1:17" x14ac:dyDescent="0.2">
      <c r="A1317" s="16">
        <f t="shared" si="104"/>
        <v>1811460</v>
      </c>
      <c r="B1317">
        <v>2022</v>
      </c>
      <c r="C1317" t="s">
        <v>904</v>
      </c>
      <c r="D1317" t="s">
        <v>906</v>
      </c>
      <c r="E1317" t="s">
        <v>2223</v>
      </c>
      <c r="F1317" t="s">
        <v>523</v>
      </c>
      <c r="G1317" t="s">
        <v>154</v>
      </c>
      <c r="H1317" s="6">
        <v>525536</v>
      </c>
      <c r="I1317" s="6">
        <v>2.4953425994623381E-3</v>
      </c>
      <c r="J1317" s="6">
        <v>5502.2304318144552</v>
      </c>
      <c r="K1317" s="6">
        <v>3586254</v>
      </c>
      <c r="M1317" s="6">
        <f t="shared" si="105"/>
        <v>531038.23043181445</v>
      </c>
      <c r="N1317" s="6">
        <f t="shared" si="106"/>
        <v>3586254</v>
      </c>
      <c r="O1317" s="6">
        <f t="shared" si="107"/>
        <v>4117292.2304318147</v>
      </c>
      <c r="P1317" s="8">
        <f>VLOOKUP(F1317,'LEAID Match'!$A$2:$B$436,2,FALSE)</f>
        <v>1811460</v>
      </c>
      <c r="Q1317" s="6">
        <f t="shared" si="108"/>
        <v>9</v>
      </c>
    </row>
    <row r="1318" spans="1:17" x14ac:dyDescent="0.2">
      <c r="A1318" s="16">
        <f t="shared" si="104"/>
        <v>1811460</v>
      </c>
      <c r="B1318">
        <v>2023</v>
      </c>
      <c r="C1318" t="s">
        <v>904</v>
      </c>
      <c r="D1318" t="s">
        <v>906</v>
      </c>
      <c r="E1318" t="s">
        <v>2224</v>
      </c>
      <c r="F1318" t="s">
        <v>523</v>
      </c>
      <c r="G1318" t="s">
        <v>154</v>
      </c>
      <c r="H1318" s="6">
        <v>614076</v>
      </c>
      <c r="I1318" s="6">
        <v>2.5112334343923804E-3</v>
      </c>
      <c r="J1318" s="6">
        <v>6195.212882646003</v>
      </c>
      <c r="K1318" s="6">
        <v>9770992</v>
      </c>
      <c r="M1318" s="6">
        <f t="shared" si="105"/>
        <v>620271.21288264601</v>
      </c>
      <c r="N1318" s="6">
        <f t="shared" si="106"/>
        <v>9770992</v>
      </c>
      <c r="O1318" s="6">
        <f t="shared" si="107"/>
        <v>10391263.212882645</v>
      </c>
      <c r="P1318" s="8">
        <f>VLOOKUP(F1318,'LEAID Match'!$A$2:$B$436,2,FALSE)</f>
        <v>1811460</v>
      </c>
      <c r="Q1318" s="6">
        <f t="shared" si="108"/>
        <v>9</v>
      </c>
    </row>
    <row r="1319" spans="1:17" x14ac:dyDescent="0.2">
      <c r="A1319" s="16">
        <f t="shared" si="104"/>
        <v>1805450</v>
      </c>
      <c r="B1319">
        <v>2015</v>
      </c>
      <c r="C1319" t="s">
        <v>904</v>
      </c>
      <c r="D1319" t="s">
        <v>906</v>
      </c>
      <c r="E1319" t="s">
        <v>2225</v>
      </c>
      <c r="F1319" t="s">
        <v>524</v>
      </c>
      <c r="G1319" t="s">
        <v>155</v>
      </c>
      <c r="H1319" s="6">
        <v>1775465</v>
      </c>
      <c r="I1319" s="6">
        <v>8.6335661873026253E-3</v>
      </c>
      <c r="J1319" s="6">
        <v>50169.653114415552</v>
      </c>
      <c r="K1319" s="6">
        <v>7300681.7050420903</v>
      </c>
      <c r="M1319" s="6">
        <f t="shared" si="105"/>
        <v>1825634.6531144155</v>
      </c>
      <c r="N1319" s="6">
        <f t="shared" si="106"/>
        <v>7300681.7050420903</v>
      </c>
      <c r="O1319" s="6">
        <f t="shared" si="107"/>
        <v>9126316.358156506</v>
      </c>
      <c r="P1319" s="8">
        <f>VLOOKUP(F1319,'LEAID Match'!$A$2:$B$436,2,FALSE)</f>
        <v>1805450</v>
      </c>
      <c r="Q1319" s="6">
        <f t="shared" si="108"/>
        <v>9</v>
      </c>
    </row>
    <row r="1320" spans="1:17" x14ac:dyDescent="0.2">
      <c r="A1320" s="16">
        <f t="shared" si="104"/>
        <v>1805450</v>
      </c>
      <c r="B1320">
        <v>2016</v>
      </c>
      <c r="C1320" t="s">
        <v>904</v>
      </c>
      <c r="D1320" t="s">
        <v>906</v>
      </c>
      <c r="E1320" t="s">
        <v>2226</v>
      </c>
      <c r="F1320" t="s">
        <v>524</v>
      </c>
      <c r="G1320" t="s">
        <v>155</v>
      </c>
      <c r="H1320" s="6">
        <v>1934986</v>
      </c>
      <c r="I1320" s="6">
        <v>8.9785726877350414E-3</v>
      </c>
      <c r="J1320" s="6">
        <v>45323.83492768649</v>
      </c>
      <c r="K1320" s="6">
        <v>7968483.2603648398</v>
      </c>
      <c r="M1320" s="6">
        <f t="shared" si="105"/>
        <v>1980309.8349276865</v>
      </c>
      <c r="N1320" s="6">
        <f t="shared" si="106"/>
        <v>7968483.2603648398</v>
      </c>
      <c r="O1320" s="6">
        <f t="shared" si="107"/>
        <v>9948793.0952925272</v>
      </c>
      <c r="P1320" s="8">
        <f>VLOOKUP(F1320,'LEAID Match'!$A$2:$B$436,2,FALSE)</f>
        <v>1805450</v>
      </c>
      <c r="Q1320" s="6">
        <f t="shared" si="108"/>
        <v>9</v>
      </c>
    </row>
    <row r="1321" spans="1:17" x14ac:dyDescent="0.2">
      <c r="A1321" s="16">
        <f t="shared" si="104"/>
        <v>1805450</v>
      </c>
      <c r="B1321">
        <v>2017</v>
      </c>
      <c r="C1321" t="s">
        <v>904</v>
      </c>
      <c r="D1321" t="s">
        <v>906</v>
      </c>
      <c r="E1321" t="s">
        <v>2227</v>
      </c>
      <c r="F1321" t="s">
        <v>524</v>
      </c>
      <c r="G1321" t="s">
        <v>155</v>
      </c>
      <c r="H1321" s="6">
        <v>2095402</v>
      </c>
      <c r="I1321" s="6">
        <v>9.2269514317633219E-3</v>
      </c>
      <c r="J1321" s="6">
        <v>41751.955228729028</v>
      </c>
      <c r="K1321" s="6">
        <v>8036674.6970658498</v>
      </c>
      <c r="M1321" s="6">
        <f t="shared" si="105"/>
        <v>2137153.9552287292</v>
      </c>
      <c r="N1321" s="6">
        <f t="shared" si="106"/>
        <v>8036674.6970658498</v>
      </c>
      <c r="O1321" s="6">
        <f t="shared" si="107"/>
        <v>10173828.65229458</v>
      </c>
      <c r="P1321" s="8">
        <f>VLOOKUP(F1321,'LEAID Match'!$A$2:$B$436,2,FALSE)</f>
        <v>1805450</v>
      </c>
      <c r="Q1321" s="6">
        <f t="shared" si="108"/>
        <v>9</v>
      </c>
    </row>
    <row r="1322" spans="1:17" x14ac:dyDescent="0.2">
      <c r="A1322" s="16">
        <f t="shared" si="104"/>
        <v>1805450</v>
      </c>
      <c r="B1322">
        <v>2018</v>
      </c>
      <c r="C1322" t="s">
        <v>904</v>
      </c>
      <c r="D1322" t="s">
        <v>906</v>
      </c>
      <c r="E1322" t="s">
        <v>2228</v>
      </c>
      <c r="F1322" t="s">
        <v>524</v>
      </c>
      <c r="G1322" t="s">
        <v>155</v>
      </c>
      <c r="H1322" s="6">
        <v>2015379</v>
      </c>
      <c r="I1322" s="6">
        <v>8.5499850596426862E-3</v>
      </c>
      <c r="J1322" s="6">
        <v>35636.337728590719</v>
      </c>
      <c r="K1322" s="6">
        <v>6315152</v>
      </c>
      <c r="M1322" s="6">
        <f t="shared" si="105"/>
        <v>2051015.3377285907</v>
      </c>
      <c r="N1322" s="6">
        <f t="shared" si="106"/>
        <v>6315152</v>
      </c>
      <c r="O1322" s="6">
        <f t="shared" si="107"/>
        <v>8366167.3377285907</v>
      </c>
      <c r="P1322" s="8">
        <f>VLOOKUP(F1322,'LEAID Match'!$A$2:$B$436,2,FALSE)</f>
        <v>1805450</v>
      </c>
      <c r="Q1322" s="6">
        <f t="shared" si="108"/>
        <v>9</v>
      </c>
    </row>
    <row r="1323" spans="1:17" x14ac:dyDescent="0.2">
      <c r="A1323" s="16">
        <f t="shared" si="104"/>
        <v>1805450</v>
      </c>
      <c r="B1323">
        <v>2019</v>
      </c>
      <c r="C1323" t="s">
        <v>904</v>
      </c>
      <c r="D1323" t="s">
        <v>906</v>
      </c>
      <c r="E1323" t="s">
        <v>2229</v>
      </c>
      <c r="F1323" t="s">
        <v>524</v>
      </c>
      <c r="G1323" t="s">
        <v>155</v>
      </c>
      <c r="H1323" s="6">
        <v>2081829</v>
      </c>
      <c r="I1323" s="6">
        <v>5.2961616853459343E-3</v>
      </c>
      <c r="J1323" s="6">
        <v>18563.046707137499</v>
      </c>
      <c r="K1323" s="6">
        <v>4999047.01479802</v>
      </c>
      <c r="M1323" s="6">
        <f t="shared" si="105"/>
        <v>2100392.0467071375</v>
      </c>
      <c r="N1323" s="6">
        <f t="shared" si="106"/>
        <v>4999047.01479802</v>
      </c>
      <c r="O1323" s="6">
        <f t="shared" si="107"/>
        <v>7099439.0615051575</v>
      </c>
      <c r="P1323" s="8">
        <f>VLOOKUP(F1323,'LEAID Match'!$A$2:$B$436,2,FALSE)</f>
        <v>1805450</v>
      </c>
      <c r="Q1323" s="6">
        <f t="shared" si="108"/>
        <v>9</v>
      </c>
    </row>
    <row r="1324" spans="1:17" x14ac:dyDescent="0.2">
      <c r="A1324" s="16">
        <f t="shared" si="104"/>
        <v>1805450</v>
      </c>
      <c r="B1324">
        <v>2020</v>
      </c>
      <c r="C1324" t="s">
        <v>904</v>
      </c>
      <c r="D1324" t="s">
        <v>906</v>
      </c>
      <c r="E1324" t="s">
        <v>2230</v>
      </c>
      <c r="F1324" t="s">
        <v>524</v>
      </c>
      <c r="G1324" t="s">
        <v>155</v>
      </c>
      <c r="H1324" s="6">
        <v>1651116</v>
      </c>
      <c r="I1324" s="6">
        <v>8.7487810720326357E-3</v>
      </c>
      <c r="J1324" s="6">
        <v>20612.12820570889</v>
      </c>
      <c r="K1324" s="6">
        <v>6944759</v>
      </c>
      <c r="M1324" s="6">
        <f t="shared" si="105"/>
        <v>1671728.1282057089</v>
      </c>
      <c r="N1324" s="6">
        <f t="shared" si="106"/>
        <v>6944759</v>
      </c>
      <c r="O1324" s="6">
        <f t="shared" si="107"/>
        <v>8616487.1282057092</v>
      </c>
      <c r="P1324" s="8">
        <f>VLOOKUP(F1324,'LEAID Match'!$A$2:$B$436,2,FALSE)</f>
        <v>1805450</v>
      </c>
      <c r="Q1324" s="6">
        <f t="shared" si="108"/>
        <v>9</v>
      </c>
    </row>
    <row r="1325" spans="1:17" x14ac:dyDescent="0.2">
      <c r="A1325" s="16">
        <f t="shared" si="104"/>
        <v>1805450</v>
      </c>
      <c r="B1325">
        <v>2021</v>
      </c>
      <c r="C1325" t="s">
        <v>904</v>
      </c>
      <c r="D1325" t="s">
        <v>906</v>
      </c>
      <c r="E1325" t="s">
        <v>2231</v>
      </c>
      <c r="F1325" t="s">
        <v>524</v>
      </c>
      <c r="G1325" t="s">
        <v>155</v>
      </c>
      <c r="H1325" s="6">
        <v>1727126</v>
      </c>
      <c r="I1325" s="6">
        <v>8.5321630608705557E-3</v>
      </c>
      <c r="J1325" s="6">
        <v>19231.495539202231</v>
      </c>
      <c r="K1325" s="6">
        <v>11549698</v>
      </c>
      <c r="M1325" s="6">
        <f t="shared" si="105"/>
        <v>1746357.4955392021</v>
      </c>
      <c r="N1325" s="6">
        <f t="shared" si="106"/>
        <v>11549698</v>
      </c>
      <c r="O1325" s="6">
        <f t="shared" si="107"/>
        <v>13296055.495539201</v>
      </c>
      <c r="P1325" s="8">
        <f>VLOOKUP(F1325,'LEAID Match'!$A$2:$B$436,2,FALSE)</f>
        <v>1805450</v>
      </c>
      <c r="Q1325" s="6">
        <f t="shared" si="108"/>
        <v>9</v>
      </c>
    </row>
    <row r="1326" spans="1:17" x14ac:dyDescent="0.2">
      <c r="A1326" s="16">
        <f t="shared" si="104"/>
        <v>1805450</v>
      </c>
      <c r="B1326">
        <v>2022</v>
      </c>
      <c r="C1326" t="s">
        <v>904</v>
      </c>
      <c r="D1326" t="s">
        <v>906</v>
      </c>
      <c r="E1326" t="s">
        <v>2232</v>
      </c>
      <c r="F1326" t="s">
        <v>524</v>
      </c>
      <c r="G1326" t="s">
        <v>155</v>
      </c>
      <c r="H1326" s="6">
        <v>1964668</v>
      </c>
      <c r="I1326" s="6">
        <v>9.3286087997786517E-3</v>
      </c>
      <c r="J1326" s="6">
        <v>20569.582403511926</v>
      </c>
      <c r="K1326" s="6">
        <v>11515518</v>
      </c>
      <c r="M1326" s="6">
        <f t="shared" si="105"/>
        <v>1985237.582403512</v>
      </c>
      <c r="N1326" s="6">
        <f t="shared" si="106"/>
        <v>11515518</v>
      </c>
      <c r="O1326" s="6">
        <f t="shared" si="107"/>
        <v>13500755.582403513</v>
      </c>
      <c r="P1326" s="8">
        <f>VLOOKUP(F1326,'LEAID Match'!$A$2:$B$436,2,FALSE)</f>
        <v>1805450</v>
      </c>
      <c r="Q1326" s="6">
        <f t="shared" si="108"/>
        <v>9</v>
      </c>
    </row>
    <row r="1327" spans="1:17" x14ac:dyDescent="0.2">
      <c r="A1327" s="16">
        <f t="shared" si="104"/>
        <v>1805450</v>
      </c>
      <c r="B1327">
        <v>2023</v>
      </c>
      <c r="C1327" t="s">
        <v>904</v>
      </c>
      <c r="D1327" t="s">
        <v>906</v>
      </c>
      <c r="E1327" t="s">
        <v>2233</v>
      </c>
      <c r="F1327" t="s">
        <v>524</v>
      </c>
      <c r="G1327" t="s">
        <v>155</v>
      </c>
      <c r="H1327" s="6">
        <v>2228691</v>
      </c>
      <c r="I1327" s="6">
        <v>9.1141216301066797E-3</v>
      </c>
      <c r="J1327" s="6">
        <v>22484.53806147318</v>
      </c>
      <c r="K1327" s="6">
        <v>33933785</v>
      </c>
      <c r="M1327" s="6">
        <f t="shared" si="105"/>
        <v>2251175.5380614731</v>
      </c>
      <c r="N1327" s="6">
        <f t="shared" si="106"/>
        <v>33933785</v>
      </c>
      <c r="O1327" s="6">
        <f t="shared" si="107"/>
        <v>36184960.53806147</v>
      </c>
      <c r="P1327" s="8">
        <f>VLOOKUP(F1327,'LEAID Match'!$A$2:$B$436,2,FALSE)</f>
        <v>1805450</v>
      </c>
      <c r="Q1327" s="6">
        <f t="shared" si="108"/>
        <v>9</v>
      </c>
    </row>
    <row r="1328" spans="1:17" x14ac:dyDescent="0.2">
      <c r="A1328" s="16">
        <f t="shared" si="104"/>
        <v>1802490</v>
      </c>
      <c r="B1328">
        <v>2015</v>
      </c>
      <c r="C1328" t="s">
        <v>904</v>
      </c>
      <c r="D1328" t="s">
        <v>906</v>
      </c>
      <c r="E1328" t="s">
        <v>2234</v>
      </c>
      <c r="F1328" t="s">
        <v>708</v>
      </c>
      <c r="G1328" t="s">
        <v>156</v>
      </c>
      <c r="H1328" s="6">
        <v>1534386</v>
      </c>
      <c r="I1328" s="6">
        <v>7.4612696323895578E-3</v>
      </c>
      <c r="J1328" s="6">
        <v>43357.437833815718</v>
      </c>
      <c r="K1328" s="6">
        <v>6309368.9814627199</v>
      </c>
      <c r="M1328" s="6">
        <f t="shared" si="105"/>
        <v>1577743.4378338158</v>
      </c>
      <c r="N1328" s="6">
        <f t="shared" si="106"/>
        <v>6309368.9814627199</v>
      </c>
      <c r="O1328" s="6">
        <f t="shared" si="107"/>
        <v>7887112.4192965357</v>
      </c>
      <c r="P1328" s="8">
        <f>VLOOKUP(F1328,'LEAID Match'!$A$2:$B$436,2,FALSE)</f>
        <v>1802490</v>
      </c>
      <c r="Q1328" s="6">
        <f t="shared" si="108"/>
        <v>9</v>
      </c>
    </row>
    <row r="1329" spans="1:17" x14ac:dyDescent="0.2">
      <c r="A1329" s="16">
        <f t="shared" si="104"/>
        <v>1802490</v>
      </c>
      <c r="B1329">
        <v>2016</v>
      </c>
      <c r="C1329" t="s">
        <v>904</v>
      </c>
      <c r="D1329" t="s">
        <v>906</v>
      </c>
      <c r="E1329" t="s">
        <v>2235</v>
      </c>
      <c r="F1329" t="s">
        <v>708</v>
      </c>
      <c r="G1329" t="s">
        <v>156</v>
      </c>
      <c r="H1329" s="6">
        <v>1636934</v>
      </c>
      <c r="I1329" s="6">
        <v>7.5955748021044461E-3</v>
      </c>
      <c r="J1329" s="6">
        <v>38342.461601023242</v>
      </c>
      <c r="K1329" s="6">
        <v>6741072.6368676899</v>
      </c>
      <c r="M1329" s="6">
        <f t="shared" si="105"/>
        <v>1675276.4616010233</v>
      </c>
      <c r="N1329" s="6">
        <f t="shared" si="106"/>
        <v>6741072.6368676899</v>
      </c>
      <c r="O1329" s="6">
        <f t="shared" si="107"/>
        <v>8416349.0984687135</v>
      </c>
      <c r="P1329" s="8">
        <f>VLOOKUP(F1329,'LEAID Match'!$A$2:$B$436,2,FALSE)</f>
        <v>1802490</v>
      </c>
      <c r="Q1329" s="6">
        <f t="shared" si="108"/>
        <v>9</v>
      </c>
    </row>
    <row r="1330" spans="1:17" x14ac:dyDescent="0.2">
      <c r="A1330" s="16">
        <f t="shared" si="104"/>
        <v>1802490</v>
      </c>
      <c r="B1330">
        <v>2017</v>
      </c>
      <c r="C1330" t="s">
        <v>904</v>
      </c>
      <c r="D1330" t="s">
        <v>906</v>
      </c>
      <c r="E1330" t="s">
        <v>2236</v>
      </c>
      <c r="F1330" t="s">
        <v>708</v>
      </c>
      <c r="G1330" t="s">
        <v>156</v>
      </c>
      <c r="H1330" s="6">
        <v>1754368</v>
      </c>
      <c r="I1330" s="6">
        <v>7.7252328333368755E-3</v>
      </c>
      <c r="J1330" s="6">
        <v>34956.678570849363</v>
      </c>
      <c r="K1330" s="6">
        <v>6728677.7978364099</v>
      </c>
      <c r="M1330" s="6">
        <f t="shared" si="105"/>
        <v>1789324.6785708494</v>
      </c>
      <c r="N1330" s="6">
        <f t="shared" si="106"/>
        <v>6728677.7978364099</v>
      </c>
      <c r="O1330" s="6">
        <f t="shared" si="107"/>
        <v>8518002.4764072597</v>
      </c>
      <c r="P1330" s="8">
        <f>VLOOKUP(F1330,'LEAID Match'!$A$2:$B$436,2,FALSE)</f>
        <v>1802490</v>
      </c>
      <c r="Q1330" s="6">
        <f t="shared" si="108"/>
        <v>9</v>
      </c>
    </row>
    <row r="1331" spans="1:17" x14ac:dyDescent="0.2">
      <c r="A1331" s="16">
        <f t="shared" si="104"/>
        <v>1802490</v>
      </c>
      <c r="B1331">
        <v>2018</v>
      </c>
      <c r="C1331" t="s">
        <v>904</v>
      </c>
      <c r="D1331" t="s">
        <v>906</v>
      </c>
      <c r="E1331" t="s">
        <v>2237</v>
      </c>
      <c r="F1331" t="s">
        <v>708</v>
      </c>
      <c r="G1331" t="s">
        <v>156</v>
      </c>
      <c r="H1331" s="6">
        <v>1799707</v>
      </c>
      <c r="I1331" s="6">
        <v>7.6350244602798574E-3</v>
      </c>
      <c r="J1331" s="6">
        <v>31822.781950446446</v>
      </c>
      <c r="K1331" s="6">
        <v>4396925</v>
      </c>
      <c r="M1331" s="6">
        <f t="shared" si="105"/>
        <v>1831529.7819504465</v>
      </c>
      <c r="N1331" s="6">
        <f t="shared" si="106"/>
        <v>4396925</v>
      </c>
      <c r="O1331" s="6">
        <f t="shared" si="107"/>
        <v>6228454.7819504468</v>
      </c>
      <c r="P1331" s="8">
        <f>VLOOKUP(F1331,'LEAID Match'!$A$2:$B$436,2,FALSE)</f>
        <v>1802490</v>
      </c>
      <c r="Q1331" s="6">
        <f t="shared" si="108"/>
        <v>9</v>
      </c>
    </row>
    <row r="1332" spans="1:17" x14ac:dyDescent="0.2">
      <c r="A1332" s="16">
        <f t="shared" si="104"/>
        <v>1802490</v>
      </c>
      <c r="B1332">
        <v>2019</v>
      </c>
      <c r="C1332" t="s">
        <v>904</v>
      </c>
      <c r="D1332" t="s">
        <v>906</v>
      </c>
      <c r="E1332" t="s">
        <v>2238</v>
      </c>
      <c r="F1332" t="s">
        <v>708</v>
      </c>
      <c r="G1332" t="s">
        <v>156</v>
      </c>
      <c r="H1332" s="6">
        <v>1929241</v>
      </c>
      <c r="I1332" s="6">
        <v>4.9079786408962869E-3</v>
      </c>
      <c r="J1332" s="6">
        <v>17202.465136341485</v>
      </c>
      <c r="K1332" s="6">
        <v>4632641.0391419996</v>
      </c>
      <c r="M1332" s="6">
        <f t="shared" si="105"/>
        <v>1946443.4651363415</v>
      </c>
      <c r="N1332" s="6">
        <f t="shared" si="106"/>
        <v>4632641.0391419996</v>
      </c>
      <c r="O1332" s="6">
        <f t="shared" si="107"/>
        <v>6579084.5042783413</v>
      </c>
      <c r="P1332" s="8">
        <f>VLOOKUP(F1332,'LEAID Match'!$A$2:$B$436,2,FALSE)</f>
        <v>1802490</v>
      </c>
      <c r="Q1332" s="6">
        <f t="shared" si="108"/>
        <v>9</v>
      </c>
    </row>
    <row r="1333" spans="1:17" x14ac:dyDescent="0.2">
      <c r="A1333" s="16">
        <f t="shared" si="104"/>
        <v>1802490</v>
      </c>
      <c r="B1333">
        <v>2020</v>
      </c>
      <c r="C1333" t="s">
        <v>904</v>
      </c>
      <c r="D1333" t="s">
        <v>906</v>
      </c>
      <c r="E1333" t="s">
        <v>2239</v>
      </c>
      <c r="F1333" t="s">
        <v>708</v>
      </c>
      <c r="G1333" t="s">
        <v>156</v>
      </c>
      <c r="H1333" s="6">
        <v>1545406</v>
      </c>
      <c r="I1333" s="6">
        <v>8.1886546804740955E-3</v>
      </c>
      <c r="J1333" s="6">
        <v>19292.470427196968</v>
      </c>
      <c r="K1333" s="6">
        <v>4713875</v>
      </c>
      <c r="M1333" s="6">
        <f t="shared" si="105"/>
        <v>1564698.4704271969</v>
      </c>
      <c r="N1333" s="6">
        <f t="shared" si="106"/>
        <v>4713875</v>
      </c>
      <c r="O1333" s="6">
        <f t="shared" si="107"/>
        <v>6278573.4704271965</v>
      </c>
      <c r="P1333" s="8">
        <f>VLOOKUP(F1333,'LEAID Match'!$A$2:$B$436,2,FALSE)</f>
        <v>1802490</v>
      </c>
      <c r="Q1333" s="6">
        <f t="shared" si="108"/>
        <v>9</v>
      </c>
    </row>
    <row r="1334" spans="1:17" x14ac:dyDescent="0.2">
      <c r="A1334" s="16">
        <f t="shared" si="104"/>
        <v>1802490</v>
      </c>
      <c r="B1334">
        <v>2021</v>
      </c>
      <c r="C1334" t="s">
        <v>904</v>
      </c>
      <c r="D1334" t="s">
        <v>906</v>
      </c>
      <c r="E1334" t="s">
        <v>2240</v>
      </c>
      <c r="F1334" t="s">
        <v>708</v>
      </c>
      <c r="G1334" t="s">
        <v>156</v>
      </c>
      <c r="H1334" s="6">
        <v>1657280</v>
      </c>
      <c r="I1334" s="6">
        <v>8.1871173252672687E-3</v>
      </c>
      <c r="J1334" s="6">
        <v>18453.762451152423</v>
      </c>
      <c r="K1334" s="6">
        <v>7909239</v>
      </c>
      <c r="M1334" s="6">
        <f t="shared" si="105"/>
        <v>1675733.7624511523</v>
      </c>
      <c r="N1334" s="6">
        <f t="shared" si="106"/>
        <v>7909239</v>
      </c>
      <c r="O1334" s="6">
        <f t="shared" si="107"/>
        <v>9584972.7624511532</v>
      </c>
      <c r="P1334" s="8">
        <f>VLOOKUP(F1334,'LEAID Match'!$A$2:$B$436,2,FALSE)</f>
        <v>1802490</v>
      </c>
      <c r="Q1334" s="6">
        <f t="shared" si="108"/>
        <v>9</v>
      </c>
    </row>
    <row r="1335" spans="1:17" x14ac:dyDescent="0.2">
      <c r="A1335" s="16">
        <f t="shared" si="104"/>
        <v>1802490</v>
      </c>
      <c r="B1335">
        <v>2022</v>
      </c>
      <c r="C1335" t="s">
        <v>904</v>
      </c>
      <c r="D1335" t="s">
        <v>906</v>
      </c>
      <c r="E1335" t="s">
        <v>2241</v>
      </c>
      <c r="F1335" t="s">
        <v>708</v>
      </c>
      <c r="G1335" t="s">
        <v>156</v>
      </c>
      <c r="H1335" s="6">
        <v>1841054</v>
      </c>
      <c r="I1335" s="6">
        <v>8.7416665539763894E-3</v>
      </c>
      <c r="J1335" s="6">
        <v>19275.374751517938</v>
      </c>
      <c r="K1335" s="6">
        <v>7773757</v>
      </c>
      <c r="M1335" s="6">
        <f t="shared" si="105"/>
        <v>1860329.374751518</v>
      </c>
      <c r="N1335" s="6">
        <f t="shared" si="106"/>
        <v>7773757</v>
      </c>
      <c r="O1335" s="6">
        <f t="shared" si="107"/>
        <v>9634086.3747515175</v>
      </c>
      <c r="P1335" s="8">
        <f>VLOOKUP(F1335,'LEAID Match'!$A$2:$B$436,2,FALSE)</f>
        <v>1802490</v>
      </c>
      <c r="Q1335" s="6">
        <f t="shared" si="108"/>
        <v>9</v>
      </c>
    </row>
    <row r="1336" spans="1:17" x14ac:dyDescent="0.2">
      <c r="A1336" s="16">
        <f t="shared" si="104"/>
        <v>1802490</v>
      </c>
      <c r="B1336">
        <v>2023</v>
      </c>
      <c r="C1336" t="s">
        <v>904</v>
      </c>
      <c r="D1336" t="s">
        <v>906</v>
      </c>
      <c r="E1336" t="s">
        <v>2242</v>
      </c>
      <c r="F1336" t="s">
        <v>708</v>
      </c>
      <c r="G1336" t="s">
        <v>156</v>
      </c>
      <c r="H1336" s="6">
        <v>2290837</v>
      </c>
      <c r="I1336" s="6">
        <v>9.3682646238301744E-3</v>
      </c>
      <c r="J1336" s="6">
        <v>23111.50882698904</v>
      </c>
      <c r="K1336" s="6">
        <v>21643815</v>
      </c>
      <c r="M1336" s="6">
        <f t="shared" si="105"/>
        <v>2313948.5088269892</v>
      </c>
      <c r="N1336" s="6">
        <f t="shared" si="106"/>
        <v>21643815</v>
      </c>
      <c r="O1336" s="6">
        <f t="shared" si="107"/>
        <v>23957763.50882699</v>
      </c>
      <c r="P1336" s="8">
        <f>VLOOKUP(F1336,'LEAID Match'!$A$2:$B$436,2,FALSE)</f>
        <v>1802490</v>
      </c>
      <c r="Q1336" s="6">
        <f t="shared" si="108"/>
        <v>9</v>
      </c>
    </row>
    <row r="1337" spans="1:17" x14ac:dyDescent="0.2">
      <c r="A1337" s="16">
        <f t="shared" si="104"/>
        <v>1804350</v>
      </c>
      <c r="B1337">
        <v>2015</v>
      </c>
      <c r="C1337" t="s">
        <v>904</v>
      </c>
      <c r="D1337" t="s">
        <v>906</v>
      </c>
      <c r="E1337" t="s">
        <v>2243</v>
      </c>
      <c r="F1337" t="s">
        <v>525</v>
      </c>
      <c r="G1337" t="s">
        <v>157</v>
      </c>
      <c r="H1337" s="6">
        <v>311724</v>
      </c>
      <c r="I1337" s="6">
        <v>1.5158224950481839E-3</v>
      </c>
      <c r="J1337" s="6">
        <v>8808.4445187249967</v>
      </c>
      <c r="K1337" s="6">
        <v>1281803.75497266</v>
      </c>
      <c r="M1337" s="6">
        <f t="shared" si="105"/>
        <v>320532.44451872498</v>
      </c>
      <c r="N1337" s="6">
        <f t="shared" si="106"/>
        <v>1281803.75497266</v>
      </c>
      <c r="O1337" s="6">
        <f t="shared" si="107"/>
        <v>1602336.1994913849</v>
      </c>
      <c r="P1337" s="8">
        <f>VLOOKUP(F1337,'LEAID Match'!$A$2:$B$436,2,FALSE)</f>
        <v>1804350</v>
      </c>
      <c r="Q1337" s="6">
        <f t="shared" si="108"/>
        <v>9</v>
      </c>
    </row>
    <row r="1338" spans="1:17" x14ac:dyDescent="0.2">
      <c r="A1338" s="16">
        <f t="shared" si="104"/>
        <v>1804350</v>
      </c>
      <c r="B1338">
        <v>2016</v>
      </c>
      <c r="C1338" t="s">
        <v>904</v>
      </c>
      <c r="D1338" t="s">
        <v>906</v>
      </c>
      <c r="E1338" t="s">
        <v>2244</v>
      </c>
      <c r="F1338" t="s">
        <v>525</v>
      </c>
      <c r="G1338" t="s">
        <v>157</v>
      </c>
      <c r="H1338" s="6">
        <v>358682</v>
      </c>
      <c r="I1338" s="6">
        <v>1.6643285319801696E-3</v>
      </c>
      <c r="J1338" s="6">
        <v>8401.5304294358957</v>
      </c>
      <c r="K1338" s="6">
        <v>1477091.5721324</v>
      </c>
      <c r="M1338" s="6">
        <f t="shared" si="105"/>
        <v>367083.53042943589</v>
      </c>
      <c r="N1338" s="6">
        <f t="shared" si="106"/>
        <v>1477091.5721324</v>
      </c>
      <c r="O1338" s="6">
        <f t="shared" si="107"/>
        <v>1844175.1025618359</v>
      </c>
      <c r="P1338" s="8">
        <f>VLOOKUP(F1338,'LEAID Match'!$A$2:$B$436,2,FALSE)</f>
        <v>1804350</v>
      </c>
      <c r="Q1338" s="6">
        <f t="shared" si="108"/>
        <v>9</v>
      </c>
    </row>
    <row r="1339" spans="1:17" x14ac:dyDescent="0.2">
      <c r="A1339" s="16">
        <f t="shared" si="104"/>
        <v>1804350</v>
      </c>
      <c r="B1339">
        <v>2017</v>
      </c>
      <c r="C1339" t="s">
        <v>904</v>
      </c>
      <c r="D1339" t="s">
        <v>906</v>
      </c>
      <c r="E1339" t="s">
        <v>2245</v>
      </c>
      <c r="F1339" t="s">
        <v>525</v>
      </c>
      <c r="G1339" t="s">
        <v>157</v>
      </c>
      <c r="H1339" s="6">
        <v>396199</v>
      </c>
      <c r="I1339" s="6">
        <v>1.744633693350105E-3</v>
      </c>
      <c r="J1339" s="6">
        <v>7894.4674624092249</v>
      </c>
      <c r="K1339" s="6">
        <v>1519575.9469079401</v>
      </c>
      <c r="M1339" s="6">
        <f t="shared" si="105"/>
        <v>404093.46746240923</v>
      </c>
      <c r="N1339" s="6">
        <f t="shared" si="106"/>
        <v>1519575.9469079401</v>
      </c>
      <c r="O1339" s="6">
        <f t="shared" si="107"/>
        <v>1923669.4143703494</v>
      </c>
      <c r="P1339" s="8">
        <f>VLOOKUP(F1339,'LEAID Match'!$A$2:$B$436,2,FALSE)</f>
        <v>1804350</v>
      </c>
      <c r="Q1339" s="6">
        <f t="shared" si="108"/>
        <v>9</v>
      </c>
    </row>
    <row r="1340" spans="1:17" x14ac:dyDescent="0.2">
      <c r="A1340" s="16">
        <f t="shared" si="104"/>
        <v>1804350</v>
      </c>
      <c r="B1340">
        <v>2018</v>
      </c>
      <c r="C1340" t="s">
        <v>904</v>
      </c>
      <c r="D1340" t="s">
        <v>906</v>
      </c>
      <c r="E1340" t="s">
        <v>2246</v>
      </c>
      <c r="F1340" t="s">
        <v>525</v>
      </c>
      <c r="G1340" t="s">
        <v>157</v>
      </c>
      <c r="H1340" s="6">
        <v>423584</v>
      </c>
      <c r="I1340" s="6">
        <v>1.7970004011670694E-3</v>
      </c>
      <c r="J1340" s="6">
        <v>7489.897672064345</v>
      </c>
      <c r="K1340" s="6">
        <v>1217503</v>
      </c>
      <c r="M1340" s="6">
        <f t="shared" si="105"/>
        <v>431073.89767206437</v>
      </c>
      <c r="N1340" s="6">
        <f t="shared" si="106"/>
        <v>1217503</v>
      </c>
      <c r="O1340" s="6">
        <f t="shared" si="107"/>
        <v>1648576.8976720644</v>
      </c>
      <c r="P1340" s="8">
        <f>VLOOKUP(F1340,'LEAID Match'!$A$2:$B$436,2,FALSE)</f>
        <v>1804350</v>
      </c>
      <c r="Q1340" s="6">
        <f t="shared" si="108"/>
        <v>9</v>
      </c>
    </row>
    <row r="1341" spans="1:17" x14ac:dyDescent="0.2">
      <c r="A1341" s="16">
        <f t="shared" si="104"/>
        <v>1804350</v>
      </c>
      <c r="B1341">
        <v>2019</v>
      </c>
      <c r="C1341" t="s">
        <v>904</v>
      </c>
      <c r="D1341" t="s">
        <v>906</v>
      </c>
      <c r="E1341" t="s">
        <v>2247</v>
      </c>
      <c r="F1341" t="s">
        <v>525</v>
      </c>
      <c r="G1341" t="s">
        <v>157</v>
      </c>
      <c r="H1341" s="6">
        <v>457568</v>
      </c>
      <c r="I1341" s="6">
        <v>1.1640505104119352E-3</v>
      </c>
      <c r="J1341" s="6">
        <v>4079.997038993833</v>
      </c>
      <c r="K1341" s="6">
        <v>1098747.27677782</v>
      </c>
      <c r="M1341" s="6">
        <f t="shared" si="105"/>
        <v>461647.99703899381</v>
      </c>
      <c r="N1341" s="6">
        <f t="shared" si="106"/>
        <v>1098747.27677782</v>
      </c>
      <c r="O1341" s="6">
        <f t="shared" si="107"/>
        <v>1560395.2738168137</v>
      </c>
      <c r="P1341" s="8">
        <f>VLOOKUP(F1341,'LEAID Match'!$A$2:$B$436,2,FALSE)</f>
        <v>1804350</v>
      </c>
      <c r="Q1341" s="6">
        <f t="shared" si="108"/>
        <v>9</v>
      </c>
    </row>
    <row r="1342" spans="1:17" x14ac:dyDescent="0.2">
      <c r="A1342" s="16">
        <f t="shared" si="104"/>
        <v>1804350</v>
      </c>
      <c r="B1342">
        <v>2020</v>
      </c>
      <c r="C1342" t="s">
        <v>904</v>
      </c>
      <c r="D1342" t="s">
        <v>906</v>
      </c>
      <c r="E1342" t="s">
        <v>2248</v>
      </c>
      <c r="F1342" t="s">
        <v>525</v>
      </c>
      <c r="G1342" t="s">
        <v>157</v>
      </c>
      <c r="H1342" s="6">
        <v>367329</v>
      </c>
      <c r="I1342" s="6">
        <v>1.9463690027888263E-3</v>
      </c>
      <c r="J1342" s="6">
        <v>4585.6453705704753</v>
      </c>
      <c r="K1342" s="6">
        <v>1388233</v>
      </c>
      <c r="M1342" s="6">
        <f t="shared" si="105"/>
        <v>371914.64537057048</v>
      </c>
      <c r="N1342" s="6">
        <f t="shared" si="106"/>
        <v>1388233</v>
      </c>
      <c r="O1342" s="6">
        <f t="shared" si="107"/>
        <v>1760147.6453705705</v>
      </c>
      <c r="P1342" s="8">
        <f>VLOOKUP(F1342,'LEAID Match'!$A$2:$B$436,2,FALSE)</f>
        <v>1804350</v>
      </c>
      <c r="Q1342" s="6">
        <f t="shared" si="108"/>
        <v>9</v>
      </c>
    </row>
    <row r="1343" spans="1:17" x14ac:dyDescent="0.2">
      <c r="A1343" s="16">
        <f t="shared" si="104"/>
        <v>1804350</v>
      </c>
      <c r="B1343">
        <v>2021</v>
      </c>
      <c r="C1343" t="s">
        <v>904</v>
      </c>
      <c r="D1343" t="s">
        <v>906</v>
      </c>
      <c r="E1343" t="s">
        <v>2249</v>
      </c>
      <c r="F1343" t="s">
        <v>525</v>
      </c>
      <c r="G1343" t="s">
        <v>157</v>
      </c>
      <c r="H1343" s="6">
        <v>405441</v>
      </c>
      <c r="I1343" s="6">
        <v>2.0029162455793147E-3</v>
      </c>
      <c r="J1343" s="6">
        <v>4514.5732175357753</v>
      </c>
      <c r="K1343" s="6">
        <v>2382538</v>
      </c>
      <c r="M1343" s="6">
        <f t="shared" si="105"/>
        <v>409955.5732175358</v>
      </c>
      <c r="N1343" s="6">
        <f t="shared" si="106"/>
        <v>2382538</v>
      </c>
      <c r="O1343" s="6">
        <f t="shared" si="107"/>
        <v>2792493.5732175359</v>
      </c>
      <c r="P1343" s="8">
        <f>VLOOKUP(F1343,'LEAID Match'!$A$2:$B$436,2,FALSE)</f>
        <v>1804350</v>
      </c>
      <c r="Q1343" s="6">
        <f t="shared" si="108"/>
        <v>9</v>
      </c>
    </row>
    <row r="1344" spans="1:17" x14ac:dyDescent="0.2">
      <c r="A1344" s="16">
        <f t="shared" si="104"/>
        <v>1804350</v>
      </c>
      <c r="B1344">
        <v>2022</v>
      </c>
      <c r="C1344" t="s">
        <v>904</v>
      </c>
      <c r="D1344" t="s">
        <v>906</v>
      </c>
      <c r="E1344" t="s">
        <v>2250</v>
      </c>
      <c r="F1344" t="s">
        <v>525</v>
      </c>
      <c r="G1344" t="s">
        <v>157</v>
      </c>
      <c r="H1344" s="6">
        <v>437095</v>
      </c>
      <c r="I1344" s="6">
        <v>2.0754082946020649E-3</v>
      </c>
      <c r="J1344" s="6">
        <v>4576.2752895975527</v>
      </c>
      <c r="K1344" s="6">
        <v>2381585</v>
      </c>
      <c r="M1344" s="6">
        <f t="shared" si="105"/>
        <v>441671.27528959757</v>
      </c>
      <c r="N1344" s="6">
        <f t="shared" si="106"/>
        <v>2381585</v>
      </c>
      <c r="O1344" s="6">
        <f t="shared" si="107"/>
        <v>2823256.2752895975</v>
      </c>
      <c r="P1344" s="8">
        <f>VLOOKUP(F1344,'LEAID Match'!$A$2:$B$436,2,FALSE)</f>
        <v>1804350</v>
      </c>
      <c r="Q1344" s="6">
        <f t="shared" si="108"/>
        <v>9</v>
      </c>
    </row>
    <row r="1345" spans="1:17" x14ac:dyDescent="0.2">
      <c r="A1345" s="16">
        <f t="shared" si="104"/>
        <v>1804350</v>
      </c>
      <c r="B1345">
        <v>2023</v>
      </c>
      <c r="C1345" t="s">
        <v>904</v>
      </c>
      <c r="D1345" t="s">
        <v>906</v>
      </c>
      <c r="E1345" t="s">
        <v>2251</v>
      </c>
      <c r="F1345" t="s">
        <v>525</v>
      </c>
      <c r="G1345" t="s">
        <v>157</v>
      </c>
      <c r="H1345" s="6">
        <v>553757</v>
      </c>
      <c r="I1345" s="6">
        <v>2.2645618668191256E-3</v>
      </c>
      <c r="J1345" s="6">
        <v>5586.6741254427825</v>
      </c>
      <c r="K1345" s="6">
        <v>7201194</v>
      </c>
      <c r="M1345" s="6">
        <f t="shared" si="105"/>
        <v>559343.67412544275</v>
      </c>
      <c r="N1345" s="6">
        <f t="shared" si="106"/>
        <v>7201194</v>
      </c>
      <c r="O1345" s="6">
        <f t="shared" si="107"/>
        <v>7760537.6741254423</v>
      </c>
      <c r="P1345" s="8">
        <f>VLOOKUP(F1345,'LEAID Match'!$A$2:$B$436,2,FALSE)</f>
        <v>1804350</v>
      </c>
      <c r="Q1345" s="6">
        <f t="shared" si="108"/>
        <v>9</v>
      </c>
    </row>
    <row r="1346" spans="1:17" x14ac:dyDescent="0.2">
      <c r="A1346" s="16">
        <f t="shared" si="104"/>
        <v>1808320</v>
      </c>
      <c r="B1346">
        <v>2015</v>
      </c>
      <c r="C1346" t="s">
        <v>904</v>
      </c>
      <c r="D1346" t="s">
        <v>906</v>
      </c>
      <c r="E1346" t="s">
        <v>2252</v>
      </c>
      <c r="F1346" t="s">
        <v>526</v>
      </c>
      <c r="G1346" t="s">
        <v>158</v>
      </c>
      <c r="H1346" s="6">
        <v>563133</v>
      </c>
      <c r="I1346" s="6">
        <v>2.7383508138737116E-3</v>
      </c>
      <c r="J1346" s="6">
        <v>15912.556579420137</v>
      </c>
      <c r="K1346" s="6">
        <v>2315593.2618246302</v>
      </c>
      <c r="M1346" s="6">
        <f t="shared" si="105"/>
        <v>579045.55657942011</v>
      </c>
      <c r="N1346" s="6">
        <f t="shared" si="106"/>
        <v>2315593.2618246302</v>
      </c>
      <c r="O1346" s="6">
        <f t="shared" si="107"/>
        <v>2894638.8184040505</v>
      </c>
      <c r="P1346" s="8">
        <f>VLOOKUP(F1346,'LEAID Match'!$A$2:$B$436,2,FALSE)</f>
        <v>1808320</v>
      </c>
      <c r="Q1346" s="6">
        <f t="shared" si="108"/>
        <v>9</v>
      </c>
    </row>
    <row r="1347" spans="1:17" x14ac:dyDescent="0.2">
      <c r="A1347" s="16">
        <f t="shared" ref="A1347:A1410" si="109">P1347</f>
        <v>1808320</v>
      </c>
      <c r="B1347">
        <v>2016</v>
      </c>
      <c r="C1347" t="s">
        <v>904</v>
      </c>
      <c r="D1347" t="s">
        <v>906</v>
      </c>
      <c r="E1347" t="s">
        <v>2253</v>
      </c>
      <c r="F1347" t="s">
        <v>526</v>
      </c>
      <c r="G1347" t="s">
        <v>158</v>
      </c>
      <c r="H1347" s="6">
        <v>581979</v>
      </c>
      <c r="I1347" s="6">
        <v>2.7004540364815831E-3</v>
      </c>
      <c r="J1347" s="6">
        <v>13631.891976159031</v>
      </c>
      <c r="K1347" s="6">
        <v>2396652.9573773998</v>
      </c>
      <c r="M1347" s="6">
        <f t="shared" ref="M1347:M1410" si="110">SUM(H1347,J1347)</f>
        <v>595610.89197615907</v>
      </c>
      <c r="N1347" s="6">
        <f t="shared" ref="N1347:N1410" si="111">K1347</f>
        <v>2396652.9573773998</v>
      </c>
      <c r="O1347" s="6">
        <f t="shared" ref="O1347:O1410" si="112">SUM(M1347:N1347)</f>
        <v>2992263.8493535588</v>
      </c>
      <c r="P1347" s="8">
        <f>VLOOKUP(F1347,'LEAID Match'!$A$2:$B$436,2,FALSE)</f>
        <v>1808320</v>
      </c>
      <c r="Q1347" s="6">
        <f t="shared" ref="Q1347:Q1410" si="113">COUNTIF($P$2:$P$3691,P1347)</f>
        <v>9</v>
      </c>
    </row>
    <row r="1348" spans="1:17" x14ac:dyDescent="0.2">
      <c r="A1348" s="16">
        <f t="shared" si="109"/>
        <v>1808320</v>
      </c>
      <c r="B1348">
        <v>2017</v>
      </c>
      <c r="C1348" t="s">
        <v>904</v>
      </c>
      <c r="D1348" t="s">
        <v>906</v>
      </c>
      <c r="E1348" t="s">
        <v>2254</v>
      </c>
      <c r="F1348" t="s">
        <v>526</v>
      </c>
      <c r="G1348" t="s">
        <v>158</v>
      </c>
      <c r="H1348" s="6">
        <v>618539</v>
      </c>
      <c r="I1348" s="6">
        <v>2.7236918317589914E-3</v>
      </c>
      <c r="J1348" s="6">
        <v>12324.705538709437</v>
      </c>
      <c r="K1348" s="6">
        <v>2372335.5854620798</v>
      </c>
      <c r="M1348" s="6">
        <f t="shared" si="110"/>
        <v>630863.70553870942</v>
      </c>
      <c r="N1348" s="6">
        <f t="shared" si="111"/>
        <v>2372335.5854620798</v>
      </c>
      <c r="O1348" s="6">
        <f t="shared" si="112"/>
        <v>3003199.291000789</v>
      </c>
      <c r="P1348" s="8">
        <f>VLOOKUP(F1348,'LEAID Match'!$A$2:$B$436,2,FALSE)</f>
        <v>1808320</v>
      </c>
      <c r="Q1348" s="6">
        <f t="shared" si="113"/>
        <v>9</v>
      </c>
    </row>
    <row r="1349" spans="1:17" x14ac:dyDescent="0.2">
      <c r="A1349" s="16">
        <f t="shared" si="109"/>
        <v>1808320</v>
      </c>
      <c r="B1349">
        <v>2018</v>
      </c>
      <c r="C1349" t="s">
        <v>904</v>
      </c>
      <c r="D1349" t="s">
        <v>906</v>
      </c>
      <c r="E1349" t="s">
        <v>2255</v>
      </c>
      <c r="F1349" t="s">
        <v>526</v>
      </c>
      <c r="G1349" t="s">
        <v>158</v>
      </c>
      <c r="H1349" s="6">
        <v>651203</v>
      </c>
      <c r="I1349" s="6">
        <v>2.7626446047093354E-3</v>
      </c>
      <c r="J1349" s="6">
        <v>11514.70271242851</v>
      </c>
      <c r="K1349" s="6">
        <v>1765397</v>
      </c>
      <c r="M1349" s="6">
        <f t="shared" si="110"/>
        <v>662717.70271242852</v>
      </c>
      <c r="N1349" s="6">
        <f t="shared" si="111"/>
        <v>1765397</v>
      </c>
      <c r="O1349" s="6">
        <f t="shared" si="112"/>
        <v>2428114.7027124288</v>
      </c>
      <c r="P1349" s="8">
        <f>VLOOKUP(F1349,'LEAID Match'!$A$2:$B$436,2,FALSE)</f>
        <v>1808320</v>
      </c>
      <c r="Q1349" s="6">
        <f t="shared" si="113"/>
        <v>9</v>
      </c>
    </row>
    <row r="1350" spans="1:17" x14ac:dyDescent="0.2">
      <c r="A1350" s="16">
        <f t="shared" si="109"/>
        <v>1808320</v>
      </c>
      <c r="B1350">
        <v>2019</v>
      </c>
      <c r="C1350" t="s">
        <v>904</v>
      </c>
      <c r="D1350" t="s">
        <v>906</v>
      </c>
      <c r="E1350" t="s">
        <v>2256</v>
      </c>
      <c r="F1350" t="s">
        <v>526</v>
      </c>
      <c r="G1350" t="s">
        <v>158</v>
      </c>
      <c r="H1350" s="6">
        <v>702763</v>
      </c>
      <c r="I1350" s="6">
        <v>1.7878252606139912E-3</v>
      </c>
      <c r="J1350" s="6">
        <v>6266.3275384520393</v>
      </c>
      <c r="K1350" s="6">
        <v>1687528.26349354</v>
      </c>
      <c r="M1350" s="6">
        <f t="shared" si="110"/>
        <v>709029.32753845199</v>
      </c>
      <c r="N1350" s="6">
        <f t="shared" si="111"/>
        <v>1687528.26349354</v>
      </c>
      <c r="O1350" s="6">
        <f t="shared" si="112"/>
        <v>2396557.5910319919</v>
      </c>
      <c r="P1350" s="8">
        <f>VLOOKUP(F1350,'LEAID Match'!$A$2:$B$436,2,FALSE)</f>
        <v>1808320</v>
      </c>
      <c r="Q1350" s="6">
        <f t="shared" si="113"/>
        <v>9</v>
      </c>
    </row>
    <row r="1351" spans="1:17" x14ac:dyDescent="0.2">
      <c r="A1351" s="16">
        <f t="shared" si="109"/>
        <v>1808320</v>
      </c>
      <c r="B1351">
        <v>2020</v>
      </c>
      <c r="C1351" t="s">
        <v>904</v>
      </c>
      <c r="D1351" t="s">
        <v>906</v>
      </c>
      <c r="E1351" t="s">
        <v>2257</v>
      </c>
      <c r="F1351" t="s">
        <v>526</v>
      </c>
      <c r="G1351" t="s">
        <v>158</v>
      </c>
      <c r="H1351" s="6">
        <v>503088</v>
      </c>
      <c r="I1351" s="6">
        <v>2.6657162621928168E-3</v>
      </c>
      <c r="J1351" s="6">
        <v>6280.4275137262766</v>
      </c>
      <c r="K1351" s="6">
        <v>1849812</v>
      </c>
      <c r="M1351" s="6">
        <f t="shared" si="110"/>
        <v>509368.42751372629</v>
      </c>
      <c r="N1351" s="6">
        <f t="shared" si="111"/>
        <v>1849812</v>
      </c>
      <c r="O1351" s="6">
        <f t="shared" si="112"/>
        <v>2359180.4275137261</v>
      </c>
      <c r="P1351" s="8">
        <f>VLOOKUP(F1351,'LEAID Match'!$A$2:$B$436,2,FALSE)</f>
        <v>1808320</v>
      </c>
      <c r="Q1351" s="6">
        <f t="shared" si="113"/>
        <v>9</v>
      </c>
    </row>
    <row r="1352" spans="1:17" x14ac:dyDescent="0.2">
      <c r="A1352" s="16">
        <f t="shared" si="109"/>
        <v>1808320</v>
      </c>
      <c r="B1352">
        <v>2021</v>
      </c>
      <c r="C1352" t="s">
        <v>904</v>
      </c>
      <c r="D1352" t="s">
        <v>906</v>
      </c>
      <c r="E1352" t="s">
        <v>2258</v>
      </c>
      <c r="F1352" t="s">
        <v>526</v>
      </c>
      <c r="G1352" t="s">
        <v>158</v>
      </c>
      <c r="H1352" s="6">
        <v>506065</v>
      </c>
      <c r="I1352" s="6">
        <v>2.5000081635036808E-3</v>
      </c>
      <c r="J1352" s="6">
        <v>5635.0184005372967</v>
      </c>
      <c r="K1352" s="6">
        <v>3075913</v>
      </c>
      <c r="M1352" s="6">
        <f t="shared" si="110"/>
        <v>511700.01840053732</v>
      </c>
      <c r="N1352" s="6">
        <f t="shared" si="111"/>
        <v>3075913</v>
      </c>
      <c r="O1352" s="6">
        <f t="shared" si="112"/>
        <v>3587613.0184005373</v>
      </c>
      <c r="P1352" s="8">
        <f>VLOOKUP(F1352,'LEAID Match'!$A$2:$B$436,2,FALSE)</f>
        <v>1808320</v>
      </c>
      <c r="Q1352" s="6">
        <f t="shared" si="113"/>
        <v>9</v>
      </c>
    </row>
    <row r="1353" spans="1:17" x14ac:dyDescent="0.2">
      <c r="A1353" s="16">
        <f t="shared" si="109"/>
        <v>1808320</v>
      </c>
      <c r="B1353">
        <v>2022</v>
      </c>
      <c r="C1353" t="s">
        <v>904</v>
      </c>
      <c r="D1353" t="s">
        <v>906</v>
      </c>
      <c r="E1353" t="s">
        <v>2259</v>
      </c>
      <c r="F1353" t="s">
        <v>526</v>
      </c>
      <c r="G1353" t="s">
        <v>158</v>
      </c>
      <c r="H1353" s="6">
        <v>581372</v>
      </c>
      <c r="I1353" s="6">
        <v>2.760462304646339E-3</v>
      </c>
      <c r="J1353" s="6">
        <v>6086.8193817451775</v>
      </c>
      <c r="K1353" s="6">
        <v>3103921</v>
      </c>
      <c r="M1353" s="6">
        <f t="shared" si="110"/>
        <v>587458.81938174518</v>
      </c>
      <c r="N1353" s="6">
        <f t="shared" si="111"/>
        <v>3103921</v>
      </c>
      <c r="O1353" s="6">
        <f t="shared" si="112"/>
        <v>3691379.8193817451</v>
      </c>
      <c r="P1353" s="8">
        <f>VLOOKUP(F1353,'LEAID Match'!$A$2:$B$436,2,FALSE)</f>
        <v>1808320</v>
      </c>
      <c r="Q1353" s="6">
        <f t="shared" si="113"/>
        <v>9</v>
      </c>
    </row>
    <row r="1354" spans="1:17" x14ac:dyDescent="0.2">
      <c r="A1354" s="16">
        <f t="shared" si="109"/>
        <v>1808320</v>
      </c>
      <c r="B1354">
        <v>2023</v>
      </c>
      <c r="C1354" t="s">
        <v>904</v>
      </c>
      <c r="D1354" t="s">
        <v>906</v>
      </c>
      <c r="E1354" t="s">
        <v>2260</v>
      </c>
      <c r="F1354" t="s">
        <v>526</v>
      </c>
      <c r="G1354" t="s">
        <v>158</v>
      </c>
      <c r="H1354" s="6">
        <v>629793</v>
      </c>
      <c r="I1354" s="6">
        <v>2.5755073286470738E-3</v>
      </c>
      <c r="J1354" s="6">
        <v>6353.7765797723314</v>
      </c>
      <c r="K1354" s="6">
        <v>8396311</v>
      </c>
      <c r="M1354" s="6">
        <f t="shared" si="110"/>
        <v>636146.77657977236</v>
      </c>
      <c r="N1354" s="6">
        <f t="shared" si="111"/>
        <v>8396311</v>
      </c>
      <c r="O1354" s="6">
        <f t="shared" si="112"/>
        <v>9032457.7765797731</v>
      </c>
      <c r="P1354" s="8">
        <f>VLOOKUP(F1354,'LEAID Match'!$A$2:$B$436,2,FALSE)</f>
        <v>1808320</v>
      </c>
      <c r="Q1354" s="6">
        <f t="shared" si="113"/>
        <v>9</v>
      </c>
    </row>
    <row r="1355" spans="1:17" x14ac:dyDescent="0.2">
      <c r="A1355" s="16">
        <f t="shared" si="109"/>
        <v>0</v>
      </c>
      <c r="B1355">
        <v>2015</v>
      </c>
      <c r="C1355" t="s">
        <v>904</v>
      </c>
      <c r="D1355" t="s">
        <v>906</v>
      </c>
      <c r="E1355" t="s">
        <v>2261</v>
      </c>
      <c r="F1355" t="s">
        <v>836</v>
      </c>
      <c r="G1355" t="s">
        <v>159</v>
      </c>
      <c r="H1355" s="6" t="s">
        <v>187</v>
      </c>
      <c r="I1355" s="6">
        <v>0</v>
      </c>
      <c r="J1355" s="6">
        <v>0</v>
      </c>
      <c r="K1355" s="6">
        <v>0</v>
      </c>
      <c r="M1355" s="6">
        <f t="shared" si="110"/>
        <v>0</v>
      </c>
      <c r="N1355" s="6">
        <f t="shared" si="111"/>
        <v>0</v>
      </c>
      <c r="O1355" s="6">
        <f t="shared" si="112"/>
        <v>0</v>
      </c>
      <c r="P1355" s="8">
        <f>VLOOKUP(F1355,'LEAID Match'!$A$2:$B$436,2,FALSE)</f>
        <v>0</v>
      </c>
      <c r="Q1355" s="6">
        <f t="shared" si="113"/>
        <v>371</v>
      </c>
    </row>
    <row r="1356" spans="1:17" x14ac:dyDescent="0.2">
      <c r="A1356" s="16">
        <f t="shared" si="109"/>
        <v>0</v>
      </c>
      <c r="B1356">
        <v>2016</v>
      </c>
      <c r="C1356" t="s">
        <v>904</v>
      </c>
      <c r="D1356" t="s">
        <v>906</v>
      </c>
      <c r="E1356" t="s">
        <v>2262</v>
      </c>
      <c r="F1356" t="s">
        <v>836</v>
      </c>
      <c r="G1356" t="s">
        <v>159</v>
      </c>
      <c r="H1356" s="6" t="s">
        <v>187</v>
      </c>
      <c r="I1356" s="6">
        <v>0</v>
      </c>
      <c r="J1356" s="6">
        <v>0</v>
      </c>
      <c r="K1356" s="6">
        <v>0</v>
      </c>
      <c r="M1356" s="6">
        <f t="shared" si="110"/>
        <v>0</v>
      </c>
      <c r="N1356" s="6">
        <f t="shared" si="111"/>
        <v>0</v>
      </c>
      <c r="O1356" s="6">
        <f t="shared" si="112"/>
        <v>0</v>
      </c>
      <c r="P1356" s="8">
        <f>VLOOKUP(F1356,'LEAID Match'!$A$2:$B$436,2,FALSE)</f>
        <v>0</v>
      </c>
      <c r="Q1356" s="6">
        <f t="shared" si="113"/>
        <v>371</v>
      </c>
    </row>
    <row r="1357" spans="1:17" x14ac:dyDescent="0.2">
      <c r="A1357" s="16">
        <f t="shared" si="109"/>
        <v>0</v>
      </c>
      <c r="B1357">
        <v>2017</v>
      </c>
      <c r="C1357" t="s">
        <v>904</v>
      </c>
      <c r="D1357" t="s">
        <v>906</v>
      </c>
      <c r="E1357" t="s">
        <v>2263</v>
      </c>
      <c r="F1357" t="s">
        <v>836</v>
      </c>
      <c r="G1357" t="s">
        <v>159</v>
      </c>
      <c r="H1357" s="6" t="s">
        <v>187</v>
      </c>
      <c r="I1357" s="6">
        <v>0</v>
      </c>
      <c r="J1357" s="6">
        <v>0</v>
      </c>
      <c r="K1357" s="6">
        <v>0</v>
      </c>
      <c r="M1357" s="6">
        <f t="shared" si="110"/>
        <v>0</v>
      </c>
      <c r="N1357" s="6">
        <f t="shared" si="111"/>
        <v>0</v>
      </c>
      <c r="O1357" s="6">
        <f t="shared" si="112"/>
        <v>0</v>
      </c>
      <c r="P1357" s="8">
        <f>VLOOKUP(F1357,'LEAID Match'!$A$2:$B$436,2,FALSE)</f>
        <v>0</v>
      </c>
      <c r="Q1357" s="6">
        <f t="shared" si="113"/>
        <v>371</v>
      </c>
    </row>
    <row r="1358" spans="1:17" x14ac:dyDescent="0.2">
      <c r="A1358" s="16">
        <f t="shared" si="109"/>
        <v>0</v>
      </c>
      <c r="B1358">
        <v>2018</v>
      </c>
      <c r="C1358" t="s">
        <v>904</v>
      </c>
      <c r="D1358" t="s">
        <v>906</v>
      </c>
      <c r="E1358" t="s">
        <v>2264</v>
      </c>
      <c r="F1358" t="s">
        <v>836</v>
      </c>
      <c r="G1358" t="s">
        <v>159</v>
      </c>
      <c r="H1358" s="6" t="s">
        <v>187</v>
      </c>
      <c r="I1358" s="6">
        <v>0</v>
      </c>
      <c r="J1358" s="6">
        <v>0</v>
      </c>
      <c r="K1358" s="6">
        <v>0</v>
      </c>
      <c r="M1358" s="6">
        <f t="shared" si="110"/>
        <v>0</v>
      </c>
      <c r="N1358" s="6">
        <f t="shared" si="111"/>
        <v>0</v>
      </c>
      <c r="O1358" s="6">
        <f t="shared" si="112"/>
        <v>0</v>
      </c>
      <c r="P1358" s="8">
        <f>VLOOKUP(F1358,'LEAID Match'!$A$2:$B$436,2,FALSE)</f>
        <v>0</v>
      </c>
      <c r="Q1358" s="6">
        <f t="shared" si="113"/>
        <v>371</v>
      </c>
    </row>
    <row r="1359" spans="1:17" x14ac:dyDescent="0.2">
      <c r="A1359" s="16">
        <f t="shared" si="109"/>
        <v>0</v>
      </c>
      <c r="B1359">
        <v>2019</v>
      </c>
      <c r="C1359" t="s">
        <v>904</v>
      </c>
      <c r="D1359" t="s">
        <v>906</v>
      </c>
      <c r="E1359" t="s">
        <v>2265</v>
      </c>
      <c r="F1359" t="s">
        <v>836</v>
      </c>
      <c r="G1359" t="s">
        <v>159</v>
      </c>
      <c r="H1359" s="6" t="s">
        <v>187</v>
      </c>
      <c r="I1359" s="6">
        <v>0</v>
      </c>
      <c r="J1359" s="6">
        <v>0</v>
      </c>
      <c r="K1359" s="6">
        <v>0</v>
      </c>
      <c r="M1359" s="6">
        <f t="shared" si="110"/>
        <v>0</v>
      </c>
      <c r="N1359" s="6">
        <f t="shared" si="111"/>
        <v>0</v>
      </c>
      <c r="O1359" s="6">
        <f t="shared" si="112"/>
        <v>0</v>
      </c>
      <c r="P1359" s="8">
        <f>VLOOKUP(F1359,'LEAID Match'!$A$2:$B$436,2,FALSE)</f>
        <v>0</v>
      </c>
      <c r="Q1359" s="6">
        <f t="shared" si="113"/>
        <v>371</v>
      </c>
    </row>
    <row r="1360" spans="1:17" x14ac:dyDescent="0.2">
      <c r="A1360" s="16">
        <f t="shared" si="109"/>
        <v>0</v>
      </c>
      <c r="B1360">
        <v>2020</v>
      </c>
      <c r="C1360" t="s">
        <v>904</v>
      </c>
      <c r="D1360" t="s">
        <v>906</v>
      </c>
      <c r="E1360" t="s">
        <v>2266</v>
      </c>
      <c r="F1360" t="s">
        <v>836</v>
      </c>
      <c r="G1360" t="s">
        <v>159</v>
      </c>
      <c r="H1360" s="6" t="s">
        <v>187</v>
      </c>
      <c r="I1360" s="6">
        <v>0</v>
      </c>
      <c r="J1360" s="6">
        <v>0</v>
      </c>
      <c r="K1360" s="6">
        <v>583</v>
      </c>
      <c r="M1360" s="6">
        <f t="shared" si="110"/>
        <v>0</v>
      </c>
      <c r="N1360" s="6">
        <f t="shared" si="111"/>
        <v>583</v>
      </c>
      <c r="O1360" s="6">
        <f t="shared" si="112"/>
        <v>583</v>
      </c>
      <c r="P1360" s="8">
        <f>VLOOKUP(F1360,'LEAID Match'!$A$2:$B$436,2,FALSE)</f>
        <v>0</v>
      </c>
      <c r="Q1360" s="6">
        <f t="shared" si="113"/>
        <v>371</v>
      </c>
    </row>
    <row r="1361" spans="1:17" x14ac:dyDescent="0.2">
      <c r="A1361" s="16">
        <f t="shared" si="109"/>
        <v>0</v>
      </c>
      <c r="B1361">
        <v>2021</v>
      </c>
      <c r="C1361" t="s">
        <v>904</v>
      </c>
      <c r="D1361" t="s">
        <v>906</v>
      </c>
      <c r="E1361" t="s">
        <v>2267</v>
      </c>
      <c r="F1361" t="s">
        <v>836</v>
      </c>
      <c r="G1361" t="s">
        <v>159</v>
      </c>
      <c r="H1361" s="6" t="s">
        <v>187</v>
      </c>
      <c r="I1361" s="6">
        <v>0</v>
      </c>
      <c r="J1361" s="6">
        <v>0</v>
      </c>
      <c r="K1361" s="6">
        <v>959</v>
      </c>
      <c r="M1361" s="6">
        <f t="shared" si="110"/>
        <v>0</v>
      </c>
      <c r="N1361" s="6">
        <f t="shared" si="111"/>
        <v>959</v>
      </c>
      <c r="O1361" s="6">
        <f t="shared" si="112"/>
        <v>959</v>
      </c>
      <c r="P1361" s="8">
        <f>VLOOKUP(F1361,'LEAID Match'!$A$2:$B$436,2,FALSE)</f>
        <v>0</v>
      </c>
      <c r="Q1361" s="6">
        <f t="shared" si="113"/>
        <v>371</v>
      </c>
    </row>
    <row r="1362" spans="1:17" x14ac:dyDescent="0.2">
      <c r="A1362" s="16">
        <f t="shared" si="109"/>
        <v>0</v>
      </c>
      <c r="B1362">
        <v>2022</v>
      </c>
      <c r="C1362" t="s">
        <v>904</v>
      </c>
      <c r="D1362" t="s">
        <v>906</v>
      </c>
      <c r="E1362" t="s">
        <v>2268</v>
      </c>
      <c r="F1362" t="s">
        <v>836</v>
      </c>
      <c r="G1362" t="s">
        <v>159</v>
      </c>
      <c r="H1362" s="6" t="s">
        <v>187</v>
      </c>
      <c r="I1362" s="6">
        <v>0</v>
      </c>
      <c r="J1362" s="6">
        <v>0</v>
      </c>
      <c r="K1362" s="6">
        <v>930</v>
      </c>
      <c r="M1362" s="6">
        <f t="shared" si="110"/>
        <v>0</v>
      </c>
      <c r="N1362" s="6">
        <f t="shared" si="111"/>
        <v>930</v>
      </c>
      <c r="O1362" s="6">
        <f t="shared" si="112"/>
        <v>930</v>
      </c>
      <c r="P1362" s="8">
        <f>VLOOKUP(F1362,'LEAID Match'!$A$2:$B$436,2,FALSE)</f>
        <v>0</v>
      </c>
      <c r="Q1362" s="6">
        <f t="shared" si="113"/>
        <v>371</v>
      </c>
    </row>
    <row r="1363" spans="1:17" x14ac:dyDescent="0.2">
      <c r="A1363" s="16">
        <f t="shared" si="109"/>
        <v>0</v>
      </c>
      <c r="B1363">
        <v>2023</v>
      </c>
      <c r="C1363" t="s">
        <v>904</v>
      </c>
      <c r="D1363" t="s">
        <v>906</v>
      </c>
      <c r="E1363" t="s">
        <v>2269</v>
      </c>
      <c r="F1363" t="s">
        <v>836</v>
      </c>
      <c r="G1363" t="s">
        <v>159</v>
      </c>
      <c r="H1363" s="6" t="s">
        <v>187</v>
      </c>
      <c r="I1363" s="6">
        <v>0</v>
      </c>
      <c r="J1363" s="6">
        <v>0</v>
      </c>
      <c r="K1363" s="6">
        <v>2118</v>
      </c>
      <c r="M1363" s="6">
        <f t="shared" si="110"/>
        <v>0</v>
      </c>
      <c r="N1363" s="6">
        <f t="shared" si="111"/>
        <v>2118</v>
      </c>
      <c r="O1363" s="6">
        <f t="shared" si="112"/>
        <v>2118</v>
      </c>
      <c r="P1363" s="8">
        <f>VLOOKUP(F1363,'LEAID Match'!$A$2:$B$436,2,FALSE)</f>
        <v>0</v>
      </c>
      <c r="Q1363" s="6">
        <f t="shared" si="113"/>
        <v>371</v>
      </c>
    </row>
    <row r="1364" spans="1:17" x14ac:dyDescent="0.2">
      <c r="A1364" s="16">
        <f t="shared" si="109"/>
        <v>1800130</v>
      </c>
      <c r="B1364">
        <v>2015</v>
      </c>
      <c r="C1364" t="s">
        <v>904</v>
      </c>
      <c r="D1364" t="s">
        <v>906</v>
      </c>
      <c r="E1364" t="s">
        <v>2270</v>
      </c>
      <c r="F1364" t="s">
        <v>837</v>
      </c>
      <c r="G1364" t="s">
        <v>160</v>
      </c>
      <c r="H1364" s="6">
        <v>4079</v>
      </c>
      <c r="I1364" s="6">
        <v>1.9834982090893039E-5</v>
      </c>
      <c r="J1364" s="6">
        <v>115.26108093017945</v>
      </c>
      <c r="K1364" s="6">
        <v>16772.7782157726</v>
      </c>
      <c r="M1364" s="6">
        <f t="shared" si="110"/>
        <v>4194.2610809301796</v>
      </c>
      <c r="N1364" s="6">
        <f t="shared" si="111"/>
        <v>16772.7782157726</v>
      </c>
      <c r="O1364" s="6">
        <f t="shared" si="112"/>
        <v>20967.03929670278</v>
      </c>
      <c r="P1364" s="8">
        <f>VLOOKUP(F1364,'LEAID Match'!$A$2:$B$436,2,FALSE)</f>
        <v>1800130</v>
      </c>
      <c r="Q1364" s="6">
        <f t="shared" si="113"/>
        <v>9</v>
      </c>
    </row>
    <row r="1365" spans="1:17" x14ac:dyDescent="0.2">
      <c r="A1365" s="16">
        <f t="shared" si="109"/>
        <v>1800130</v>
      </c>
      <c r="B1365">
        <v>2016</v>
      </c>
      <c r="C1365" t="s">
        <v>904</v>
      </c>
      <c r="D1365" t="s">
        <v>906</v>
      </c>
      <c r="E1365" t="s">
        <v>2271</v>
      </c>
      <c r="F1365" t="s">
        <v>837</v>
      </c>
      <c r="G1365" t="s">
        <v>160</v>
      </c>
      <c r="H1365" s="6">
        <v>4804</v>
      </c>
      <c r="I1365" s="6">
        <v>2.2291150009291613E-5</v>
      </c>
      <c r="J1365" s="6">
        <v>112.52572524690406</v>
      </c>
      <c r="K1365" s="6">
        <v>19783.395633246299</v>
      </c>
      <c r="M1365" s="6">
        <f t="shared" si="110"/>
        <v>4916.5257252469037</v>
      </c>
      <c r="N1365" s="6">
        <f t="shared" si="111"/>
        <v>19783.395633246299</v>
      </c>
      <c r="O1365" s="6">
        <f t="shared" si="112"/>
        <v>24699.9213584932</v>
      </c>
      <c r="P1365" s="8">
        <f>VLOOKUP(F1365,'LEAID Match'!$A$2:$B$436,2,FALSE)</f>
        <v>1800130</v>
      </c>
      <c r="Q1365" s="6">
        <f t="shared" si="113"/>
        <v>9</v>
      </c>
    </row>
    <row r="1366" spans="1:17" x14ac:dyDescent="0.2">
      <c r="A1366" s="16">
        <f t="shared" si="109"/>
        <v>1800130</v>
      </c>
      <c r="B1366">
        <v>2017</v>
      </c>
      <c r="C1366" t="s">
        <v>904</v>
      </c>
      <c r="D1366" t="s">
        <v>906</v>
      </c>
      <c r="E1366" t="s">
        <v>2272</v>
      </c>
      <c r="F1366" t="s">
        <v>837</v>
      </c>
      <c r="G1366" t="s">
        <v>160</v>
      </c>
      <c r="H1366" s="6">
        <v>5757</v>
      </c>
      <c r="I1366" s="6">
        <v>2.5350533879733553E-5</v>
      </c>
      <c r="J1366" s="6">
        <v>114.71116580579432</v>
      </c>
      <c r="K1366" s="6">
        <v>22080.315009247901</v>
      </c>
      <c r="M1366" s="6">
        <f t="shared" si="110"/>
        <v>5871.7111658057947</v>
      </c>
      <c r="N1366" s="6">
        <f t="shared" si="111"/>
        <v>22080.315009247901</v>
      </c>
      <c r="O1366" s="6">
        <f t="shared" si="112"/>
        <v>27952.026175053696</v>
      </c>
      <c r="P1366" s="8">
        <f>VLOOKUP(F1366,'LEAID Match'!$A$2:$B$436,2,FALSE)</f>
        <v>1800130</v>
      </c>
      <c r="Q1366" s="6">
        <f t="shared" si="113"/>
        <v>9</v>
      </c>
    </row>
    <row r="1367" spans="1:17" x14ac:dyDescent="0.2">
      <c r="A1367" s="16">
        <f t="shared" si="109"/>
        <v>1800130</v>
      </c>
      <c r="B1367">
        <v>2018</v>
      </c>
      <c r="C1367" t="s">
        <v>904</v>
      </c>
      <c r="D1367" t="s">
        <v>906</v>
      </c>
      <c r="E1367" t="s">
        <v>2273</v>
      </c>
      <c r="F1367" t="s">
        <v>837</v>
      </c>
      <c r="G1367" t="s">
        <v>160</v>
      </c>
      <c r="H1367" s="6">
        <v>6435</v>
      </c>
      <c r="I1367" s="6">
        <v>2.7299656222874547E-5</v>
      </c>
      <c r="J1367" s="6">
        <v>113.78496713694111</v>
      </c>
      <c r="K1367" s="6">
        <v>0</v>
      </c>
      <c r="M1367" s="6">
        <f t="shared" si="110"/>
        <v>6548.7849671369413</v>
      </c>
      <c r="N1367" s="6">
        <f t="shared" si="111"/>
        <v>0</v>
      </c>
      <c r="O1367" s="6">
        <f t="shared" si="112"/>
        <v>6548.7849671369413</v>
      </c>
      <c r="P1367" s="8">
        <f>VLOOKUP(F1367,'LEAID Match'!$A$2:$B$436,2,FALSE)</f>
        <v>1800130</v>
      </c>
      <c r="Q1367" s="6">
        <f t="shared" si="113"/>
        <v>9</v>
      </c>
    </row>
    <row r="1368" spans="1:17" x14ac:dyDescent="0.2">
      <c r="A1368" s="16">
        <f t="shared" si="109"/>
        <v>1800130</v>
      </c>
      <c r="B1368">
        <v>2019</v>
      </c>
      <c r="C1368" t="s">
        <v>904</v>
      </c>
      <c r="D1368" t="s">
        <v>906</v>
      </c>
      <c r="E1368" t="s">
        <v>2274</v>
      </c>
      <c r="F1368" t="s">
        <v>837</v>
      </c>
      <c r="G1368" t="s">
        <v>160</v>
      </c>
      <c r="H1368" s="6" t="s">
        <v>187</v>
      </c>
      <c r="I1368" s="6">
        <v>0</v>
      </c>
      <c r="J1368" s="6">
        <v>0</v>
      </c>
      <c r="K1368" s="6">
        <v>0</v>
      </c>
      <c r="M1368" s="6">
        <f t="shared" si="110"/>
        <v>0</v>
      </c>
      <c r="N1368" s="6">
        <f t="shared" si="111"/>
        <v>0</v>
      </c>
      <c r="O1368" s="6">
        <f t="shared" si="112"/>
        <v>0</v>
      </c>
      <c r="P1368" s="8">
        <f>VLOOKUP(F1368,'LEAID Match'!$A$2:$B$436,2,FALSE)</f>
        <v>1800130</v>
      </c>
      <c r="Q1368" s="6">
        <f t="shared" si="113"/>
        <v>9</v>
      </c>
    </row>
    <row r="1369" spans="1:17" x14ac:dyDescent="0.2">
      <c r="A1369" s="16">
        <f t="shared" si="109"/>
        <v>1800130</v>
      </c>
      <c r="B1369">
        <v>2020</v>
      </c>
      <c r="C1369" t="s">
        <v>904</v>
      </c>
      <c r="D1369" t="s">
        <v>906</v>
      </c>
      <c r="E1369" t="s">
        <v>2275</v>
      </c>
      <c r="F1369" t="s">
        <v>837</v>
      </c>
      <c r="G1369" t="s">
        <v>160</v>
      </c>
      <c r="H1369" s="6" t="s">
        <v>187</v>
      </c>
      <c r="I1369" s="6">
        <v>0</v>
      </c>
      <c r="J1369" s="6">
        <v>0</v>
      </c>
      <c r="K1369" s="6">
        <v>0</v>
      </c>
      <c r="M1369" s="6">
        <f t="shared" si="110"/>
        <v>0</v>
      </c>
      <c r="N1369" s="6">
        <f t="shared" si="111"/>
        <v>0</v>
      </c>
      <c r="O1369" s="6">
        <f t="shared" si="112"/>
        <v>0</v>
      </c>
      <c r="P1369" s="8">
        <f>VLOOKUP(F1369,'LEAID Match'!$A$2:$B$436,2,FALSE)</f>
        <v>1800130</v>
      </c>
      <c r="Q1369" s="6">
        <f t="shared" si="113"/>
        <v>9</v>
      </c>
    </row>
    <row r="1370" spans="1:17" x14ac:dyDescent="0.2">
      <c r="A1370" s="16">
        <f t="shared" si="109"/>
        <v>1800130</v>
      </c>
      <c r="B1370">
        <v>2021</v>
      </c>
      <c r="C1370" t="s">
        <v>904</v>
      </c>
      <c r="D1370" t="s">
        <v>906</v>
      </c>
      <c r="E1370" t="s">
        <v>2276</v>
      </c>
      <c r="F1370" t="s">
        <v>837</v>
      </c>
      <c r="G1370" t="s">
        <v>160</v>
      </c>
      <c r="H1370" s="6" t="s">
        <v>187</v>
      </c>
      <c r="I1370" s="6">
        <v>0</v>
      </c>
      <c r="J1370" s="6">
        <v>0</v>
      </c>
      <c r="K1370" s="6">
        <v>0</v>
      </c>
      <c r="M1370" s="6">
        <f t="shared" si="110"/>
        <v>0</v>
      </c>
      <c r="N1370" s="6">
        <f t="shared" si="111"/>
        <v>0</v>
      </c>
      <c r="O1370" s="6">
        <f t="shared" si="112"/>
        <v>0</v>
      </c>
      <c r="P1370" s="8">
        <f>VLOOKUP(F1370,'LEAID Match'!$A$2:$B$436,2,FALSE)</f>
        <v>1800130</v>
      </c>
      <c r="Q1370" s="6">
        <f t="shared" si="113"/>
        <v>9</v>
      </c>
    </row>
    <row r="1371" spans="1:17" x14ac:dyDescent="0.2">
      <c r="A1371" s="16">
        <f t="shared" si="109"/>
        <v>1800130</v>
      </c>
      <c r="B1371">
        <v>2022</v>
      </c>
      <c r="C1371" t="s">
        <v>904</v>
      </c>
      <c r="D1371" t="s">
        <v>906</v>
      </c>
      <c r="E1371" t="s">
        <v>2277</v>
      </c>
      <c r="F1371" t="s">
        <v>837</v>
      </c>
      <c r="G1371" t="s">
        <v>160</v>
      </c>
      <c r="H1371" s="6" t="s">
        <v>187</v>
      </c>
      <c r="I1371" s="6">
        <v>0</v>
      </c>
      <c r="J1371" s="6">
        <v>0</v>
      </c>
      <c r="K1371" s="6">
        <v>0</v>
      </c>
      <c r="M1371" s="6">
        <f t="shared" si="110"/>
        <v>0</v>
      </c>
      <c r="N1371" s="6">
        <f t="shared" si="111"/>
        <v>0</v>
      </c>
      <c r="O1371" s="6">
        <f t="shared" si="112"/>
        <v>0</v>
      </c>
      <c r="P1371" s="8">
        <f>VLOOKUP(F1371,'LEAID Match'!$A$2:$B$436,2,FALSE)</f>
        <v>1800130</v>
      </c>
      <c r="Q1371" s="6">
        <f t="shared" si="113"/>
        <v>9</v>
      </c>
    </row>
    <row r="1372" spans="1:17" x14ac:dyDescent="0.2">
      <c r="A1372" s="16">
        <f t="shared" si="109"/>
        <v>1800130</v>
      </c>
      <c r="B1372">
        <v>2023</v>
      </c>
      <c r="C1372" t="s">
        <v>904</v>
      </c>
      <c r="D1372" t="s">
        <v>906</v>
      </c>
      <c r="E1372" t="s">
        <v>2278</v>
      </c>
      <c r="F1372" t="s">
        <v>837</v>
      </c>
      <c r="G1372" t="s">
        <v>160</v>
      </c>
      <c r="H1372" s="6" t="s">
        <v>187</v>
      </c>
      <c r="I1372" s="6">
        <v>0</v>
      </c>
      <c r="J1372" s="6">
        <v>0</v>
      </c>
      <c r="K1372" s="6">
        <v>0</v>
      </c>
      <c r="M1372" s="6">
        <f t="shared" si="110"/>
        <v>0</v>
      </c>
      <c r="N1372" s="6">
        <f t="shared" si="111"/>
        <v>0</v>
      </c>
      <c r="O1372" s="6">
        <f t="shared" si="112"/>
        <v>0</v>
      </c>
      <c r="P1372" s="8">
        <f>VLOOKUP(F1372,'LEAID Match'!$A$2:$B$436,2,FALSE)</f>
        <v>1800130</v>
      </c>
      <c r="Q1372" s="6">
        <f t="shared" si="113"/>
        <v>9</v>
      </c>
    </row>
    <row r="1373" spans="1:17" x14ac:dyDescent="0.2">
      <c r="A1373" s="16">
        <f t="shared" si="109"/>
        <v>0</v>
      </c>
      <c r="B1373">
        <v>2018</v>
      </c>
      <c r="C1373" t="s">
        <v>904</v>
      </c>
      <c r="D1373" t="s">
        <v>906</v>
      </c>
      <c r="E1373" t="s">
        <v>2279</v>
      </c>
      <c r="F1373" t="s">
        <v>709</v>
      </c>
      <c r="G1373" t="s">
        <v>425</v>
      </c>
      <c r="H1373" s="6">
        <v>0</v>
      </c>
      <c r="I1373" s="6">
        <v>0</v>
      </c>
      <c r="J1373" s="6">
        <v>0</v>
      </c>
      <c r="K1373" s="6">
        <v>136584</v>
      </c>
      <c r="M1373" s="6">
        <f t="shared" si="110"/>
        <v>0</v>
      </c>
      <c r="N1373" s="6">
        <f t="shared" si="111"/>
        <v>136584</v>
      </c>
      <c r="O1373" s="6">
        <f t="shared" si="112"/>
        <v>136584</v>
      </c>
      <c r="P1373" s="8">
        <f>VLOOKUP(F1373,'LEAID Match'!$A$2:$B$436,2,FALSE)</f>
        <v>0</v>
      </c>
      <c r="Q1373" s="6">
        <f t="shared" si="113"/>
        <v>371</v>
      </c>
    </row>
    <row r="1374" spans="1:17" x14ac:dyDescent="0.2">
      <c r="A1374" s="16">
        <f t="shared" si="109"/>
        <v>0</v>
      </c>
      <c r="B1374">
        <v>2020</v>
      </c>
      <c r="C1374" t="s">
        <v>904</v>
      </c>
      <c r="D1374" t="s">
        <v>906</v>
      </c>
      <c r="E1374" t="s">
        <v>2280</v>
      </c>
      <c r="F1374" t="s">
        <v>709</v>
      </c>
      <c r="G1374" t="s">
        <v>425</v>
      </c>
      <c r="H1374" s="6">
        <v>0</v>
      </c>
      <c r="I1374" s="6">
        <v>0</v>
      </c>
      <c r="J1374" s="6">
        <v>0</v>
      </c>
      <c r="K1374" s="6">
        <v>145767</v>
      </c>
      <c r="M1374" s="6">
        <f t="shared" si="110"/>
        <v>0</v>
      </c>
      <c r="N1374" s="6">
        <f t="shared" si="111"/>
        <v>145767</v>
      </c>
      <c r="O1374" s="6">
        <f t="shared" si="112"/>
        <v>145767</v>
      </c>
      <c r="P1374" s="8">
        <f>VLOOKUP(F1374,'LEAID Match'!$A$2:$B$436,2,FALSE)</f>
        <v>0</v>
      </c>
      <c r="Q1374" s="6">
        <f t="shared" si="113"/>
        <v>371</v>
      </c>
    </row>
    <row r="1375" spans="1:17" x14ac:dyDescent="0.2">
      <c r="A1375" s="16">
        <f t="shared" si="109"/>
        <v>0</v>
      </c>
      <c r="B1375">
        <v>2021</v>
      </c>
      <c r="C1375" t="s">
        <v>904</v>
      </c>
      <c r="D1375" t="s">
        <v>906</v>
      </c>
      <c r="E1375" t="s">
        <v>2281</v>
      </c>
      <c r="F1375" t="s">
        <v>709</v>
      </c>
      <c r="G1375" t="s">
        <v>425</v>
      </c>
      <c r="H1375" s="6" t="s">
        <v>893</v>
      </c>
      <c r="K1375" s="6">
        <v>230326</v>
      </c>
      <c r="M1375" s="6">
        <f t="shared" si="110"/>
        <v>0</v>
      </c>
      <c r="N1375" s="6">
        <f t="shared" si="111"/>
        <v>230326</v>
      </c>
      <c r="O1375" s="6">
        <f t="shared" si="112"/>
        <v>230326</v>
      </c>
      <c r="P1375" s="8">
        <f>VLOOKUP(F1375,'LEAID Match'!$A$2:$B$436,2,FALSE)</f>
        <v>0</v>
      </c>
      <c r="Q1375" s="6">
        <f t="shared" si="113"/>
        <v>371</v>
      </c>
    </row>
    <row r="1376" spans="1:17" x14ac:dyDescent="0.2">
      <c r="A1376" s="16">
        <f t="shared" si="109"/>
        <v>0</v>
      </c>
      <c r="B1376">
        <v>2022</v>
      </c>
      <c r="C1376" t="s">
        <v>904</v>
      </c>
      <c r="D1376" t="s">
        <v>906</v>
      </c>
      <c r="E1376" t="s">
        <v>2282</v>
      </c>
      <c r="F1376" t="s">
        <v>709</v>
      </c>
      <c r="G1376" t="s">
        <v>425</v>
      </c>
      <c r="H1376" s="6" t="s">
        <v>893</v>
      </c>
      <c r="K1376" s="6">
        <v>226050</v>
      </c>
      <c r="M1376" s="6">
        <f t="shared" si="110"/>
        <v>0</v>
      </c>
      <c r="N1376" s="6">
        <f t="shared" si="111"/>
        <v>226050</v>
      </c>
      <c r="O1376" s="6">
        <f t="shared" si="112"/>
        <v>226050</v>
      </c>
      <c r="P1376" s="8">
        <f>VLOOKUP(F1376,'LEAID Match'!$A$2:$B$436,2,FALSE)</f>
        <v>0</v>
      </c>
      <c r="Q1376" s="6">
        <f t="shared" si="113"/>
        <v>371</v>
      </c>
    </row>
    <row r="1377" spans="1:17" x14ac:dyDescent="0.2">
      <c r="A1377" s="16">
        <f t="shared" si="109"/>
        <v>0</v>
      </c>
      <c r="B1377">
        <v>2023</v>
      </c>
      <c r="C1377" t="s">
        <v>904</v>
      </c>
      <c r="D1377" t="s">
        <v>906</v>
      </c>
      <c r="E1377" t="s">
        <v>2283</v>
      </c>
      <c r="F1377" t="s">
        <v>709</v>
      </c>
      <c r="G1377" t="s">
        <v>425</v>
      </c>
      <c r="H1377" s="6" t="s">
        <v>893</v>
      </c>
      <c r="K1377" s="6">
        <v>494225</v>
      </c>
      <c r="M1377" s="6">
        <f t="shared" si="110"/>
        <v>0</v>
      </c>
      <c r="N1377" s="6">
        <f t="shared" si="111"/>
        <v>494225</v>
      </c>
      <c r="O1377" s="6">
        <f t="shared" si="112"/>
        <v>494225</v>
      </c>
      <c r="P1377" s="8">
        <f>VLOOKUP(F1377,'LEAID Match'!$A$2:$B$436,2,FALSE)</f>
        <v>0</v>
      </c>
      <c r="Q1377" s="6">
        <f t="shared" si="113"/>
        <v>371</v>
      </c>
    </row>
    <row r="1378" spans="1:17" x14ac:dyDescent="0.2">
      <c r="A1378" s="16">
        <f t="shared" si="109"/>
        <v>0</v>
      </c>
      <c r="B1378">
        <v>2018</v>
      </c>
      <c r="C1378" t="s">
        <v>904</v>
      </c>
      <c r="D1378" t="s">
        <v>906</v>
      </c>
      <c r="E1378" t="s">
        <v>2284</v>
      </c>
      <c r="F1378" t="s">
        <v>710</v>
      </c>
      <c r="G1378" t="s">
        <v>426</v>
      </c>
      <c r="H1378" s="6">
        <v>0</v>
      </c>
      <c r="I1378" s="6">
        <v>0</v>
      </c>
      <c r="J1378" s="6">
        <v>0</v>
      </c>
      <c r="K1378" s="6">
        <v>126211</v>
      </c>
      <c r="M1378" s="6">
        <f t="shared" si="110"/>
        <v>0</v>
      </c>
      <c r="N1378" s="6">
        <f t="shared" si="111"/>
        <v>126211</v>
      </c>
      <c r="O1378" s="6">
        <f t="shared" si="112"/>
        <v>126211</v>
      </c>
      <c r="P1378" s="8">
        <f>VLOOKUP(F1378,'LEAID Match'!$A$2:$B$436,2,FALSE)</f>
        <v>0</v>
      </c>
      <c r="Q1378" s="6">
        <f t="shared" si="113"/>
        <v>371</v>
      </c>
    </row>
    <row r="1379" spans="1:17" x14ac:dyDescent="0.2">
      <c r="A1379" s="16">
        <f t="shared" si="109"/>
        <v>0</v>
      </c>
      <c r="B1379">
        <v>2020</v>
      </c>
      <c r="C1379" t="s">
        <v>904</v>
      </c>
      <c r="D1379" t="s">
        <v>906</v>
      </c>
      <c r="E1379" t="s">
        <v>2285</v>
      </c>
      <c r="F1379" t="s">
        <v>710</v>
      </c>
      <c r="G1379" t="s">
        <v>426</v>
      </c>
      <c r="H1379" s="6">
        <v>0</v>
      </c>
      <c r="I1379" s="6">
        <v>0</v>
      </c>
      <c r="J1379" s="6">
        <v>0</v>
      </c>
      <c r="K1379" s="6">
        <v>153148</v>
      </c>
      <c r="M1379" s="6">
        <f t="shared" si="110"/>
        <v>0</v>
      </c>
      <c r="N1379" s="6">
        <f t="shared" si="111"/>
        <v>153148</v>
      </c>
      <c r="O1379" s="6">
        <f t="shared" si="112"/>
        <v>153148</v>
      </c>
      <c r="P1379" s="8">
        <f>VLOOKUP(F1379,'LEAID Match'!$A$2:$B$436,2,FALSE)</f>
        <v>0</v>
      </c>
      <c r="Q1379" s="6">
        <f t="shared" si="113"/>
        <v>371</v>
      </c>
    </row>
    <row r="1380" spans="1:17" x14ac:dyDescent="0.2">
      <c r="A1380" s="16">
        <f t="shared" si="109"/>
        <v>0</v>
      </c>
      <c r="B1380">
        <v>2021</v>
      </c>
      <c r="C1380" t="s">
        <v>904</v>
      </c>
      <c r="D1380" t="s">
        <v>906</v>
      </c>
      <c r="E1380" t="s">
        <v>2286</v>
      </c>
      <c r="F1380" t="s">
        <v>710</v>
      </c>
      <c r="G1380" t="s">
        <v>426</v>
      </c>
      <c r="H1380" s="6" t="s">
        <v>893</v>
      </c>
      <c r="K1380" s="6">
        <v>240875</v>
      </c>
      <c r="M1380" s="6">
        <f t="shared" si="110"/>
        <v>0</v>
      </c>
      <c r="N1380" s="6">
        <f t="shared" si="111"/>
        <v>240875</v>
      </c>
      <c r="O1380" s="6">
        <f t="shared" si="112"/>
        <v>240875</v>
      </c>
      <c r="P1380" s="8">
        <f>VLOOKUP(F1380,'LEAID Match'!$A$2:$B$436,2,FALSE)</f>
        <v>0</v>
      </c>
      <c r="Q1380" s="6">
        <f t="shared" si="113"/>
        <v>371</v>
      </c>
    </row>
    <row r="1381" spans="1:17" x14ac:dyDescent="0.2">
      <c r="A1381" s="16">
        <f t="shared" si="109"/>
        <v>0</v>
      </c>
      <c r="B1381">
        <v>2022</v>
      </c>
      <c r="C1381" t="s">
        <v>904</v>
      </c>
      <c r="D1381" t="s">
        <v>906</v>
      </c>
      <c r="E1381" t="s">
        <v>2287</v>
      </c>
      <c r="F1381" t="s">
        <v>710</v>
      </c>
      <c r="G1381" t="s">
        <v>426</v>
      </c>
      <c r="H1381" s="6" t="s">
        <v>893</v>
      </c>
      <c r="K1381" s="6">
        <v>234732</v>
      </c>
      <c r="M1381" s="6">
        <f t="shared" si="110"/>
        <v>0</v>
      </c>
      <c r="N1381" s="6">
        <f t="shared" si="111"/>
        <v>234732</v>
      </c>
      <c r="O1381" s="6">
        <f t="shared" si="112"/>
        <v>234732</v>
      </c>
      <c r="P1381" s="8">
        <f>VLOOKUP(F1381,'LEAID Match'!$A$2:$B$436,2,FALSE)</f>
        <v>0</v>
      </c>
      <c r="Q1381" s="6">
        <f t="shared" si="113"/>
        <v>371</v>
      </c>
    </row>
    <row r="1382" spans="1:17" x14ac:dyDescent="0.2">
      <c r="A1382" s="16">
        <f t="shared" si="109"/>
        <v>0</v>
      </c>
      <c r="B1382">
        <v>2023</v>
      </c>
      <c r="C1382" t="s">
        <v>904</v>
      </c>
      <c r="D1382" t="s">
        <v>906</v>
      </c>
      <c r="E1382" t="s">
        <v>2288</v>
      </c>
      <c r="F1382" t="s">
        <v>710</v>
      </c>
      <c r="G1382" t="s">
        <v>426</v>
      </c>
      <c r="H1382" s="6" t="s">
        <v>893</v>
      </c>
      <c r="K1382" s="6">
        <v>509471</v>
      </c>
      <c r="M1382" s="6">
        <f t="shared" si="110"/>
        <v>0</v>
      </c>
      <c r="N1382" s="6">
        <f t="shared" si="111"/>
        <v>509471</v>
      </c>
      <c r="O1382" s="6">
        <f t="shared" si="112"/>
        <v>509471</v>
      </c>
      <c r="P1382" s="8">
        <f>VLOOKUP(F1382,'LEAID Match'!$A$2:$B$436,2,FALSE)</f>
        <v>0</v>
      </c>
      <c r="Q1382" s="6">
        <f t="shared" si="113"/>
        <v>371</v>
      </c>
    </row>
    <row r="1383" spans="1:17" x14ac:dyDescent="0.2">
      <c r="A1383" s="16">
        <f t="shared" si="109"/>
        <v>0</v>
      </c>
      <c r="B1383">
        <v>2018</v>
      </c>
      <c r="C1383" t="s">
        <v>904</v>
      </c>
      <c r="D1383" t="s">
        <v>906</v>
      </c>
      <c r="E1383" t="s">
        <v>2289</v>
      </c>
      <c r="F1383" t="s">
        <v>711</v>
      </c>
      <c r="G1383" t="s">
        <v>427</v>
      </c>
      <c r="H1383" s="6">
        <v>0</v>
      </c>
      <c r="I1383" s="6">
        <v>0</v>
      </c>
      <c r="J1383" s="6">
        <v>0</v>
      </c>
      <c r="K1383" s="6">
        <v>551</v>
      </c>
      <c r="M1383" s="6">
        <f t="shared" si="110"/>
        <v>0</v>
      </c>
      <c r="N1383" s="6">
        <f t="shared" si="111"/>
        <v>551</v>
      </c>
      <c r="O1383" s="6">
        <f t="shared" si="112"/>
        <v>551</v>
      </c>
      <c r="P1383" s="8">
        <f>VLOOKUP(F1383,'LEAID Match'!$A$2:$B$436,2,FALSE)</f>
        <v>0</v>
      </c>
      <c r="Q1383" s="6">
        <f t="shared" si="113"/>
        <v>371</v>
      </c>
    </row>
    <row r="1384" spans="1:17" x14ac:dyDescent="0.2">
      <c r="A1384" s="16">
        <f t="shared" si="109"/>
        <v>0</v>
      </c>
      <c r="B1384">
        <v>2020</v>
      </c>
      <c r="C1384" t="s">
        <v>904</v>
      </c>
      <c r="D1384" t="s">
        <v>906</v>
      </c>
      <c r="E1384" t="s">
        <v>2290</v>
      </c>
      <c r="F1384" t="s">
        <v>711</v>
      </c>
      <c r="G1384" t="s">
        <v>427</v>
      </c>
      <c r="H1384" s="6">
        <v>0</v>
      </c>
      <c r="I1384" s="6">
        <v>0</v>
      </c>
      <c r="J1384" s="6">
        <v>0</v>
      </c>
      <c r="K1384" s="6">
        <v>583</v>
      </c>
      <c r="M1384" s="6">
        <f t="shared" si="110"/>
        <v>0</v>
      </c>
      <c r="N1384" s="6">
        <f t="shared" si="111"/>
        <v>583</v>
      </c>
      <c r="O1384" s="6">
        <f t="shared" si="112"/>
        <v>583</v>
      </c>
      <c r="P1384" s="8">
        <f>VLOOKUP(F1384,'LEAID Match'!$A$2:$B$436,2,FALSE)</f>
        <v>0</v>
      </c>
      <c r="Q1384" s="6">
        <f t="shared" si="113"/>
        <v>371</v>
      </c>
    </row>
    <row r="1385" spans="1:17" x14ac:dyDescent="0.2">
      <c r="A1385" s="16">
        <f t="shared" si="109"/>
        <v>0</v>
      </c>
      <c r="B1385">
        <v>2021</v>
      </c>
      <c r="C1385" t="s">
        <v>904</v>
      </c>
      <c r="D1385" t="s">
        <v>906</v>
      </c>
      <c r="E1385" t="s">
        <v>2291</v>
      </c>
      <c r="F1385" t="s">
        <v>711</v>
      </c>
      <c r="G1385" t="s">
        <v>427</v>
      </c>
      <c r="H1385" s="6" t="s">
        <v>893</v>
      </c>
      <c r="K1385" s="6">
        <v>959</v>
      </c>
      <c r="M1385" s="6">
        <f t="shared" si="110"/>
        <v>0</v>
      </c>
      <c r="N1385" s="6">
        <f t="shared" si="111"/>
        <v>959</v>
      </c>
      <c r="O1385" s="6">
        <f t="shared" si="112"/>
        <v>959</v>
      </c>
      <c r="P1385" s="8">
        <f>VLOOKUP(F1385,'LEAID Match'!$A$2:$B$436,2,FALSE)</f>
        <v>0</v>
      </c>
      <c r="Q1385" s="6">
        <f t="shared" si="113"/>
        <v>371</v>
      </c>
    </row>
    <row r="1386" spans="1:17" x14ac:dyDescent="0.2">
      <c r="A1386" s="16">
        <f t="shared" si="109"/>
        <v>0</v>
      </c>
      <c r="B1386">
        <v>2022</v>
      </c>
      <c r="C1386" t="s">
        <v>904</v>
      </c>
      <c r="D1386" t="s">
        <v>906</v>
      </c>
      <c r="E1386" t="s">
        <v>2292</v>
      </c>
      <c r="F1386" t="s">
        <v>711</v>
      </c>
      <c r="G1386" t="s">
        <v>427</v>
      </c>
      <c r="H1386" s="6" t="s">
        <v>893</v>
      </c>
      <c r="K1386" s="6">
        <v>930</v>
      </c>
      <c r="M1386" s="6">
        <f t="shared" si="110"/>
        <v>0</v>
      </c>
      <c r="N1386" s="6">
        <f t="shared" si="111"/>
        <v>930</v>
      </c>
      <c r="O1386" s="6">
        <f t="shared" si="112"/>
        <v>930</v>
      </c>
      <c r="P1386" s="8">
        <f>VLOOKUP(F1386,'LEAID Match'!$A$2:$B$436,2,FALSE)</f>
        <v>0</v>
      </c>
      <c r="Q1386" s="6">
        <f t="shared" si="113"/>
        <v>371</v>
      </c>
    </row>
    <row r="1387" spans="1:17" x14ac:dyDescent="0.2">
      <c r="A1387" s="16">
        <f t="shared" si="109"/>
        <v>0</v>
      </c>
      <c r="B1387">
        <v>2023</v>
      </c>
      <c r="C1387" t="s">
        <v>904</v>
      </c>
      <c r="D1387" t="s">
        <v>906</v>
      </c>
      <c r="E1387" t="s">
        <v>2293</v>
      </c>
      <c r="F1387" t="s">
        <v>711</v>
      </c>
      <c r="G1387" t="s">
        <v>427</v>
      </c>
      <c r="H1387" s="6" t="s">
        <v>893</v>
      </c>
      <c r="K1387" s="6">
        <v>3388</v>
      </c>
      <c r="M1387" s="6">
        <f t="shared" si="110"/>
        <v>0</v>
      </c>
      <c r="N1387" s="6">
        <f t="shared" si="111"/>
        <v>3388</v>
      </c>
      <c r="O1387" s="6">
        <f t="shared" si="112"/>
        <v>3388</v>
      </c>
      <c r="P1387" s="8">
        <f>VLOOKUP(F1387,'LEAID Match'!$A$2:$B$436,2,FALSE)</f>
        <v>0</v>
      </c>
      <c r="Q1387" s="6">
        <f t="shared" si="113"/>
        <v>371</v>
      </c>
    </row>
    <row r="1388" spans="1:17" x14ac:dyDescent="0.2">
      <c r="A1388" s="16">
        <f t="shared" si="109"/>
        <v>1807470</v>
      </c>
      <c r="B1388">
        <v>2015</v>
      </c>
      <c r="C1388" t="s">
        <v>904</v>
      </c>
      <c r="D1388" t="s">
        <v>906</v>
      </c>
      <c r="E1388" t="s">
        <v>2294</v>
      </c>
      <c r="F1388" t="s">
        <v>527</v>
      </c>
      <c r="G1388" t="s">
        <v>161</v>
      </c>
      <c r="H1388" s="6">
        <v>160291</v>
      </c>
      <c r="I1388" s="6">
        <v>7.7944817708539742E-4</v>
      </c>
      <c r="J1388" s="6">
        <v>4529.3733570432441</v>
      </c>
      <c r="K1388" s="6">
        <v>659113.84971424495</v>
      </c>
      <c r="M1388" s="6">
        <f t="shared" si="110"/>
        <v>164820.37335704325</v>
      </c>
      <c r="N1388" s="6">
        <f t="shared" si="111"/>
        <v>659113.84971424495</v>
      </c>
      <c r="O1388" s="6">
        <f t="shared" si="112"/>
        <v>823934.2230712882</v>
      </c>
      <c r="P1388" s="8">
        <f>VLOOKUP(F1388,'LEAID Match'!$A$2:$B$436,2,FALSE)</f>
        <v>1807470</v>
      </c>
      <c r="Q1388" s="6">
        <f t="shared" si="113"/>
        <v>9</v>
      </c>
    </row>
    <row r="1389" spans="1:17" x14ac:dyDescent="0.2">
      <c r="A1389" s="16">
        <f t="shared" si="109"/>
        <v>1807470</v>
      </c>
      <c r="B1389">
        <v>2016</v>
      </c>
      <c r="C1389" t="s">
        <v>904</v>
      </c>
      <c r="D1389" t="s">
        <v>906</v>
      </c>
      <c r="E1389" t="s">
        <v>2295</v>
      </c>
      <c r="F1389" t="s">
        <v>527</v>
      </c>
      <c r="G1389" t="s">
        <v>161</v>
      </c>
      <c r="H1389" s="6">
        <v>178758</v>
      </c>
      <c r="I1389" s="6">
        <v>8.2945907438820778E-4</v>
      </c>
      <c r="J1389" s="6">
        <v>4187.1094075116725</v>
      </c>
      <c r="K1389" s="6">
        <v>736144.92851953395</v>
      </c>
      <c r="M1389" s="6">
        <f t="shared" si="110"/>
        <v>182945.10940751169</v>
      </c>
      <c r="N1389" s="6">
        <f t="shared" si="111"/>
        <v>736144.92851953395</v>
      </c>
      <c r="O1389" s="6">
        <f t="shared" si="112"/>
        <v>919090.0379270456</v>
      </c>
      <c r="P1389" s="8">
        <f>VLOOKUP(F1389,'LEAID Match'!$A$2:$B$436,2,FALSE)</f>
        <v>1807470</v>
      </c>
      <c r="Q1389" s="6">
        <f t="shared" si="113"/>
        <v>9</v>
      </c>
    </row>
    <row r="1390" spans="1:17" x14ac:dyDescent="0.2">
      <c r="A1390" s="16">
        <f t="shared" si="109"/>
        <v>1807470</v>
      </c>
      <c r="B1390">
        <v>2017</v>
      </c>
      <c r="C1390" t="s">
        <v>904</v>
      </c>
      <c r="D1390" t="s">
        <v>906</v>
      </c>
      <c r="E1390" t="s">
        <v>2296</v>
      </c>
      <c r="F1390" t="s">
        <v>527</v>
      </c>
      <c r="G1390" t="s">
        <v>161</v>
      </c>
      <c r="H1390" s="6">
        <v>174501</v>
      </c>
      <c r="I1390" s="6">
        <v>7.6840255559273659E-4</v>
      </c>
      <c r="J1390" s="6">
        <v>3477.0215640571332</v>
      </c>
      <c r="K1390" s="6">
        <v>669278.62592127302</v>
      </c>
      <c r="M1390" s="6">
        <f t="shared" si="110"/>
        <v>177978.02156405713</v>
      </c>
      <c r="N1390" s="6">
        <f t="shared" si="111"/>
        <v>669278.62592127302</v>
      </c>
      <c r="O1390" s="6">
        <f t="shared" si="112"/>
        <v>847256.64748533012</v>
      </c>
      <c r="P1390" s="8">
        <f>VLOOKUP(F1390,'LEAID Match'!$A$2:$B$436,2,FALSE)</f>
        <v>1807470</v>
      </c>
      <c r="Q1390" s="6">
        <f t="shared" si="113"/>
        <v>9</v>
      </c>
    </row>
    <row r="1391" spans="1:17" x14ac:dyDescent="0.2">
      <c r="A1391" s="16">
        <f t="shared" si="109"/>
        <v>1807470</v>
      </c>
      <c r="B1391">
        <v>2018</v>
      </c>
      <c r="C1391" t="s">
        <v>904</v>
      </c>
      <c r="D1391" t="s">
        <v>906</v>
      </c>
      <c r="E1391" t="s">
        <v>2297</v>
      </c>
      <c r="F1391" t="s">
        <v>527</v>
      </c>
      <c r="G1391" t="s">
        <v>161</v>
      </c>
      <c r="H1391" s="6">
        <v>190078</v>
      </c>
      <c r="I1391" s="6">
        <v>8.0638136061096319E-4</v>
      </c>
      <c r="J1391" s="6">
        <v>3360.9975110264945</v>
      </c>
      <c r="K1391" s="6">
        <v>480062</v>
      </c>
      <c r="M1391" s="6">
        <f t="shared" si="110"/>
        <v>193438.99751102651</v>
      </c>
      <c r="N1391" s="6">
        <f t="shared" si="111"/>
        <v>480062</v>
      </c>
      <c r="O1391" s="6">
        <f t="shared" si="112"/>
        <v>673500.99751102645</v>
      </c>
      <c r="P1391" s="8">
        <f>VLOOKUP(F1391,'LEAID Match'!$A$2:$B$436,2,FALSE)</f>
        <v>1807470</v>
      </c>
      <c r="Q1391" s="6">
        <f t="shared" si="113"/>
        <v>9</v>
      </c>
    </row>
    <row r="1392" spans="1:17" x14ac:dyDescent="0.2">
      <c r="A1392" s="16">
        <f t="shared" si="109"/>
        <v>1807470</v>
      </c>
      <c r="B1392">
        <v>2019</v>
      </c>
      <c r="C1392" t="s">
        <v>904</v>
      </c>
      <c r="D1392" t="s">
        <v>906</v>
      </c>
      <c r="E1392" t="s">
        <v>2298</v>
      </c>
      <c r="F1392" t="s">
        <v>527</v>
      </c>
      <c r="G1392" t="s">
        <v>161</v>
      </c>
      <c r="H1392" s="6">
        <v>197474</v>
      </c>
      <c r="I1392" s="6">
        <v>5.0237278501356398E-4</v>
      </c>
      <c r="J1392" s="6">
        <v>1760.8166114725418</v>
      </c>
      <c r="K1392" s="6">
        <v>474189.67177430302</v>
      </c>
      <c r="M1392" s="6">
        <f t="shared" si="110"/>
        <v>199234.81661147255</v>
      </c>
      <c r="N1392" s="6">
        <f t="shared" si="111"/>
        <v>474189.67177430302</v>
      </c>
      <c r="O1392" s="6">
        <f t="shared" si="112"/>
        <v>673424.48838577559</v>
      </c>
      <c r="P1392" s="8">
        <f>VLOOKUP(F1392,'LEAID Match'!$A$2:$B$436,2,FALSE)</f>
        <v>1807470</v>
      </c>
      <c r="Q1392" s="6">
        <f t="shared" si="113"/>
        <v>9</v>
      </c>
    </row>
    <row r="1393" spans="1:17" x14ac:dyDescent="0.2">
      <c r="A1393" s="16">
        <f t="shared" si="109"/>
        <v>1807470</v>
      </c>
      <c r="B1393">
        <v>2020</v>
      </c>
      <c r="C1393" t="s">
        <v>904</v>
      </c>
      <c r="D1393" t="s">
        <v>906</v>
      </c>
      <c r="E1393" t="s">
        <v>2299</v>
      </c>
      <c r="F1393" t="s">
        <v>527</v>
      </c>
      <c r="G1393" t="s">
        <v>161</v>
      </c>
      <c r="H1393" s="6">
        <v>153097</v>
      </c>
      <c r="I1393" s="6">
        <v>8.1121625360361133E-4</v>
      </c>
      <c r="J1393" s="6">
        <v>1911.2254934901082</v>
      </c>
      <c r="K1393" s="6">
        <v>494792</v>
      </c>
      <c r="M1393" s="6">
        <f t="shared" si="110"/>
        <v>155008.22549349011</v>
      </c>
      <c r="N1393" s="6">
        <f t="shared" si="111"/>
        <v>494792</v>
      </c>
      <c r="O1393" s="6">
        <f t="shared" si="112"/>
        <v>649800.22549349011</v>
      </c>
      <c r="P1393" s="8">
        <f>VLOOKUP(F1393,'LEAID Match'!$A$2:$B$436,2,FALSE)</f>
        <v>1807470</v>
      </c>
      <c r="Q1393" s="6">
        <f t="shared" si="113"/>
        <v>9</v>
      </c>
    </row>
    <row r="1394" spans="1:17" x14ac:dyDescent="0.2">
      <c r="A1394" s="16">
        <f t="shared" si="109"/>
        <v>1807470</v>
      </c>
      <c r="B1394">
        <v>2021</v>
      </c>
      <c r="C1394" t="s">
        <v>904</v>
      </c>
      <c r="D1394" t="s">
        <v>906</v>
      </c>
      <c r="E1394" t="s">
        <v>2300</v>
      </c>
      <c r="F1394" t="s">
        <v>527</v>
      </c>
      <c r="G1394" t="s">
        <v>161</v>
      </c>
      <c r="H1394" s="6">
        <v>153911</v>
      </c>
      <c r="I1394" s="6">
        <v>7.6033465355836703E-4</v>
      </c>
      <c r="J1394" s="6">
        <v>1713.7943091205593</v>
      </c>
      <c r="K1394" s="6">
        <v>758109</v>
      </c>
      <c r="M1394" s="6">
        <f t="shared" si="110"/>
        <v>155624.79430912057</v>
      </c>
      <c r="N1394" s="6">
        <f t="shared" si="111"/>
        <v>758109</v>
      </c>
      <c r="O1394" s="6">
        <f t="shared" si="112"/>
        <v>913733.79430912063</v>
      </c>
      <c r="P1394" s="8">
        <f>VLOOKUP(F1394,'LEAID Match'!$A$2:$B$436,2,FALSE)</f>
        <v>1807470</v>
      </c>
      <c r="Q1394" s="6">
        <f t="shared" si="113"/>
        <v>9</v>
      </c>
    </row>
    <row r="1395" spans="1:17" x14ac:dyDescent="0.2">
      <c r="A1395" s="16">
        <f t="shared" si="109"/>
        <v>1807470</v>
      </c>
      <c r="B1395">
        <v>2022</v>
      </c>
      <c r="C1395" t="s">
        <v>904</v>
      </c>
      <c r="D1395" t="s">
        <v>906</v>
      </c>
      <c r="E1395" t="s">
        <v>2301</v>
      </c>
      <c r="F1395" t="s">
        <v>527</v>
      </c>
      <c r="G1395" t="s">
        <v>161</v>
      </c>
      <c r="H1395" s="6">
        <v>166712</v>
      </c>
      <c r="I1395" s="6">
        <v>7.9157955961449899E-4</v>
      </c>
      <c r="J1395" s="6">
        <v>1745.4329289499703</v>
      </c>
      <c r="K1395" s="6">
        <v>818772</v>
      </c>
      <c r="M1395" s="6">
        <f t="shared" si="110"/>
        <v>168457.43292894997</v>
      </c>
      <c r="N1395" s="6">
        <f t="shared" si="111"/>
        <v>818772</v>
      </c>
      <c r="O1395" s="6">
        <f t="shared" si="112"/>
        <v>987229.43292894994</v>
      </c>
      <c r="P1395" s="8">
        <f>VLOOKUP(F1395,'LEAID Match'!$A$2:$B$436,2,FALSE)</f>
        <v>1807470</v>
      </c>
      <c r="Q1395" s="6">
        <f t="shared" si="113"/>
        <v>9</v>
      </c>
    </row>
    <row r="1396" spans="1:17" x14ac:dyDescent="0.2">
      <c r="A1396" s="16">
        <f t="shared" si="109"/>
        <v>1807470</v>
      </c>
      <c r="B1396">
        <v>2023</v>
      </c>
      <c r="C1396" t="s">
        <v>904</v>
      </c>
      <c r="D1396" t="s">
        <v>906</v>
      </c>
      <c r="E1396" t="s">
        <v>2302</v>
      </c>
      <c r="F1396" t="s">
        <v>527</v>
      </c>
      <c r="G1396" t="s">
        <v>161</v>
      </c>
      <c r="H1396" s="6">
        <v>191117</v>
      </c>
      <c r="I1396" s="6">
        <v>7.8156352028212889E-4</v>
      </c>
      <c r="J1396" s="6">
        <v>1928.117204536012</v>
      </c>
      <c r="K1396" s="6">
        <v>2025177</v>
      </c>
      <c r="M1396" s="6">
        <f t="shared" si="110"/>
        <v>193045.11720453601</v>
      </c>
      <c r="N1396" s="6">
        <f t="shared" si="111"/>
        <v>2025177</v>
      </c>
      <c r="O1396" s="6">
        <f t="shared" si="112"/>
        <v>2218222.1172045362</v>
      </c>
      <c r="P1396" s="8">
        <f>VLOOKUP(F1396,'LEAID Match'!$A$2:$B$436,2,FALSE)</f>
        <v>1807470</v>
      </c>
      <c r="Q1396" s="6">
        <f t="shared" si="113"/>
        <v>9</v>
      </c>
    </row>
    <row r="1397" spans="1:17" x14ac:dyDescent="0.2">
      <c r="A1397" s="16">
        <f t="shared" si="109"/>
        <v>1800107</v>
      </c>
      <c r="B1397">
        <v>2015</v>
      </c>
      <c r="C1397" t="s">
        <v>904</v>
      </c>
      <c r="D1397" t="s">
        <v>906</v>
      </c>
      <c r="E1397" t="s">
        <v>2303</v>
      </c>
      <c r="F1397" t="s">
        <v>528</v>
      </c>
      <c r="G1397" t="s">
        <v>162</v>
      </c>
      <c r="H1397" s="6">
        <v>70901</v>
      </c>
      <c r="I1397" s="6">
        <v>3.4477079314204645E-4</v>
      </c>
      <c r="J1397" s="6">
        <v>2003.463078948432</v>
      </c>
      <c r="K1397" s="6">
        <v>291543.69901360403</v>
      </c>
      <c r="M1397" s="6">
        <f t="shared" si="110"/>
        <v>72904.463078948436</v>
      </c>
      <c r="N1397" s="6">
        <f t="shared" si="111"/>
        <v>291543.69901360403</v>
      </c>
      <c r="O1397" s="6">
        <f t="shared" si="112"/>
        <v>364448.16209255246</v>
      </c>
      <c r="P1397" s="8">
        <f>VLOOKUP(F1397,'LEAID Match'!$A$2:$B$436,2,FALSE)</f>
        <v>1800107</v>
      </c>
      <c r="Q1397" s="6">
        <f t="shared" si="113"/>
        <v>9</v>
      </c>
    </row>
    <row r="1398" spans="1:17" x14ac:dyDescent="0.2">
      <c r="A1398" s="16">
        <f t="shared" si="109"/>
        <v>1800107</v>
      </c>
      <c r="B1398">
        <v>2016</v>
      </c>
      <c r="C1398" t="s">
        <v>904</v>
      </c>
      <c r="D1398" t="s">
        <v>906</v>
      </c>
      <c r="E1398" t="s">
        <v>2304</v>
      </c>
      <c r="F1398" t="s">
        <v>528</v>
      </c>
      <c r="G1398" t="s">
        <v>162</v>
      </c>
      <c r="H1398" s="6">
        <v>75495</v>
      </c>
      <c r="I1398" s="6">
        <v>3.5030607201321201E-4</v>
      </c>
      <c r="J1398" s="6">
        <v>1768.3450515226941</v>
      </c>
      <c r="K1398" s="6">
        <v>310896.63891172502</v>
      </c>
      <c r="M1398" s="6">
        <f t="shared" si="110"/>
        <v>77263.345051522687</v>
      </c>
      <c r="N1398" s="6">
        <f t="shared" si="111"/>
        <v>310896.63891172502</v>
      </c>
      <c r="O1398" s="6">
        <f t="shared" si="112"/>
        <v>388159.98396324774</v>
      </c>
      <c r="P1398" s="8">
        <f>VLOOKUP(F1398,'LEAID Match'!$A$2:$B$436,2,FALSE)</f>
        <v>1800107</v>
      </c>
      <c r="Q1398" s="6">
        <f t="shared" si="113"/>
        <v>9</v>
      </c>
    </row>
    <row r="1399" spans="1:17" x14ac:dyDescent="0.2">
      <c r="A1399" s="16">
        <f t="shared" si="109"/>
        <v>1800107</v>
      </c>
      <c r="B1399">
        <v>2017</v>
      </c>
      <c r="C1399" t="s">
        <v>904</v>
      </c>
      <c r="D1399" t="s">
        <v>906</v>
      </c>
      <c r="E1399" t="s">
        <v>2305</v>
      </c>
      <c r="F1399" t="s">
        <v>528</v>
      </c>
      <c r="G1399" t="s">
        <v>162</v>
      </c>
      <c r="H1399" s="6">
        <v>88991</v>
      </c>
      <c r="I1399" s="6">
        <v>3.9186544389289014E-4</v>
      </c>
      <c r="J1399" s="6">
        <v>1773.1911336153278</v>
      </c>
      <c r="K1399" s="6">
        <v>341314.80163070699</v>
      </c>
      <c r="M1399" s="6">
        <f t="shared" si="110"/>
        <v>90764.191133615328</v>
      </c>
      <c r="N1399" s="6">
        <f t="shared" si="111"/>
        <v>341314.80163070699</v>
      </c>
      <c r="O1399" s="6">
        <f t="shared" si="112"/>
        <v>432078.99276432232</v>
      </c>
      <c r="P1399" s="8">
        <f>VLOOKUP(F1399,'LEAID Match'!$A$2:$B$436,2,FALSE)</f>
        <v>1800107</v>
      </c>
      <c r="Q1399" s="6">
        <f t="shared" si="113"/>
        <v>9</v>
      </c>
    </row>
    <row r="1400" spans="1:17" x14ac:dyDescent="0.2">
      <c r="A1400" s="16">
        <f t="shared" si="109"/>
        <v>1800107</v>
      </c>
      <c r="B1400">
        <v>2018</v>
      </c>
      <c r="C1400" t="s">
        <v>904</v>
      </c>
      <c r="D1400" t="s">
        <v>906</v>
      </c>
      <c r="E1400" t="s">
        <v>2306</v>
      </c>
      <c r="F1400" t="s">
        <v>528</v>
      </c>
      <c r="G1400" t="s">
        <v>162</v>
      </c>
      <c r="H1400" s="6">
        <v>94956</v>
      </c>
      <c r="I1400" s="6">
        <v>4.0283856352747092E-4</v>
      </c>
      <c r="J1400" s="6">
        <v>1679.0311327824988</v>
      </c>
      <c r="K1400" s="6">
        <v>108679</v>
      </c>
      <c r="M1400" s="6">
        <f t="shared" si="110"/>
        <v>96635.031132782504</v>
      </c>
      <c r="N1400" s="6">
        <f t="shared" si="111"/>
        <v>108679</v>
      </c>
      <c r="O1400" s="6">
        <f t="shared" si="112"/>
        <v>205314.03113278252</v>
      </c>
      <c r="P1400" s="8">
        <f>VLOOKUP(F1400,'LEAID Match'!$A$2:$B$436,2,FALSE)</f>
        <v>1800107</v>
      </c>
      <c r="Q1400" s="6">
        <f t="shared" si="113"/>
        <v>9</v>
      </c>
    </row>
    <row r="1401" spans="1:17" x14ac:dyDescent="0.2">
      <c r="A1401" s="16">
        <f t="shared" si="109"/>
        <v>1800107</v>
      </c>
      <c r="B1401">
        <v>2019</v>
      </c>
      <c r="C1401" t="s">
        <v>904</v>
      </c>
      <c r="D1401" t="s">
        <v>906</v>
      </c>
      <c r="E1401" t="s">
        <v>2307</v>
      </c>
      <c r="F1401" t="s">
        <v>528</v>
      </c>
      <c r="G1401" t="s">
        <v>162</v>
      </c>
      <c r="H1401" s="6">
        <v>101327</v>
      </c>
      <c r="I1401" s="6">
        <v>2.5777533846009807E-4</v>
      </c>
      <c r="J1401" s="6">
        <v>903.5025613026437</v>
      </c>
      <c r="K1401" s="6">
        <v>243314.14197248599</v>
      </c>
      <c r="M1401" s="6">
        <f t="shared" si="110"/>
        <v>102230.50256130264</v>
      </c>
      <c r="N1401" s="6">
        <f t="shared" si="111"/>
        <v>243314.14197248599</v>
      </c>
      <c r="O1401" s="6">
        <f t="shared" si="112"/>
        <v>345544.64453378861</v>
      </c>
      <c r="P1401" s="8">
        <f>VLOOKUP(F1401,'LEAID Match'!$A$2:$B$436,2,FALSE)</f>
        <v>1800107</v>
      </c>
      <c r="Q1401" s="6">
        <f t="shared" si="113"/>
        <v>9</v>
      </c>
    </row>
    <row r="1402" spans="1:17" x14ac:dyDescent="0.2">
      <c r="A1402" s="16">
        <f t="shared" si="109"/>
        <v>1800107</v>
      </c>
      <c r="B1402">
        <v>2020</v>
      </c>
      <c r="C1402" t="s">
        <v>904</v>
      </c>
      <c r="D1402" t="s">
        <v>906</v>
      </c>
      <c r="E1402" t="s">
        <v>2308</v>
      </c>
      <c r="F1402" t="s">
        <v>528</v>
      </c>
      <c r="G1402" t="s">
        <v>162</v>
      </c>
      <c r="H1402" s="6">
        <v>67476</v>
      </c>
      <c r="I1402" s="6">
        <v>3.575356011427871E-4</v>
      </c>
      <c r="J1402" s="6">
        <v>842.35387629240643</v>
      </c>
      <c r="K1402" s="6">
        <v>83712</v>
      </c>
      <c r="M1402" s="6">
        <f t="shared" si="110"/>
        <v>68318.3538762924</v>
      </c>
      <c r="N1402" s="6">
        <f t="shared" si="111"/>
        <v>83712</v>
      </c>
      <c r="O1402" s="6">
        <f t="shared" si="112"/>
        <v>152030.35387629241</v>
      </c>
      <c r="P1402" s="8">
        <f>VLOOKUP(F1402,'LEAID Match'!$A$2:$B$436,2,FALSE)</f>
        <v>1800107</v>
      </c>
      <c r="Q1402" s="6">
        <f t="shared" si="113"/>
        <v>9</v>
      </c>
    </row>
    <row r="1403" spans="1:17" x14ac:dyDescent="0.2">
      <c r="A1403" s="16">
        <f t="shared" si="109"/>
        <v>1800107</v>
      </c>
      <c r="B1403">
        <v>2021</v>
      </c>
      <c r="C1403" t="s">
        <v>904</v>
      </c>
      <c r="D1403" t="s">
        <v>906</v>
      </c>
      <c r="E1403" t="s">
        <v>2309</v>
      </c>
      <c r="F1403" t="s">
        <v>528</v>
      </c>
      <c r="G1403" t="s">
        <v>162</v>
      </c>
      <c r="H1403" s="6">
        <v>69866</v>
      </c>
      <c r="I1403" s="6">
        <v>3.451445374632669E-4</v>
      </c>
      <c r="J1403" s="6">
        <v>777.95578744220359</v>
      </c>
      <c r="K1403" s="6">
        <v>159198</v>
      </c>
      <c r="M1403" s="6">
        <f t="shared" si="110"/>
        <v>70643.955787442203</v>
      </c>
      <c r="N1403" s="6">
        <f t="shared" si="111"/>
        <v>159198</v>
      </c>
      <c r="O1403" s="6">
        <f t="shared" si="112"/>
        <v>229841.95578744222</v>
      </c>
      <c r="P1403" s="8">
        <f>VLOOKUP(F1403,'LEAID Match'!$A$2:$B$436,2,FALSE)</f>
        <v>1800107</v>
      </c>
      <c r="Q1403" s="6">
        <f t="shared" si="113"/>
        <v>9</v>
      </c>
    </row>
    <row r="1404" spans="1:17" x14ac:dyDescent="0.2">
      <c r="A1404" s="16">
        <f t="shared" si="109"/>
        <v>1800107</v>
      </c>
      <c r="B1404">
        <v>2022</v>
      </c>
      <c r="C1404" t="s">
        <v>904</v>
      </c>
      <c r="D1404" t="s">
        <v>906</v>
      </c>
      <c r="E1404" t="s">
        <v>2310</v>
      </c>
      <c r="F1404" t="s">
        <v>528</v>
      </c>
      <c r="G1404" t="s">
        <v>162</v>
      </c>
      <c r="H1404" s="6">
        <v>71094</v>
      </c>
      <c r="I1404" s="6">
        <v>3.3756752490062615E-4</v>
      </c>
      <c r="J1404" s="6">
        <v>744.3363924058807</v>
      </c>
      <c r="K1404" s="6">
        <v>168995</v>
      </c>
      <c r="M1404" s="6">
        <f t="shared" si="110"/>
        <v>71838.336392405879</v>
      </c>
      <c r="N1404" s="6">
        <f t="shared" si="111"/>
        <v>168995</v>
      </c>
      <c r="O1404" s="6">
        <f t="shared" si="112"/>
        <v>240833.33639240588</v>
      </c>
      <c r="P1404" s="8">
        <f>VLOOKUP(F1404,'LEAID Match'!$A$2:$B$436,2,FALSE)</f>
        <v>1800107</v>
      </c>
      <c r="Q1404" s="6">
        <f t="shared" si="113"/>
        <v>9</v>
      </c>
    </row>
    <row r="1405" spans="1:17" x14ac:dyDescent="0.2">
      <c r="A1405" s="16">
        <f t="shared" si="109"/>
        <v>1800107</v>
      </c>
      <c r="B1405">
        <v>2023</v>
      </c>
      <c r="C1405" t="s">
        <v>904</v>
      </c>
      <c r="D1405" t="s">
        <v>906</v>
      </c>
      <c r="E1405" t="s">
        <v>2311</v>
      </c>
      <c r="F1405" t="s">
        <v>528</v>
      </c>
      <c r="G1405" t="s">
        <v>162</v>
      </c>
      <c r="H1405" s="6">
        <v>82911</v>
      </c>
      <c r="I1405" s="6">
        <v>3.3906043434185125E-4</v>
      </c>
      <c r="J1405" s="6">
        <v>836.46209152134702</v>
      </c>
      <c r="K1405" s="6">
        <v>727150</v>
      </c>
      <c r="M1405" s="6">
        <f t="shared" si="110"/>
        <v>83747.462091521345</v>
      </c>
      <c r="N1405" s="6">
        <f t="shared" si="111"/>
        <v>727150</v>
      </c>
      <c r="O1405" s="6">
        <f t="shared" si="112"/>
        <v>810897.46209152136</v>
      </c>
      <c r="P1405" s="8">
        <f>VLOOKUP(F1405,'LEAID Match'!$A$2:$B$436,2,FALSE)</f>
        <v>1800107</v>
      </c>
      <c r="Q1405" s="6">
        <f t="shared" si="113"/>
        <v>9</v>
      </c>
    </row>
    <row r="1406" spans="1:17" x14ac:dyDescent="0.2">
      <c r="A1406" s="16">
        <f t="shared" si="109"/>
        <v>1802190</v>
      </c>
      <c r="B1406">
        <v>2015</v>
      </c>
      <c r="C1406" t="s">
        <v>904</v>
      </c>
      <c r="D1406" t="s">
        <v>906</v>
      </c>
      <c r="E1406" t="s">
        <v>2312</v>
      </c>
      <c r="F1406" t="s">
        <v>712</v>
      </c>
      <c r="G1406" t="s">
        <v>163</v>
      </c>
      <c r="H1406" s="6">
        <v>159542</v>
      </c>
      <c r="I1406" s="6">
        <v>7.7580600949871473E-4</v>
      </c>
      <c r="J1406" s="6">
        <v>4508.2087211970311</v>
      </c>
      <c r="K1406" s="6">
        <v>656033.97452826495</v>
      </c>
      <c r="M1406" s="6">
        <f t="shared" si="110"/>
        <v>164050.20872119704</v>
      </c>
      <c r="N1406" s="6">
        <f t="shared" si="111"/>
        <v>656033.97452826495</v>
      </c>
      <c r="O1406" s="6">
        <f t="shared" si="112"/>
        <v>820084.18324946193</v>
      </c>
      <c r="P1406" s="8">
        <f>VLOOKUP(F1406,'LEAID Match'!$A$2:$B$436,2,FALSE)</f>
        <v>1802190</v>
      </c>
      <c r="Q1406" s="6">
        <f t="shared" si="113"/>
        <v>9</v>
      </c>
    </row>
    <row r="1407" spans="1:17" x14ac:dyDescent="0.2">
      <c r="A1407" s="16">
        <f t="shared" si="109"/>
        <v>1802190</v>
      </c>
      <c r="B1407">
        <v>2016</v>
      </c>
      <c r="C1407" t="s">
        <v>904</v>
      </c>
      <c r="D1407" t="s">
        <v>906</v>
      </c>
      <c r="E1407" t="s">
        <v>2313</v>
      </c>
      <c r="F1407" t="s">
        <v>712</v>
      </c>
      <c r="G1407" t="s">
        <v>163</v>
      </c>
      <c r="H1407" s="6">
        <v>162513</v>
      </c>
      <c r="I1407" s="6">
        <v>7.5408027923813659E-4</v>
      </c>
      <c r="J1407" s="6">
        <v>3806.5972495941137</v>
      </c>
      <c r="K1407" s="6">
        <v>669246.24782384594</v>
      </c>
      <c r="M1407" s="6">
        <f t="shared" si="110"/>
        <v>166319.59724959411</v>
      </c>
      <c r="N1407" s="6">
        <f t="shared" si="111"/>
        <v>669246.24782384594</v>
      </c>
      <c r="O1407" s="6">
        <f t="shared" si="112"/>
        <v>835565.84507344011</v>
      </c>
      <c r="P1407" s="8">
        <f>VLOOKUP(F1407,'LEAID Match'!$A$2:$B$436,2,FALSE)</f>
        <v>1802190</v>
      </c>
      <c r="Q1407" s="6">
        <f t="shared" si="113"/>
        <v>9</v>
      </c>
    </row>
    <row r="1408" spans="1:17" x14ac:dyDescent="0.2">
      <c r="A1408" s="16">
        <f t="shared" si="109"/>
        <v>1802190</v>
      </c>
      <c r="B1408">
        <v>2017</v>
      </c>
      <c r="C1408" t="s">
        <v>904</v>
      </c>
      <c r="D1408" t="s">
        <v>906</v>
      </c>
      <c r="E1408" t="s">
        <v>2314</v>
      </c>
      <c r="F1408" t="s">
        <v>712</v>
      </c>
      <c r="G1408" t="s">
        <v>163</v>
      </c>
      <c r="H1408" s="6">
        <v>177901</v>
      </c>
      <c r="I1408" s="6">
        <v>7.8337421013348601E-4</v>
      </c>
      <c r="J1408" s="6">
        <v>3544.7683008540243</v>
      </c>
      <c r="K1408" s="6">
        <v>682318.93702626601</v>
      </c>
      <c r="M1408" s="6">
        <f t="shared" si="110"/>
        <v>181445.76830085402</v>
      </c>
      <c r="N1408" s="6">
        <f t="shared" si="111"/>
        <v>682318.93702626601</v>
      </c>
      <c r="O1408" s="6">
        <f t="shared" si="112"/>
        <v>863764.70532712003</v>
      </c>
      <c r="P1408" s="8">
        <f>VLOOKUP(F1408,'LEAID Match'!$A$2:$B$436,2,FALSE)</f>
        <v>1802190</v>
      </c>
      <c r="Q1408" s="6">
        <f t="shared" si="113"/>
        <v>9</v>
      </c>
    </row>
    <row r="1409" spans="1:17" x14ac:dyDescent="0.2">
      <c r="A1409" s="16">
        <f t="shared" si="109"/>
        <v>1802190</v>
      </c>
      <c r="B1409">
        <v>2018</v>
      </c>
      <c r="C1409" t="s">
        <v>904</v>
      </c>
      <c r="D1409" t="s">
        <v>906</v>
      </c>
      <c r="E1409" t="s">
        <v>2315</v>
      </c>
      <c r="F1409" t="s">
        <v>712</v>
      </c>
      <c r="G1409" t="s">
        <v>163</v>
      </c>
      <c r="H1409" s="6">
        <v>195955</v>
      </c>
      <c r="I1409" s="6">
        <v>8.3131377391660948E-4</v>
      </c>
      <c r="J1409" s="6">
        <v>3464.9158096844285</v>
      </c>
      <c r="K1409" s="6">
        <v>617747</v>
      </c>
      <c r="M1409" s="6">
        <f t="shared" si="110"/>
        <v>199419.91580968443</v>
      </c>
      <c r="N1409" s="6">
        <f t="shared" si="111"/>
        <v>617747</v>
      </c>
      <c r="O1409" s="6">
        <f t="shared" si="112"/>
        <v>817166.91580968443</v>
      </c>
      <c r="P1409" s="8">
        <f>VLOOKUP(F1409,'LEAID Match'!$A$2:$B$436,2,FALSE)</f>
        <v>1802190</v>
      </c>
      <c r="Q1409" s="6">
        <f t="shared" si="113"/>
        <v>9</v>
      </c>
    </row>
    <row r="1410" spans="1:17" x14ac:dyDescent="0.2">
      <c r="A1410" s="16">
        <f t="shared" si="109"/>
        <v>1802190</v>
      </c>
      <c r="B1410">
        <v>2019</v>
      </c>
      <c r="C1410" t="s">
        <v>904</v>
      </c>
      <c r="D1410" t="s">
        <v>906</v>
      </c>
      <c r="E1410" t="s">
        <v>2316</v>
      </c>
      <c r="F1410" t="s">
        <v>712</v>
      </c>
      <c r="G1410" t="s">
        <v>163</v>
      </c>
      <c r="H1410" s="6">
        <v>202889</v>
      </c>
      <c r="I1410" s="6">
        <v>5.1614851564569001E-4</v>
      </c>
      <c r="J1410" s="6">
        <v>1809.1005473381435</v>
      </c>
      <c r="K1410" s="6">
        <v>487192.583917966</v>
      </c>
      <c r="M1410" s="6">
        <f t="shared" si="110"/>
        <v>204698.10054733814</v>
      </c>
      <c r="N1410" s="6">
        <f t="shared" si="111"/>
        <v>487192.583917966</v>
      </c>
      <c r="O1410" s="6">
        <f t="shared" si="112"/>
        <v>691890.68446530413</v>
      </c>
      <c r="P1410" s="8">
        <f>VLOOKUP(F1410,'LEAID Match'!$A$2:$B$436,2,FALSE)</f>
        <v>1802190</v>
      </c>
      <c r="Q1410" s="6">
        <f t="shared" si="113"/>
        <v>9</v>
      </c>
    </row>
    <row r="1411" spans="1:17" x14ac:dyDescent="0.2">
      <c r="A1411" s="16">
        <f t="shared" ref="A1411:A1474" si="114">P1411</f>
        <v>1802190</v>
      </c>
      <c r="B1411">
        <v>2020</v>
      </c>
      <c r="C1411" t="s">
        <v>904</v>
      </c>
      <c r="D1411" t="s">
        <v>906</v>
      </c>
      <c r="E1411" t="s">
        <v>2317</v>
      </c>
      <c r="F1411" t="s">
        <v>712</v>
      </c>
      <c r="G1411" t="s">
        <v>163</v>
      </c>
      <c r="H1411" s="6">
        <v>156139</v>
      </c>
      <c r="I1411" s="6">
        <v>8.2733492244403402E-4</v>
      </c>
      <c r="J1411" s="6">
        <v>1949.2010772781441</v>
      </c>
      <c r="K1411" s="6">
        <v>624244</v>
      </c>
      <c r="M1411" s="6">
        <f t="shared" ref="M1411:M1474" si="115">SUM(H1411,J1411)</f>
        <v>158088.20107727815</v>
      </c>
      <c r="N1411" s="6">
        <f t="shared" ref="N1411:N1474" si="116">K1411</f>
        <v>624244</v>
      </c>
      <c r="O1411" s="6">
        <f t="shared" ref="O1411:O1474" si="117">SUM(M1411:N1411)</f>
        <v>782332.20107727812</v>
      </c>
      <c r="P1411" s="8">
        <f>VLOOKUP(F1411,'LEAID Match'!$A$2:$B$436,2,FALSE)</f>
        <v>1802190</v>
      </c>
      <c r="Q1411" s="6">
        <f t="shared" ref="Q1411:Q1474" si="118">COUNTIF($P$2:$P$3691,P1411)</f>
        <v>9</v>
      </c>
    </row>
    <row r="1412" spans="1:17" x14ac:dyDescent="0.2">
      <c r="A1412" s="16">
        <f t="shared" si="114"/>
        <v>1802190</v>
      </c>
      <c r="B1412">
        <v>2021</v>
      </c>
      <c r="C1412" t="s">
        <v>904</v>
      </c>
      <c r="D1412" t="s">
        <v>906</v>
      </c>
      <c r="E1412" t="s">
        <v>2318</v>
      </c>
      <c r="F1412" t="s">
        <v>712</v>
      </c>
      <c r="G1412" t="s">
        <v>163</v>
      </c>
      <c r="H1412" s="6">
        <v>161985</v>
      </c>
      <c r="I1412" s="6">
        <v>8.0022096443173058E-4</v>
      </c>
      <c r="J1412" s="6">
        <v>1803.6980538291207</v>
      </c>
      <c r="K1412" s="6">
        <v>966697</v>
      </c>
      <c r="M1412" s="6">
        <f t="shared" si="115"/>
        <v>163788.69805382911</v>
      </c>
      <c r="N1412" s="6">
        <f t="shared" si="116"/>
        <v>966697</v>
      </c>
      <c r="O1412" s="6">
        <f t="shared" si="117"/>
        <v>1130485.6980538291</v>
      </c>
      <c r="P1412" s="8">
        <f>VLOOKUP(F1412,'LEAID Match'!$A$2:$B$436,2,FALSE)</f>
        <v>1802190</v>
      </c>
      <c r="Q1412" s="6">
        <f t="shared" si="118"/>
        <v>9</v>
      </c>
    </row>
    <row r="1413" spans="1:17" x14ac:dyDescent="0.2">
      <c r="A1413" s="16">
        <f t="shared" si="114"/>
        <v>1802190</v>
      </c>
      <c r="B1413">
        <v>2022</v>
      </c>
      <c r="C1413" t="s">
        <v>904</v>
      </c>
      <c r="D1413" t="s">
        <v>906</v>
      </c>
      <c r="E1413" t="s">
        <v>2319</v>
      </c>
      <c r="F1413" t="s">
        <v>712</v>
      </c>
      <c r="G1413" t="s">
        <v>163</v>
      </c>
      <c r="H1413" s="6">
        <v>175663</v>
      </c>
      <c r="I1413" s="6">
        <v>8.3408057116801269E-4</v>
      </c>
      <c r="J1413" s="6">
        <v>1839.147659425468</v>
      </c>
      <c r="K1413" s="6">
        <v>918773</v>
      </c>
      <c r="M1413" s="6">
        <f t="shared" si="115"/>
        <v>177502.14765942548</v>
      </c>
      <c r="N1413" s="6">
        <f t="shared" si="116"/>
        <v>918773</v>
      </c>
      <c r="O1413" s="6">
        <f t="shared" si="117"/>
        <v>1096275.1476594254</v>
      </c>
      <c r="P1413" s="8">
        <f>VLOOKUP(F1413,'LEAID Match'!$A$2:$B$436,2,FALSE)</f>
        <v>1802190</v>
      </c>
      <c r="Q1413" s="6">
        <f t="shared" si="118"/>
        <v>9</v>
      </c>
    </row>
    <row r="1414" spans="1:17" x14ac:dyDescent="0.2">
      <c r="A1414" s="16">
        <f t="shared" si="114"/>
        <v>1802190</v>
      </c>
      <c r="B1414">
        <v>2023</v>
      </c>
      <c r="C1414" t="s">
        <v>904</v>
      </c>
      <c r="D1414" t="s">
        <v>906</v>
      </c>
      <c r="E1414" t="s">
        <v>2320</v>
      </c>
      <c r="F1414" t="s">
        <v>712</v>
      </c>
      <c r="G1414" t="s">
        <v>163</v>
      </c>
      <c r="H1414" s="6">
        <v>200408</v>
      </c>
      <c r="I1414" s="6">
        <v>8.1955860531873607E-4</v>
      </c>
      <c r="J1414" s="6">
        <v>2021.8510793213218</v>
      </c>
      <c r="K1414" s="6">
        <v>2345343</v>
      </c>
      <c r="M1414" s="6">
        <f t="shared" si="115"/>
        <v>202429.85107932132</v>
      </c>
      <c r="N1414" s="6">
        <f t="shared" si="116"/>
        <v>2345343</v>
      </c>
      <c r="O1414" s="6">
        <f t="shared" si="117"/>
        <v>2547772.8510793215</v>
      </c>
      <c r="P1414" s="8">
        <f>VLOOKUP(F1414,'LEAID Match'!$A$2:$B$436,2,FALSE)</f>
        <v>1802190</v>
      </c>
      <c r="Q1414" s="6">
        <f t="shared" si="118"/>
        <v>9</v>
      </c>
    </row>
    <row r="1415" spans="1:17" x14ac:dyDescent="0.2">
      <c r="A1415" s="16">
        <f t="shared" si="114"/>
        <v>0</v>
      </c>
      <c r="B1415">
        <v>2018</v>
      </c>
      <c r="C1415" t="s">
        <v>904</v>
      </c>
      <c r="D1415" t="s">
        <v>906</v>
      </c>
      <c r="E1415" t="s">
        <v>2321</v>
      </c>
      <c r="F1415" t="s">
        <v>713</v>
      </c>
      <c r="G1415" t="s">
        <v>428</v>
      </c>
      <c r="H1415" s="6">
        <v>0</v>
      </c>
      <c r="I1415" s="6">
        <v>0</v>
      </c>
      <c r="J1415" s="6">
        <v>0</v>
      </c>
      <c r="K1415" s="6">
        <v>44977</v>
      </c>
      <c r="M1415" s="6">
        <f t="shared" si="115"/>
        <v>0</v>
      </c>
      <c r="N1415" s="6">
        <f t="shared" si="116"/>
        <v>44977</v>
      </c>
      <c r="O1415" s="6">
        <f t="shared" si="117"/>
        <v>44977</v>
      </c>
      <c r="P1415" s="8">
        <f>VLOOKUP(F1415,'LEAID Match'!$A$2:$B$436,2,FALSE)</f>
        <v>0</v>
      </c>
      <c r="Q1415" s="6">
        <f t="shared" si="118"/>
        <v>371</v>
      </c>
    </row>
    <row r="1416" spans="1:17" x14ac:dyDescent="0.2">
      <c r="A1416" s="16">
        <f t="shared" si="114"/>
        <v>0</v>
      </c>
      <c r="B1416">
        <v>2020</v>
      </c>
      <c r="C1416" t="s">
        <v>904</v>
      </c>
      <c r="D1416" t="s">
        <v>906</v>
      </c>
      <c r="E1416" t="s">
        <v>2322</v>
      </c>
      <c r="F1416" t="s">
        <v>713</v>
      </c>
      <c r="G1416" t="s">
        <v>428</v>
      </c>
      <c r="H1416" s="6">
        <v>0</v>
      </c>
      <c r="I1416" s="6">
        <v>0</v>
      </c>
      <c r="J1416" s="6">
        <v>0</v>
      </c>
      <c r="K1416" s="6">
        <v>48751</v>
      </c>
      <c r="M1416" s="6">
        <f t="shared" si="115"/>
        <v>0</v>
      </c>
      <c r="N1416" s="6">
        <f t="shared" si="116"/>
        <v>48751</v>
      </c>
      <c r="O1416" s="6">
        <f t="shared" si="117"/>
        <v>48751</v>
      </c>
      <c r="P1416" s="8">
        <f>VLOOKUP(F1416,'LEAID Match'!$A$2:$B$436,2,FALSE)</f>
        <v>0</v>
      </c>
      <c r="Q1416" s="6">
        <f t="shared" si="118"/>
        <v>371</v>
      </c>
    </row>
    <row r="1417" spans="1:17" x14ac:dyDescent="0.2">
      <c r="A1417" s="16">
        <f t="shared" si="114"/>
        <v>0</v>
      </c>
      <c r="B1417">
        <v>2021</v>
      </c>
      <c r="C1417" t="s">
        <v>904</v>
      </c>
      <c r="D1417" t="s">
        <v>906</v>
      </c>
      <c r="E1417" t="s">
        <v>2323</v>
      </c>
      <c r="F1417" t="s">
        <v>713</v>
      </c>
      <c r="G1417" t="s">
        <v>428</v>
      </c>
      <c r="H1417" s="6" t="s">
        <v>893</v>
      </c>
      <c r="K1417" s="6">
        <v>77042</v>
      </c>
      <c r="M1417" s="6">
        <f t="shared" si="115"/>
        <v>0</v>
      </c>
      <c r="N1417" s="6">
        <f t="shared" si="116"/>
        <v>77042</v>
      </c>
      <c r="O1417" s="6">
        <f t="shared" si="117"/>
        <v>77042</v>
      </c>
      <c r="P1417" s="8">
        <f>VLOOKUP(F1417,'LEAID Match'!$A$2:$B$436,2,FALSE)</f>
        <v>0</v>
      </c>
      <c r="Q1417" s="6">
        <f t="shared" si="118"/>
        <v>371</v>
      </c>
    </row>
    <row r="1418" spans="1:17" x14ac:dyDescent="0.2">
      <c r="A1418" s="16">
        <f t="shared" si="114"/>
        <v>0</v>
      </c>
      <c r="B1418">
        <v>2022</v>
      </c>
      <c r="C1418" t="s">
        <v>904</v>
      </c>
      <c r="D1418" t="s">
        <v>906</v>
      </c>
      <c r="E1418" t="s">
        <v>2324</v>
      </c>
      <c r="F1418" t="s">
        <v>713</v>
      </c>
      <c r="G1418" t="s">
        <v>428</v>
      </c>
      <c r="H1418" s="6" t="s">
        <v>893</v>
      </c>
      <c r="K1418" s="6">
        <v>75350</v>
      </c>
      <c r="M1418" s="6">
        <f t="shared" si="115"/>
        <v>0</v>
      </c>
      <c r="N1418" s="6">
        <f t="shared" si="116"/>
        <v>75350</v>
      </c>
      <c r="O1418" s="6">
        <f t="shared" si="117"/>
        <v>75350</v>
      </c>
      <c r="P1418" s="8">
        <f>VLOOKUP(F1418,'LEAID Match'!$A$2:$B$436,2,FALSE)</f>
        <v>0</v>
      </c>
      <c r="Q1418" s="6">
        <f t="shared" si="118"/>
        <v>371</v>
      </c>
    </row>
    <row r="1419" spans="1:17" x14ac:dyDescent="0.2">
      <c r="A1419" s="16">
        <f t="shared" si="114"/>
        <v>0</v>
      </c>
      <c r="B1419">
        <v>2023</v>
      </c>
      <c r="C1419" t="s">
        <v>904</v>
      </c>
      <c r="D1419" t="s">
        <v>906</v>
      </c>
      <c r="E1419" t="s">
        <v>2325</v>
      </c>
      <c r="F1419" t="s">
        <v>713</v>
      </c>
      <c r="G1419" t="s">
        <v>428</v>
      </c>
      <c r="H1419" s="6" t="s">
        <v>893</v>
      </c>
      <c r="K1419" s="6">
        <v>132979</v>
      </c>
      <c r="M1419" s="6">
        <f t="shared" si="115"/>
        <v>0</v>
      </c>
      <c r="N1419" s="6">
        <f t="shared" si="116"/>
        <v>132979</v>
      </c>
      <c r="O1419" s="6">
        <f t="shared" si="117"/>
        <v>132979</v>
      </c>
      <c r="P1419" s="8">
        <f>VLOOKUP(F1419,'LEAID Match'!$A$2:$B$436,2,FALSE)</f>
        <v>0</v>
      </c>
      <c r="Q1419" s="6">
        <f t="shared" si="118"/>
        <v>371</v>
      </c>
    </row>
    <row r="1420" spans="1:17" x14ac:dyDescent="0.2">
      <c r="A1420" s="16">
        <f t="shared" si="114"/>
        <v>1807560</v>
      </c>
      <c r="B1420">
        <v>2015</v>
      </c>
      <c r="C1420" t="s">
        <v>904</v>
      </c>
      <c r="D1420" t="s">
        <v>906</v>
      </c>
      <c r="E1420" t="s">
        <v>2326</v>
      </c>
      <c r="F1420" t="s">
        <v>529</v>
      </c>
      <c r="G1420" t="s">
        <v>164</v>
      </c>
      <c r="H1420" s="6">
        <v>429184</v>
      </c>
      <c r="I1420" s="6">
        <v>2.0869960661186169E-3</v>
      </c>
      <c r="J1420" s="6">
        <v>12127.534140215283</v>
      </c>
      <c r="K1420" s="6">
        <v>1764797.26544696</v>
      </c>
      <c r="M1420" s="6">
        <f t="shared" si="115"/>
        <v>441311.53414021526</v>
      </c>
      <c r="N1420" s="6">
        <f t="shared" si="116"/>
        <v>1764797.26544696</v>
      </c>
      <c r="O1420" s="6">
        <f t="shared" si="117"/>
        <v>2206108.7995871753</v>
      </c>
      <c r="P1420" s="8">
        <f>VLOOKUP(F1420,'LEAID Match'!$A$2:$B$436,2,FALSE)</f>
        <v>1807560</v>
      </c>
      <c r="Q1420" s="6">
        <f t="shared" si="118"/>
        <v>9</v>
      </c>
    </row>
    <row r="1421" spans="1:17" x14ac:dyDescent="0.2">
      <c r="A1421" s="16">
        <f t="shared" si="114"/>
        <v>1807560</v>
      </c>
      <c r="B1421">
        <v>2016</v>
      </c>
      <c r="C1421" t="s">
        <v>904</v>
      </c>
      <c r="D1421" t="s">
        <v>906</v>
      </c>
      <c r="E1421" t="s">
        <v>2327</v>
      </c>
      <c r="F1421" t="s">
        <v>529</v>
      </c>
      <c r="G1421" t="s">
        <v>164</v>
      </c>
      <c r="H1421" s="6">
        <v>453150</v>
      </c>
      <c r="I1421" s="6">
        <v>2.1026716541861978E-3</v>
      </c>
      <c r="J1421" s="6">
        <v>10614.286510331927</v>
      </c>
      <c r="K1421" s="6">
        <v>1866121.0930902499</v>
      </c>
      <c r="M1421" s="6">
        <f t="shared" si="115"/>
        <v>463764.28651033191</v>
      </c>
      <c r="N1421" s="6">
        <f t="shared" si="116"/>
        <v>1866121.0930902499</v>
      </c>
      <c r="O1421" s="6">
        <f t="shared" si="117"/>
        <v>2329885.3796005817</v>
      </c>
      <c r="P1421" s="8">
        <f>VLOOKUP(F1421,'LEAID Match'!$A$2:$B$436,2,FALSE)</f>
        <v>1807560</v>
      </c>
      <c r="Q1421" s="6">
        <f t="shared" si="118"/>
        <v>9</v>
      </c>
    </row>
    <row r="1422" spans="1:17" x14ac:dyDescent="0.2">
      <c r="A1422" s="16">
        <f t="shared" si="114"/>
        <v>1807560</v>
      </c>
      <c r="B1422">
        <v>2017</v>
      </c>
      <c r="C1422" t="s">
        <v>904</v>
      </c>
      <c r="D1422" t="s">
        <v>906</v>
      </c>
      <c r="E1422" t="s">
        <v>2328</v>
      </c>
      <c r="F1422" t="s">
        <v>529</v>
      </c>
      <c r="G1422" t="s">
        <v>164</v>
      </c>
      <c r="H1422" s="6">
        <v>480496</v>
      </c>
      <c r="I1422" s="6">
        <v>2.1158294471211488E-3</v>
      </c>
      <c r="J1422" s="6">
        <v>9574.1282482231982</v>
      </c>
      <c r="K1422" s="6">
        <v>1842887.4484425201</v>
      </c>
      <c r="M1422" s="6">
        <f t="shared" si="115"/>
        <v>490070.12824822322</v>
      </c>
      <c r="N1422" s="6">
        <f t="shared" si="116"/>
        <v>1842887.4484425201</v>
      </c>
      <c r="O1422" s="6">
        <f t="shared" si="117"/>
        <v>2332957.5766907432</v>
      </c>
      <c r="P1422" s="8">
        <f>VLOOKUP(F1422,'LEAID Match'!$A$2:$B$436,2,FALSE)</f>
        <v>1807560</v>
      </c>
      <c r="Q1422" s="6">
        <f t="shared" si="118"/>
        <v>9</v>
      </c>
    </row>
    <row r="1423" spans="1:17" x14ac:dyDescent="0.2">
      <c r="A1423" s="16">
        <f t="shared" si="114"/>
        <v>1807560</v>
      </c>
      <c r="B1423">
        <v>2018</v>
      </c>
      <c r="C1423" t="s">
        <v>904</v>
      </c>
      <c r="D1423" t="s">
        <v>906</v>
      </c>
      <c r="E1423" t="s">
        <v>2329</v>
      </c>
      <c r="F1423" t="s">
        <v>529</v>
      </c>
      <c r="G1423" t="s">
        <v>164</v>
      </c>
      <c r="H1423" s="6">
        <v>505966</v>
      </c>
      <c r="I1423" s="6">
        <v>2.1464953940113353E-3</v>
      </c>
      <c r="J1423" s="6">
        <v>8946.5928022392454</v>
      </c>
      <c r="K1423" s="6">
        <v>1927406</v>
      </c>
      <c r="M1423" s="6">
        <f t="shared" si="115"/>
        <v>514912.59280223923</v>
      </c>
      <c r="N1423" s="6">
        <f t="shared" si="116"/>
        <v>1927406</v>
      </c>
      <c r="O1423" s="6">
        <f t="shared" si="117"/>
        <v>2442318.5928022391</v>
      </c>
      <c r="P1423" s="8">
        <f>VLOOKUP(F1423,'LEAID Match'!$A$2:$B$436,2,FALSE)</f>
        <v>1807560</v>
      </c>
      <c r="Q1423" s="6">
        <f t="shared" si="118"/>
        <v>9</v>
      </c>
    </row>
    <row r="1424" spans="1:17" x14ac:dyDescent="0.2">
      <c r="A1424" s="16">
        <f t="shared" si="114"/>
        <v>1807560</v>
      </c>
      <c r="B1424">
        <v>2019</v>
      </c>
      <c r="C1424" t="s">
        <v>904</v>
      </c>
      <c r="D1424" t="s">
        <v>906</v>
      </c>
      <c r="E1424" t="s">
        <v>2330</v>
      </c>
      <c r="F1424" t="s">
        <v>529</v>
      </c>
      <c r="G1424" t="s">
        <v>164</v>
      </c>
      <c r="H1424" s="6">
        <v>551730</v>
      </c>
      <c r="I1424" s="6">
        <v>1.4035981277309099E-3</v>
      </c>
      <c r="J1424" s="6">
        <v>4919.6114376968389</v>
      </c>
      <c r="K1424" s="6">
        <v>1324856.2727651999</v>
      </c>
      <c r="M1424" s="6">
        <f t="shared" si="115"/>
        <v>556649.61143769685</v>
      </c>
      <c r="N1424" s="6">
        <f t="shared" si="116"/>
        <v>1324856.2727651999</v>
      </c>
      <c r="O1424" s="6">
        <f t="shared" si="117"/>
        <v>1881505.8842028966</v>
      </c>
      <c r="P1424" s="8">
        <f>VLOOKUP(F1424,'LEAID Match'!$A$2:$B$436,2,FALSE)</f>
        <v>1807560</v>
      </c>
      <c r="Q1424" s="6">
        <f t="shared" si="118"/>
        <v>9</v>
      </c>
    </row>
    <row r="1425" spans="1:17" x14ac:dyDescent="0.2">
      <c r="A1425" s="16">
        <f t="shared" si="114"/>
        <v>1807560</v>
      </c>
      <c r="B1425">
        <v>2020</v>
      </c>
      <c r="C1425" t="s">
        <v>904</v>
      </c>
      <c r="D1425" t="s">
        <v>906</v>
      </c>
      <c r="E1425" t="s">
        <v>2331</v>
      </c>
      <c r="F1425" t="s">
        <v>529</v>
      </c>
      <c r="G1425" t="s">
        <v>164</v>
      </c>
      <c r="H1425" s="6">
        <v>425336</v>
      </c>
      <c r="I1425" s="6">
        <v>2.2537311406673264E-3</v>
      </c>
      <c r="J1425" s="6">
        <v>5309.7905674122212</v>
      </c>
      <c r="K1425" s="6">
        <v>1964988</v>
      </c>
      <c r="M1425" s="6">
        <f t="shared" si="115"/>
        <v>430645.79056741222</v>
      </c>
      <c r="N1425" s="6">
        <f t="shared" si="116"/>
        <v>1964988</v>
      </c>
      <c r="O1425" s="6">
        <f t="shared" si="117"/>
        <v>2395633.790567412</v>
      </c>
      <c r="P1425" s="8">
        <f>VLOOKUP(F1425,'LEAID Match'!$A$2:$B$436,2,FALSE)</f>
        <v>1807560</v>
      </c>
      <c r="Q1425" s="6">
        <f t="shared" si="118"/>
        <v>9</v>
      </c>
    </row>
    <row r="1426" spans="1:17" x14ac:dyDescent="0.2">
      <c r="A1426" s="16">
        <f t="shared" si="114"/>
        <v>1807560</v>
      </c>
      <c r="B1426">
        <v>2021</v>
      </c>
      <c r="C1426" t="s">
        <v>904</v>
      </c>
      <c r="D1426" t="s">
        <v>906</v>
      </c>
      <c r="E1426" t="s">
        <v>2332</v>
      </c>
      <c r="F1426" t="s">
        <v>529</v>
      </c>
      <c r="G1426" t="s">
        <v>164</v>
      </c>
      <c r="H1426" s="6">
        <v>446012</v>
      </c>
      <c r="I1426" s="6">
        <v>2.2033407586389171E-3</v>
      </c>
      <c r="J1426" s="6">
        <v>4966.3300699721194</v>
      </c>
      <c r="K1426" s="6">
        <v>3299366</v>
      </c>
      <c r="M1426" s="6">
        <f t="shared" si="115"/>
        <v>450978.33006997214</v>
      </c>
      <c r="N1426" s="6">
        <f t="shared" si="116"/>
        <v>3299366</v>
      </c>
      <c r="O1426" s="6">
        <f t="shared" si="117"/>
        <v>3750344.3300699722</v>
      </c>
      <c r="P1426" s="8">
        <f>VLOOKUP(F1426,'LEAID Match'!$A$2:$B$436,2,FALSE)</f>
        <v>1807560</v>
      </c>
      <c r="Q1426" s="6">
        <f t="shared" si="118"/>
        <v>9</v>
      </c>
    </row>
    <row r="1427" spans="1:17" x14ac:dyDescent="0.2">
      <c r="A1427" s="16">
        <f t="shared" si="114"/>
        <v>1807560</v>
      </c>
      <c r="B1427">
        <v>2022</v>
      </c>
      <c r="C1427" t="s">
        <v>904</v>
      </c>
      <c r="D1427" t="s">
        <v>906</v>
      </c>
      <c r="E1427" t="s">
        <v>2333</v>
      </c>
      <c r="F1427" t="s">
        <v>529</v>
      </c>
      <c r="G1427" t="s">
        <v>164</v>
      </c>
      <c r="H1427" s="6">
        <v>501520</v>
      </c>
      <c r="I1427" s="6">
        <v>2.3813101680614686E-3</v>
      </c>
      <c r="J1427" s="6">
        <v>5250.7889205755382</v>
      </c>
      <c r="K1427" s="6">
        <v>3257102</v>
      </c>
      <c r="M1427" s="6">
        <f t="shared" si="115"/>
        <v>506770.78892057552</v>
      </c>
      <c r="N1427" s="6">
        <f t="shared" si="116"/>
        <v>3257102</v>
      </c>
      <c r="O1427" s="6">
        <f t="shared" si="117"/>
        <v>3763872.7889205758</v>
      </c>
      <c r="P1427" s="8">
        <f>VLOOKUP(F1427,'LEAID Match'!$A$2:$B$436,2,FALSE)</f>
        <v>1807560</v>
      </c>
      <c r="Q1427" s="6">
        <f t="shared" si="118"/>
        <v>9</v>
      </c>
    </row>
    <row r="1428" spans="1:17" x14ac:dyDescent="0.2">
      <c r="A1428" s="16">
        <f t="shared" si="114"/>
        <v>1807560</v>
      </c>
      <c r="B1428">
        <v>2023</v>
      </c>
      <c r="C1428" t="s">
        <v>904</v>
      </c>
      <c r="D1428" t="s">
        <v>906</v>
      </c>
      <c r="E1428" t="s">
        <v>2334</v>
      </c>
      <c r="F1428" t="s">
        <v>529</v>
      </c>
      <c r="G1428" t="s">
        <v>164</v>
      </c>
      <c r="H1428" s="6">
        <v>554386</v>
      </c>
      <c r="I1428" s="6">
        <v>2.2671341312134885E-3</v>
      </c>
      <c r="J1428" s="6">
        <v>5593.0199017036757</v>
      </c>
      <c r="K1428" s="6">
        <v>9045960</v>
      </c>
      <c r="M1428" s="6">
        <f t="shared" si="115"/>
        <v>559979.01990170369</v>
      </c>
      <c r="N1428" s="6">
        <f t="shared" si="116"/>
        <v>9045960</v>
      </c>
      <c r="O1428" s="6">
        <f t="shared" si="117"/>
        <v>9605939.019901704</v>
      </c>
      <c r="P1428" s="8">
        <f>VLOOKUP(F1428,'LEAID Match'!$A$2:$B$436,2,FALSE)</f>
        <v>1807560</v>
      </c>
      <c r="Q1428" s="6">
        <f t="shared" si="118"/>
        <v>9</v>
      </c>
    </row>
    <row r="1429" spans="1:17" x14ac:dyDescent="0.2">
      <c r="A1429" s="16">
        <f t="shared" si="114"/>
        <v>1805580</v>
      </c>
      <c r="B1429">
        <v>2015</v>
      </c>
      <c r="C1429" t="s">
        <v>904</v>
      </c>
      <c r="D1429" t="s">
        <v>906</v>
      </c>
      <c r="E1429" t="s">
        <v>2335</v>
      </c>
      <c r="F1429" t="s">
        <v>714</v>
      </c>
      <c r="G1429" t="s">
        <v>165</v>
      </c>
      <c r="H1429" s="6">
        <v>1251361</v>
      </c>
      <c r="I1429" s="6">
        <v>6.0850019672081404E-3</v>
      </c>
      <c r="J1429" s="6">
        <v>35359.946431446508</v>
      </c>
      <c r="K1429" s="6">
        <v>5145575.0235026702</v>
      </c>
      <c r="M1429" s="6">
        <f t="shared" si="115"/>
        <v>1286720.9464314466</v>
      </c>
      <c r="N1429" s="6">
        <f t="shared" si="116"/>
        <v>5145575.0235026702</v>
      </c>
      <c r="O1429" s="6">
        <f t="shared" si="117"/>
        <v>6432295.969934117</v>
      </c>
      <c r="P1429" s="8">
        <f>VLOOKUP(F1429,'LEAID Match'!$A$2:$B$436,2,FALSE)</f>
        <v>1805580</v>
      </c>
      <c r="Q1429" s="6">
        <f t="shared" si="118"/>
        <v>9</v>
      </c>
    </row>
    <row r="1430" spans="1:17" x14ac:dyDescent="0.2">
      <c r="A1430" s="16">
        <f t="shared" si="114"/>
        <v>1805580</v>
      </c>
      <c r="B1430">
        <v>2016</v>
      </c>
      <c r="C1430" t="s">
        <v>904</v>
      </c>
      <c r="D1430" t="s">
        <v>906</v>
      </c>
      <c r="E1430" t="s">
        <v>2336</v>
      </c>
      <c r="F1430" t="s">
        <v>714</v>
      </c>
      <c r="G1430" t="s">
        <v>165</v>
      </c>
      <c r="H1430" s="6">
        <v>1323750</v>
      </c>
      <c r="I1430" s="6">
        <v>6.1423625780182714E-3</v>
      </c>
      <c r="J1430" s="6">
        <v>31006.646293836235</v>
      </c>
      <c r="K1430" s="6">
        <v>5451346.7879912099</v>
      </c>
      <c r="M1430" s="6">
        <f t="shared" si="115"/>
        <v>1354756.6462938362</v>
      </c>
      <c r="N1430" s="6">
        <f t="shared" si="116"/>
        <v>5451346.7879912099</v>
      </c>
      <c r="O1430" s="6">
        <f t="shared" si="117"/>
        <v>6806103.4342850465</v>
      </c>
      <c r="P1430" s="8">
        <f>VLOOKUP(F1430,'LEAID Match'!$A$2:$B$436,2,FALSE)</f>
        <v>1805580</v>
      </c>
      <c r="Q1430" s="6">
        <f t="shared" si="118"/>
        <v>9</v>
      </c>
    </row>
    <row r="1431" spans="1:17" x14ac:dyDescent="0.2">
      <c r="A1431" s="16">
        <f t="shared" si="114"/>
        <v>1805580</v>
      </c>
      <c r="B1431">
        <v>2017</v>
      </c>
      <c r="C1431" t="s">
        <v>904</v>
      </c>
      <c r="D1431" t="s">
        <v>906</v>
      </c>
      <c r="E1431" t="s">
        <v>2337</v>
      </c>
      <c r="F1431" t="s">
        <v>714</v>
      </c>
      <c r="G1431" t="s">
        <v>165</v>
      </c>
      <c r="H1431" s="6">
        <v>1388724</v>
      </c>
      <c r="I1431" s="6">
        <v>6.1151458766022402E-3</v>
      </c>
      <c r="J1431" s="6">
        <v>27671.035091625137</v>
      </c>
      <c r="K1431" s="6">
        <v>5326292.0585205499</v>
      </c>
      <c r="M1431" s="6">
        <f t="shared" si="115"/>
        <v>1416395.0350916251</v>
      </c>
      <c r="N1431" s="6">
        <f t="shared" si="116"/>
        <v>5326292.0585205499</v>
      </c>
      <c r="O1431" s="6">
        <f t="shared" si="117"/>
        <v>6742687.0936121754</v>
      </c>
      <c r="P1431" s="8">
        <f>VLOOKUP(F1431,'LEAID Match'!$A$2:$B$436,2,FALSE)</f>
        <v>1805580</v>
      </c>
      <c r="Q1431" s="6">
        <f t="shared" si="118"/>
        <v>9</v>
      </c>
    </row>
    <row r="1432" spans="1:17" x14ac:dyDescent="0.2">
      <c r="A1432" s="16">
        <f t="shared" si="114"/>
        <v>1805580</v>
      </c>
      <c r="B1432">
        <v>2018</v>
      </c>
      <c r="C1432" t="s">
        <v>904</v>
      </c>
      <c r="D1432" t="s">
        <v>906</v>
      </c>
      <c r="E1432" t="s">
        <v>2338</v>
      </c>
      <c r="F1432" t="s">
        <v>714</v>
      </c>
      <c r="G1432" t="s">
        <v>165</v>
      </c>
      <c r="H1432" s="6">
        <v>1449628</v>
      </c>
      <c r="I1432" s="6">
        <v>6.1498595261931912E-3</v>
      </c>
      <c r="J1432" s="6">
        <v>25632.61450517322</v>
      </c>
      <c r="K1432" s="6">
        <v>6187380</v>
      </c>
      <c r="M1432" s="6">
        <f t="shared" si="115"/>
        <v>1475260.6145051732</v>
      </c>
      <c r="N1432" s="6">
        <f t="shared" si="116"/>
        <v>6187380</v>
      </c>
      <c r="O1432" s="6">
        <f t="shared" si="117"/>
        <v>7662640.6145051736</v>
      </c>
      <c r="P1432" s="8">
        <f>VLOOKUP(F1432,'LEAID Match'!$A$2:$B$436,2,FALSE)</f>
        <v>1805580</v>
      </c>
      <c r="Q1432" s="6">
        <f t="shared" si="118"/>
        <v>9</v>
      </c>
    </row>
    <row r="1433" spans="1:17" x14ac:dyDescent="0.2">
      <c r="A1433" s="16">
        <f t="shared" si="114"/>
        <v>1805580</v>
      </c>
      <c r="B1433">
        <v>2019</v>
      </c>
      <c r="C1433" t="s">
        <v>904</v>
      </c>
      <c r="D1433" t="s">
        <v>906</v>
      </c>
      <c r="E1433" t="s">
        <v>2339</v>
      </c>
      <c r="F1433" t="s">
        <v>714</v>
      </c>
      <c r="G1433" t="s">
        <v>165</v>
      </c>
      <c r="H1433" s="6">
        <v>1543520</v>
      </c>
      <c r="I1433" s="6">
        <v>3.9267065088271691E-3</v>
      </c>
      <c r="J1433" s="6">
        <v>13763.106313439228</v>
      </c>
      <c r="K1433" s="6">
        <v>3706418.2736819601</v>
      </c>
      <c r="M1433" s="6">
        <f t="shared" si="115"/>
        <v>1557283.1063134393</v>
      </c>
      <c r="N1433" s="6">
        <f t="shared" si="116"/>
        <v>3706418.2736819601</v>
      </c>
      <c r="O1433" s="6">
        <f t="shared" si="117"/>
        <v>5263701.3799953992</v>
      </c>
      <c r="P1433" s="8">
        <f>VLOOKUP(F1433,'LEAID Match'!$A$2:$B$436,2,FALSE)</f>
        <v>1805580</v>
      </c>
      <c r="Q1433" s="6">
        <f t="shared" si="118"/>
        <v>9</v>
      </c>
    </row>
    <row r="1434" spans="1:17" x14ac:dyDescent="0.2">
      <c r="A1434" s="16">
        <f t="shared" si="114"/>
        <v>1805580</v>
      </c>
      <c r="B1434">
        <v>2020</v>
      </c>
      <c r="C1434" t="s">
        <v>904</v>
      </c>
      <c r="D1434" t="s">
        <v>906</v>
      </c>
      <c r="E1434" t="s">
        <v>2340</v>
      </c>
      <c r="F1434" t="s">
        <v>714</v>
      </c>
      <c r="G1434" t="s">
        <v>165</v>
      </c>
      <c r="H1434" s="6">
        <v>1205934</v>
      </c>
      <c r="I1434" s="6">
        <v>6.3898917782400531E-3</v>
      </c>
      <c r="J1434" s="6">
        <v>15054.585029533566</v>
      </c>
      <c r="K1434" s="6">
        <v>6668084</v>
      </c>
      <c r="M1434" s="6">
        <f t="shared" si="115"/>
        <v>1220988.5850295336</v>
      </c>
      <c r="N1434" s="6">
        <f t="shared" si="116"/>
        <v>6668084</v>
      </c>
      <c r="O1434" s="6">
        <f t="shared" si="117"/>
        <v>7889072.5850295331</v>
      </c>
      <c r="P1434" s="8">
        <f>VLOOKUP(F1434,'LEAID Match'!$A$2:$B$436,2,FALSE)</f>
        <v>1805580</v>
      </c>
      <c r="Q1434" s="6">
        <f t="shared" si="118"/>
        <v>9</v>
      </c>
    </row>
    <row r="1435" spans="1:17" x14ac:dyDescent="0.2">
      <c r="A1435" s="16">
        <f t="shared" si="114"/>
        <v>1805580</v>
      </c>
      <c r="B1435">
        <v>2021</v>
      </c>
      <c r="C1435" t="s">
        <v>904</v>
      </c>
      <c r="D1435" t="s">
        <v>906</v>
      </c>
      <c r="E1435" t="s">
        <v>2341</v>
      </c>
      <c r="F1435" t="s">
        <v>714</v>
      </c>
      <c r="G1435" t="s">
        <v>165</v>
      </c>
      <c r="H1435" s="6">
        <v>1254254</v>
      </c>
      <c r="I1435" s="6">
        <v>6.1961314042803702E-3</v>
      </c>
      <c r="J1435" s="6">
        <v>13966.080185247954</v>
      </c>
      <c r="K1435" s="6">
        <v>10530254</v>
      </c>
      <c r="M1435" s="6">
        <f t="shared" si="115"/>
        <v>1268220.0801852481</v>
      </c>
      <c r="N1435" s="6">
        <f t="shared" si="116"/>
        <v>10530254</v>
      </c>
      <c r="O1435" s="6">
        <f t="shared" si="117"/>
        <v>11798474.080185248</v>
      </c>
      <c r="P1435" s="8">
        <f>VLOOKUP(F1435,'LEAID Match'!$A$2:$B$436,2,FALSE)</f>
        <v>1805580</v>
      </c>
      <c r="Q1435" s="6">
        <f t="shared" si="118"/>
        <v>9</v>
      </c>
    </row>
    <row r="1436" spans="1:17" x14ac:dyDescent="0.2">
      <c r="A1436" s="16">
        <f t="shared" si="114"/>
        <v>1805580</v>
      </c>
      <c r="B1436">
        <v>2022</v>
      </c>
      <c r="C1436" t="s">
        <v>904</v>
      </c>
      <c r="D1436" t="s">
        <v>906</v>
      </c>
      <c r="E1436" t="s">
        <v>2342</v>
      </c>
      <c r="F1436" t="s">
        <v>714</v>
      </c>
      <c r="G1436" t="s">
        <v>165</v>
      </c>
      <c r="H1436" s="6">
        <v>1352645</v>
      </c>
      <c r="I1436" s="6">
        <v>6.4226098506091579E-3</v>
      </c>
      <c r="J1436" s="6">
        <v>14161.854720593194</v>
      </c>
      <c r="K1436" s="6">
        <v>10495038</v>
      </c>
      <c r="M1436" s="6">
        <f t="shared" si="115"/>
        <v>1366806.8547205932</v>
      </c>
      <c r="N1436" s="6">
        <f t="shared" si="116"/>
        <v>10495038</v>
      </c>
      <c r="O1436" s="6">
        <f t="shared" si="117"/>
        <v>11861844.854720592</v>
      </c>
      <c r="P1436" s="8">
        <f>VLOOKUP(F1436,'LEAID Match'!$A$2:$B$436,2,FALSE)</f>
        <v>1805580</v>
      </c>
      <c r="Q1436" s="6">
        <f t="shared" si="118"/>
        <v>9</v>
      </c>
    </row>
    <row r="1437" spans="1:17" x14ac:dyDescent="0.2">
      <c r="A1437" s="16">
        <f t="shared" si="114"/>
        <v>1805580</v>
      </c>
      <c r="B1437">
        <v>2023</v>
      </c>
      <c r="C1437" t="s">
        <v>904</v>
      </c>
      <c r="D1437" t="s">
        <v>906</v>
      </c>
      <c r="E1437" t="s">
        <v>2343</v>
      </c>
      <c r="F1437" t="s">
        <v>714</v>
      </c>
      <c r="G1437" t="s">
        <v>165</v>
      </c>
      <c r="H1437" s="6">
        <v>1568514</v>
      </c>
      <c r="I1437" s="6">
        <v>6.4143604360250694E-3</v>
      </c>
      <c r="J1437" s="6">
        <v>15824.227195673846</v>
      </c>
      <c r="K1437" s="6">
        <v>31972556</v>
      </c>
      <c r="M1437" s="6">
        <f t="shared" si="115"/>
        <v>1584338.2271956739</v>
      </c>
      <c r="N1437" s="6">
        <f t="shared" si="116"/>
        <v>31972556</v>
      </c>
      <c r="O1437" s="6">
        <f t="shared" si="117"/>
        <v>33556894.227195673</v>
      </c>
      <c r="P1437" s="8">
        <f>VLOOKUP(F1437,'LEAID Match'!$A$2:$B$436,2,FALSE)</f>
        <v>1805580</v>
      </c>
      <c r="Q1437" s="6">
        <f t="shared" si="118"/>
        <v>9</v>
      </c>
    </row>
    <row r="1438" spans="1:17" x14ac:dyDescent="0.2">
      <c r="A1438" s="16">
        <f t="shared" si="114"/>
        <v>1806570</v>
      </c>
      <c r="B1438">
        <v>2015</v>
      </c>
      <c r="C1438" t="s">
        <v>904</v>
      </c>
      <c r="D1438" t="s">
        <v>906</v>
      </c>
      <c r="E1438" t="s">
        <v>2344</v>
      </c>
      <c r="F1438" t="s">
        <v>530</v>
      </c>
      <c r="G1438" t="s">
        <v>166</v>
      </c>
      <c r="H1438" s="6">
        <v>1177783</v>
      </c>
      <c r="I1438" s="6">
        <v>5.7272137072709676E-3</v>
      </c>
      <c r="J1438" s="6">
        <v>33280.838852951594</v>
      </c>
      <c r="K1438" s="6">
        <v>4843023.54628764</v>
      </c>
      <c r="M1438" s="6">
        <f t="shared" si="115"/>
        <v>1211063.8388529515</v>
      </c>
      <c r="N1438" s="6">
        <f t="shared" si="116"/>
        <v>4843023.54628764</v>
      </c>
      <c r="O1438" s="6">
        <f t="shared" si="117"/>
        <v>6054087.3851405913</v>
      </c>
      <c r="P1438" s="8">
        <f>VLOOKUP(F1438,'LEAID Match'!$A$2:$B$436,2,FALSE)</f>
        <v>1806570</v>
      </c>
      <c r="Q1438" s="6">
        <f t="shared" si="118"/>
        <v>9</v>
      </c>
    </row>
    <row r="1439" spans="1:17" x14ac:dyDescent="0.2">
      <c r="A1439" s="16">
        <f t="shared" si="114"/>
        <v>1806570</v>
      </c>
      <c r="B1439">
        <v>2016</v>
      </c>
      <c r="C1439" t="s">
        <v>904</v>
      </c>
      <c r="D1439" t="s">
        <v>906</v>
      </c>
      <c r="E1439" t="s">
        <v>2345</v>
      </c>
      <c r="F1439" t="s">
        <v>530</v>
      </c>
      <c r="G1439" t="s">
        <v>166</v>
      </c>
      <c r="H1439" s="6">
        <v>1192783</v>
      </c>
      <c r="I1439" s="6">
        <v>5.5346596131417318E-3</v>
      </c>
      <c r="J1439" s="6">
        <v>27938.961727139464</v>
      </c>
      <c r="K1439" s="6">
        <v>4912010.40666328</v>
      </c>
      <c r="M1439" s="6">
        <f t="shared" si="115"/>
        <v>1220721.9617271395</v>
      </c>
      <c r="N1439" s="6">
        <f t="shared" si="116"/>
        <v>4912010.40666328</v>
      </c>
      <c r="O1439" s="6">
        <f t="shared" si="117"/>
        <v>6132732.3683904195</v>
      </c>
      <c r="P1439" s="8">
        <f>VLOOKUP(F1439,'LEAID Match'!$A$2:$B$436,2,FALSE)</f>
        <v>1806570</v>
      </c>
      <c r="Q1439" s="6">
        <f t="shared" si="118"/>
        <v>9</v>
      </c>
    </row>
    <row r="1440" spans="1:17" x14ac:dyDescent="0.2">
      <c r="A1440" s="16">
        <f t="shared" si="114"/>
        <v>1806570</v>
      </c>
      <c r="B1440">
        <v>2017</v>
      </c>
      <c r="C1440" t="s">
        <v>904</v>
      </c>
      <c r="D1440" t="s">
        <v>906</v>
      </c>
      <c r="E1440" t="s">
        <v>2346</v>
      </c>
      <c r="F1440" t="s">
        <v>530</v>
      </c>
      <c r="G1440" t="s">
        <v>166</v>
      </c>
      <c r="H1440" s="6">
        <v>1303318</v>
      </c>
      <c r="I1440" s="6">
        <v>5.7390667213942292E-3</v>
      </c>
      <c r="J1440" s="6">
        <v>25969.276914308888</v>
      </c>
      <c r="K1440" s="6">
        <v>4998727.11433437</v>
      </c>
      <c r="M1440" s="6">
        <f t="shared" si="115"/>
        <v>1329287.2769143088</v>
      </c>
      <c r="N1440" s="6">
        <f t="shared" si="116"/>
        <v>4998727.11433437</v>
      </c>
      <c r="O1440" s="6">
        <f t="shared" si="117"/>
        <v>6328014.3912486788</v>
      </c>
      <c r="P1440" s="8">
        <f>VLOOKUP(F1440,'LEAID Match'!$A$2:$B$436,2,FALSE)</f>
        <v>1806570</v>
      </c>
      <c r="Q1440" s="6">
        <f t="shared" si="118"/>
        <v>9</v>
      </c>
    </row>
    <row r="1441" spans="1:17" x14ac:dyDescent="0.2">
      <c r="A1441" s="16">
        <f t="shared" si="114"/>
        <v>1806570</v>
      </c>
      <c r="B1441">
        <v>2018</v>
      </c>
      <c r="C1441" t="s">
        <v>904</v>
      </c>
      <c r="D1441" t="s">
        <v>906</v>
      </c>
      <c r="E1441" t="s">
        <v>2347</v>
      </c>
      <c r="F1441" t="s">
        <v>530</v>
      </c>
      <c r="G1441" t="s">
        <v>166</v>
      </c>
      <c r="H1441" s="6">
        <v>1358177</v>
      </c>
      <c r="I1441" s="6">
        <v>5.7618904723877361E-3</v>
      </c>
      <c r="J1441" s="6">
        <v>24015.559488912084</v>
      </c>
      <c r="K1441" s="6">
        <v>6908483</v>
      </c>
      <c r="M1441" s="6">
        <f t="shared" si="115"/>
        <v>1382192.5594889121</v>
      </c>
      <c r="N1441" s="6">
        <f t="shared" si="116"/>
        <v>6908483</v>
      </c>
      <c r="O1441" s="6">
        <f t="shared" si="117"/>
        <v>8290675.5594889121</v>
      </c>
      <c r="P1441" s="8">
        <f>VLOOKUP(F1441,'LEAID Match'!$A$2:$B$436,2,FALSE)</f>
        <v>1806570</v>
      </c>
      <c r="Q1441" s="6">
        <f t="shared" si="118"/>
        <v>9</v>
      </c>
    </row>
    <row r="1442" spans="1:17" x14ac:dyDescent="0.2">
      <c r="A1442" s="16">
        <f t="shared" si="114"/>
        <v>1806570</v>
      </c>
      <c r="B1442">
        <v>2019</v>
      </c>
      <c r="C1442" t="s">
        <v>904</v>
      </c>
      <c r="D1442" t="s">
        <v>906</v>
      </c>
      <c r="E1442" t="s">
        <v>2348</v>
      </c>
      <c r="F1442" t="s">
        <v>530</v>
      </c>
      <c r="G1442" t="s">
        <v>166</v>
      </c>
      <c r="H1442" s="6">
        <v>1401970</v>
      </c>
      <c r="I1442" s="6">
        <v>3.5666040765137E-3</v>
      </c>
      <c r="J1442" s="6">
        <v>12500.947288180518</v>
      </c>
      <c r="K1442" s="6">
        <v>3366517.5878212801</v>
      </c>
      <c r="M1442" s="6">
        <f t="shared" si="115"/>
        <v>1414470.9472881805</v>
      </c>
      <c r="N1442" s="6">
        <f t="shared" si="116"/>
        <v>3366517.5878212801</v>
      </c>
      <c r="O1442" s="6">
        <f t="shared" si="117"/>
        <v>4780988.5351094604</v>
      </c>
      <c r="P1442" s="8">
        <f>VLOOKUP(F1442,'LEAID Match'!$A$2:$B$436,2,FALSE)</f>
        <v>1806570</v>
      </c>
      <c r="Q1442" s="6">
        <f t="shared" si="118"/>
        <v>9</v>
      </c>
    </row>
    <row r="1443" spans="1:17" x14ac:dyDescent="0.2">
      <c r="A1443" s="16">
        <f t="shared" si="114"/>
        <v>1806570</v>
      </c>
      <c r="B1443">
        <v>2020</v>
      </c>
      <c r="C1443" t="s">
        <v>904</v>
      </c>
      <c r="D1443" t="s">
        <v>906</v>
      </c>
      <c r="E1443" t="s">
        <v>2349</v>
      </c>
      <c r="F1443" t="s">
        <v>530</v>
      </c>
      <c r="G1443" t="s">
        <v>166</v>
      </c>
      <c r="H1443" s="6">
        <v>1061446</v>
      </c>
      <c r="I1443" s="6">
        <v>5.6242920992739167E-3</v>
      </c>
      <c r="J1443" s="6">
        <v>13250.832185889347</v>
      </c>
      <c r="K1443" s="6">
        <v>7190844</v>
      </c>
      <c r="M1443" s="6">
        <f t="shared" si="115"/>
        <v>1074696.8321858894</v>
      </c>
      <c r="N1443" s="6">
        <f t="shared" si="116"/>
        <v>7190844</v>
      </c>
      <c r="O1443" s="6">
        <f t="shared" si="117"/>
        <v>8265540.8321858896</v>
      </c>
      <c r="P1443" s="8">
        <f>VLOOKUP(F1443,'LEAID Match'!$A$2:$B$436,2,FALSE)</f>
        <v>1806570</v>
      </c>
      <c r="Q1443" s="6">
        <f t="shared" si="118"/>
        <v>9</v>
      </c>
    </row>
    <row r="1444" spans="1:17" x14ac:dyDescent="0.2">
      <c r="A1444" s="16">
        <f t="shared" si="114"/>
        <v>1806570</v>
      </c>
      <c r="B1444">
        <v>2021</v>
      </c>
      <c r="C1444" t="s">
        <v>904</v>
      </c>
      <c r="D1444" t="s">
        <v>906</v>
      </c>
      <c r="E1444" t="s">
        <v>2350</v>
      </c>
      <c r="F1444" t="s">
        <v>530</v>
      </c>
      <c r="G1444" t="s">
        <v>166</v>
      </c>
      <c r="H1444" s="6">
        <v>1130305</v>
      </c>
      <c r="I1444" s="6">
        <v>5.5838118171559542E-3</v>
      </c>
      <c r="J1444" s="6">
        <v>12585.911835869521</v>
      </c>
      <c r="K1444" s="6">
        <v>11503185</v>
      </c>
      <c r="M1444" s="6">
        <f t="shared" si="115"/>
        <v>1142890.9118358695</v>
      </c>
      <c r="N1444" s="6">
        <f t="shared" si="116"/>
        <v>11503185</v>
      </c>
      <c r="O1444" s="6">
        <f t="shared" si="117"/>
        <v>12646075.91183587</v>
      </c>
      <c r="P1444" s="8">
        <f>VLOOKUP(F1444,'LEAID Match'!$A$2:$B$436,2,FALSE)</f>
        <v>1806570</v>
      </c>
      <c r="Q1444" s="6">
        <f t="shared" si="118"/>
        <v>9</v>
      </c>
    </row>
    <row r="1445" spans="1:17" x14ac:dyDescent="0.2">
      <c r="A1445" s="16">
        <f t="shared" si="114"/>
        <v>1806570</v>
      </c>
      <c r="B1445">
        <v>2022</v>
      </c>
      <c r="C1445" t="s">
        <v>904</v>
      </c>
      <c r="D1445" t="s">
        <v>906</v>
      </c>
      <c r="E1445" t="s">
        <v>2351</v>
      </c>
      <c r="F1445" t="s">
        <v>530</v>
      </c>
      <c r="G1445" t="s">
        <v>166</v>
      </c>
      <c r="H1445" s="6">
        <v>1187716</v>
      </c>
      <c r="I1445" s="6">
        <v>5.6394963063672336E-3</v>
      </c>
      <c r="J1445" s="6">
        <v>12435.089355539751</v>
      </c>
      <c r="K1445" s="6">
        <v>11090085</v>
      </c>
      <c r="M1445" s="6">
        <f t="shared" si="115"/>
        <v>1200151.0893555398</v>
      </c>
      <c r="N1445" s="6">
        <f t="shared" si="116"/>
        <v>11090085</v>
      </c>
      <c r="O1445" s="6">
        <f t="shared" si="117"/>
        <v>12290236.08935554</v>
      </c>
      <c r="P1445" s="8">
        <f>VLOOKUP(F1445,'LEAID Match'!$A$2:$B$436,2,FALSE)</f>
        <v>1806570</v>
      </c>
      <c r="Q1445" s="6">
        <f t="shared" si="118"/>
        <v>9</v>
      </c>
    </row>
    <row r="1446" spans="1:17" x14ac:dyDescent="0.2">
      <c r="A1446" s="16">
        <f t="shared" si="114"/>
        <v>1806570</v>
      </c>
      <c r="B1446">
        <v>2023</v>
      </c>
      <c r="C1446" t="s">
        <v>904</v>
      </c>
      <c r="D1446" t="s">
        <v>906</v>
      </c>
      <c r="E1446" t="s">
        <v>2352</v>
      </c>
      <c r="F1446" t="s">
        <v>530</v>
      </c>
      <c r="G1446" t="s">
        <v>166</v>
      </c>
      <c r="H1446" s="6">
        <v>1391485</v>
      </c>
      <c r="I1446" s="6">
        <v>5.6904090950557935E-3</v>
      </c>
      <c r="J1446" s="6">
        <v>14038.239237502643</v>
      </c>
      <c r="K1446" s="6">
        <v>30289991</v>
      </c>
      <c r="M1446" s="6">
        <f t="shared" si="115"/>
        <v>1405523.2392375027</v>
      </c>
      <c r="N1446" s="6">
        <f t="shared" si="116"/>
        <v>30289991</v>
      </c>
      <c r="O1446" s="6">
        <f t="shared" si="117"/>
        <v>31695514.239237502</v>
      </c>
      <c r="P1446" s="8">
        <f>VLOOKUP(F1446,'LEAID Match'!$A$2:$B$436,2,FALSE)</f>
        <v>1806570</v>
      </c>
      <c r="Q1446" s="6">
        <f t="shared" si="118"/>
        <v>9</v>
      </c>
    </row>
    <row r="1447" spans="1:17" x14ac:dyDescent="0.2">
      <c r="A1447" s="16">
        <f t="shared" si="114"/>
        <v>1806900</v>
      </c>
      <c r="B1447">
        <v>2015</v>
      </c>
      <c r="C1447" t="s">
        <v>904</v>
      </c>
      <c r="D1447" t="s">
        <v>906</v>
      </c>
      <c r="E1447" t="s">
        <v>2353</v>
      </c>
      <c r="F1447" t="s">
        <v>531</v>
      </c>
      <c r="G1447" t="s">
        <v>167</v>
      </c>
      <c r="H1447" s="6">
        <v>320088</v>
      </c>
      <c r="I1447" s="6">
        <v>1.5564941768839841E-3</v>
      </c>
      <c r="J1447" s="6">
        <v>9044.7876618728314</v>
      </c>
      <c r="K1447" s="6">
        <v>1316196.37987992</v>
      </c>
      <c r="M1447" s="6">
        <f t="shared" si="115"/>
        <v>329132.7876618728</v>
      </c>
      <c r="N1447" s="6">
        <f t="shared" si="116"/>
        <v>1316196.37987992</v>
      </c>
      <c r="O1447" s="6">
        <f t="shared" si="117"/>
        <v>1645329.1675417928</v>
      </c>
      <c r="P1447" s="8">
        <f>VLOOKUP(F1447,'LEAID Match'!$A$2:$B$436,2,FALSE)</f>
        <v>1806900</v>
      </c>
      <c r="Q1447" s="6">
        <f t="shared" si="118"/>
        <v>9</v>
      </c>
    </row>
    <row r="1448" spans="1:17" x14ac:dyDescent="0.2">
      <c r="A1448" s="16">
        <f t="shared" si="114"/>
        <v>1806900</v>
      </c>
      <c r="B1448">
        <v>2016</v>
      </c>
      <c r="C1448" t="s">
        <v>904</v>
      </c>
      <c r="D1448" t="s">
        <v>906</v>
      </c>
      <c r="E1448" t="s">
        <v>2354</v>
      </c>
      <c r="F1448" t="s">
        <v>531</v>
      </c>
      <c r="G1448" t="s">
        <v>167</v>
      </c>
      <c r="H1448" s="6">
        <v>334633</v>
      </c>
      <c r="I1448" s="6">
        <v>1.5527382183720402E-3</v>
      </c>
      <c r="J1448" s="6">
        <v>7838.2225263420587</v>
      </c>
      <c r="K1448" s="6">
        <v>1378055.1688051799</v>
      </c>
      <c r="M1448" s="6">
        <f t="shared" si="115"/>
        <v>342471.22252634208</v>
      </c>
      <c r="N1448" s="6">
        <f t="shared" si="116"/>
        <v>1378055.1688051799</v>
      </c>
      <c r="O1448" s="6">
        <f t="shared" si="117"/>
        <v>1720526.391331522</v>
      </c>
      <c r="P1448" s="8">
        <f>VLOOKUP(F1448,'LEAID Match'!$A$2:$B$436,2,FALSE)</f>
        <v>1806900</v>
      </c>
      <c r="Q1448" s="6">
        <f t="shared" si="118"/>
        <v>9</v>
      </c>
    </row>
    <row r="1449" spans="1:17" x14ac:dyDescent="0.2">
      <c r="A1449" s="16">
        <f t="shared" si="114"/>
        <v>1806900</v>
      </c>
      <c r="B1449">
        <v>2017</v>
      </c>
      <c r="C1449" t="s">
        <v>904</v>
      </c>
      <c r="D1449" t="s">
        <v>906</v>
      </c>
      <c r="E1449" t="s">
        <v>2355</v>
      </c>
      <c r="F1449" t="s">
        <v>531</v>
      </c>
      <c r="G1449" t="s">
        <v>167</v>
      </c>
      <c r="H1449" s="6">
        <v>331570</v>
      </c>
      <c r="I1449" s="6">
        <v>1.46004455766949E-3</v>
      </c>
      <c r="J1449" s="6">
        <v>6606.7016234544426</v>
      </c>
      <c r="K1449" s="6">
        <v>1271698.80973012</v>
      </c>
      <c r="M1449" s="6">
        <f t="shared" si="115"/>
        <v>338176.70162345446</v>
      </c>
      <c r="N1449" s="6">
        <f t="shared" si="116"/>
        <v>1271698.80973012</v>
      </c>
      <c r="O1449" s="6">
        <f t="shared" si="117"/>
        <v>1609875.5113535745</v>
      </c>
      <c r="P1449" s="8">
        <f>VLOOKUP(F1449,'LEAID Match'!$A$2:$B$436,2,FALSE)</f>
        <v>1806900</v>
      </c>
      <c r="Q1449" s="6">
        <f t="shared" si="118"/>
        <v>9</v>
      </c>
    </row>
    <row r="1450" spans="1:17" x14ac:dyDescent="0.2">
      <c r="A1450" s="16">
        <f t="shared" si="114"/>
        <v>1806900</v>
      </c>
      <c r="B1450">
        <v>2018</v>
      </c>
      <c r="C1450" t="s">
        <v>904</v>
      </c>
      <c r="D1450" t="s">
        <v>906</v>
      </c>
      <c r="E1450" t="s">
        <v>2356</v>
      </c>
      <c r="F1450" t="s">
        <v>531</v>
      </c>
      <c r="G1450" t="s">
        <v>167</v>
      </c>
      <c r="H1450" s="6">
        <v>343450</v>
      </c>
      <c r="I1450" s="6">
        <v>1.4570422579248271E-3</v>
      </c>
      <c r="J1450" s="6">
        <v>6072.9521310306791</v>
      </c>
      <c r="K1450" s="6">
        <v>1644142</v>
      </c>
      <c r="M1450" s="6">
        <f t="shared" si="115"/>
        <v>349522.95213103067</v>
      </c>
      <c r="N1450" s="6">
        <f t="shared" si="116"/>
        <v>1644142</v>
      </c>
      <c r="O1450" s="6">
        <f t="shared" si="117"/>
        <v>1993664.9521310306</v>
      </c>
      <c r="P1450" s="8">
        <f>VLOOKUP(F1450,'LEAID Match'!$A$2:$B$436,2,FALSE)</f>
        <v>1806900</v>
      </c>
      <c r="Q1450" s="6">
        <f t="shared" si="118"/>
        <v>9</v>
      </c>
    </row>
    <row r="1451" spans="1:17" x14ac:dyDescent="0.2">
      <c r="A1451" s="16">
        <f t="shared" si="114"/>
        <v>1806900</v>
      </c>
      <c r="B1451">
        <v>2019</v>
      </c>
      <c r="C1451" t="s">
        <v>904</v>
      </c>
      <c r="D1451" t="s">
        <v>906</v>
      </c>
      <c r="E1451" t="s">
        <v>2357</v>
      </c>
      <c r="F1451" t="s">
        <v>531</v>
      </c>
      <c r="G1451" t="s">
        <v>167</v>
      </c>
      <c r="H1451" s="6">
        <v>359434</v>
      </c>
      <c r="I1451" s="6">
        <v>9.1439814663482469E-4</v>
      </c>
      <c r="J1451" s="6">
        <v>3204.9655039550607</v>
      </c>
      <c r="K1451" s="6">
        <v>863100.41060861095</v>
      </c>
      <c r="M1451" s="6">
        <f t="shared" si="115"/>
        <v>362638.96550395509</v>
      </c>
      <c r="N1451" s="6">
        <f t="shared" si="116"/>
        <v>863100.41060861095</v>
      </c>
      <c r="O1451" s="6">
        <f t="shared" si="117"/>
        <v>1225739.3761125661</v>
      </c>
      <c r="P1451" s="8">
        <f>VLOOKUP(F1451,'LEAID Match'!$A$2:$B$436,2,FALSE)</f>
        <v>1806900</v>
      </c>
      <c r="Q1451" s="6">
        <f t="shared" si="118"/>
        <v>9</v>
      </c>
    </row>
    <row r="1452" spans="1:17" x14ac:dyDescent="0.2">
      <c r="A1452" s="16">
        <f t="shared" si="114"/>
        <v>1806900</v>
      </c>
      <c r="B1452">
        <v>2020</v>
      </c>
      <c r="C1452" t="s">
        <v>904</v>
      </c>
      <c r="D1452" t="s">
        <v>906</v>
      </c>
      <c r="E1452" t="s">
        <v>2358</v>
      </c>
      <c r="F1452" t="s">
        <v>531</v>
      </c>
      <c r="G1452" t="s">
        <v>167</v>
      </c>
      <c r="H1452" s="6">
        <v>283006</v>
      </c>
      <c r="I1452" s="6">
        <v>1.4995660729298656E-3</v>
      </c>
      <c r="J1452" s="6">
        <v>3532.9776678227636</v>
      </c>
      <c r="K1452" s="6">
        <v>1769597</v>
      </c>
      <c r="M1452" s="6">
        <f t="shared" si="115"/>
        <v>286538.97766782274</v>
      </c>
      <c r="N1452" s="6">
        <f t="shared" si="116"/>
        <v>1769597</v>
      </c>
      <c r="O1452" s="6">
        <f t="shared" si="117"/>
        <v>2056135.9776678227</v>
      </c>
      <c r="P1452" s="8">
        <f>VLOOKUP(F1452,'LEAID Match'!$A$2:$B$436,2,FALSE)</f>
        <v>1806900</v>
      </c>
      <c r="Q1452" s="6">
        <f t="shared" si="118"/>
        <v>9</v>
      </c>
    </row>
    <row r="1453" spans="1:17" x14ac:dyDescent="0.2">
      <c r="A1453" s="16">
        <f t="shared" si="114"/>
        <v>1806900</v>
      </c>
      <c r="B1453">
        <v>2021</v>
      </c>
      <c r="C1453" t="s">
        <v>904</v>
      </c>
      <c r="D1453" t="s">
        <v>906</v>
      </c>
      <c r="E1453" t="s">
        <v>2359</v>
      </c>
      <c r="F1453" t="s">
        <v>531</v>
      </c>
      <c r="G1453" t="s">
        <v>167</v>
      </c>
      <c r="H1453" s="6">
        <v>289828</v>
      </c>
      <c r="I1453" s="6">
        <v>1.4317772736939815E-3</v>
      </c>
      <c r="J1453" s="6">
        <v>3227.2259749062341</v>
      </c>
      <c r="K1453" s="6">
        <v>2965625</v>
      </c>
      <c r="M1453" s="6">
        <f t="shared" si="115"/>
        <v>293055.22597490624</v>
      </c>
      <c r="N1453" s="6">
        <f t="shared" si="116"/>
        <v>2965625</v>
      </c>
      <c r="O1453" s="6">
        <f t="shared" si="117"/>
        <v>3258680.2259749062</v>
      </c>
      <c r="P1453" s="8">
        <f>VLOOKUP(F1453,'LEAID Match'!$A$2:$B$436,2,FALSE)</f>
        <v>1806900</v>
      </c>
      <c r="Q1453" s="6">
        <f t="shared" si="118"/>
        <v>9</v>
      </c>
    </row>
    <row r="1454" spans="1:17" x14ac:dyDescent="0.2">
      <c r="A1454" s="16">
        <f t="shared" si="114"/>
        <v>1806900</v>
      </c>
      <c r="B1454">
        <v>2022</v>
      </c>
      <c r="C1454" t="s">
        <v>904</v>
      </c>
      <c r="D1454" t="s">
        <v>906</v>
      </c>
      <c r="E1454" t="s">
        <v>2360</v>
      </c>
      <c r="F1454" t="s">
        <v>531</v>
      </c>
      <c r="G1454" t="s">
        <v>167</v>
      </c>
      <c r="H1454" s="6">
        <v>311573</v>
      </c>
      <c r="I1454" s="6">
        <v>1.4794065101958365E-3</v>
      </c>
      <c r="J1454" s="6">
        <v>3262.0913549818192</v>
      </c>
      <c r="K1454" s="6">
        <v>3130744</v>
      </c>
      <c r="M1454" s="6">
        <f t="shared" si="115"/>
        <v>314835.09135498182</v>
      </c>
      <c r="N1454" s="6">
        <f t="shared" si="116"/>
        <v>3130744</v>
      </c>
      <c r="O1454" s="6">
        <f t="shared" si="117"/>
        <v>3445579.091354982</v>
      </c>
      <c r="P1454" s="8">
        <f>VLOOKUP(F1454,'LEAID Match'!$A$2:$B$436,2,FALSE)</f>
        <v>1806900</v>
      </c>
      <c r="Q1454" s="6">
        <f t="shared" si="118"/>
        <v>9</v>
      </c>
    </row>
    <row r="1455" spans="1:17" x14ac:dyDescent="0.2">
      <c r="A1455" s="16">
        <f t="shared" si="114"/>
        <v>1806900</v>
      </c>
      <c r="B1455">
        <v>2023</v>
      </c>
      <c r="C1455" t="s">
        <v>904</v>
      </c>
      <c r="D1455" t="s">
        <v>906</v>
      </c>
      <c r="E1455" t="s">
        <v>2361</v>
      </c>
      <c r="F1455" t="s">
        <v>531</v>
      </c>
      <c r="G1455" t="s">
        <v>167</v>
      </c>
      <c r="H1455" s="6">
        <v>363332</v>
      </c>
      <c r="I1455" s="6">
        <v>1.4858282463158508E-3</v>
      </c>
      <c r="J1455" s="6">
        <v>3665.5382836612039</v>
      </c>
      <c r="K1455" s="6">
        <v>7652645</v>
      </c>
      <c r="M1455" s="6">
        <f t="shared" si="115"/>
        <v>366997.53828366118</v>
      </c>
      <c r="N1455" s="6">
        <f t="shared" si="116"/>
        <v>7652645</v>
      </c>
      <c r="O1455" s="6">
        <f t="shared" si="117"/>
        <v>8019642.538283661</v>
      </c>
      <c r="P1455" s="8">
        <f>VLOOKUP(F1455,'LEAID Match'!$A$2:$B$436,2,FALSE)</f>
        <v>1806900</v>
      </c>
      <c r="Q1455" s="6">
        <f t="shared" si="118"/>
        <v>9</v>
      </c>
    </row>
    <row r="1456" spans="1:17" x14ac:dyDescent="0.2">
      <c r="A1456" s="16">
        <f t="shared" si="114"/>
        <v>1807860</v>
      </c>
      <c r="B1456">
        <v>2015</v>
      </c>
      <c r="C1456" t="s">
        <v>904</v>
      </c>
      <c r="D1456" t="s">
        <v>906</v>
      </c>
      <c r="E1456" t="s">
        <v>2362</v>
      </c>
      <c r="F1456" t="s">
        <v>532</v>
      </c>
      <c r="G1456" t="s">
        <v>168</v>
      </c>
      <c r="H1456" s="6">
        <v>853843</v>
      </c>
      <c r="I1456" s="6">
        <v>4.1519883827983292E-3</v>
      </c>
      <c r="J1456" s="6">
        <v>24127.204492441091</v>
      </c>
      <c r="K1456" s="6">
        <v>3510987.80830839</v>
      </c>
      <c r="M1456" s="6">
        <f t="shared" si="115"/>
        <v>877970.20449244115</v>
      </c>
      <c r="N1456" s="6">
        <f t="shared" si="116"/>
        <v>3510987.80830839</v>
      </c>
      <c r="O1456" s="6">
        <f t="shared" si="117"/>
        <v>4388958.0128008313</v>
      </c>
      <c r="P1456" s="8">
        <f>VLOOKUP(F1456,'LEAID Match'!$A$2:$B$436,2,FALSE)</f>
        <v>1807860</v>
      </c>
      <c r="Q1456" s="6">
        <f t="shared" si="118"/>
        <v>9</v>
      </c>
    </row>
    <row r="1457" spans="1:17" x14ac:dyDescent="0.2">
      <c r="A1457" s="16">
        <f t="shared" si="114"/>
        <v>1807860</v>
      </c>
      <c r="B1457">
        <v>2016</v>
      </c>
      <c r="C1457" t="s">
        <v>904</v>
      </c>
      <c r="D1457" t="s">
        <v>906</v>
      </c>
      <c r="E1457" t="s">
        <v>2363</v>
      </c>
      <c r="F1457" t="s">
        <v>532</v>
      </c>
      <c r="G1457" t="s">
        <v>168</v>
      </c>
      <c r="H1457" s="6">
        <v>891693</v>
      </c>
      <c r="I1457" s="6">
        <v>4.1375650343953513E-3</v>
      </c>
      <c r="J1457" s="6">
        <v>20886.428293627734</v>
      </c>
      <c r="K1457" s="6">
        <v>3672088.9680258702</v>
      </c>
      <c r="M1457" s="6">
        <f t="shared" si="115"/>
        <v>912579.42829362769</v>
      </c>
      <c r="N1457" s="6">
        <f t="shared" si="116"/>
        <v>3672088.9680258702</v>
      </c>
      <c r="O1457" s="6">
        <f t="shared" si="117"/>
        <v>4584668.3963194974</v>
      </c>
      <c r="P1457" s="8">
        <f>VLOOKUP(F1457,'LEAID Match'!$A$2:$B$436,2,FALSE)</f>
        <v>1807860</v>
      </c>
      <c r="Q1457" s="6">
        <f t="shared" si="118"/>
        <v>9</v>
      </c>
    </row>
    <row r="1458" spans="1:17" x14ac:dyDescent="0.2">
      <c r="A1458" s="16">
        <f t="shared" si="114"/>
        <v>1807860</v>
      </c>
      <c r="B1458">
        <v>2017</v>
      </c>
      <c r="C1458" t="s">
        <v>904</v>
      </c>
      <c r="D1458" t="s">
        <v>906</v>
      </c>
      <c r="E1458" t="s">
        <v>2364</v>
      </c>
      <c r="F1458" t="s">
        <v>532</v>
      </c>
      <c r="G1458" t="s">
        <v>168</v>
      </c>
      <c r="H1458" s="6">
        <v>937590</v>
      </c>
      <c r="I1458" s="6">
        <v>4.1286098767238811E-3</v>
      </c>
      <c r="J1458" s="6">
        <v>18681.959692175562</v>
      </c>
      <c r="K1458" s="6">
        <v>3596019.2026264998</v>
      </c>
      <c r="M1458" s="6">
        <f t="shared" si="115"/>
        <v>956271.95969217562</v>
      </c>
      <c r="N1458" s="6">
        <f t="shared" si="116"/>
        <v>3596019.2026264998</v>
      </c>
      <c r="O1458" s="6">
        <f t="shared" si="117"/>
        <v>4552291.1623186758</v>
      </c>
      <c r="P1458" s="8">
        <f>VLOOKUP(F1458,'LEAID Match'!$A$2:$B$436,2,FALSE)</f>
        <v>1807860</v>
      </c>
      <c r="Q1458" s="6">
        <f t="shared" si="118"/>
        <v>9</v>
      </c>
    </row>
    <row r="1459" spans="1:17" x14ac:dyDescent="0.2">
      <c r="A1459" s="16">
        <f t="shared" si="114"/>
        <v>1807860</v>
      </c>
      <c r="B1459">
        <v>2018</v>
      </c>
      <c r="C1459" t="s">
        <v>904</v>
      </c>
      <c r="D1459" t="s">
        <v>906</v>
      </c>
      <c r="E1459" t="s">
        <v>2365</v>
      </c>
      <c r="F1459" t="s">
        <v>532</v>
      </c>
      <c r="G1459" t="s">
        <v>168</v>
      </c>
      <c r="H1459" s="6">
        <v>993804</v>
      </c>
      <c r="I1459" s="6">
        <v>4.2160850898084875E-3</v>
      </c>
      <c r="J1459" s="6">
        <v>17572.642654321775</v>
      </c>
      <c r="K1459" s="6">
        <v>5694652</v>
      </c>
      <c r="M1459" s="6">
        <f t="shared" si="115"/>
        <v>1011376.6426543217</v>
      </c>
      <c r="N1459" s="6">
        <f t="shared" si="116"/>
        <v>5694652</v>
      </c>
      <c r="O1459" s="6">
        <f t="shared" si="117"/>
        <v>6706028.6426543221</v>
      </c>
      <c r="P1459" s="8">
        <f>VLOOKUP(F1459,'LEAID Match'!$A$2:$B$436,2,FALSE)</f>
        <v>1807860</v>
      </c>
      <c r="Q1459" s="6">
        <f t="shared" si="118"/>
        <v>9</v>
      </c>
    </row>
    <row r="1460" spans="1:17" x14ac:dyDescent="0.2">
      <c r="A1460" s="16">
        <f t="shared" si="114"/>
        <v>1807860</v>
      </c>
      <c r="B1460">
        <v>2019</v>
      </c>
      <c r="C1460" t="s">
        <v>904</v>
      </c>
      <c r="D1460" t="s">
        <v>906</v>
      </c>
      <c r="E1460" t="s">
        <v>2366</v>
      </c>
      <c r="F1460" t="s">
        <v>532</v>
      </c>
      <c r="G1460" t="s">
        <v>168</v>
      </c>
      <c r="H1460" s="6">
        <v>1060379</v>
      </c>
      <c r="I1460" s="6">
        <v>2.6975984251086118E-3</v>
      </c>
      <c r="J1460" s="6">
        <v>9455.0824800056835</v>
      </c>
      <c r="K1460" s="6">
        <v>2546263.15346001</v>
      </c>
      <c r="M1460" s="6">
        <f t="shared" si="115"/>
        <v>1069834.0824800057</v>
      </c>
      <c r="N1460" s="6">
        <f t="shared" si="116"/>
        <v>2546263.15346001</v>
      </c>
      <c r="O1460" s="6">
        <f t="shared" si="117"/>
        <v>3616097.2359400159</v>
      </c>
      <c r="P1460" s="8">
        <f>VLOOKUP(F1460,'LEAID Match'!$A$2:$B$436,2,FALSE)</f>
        <v>1807860</v>
      </c>
      <c r="Q1460" s="6">
        <f t="shared" si="118"/>
        <v>9</v>
      </c>
    </row>
    <row r="1461" spans="1:17" x14ac:dyDescent="0.2">
      <c r="A1461" s="16">
        <f t="shared" si="114"/>
        <v>1807860</v>
      </c>
      <c r="B1461">
        <v>2020</v>
      </c>
      <c r="C1461" t="s">
        <v>904</v>
      </c>
      <c r="D1461" t="s">
        <v>906</v>
      </c>
      <c r="E1461" t="s">
        <v>2367</v>
      </c>
      <c r="F1461" t="s">
        <v>532</v>
      </c>
      <c r="G1461" t="s">
        <v>168</v>
      </c>
      <c r="H1461" s="6">
        <v>754681</v>
      </c>
      <c r="I1461" s="6">
        <v>3.9988340299667987E-3</v>
      </c>
      <c r="J1461" s="6">
        <v>9421.2529746017772</v>
      </c>
      <c r="K1461" s="6">
        <v>5950611</v>
      </c>
      <c r="M1461" s="6">
        <f t="shared" si="115"/>
        <v>764102.25297460181</v>
      </c>
      <c r="N1461" s="6">
        <f t="shared" si="116"/>
        <v>5950611</v>
      </c>
      <c r="O1461" s="6">
        <f t="shared" si="117"/>
        <v>6714713.2529746015</v>
      </c>
      <c r="P1461" s="8">
        <f>VLOOKUP(F1461,'LEAID Match'!$A$2:$B$436,2,FALSE)</f>
        <v>1807860</v>
      </c>
      <c r="Q1461" s="6">
        <f t="shared" si="118"/>
        <v>9</v>
      </c>
    </row>
    <row r="1462" spans="1:17" x14ac:dyDescent="0.2">
      <c r="A1462" s="16">
        <f t="shared" si="114"/>
        <v>1807860</v>
      </c>
      <c r="B1462">
        <v>2021</v>
      </c>
      <c r="C1462" t="s">
        <v>904</v>
      </c>
      <c r="D1462" t="s">
        <v>906</v>
      </c>
      <c r="E1462" t="s">
        <v>2368</v>
      </c>
      <c r="F1462" t="s">
        <v>532</v>
      </c>
      <c r="G1462" t="s">
        <v>168</v>
      </c>
      <c r="H1462" s="6">
        <v>738663</v>
      </c>
      <c r="I1462" s="6">
        <v>3.6490639148688791E-3</v>
      </c>
      <c r="J1462" s="6">
        <v>8224.9900641144541</v>
      </c>
      <c r="K1462" s="6">
        <v>9890425</v>
      </c>
      <c r="M1462" s="6">
        <f t="shared" si="115"/>
        <v>746887.99006411445</v>
      </c>
      <c r="N1462" s="6">
        <f t="shared" si="116"/>
        <v>9890425</v>
      </c>
      <c r="O1462" s="6">
        <f t="shared" si="117"/>
        <v>10637312.990064114</v>
      </c>
      <c r="P1462" s="8">
        <f>VLOOKUP(F1462,'LEAID Match'!$A$2:$B$436,2,FALSE)</f>
        <v>1807860</v>
      </c>
      <c r="Q1462" s="6">
        <f t="shared" si="118"/>
        <v>9</v>
      </c>
    </row>
    <row r="1463" spans="1:17" x14ac:dyDescent="0.2">
      <c r="A1463" s="16">
        <f t="shared" si="114"/>
        <v>1807860</v>
      </c>
      <c r="B1463">
        <v>2022</v>
      </c>
      <c r="C1463" t="s">
        <v>904</v>
      </c>
      <c r="D1463" t="s">
        <v>906</v>
      </c>
      <c r="E1463" t="s">
        <v>2369</v>
      </c>
      <c r="F1463" t="s">
        <v>532</v>
      </c>
      <c r="G1463" t="s">
        <v>168</v>
      </c>
      <c r="H1463" s="6">
        <v>701583</v>
      </c>
      <c r="I1463" s="6">
        <v>3.3312464739971869E-3</v>
      </c>
      <c r="J1463" s="6">
        <v>7345.3984751637972</v>
      </c>
      <c r="K1463" s="6">
        <v>9280291</v>
      </c>
      <c r="M1463" s="6">
        <f t="shared" si="115"/>
        <v>708928.39847516385</v>
      </c>
      <c r="N1463" s="6">
        <f t="shared" si="116"/>
        <v>9280291</v>
      </c>
      <c r="O1463" s="6">
        <f t="shared" si="117"/>
        <v>9989219.3984751645</v>
      </c>
      <c r="P1463" s="8">
        <f>VLOOKUP(F1463,'LEAID Match'!$A$2:$B$436,2,FALSE)</f>
        <v>1807860</v>
      </c>
      <c r="Q1463" s="6">
        <f t="shared" si="118"/>
        <v>9</v>
      </c>
    </row>
    <row r="1464" spans="1:17" x14ac:dyDescent="0.2">
      <c r="A1464" s="16">
        <f t="shared" si="114"/>
        <v>1807860</v>
      </c>
      <c r="B1464">
        <v>2023</v>
      </c>
      <c r="C1464" t="s">
        <v>904</v>
      </c>
      <c r="D1464" t="s">
        <v>906</v>
      </c>
      <c r="E1464" t="s">
        <v>2370</v>
      </c>
      <c r="F1464" t="s">
        <v>532</v>
      </c>
      <c r="G1464" t="s">
        <v>168</v>
      </c>
      <c r="H1464" s="6">
        <v>764350</v>
      </c>
      <c r="I1464" s="6">
        <v>3.1257715259639133E-3</v>
      </c>
      <c r="J1464" s="6">
        <v>7711.2783545529737</v>
      </c>
      <c r="K1464" s="6">
        <v>23723200</v>
      </c>
      <c r="M1464" s="6">
        <f t="shared" si="115"/>
        <v>772061.27835455292</v>
      </c>
      <c r="N1464" s="6">
        <f t="shared" si="116"/>
        <v>23723200</v>
      </c>
      <c r="O1464" s="6">
        <f t="shared" si="117"/>
        <v>24495261.278354552</v>
      </c>
      <c r="P1464" s="8">
        <f>VLOOKUP(F1464,'LEAID Match'!$A$2:$B$436,2,FALSE)</f>
        <v>1807860</v>
      </c>
      <c r="Q1464" s="6">
        <f t="shared" si="118"/>
        <v>9</v>
      </c>
    </row>
    <row r="1465" spans="1:17" x14ac:dyDescent="0.2">
      <c r="A1465" s="16">
        <f t="shared" si="114"/>
        <v>1800120</v>
      </c>
      <c r="B1465">
        <v>2015</v>
      </c>
      <c r="C1465" t="s">
        <v>904</v>
      </c>
      <c r="D1465" t="s">
        <v>906</v>
      </c>
      <c r="E1465" t="s">
        <v>2371</v>
      </c>
      <c r="F1465" t="s">
        <v>715</v>
      </c>
      <c r="G1465" t="s">
        <v>169</v>
      </c>
      <c r="H1465" s="6">
        <v>285497</v>
      </c>
      <c r="I1465" s="6">
        <v>1.3882882770295882E-3</v>
      </c>
      <c r="J1465" s="6">
        <v>8067.343177818937</v>
      </c>
      <c r="K1465" s="6">
        <v>1173958.7796686499</v>
      </c>
      <c r="M1465" s="6">
        <f t="shared" si="115"/>
        <v>293564.34317781893</v>
      </c>
      <c r="N1465" s="6">
        <f t="shared" si="116"/>
        <v>1173958.7796686499</v>
      </c>
      <c r="O1465" s="6">
        <f t="shared" si="117"/>
        <v>1467523.1228464688</v>
      </c>
      <c r="P1465" s="8">
        <f>VLOOKUP(F1465,'LEAID Match'!$A$2:$B$436,2,FALSE)</f>
        <v>1800120</v>
      </c>
      <c r="Q1465" s="6">
        <f t="shared" si="118"/>
        <v>9</v>
      </c>
    </row>
    <row r="1466" spans="1:17" x14ac:dyDescent="0.2">
      <c r="A1466" s="16">
        <f t="shared" si="114"/>
        <v>1800120</v>
      </c>
      <c r="B1466">
        <v>2016</v>
      </c>
      <c r="C1466" t="s">
        <v>904</v>
      </c>
      <c r="D1466" t="s">
        <v>906</v>
      </c>
      <c r="E1466" t="s">
        <v>2372</v>
      </c>
      <c r="F1466" t="s">
        <v>715</v>
      </c>
      <c r="G1466" t="s">
        <v>169</v>
      </c>
      <c r="H1466" s="6">
        <v>294427</v>
      </c>
      <c r="I1466" s="6">
        <v>1.3661774404216699E-3</v>
      </c>
      <c r="J1466" s="6">
        <v>6896.4637192485898</v>
      </c>
      <c r="K1466" s="6">
        <v>1212482.47837423</v>
      </c>
      <c r="M1466" s="6">
        <f t="shared" si="115"/>
        <v>301323.4637192486</v>
      </c>
      <c r="N1466" s="6">
        <f t="shared" si="116"/>
        <v>1212482.47837423</v>
      </c>
      <c r="O1466" s="6">
        <f t="shared" si="117"/>
        <v>1513805.9420934785</v>
      </c>
      <c r="P1466" s="8">
        <f>VLOOKUP(F1466,'LEAID Match'!$A$2:$B$436,2,FALSE)</f>
        <v>1800120</v>
      </c>
      <c r="Q1466" s="6">
        <f t="shared" si="118"/>
        <v>9</v>
      </c>
    </row>
    <row r="1467" spans="1:17" x14ac:dyDescent="0.2">
      <c r="A1467" s="16">
        <f t="shared" si="114"/>
        <v>1800120</v>
      </c>
      <c r="B1467">
        <v>2017</v>
      </c>
      <c r="C1467" t="s">
        <v>904</v>
      </c>
      <c r="D1467" t="s">
        <v>906</v>
      </c>
      <c r="E1467" t="s">
        <v>2373</v>
      </c>
      <c r="F1467" t="s">
        <v>715</v>
      </c>
      <c r="G1467" t="s">
        <v>169</v>
      </c>
      <c r="H1467" s="6">
        <v>298786</v>
      </c>
      <c r="I1467" s="6">
        <v>1.3156825804742174E-3</v>
      </c>
      <c r="J1467" s="6">
        <v>5953.4636766458334</v>
      </c>
      <c r="K1467" s="6">
        <v>1145959.5275930399</v>
      </c>
      <c r="M1467" s="6">
        <f t="shared" si="115"/>
        <v>304739.46367664583</v>
      </c>
      <c r="N1467" s="6">
        <f t="shared" si="116"/>
        <v>1145959.5275930399</v>
      </c>
      <c r="O1467" s="6">
        <f t="shared" si="117"/>
        <v>1450698.9912696858</v>
      </c>
      <c r="P1467" s="8">
        <f>VLOOKUP(F1467,'LEAID Match'!$A$2:$B$436,2,FALSE)</f>
        <v>1800120</v>
      </c>
      <c r="Q1467" s="6">
        <f t="shared" si="118"/>
        <v>9</v>
      </c>
    </row>
    <row r="1468" spans="1:17" x14ac:dyDescent="0.2">
      <c r="A1468" s="16">
        <f t="shared" si="114"/>
        <v>1800120</v>
      </c>
      <c r="B1468">
        <v>2018</v>
      </c>
      <c r="C1468" t="s">
        <v>904</v>
      </c>
      <c r="D1468" t="s">
        <v>906</v>
      </c>
      <c r="E1468" t="s">
        <v>2374</v>
      </c>
      <c r="F1468" t="s">
        <v>715</v>
      </c>
      <c r="G1468" t="s">
        <v>169</v>
      </c>
      <c r="H1468" s="6">
        <v>311492</v>
      </c>
      <c r="I1468" s="6">
        <v>1.3214645712782654E-3</v>
      </c>
      <c r="J1468" s="6">
        <v>5507.8643330878103</v>
      </c>
      <c r="K1468" s="6">
        <v>1471485</v>
      </c>
      <c r="M1468" s="6">
        <f t="shared" si="115"/>
        <v>316999.86433308781</v>
      </c>
      <c r="N1468" s="6">
        <f t="shared" si="116"/>
        <v>1471485</v>
      </c>
      <c r="O1468" s="6">
        <f t="shared" si="117"/>
        <v>1788484.8643330878</v>
      </c>
      <c r="P1468" s="8">
        <f>VLOOKUP(F1468,'LEAID Match'!$A$2:$B$436,2,FALSE)</f>
        <v>1800120</v>
      </c>
      <c r="Q1468" s="6">
        <f t="shared" si="118"/>
        <v>9</v>
      </c>
    </row>
    <row r="1469" spans="1:17" x14ac:dyDescent="0.2">
      <c r="A1469" s="16">
        <f t="shared" si="114"/>
        <v>1800120</v>
      </c>
      <c r="B1469">
        <v>2019</v>
      </c>
      <c r="C1469" t="s">
        <v>904</v>
      </c>
      <c r="D1469" t="s">
        <v>906</v>
      </c>
      <c r="E1469" t="s">
        <v>2375</v>
      </c>
      <c r="F1469" t="s">
        <v>715</v>
      </c>
      <c r="G1469" t="s">
        <v>169</v>
      </c>
      <c r="H1469" s="6">
        <v>312135</v>
      </c>
      <c r="I1469" s="6">
        <v>7.9406974715764511E-4</v>
      </c>
      <c r="J1469" s="6">
        <v>2783.2144637875463</v>
      </c>
      <c r="K1469" s="6">
        <v>749522.43434210098</v>
      </c>
      <c r="M1469" s="6">
        <f t="shared" si="115"/>
        <v>314918.21446378756</v>
      </c>
      <c r="N1469" s="6">
        <f t="shared" si="116"/>
        <v>749522.43434210098</v>
      </c>
      <c r="O1469" s="6">
        <f t="shared" si="117"/>
        <v>1064440.6488058886</v>
      </c>
      <c r="P1469" s="8">
        <f>VLOOKUP(F1469,'LEAID Match'!$A$2:$B$436,2,FALSE)</f>
        <v>1800120</v>
      </c>
      <c r="Q1469" s="6">
        <f t="shared" si="118"/>
        <v>9</v>
      </c>
    </row>
    <row r="1470" spans="1:17" x14ac:dyDescent="0.2">
      <c r="A1470" s="16">
        <f t="shared" si="114"/>
        <v>1800120</v>
      </c>
      <c r="B1470">
        <v>2020</v>
      </c>
      <c r="C1470" t="s">
        <v>904</v>
      </c>
      <c r="D1470" t="s">
        <v>906</v>
      </c>
      <c r="E1470" t="s">
        <v>2376</v>
      </c>
      <c r="F1470" t="s">
        <v>715</v>
      </c>
      <c r="G1470" t="s">
        <v>169</v>
      </c>
      <c r="H1470" s="6">
        <v>239185</v>
      </c>
      <c r="I1470" s="6">
        <v>1.2673714025629489E-3</v>
      </c>
      <c r="J1470" s="6">
        <v>2985.9270244383074</v>
      </c>
      <c r="K1470" s="6">
        <v>1568475</v>
      </c>
      <c r="M1470" s="6">
        <f t="shared" si="115"/>
        <v>242170.92702443831</v>
      </c>
      <c r="N1470" s="6">
        <f t="shared" si="116"/>
        <v>1568475</v>
      </c>
      <c r="O1470" s="6">
        <f t="shared" si="117"/>
        <v>1810645.9270244383</v>
      </c>
      <c r="P1470" s="8">
        <f>VLOOKUP(F1470,'LEAID Match'!$A$2:$B$436,2,FALSE)</f>
        <v>1800120</v>
      </c>
      <c r="Q1470" s="6">
        <f t="shared" si="118"/>
        <v>9</v>
      </c>
    </row>
    <row r="1471" spans="1:17" x14ac:dyDescent="0.2">
      <c r="A1471" s="16">
        <f t="shared" si="114"/>
        <v>1800120</v>
      </c>
      <c r="B1471">
        <v>2021</v>
      </c>
      <c r="C1471" t="s">
        <v>904</v>
      </c>
      <c r="D1471" t="s">
        <v>906</v>
      </c>
      <c r="E1471" t="s">
        <v>2377</v>
      </c>
      <c r="F1471" t="s">
        <v>715</v>
      </c>
      <c r="G1471" t="s">
        <v>169</v>
      </c>
      <c r="H1471" s="6">
        <v>233040</v>
      </c>
      <c r="I1471" s="6">
        <v>1.1512392724707255E-3</v>
      </c>
      <c r="J1471" s="6">
        <v>2594.8933201490154</v>
      </c>
      <c r="K1471" s="6">
        <v>2484674</v>
      </c>
      <c r="M1471" s="6">
        <f t="shared" si="115"/>
        <v>235634.89332014901</v>
      </c>
      <c r="N1471" s="6">
        <f t="shared" si="116"/>
        <v>2484674</v>
      </c>
      <c r="O1471" s="6">
        <f t="shared" si="117"/>
        <v>2720308.8933201488</v>
      </c>
      <c r="P1471" s="8">
        <f>VLOOKUP(F1471,'LEAID Match'!$A$2:$B$436,2,FALSE)</f>
        <v>1800120</v>
      </c>
      <c r="Q1471" s="6">
        <f t="shared" si="118"/>
        <v>9</v>
      </c>
    </row>
    <row r="1472" spans="1:17" x14ac:dyDescent="0.2">
      <c r="A1472" s="16">
        <f t="shared" si="114"/>
        <v>1800120</v>
      </c>
      <c r="B1472">
        <v>2022</v>
      </c>
      <c r="C1472" t="s">
        <v>904</v>
      </c>
      <c r="D1472" t="s">
        <v>906</v>
      </c>
      <c r="E1472" t="s">
        <v>2378</v>
      </c>
      <c r="F1472" t="s">
        <v>715</v>
      </c>
      <c r="G1472" t="s">
        <v>169</v>
      </c>
      <c r="H1472" s="6">
        <v>274471</v>
      </c>
      <c r="I1472" s="6">
        <v>1.3032393187470076E-3</v>
      </c>
      <c r="J1472" s="6">
        <v>2873.6426978371519</v>
      </c>
      <c r="K1472" s="6">
        <v>2327476</v>
      </c>
      <c r="M1472" s="6">
        <f t="shared" si="115"/>
        <v>277344.64269783715</v>
      </c>
      <c r="N1472" s="6">
        <f t="shared" si="116"/>
        <v>2327476</v>
      </c>
      <c r="O1472" s="6">
        <f t="shared" si="117"/>
        <v>2604820.6426978372</v>
      </c>
      <c r="P1472" s="8">
        <f>VLOOKUP(F1472,'LEAID Match'!$A$2:$B$436,2,FALSE)</f>
        <v>1800120</v>
      </c>
      <c r="Q1472" s="6">
        <f t="shared" si="118"/>
        <v>9</v>
      </c>
    </row>
    <row r="1473" spans="1:17" x14ac:dyDescent="0.2">
      <c r="A1473" s="16">
        <f t="shared" si="114"/>
        <v>1800120</v>
      </c>
      <c r="B1473">
        <v>2023</v>
      </c>
      <c r="C1473" t="s">
        <v>904</v>
      </c>
      <c r="D1473" t="s">
        <v>906</v>
      </c>
      <c r="E1473" t="s">
        <v>2379</v>
      </c>
      <c r="F1473" t="s">
        <v>715</v>
      </c>
      <c r="G1473" t="s">
        <v>169</v>
      </c>
      <c r="H1473" s="6">
        <v>341773</v>
      </c>
      <c r="I1473" s="6">
        <v>1.3976637819627978E-3</v>
      </c>
      <c r="J1473" s="6">
        <v>3448.0365501022225</v>
      </c>
      <c r="K1473" s="6">
        <v>5932388</v>
      </c>
      <c r="M1473" s="6">
        <f t="shared" si="115"/>
        <v>345221.03655010223</v>
      </c>
      <c r="N1473" s="6">
        <f t="shared" si="116"/>
        <v>5932388</v>
      </c>
      <c r="O1473" s="6">
        <f t="shared" si="117"/>
        <v>6277609.0365501018</v>
      </c>
      <c r="P1473" s="8">
        <f>VLOOKUP(F1473,'LEAID Match'!$A$2:$B$436,2,FALSE)</f>
        <v>1800120</v>
      </c>
      <c r="Q1473" s="6">
        <f t="shared" si="118"/>
        <v>9</v>
      </c>
    </row>
    <row r="1474" spans="1:17" x14ac:dyDescent="0.2">
      <c r="A1474" s="16">
        <f t="shared" si="114"/>
        <v>1800150</v>
      </c>
      <c r="B1474">
        <v>2015</v>
      </c>
      <c r="C1474" t="s">
        <v>904</v>
      </c>
      <c r="D1474" t="s">
        <v>906</v>
      </c>
      <c r="E1474" t="s">
        <v>2380</v>
      </c>
      <c r="F1474" t="s">
        <v>716</v>
      </c>
      <c r="G1474" t="s">
        <v>170</v>
      </c>
      <c r="H1474" s="6">
        <v>1521920</v>
      </c>
      <c r="I1474" s="6">
        <v>7.4006511262005234E-3</v>
      </c>
      <c r="J1474" s="6">
        <v>43005.183694351239</v>
      </c>
      <c r="K1474" s="6">
        <v>6258109.0027331803</v>
      </c>
      <c r="M1474" s="6">
        <f t="shared" si="115"/>
        <v>1564925.1836943512</v>
      </c>
      <c r="N1474" s="6">
        <f t="shared" si="116"/>
        <v>6258109.0027331803</v>
      </c>
      <c r="O1474" s="6">
        <f t="shared" si="117"/>
        <v>7823034.1864275318</v>
      </c>
      <c r="P1474" s="8">
        <f>VLOOKUP(F1474,'LEAID Match'!$A$2:$B$436,2,FALSE)</f>
        <v>1800150</v>
      </c>
      <c r="Q1474" s="6">
        <f t="shared" si="118"/>
        <v>9</v>
      </c>
    </row>
    <row r="1475" spans="1:17" x14ac:dyDescent="0.2">
      <c r="A1475" s="16">
        <f t="shared" ref="A1475:A1538" si="119">P1475</f>
        <v>1800150</v>
      </c>
      <c r="B1475">
        <v>2016</v>
      </c>
      <c r="C1475" t="s">
        <v>904</v>
      </c>
      <c r="D1475" t="s">
        <v>906</v>
      </c>
      <c r="E1475" t="s">
        <v>2381</v>
      </c>
      <c r="F1475" t="s">
        <v>716</v>
      </c>
      <c r="G1475" t="s">
        <v>170</v>
      </c>
      <c r="H1475" s="6">
        <v>1315993</v>
      </c>
      <c r="I1475" s="6">
        <v>6.1063691453325771E-3</v>
      </c>
      <c r="J1475" s="6">
        <v>30824.95144563885</v>
      </c>
      <c r="K1475" s="6">
        <v>5419402.6164826602</v>
      </c>
      <c r="M1475" s="6">
        <f t="shared" ref="M1475:M1538" si="120">SUM(H1475,J1475)</f>
        <v>1346817.9514456389</v>
      </c>
      <c r="N1475" s="6">
        <f t="shared" ref="N1475:N1538" si="121">K1475</f>
        <v>5419402.6164826602</v>
      </c>
      <c r="O1475" s="6">
        <f t="shared" ref="O1475:O1538" si="122">SUM(M1475:N1475)</f>
        <v>6766220.5679282993</v>
      </c>
      <c r="P1475" s="8">
        <f>VLOOKUP(F1475,'LEAID Match'!$A$2:$B$436,2,FALSE)</f>
        <v>1800150</v>
      </c>
      <c r="Q1475" s="6">
        <f t="shared" ref="Q1475:Q1538" si="123">COUNTIF($P$2:$P$3691,P1475)</f>
        <v>9</v>
      </c>
    </row>
    <row r="1476" spans="1:17" x14ac:dyDescent="0.2">
      <c r="A1476" s="16">
        <f t="shared" si="119"/>
        <v>1800150</v>
      </c>
      <c r="B1476">
        <v>2017</v>
      </c>
      <c r="C1476" t="s">
        <v>904</v>
      </c>
      <c r="D1476" t="s">
        <v>906</v>
      </c>
      <c r="E1476" t="s">
        <v>2382</v>
      </c>
      <c r="F1476" t="s">
        <v>716</v>
      </c>
      <c r="G1476" t="s">
        <v>170</v>
      </c>
      <c r="H1476" s="6">
        <v>1609331</v>
      </c>
      <c r="I1476" s="6">
        <v>7.086572874623151E-3</v>
      </c>
      <c r="J1476" s="6">
        <v>32066.742257669757</v>
      </c>
      <c r="K1476" s="6">
        <v>6172404.9737967597</v>
      </c>
      <c r="M1476" s="6">
        <f t="shared" si="120"/>
        <v>1641397.7422576698</v>
      </c>
      <c r="N1476" s="6">
        <f t="shared" si="121"/>
        <v>6172404.9737967597</v>
      </c>
      <c r="O1476" s="6">
        <f t="shared" si="122"/>
        <v>7813802.7160544293</v>
      </c>
      <c r="P1476" s="8">
        <f>VLOOKUP(F1476,'LEAID Match'!$A$2:$B$436,2,FALSE)</f>
        <v>1800150</v>
      </c>
      <c r="Q1476" s="6">
        <f t="shared" si="123"/>
        <v>9</v>
      </c>
    </row>
    <row r="1477" spans="1:17" x14ac:dyDescent="0.2">
      <c r="A1477" s="16">
        <f t="shared" si="119"/>
        <v>1800150</v>
      </c>
      <c r="B1477">
        <v>2018</v>
      </c>
      <c r="C1477" t="s">
        <v>904</v>
      </c>
      <c r="D1477" t="s">
        <v>906</v>
      </c>
      <c r="E1477" t="s">
        <v>2383</v>
      </c>
      <c r="F1477" t="s">
        <v>716</v>
      </c>
      <c r="G1477" t="s">
        <v>170</v>
      </c>
      <c r="H1477" s="6">
        <v>1745725</v>
      </c>
      <c r="I1477" s="6">
        <v>7.4060127987067084E-3</v>
      </c>
      <c r="J1477" s="6">
        <v>30868.26134500956</v>
      </c>
      <c r="K1477" s="6">
        <v>11807498</v>
      </c>
      <c r="M1477" s="6">
        <f t="shared" si="120"/>
        <v>1776593.2613450096</v>
      </c>
      <c r="N1477" s="6">
        <f t="shared" si="121"/>
        <v>11807498</v>
      </c>
      <c r="O1477" s="6">
        <f t="shared" si="122"/>
        <v>13584091.26134501</v>
      </c>
      <c r="P1477" s="8">
        <f>VLOOKUP(F1477,'LEAID Match'!$A$2:$B$436,2,FALSE)</f>
        <v>1800150</v>
      </c>
      <c r="Q1477" s="6">
        <f t="shared" si="123"/>
        <v>9</v>
      </c>
    </row>
    <row r="1478" spans="1:17" x14ac:dyDescent="0.2">
      <c r="A1478" s="16">
        <f t="shared" si="119"/>
        <v>1800150</v>
      </c>
      <c r="B1478">
        <v>2019</v>
      </c>
      <c r="C1478" t="s">
        <v>904</v>
      </c>
      <c r="D1478" t="s">
        <v>906</v>
      </c>
      <c r="E1478" t="s">
        <v>2384</v>
      </c>
      <c r="F1478" t="s">
        <v>716</v>
      </c>
      <c r="G1478" t="s">
        <v>170</v>
      </c>
      <c r="H1478" s="6">
        <v>1722509</v>
      </c>
      <c r="I1478" s="6">
        <v>4.3820535540928388E-3</v>
      </c>
      <c r="J1478" s="6">
        <v>15359.0977070954</v>
      </c>
      <c r="K1478" s="6">
        <v>4136220.3497082298</v>
      </c>
      <c r="M1478" s="6">
        <f t="shared" si="120"/>
        <v>1737868.0977070953</v>
      </c>
      <c r="N1478" s="6">
        <f t="shared" si="121"/>
        <v>4136220.3497082298</v>
      </c>
      <c r="O1478" s="6">
        <f t="shared" si="122"/>
        <v>5874088.4474153249</v>
      </c>
      <c r="P1478" s="8">
        <f>VLOOKUP(F1478,'LEAID Match'!$A$2:$B$436,2,FALSE)</f>
        <v>1800150</v>
      </c>
      <c r="Q1478" s="6">
        <f t="shared" si="123"/>
        <v>9</v>
      </c>
    </row>
    <row r="1479" spans="1:17" x14ac:dyDescent="0.2">
      <c r="A1479" s="16">
        <f t="shared" si="119"/>
        <v>1800150</v>
      </c>
      <c r="B1479">
        <v>2020</v>
      </c>
      <c r="C1479" t="s">
        <v>904</v>
      </c>
      <c r="D1479" t="s">
        <v>906</v>
      </c>
      <c r="E1479" t="s">
        <v>2385</v>
      </c>
      <c r="F1479" t="s">
        <v>716</v>
      </c>
      <c r="G1479" t="s">
        <v>170</v>
      </c>
      <c r="H1479" s="6">
        <v>1335533</v>
      </c>
      <c r="I1479" s="6">
        <v>7.0765989981775735E-3</v>
      </c>
      <c r="J1479" s="6">
        <v>16672.467239706362</v>
      </c>
      <c r="K1479" s="6">
        <v>12465450</v>
      </c>
      <c r="M1479" s="6">
        <f t="shared" si="120"/>
        <v>1352205.4672397063</v>
      </c>
      <c r="N1479" s="6">
        <f t="shared" si="121"/>
        <v>12465450</v>
      </c>
      <c r="O1479" s="6">
        <f t="shared" si="122"/>
        <v>13817655.467239706</v>
      </c>
      <c r="P1479" s="8">
        <f>VLOOKUP(F1479,'LEAID Match'!$A$2:$B$436,2,FALSE)</f>
        <v>1800150</v>
      </c>
      <c r="Q1479" s="6">
        <f t="shared" si="123"/>
        <v>9</v>
      </c>
    </row>
    <row r="1480" spans="1:17" x14ac:dyDescent="0.2">
      <c r="A1480" s="16">
        <f t="shared" si="119"/>
        <v>1800150</v>
      </c>
      <c r="B1480">
        <v>2021</v>
      </c>
      <c r="C1480" t="s">
        <v>904</v>
      </c>
      <c r="D1480" t="s">
        <v>906</v>
      </c>
      <c r="E1480" t="s">
        <v>2386</v>
      </c>
      <c r="F1480" t="s">
        <v>716</v>
      </c>
      <c r="G1480" t="s">
        <v>170</v>
      </c>
      <c r="H1480" s="6">
        <v>1321831</v>
      </c>
      <c r="I1480" s="6">
        <v>6.5299680688690855E-3</v>
      </c>
      <c r="J1480" s="6">
        <v>14718.548027230918</v>
      </c>
      <c r="K1480" s="6">
        <v>19953954</v>
      </c>
      <c r="M1480" s="6">
        <f t="shared" si="120"/>
        <v>1336549.5480272309</v>
      </c>
      <c r="N1480" s="6">
        <f t="shared" si="121"/>
        <v>19953954</v>
      </c>
      <c r="O1480" s="6">
        <f t="shared" si="122"/>
        <v>21290503.548027232</v>
      </c>
      <c r="P1480" s="8">
        <f>VLOOKUP(F1480,'LEAID Match'!$A$2:$B$436,2,FALSE)</f>
        <v>1800150</v>
      </c>
      <c r="Q1480" s="6">
        <f t="shared" si="123"/>
        <v>9</v>
      </c>
    </row>
    <row r="1481" spans="1:17" x14ac:dyDescent="0.2">
      <c r="A1481" s="16">
        <f t="shared" si="119"/>
        <v>1800150</v>
      </c>
      <c r="B1481">
        <v>2022</v>
      </c>
      <c r="C1481" t="s">
        <v>904</v>
      </c>
      <c r="D1481" t="s">
        <v>906</v>
      </c>
      <c r="E1481" t="s">
        <v>2387</v>
      </c>
      <c r="F1481" t="s">
        <v>716</v>
      </c>
      <c r="G1481" t="s">
        <v>170</v>
      </c>
      <c r="H1481" s="6">
        <v>1420127</v>
      </c>
      <c r="I1481" s="6">
        <v>6.7430269282154828E-3</v>
      </c>
      <c r="J1481" s="6">
        <v>14868.374376715139</v>
      </c>
      <c r="K1481" s="6">
        <v>19550674</v>
      </c>
      <c r="M1481" s="6">
        <f t="shared" si="120"/>
        <v>1434995.3743767152</v>
      </c>
      <c r="N1481" s="6">
        <f t="shared" si="121"/>
        <v>19550674</v>
      </c>
      <c r="O1481" s="6">
        <f t="shared" si="122"/>
        <v>20985669.374376714</v>
      </c>
      <c r="P1481" s="8">
        <f>VLOOKUP(F1481,'LEAID Match'!$A$2:$B$436,2,FALSE)</f>
        <v>1800150</v>
      </c>
      <c r="Q1481" s="6">
        <f t="shared" si="123"/>
        <v>9</v>
      </c>
    </row>
    <row r="1482" spans="1:17" x14ac:dyDescent="0.2">
      <c r="A1482" s="16">
        <f t="shared" si="119"/>
        <v>1800150</v>
      </c>
      <c r="B1482">
        <v>2023</v>
      </c>
      <c r="C1482" t="s">
        <v>904</v>
      </c>
      <c r="D1482" t="s">
        <v>906</v>
      </c>
      <c r="E1482" t="s">
        <v>2388</v>
      </c>
      <c r="F1482" t="s">
        <v>716</v>
      </c>
      <c r="G1482" t="s">
        <v>170</v>
      </c>
      <c r="H1482" s="6">
        <v>1764288</v>
      </c>
      <c r="I1482" s="6">
        <v>7.2149685275067973E-3</v>
      </c>
      <c r="J1482" s="6">
        <v>17799.327357359271</v>
      </c>
      <c r="K1482" s="6">
        <v>47959681</v>
      </c>
      <c r="M1482" s="6">
        <f t="shared" si="120"/>
        <v>1782087.3273573592</v>
      </c>
      <c r="N1482" s="6">
        <f t="shared" si="121"/>
        <v>47959681</v>
      </c>
      <c r="O1482" s="6">
        <f t="shared" si="122"/>
        <v>49741768.327357359</v>
      </c>
      <c r="P1482" s="8">
        <f>VLOOKUP(F1482,'LEAID Match'!$A$2:$B$436,2,FALSE)</f>
        <v>1800150</v>
      </c>
      <c r="Q1482" s="6">
        <f t="shared" si="123"/>
        <v>9</v>
      </c>
    </row>
    <row r="1483" spans="1:17" x14ac:dyDescent="0.2">
      <c r="A1483" s="16">
        <f t="shared" si="119"/>
        <v>1803300</v>
      </c>
      <c r="B1483">
        <v>2015</v>
      </c>
      <c r="C1483" t="s">
        <v>904</v>
      </c>
      <c r="D1483" t="s">
        <v>906</v>
      </c>
      <c r="E1483" t="s">
        <v>2389</v>
      </c>
      <c r="F1483" t="s">
        <v>717</v>
      </c>
      <c r="G1483" t="s">
        <v>171</v>
      </c>
      <c r="H1483" s="6">
        <v>265584</v>
      </c>
      <c r="I1483" s="6">
        <v>1.2914571913772339E-3</v>
      </c>
      <c r="J1483" s="6">
        <v>7504.6577390931061</v>
      </c>
      <c r="K1483" s="6">
        <v>1092076.8643436499</v>
      </c>
      <c r="M1483" s="6">
        <f t="shared" si="120"/>
        <v>273088.65773909312</v>
      </c>
      <c r="N1483" s="6">
        <f t="shared" si="121"/>
        <v>1092076.8643436499</v>
      </c>
      <c r="O1483" s="6">
        <f t="shared" si="122"/>
        <v>1365165.522082743</v>
      </c>
      <c r="P1483" s="8">
        <f>VLOOKUP(F1483,'LEAID Match'!$A$2:$B$436,2,FALSE)</f>
        <v>1803300</v>
      </c>
      <c r="Q1483" s="6">
        <f t="shared" si="123"/>
        <v>9</v>
      </c>
    </row>
    <row r="1484" spans="1:17" x14ac:dyDescent="0.2">
      <c r="A1484" s="16">
        <f t="shared" si="119"/>
        <v>1803300</v>
      </c>
      <c r="B1484">
        <v>2016</v>
      </c>
      <c r="C1484" t="s">
        <v>904</v>
      </c>
      <c r="D1484" t="s">
        <v>906</v>
      </c>
      <c r="E1484" t="s">
        <v>2390</v>
      </c>
      <c r="F1484" t="s">
        <v>717</v>
      </c>
      <c r="G1484" t="s">
        <v>171</v>
      </c>
      <c r="H1484" s="6">
        <v>249292</v>
      </c>
      <c r="I1484" s="6">
        <v>1.1567454971099761E-3</v>
      </c>
      <c r="J1484" s="6">
        <v>5839.2512694111592</v>
      </c>
      <c r="K1484" s="6">
        <v>1026611.6286851</v>
      </c>
      <c r="M1484" s="6">
        <f t="shared" si="120"/>
        <v>255131.25126941115</v>
      </c>
      <c r="N1484" s="6">
        <f t="shared" si="121"/>
        <v>1026611.6286851</v>
      </c>
      <c r="O1484" s="6">
        <f t="shared" si="122"/>
        <v>1281742.8799545111</v>
      </c>
      <c r="P1484" s="8">
        <f>VLOOKUP(F1484,'LEAID Match'!$A$2:$B$436,2,FALSE)</f>
        <v>1803300</v>
      </c>
      <c r="Q1484" s="6">
        <f t="shared" si="123"/>
        <v>9</v>
      </c>
    </row>
    <row r="1485" spans="1:17" x14ac:dyDescent="0.2">
      <c r="A1485" s="16">
        <f t="shared" si="119"/>
        <v>1803300</v>
      </c>
      <c r="B1485">
        <v>2017</v>
      </c>
      <c r="C1485" t="s">
        <v>904</v>
      </c>
      <c r="D1485" t="s">
        <v>906</v>
      </c>
      <c r="E1485" t="s">
        <v>2391</v>
      </c>
      <c r="F1485" t="s">
        <v>717</v>
      </c>
      <c r="G1485" t="s">
        <v>171</v>
      </c>
      <c r="H1485" s="6">
        <v>268517</v>
      </c>
      <c r="I1485" s="6">
        <v>1.1823952242112931E-3</v>
      </c>
      <c r="J1485" s="6">
        <v>5350.338389556101</v>
      </c>
      <c r="K1485" s="6">
        <v>1029866.24028803</v>
      </c>
      <c r="M1485" s="6">
        <f t="shared" si="120"/>
        <v>273867.3383895561</v>
      </c>
      <c r="N1485" s="6">
        <f t="shared" si="121"/>
        <v>1029866.24028803</v>
      </c>
      <c r="O1485" s="6">
        <f t="shared" si="122"/>
        <v>1303733.578677586</v>
      </c>
      <c r="P1485" s="8">
        <f>VLOOKUP(F1485,'LEAID Match'!$A$2:$B$436,2,FALSE)</f>
        <v>1803300</v>
      </c>
      <c r="Q1485" s="6">
        <f t="shared" si="123"/>
        <v>9</v>
      </c>
    </row>
    <row r="1486" spans="1:17" x14ac:dyDescent="0.2">
      <c r="A1486" s="16">
        <f t="shared" si="119"/>
        <v>1803300</v>
      </c>
      <c r="B1486">
        <v>2018</v>
      </c>
      <c r="C1486" t="s">
        <v>904</v>
      </c>
      <c r="D1486" t="s">
        <v>906</v>
      </c>
      <c r="E1486" t="s">
        <v>2392</v>
      </c>
      <c r="F1486" t="s">
        <v>717</v>
      </c>
      <c r="G1486" t="s">
        <v>171</v>
      </c>
      <c r="H1486" s="6">
        <v>286373</v>
      </c>
      <c r="I1486" s="6">
        <v>1.2149004586656182E-3</v>
      </c>
      <c r="J1486" s="6">
        <v>5063.7051117182964</v>
      </c>
      <c r="K1486" s="6">
        <v>1903633</v>
      </c>
      <c r="M1486" s="6">
        <f t="shared" si="120"/>
        <v>291436.70511171827</v>
      </c>
      <c r="N1486" s="6">
        <f t="shared" si="121"/>
        <v>1903633</v>
      </c>
      <c r="O1486" s="6">
        <f t="shared" si="122"/>
        <v>2195069.7051117183</v>
      </c>
      <c r="P1486" s="8">
        <f>VLOOKUP(F1486,'LEAID Match'!$A$2:$B$436,2,FALSE)</f>
        <v>1803300</v>
      </c>
      <c r="Q1486" s="6">
        <f t="shared" si="123"/>
        <v>9</v>
      </c>
    </row>
    <row r="1487" spans="1:17" x14ac:dyDescent="0.2">
      <c r="A1487" s="16">
        <f t="shared" si="119"/>
        <v>1803300</v>
      </c>
      <c r="B1487">
        <v>2019</v>
      </c>
      <c r="C1487" t="s">
        <v>904</v>
      </c>
      <c r="D1487" t="s">
        <v>906</v>
      </c>
      <c r="E1487" t="s">
        <v>2393</v>
      </c>
      <c r="F1487" t="s">
        <v>717</v>
      </c>
      <c r="G1487" t="s">
        <v>171</v>
      </c>
      <c r="H1487" s="6">
        <v>299978</v>
      </c>
      <c r="I1487" s="6">
        <v>7.6314240509028485E-4</v>
      </c>
      <c r="J1487" s="6">
        <v>2674.8141298414484</v>
      </c>
      <c r="K1487" s="6">
        <v>720330.11616471899</v>
      </c>
      <c r="M1487" s="6">
        <f t="shared" si="120"/>
        <v>302652.81412984146</v>
      </c>
      <c r="N1487" s="6">
        <f t="shared" si="121"/>
        <v>720330.11616471899</v>
      </c>
      <c r="O1487" s="6">
        <f t="shared" si="122"/>
        <v>1022982.9302945605</v>
      </c>
      <c r="P1487" s="8">
        <f>VLOOKUP(F1487,'LEAID Match'!$A$2:$B$436,2,FALSE)</f>
        <v>1803300</v>
      </c>
      <c r="Q1487" s="6">
        <f t="shared" si="123"/>
        <v>9</v>
      </c>
    </row>
    <row r="1488" spans="1:17" x14ac:dyDescent="0.2">
      <c r="A1488" s="16">
        <f t="shared" si="119"/>
        <v>1803300</v>
      </c>
      <c r="B1488">
        <v>2020</v>
      </c>
      <c r="C1488" t="s">
        <v>904</v>
      </c>
      <c r="D1488" t="s">
        <v>906</v>
      </c>
      <c r="E1488" t="s">
        <v>2394</v>
      </c>
      <c r="F1488" t="s">
        <v>717</v>
      </c>
      <c r="G1488" t="s">
        <v>171</v>
      </c>
      <c r="H1488" s="6">
        <v>227255</v>
      </c>
      <c r="I1488" s="6">
        <v>1.2041578196351902E-3</v>
      </c>
      <c r="J1488" s="6">
        <v>2836.995823060508</v>
      </c>
      <c r="K1488" s="6">
        <v>2007039</v>
      </c>
      <c r="M1488" s="6">
        <f t="shared" si="120"/>
        <v>230091.99582306051</v>
      </c>
      <c r="N1488" s="6">
        <f t="shared" si="121"/>
        <v>2007039</v>
      </c>
      <c r="O1488" s="6">
        <f t="shared" si="122"/>
        <v>2237130.9958230606</v>
      </c>
      <c r="P1488" s="8">
        <f>VLOOKUP(F1488,'LEAID Match'!$A$2:$B$436,2,FALSE)</f>
        <v>1803300</v>
      </c>
      <c r="Q1488" s="6">
        <f t="shared" si="123"/>
        <v>9</v>
      </c>
    </row>
    <row r="1489" spans="1:17" x14ac:dyDescent="0.2">
      <c r="A1489" s="16">
        <f t="shared" si="119"/>
        <v>1803300</v>
      </c>
      <c r="B1489">
        <v>2021</v>
      </c>
      <c r="C1489" t="s">
        <v>904</v>
      </c>
      <c r="D1489" t="s">
        <v>906</v>
      </c>
      <c r="E1489" t="s">
        <v>2395</v>
      </c>
      <c r="F1489" t="s">
        <v>717</v>
      </c>
      <c r="G1489" t="s">
        <v>171</v>
      </c>
      <c r="H1489" s="6">
        <v>257097</v>
      </c>
      <c r="I1489" s="6">
        <v>1.2700830897459927E-3</v>
      </c>
      <c r="J1489" s="6">
        <v>2862.7672842874676</v>
      </c>
      <c r="K1489" s="6">
        <v>3336448</v>
      </c>
      <c r="M1489" s="6">
        <f t="shared" si="120"/>
        <v>259959.76728428746</v>
      </c>
      <c r="N1489" s="6">
        <f t="shared" si="121"/>
        <v>3336448</v>
      </c>
      <c r="O1489" s="6">
        <f t="shared" si="122"/>
        <v>3596407.7672842876</v>
      </c>
      <c r="P1489" s="8">
        <f>VLOOKUP(F1489,'LEAID Match'!$A$2:$B$436,2,FALSE)</f>
        <v>1803300</v>
      </c>
      <c r="Q1489" s="6">
        <f t="shared" si="123"/>
        <v>9</v>
      </c>
    </row>
    <row r="1490" spans="1:17" x14ac:dyDescent="0.2">
      <c r="A1490" s="16">
        <f t="shared" si="119"/>
        <v>1803300</v>
      </c>
      <c r="B1490">
        <v>2022</v>
      </c>
      <c r="C1490" t="s">
        <v>904</v>
      </c>
      <c r="D1490" t="s">
        <v>906</v>
      </c>
      <c r="E1490" t="s">
        <v>2396</v>
      </c>
      <c r="F1490" t="s">
        <v>717</v>
      </c>
      <c r="G1490" t="s">
        <v>171</v>
      </c>
      <c r="H1490" s="6">
        <v>266358</v>
      </c>
      <c r="I1490" s="6">
        <v>1.2647172869367455E-3</v>
      </c>
      <c r="J1490" s="6">
        <v>2788.701617695524</v>
      </c>
      <c r="K1490" s="6">
        <v>3124077</v>
      </c>
      <c r="M1490" s="6">
        <f t="shared" si="120"/>
        <v>269146.70161769551</v>
      </c>
      <c r="N1490" s="6">
        <f t="shared" si="121"/>
        <v>3124077</v>
      </c>
      <c r="O1490" s="6">
        <f t="shared" si="122"/>
        <v>3393223.7016176954</v>
      </c>
      <c r="P1490" s="8">
        <f>VLOOKUP(F1490,'LEAID Match'!$A$2:$B$436,2,FALSE)</f>
        <v>1803300</v>
      </c>
      <c r="Q1490" s="6">
        <f t="shared" si="123"/>
        <v>9</v>
      </c>
    </row>
    <row r="1491" spans="1:17" x14ac:dyDescent="0.2">
      <c r="A1491" s="16">
        <f t="shared" si="119"/>
        <v>1803300</v>
      </c>
      <c r="B1491">
        <v>2023</v>
      </c>
      <c r="C1491" t="s">
        <v>904</v>
      </c>
      <c r="D1491" t="s">
        <v>906</v>
      </c>
      <c r="E1491" t="s">
        <v>2397</v>
      </c>
      <c r="F1491" t="s">
        <v>717</v>
      </c>
      <c r="G1491" t="s">
        <v>171</v>
      </c>
      <c r="H1491" s="6">
        <v>331642</v>
      </c>
      <c r="I1491" s="6">
        <v>1.3562335584663102E-3</v>
      </c>
      <c r="J1491" s="6">
        <v>3345.8281887363873</v>
      </c>
      <c r="K1491" s="6">
        <v>7820775</v>
      </c>
      <c r="M1491" s="6">
        <f t="shared" si="120"/>
        <v>334987.8281887364</v>
      </c>
      <c r="N1491" s="6">
        <f t="shared" si="121"/>
        <v>7820775</v>
      </c>
      <c r="O1491" s="6">
        <f t="shared" si="122"/>
        <v>8155762.828188736</v>
      </c>
      <c r="P1491" s="8">
        <f>VLOOKUP(F1491,'LEAID Match'!$A$2:$B$436,2,FALSE)</f>
        <v>1803300</v>
      </c>
      <c r="Q1491" s="6">
        <f t="shared" si="123"/>
        <v>9</v>
      </c>
    </row>
    <row r="1492" spans="1:17" x14ac:dyDescent="0.2">
      <c r="A1492" s="16">
        <f t="shared" si="119"/>
        <v>1812880</v>
      </c>
      <c r="B1492">
        <v>2015</v>
      </c>
      <c r="C1492" t="s">
        <v>904</v>
      </c>
      <c r="D1492" t="s">
        <v>906</v>
      </c>
      <c r="E1492" t="s">
        <v>2398</v>
      </c>
      <c r="F1492" t="s">
        <v>533</v>
      </c>
      <c r="G1492" t="s">
        <v>172</v>
      </c>
      <c r="H1492" s="6">
        <v>467593</v>
      </c>
      <c r="I1492" s="6">
        <v>2.2737677815216841E-3</v>
      </c>
      <c r="J1492" s="6">
        <v>13212.864578422506</v>
      </c>
      <c r="K1492" s="6">
        <v>1922734.41633924</v>
      </c>
      <c r="M1492" s="6">
        <f t="shared" si="120"/>
        <v>480805.86457842251</v>
      </c>
      <c r="N1492" s="6">
        <f t="shared" si="121"/>
        <v>1922734.41633924</v>
      </c>
      <c r="O1492" s="6">
        <f t="shared" si="122"/>
        <v>2403540.2809176627</v>
      </c>
      <c r="P1492" s="8">
        <f>VLOOKUP(F1492,'LEAID Match'!$A$2:$B$436,2,FALSE)</f>
        <v>1812880</v>
      </c>
      <c r="Q1492" s="6">
        <f t="shared" si="123"/>
        <v>9</v>
      </c>
    </row>
    <row r="1493" spans="1:17" x14ac:dyDescent="0.2">
      <c r="A1493" s="16">
        <f t="shared" si="119"/>
        <v>1812880</v>
      </c>
      <c r="B1493">
        <v>2016</v>
      </c>
      <c r="C1493" t="s">
        <v>904</v>
      </c>
      <c r="D1493" t="s">
        <v>906</v>
      </c>
      <c r="E1493" t="s">
        <v>2399</v>
      </c>
      <c r="F1493" t="s">
        <v>533</v>
      </c>
      <c r="G1493" t="s">
        <v>172</v>
      </c>
      <c r="H1493" s="6">
        <v>513790</v>
      </c>
      <c r="I1493" s="6">
        <v>2.384048701763934E-3</v>
      </c>
      <c r="J1493" s="6">
        <v>12034.677846504339</v>
      </c>
      <c r="K1493" s="6">
        <v>2115843.2228154899</v>
      </c>
      <c r="M1493" s="6">
        <f t="shared" si="120"/>
        <v>525824.67784650438</v>
      </c>
      <c r="N1493" s="6">
        <f t="shared" si="121"/>
        <v>2115843.2228154899</v>
      </c>
      <c r="O1493" s="6">
        <f t="shared" si="122"/>
        <v>2641667.9006619942</v>
      </c>
      <c r="P1493" s="8">
        <f>VLOOKUP(F1493,'LEAID Match'!$A$2:$B$436,2,FALSE)</f>
        <v>1812880</v>
      </c>
      <c r="Q1493" s="6">
        <f t="shared" si="123"/>
        <v>9</v>
      </c>
    </row>
    <row r="1494" spans="1:17" x14ac:dyDescent="0.2">
      <c r="A1494" s="16">
        <f t="shared" si="119"/>
        <v>1812880</v>
      </c>
      <c r="B1494">
        <v>2017</v>
      </c>
      <c r="C1494" t="s">
        <v>904</v>
      </c>
      <c r="D1494" t="s">
        <v>906</v>
      </c>
      <c r="E1494" t="s">
        <v>2400</v>
      </c>
      <c r="F1494" t="s">
        <v>533</v>
      </c>
      <c r="G1494" t="s">
        <v>172</v>
      </c>
      <c r="H1494" s="6">
        <v>539188</v>
      </c>
      <c r="I1494" s="6">
        <v>2.3742754319169314E-3</v>
      </c>
      <c r="J1494" s="6">
        <v>10743.596329424114</v>
      </c>
      <c r="K1494" s="6">
        <v>2067993.90119964</v>
      </c>
      <c r="M1494" s="6">
        <f t="shared" si="120"/>
        <v>549931.59632942406</v>
      </c>
      <c r="N1494" s="6">
        <f t="shared" si="121"/>
        <v>2067993.90119964</v>
      </c>
      <c r="O1494" s="6">
        <f t="shared" si="122"/>
        <v>2617925.4975290643</v>
      </c>
      <c r="P1494" s="8">
        <f>VLOOKUP(F1494,'LEAID Match'!$A$2:$B$436,2,FALSE)</f>
        <v>1812880</v>
      </c>
      <c r="Q1494" s="6">
        <f t="shared" si="123"/>
        <v>9</v>
      </c>
    </row>
    <row r="1495" spans="1:17" x14ac:dyDescent="0.2">
      <c r="A1495" s="16">
        <f t="shared" si="119"/>
        <v>1812880</v>
      </c>
      <c r="B1495">
        <v>2018</v>
      </c>
      <c r="C1495" t="s">
        <v>904</v>
      </c>
      <c r="D1495" t="s">
        <v>906</v>
      </c>
      <c r="E1495" t="s">
        <v>2401</v>
      </c>
      <c r="F1495" t="s">
        <v>533</v>
      </c>
      <c r="G1495" t="s">
        <v>172</v>
      </c>
      <c r="H1495" s="6">
        <v>576320</v>
      </c>
      <c r="I1495" s="6">
        <v>2.4449631506397915E-3</v>
      </c>
      <c r="J1495" s="6">
        <v>10190.606411866651</v>
      </c>
      <c r="K1495" s="6">
        <v>2041318</v>
      </c>
      <c r="M1495" s="6">
        <f t="shared" si="120"/>
        <v>586510.60641186661</v>
      </c>
      <c r="N1495" s="6">
        <f t="shared" si="121"/>
        <v>2041318</v>
      </c>
      <c r="O1495" s="6">
        <f t="shared" si="122"/>
        <v>2627828.6064118668</v>
      </c>
      <c r="P1495" s="8">
        <f>VLOOKUP(F1495,'LEAID Match'!$A$2:$B$436,2,FALSE)</f>
        <v>1812880</v>
      </c>
      <c r="Q1495" s="6">
        <f t="shared" si="123"/>
        <v>9</v>
      </c>
    </row>
    <row r="1496" spans="1:17" x14ac:dyDescent="0.2">
      <c r="A1496" s="16">
        <f t="shared" si="119"/>
        <v>1812880</v>
      </c>
      <c r="B1496">
        <v>2019</v>
      </c>
      <c r="C1496" t="s">
        <v>904</v>
      </c>
      <c r="D1496" t="s">
        <v>906</v>
      </c>
      <c r="E1496" t="s">
        <v>2402</v>
      </c>
      <c r="F1496" t="s">
        <v>533</v>
      </c>
      <c r="G1496" t="s">
        <v>172</v>
      </c>
      <c r="H1496" s="6">
        <v>613123</v>
      </c>
      <c r="I1496" s="6">
        <v>1.5597815867702655E-3</v>
      </c>
      <c r="J1496" s="6">
        <v>5467.0344616297807</v>
      </c>
      <c r="K1496" s="6">
        <v>1472277.8397524499</v>
      </c>
      <c r="M1496" s="6">
        <f t="shared" si="120"/>
        <v>618590.03446162981</v>
      </c>
      <c r="N1496" s="6">
        <f t="shared" si="121"/>
        <v>1472277.8397524499</v>
      </c>
      <c r="O1496" s="6">
        <f t="shared" si="122"/>
        <v>2090867.8742140797</v>
      </c>
      <c r="P1496" s="8">
        <f>VLOOKUP(F1496,'LEAID Match'!$A$2:$B$436,2,FALSE)</f>
        <v>1812880</v>
      </c>
      <c r="Q1496" s="6">
        <f t="shared" si="123"/>
        <v>9</v>
      </c>
    </row>
    <row r="1497" spans="1:17" x14ac:dyDescent="0.2">
      <c r="A1497" s="16">
        <f t="shared" si="119"/>
        <v>1812880</v>
      </c>
      <c r="B1497">
        <v>2020</v>
      </c>
      <c r="C1497" t="s">
        <v>904</v>
      </c>
      <c r="D1497" t="s">
        <v>906</v>
      </c>
      <c r="E1497" t="s">
        <v>2403</v>
      </c>
      <c r="F1497" t="s">
        <v>533</v>
      </c>
      <c r="G1497" t="s">
        <v>172</v>
      </c>
      <c r="H1497" s="6">
        <v>472613</v>
      </c>
      <c r="I1497" s="6">
        <v>2.5042381448647823E-3</v>
      </c>
      <c r="J1497" s="6">
        <v>5899.9850693014268</v>
      </c>
      <c r="K1497" s="6">
        <v>2123186</v>
      </c>
      <c r="M1497" s="6">
        <f t="shared" si="120"/>
        <v>478512.98506930145</v>
      </c>
      <c r="N1497" s="6">
        <f t="shared" si="121"/>
        <v>2123186</v>
      </c>
      <c r="O1497" s="6">
        <f t="shared" si="122"/>
        <v>2601698.9850693014</v>
      </c>
      <c r="P1497" s="8">
        <f>VLOOKUP(F1497,'LEAID Match'!$A$2:$B$436,2,FALSE)</f>
        <v>1812880</v>
      </c>
      <c r="Q1497" s="6">
        <f t="shared" si="123"/>
        <v>9</v>
      </c>
    </row>
    <row r="1498" spans="1:17" x14ac:dyDescent="0.2">
      <c r="A1498" s="16">
        <f t="shared" si="119"/>
        <v>1812880</v>
      </c>
      <c r="B1498">
        <v>2021</v>
      </c>
      <c r="C1498" t="s">
        <v>904</v>
      </c>
      <c r="D1498" t="s">
        <v>906</v>
      </c>
      <c r="E1498" t="s">
        <v>2404</v>
      </c>
      <c r="F1498" t="s">
        <v>533</v>
      </c>
      <c r="G1498" t="s">
        <v>172</v>
      </c>
      <c r="H1498" s="6">
        <v>498756</v>
      </c>
      <c r="I1498" s="6">
        <v>2.463901023774499E-3</v>
      </c>
      <c r="J1498" s="6">
        <v>5553.6329075877211</v>
      </c>
      <c r="K1498" s="6">
        <v>3475507</v>
      </c>
      <c r="M1498" s="6">
        <f t="shared" si="120"/>
        <v>504309.63290758774</v>
      </c>
      <c r="N1498" s="6">
        <f t="shared" si="121"/>
        <v>3475507</v>
      </c>
      <c r="O1498" s="6">
        <f t="shared" si="122"/>
        <v>3979816.6329075876</v>
      </c>
      <c r="P1498" s="8">
        <f>VLOOKUP(F1498,'LEAID Match'!$A$2:$B$436,2,FALSE)</f>
        <v>1812880</v>
      </c>
      <c r="Q1498" s="6">
        <f t="shared" si="123"/>
        <v>9</v>
      </c>
    </row>
    <row r="1499" spans="1:17" x14ac:dyDescent="0.2">
      <c r="A1499" s="16">
        <f t="shared" si="119"/>
        <v>1812880</v>
      </c>
      <c r="B1499">
        <v>2022</v>
      </c>
      <c r="C1499" t="s">
        <v>904</v>
      </c>
      <c r="D1499" t="s">
        <v>906</v>
      </c>
      <c r="E1499" t="s">
        <v>2405</v>
      </c>
      <c r="F1499" t="s">
        <v>533</v>
      </c>
      <c r="G1499" t="s">
        <v>172</v>
      </c>
      <c r="H1499" s="6">
        <v>562985</v>
      </c>
      <c r="I1499" s="6">
        <v>2.6731574114015112E-3</v>
      </c>
      <c r="J1499" s="6">
        <v>5894.3120921403324</v>
      </c>
      <c r="K1499" s="6">
        <v>3237877</v>
      </c>
      <c r="M1499" s="6">
        <f t="shared" si="120"/>
        <v>568879.31209214032</v>
      </c>
      <c r="N1499" s="6">
        <f t="shared" si="121"/>
        <v>3237877</v>
      </c>
      <c r="O1499" s="6">
        <f t="shared" si="122"/>
        <v>3806756.3120921403</v>
      </c>
      <c r="P1499" s="8">
        <f>VLOOKUP(F1499,'LEAID Match'!$A$2:$B$436,2,FALSE)</f>
        <v>1812880</v>
      </c>
      <c r="Q1499" s="6">
        <f t="shared" si="123"/>
        <v>9</v>
      </c>
    </row>
    <row r="1500" spans="1:17" x14ac:dyDescent="0.2">
      <c r="A1500" s="16">
        <f t="shared" si="119"/>
        <v>1812880</v>
      </c>
      <c r="B1500">
        <v>2023</v>
      </c>
      <c r="C1500" t="s">
        <v>904</v>
      </c>
      <c r="D1500" t="s">
        <v>906</v>
      </c>
      <c r="E1500" t="s">
        <v>2406</v>
      </c>
      <c r="F1500" t="s">
        <v>533</v>
      </c>
      <c r="G1500" t="s">
        <v>172</v>
      </c>
      <c r="H1500" s="6">
        <v>642144</v>
      </c>
      <c r="I1500" s="6">
        <v>2.6260161323589603E-3</v>
      </c>
      <c r="J1500" s="6">
        <v>6478.3817985295555</v>
      </c>
      <c r="K1500" s="6">
        <v>8300600</v>
      </c>
      <c r="M1500" s="6">
        <f t="shared" si="120"/>
        <v>648622.38179852953</v>
      </c>
      <c r="N1500" s="6">
        <f t="shared" si="121"/>
        <v>8300600</v>
      </c>
      <c r="O1500" s="6">
        <f t="shared" si="122"/>
        <v>8949222.38179853</v>
      </c>
      <c r="P1500" s="8">
        <f>VLOOKUP(F1500,'LEAID Match'!$A$2:$B$436,2,FALSE)</f>
        <v>1812880</v>
      </c>
      <c r="Q1500" s="6">
        <f t="shared" si="123"/>
        <v>9</v>
      </c>
    </row>
    <row r="1501" spans="1:17" x14ac:dyDescent="0.2">
      <c r="A1501" s="16">
        <f t="shared" si="119"/>
        <v>1810440</v>
      </c>
      <c r="B1501">
        <v>2015</v>
      </c>
      <c r="C1501" t="s">
        <v>904</v>
      </c>
      <c r="D1501" t="s">
        <v>906</v>
      </c>
      <c r="E1501" t="s">
        <v>2407</v>
      </c>
      <c r="F1501" t="s">
        <v>718</v>
      </c>
      <c r="G1501" t="s">
        <v>173</v>
      </c>
      <c r="H1501" s="6">
        <v>620074</v>
      </c>
      <c r="I1501" s="6">
        <v>3.0152382164815913E-3</v>
      </c>
      <c r="J1501" s="6">
        <v>17521.549275974528</v>
      </c>
      <c r="K1501" s="6">
        <v>2549733.6796682901</v>
      </c>
      <c r="M1501" s="6">
        <f t="shared" si="120"/>
        <v>637595.54927597451</v>
      </c>
      <c r="N1501" s="6">
        <f t="shared" si="121"/>
        <v>2549733.6796682901</v>
      </c>
      <c r="O1501" s="6">
        <f t="shared" si="122"/>
        <v>3187329.2289442644</v>
      </c>
      <c r="P1501" s="8">
        <f>VLOOKUP(F1501,'LEAID Match'!$A$2:$B$436,2,FALSE)</f>
        <v>1810440</v>
      </c>
      <c r="Q1501" s="6">
        <f t="shared" si="123"/>
        <v>9</v>
      </c>
    </row>
    <row r="1502" spans="1:17" x14ac:dyDescent="0.2">
      <c r="A1502" s="16">
        <f t="shared" si="119"/>
        <v>1810440</v>
      </c>
      <c r="B1502">
        <v>2016</v>
      </c>
      <c r="C1502" t="s">
        <v>904</v>
      </c>
      <c r="D1502" t="s">
        <v>906</v>
      </c>
      <c r="E1502" t="s">
        <v>2408</v>
      </c>
      <c r="F1502" t="s">
        <v>718</v>
      </c>
      <c r="G1502" t="s">
        <v>173</v>
      </c>
      <c r="H1502" s="6">
        <v>677585</v>
      </c>
      <c r="I1502" s="6">
        <v>3.14407761845251E-3</v>
      </c>
      <c r="J1502" s="6">
        <v>15871.30381794827</v>
      </c>
      <c r="K1502" s="6">
        <v>2790368.8863765998</v>
      </c>
      <c r="M1502" s="6">
        <f t="shared" si="120"/>
        <v>693456.30381794833</v>
      </c>
      <c r="N1502" s="6">
        <f t="shared" si="121"/>
        <v>2790368.8863765998</v>
      </c>
      <c r="O1502" s="6">
        <f t="shared" si="122"/>
        <v>3483825.1901945481</v>
      </c>
      <c r="P1502" s="8">
        <f>VLOOKUP(F1502,'LEAID Match'!$A$2:$B$436,2,FALSE)</f>
        <v>1810440</v>
      </c>
      <c r="Q1502" s="6">
        <f t="shared" si="123"/>
        <v>9</v>
      </c>
    </row>
    <row r="1503" spans="1:17" x14ac:dyDescent="0.2">
      <c r="A1503" s="16">
        <f t="shared" si="119"/>
        <v>1810440</v>
      </c>
      <c r="B1503">
        <v>2017</v>
      </c>
      <c r="C1503" t="s">
        <v>904</v>
      </c>
      <c r="D1503" t="s">
        <v>906</v>
      </c>
      <c r="E1503" t="s">
        <v>2409</v>
      </c>
      <c r="F1503" t="s">
        <v>718</v>
      </c>
      <c r="G1503" t="s">
        <v>173</v>
      </c>
      <c r="H1503" s="6">
        <v>744974</v>
      </c>
      <c r="I1503" s="6">
        <v>3.280439226423593E-3</v>
      </c>
      <c r="J1503" s="6">
        <v>14843.987499566758</v>
      </c>
      <c r="K1503" s="6">
        <v>2857262.56621494</v>
      </c>
      <c r="M1503" s="6">
        <f t="shared" si="120"/>
        <v>759817.98749956675</v>
      </c>
      <c r="N1503" s="6">
        <f t="shared" si="121"/>
        <v>2857262.56621494</v>
      </c>
      <c r="O1503" s="6">
        <f t="shared" si="122"/>
        <v>3617080.5537145068</v>
      </c>
      <c r="P1503" s="8">
        <f>VLOOKUP(F1503,'LEAID Match'!$A$2:$B$436,2,FALSE)</f>
        <v>1810440</v>
      </c>
      <c r="Q1503" s="6">
        <f t="shared" si="123"/>
        <v>9</v>
      </c>
    </row>
    <row r="1504" spans="1:17" x14ac:dyDescent="0.2">
      <c r="A1504" s="16">
        <f t="shared" si="119"/>
        <v>1810440</v>
      </c>
      <c r="B1504">
        <v>2018</v>
      </c>
      <c r="C1504" t="s">
        <v>904</v>
      </c>
      <c r="D1504" t="s">
        <v>906</v>
      </c>
      <c r="E1504" t="s">
        <v>2410</v>
      </c>
      <c r="F1504" t="s">
        <v>718</v>
      </c>
      <c r="G1504" t="s">
        <v>173</v>
      </c>
      <c r="H1504" s="6">
        <v>851393</v>
      </c>
      <c r="I1504" s="6">
        <v>3.6119248190461272E-3</v>
      </c>
      <c r="J1504" s="6">
        <v>15054.502645784258</v>
      </c>
      <c r="K1504" s="6">
        <v>2598116</v>
      </c>
      <c r="M1504" s="6">
        <f t="shared" si="120"/>
        <v>866447.50264578429</v>
      </c>
      <c r="N1504" s="6">
        <f t="shared" si="121"/>
        <v>2598116</v>
      </c>
      <c r="O1504" s="6">
        <f t="shared" si="122"/>
        <v>3464563.5026457841</v>
      </c>
      <c r="P1504" s="8">
        <f>VLOOKUP(F1504,'LEAID Match'!$A$2:$B$436,2,FALSE)</f>
        <v>1810440</v>
      </c>
      <c r="Q1504" s="6">
        <f t="shared" si="123"/>
        <v>9</v>
      </c>
    </row>
    <row r="1505" spans="1:17" x14ac:dyDescent="0.2">
      <c r="A1505" s="16">
        <f t="shared" si="119"/>
        <v>1810440</v>
      </c>
      <c r="B1505">
        <v>2019</v>
      </c>
      <c r="C1505" t="s">
        <v>904</v>
      </c>
      <c r="D1505" t="s">
        <v>906</v>
      </c>
      <c r="E1505" t="s">
        <v>2411</v>
      </c>
      <c r="F1505" t="s">
        <v>718</v>
      </c>
      <c r="G1505" t="s">
        <v>173</v>
      </c>
      <c r="H1505" s="6">
        <v>906421</v>
      </c>
      <c r="I1505" s="6">
        <v>2.3059301080890636E-3</v>
      </c>
      <c r="J1505" s="6">
        <v>8082.2850288521677</v>
      </c>
      <c r="K1505" s="6">
        <v>2176567.4290252598</v>
      </c>
      <c r="M1505" s="6">
        <f t="shared" si="120"/>
        <v>914503.28502885217</v>
      </c>
      <c r="N1505" s="6">
        <f t="shared" si="121"/>
        <v>2176567.4290252598</v>
      </c>
      <c r="O1505" s="6">
        <f t="shared" si="122"/>
        <v>3091070.7140541119</v>
      </c>
      <c r="P1505" s="8">
        <f>VLOOKUP(F1505,'LEAID Match'!$A$2:$B$436,2,FALSE)</f>
        <v>1810440</v>
      </c>
      <c r="Q1505" s="6">
        <f t="shared" si="123"/>
        <v>9</v>
      </c>
    </row>
    <row r="1506" spans="1:17" x14ac:dyDescent="0.2">
      <c r="A1506" s="16">
        <f t="shared" si="119"/>
        <v>1810440</v>
      </c>
      <c r="B1506">
        <v>2020</v>
      </c>
      <c r="C1506" t="s">
        <v>904</v>
      </c>
      <c r="D1506" t="s">
        <v>906</v>
      </c>
      <c r="E1506" t="s">
        <v>2412</v>
      </c>
      <c r="F1506" t="s">
        <v>718</v>
      </c>
      <c r="G1506" t="s">
        <v>173</v>
      </c>
      <c r="H1506" s="6">
        <v>703540</v>
      </c>
      <c r="I1506" s="6">
        <v>3.7278528191949205E-3</v>
      </c>
      <c r="J1506" s="6">
        <v>8782.8212420232321</v>
      </c>
      <c r="K1506" s="6">
        <v>2605644</v>
      </c>
      <c r="M1506" s="6">
        <f t="shared" si="120"/>
        <v>712322.82124202326</v>
      </c>
      <c r="N1506" s="6">
        <f t="shared" si="121"/>
        <v>2605644</v>
      </c>
      <c r="O1506" s="6">
        <f t="shared" si="122"/>
        <v>3317966.8212420233</v>
      </c>
      <c r="P1506" s="8">
        <f>VLOOKUP(F1506,'LEAID Match'!$A$2:$B$436,2,FALSE)</f>
        <v>1810440</v>
      </c>
      <c r="Q1506" s="6">
        <f t="shared" si="123"/>
        <v>9</v>
      </c>
    </row>
    <row r="1507" spans="1:17" x14ac:dyDescent="0.2">
      <c r="A1507" s="16">
        <f t="shared" si="119"/>
        <v>1810440</v>
      </c>
      <c r="B1507">
        <v>2021</v>
      </c>
      <c r="C1507" t="s">
        <v>904</v>
      </c>
      <c r="D1507" t="s">
        <v>906</v>
      </c>
      <c r="E1507" t="s">
        <v>2413</v>
      </c>
      <c r="F1507" t="s">
        <v>718</v>
      </c>
      <c r="G1507" t="s">
        <v>173</v>
      </c>
      <c r="H1507" s="6">
        <v>736359</v>
      </c>
      <c r="I1507" s="6">
        <v>3.6376819405993435E-3</v>
      </c>
      <c r="J1507" s="6">
        <v>8199.3350941109202</v>
      </c>
      <c r="K1507" s="6">
        <v>4457868</v>
      </c>
      <c r="M1507" s="6">
        <f t="shared" si="120"/>
        <v>744558.33509411092</v>
      </c>
      <c r="N1507" s="6">
        <f t="shared" si="121"/>
        <v>4457868</v>
      </c>
      <c r="O1507" s="6">
        <f t="shared" si="122"/>
        <v>5202426.335094111</v>
      </c>
      <c r="P1507" s="8">
        <f>VLOOKUP(F1507,'LEAID Match'!$A$2:$B$436,2,FALSE)</f>
        <v>1810440</v>
      </c>
      <c r="Q1507" s="6">
        <f t="shared" si="123"/>
        <v>9</v>
      </c>
    </row>
    <row r="1508" spans="1:17" x14ac:dyDescent="0.2">
      <c r="A1508" s="16">
        <f t="shared" si="119"/>
        <v>1810440</v>
      </c>
      <c r="B1508">
        <v>2022</v>
      </c>
      <c r="C1508" t="s">
        <v>904</v>
      </c>
      <c r="D1508" t="s">
        <v>906</v>
      </c>
      <c r="E1508" t="s">
        <v>2414</v>
      </c>
      <c r="F1508" t="s">
        <v>718</v>
      </c>
      <c r="G1508" t="s">
        <v>173</v>
      </c>
      <c r="H1508" s="6">
        <v>760901</v>
      </c>
      <c r="I1508" s="6">
        <v>3.6128993623148415E-3</v>
      </c>
      <c r="J1508" s="6">
        <v>7966.4430939042259</v>
      </c>
      <c r="K1508" s="6">
        <v>4298823</v>
      </c>
      <c r="M1508" s="6">
        <f t="shared" si="120"/>
        <v>768867.44309390418</v>
      </c>
      <c r="N1508" s="6">
        <f t="shared" si="121"/>
        <v>4298823</v>
      </c>
      <c r="O1508" s="6">
        <f t="shared" si="122"/>
        <v>5067690.4430939043</v>
      </c>
      <c r="P1508" s="8">
        <f>VLOOKUP(F1508,'LEAID Match'!$A$2:$B$436,2,FALSE)</f>
        <v>1810440</v>
      </c>
      <c r="Q1508" s="6">
        <f t="shared" si="123"/>
        <v>9</v>
      </c>
    </row>
    <row r="1509" spans="1:17" x14ac:dyDescent="0.2">
      <c r="A1509" s="16">
        <f t="shared" si="119"/>
        <v>1810440</v>
      </c>
      <c r="B1509">
        <v>2023</v>
      </c>
      <c r="C1509" t="s">
        <v>904</v>
      </c>
      <c r="D1509" t="s">
        <v>906</v>
      </c>
      <c r="E1509" t="s">
        <v>2415</v>
      </c>
      <c r="F1509" t="s">
        <v>718</v>
      </c>
      <c r="G1509" t="s">
        <v>173</v>
      </c>
      <c r="H1509" s="6">
        <v>891607</v>
      </c>
      <c r="I1509" s="6">
        <v>3.6461827342841721E-3</v>
      </c>
      <c r="J1509" s="6">
        <v>8995.132805479052</v>
      </c>
      <c r="K1509" s="6">
        <v>11803792</v>
      </c>
      <c r="M1509" s="6">
        <f t="shared" si="120"/>
        <v>900602.13280547911</v>
      </c>
      <c r="N1509" s="6">
        <f t="shared" si="121"/>
        <v>11803792</v>
      </c>
      <c r="O1509" s="6">
        <f t="shared" si="122"/>
        <v>12704394.13280548</v>
      </c>
      <c r="P1509" s="8">
        <f>VLOOKUP(F1509,'LEAID Match'!$A$2:$B$436,2,FALSE)</f>
        <v>1810440</v>
      </c>
      <c r="Q1509" s="6">
        <f t="shared" si="123"/>
        <v>9</v>
      </c>
    </row>
    <row r="1510" spans="1:17" x14ac:dyDescent="0.2">
      <c r="A1510" s="16">
        <f t="shared" si="119"/>
        <v>1802640</v>
      </c>
      <c r="B1510">
        <v>2015</v>
      </c>
      <c r="C1510" t="s">
        <v>904</v>
      </c>
      <c r="D1510" t="s">
        <v>906</v>
      </c>
      <c r="E1510" t="s">
        <v>2416</v>
      </c>
      <c r="F1510" t="s">
        <v>719</v>
      </c>
      <c r="G1510" t="s">
        <v>174</v>
      </c>
      <c r="H1510" s="6">
        <v>1325022</v>
      </c>
      <c r="I1510" s="6">
        <v>6.4431938318311541E-3</v>
      </c>
      <c r="J1510" s="6">
        <v>37441.399356770838</v>
      </c>
      <c r="K1510" s="6">
        <v>5448467.7952977298</v>
      </c>
      <c r="M1510" s="6">
        <f t="shared" si="120"/>
        <v>1362463.3993567708</v>
      </c>
      <c r="N1510" s="6">
        <f t="shared" si="121"/>
        <v>5448467.7952977298</v>
      </c>
      <c r="O1510" s="6">
        <f t="shared" si="122"/>
        <v>6810931.1946545001</v>
      </c>
      <c r="P1510" s="8">
        <f>VLOOKUP(F1510,'LEAID Match'!$A$2:$B$436,2,FALSE)</f>
        <v>1802640</v>
      </c>
      <c r="Q1510" s="6">
        <f t="shared" si="123"/>
        <v>9</v>
      </c>
    </row>
    <row r="1511" spans="1:17" x14ac:dyDescent="0.2">
      <c r="A1511" s="16">
        <f t="shared" si="119"/>
        <v>1802640</v>
      </c>
      <c r="B1511">
        <v>2016</v>
      </c>
      <c r="C1511" t="s">
        <v>904</v>
      </c>
      <c r="D1511" t="s">
        <v>906</v>
      </c>
      <c r="E1511" t="s">
        <v>2417</v>
      </c>
      <c r="F1511" t="s">
        <v>719</v>
      </c>
      <c r="G1511" t="s">
        <v>174</v>
      </c>
      <c r="H1511" s="6">
        <v>1389182</v>
      </c>
      <c r="I1511" s="6">
        <v>6.4459750941315034E-3</v>
      </c>
      <c r="J1511" s="6">
        <v>32539.282275175829</v>
      </c>
      <c r="K1511" s="6">
        <v>5720802.8960416997</v>
      </c>
      <c r="M1511" s="6">
        <f t="shared" si="120"/>
        <v>1421721.2822751759</v>
      </c>
      <c r="N1511" s="6">
        <f t="shared" si="121"/>
        <v>5720802.8960416997</v>
      </c>
      <c r="O1511" s="6">
        <f t="shared" si="122"/>
        <v>7142524.1783168754</v>
      </c>
      <c r="P1511" s="8">
        <f>VLOOKUP(F1511,'LEAID Match'!$A$2:$B$436,2,FALSE)</f>
        <v>1802640</v>
      </c>
      <c r="Q1511" s="6">
        <f t="shared" si="123"/>
        <v>9</v>
      </c>
    </row>
    <row r="1512" spans="1:17" x14ac:dyDescent="0.2">
      <c r="A1512" s="16">
        <f t="shared" si="119"/>
        <v>1802640</v>
      </c>
      <c r="B1512">
        <v>2017</v>
      </c>
      <c r="C1512" t="s">
        <v>904</v>
      </c>
      <c r="D1512" t="s">
        <v>906</v>
      </c>
      <c r="E1512" t="s">
        <v>2418</v>
      </c>
      <c r="F1512" t="s">
        <v>719</v>
      </c>
      <c r="G1512" t="s">
        <v>174</v>
      </c>
      <c r="H1512" s="6">
        <v>1426683</v>
      </c>
      <c r="I1512" s="6">
        <v>6.2822955926940954E-3</v>
      </c>
      <c r="J1512" s="6">
        <v>28427.387556940783</v>
      </c>
      <c r="K1512" s="6">
        <v>5471879.4612365495</v>
      </c>
      <c r="M1512" s="6">
        <f t="shared" si="120"/>
        <v>1455110.3875569408</v>
      </c>
      <c r="N1512" s="6">
        <f t="shared" si="121"/>
        <v>5471879.4612365495</v>
      </c>
      <c r="O1512" s="6">
        <f t="shared" si="122"/>
        <v>6926989.8487934899</v>
      </c>
      <c r="P1512" s="8">
        <f>VLOOKUP(F1512,'LEAID Match'!$A$2:$B$436,2,FALSE)</f>
        <v>1802640</v>
      </c>
      <c r="Q1512" s="6">
        <f t="shared" si="123"/>
        <v>9</v>
      </c>
    </row>
    <row r="1513" spans="1:17" x14ac:dyDescent="0.2">
      <c r="A1513" s="16">
        <f t="shared" si="119"/>
        <v>1802640</v>
      </c>
      <c r="B1513">
        <v>2018</v>
      </c>
      <c r="C1513" t="s">
        <v>904</v>
      </c>
      <c r="D1513" t="s">
        <v>906</v>
      </c>
      <c r="E1513" t="s">
        <v>2419</v>
      </c>
      <c r="F1513" t="s">
        <v>719</v>
      </c>
      <c r="G1513" t="s">
        <v>174</v>
      </c>
      <c r="H1513" s="6">
        <v>1503031</v>
      </c>
      <c r="I1513" s="6">
        <v>6.3764148550619036E-3</v>
      </c>
      <c r="J1513" s="6">
        <v>26576.897115898013</v>
      </c>
      <c r="K1513" s="6">
        <v>4502300</v>
      </c>
      <c r="M1513" s="6">
        <f t="shared" si="120"/>
        <v>1529607.8971158981</v>
      </c>
      <c r="N1513" s="6">
        <f t="shared" si="121"/>
        <v>4502300</v>
      </c>
      <c r="O1513" s="6">
        <f t="shared" si="122"/>
        <v>6031907.8971158983</v>
      </c>
      <c r="P1513" s="8">
        <f>VLOOKUP(F1513,'LEAID Match'!$A$2:$B$436,2,FALSE)</f>
        <v>1802640</v>
      </c>
      <c r="Q1513" s="6">
        <f t="shared" si="123"/>
        <v>9</v>
      </c>
    </row>
    <row r="1514" spans="1:17" x14ac:dyDescent="0.2">
      <c r="A1514" s="16">
        <f t="shared" si="119"/>
        <v>1802640</v>
      </c>
      <c r="B1514">
        <v>2019</v>
      </c>
      <c r="C1514" t="s">
        <v>904</v>
      </c>
      <c r="D1514" t="s">
        <v>906</v>
      </c>
      <c r="E1514" t="s">
        <v>2420</v>
      </c>
      <c r="F1514" t="s">
        <v>719</v>
      </c>
      <c r="G1514" t="s">
        <v>174</v>
      </c>
      <c r="H1514" s="6">
        <v>1643732</v>
      </c>
      <c r="I1514" s="6">
        <v>4.1816452933343918E-3</v>
      </c>
      <c r="J1514" s="6">
        <v>14656.666753137044</v>
      </c>
      <c r="K1514" s="6">
        <v>3947054.9923783299</v>
      </c>
      <c r="M1514" s="6">
        <f t="shared" si="120"/>
        <v>1658388.666753137</v>
      </c>
      <c r="N1514" s="6">
        <f t="shared" si="121"/>
        <v>3947054.9923783299</v>
      </c>
      <c r="O1514" s="6">
        <f t="shared" si="122"/>
        <v>5605443.6591314673</v>
      </c>
      <c r="P1514" s="8">
        <f>VLOOKUP(F1514,'LEAID Match'!$A$2:$B$436,2,FALSE)</f>
        <v>1802640</v>
      </c>
      <c r="Q1514" s="6">
        <f t="shared" si="123"/>
        <v>9</v>
      </c>
    </row>
    <row r="1515" spans="1:17" x14ac:dyDescent="0.2">
      <c r="A1515" s="16">
        <f t="shared" si="119"/>
        <v>1802640</v>
      </c>
      <c r="B1515">
        <v>2020</v>
      </c>
      <c r="C1515" t="s">
        <v>904</v>
      </c>
      <c r="D1515" t="s">
        <v>906</v>
      </c>
      <c r="E1515" t="s">
        <v>2421</v>
      </c>
      <c r="F1515" t="s">
        <v>719</v>
      </c>
      <c r="G1515" t="s">
        <v>174</v>
      </c>
      <c r="H1515" s="6">
        <v>1295463</v>
      </c>
      <c r="I1515" s="6">
        <v>6.864279780414346E-3</v>
      </c>
      <c r="J1515" s="6">
        <v>16172.243162656199</v>
      </c>
      <c r="K1515" s="6">
        <v>4968408</v>
      </c>
      <c r="M1515" s="6">
        <f t="shared" si="120"/>
        <v>1311635.2431626562</v>
      </c>
      <c r="N1515" s="6">
        <f t="shared" si="121"/>
        <v>4968408</v>
      </c>
      <c r="O1515" s="6">
        <f t="shared" si="122"/>
        <v>6280043.2431626562</v>
      </c>
      <c r="P1515" s="8">
        <f>VLOOKUP(F1515,'LEAID Match'!$A$2:$B$436,2,FALSE)</f>
        <v>1802640</v>
      </c>
      <c r="Q1515" s="6">
        <f t="shared" si="123"/>
        <v>9</v>
      </c>
    </row>
    <row r="1516" spans="1:17" x14ac:dyDescent="0.2">
      <c r="A1516" s="16">
        <f t="shared" si="119"/>
        <v>1802640</v>
      </c>
      <c r="B1516">
        <v>2021</v>
      </c>
      <c r="C1516" t="s">
        <v>904</v>
      </c>
      <c r="D1516" t="s">
        <v>906</v>
      </c>
      <c r="E1516" t="s">
        <v>2422</v>
      </c>
      <c r="F1516" t="s">
        <v>719</v>
      </c>
      <c r="G1516" t="s">
        <v>174</v>
      </c>
      <c r="H1516" s="6">
        <v>1306457</v>
      </c>
      <c r="I1516" s="6">
        <v>6.4540190791035302E-3</v>
      </c>
      <c r="J1516" s="6">
        <v>14547.359004299356</v>
      </c>
      <c r="K1516" s="6">
        <v>8363178</v>
      </c>
      <c r="M1516" s="6">
        <f t="shared" si="120"/>
        <v>1321004.3590042994</v>
      </c>
      <c r="N1516" s="6">
        <f t="shared" si="121"/>
        <v>8363178</v>
      </c>
      <c r="O1516" s="6">
        <f t="shared" si="122"/>
        <v>9684182.3590043001</v>
      </c>
      <c r="P1516" s="8">
        <f>VLOOKUP(F1516,'LEAID Match'!$A$2:$B$436,2,FALSE)</f>
        <v>1802640</v>
      </c>
      <c r="Q1516" s="6">
        <f t="shared" si="123"/>
        <v>9</v>
      </c>
    </row>
    <row r="1517" spans="1:17" x14ac:dyDescent="0.2">
      <c r="A1517" s="16">
        <f t="shared" si="119"/>
        <v>1802640</v>
      </c>
      <c r="B1517">
        <v>2022</v>
      </c>
      <c r="C1517" t="s">
        <v>904</v>
      </c>
      <c r="D1517" t="s">
        <v>906</v>
      </c>
      <c r="E1517" t="s">
        <v>2423</v>
      </c>
      <c r="F1517" t="s">
        <v>719</v>
      </c>
      <c r="G1517" t="s">
        <v>174</v>
      </c>
      <c r="H1517" s="6">
        <v>1450291</v>
      </c>
      <c r="I1517" s="6">
        <v>6.8862512062291339E-3</v>
      </c>
      <c r="J1517" s="6">
        <v>15184.18390973524</v>
      </c>
      <c r="K1517" s="6">
        <v>8160275</v>
      </c>
      <c r="M1517" s="6">
        <f t="shared" si="120"/>
        <v>1465475.1839097352</v>
      </c>
      <c r="N1517" s="6">
        <f t="shared" si="121"/>
        <v>8160275</v>
      </c>
      <c r="O1517" s="6">
        <f t="shared" si="122"/>
        <v>9625750.1839097347</v>
      </c>
      <c r="P1517" s="8">
        <f>VLOOKUP(F1517,'LEAID Match'!$A$2:$B$436,2,FALSE)</f>
        <v>1802640</v>
      </c>
      <c r="Q1517" s="6">
        <f t="shared" si="123"/>
        <v>9</v>
      </c>
    </row>
    <row r="1518" spans="1:17" x14ac:dyDescent="0.2">
      <c r="A1518" s="16">
        <f t="shared" si="119"/>
        <v>1802640</v>
      </c>
      <c r="B1518">
        <v>2023</v>
      </c>
      <c r="C1518" t="s">
        <v>904</v>
      </c>
      <c r="D1518" t="s">
        <v>906</v>
      </c>
      <c r="E1518" t="s">
        <v>2424</v>
      </c>
      <c r="F1518" t="s">
        <v>719</v>
      </c>
      <c r="G1518" t="s">
        <v>174</v>
      </c>
      <c r="H1518" s="6">
        <v>1740702</v>
      </c>
      <c r="I1518" s="6">
        <v>7.1185147468940096E-3</v>
      </c>
      <c r="J1518" s="6">
        <v>17561.375880587522</v>
      </c>
      <c r="K1518" s="6">
        <v>23068045</v>
      </c>
      <c r="M1518" s="6">
        <f t="shared" si="120"/>
        <v>1758263.3758805876</v>
      </c>
      <c r="N1518" s="6">
        <f t="shared" si="121"/>
        <v>23068045</v>
      </c>
      <c r="O1518" s="6">
        <f t="shared" si="122"/>
        <v>24826308.375880588</v>
      </c>
      <c r="P1518" s="8">
        <f>VLOOKUP(F1518,'LEAID Match'!$A$2:$B$436,2,FALSE)</f>
        <v>1802640</v>
      </c>
      <c r="Q1518" s="6">
        <f t="shared" si="123"/>
        <v>9</v>
      </c>
    </row>
    <row r="1519" spans="1:17" x14ac:dyDescent="0.2">
      <c r="A1519" s="16">
        <f t="shared" si="119"/>
        <v>1812810</v>
      </c>
      <c r="B1519">
        <v>2015</v>
      </c>
      <c r="C1519" t="s">
        <v>904</v>
      </c>
      <c r="D1519" t="s">
        <v>906</v>
      </c>
      <c r="E1519" t="s">
        <v>2425</v>
      </c>
      <c r="F1519" t="s">
        <v>534</v>
      </c>
      <c r="G1519" t="s">
        <v>175</v>
      </c>
      <c r="H1519" s="6">
        <v>4248243</v>
      </c>
      <c r="I1519" s="6">
        <v>2.065796122156453E-2</v>
      </c>
      <c r="J1519" s="6">
        <v>120043.41265851149</v>
      </c>
      <c r="K1519" s="6">
        <v>17468702.5363345</v>
      </c>
      <c r="M1519" s="6">
        <f t="shared" si="120"/>
        <v>4368286.4126585117</v>
      </c>
      <c r="N1519" s="6">
        <f t="shared" si="121"/>
        <v>17468702.5363345</v>
      </c>
      <c r="O1519" s="6">
        <f t="shared" si="122"/>
        <v>21836988.948993012</v>
      </c>
      <c r="P1519" s="8">
        <f>VLOOKUP(F1519,'LEAID Match'!$A$2:$B$436,2,FALSE)</f>
        <v>1812810</v>
      </c>
      <c r="Q1519" s="6">
        <f t="shared" si="123"/>
        <v>9</v>
      </c>
    </row>
    <row r="1520" spans="1:17" x14ac:dyDescent="0.2">
      <c r="A1520" s="16">
        <f t="shared" si="119"/>
        <v>1812810</v>
      </c>
      <c r="B1520">
        <v>2016</v>
      </c>
      <c r="C1520" t="s">
        <v>904</v>
      </c>
      <c r="D1520" t="s">
        <v>906</v>
      </c>
      <c r="E1520" t="s">
        <v>2426</v>
      </c>
      <c r="F1520" t="s">
        <v>534</v>
      </c>
      <c r="G1520" t="s">
        <v>175</v>
      </c>
      <c r="H1520" s="6">
        <v>4309669</v>
      </c>
      <c r="I1520" s="6">
        <v>1.9997393457409196E-2</v>
      </c>
      <c r="J1520" s="6">
        <v>100946.84217300163</v>
      </c>
      <c r="K1520" s="6">
        <v>17747686.6934506</v>
      </c>
      <c r="M1520" s="6">
        <f t="shared" si="120"/>
        <v>4410615.8421730017</v>
      </c>
      <c r="N1520" s="6">
        <f t="shared" si="121"/>
        <v>17747686.6934506</v>
      </c>
      <c r="O1520" s="6">
        <f t="shared" si="122"/>
        <v>22158302.535623603</v>
      </c>
      <c r="P1520" s="8">
        <f>VLOOKUP(F1520,'LEAID Match'!$A$2:$B$436,2,FALSE)</f>
        <v>1812810</v>
      </c>
      <c r="Q1520" s="6">
        <f t="shared" si="123"/>
        <v>9</v>
      </c>
    </row>
    <row r="1521" spans="1:17" x14ac:dyDescent="0.2">
      <c r="A1521" s="16">
        <f t="shared" si="119"/>
        <v>1812810</v>
      </c>
      <c r="B1521">
        <v>2017</v>
      </c>
      <c r="C1521" t="s">
        <v>904</v>
      </c>
      <c r="D1521" t="s">
        <v>906</v>
      </c>
      <c r="E1521" t="s">
        <v>2427</v>
      </c>
      <c r="F1521" t="s">
        <v>534</v>
      </c>
      <c r="G1521" t="s">
        <v>175</v>
      </c>
      <c r="H1521" s="6">
        <v>4583451</v>
      </c>
      <c r="I1521" s="6">
        <v>2.0182895581309472E-2</v>
      </c>
      <c r="J1521" s="6">
        <v>91327.602505425355</v>
      </c>
      <c r="K1521" s="6">
        <v>17579302.051320501</v>
      </c>
      <c r="M1521" s="6">
        <f t="shared" si="120"/>
        <v>4674778.602505425</v>
      </c>
      <c r="N1521" s="6">
        <f t="shared" si="121"/>
        <v>17579302.051320501</v>
      </c>
      <c r="O1521" s="6">
        <f t="shared" si="122"/>
        <v>22254080.653825924</v>
      </c>
      <c r="P1521" s="8">
        <f>VLOOKUP(F1521,'LEAID Match'!$A$2:$B$436,2,FALSE)</f>
        <v>1812810</v>
      </c>
      <c r="Q1521" s="6">
        <f t="shared" si="123"/>
        <v>9</v>
      </c>
    </row>
    <row r="1522" spans="1:17" x14ac:dyDescent="0.2">
      <c r="A1522" s="16">
        <f t="shared" si="119"/>
        <v>1812810</v>
      </c>
      <c r="B1522">
        <v>2018</v>
      </c>
      <c r="C1522" t="s">
        <v>904</v>
      </c>
      <c r="D1522" t="s">
        <v>906</v>
      </c>
      <c r="E1522" t="s">
        <v>2428</v>
      </c>
      <c r="F1522" t="s">
        <v>534</v>
      </c>
      <c r="G1522" t="s">
        <v>175</v>
      </c>
      <c r="H1522" s="6">
        <v>4879810</v>
      </c>
      <c r="I1522" s="6">
        <v>2.0701963548243271E-2</v>
      </c>
      <c r="J1522" s="6">
        <v>86285.784069077956</v>
      </c>
      <c r="K1522" s="6">
        <v>12862533</v>
      </c>
      <c r="M1522" s="6">
        <f t="shared" si="120"/>
        <v>4966095.784069078</v>
      </c>
      <c r="N1522" s="6">
        <f t="shared" si="121"/>
        <v>12862533</v>
      </c>
      <c r="O1522" s="6">
        <f t="shared" si="122"/>
        <v>17828628.784069076</v>
      </c>
      <c r="P1522" s="8">
        <f>VLOOKUP(F1522,'LEAID Match'!$A$2:$B$436,2,FALSE)</f>
        <v>1812810</v>
      </c>
      <c r="Q1522" s="6">
        <f t="shared" si="123"/>
        <v>9</v>
      </c>
    </row>
    <row r="1523" spans="1:17" x14ac:dyDescent="0.2">
      <c r="A1523" s="16">
        <f t="shared" si="119"/>
        <v>1812810</v>
      </c>
      <c r="B1523">
        <v>2019</v>
      </c>
      <c r="C1523" t="s">
        <v>904</v>
      </c>
      <c r="D1523" t="s">
        <v>906</v>
      </c>
      <c r="E1523" t="s">
        <v>2429</v>
      </c>
      <c r="F1523" t="s">
        <v>534</v>
      </c>
      <c r="G1523" t="s">
        <v>175</v>
      </c>
      <c r="H1523" s="6">
        <v>5084010</v>
      </c>
      <c r="I1523" s="6">
        <v>1.2933693867227126E-2</v>
      </c>
      <c r="J1523" s="6">
        <v>45332.597004631076</v>
      </c>
      <c r="K1523" s="6">
        <v>12208113.6412756</v>
      </c>
      <c r="M1523" s="6">
        <f t="shared" si="120"/>
        <v>5129342.5970046315</v>
      </c>
      <c r="N1523" s="6">
        <f t="shared" si="121"/>
        <v>12208113.6412756</v>
      </c>
      <c r="O1523" s="6">
        <f t="shared" si="122"/>
        <v>17337456.238280229</v>
      </c>
      <c r="P1523" s="8">
        <f>VLOOKUP(F1523,'LEAID Match'!$A$2:$B$436,2,FALSE)</f>
        <v>1812810</v>
      </c>
      <c r="Q1523" s="6">
        <f t="shared" si="123"/>
        <v>9</v>
      </c>
    </row>
    <row r="1524" spans="1:17" x14ac:dyDescent="0.2">
      <c r="A1524" s="16">
        <f t="shared" si="119"/>
        <v>1812810</v>
      </c>
      <c r="B1524">
        <v>2020</v>
      </c>
      <c r="C1524" t="s">
        <v>904</v>
      </c>
      <c r="D1524" t="s">
        <v>906</v>
      </c>
      <c r="E1524" t="s">
        <v>2430</v>
      </c>
      <c r="F1524" t="s">
        <v>534</v>
      </c>
      <c r="G1524" t="s">
        <v>175</v>
      </c>
      <c r="H1524" s="6">
        <v>3952366</v>
      </c>
      <c r="I1524" s="6">
        <v>2.0942432179535137E-2</v>
      </c>
      <c r="J1524" s="6">
        <v>49340.370214984781</v>
      </c>
      <c r="K1524" s="6">
        <v>13921663</v>
      </c>
      <c r="M1524" s="6">
        <f t="shared" si="120"/>
        <v>4001706.3702149848</v>
      </c>
      <c r="N1524" s="6">
        <f t="shared" si="121"/>
        <v>13921663</v>
      </c>
      <c r="O1524" s="6">
        <f t="shared" si="122"/>
        <v>17923369.370214984</v>
      </c>
      <c r="P1524" s="8">
        <f>VLOOKUP(F1524,'LEAID Match'!$A$2:$B$436,2,FALSE)</f>
        <v>1812810</v>
      </c>
      <c r="Q1524" s="6">
        <f t="shared" si="123"/>
        <v>9</v>
      </c>
    </row>
    <row r="1525" spans="1:17" x14ac:dyDescent="0.2">
      <c r="A1525" s="16">
        <f t="shared" si="119"/>
        <v>1812810</v>
      </c>
      <c r="B1525">
        <v>2021</v>
      </c>
      <c r="C1525" t="s">
        <v>904</v>
      </c>
      <c r="D1525" t="s">
        <v>906</v>
      </c>
      <c r="E1525" t="s">
        <v>2431</v>
      </c>
      <c r="F1525" t="s">
        <v>534</v>
      </c>
      <c r="G1525" t="s">
        <v>175</v>
      </c>
      <c r="H1525" s="6">
        <v>4125371</v>
      </c>
      <c r="I1525" s="6">
        <v>2.0379716395090241E-2</v>
      </c>
      <c r="J1525" s="6">
        <v>45935.880754533406</v>
      </c>
      <c r="K1525" s="6">
        <v>22658244</v>
      </c>
      <c r="M1525" s="6">
        <f t="shared" si="120"/>
        <v>4171306.8807545332</v>
      </c>
      <c r="N1525" s="6">
        <f t="shared" si="121"/>
        <v>22658244</v>
      </c>
      <c r="O1525" s="6">
        <f t="shared" si="122"/>
        <v>26829550.880754534</v>
      </c>
      <c r="P1525" s="8">
        <f>VLOOKUP(F1525,'LEAID Match'!$A$2:$B$436,2,FALSE)</f>
        <v>1812810</v>
      </c>
      <c r="Q1525" s="6">
        <f t="shared" si="123"/>
        <v>9</v>
      </c>
    </row>
    <row r="1526" spans="1:17" x14ac:dyDescent="0.2">
      <c r="A1526" s="16">
        <f t="shared" si="119"/>
        <v>1812810</v>
      </c>
      <c r="B1526">
        <v>2022</v>
      </c>
      <c r="C1526" t="s">
        <v>904</v>
      </c>
      <c r="D1526" t="s">
        <v>906</v>
      </c>
      <c r="E1526" t="s">
        <v>2432</v>
      </c>
      <c r="F1526" t="s">
        <v>534</v>
      </c>
      <c r="G1526" t="s">
        <v>175</v>
      </c>
      <c r="H1526" s="6">
        <v>4502261</v>
      </c>
      <c r="I1526" s="6">
        <v>2.1377571978319101E-2</v>
      </c>
      <c r="J1526" s="6">
        <v>47137.546212193614</v>
      </c>
      <c r="K1526" s="6">
        <v>22410871</v>
      </c>
      <c r="M1526" s="6">
        <f t="shared" si="120"/>
        <v>4549398.5462121936</v>
      </c>
      <c r="N1526" s="6">
        <f t="shared" si="121"/>
        <v>22410871</v>
      </c>
      <c r="O1526" s="6">
        <f t="shared" si="122"/>
        <v>26960269.546212193</v>
      </c>
      <c r="P1526" s="8">
        <f>VLOOKUP(F1526,'LEAID Match'!$A$2:$B$436,2,FALSE)</f>
        <v>1812810</v>
      </c>
      <c r="Q1526" s="6">
        <f t="shared" si="123"/>
        <v>9</v>
      </c>
    </row>
    <row r="1527" spans="1:17" x14ac:dyDescent="0.2">
      <c r="A1527" s="16">
        <f t="shared" si="119"/>
        <v>1812810</v>
      </c>
      <c r="B1527">
        <v>2023</v>
      </c>
      <c r="C1527" t="s">
        <v>904</v>
      </c>
      <c r="D1527" t="s">
        <v>906</v>
      </c>
      <c r="E1527" t="s">
        <v>2433</v>
      </c>
      <c r="F1527" t="s">
        <v>534</v>
      </c>
      <c r="G1527" t="s">
        <v>175</v>
      </c>
      <c r="H1527" s="6">
        <v>5217495</v>
      </c>
      <c r="I1527" s="6">
        <v>2.1336687784207612E-2</v>
      </c>
      <c r="J1527" s="6">
        <v>52637.608763640179</v>
      </c>
      <c r="K1527" s="6">
        <v>62666566</v>
      </c>
      <c r="M1527" s="6">
        <f t="shared" si="120"/>
        <v>5270132.6087636398</v>
      </c>
      <c r="N1527" s="6">
        <f t="shared" si="121"/>
        <v>62666566</v>
      </c>
      <c r="O1527" s="6">
        <f t="shared" si="122"/>
        <v>67936698.608763635</v>
      </c>
      <c r="P1527" s="8">
        <f>VLOOKUP(F1527,'LEAID Match'!$A$2:$B$436,2,FALSE)</f>
        <v>1812810</v>
      </c>
      <c r="Q1527" s="6">
        <f t="shared" si="123"/>
        <v>9</v>
      </c>
    </row>
    <row r="1528" spans="1:17" x14ac:dyDescent="0.2">
      <c r="A1528" s="16">
        <f t="shared" si="119"/>
        <v>1805670</v>
      </c>
      <c r="B1528">
        <v>2015</v>
      </c>
      <c r="C1528" t="s">
        <v>904</v>
      </c>
      <c r="D1528" t="s">
        <v>906</v>
      </c>
      <c r="E1528" t="s">
        <v>2434</v>
      </c>
      <c r="F1528" t="s">
        <v>535</v>
      </c>
      <c r="G1528" t="s">
        <v>176</v>
      </c>
      <c r="H1528" s="6">
        <v>3188720</v>
      </c>
      <c r="I1528" s="6">
        <v>1.5505811251010653E-2</v>
      </c>
      <c r="J1528" s="6">
        <v>90104.269179622905</v>
      </c>
      <c r="K1528" s="6">
        <v>13111962.0868346</v>
      </c>
      <c r="M1528" s="6">
        <f t="shared" si="120"/>
        <v>3278824.2691796231</v>
      </c>
      <c r="N1528" s="6">
        <f t="shared" si="121"/>
        <v>13111962.0868346</v>
      </c>
      <c r="O1528" s="6">
        <f t="shared" si="122"/>
        <v>16390786.356014224</v>
      </c>
      <c r="P1528" s="8">
        <f>VLOOKUP(F1528,'LEAID Match'!$A$2:$B$436,2,FALSE)</f>
        <v>1805670</v>
      </c>
      <c r="Q1528" s="6">
        <f t="shared" si="123"/>
        <v>9</v>
      </c>
    </row>
    <row r="1529" spans="1:17" x14ac:dyDescent="0.2">
      <c r="A1529" s="16">
        <f t="shared" si="119"/>
        <v>1805670</v>
      </c>
      <c r="B1529">
        <v>2016</v>
      </c>
      <c r="C1529" t="s">
        <v>904</v>
      </c>
      <c r="D1529" t="s">
        <v>906</v>
      </c>
      <c r="E1529" t="s">
        <v>2435</v>
      </c>
      <c r="F1529" t="s">
        <v>535</v>
      </c>
      <c r="G1529" t="s">
        <v>176</v>
      </c>
      <c r="H1529" s="6">
        <v>3453022</v>
      </c>
      <c r="I1529" s="6">
        <v>1.6022446167232338E-2</v>
      </c>
      <c r="J1529" s="6">
        <v>80881.308252188843</v>
      </c>
      <c r="K1529" s="6">
        <v>14219920.9734187</v>
      </c>
      <c r="M1529" s="6">
        <f t="shared" si="120"/>
        <v>3533903.3082521888</v>
      </c>
      <c r="N1529" s="6">
        <f t="shared" si="121"/>
        <v>14219920.9734187</v>
      </c>
      <c r="O1529" s="6">
        <f t="shared" si="122"/>
        <v>17753824.281670887</v>
      </c>
      <c r="P1529" s="8">
        <f>VLOOKUP(F1529,'LEAID Match'!$A$2:$B$436,2,FALSE)</f>
        <v>1805670</v>
      </c>
      <c r="Q1529" s="6">
        <f t="shared" si="123"/>
        <v>9</v>
      </c>
    </row>
    <row r="1530" spans="1:17" x14ac:dyDescent="0.2">
      <c r="A1530" s="16">
        <f t="shared" si="119"/>
        <v>1805670</v>
      </c>
      <c r="B1530">
        <v>2017</v>
      </c>
      <c r="C1530" t="s">
        <v>904</v>
      </c>
      <c r="D1530" t="s">
        <v>906</v>
      </c>
      <c r="E1530" t="s">
        <v>2436</v>
      </c>
      <c r="F1530" t="s">
        <v>535</v>
      </c>
      <c r="G1530" t="s">
        <v>176</v>
      </c>
      <c r="H1530" s="6">
        <v>3723706</v>
      </c>
      <c r="I1530" s="6">
        <v>1.639707054215166E-2</v>
      </c>
      <c r="J1530" s="6">
        <v>74196.74420323626</v>
      </c>
      <c r="K1530" s="6">
        <v>14281848.4422141</v>
      </c>
      <c r="M1530" s="6">
        <f t="shared" si="120"/>
        <v>3797902.7442032364</v>
      </c>
      <c r="N1530" s="6">
        <f t="shared" si="121"/>
        <v>14281848.4422141</v>
      </c>
      <c r="O1530" s="6">
        <f t="shared" si="122"/>
        <v>18079751.186417338</v>
      </c>
      <c r="P1530" s="8">
        <f>VLOOKUP(F1530,'LEAID Match'!$A$2:$B$436,2,FALSE)</f>
        <v>1805670</v>
      </c>
      <c r="Q1530" s="6">
        <f t="shared" si="123"/>
        <v>9</v>
      </c>
    </row>
    <row r="1531" spans="1:17" x14ac:dyDescent="0.2">
      <c r="A1531" s="16">
        <f t="shared" si="119"/>
        <v>1805670</v>
      </c>
      <c r="B1531">
        <v>2018</v>
      </c>
      <c r="C1531" t="s">
        <v>904</v>
      </c>
      <c r="D1531" t="s">
        <v>906</v>
      </c>
      <c r="E1531" t="s">
        <v>2437</v>
      </c>
      <c r="F1531" t="s">
        <v>535</v>
      </c>
      <c r="G1531" t="s">
        <v>176</v>
      </c>
      <c r="H1531" s="6">
        <v>3876170</v>
      </c>
      <c r="I1531" s="6">
        <v>1.6444150499055111E-2</v>
      </c>
      <c r="J1531" s="6">
        <v>68539.219280061705</v>
      </c>
      <c r="K1531" s="6">
        <v>12307387</v>
      </c>
      <c r="M1531" s="6">
        <f t="shared" si="120"/>
        <v>3944709.2192800618</v>
      </c>
      <c r="N1531" s="6">
        <f t="shared" si="121"/>
        <v>12307387</v>
      </c>
      <c r="O1531" s="6">
        <f t="shared" si="122"/>
        <v>16252096.219280062</v>
      </c>
      <c r="P1531" s="8">
        <f>VLOOKUP(F1531,'LEAID Match'!$A$2:$B$436,2,FALSE)</f>
        <v>1805670</v>
      </c>
      <c r="Q1531" s="6">
        <f t="shared" si="123"/>
        <v>9</v>
      </c>
    </row>
    <row r="1532" spans="1:17" x14ac:dyDescent="0.2">
      <c r="A1532" s="16">
        <f t="shared" si="119"/>
        <v>1805670</v>
      </c>
      <c r="B1532">
        <v>2019</v>
      </c>
      <c r="C1532" t="s">
        <v>904</v>
      </c>
      <c r="D1532" t="s">
        <v>906</v>
      </c>
      <c r="E1532" t="s">
        <v>2438</v>
      </c>
      <c r="F1532" t="s">
        <v>535</v>
      </c>
      <c r="G1532" t="s">
        <v>176</v>
      </c>
      <c r="H1532" s="6">
        <v>4099205</v>
      </c>
      <c r="I1532" s="6">
        <v>1.0428355288248209E-2</v>
      </c>
      <c r="J1532" s="6">
        <v>36551.385285309974</v>
      </c>
      <c r="K1532" s="6">
        <v>9843324.5565774795</v>
      </c>
      <c r="M1532" s="6">
        <f t="shared" si="120"/>
        <v>4135756.38528531</v>
      </c>
      <c r="N1532" s="6">
        <f t="shared" si="121"/>
        <v>9843324.5565774795</v>
      </c>
      <c r="O1532" s="6">
        <f t="shared" si="122"/>
        <v>13979080.94186279</v>
      </c>
      <c r="P1532" s="8">
        <f>VLOOKUP(F1532,'LEAID Match'!$A$2:$B$436,2,FALSE)</f>
        <v>1805670</v>
      </c>
      <c r="Q1532" s="6">
        <f t="shared" si="123"/>
        <v>9</v>
      </c>
    </row>
    <row r="1533" spans="1:17" x14ac:dyDescent="0.2">
      <c r="A1533" s="16">
        <f t="shared" si="119"/>
        <v>1805670</v>
      </c>
      <c r="B1533">
        <v>2020</v>
      </c>
      <c r="C1533" t="s">
        <v>904</v>
      </c>
      <c r="D1533" t="s">
        <v>906</v>
      </c>
      <c r="E1533" t="s">
        <v>2439</v>
      </c>
      <c r="F1533" t="s">
        <v>535</v>
      </c>
      <c r="G1533" t="s">
        <v>176</v>
      </c>
      <c r="H1533" s="6">
        <v>3113089</v>
      </c>
      <c r="I1533" s="6">
        <v>1.6495348672505752E-2</v>
      </c>
      <c r="J1533" s="6">
        <v>38863.041472423552</v>
      </c>
      <c r="K1533" s="6">
        <v>12857496</v>
      </c>
      <c r="M1533" s="6">
        <f t="shared" si="120"/>
        <v>3151952.0414724234</v>
      </c>
      <c r="N1533" s="6">
        <f t="shared" si="121"/>
        <v>12857496</v>
      </c>
      <c r="O1533" s="6">
        <f t="shared" si="122"/>
        <v>16009448.041472424</v>
      </c>
      <c r="P1533" s="8">
        <f>VLOOKUP(F1533,'LEAID Match'!$A$2:$B$436,2,FALSE)</f>
        <v>1805670</v>
      </c>
      <c r="Q1533" s="6">
        <f t="shared" si="123"/>
        <v>9</v>
      </c>
    </row>
    <row r="1534" spans="1:17" x14ac:dyDescent="0.2">
      <c r="A1534" s="16">
        <f t="shared" si="119"/>
        <v>1805670</v>
      </c>
      <c r="B1534">
        <v>2021</v>
      </c>
      <c r="C1534" t="s">
        <v>904</v>
      </c>
      <c r="D1534" t="s">
        <v>906</v>
      </c>
      <c r="E1534" t="s">
        <v>2440</v>
      </c>
      <c r="F1534" t="s">
        <v>535</v>
      </c>
      <c r="G1534" t="s">
        <v>176</v>
      </c>
      <c r="H1534" s="6">
        <v>3258443</v>
      </c>
      <c r="I1534" s="6">
        <v>1.6097011451713564E-2</v>
      </c>
      <c r="J1534" s="6">
        <v>36282.663812162369</v>
      </c>
      <c r="K1534" s="6">
        <v>21595005</v>
      </c>
      <c r="M1534" s="6">
        <f t="shared" si="120"/>
        <v>3294725.6638121624</v>
      </c>
      <c r="N1534" s="6">
        <f t="shared" si="121"/>
        <v>21595005</v>
      </c>
      <c r="O1534" s="6">
        <f t="shared" si="122"/>
        <v>24889730.66381216</v>
      </c>
      <c r="P1534" s="8">
        <f>VLOOKUP(F1534,'LEAID Match'!$A$2:$B$436,2,FALSE)</f>
        <v>1805670</v>
      </c>
      <c r="Q1534" s="6">
        <f t="shared" si="123"/>
        <v>9</v>
      </c>
    </row>
    <row r="1535" spans="1:17" x14ac:dyDescent="0.2">
      <c r="A1535" s="16">
        <f t="shared" si="119"/>
        <v>1805670</v>
      </c>
      <c r="B1535">
        <v>2022</v>
      </c>
      <c r="C1535" t="s">
        <v>904</v>
      </c>
      <c r="D1535" t="s">
        <v>906</v>
      </c>
      <c r="E1535" t="s">
        <v>2441</v>
      </c>
      <c r="F1535" t="s">
        <v>535</v>
      </c>
      <c r="G1535" t="s">
        <v>176</v>
      </c>
      <c r="H1535" s="6">
        <v>3477917</v>
      </c>
      <c r="I1535" s="6">
        <v>1.6513796290823571E-2</v>
      </c>
      <c r="J1535" s="6">
        <v>36412.920821265972</v>
      </c>
      <c r="K1535" s="6">
        <v>20807902</v>
      </c>
      <c r="M1535" s="6">
        <f t="shared" si="120"/>
        <v>3514329.9208212658</v>
      </c>
      <c r="N1535" s="6">
        <f t="shared" si="121"/>
        <v>20807902</v>
      </c>
      <c r="O1535" s="6">
        <f t="shared" si="122"/>
        <v>24322231.920821264</v>
      </c>
      <c r="P1535" s="8">
        <f>VLOOKUP(F1535,'LEAID Match'!$A$2:$B$436,2,FALSE)</f>
        <v>1805670</v>
      </c>
      <c r="Q1535" s="6">
        <f t="shared" si="123"/>
        <v>9</v>
      </c>
    </row>
    <row r="1536" spans="1:17" x14ac:dyDescent="0.2">
      <c r="A1536" s="16">
        <f t="shared" si="119"/>
        <v>1805670</v>
      </c>
      <c r="B1536">
        <v>2023</v>
      </c>
      <c r="C1536" t="s">
        <v>904</v>
      </c>
      <c r="D1536" t="s">
        <v>906</v>
      </c>
      <c r="E1536" t="s">
        <v>2442</v>
      </c>
      <c r="F1536" t="s">
        <v>535</v>
      </c>
      <c r="G1536" t="s">
        <v>176</v>
      </c>
      <c r="H1536" s="6">
        <v>3923643</v>
      </c>
      <c r="I1536" s="6">
        <v>1.6045544014453624E-2</v>
      </c>
      <c r="J1536" s="6">
        <v>39584.357083657094</v>
      </c>
      <c r="K1536" s="6">
        <v>55513227</v>
      </c>
      <c r="M1536" s="6">
        <f t="shared" si="120"/>
        <v>3963227.3570836573</v>
      </c>
      <c r="N1536" s="6">
        <f t="shared" si="121"/>
        <v>55513227</v>
      </c>
      <c r="O1536" s="6">
        <f t="shared" si="122"/>
        <v>59476454.357083656</v>
      </c>
      <c r="P1536" s="8">
        <f>VLOOKUP(F1536,'LEAID Match'!$A$2:$B$436,2,FALSE)</f>
        <v>1805670</v>
      </c>
      <c r="Q1536" s="6">
        <f t="shared" si="123"/>
        <v>9</v>
      </c>
    </row>
    <row r="1537" spans="1:17" x14ac:dyDescent="0.2">
      <c r="A1537" s="16">
        <f>P1537</f>
        <v>1808820</v>
      </c>
      <c r="B1537">
        <v>2015</v>
      </c>
      <c r="C1537" t="s">
        <v>904</v>
      </c>
      <c r="D1537" t="s">
        <v>906</v>
      </c>
      <c r="E1537" t="s">
        <v>2443</v>
      </c>
      <c r="F1537" t="s">
        <v>536</v>
      </c>
      <c r="G1537" t="s">
        <v>177</v>
      </c>
      <c r="H1537" s="6">
        <v>3420196</v>
      </c>
      <c r="I1537" s="6">
        <v>1.6631411230042661E-2</v>
      </c>
      <c r="J1537" s="6">
        <v>96645.130657777903</v>
      </c>
      <c r="K1537" s="6">
        <v>14063787.438703701</v>
      </c>
      <c r="M1537" s="6">
        <f>SUM(H1537,J1537)</f>
        <v>3516841.1306577781</v>
      </c>
      <c r="N1537" s="6">
        <f>K1537</f>
        <v>14063787.438703701</v>
      </c>
      <c r="O1537" s="6">
        <f>SUM(M1537:N1537)</f>
        <v>17580628.569361478</v>
      </c>
      <c r="P1537" s="8">
        <f>VLOOKUP(F1537,'LEAID Match'!$A$2:$B$436,2,FALSE)</f>
        <v>1808820</v>
      </c>
      <c r="Q1537" s="6">
        <f>COUNTIF($P$2:$P$3691,P1537)</f>
        <v>9</v>
      </c>
    </row>
    <row r="1538" spans="1:17" x14ac:dyDescent="0.2">
      <c r="A1538" s="16">
        <f>P1538</f>
        <v>1808820</v>
      </c>
      <c r="B1538">
        <v>2016</v>
      </c>
      <c r="C1538" t="s">
        <v>904</v>
      </c>
      <c r="D1538" t="s">
        <v>906</v>
      </c>
      <c r="E1538" t="s">
        <v>2444</v>
      </c>
      <c r="F1538" t="s">
        <v>536</v>
      </c>
      <c r="G1538" t="s">
        <v>177</v>
      </c>
      <c r="H1538" s="6">
        <v>3457082</v>
      </c>
      <c r="I1538" s="6">
        <v>1.6041285065866336E-2</v>
      </c>
      <c r="J1538" s="6">
        <v>80976.407012493262</v>
      </c>
      <c r="K1538" s="6">
        <v>14236640.4959563</v>
      </c>
      <c r="M1538" s="6">
        <f>SUM(H1538,J1538)</f>
        <v>3538058.4070124933</v>
      </c>
      <c r="N1538" s="6">
        <f>K1538</f>
        <v>14236640.4959563</v>
      </c>
      <c r="O1538" s="6">
        <f>SUM(M1538:N1538)</f>
        <v>17774698.902968794</v>
      </c>
      <c r="P1538" s="8">
        <f>VLOOKUP(F1538,'LEAID Match'!$A$2:$B$436,2,FALSE)</f>
        <v>1808820</v>
      </c>
      <c r="Q1538" s="6">
        <f>COUNTIF($P$2:$P$3691,P1538)</f>
        <v>9</v>
      </c>
    </row>
    <row r="1539" spans="1:17" x14ac:dyDescent="0.2">
      <c r="A1539" s="16">
        <f>P1539</f>
        <v>1808820</v>
      </c>
      <c r="B1539">
        <v>2017</v>
      </c>
      <c r="C1539" t="s">
        <v>904</v>
      </c>
      <c r="D1539" t="s">
        <v>906</v>
      </c>
      <c r="E1539" t="s">
        <v>2445</v>
      </c>
      <c r="F1539" t="s">
        <v>536</v>
      </c>
      <c r="G1539" t="s">
        <v>177</v>
      </c>
      <c r="H1539" s="6">
        <v>3754752</v>
      </c>
      <c r="I1539" s="6">
        <v>1.6533779361819927E-2</v>
      </c>
      <c r="J1539" s="6">
        <v>74815.351612235172</v>
      </c>
      <c r="K1539" s="6">
        <v>14400921.824145099</v>
      </c>
      <c r="M1539" s="6">
        <f>SUM(H1539,J1539)</f>
        <v>3829567.351612235</v>
      </c>
      <c r="N1539" s="6">
        <f>K1539</f>
        <v>14400921.824145099</v>
      </c>
      <c r="O1539" s="6">
        <f>SUM(M1539:N1539)</f>
        <v>18230489.175757334</v>
      </c>
      <c r="P1539" s="8">
        <f>VLOOKUP(F1539,'LEAID Match'!$A$2:$B$436,2,FALSE)</f>
        <v>1808820</v>
      </c>
      <c r="Q1539" s="6">
        <f>COUNTIF($P$2:$P$3691,P1539)</f>
        <v>9</v>
      </c>
    </row>
    <row r="1540" spans="1:17" x14ac:dyDescent="0.2">
      <c r="A1540" s="16">
        <f>P1540</f>
        <v>1808820</v>
      </c>
      <c r="B1540">
        <v>2018</v>
      </c>
      <c r="C1540" t="s">
        <v>904</v>
      </c>
      <c r="D1540" t="s">
        <v>906</v>
      </c>
      <c r="E1540" t="s">
        <v>2446</v>
      </c>
      <c r="F1540" t="s">
        <v>536</v>
      </c>
      <c r="G1540" t="s">
        <v>177</v>
      </c>
      <c r="H1540" s="6">
        <v>4234555</v>
      </c>
      <c r="I1540" s="6">
        <v>1.7964552565167758E-2</v>
      </c>
      <c r="J1540" s="6">
        <v>74876.255091619212</v>
      </c>
      <c r="K1540" s="6">
        <v>11963633</v>
      </c>
      <c r="M1540" s="6">
        <f>SUM(H1540,J1540)</f>
        <v>4309431.2550916187</v>
      </c>
      <c r="N1540" s="6">
        <f>K1540</f>
        <v>11963633</v>
      </c>
      <c r="O1540" s="6">
        <f>SUM(M1540:N1540)</f>
        <v>16273064.255091619</v>
      </c>
      <c r="P1540" s="8">
        <f>VLOOKUP(F1540,'LEAID Match'!$A$2:$B$436,2,FALSE)</f>
        <v>1808820</v>
      </c>
      <c r="Q1540" s="6">
        <f>COUNTIF($P$2:$P$3691,P1540)</f>
        <v>9</v>
      </c>
    </row>
    <row r="1541" spans="1:17" x14ac:dyDescent="0.2">
      <c r="A1541" s="16">
        <f>P1541</f>
        <v>1808820</v>
      </c>
      <c r="B1541">
        <v>2019</v>
      </c>
      <c r="C1541" t="s">
        <v>904</v>
      </c>
      <c r="D1541" t="s">
        <v>906</v>
      </c>
      <c r="E1541" t="s">
        <v>2447</v>
      </c>
      <c r="F1541" t="s">
        <v>536</v>
      </c>
      <c r="G1541" t="s">
        <v>177</v>
      </c>
      <c r="H1541" s="6">
        <v>4344795</v>
      </c>
      <c r="I1541" s="6">
        <v>1.105313491630801E-2</v>
      </c>
      <c r="J1541" s="6">
        <v>38741.237881659574</v>
      </c>
      <c r="K1541" s="6">
        <v>10433054.047503101</v>
      </c>
      <c r="M1541" s="6">
        <f>SUM(H1541,J1541)</f>
        <v>4383536.2378816595</v>
      </c>
      <c r="N1541" s="6">
        <f>K1541</f>
        <v>10433054.047503101</v>
      </c>
      <c r="O1541" s="6">
        <f>SUM(M1541:N1541)</f>
        <v>14816590.285384759</v>
      </c>
      <c r="P1541" s="8">
        <f>VLOOKUP(F1541,'LEAID Match'!$A$2:$B$436,2,FALSE)</f>
        <v>1808820</v>
      </c>
      <c r="Q1541" s="6">
        <f>COUNTIF($P$2:$P$3691,P1541)</f>
        <v>9</v>
      </c>
    </row>
    <row r="1542" spans="1:17" x14ac:dyDescent="0.2">
      <c r="A1542" s="16">
        <f>P1542</f>
        <v>1808820</v>
      </c>
      <c r="B1542">
        <v>2020</v>
      </c>
      <c r="C1542" t="s">
        <v>904</v>
      </c>
      <c r="D1542" t="s">
        <v>906</v>
      </c>
      <c r="E1542" t="s">
        <v>2448</v>
      </c>
      <c r="F1542" t="s">
        <v>536</v>
      </c>
      <c r="G1542" t="s">
        <v>177</v>
      </c>
      <c r="H1542" s="6">
        <v>3386117</v>
      </c>
      <c r="I1542" s="6">
        <v>1.7942044239949179E-2</v>
      </c>
      <c r="J1542" s="6">
        <v>42271.456229320269</v>
      </c>
      <c r="K1542" s="6">
        <v>12901100</v>
      </c>
      <c r="M1542" s="6">
        <f>SUM(H1542,J1542)</f>
        <v>3428388.4562293203</v>
      </c>
      <c r="N1542" s="6">
        <f>K1542</f>
        <v>12901100</v>
      </c>
      <c r="O1542" s="6">
        <f>SUM(M1542:N1542)</f>
        <v>16329488.45622932</v>
      </c>
      <c r="P1542" s="8">
        <f>VLOOKUP(F1542,'LEAID Match'!$A$2:$B$436,2,FALSE)</f>
        <v>1808820</v>
      </c>
      <c r="Q1542" s="6">
        <f>COUNTIF($P$2:$P$3691,P1542)</f>
        <v>9</v>
      </c>
    </row>
    <row r="1543" spans="1:17" x14ac:dyDescent="0.2">
      <c r="A1543" s="16">
        <f>P1543</f>
        <v>1808820</v>
      </c>
      <c r="B1543">
        <v>2021</v>
      </c>
      <c r="C1543" t="s">
        <v>904</v>
      </c>
      <c r="D1543" t="s">
        <v>906</v>
      </c>
      <c r="E1543" t="s">
        <v>2449</v>
      </c>
      <c r="F1543" t="s">
        <v>536</v>
      </c>
      <c r="G1543" t="s">
        <v>177</v>
      </c>
      <c r="H1543" s="6">
        <v>3687432</v>
      </c>
      <c r="I1543" s="6">
        <v>1.8216257007231687E-2</v>
      </c>
      <c r="J1543" s="6">
        <v>41059.443294300225</v>
      </c>
      <c r="K1543" s="6">
        <v>21552329</v>
      </c>
      <c r="M1543" s="6">
        <f>SUM(H1543,J1543)</f>
        <v>3728491.4432943002</v>
      </c>
      <c r="N1543" s="6">
        <f>K1543</f>
        <v>21552329</v>
      </c>
      <c r="O1543" s="6">
        <f>SUM(M1543:N1543)</f>
        <v>25280820.443294302</v>
      </c>
      <c r="P1543" s="8">
        <f>VLOOKUP(F1543,'LEAID Match'!$A$2:$B$436,2,FALSE)</f>
        <v>1808820</v>
      </c>
      <c r="Q1543" s="6">
        <f>COUNTIF($P$2:$P$3691,P1543)</f>
        <v>9</v>
      </c>
    </row>
    <row r="1544" spans="1:17" x14ac:dyDescent="0.2">
      <c r="A1544" s="16">
        <f>P1544</f>
        <v>1808820</v>
      </c>
      <c r="B1544">
        <v>2022</v>
      </c>
      <c r="C1544" t="s">
        <v>904</v>
      </c>
      <c r="D1544" t="s">
        <v>906</v>
      </c>
      <c r="E1544" t="s">
        <v>2450</v>
      </c>
      <c r="F1544" t="s">
        <v>536</v>
      </c>
      <c r="G1544" t="s">
        <v>177</v>
      </c>
      <c r="H1544" s="6">
        <v>3895750</v>
      </c>
      <c r="I1544" s="6">
        <v>1.8497745029561065E-2</v>
      </c>
      <c r="J1544" s="6">
        <v>40787.527790182146</v>
      </c>
      <c r="K1544" s="6">
        <v>20632706</v>
      </c>
      <c r="M1544" s="6">
        <f>SUM(H1544,J1544)</f>
        <v>3936537.5277901823</v>
      </c>
      <c r="N1544" s="6">
        <f>K1544</f>
        <v>20632706</v>
      </c>
      <c r="O1544" s="6">
        <f>SUM(M1544:N1544)</f>
        <v>24569243.527790181</v>
      </c>
      <c r="P1544" s="8">
        <f>VLOOKUP(F1544,'LEAID Match'!$A$2:$B$436,2,FALSE)</f>
        <v>1808820</v>
      </c>
      <c r="Q1544" s="6">
        <f>COUNTIF($P$2:$P$3691,P1544)</f>
        <v>9</v>
      </c>
    </row>
    <row r="1545" spans="1:17" x14ac:dyDescent="0.2">
      <c r="A1545" s="16">
        <f>P1545</f>
        <v>1808820</v>
      </c>
      <c r="B1545">
        <v>2023</v>
      </c>
      <c r="C1545" t="s">
        <v>904</v>
      </c>
      <c r="D1545" t="s">
        <v>906</v>
      </c>
      <c r="E1545" t="s">
        <v>2451</v>
      </c>
      <c r="F1545" t="s">
        <v>536</v>
      </c>
      <c r="G1545" t="s">
        <v>177</v>
      </c>
      <c r="H1545" s="6">
        <v>4435349</v>
      </c>
      <c r="I1545" s="6">
        <v>1.8138140396300802E-2</v>
      </c>
      <c r="J1545" s="6">
        <v>44746.79235767408</v>
      </c>
      <c r="K1545" s="6">
        <v>56726555</v>
      </c>
      <c r="M1545" s="6">
        <f>SUM(H1545,J1545)</f>
        <v>4480095.7923576739</v>
      </c>
      <c r="N1545" s="6">
        <f>K1545</f>
        <v>56726555</v>
      </c>
      <c r="O1545" s="6">
        <f>SUM(M1545:N1545)</f>
        <v>61206650.792357676</v>
      </c>
      <c r="P1545" s="8">
        <f>VLOOKUP(F1545,'LEAID Match'!$A$2:$B$436,2,FALSE)</f>
        <v>1808820</v>
      </c>
      <c r="Q1545" s="6">
        <f>COUNTIF($P$2:$P$3691,P1545)</f>
        <v>9</v>
      </c>
    </row>
    <row r="1546" spans="1:17" x14ac:dyDescent="0.2">
      <c r="A1546" s="16">
        <f>P1546</f>
        <v>1808910</v>
      </c>
      <c r="B1546">
        <v>2015</v>
      </c>
      <c r="C1546" t="s">
        <v>904</v>
      </c>
      <c r="D1546" t="s">
        <v>906</v>
      </c>
      <c r="E1546" t="s">
        <v>2452</v>
      </c>
      <c r="F1546" t="s">
        <v>537</v>
      </c>
      <c r="G1546" t="s">
        <v>178</v>
      </c>
      <c r="H1546" s="6">
        <v>2747775</v>
      </c>
      <c r="I1546" s="6">
        <v>1.3361624887179117E-2</v>
      </c>
      <c r="J1546" s="6">
        <v>77644.402219397845</v>
      </c>
      <c r="K1546" s="6">
        <v>11298803.7905968</v>
      </c>
      <c r="M1546" s="6">
        <f>SUM(H1546,J1546)</f>
        <v>2825419.4022193979</v>
      </c>
      <c r="N1546" s="6">
        <f>K1546</f>
        <v>11298803.7905968</v>
      </c>
      <c r="O1546" s="6">
        <f>SUM(M1546:N1546)</f>
        <v>14124223.192816198</v>
      </c>
      <c r="P1546" s="8">
        <f>VLOOKUP(F1546,'LEAID Match'!$A$2:$B$436,2,FALSE)</f>
        <v>1808910</v>
      </c>
      <c r="Q1546" s="6">
        <f>COUNTIF($P$2:$P$3691,P1546)</f>
        <v>9</v>
      </c>
    </row>
    <row r="1547" spans="1:17" x14ac:dyDescent="0.2">
      <c r="A1547" s="16">
        <f>P1547</f>
        <v>1808910</v>
      </c>
      <c r="B1547">
        <v>2016</v>
      </c>
      <c r="C1547" t="s">
        <v>904</v>
      </c>
      <c r="D1547" t="s">
        <v>906</v>
      </c>
      <c r="E1547" t="s">
        <v>2453</v>
      </c>
      <c r="F1547" t="s">
        <v>537</v>
      </c>
      <c r="G1547" t="s">
        <v>178</v>
      </c>
      <c r="H1547" s="6">
        <v>2913084</v>
      </c>
      <c r="I1547" s="6">
        <v>1.3517067534068953E-2</v>
      </c>
      <c r="J1547" s="6">
        <v>68234.15691198007</v>
      </c>
      <c r="K1547" s="6">
        <v>11996397.436486199</v>
      </c>
      <c r="M1547" s="6">
        <f>SUM(H1547,J1547)</f>
        <v>2981318.1569119799</v>
      </c>
      <c r="N1547" s="6">
        <f>K1547</f>
        <v>11996397.436486199</v>
      </c>
      <c r="O1547" s="6">
        <f>SUM(M1547:N1547)</f>
        <v>14977715.59339818</v>
      </c>
      <c r="P1547" s="8">
        <f>VLOOKUP(F1547,'LEAID Match'!$A$2:$B$436,2,FALSE)</f>
        <v>1808910</v>
      </c>
      <c r="Q1547" s="6">
        <f>COUNTIF($P$2:$P$3691,P1547)</f>
        <v>9</v>
      </c>
    </row>
    <row r="1548" spans="1:17" x14ac:dyDescent="0.2">
      <c r="A1548" s="16">
        <f>P1548</f>
        <v>1808910</v>
      </c>
      <c r="B1548">
        <v>2017</v>
      </c>
      <c r="C1548" t="s">
        <v>904</v>
      </c>
      <c r="D1548" t="s">
        <v>906</v>
      </c>
      <c r="E1548" t="s">
        <v>2454</v>
      </c>
      <c r="F1548" t="s">
        <v>537</v>
      </c>
      <c r="G1548" t="s">
        <v>178</v>
      </c>
      <c r="H1548" s="6">
        <v>3081079</v>
      </c>
      <c r="I1548" s="6">
        <v>1.3567308941399266E-2</v>
      </c>
      <c r="J1548" s="6">
        <v>61392.072959831676</v>
      </c>
      <c r="K1548" s="6">
        <v>11817126.087958699</v>
      </c>
      <c r="M1548" s="6">
        <f>SUM(H1548,J1548)</f>
        <v>3142471.0729598315</v>
      </c>
      <c r="N1548" s="6">
        <f>K1548</f>
        <v>11817126.087958699</v>
      </c>
      <c r="O1548" s="6">
        <f>SUM(M1548:N1548)</f>
        <v>14959597.16091853</v>
      </c>
      <c r="P1548" s="8">
        <f>VLOOKUP(F1548,'LEAID Match'!$A$2:$B$436,2,FALSE)</f>
        <v>1808910</v>
      </c>
      <c r="Q1548" s="6">
        <f>COUNTIF($P$2:$P$3691,P1548)</f>
        <v>9</v>
      </c>
    </row>
    <row r="1549" spans="1:17" x14ac:dyDescent="0.2">
      <c r="A1549" s="16">
        <f>P1549</f>
        <v>1808910</v>
      </c>
      <c r="B1549">
        <v>2018</v>
      </c>
      <c r="C1549" t="s">
        <v>904</v>
      </c>
      <c r="D1549" t="s">
        <v>906</v>
      </c>
      <c r="E1549" t="s">
        <v>2455</v>
      </c>
      <c r="F1549" t="s">
        <v>537</v>
      </c>
      <c r="G1549" t="s">
        <v>178</v>
      </c>
      <c r="H1549" s="6">
        <v>3139971</v>
      </c>
      <c r="I1549" s="6">
        <v>1.3320921344179582E-2</v>
      </c>
      <c r="J1549" s="6">
        <v>55521.600162540497</v>
      </c>
      <c r="K1549" s="6">
        <v>5804432</v>
      </c>
      <c r="M1549" s="6">
        <f>SUM(H1549,J1549)</f>
        <v>3195492.6001625406</v>
      </c>
      <c r="N1549" s="6">
        <f>K1549</f>
        <v>5804432</v>
      </c>
      <c r="O1549" s="6">
        <f>SUM(M1549:N1549)</f>
        <v>8999924.6001625396</v>
      </c>
      <c r="P1549" s="8">
        <f>VLOOKUP(F1549,'LEAID Match'!$A$2:$B$436,2,FALSE)</f>
        <v>1808910</v>
      </c>
      <c r="Q1549" s="6">
        <f>COUNTIF($P$2:$P$3691,P1549)</f>
        <v>9</v>
      </c>
    </row>
    <row r="1550" spans="1:17" x14ac:dyDescent="0.2">
      <c r="A1550" s="16">
        <f>P1550</f>
        <v>1808910</v>
      </c>
      <c r="B1550">
        <v>2019</v>
      </c>
      <c r="C1550" t="s">
        <v>904</v>
      </c>
      <c r="D1550" t="s">
        <v>906</v>
      </c>
      <c r="E1550" t="s">
        <v>2456</v>
      </c>
      <c r="F1550" t="s">
        <v>537</v>
      </c>
      <c r="G1550" t="s">
        <v>178</v>
      </c>
      <c r="H1550" s="6">
        <v>3172990</v>
      </c>
      <c r="I1550" s="6">
        <v>8.0720693515105198E-3</v>
      </c>
      <c r="J1550" s="6">
        <v>28292.603077044372</v>
      </c>
      <c r="K1550" s="6">
        <v>7619226.26089078</v>
      </c>
      <c r="M1550" s="6">
        <f>SUM(H1550,J1550)</f>
        <v>3201282.6030770442</v>
      </c>
      <c r="N1550" s="6">
        <f>K1550</f>
        <v>7619226.26089078</v>
      </c>
      <c r="O1550" s="6">
        <f>SUM(M1550:N1550)</f>
        <v>10820508.863967825</v>
      </c>
      <c r="P1550" s="8">
        <f>VLOOKUP(F1550,'LEAID Match'!$A$2:$B$436,2,FALSE)</f>
        <v>1808910</v>
      </c>
      <c r="Q1550" s="6">
        <f>COUNTIF($P$2:$P$3691,P1550)</f>
        <v>9</v>
      </c>
    </row>
    <row r="1551" spans="1:17" x14ac:dyDescent="0.2">
      <c r="A1551" s="16">
        <f>P1551</f>
        <v>1808910</v>
      </c>
      <c r="B1551">
        <v>2020</v>
      </c>
      <c r="C1551" t="s">
        <v>904</v>
      </c>
      <c r="D1551" t="s">
        <v>906</v>
      </c>
      <c r="E1551" t="s">
        <v>2457</v>
      </c>
      <c r="F1551" t="s">
        <v>537</v>
      </c>
      <c r="G1551" t="s">
        <v>178</v>
      </c>
      <c r="H1551" s="6">
        <v>2287903</v>
      </c>
      <c r="I1551" s="6">
        <v>1.2122929255755914E-2</v>
      </c>
      <c r="J1551" s="6">
        <v>28561.621326560933</v>
      </c>
      <c r="K1551" s="6">
        <v>6055688</v>
      </c>
      <c r="M1551" s="6">
        <f>SUM(H1551,J1551)</f>
        <v>2316464.6213265611</v>
      </c>
      <c r="N1551" s="6">
        <f>K1551</f>
        <v>6055688</v>
      </c>
      <c r="O1551" s="6">
        <f>SUM(M1551:N1551)</f>
        <v>8372152.6213265611</v>
      </c>
      <c r="P1551" s="8">
        <f>VLOOKUP(F1551,'LEAID Match'!$A$2:$B$436,2,FALSE)</f>
        <v>1808910</v>
      </c>
      <c r="Q1551" s="6">
        <f>COUNTIF($P$2:$P$3691,P1551)</f>
        <v>9</v>
      </c>
    </row>
    <row r="1552" spans="1:17" x14ac:dyDescent="0.2">
      <c r="A1552" s="16">
        <f>P1552</f>
        <v>1808910</v>
      </c>
      <c r="B1552">
        <v>2021</v>
      </c>
      <c r="C1552" t="s">
        <v>904</v>
      </c>
      <c r="D1552" t="s">
        <v>906</v>
      </c>
      <c r="E1552" t="s">
        <v>2458</v>
      </c>
      <c r="F1552" t="s">
        <v>537</v>
      </c>
      <c r="G1552" t="s">
        <v>178</v>
      </c>
      <c r="H1552" s="6">
        <v>2350524</v>
      </c>
      <c r="I1552" s="6">
        <v>1.161180715621773E-2</v>
      </c>
      <c r="J1552" s="6">
        <v>26173.013330114762</v>
      </c>
      <c r="K1552" s="6">
        <v>10212018</v>
      </c>
      <c r="M1552" s="6">
        <f>SUM(H1552,J1552)</f>
        <v>2376697.0133301145</v>
      </c>
      <c r="N1552" s="6">
        <f>K1552</f>
        <v>10212018</v>
      </c>
      <c r="O1552" s="6">
        <f>SUM(M1552:N1552)</f>
        <v>12588715.013330115</v>
      </c>
      <c r="P1552" s="8">
        <f>VLOOKUP(F1552,'LEAID Match'!$A$2:$B$436,2,FALSE)</f>
        <v>1808910</v>
      </c>
      <c r="Q1552" s="6">
        <f>COUNTIF($P$2:$P$3691,P1552)</f>
        <v>9</v>
      </c>
    </row>
    <row r="1553" spans="1:17" x14ac:dyDescent="0.2">
      <c r="A1553" s="16">
        <f>P1553</f>
        <v>1808910</v>
      </c>
      <c r="B1553">
        <v>2022</v>
      </c>
      <c r="C1553" t="s">
        <v>904</v>
      </c>
      <c r="D1553" t="s">
        <v>906</v>
      </c>
      <c r="E1553" t="s">
        <v>2459</v>
      </c>
      <c r="F1553" t="s">
        <v>537</v>
      </c>
      <c r="G1553" t="s">
        <v>178</v>
      </c>
      <c r="H1553" s="6">
        <v>2653573</v>
      </c>
      <c r="I1553" s="6">
        <v>1.2599657773555142E-2</v>
      </c>
      <c r="J1553" s="6">
        <v>27782.245390689088</v>
      </c>
      <c r="K1553" s="6">
        <v>9996271</v>
      </c>
      <c r="M1553" s="6">
        <f>SUM(H1553,J1553)</f>
        <v>2681355.245390689</v>
      </c>
      <c r="N1553" s="6">
        <f>K1553</f>
        <v>9996271</v>
      </c>
      <c r="O1553" s="6">
        <f>SUM(M1553:N1553)</f>
        <v>12677626.245390689</v>
      </c>
      <c r="P1553" s="8">
        <f>VLOOKUP(F1553,'LEAID Match'!$A$2:$B$436,2,FALSE)</f>
        <v>1808910</v>
      </c>
      <c r="Q1553" s="6">
        <f>COUNTIF($P$2:$P$3691,P1553)</f>
        <v>9</v>
      </c>
    </row>
    <row r="1554" spans="1:17" x14ac:dyDescent="0.2">
      <c r="A1554" s="16">
        <f>P1554</f>
        <v>1808910</v>
      </c>
      <c r="B1554">
        <v>2023</v>
      </c>
      <c r="C1554" t="s">
        <v>904</v>
      </c>
      <c r="D1554" t="s">
        <v>906</v>
      </c>
      <c r="E1554" t="s">
        <v>2460</v>
      </c>
      <c r="F1554" t="s">
        <v>537</v>
      </c>
      <c r="G1554" t="s">
        <v>178</v>
      </c>
      <c r="H1554" s="6">
        <v>3280749</v>
      </c>
      <c r="I1554" s="6">
        <v>1.3416460794184055E-2</v>
      </c>
      <c r="J1554" s="6">
        <v>33098.408779252066</v>
      </c>
      <c r="K1554" s="6">
        <v>28099649</v>
      </c>
      <c r="M1554" s="6">
        <f>SUM(H1554,J1554)</f>
        <v>3313847.4087792519</v>
      </c>
      <c r="N1554" s="6">
        <f>K1554</f>
        <v>28099649</v>
      </c>
      <c r="O1554" s="6">
        <f>SUM(M1554:N1554)</f>
        <v>31413496.408779252</v>
      </c>
      <c r="P1554" s="8">
        <f>VLOOKUP(F1554,'LEAID Match'!$A$2:$B$436,2,FALSE)</f>
        <v>1808910</v>
      </c>
      <c r="Q1554" s="6">
        <f>COUNTIF($P$2:$P$3691,P1554)</f>
        <v>9</v>
      </c>
    </row>
    <row r="1555" spans="1:17" x14ac:dyDescent="0.2">
      <c r="A1555" s="16">
        <f>P1555</f>
        <v>1812360</v>
      </c>
      <c r="B1555">
        <v>2015</v>
      </c>
      <c r="C1555" t="s">
        <v>904</v>
      </c>
      <c r="D1555" t="s">
        <v>906</v>
      </c>
      <c r="E1555" t="s">
        <v>2461</v>
      </c>
      <c r="F1555" t="s">
        <v>720</v>
      </c>
      <c r="G1555" t="s">
        <v>179</v>
      </c>
      <c r="H1555" s="6">
        <v>2806267</v>
      </c>
      <c r="I1555" s="6">
        <v>1.3646054348434454E-2</v>
      </c>
      <c r="J1555" s="6">
        <v>79297.221818752616</v>
      </c>
      <c r="K1555" s="6">
        <v>11539321.893905699</v>
      </c>
      <c r="M1555" s="6">
        <f>SUM(H1555,J1555)</f>
        <v>2885564.2218187526</v>
      </c>
      <c r="N1555" s="6">
        <f>K1555</f>
        <v>11539321.893905699</v>
      </c>
      <c r="O1555" s="6">
        <f>SUM(M1555:N1555)</f>
        <v>14424886.115724452</v>
      </c>
      <c r="P1555" s="8">
        <f>VLOOKUP(F1555,'LEAID Match'!$A$2:$B$436,2,FALSE)</f>
        <v>1812360</v>
      </c>
      <c r="Q1555" s="6">
        <f>COUNTIF($P$2:$P$3691,P1555)</f>
        <v>9</v>
      </c>
    </row>
    <row r="1556" spans="1:17" x14ac:dyDescent="0.2">
      <c r="A1556" s="16">
        <f>P1556</f>
        <v>1812360</v>
      </c>
      <c r="B1556">
        <v>2016</v>
      </c>
      <c r="C1556" t="s">
        <v>904</v>
      </c>
      <c r="D1556" t="s">
        <v>906</v>
      </c>
      <c r="E1556" t="s">
        <v>2462</v>
      </c>
      <c r="F1556" t="s">
        <v>720</v>
      </c>
      <c r="G1556" t="s">
        <v>179</v>
      </c>
      <c r="H1556" s="6">
        <v>2949109</v>
      </c>
      <c r="I1556" s="6">
        <v>1.3684227958524559E-2</v>
      </c>
      <c r="J1556" s="6">
        <v>69077.982734631965</v>
      </c>
      <c r="K1556" s="6">
        <v>12144752.313190499</v>
      </c>
      <c r="M1556" s="6">
        <f>SUM(H1556,J1556)</f>
        <v>3018186.9827346317</v>
      </c>
      <c r="N1556" s="6">
        <f>K1556</f>
        <v>12144752.313190499</v>
      </c>
      <c r="O1556" s="6">
        <f>SUM(M1556:N1556)</f>
        <v>15162939.295925131</v>
      </c>
      <c r="P1556" s="8">
        <f>VLOOKUP(F1556,'LEAID Match'!$A$2:$B$436,2,FALSE)</f>
        <v>1812360</v>
      </c>
      <c r="Q1556" s="6">
        <f>COUNTIF($P$2:$P$3691,P1556)</f>
        <v>9</v>
      </c>
    </row>
    <row r="1557" spans="1:17" x14ac:dyDescent="0.2">
      <c r="A1557" s="16">
        <f>P1557</f>
        <v>1812360</v>
      </c>
      <c r="B1557">
        <v>2017</v>
      </c>
      <c r="C1557" t="s">
        <v>904</v>
      </c>
      <c r="D1557" t="s">
        <v>906</v>
      </c>
      <c r="E1557" t="s">
        <v>2463</v>
      </c>
      <c r="F1557" t="s">
        <v>720</v>
      </c>
      <c r="G1557" t="s">
        <v>179</v>
      </c>
      <c r="H1557" s="6">
        <v>3117659</v>
      </c>
      <c r="I1557" s="6">
        <v>1.3728386330546506E-2</v>
      </c>
      <c r="J1557" s="6">
        <v>62120.948145722934</v>
      </c>
      <c r="K1557" s="6">
        <v>11957424.493906001</v>
      </c>
      <c r="M1557" s="6">
        <f>SUM(H1557,J1557)</f>
        <v>3179779.948145723</v>
      </c>
      <c r="N1557" s="6">
        <f>K1557</f>
        <v>11957424.493906001</v>
      </c>
      <c r="O1557" s="6">
        <f>SUM(M1557:N1557)</f>
        <v>15137204.442051724</v>
      </c>
      <c r="P1557" s="8">
        <f>VLOOKUP(F1557,'LEAID Match'!$A$2:$B$436,2,FALSE)</f>
        <v>1812360</v>
      </c>
      <c r="Q1557" s="6">
        <f>COUNTIF($P$2:$P$3691,P1557)</f>
        <v>9</v>
      </c>
    </row>
    <row r="1558" spans="1:17" x14ac:dyDescent="0.2">
      <c r="A1558" s="16">
        <f>P1558</f>
        <v>1812360</v>
      </c>
      <c r="B1558">
        <v>2018</v>
      </c>
      <c r="C1558" t="s">
        <v>904</v>
      </c>
      <c r="D1558" t="s">
        <v>906</v>
      </c>
      <c r="E1558" t="s">
        <v>2464</v>
      </c>
      <c r="F1558" t="s">
        <v>720</v>
      </c>
      <c r="G1558" t="s">
        <v>179</v>
      </c>
      <c r="H1558" s="6">
        <v>3252151</v>
      </c>
      <c r="I1558" s="6">
        <v>1.3796830502700494E-2</v>
      </c>
      <c r="J1558" s="6">
        <v>57505.18953525566</v>
      </c>
      <c r="K1558" s="6">
        <v>10302326</v>
      </c>
      <c r="M1558" s="6">
        <f>SUM(H1558,J1558)</f>
        <v>3309656.1895352555</v>
      </c>
      <c r="N1558" s="6">
        <f>K1558</f>
        <v>10302326</v>
      </c>
      <c r="O1558" s="6">
        <f>SUM(M1558:N1558)</f>
        <v>13611982.189535256</v>
      </c>
      <c r="P1558" s="8">
        <f>VLOOKUP(F1558,'LEAID Match'!$A$2:$B$436,2,FALSE)</f>
        <v>1812360</v>
      </c>
      <c r="Q1558" s="6">
        <f>COUNTIF($P$2:$P$3691,P1558)</f>
        <v>9</v>
      </c>
    </row>
    <row r="1559" spans="1:17" x14ac:dyDescent="0.2">
      <c r="A1559" s="16">
        <f>P1559</f>
        <v>1812360</v>
      </c>
      <c r="B1559">
        <v>2019</v>
      </c>
      <c r="C1559" t="s">
        <v>904</v>
      </c>
      <c r="D1559" t="s">
        <v>906</v>
      </c>
      <c r="E1559" t="s">
        <v>2465</v>
      </c>
      <c r="F1559" t="s">
        <v>720</v>
      </c>
      <c r="G1559" t="s">
        <v>179</v>
      </c>
      <c r="H1559" s="6">
        <v>3332534</v>
      </c>
      <c r="I1559" s="6">
        <v>8.4779484222347878E-3</v>
      </c>
      <c r="J1559" s="6">
        <v>29715.209219932931</v>
      </c>
      <c r="K1559" s="6">
        <v>8002335.5157474102</v>
      </c>
      <c r="M1559" s="6">
        <f>SUM(H1559,J1559)</f>
        <v>3362249.209219933</v>
      </c>
      <c r="N1559" s="6">
        <f>K1559</f>
        <v>8002335.5157474102</v>
      </c>
      <c r="O1559" s="6">
        <f>SUM(M1559:N1559)</f>
        <v>11364584.724967344</v>
      </c>
      <c r="P1559" s="8">
        <f>VLOOKUP(F1559,'LEAID Match'!$A$2:$B$436,2,FALSE)</f>
        <v>1812360</v>
      </c>
      <c r="Q1559" s="6">
        <f>COUNTIF($P$2:$P$3691,P1559)</f>
        <v>9</v>
      </c>
    </row>
    <row r="1560" spans="1:17" x14ac:dyDescent="0.2">
      <c r="A1560" s="16">
        <f>P1560</f>
        <v>1812360</v>
      </c>
      <c r="B1560">
        <v>2020</v>
      </c>
      <c r="C1560" t="s">
        <v>904</v>
      </c>
      <c r="D1560" t="s">
        <v>906</v>
      </c>
      <c r="E1560" t="s">
        <v>2466</v>
      </c>
      <c r="F1560" t="s">
        <v>720</v>
      </c>
      <c r="G1560" t="s">
        <v>179</v>
      </c>
      <c r="H1560" s="6">
        <v>2501376</v>
      </c>
      <c r="I1560" s="6">
        <v>1.3254060285792582E-2</v>
      </c>
      <c r="J1560" s="6">
        <v>31226.566033327323</v>
      </c>
      <c r="K1560" s="6">
        <v>11138010</v>
      </c>
      <c r="M1560" s="6">
        <f>SUM(H1560,J1560)</f>
        <v>2532602.5660333275</v>
      </c>
      <c r="N1560" s="6">
        <f>K1560</f>
        <v>11138010</v>
      </c>
      <c r="O1560" s="6">
        <f>SUM(M1560:N1560)</f>
        <v>13670612.566033328</v>
      </c>
      <c r="P1560" s="8">
        <f>VLOOKUP(F1560,'LEAID Match'!$A$2:$B$436,2,FALSE)</f>
        <v>1812360</v>
      </c>
      <c r="Q1560" s="6">
        <f>COUNTIF($P$2:$P$3691,P1560)</f>
        <v>9</v>
      </c>
    </row>
    <row r="1561" spans="1:17" x14ac:dyDescent="0.2">
      <c r="A1561" s="16">
        <f>P1561</f>
        <v>1812360</v>
      </c>
      <c r="B1561">
        <v>2021</v>
      </c>
      <c r="C1561" t="s">
        <v>904</v>
      </c>
      <c r="D1561" t="s">
        <v>906</v>
      </c>
      <c r="E1561" t="s">
        <v>2467</v>
      </c>
      <c r="F1561" t="s">
        <v>720</v>
      </c>
      <c r="G1561" t="s">
        <v>179</v>
      </c>
      <c r="H1561" s="6">
        <v>2649877</v>
      </c>
      <c r="I1561" s="6">
        <v>1.3090638815726523E-2</v>
      </c>
      <c r="J1561" s="6">
        <v>29506.29989064758</v>
      </c>
      <c r="K1561" s="6">
        <v>17989711</v>
      </c>
      <c r="M1561" s="6">
        <f>SUM(H1561,J1561)</f>
        <v>2679383.2998906476</v>
      </c>
      <c r="N1561" s="6">
        <f>K1561</f>
        <v>17989711</v>
      </c>
      <c r="O1561" s="6">
        <f>SUM(M1561:N1561)</f>
        <v>20669094.299890649</v>
      </c>
      <c r="P1561" s="8">
        <f>VLOOKUP(F1561,'LEAID Match'!$A$2:$B$436,2,FALSE)</f>
        <v>1812360</v>
      </c>
      <c r="Q1561" s="6">
        <f>COUNTIF($P$2:$P$3691,P1561)</f>
        <v>9</v>
      </c>
    </row>
    <row r="1562" spans="1:17" x14ac:dyDescent="0.2">
      <c r="A1562" s="16">
        <f>P1562</f>
        <v>1812360</v>
      </c>
      <c r="B1562">
        <v>2022</v>
      </c>
      <c r="C1562" t="s">
        <v>904</v>
      </c>
      <c r="D1562" t="s">
        <v>906</v>
      </c>
      <c r="E1562" t="s">
        <v>2468</v>
      </c>
      <c r="F1562" t="s">
        <v>720</v>
      </c>
      <c r="G1562" t="s">
        <v>179</v>
      </c>
      <c r="H1562" s="6">
        <v>2760093</v>
      </c>
      <c r="I1562" s="6">
        <v>1.3105434530418094E-2</v>
      </c>
      <c r="J1562" s="6">
        <v>28897.483139571897</v>
      </c>
      <c r="K1562" s="6">
        <v>17111724</v>
      </c>
      <c r="M1562" s="6">
        <f>SUM(H1562,J1562)</f>
        <v>2788990.4831395717</v>
      </c>
      <c r="N1562" s="6">
        <f>K1562</f>
        <v>17111724</v>
      </c>
      <c r="O1562" s="6">
        <f>SUM(M1562:N1562)</f>
        <v>19900714.483139571</v>
      </c>
      <c r="P1562" s="8">
        <f>VLOOKUP(F1562,'LEAID Match'!$A$2:$B$436,2,FALSE)</f>
        <v>1812360</v>
      </c>
      <c r="Q1562" s="6">
        <f>COUNTIF($P$2:$P$3691,P1562)</f>
        <v>9</v>
      </c>
    </row>
    <row r="1563" spans="1:17" x14ac:dyDescent="0.2">
      <c r="A1563" s="16">
        <f>P1563</f>
        <v>1812360</v>
      </c>
      <c r="B1563">
        <v>2023</v>
      </c>
      <c r="C1563" t="s">
        <v>904</v>
      </c>
      <c r="D1563" t="s">
        <v>906</v>
      </c>
      <c r="E1563" t="s">
        <v>2469</v>
      </c>
      <c r="F1563" t="s">
        <v>720</v>
      </c>
      <c r="G1563" t="s">
        <v>179</v>
      </c>
      <c r="H1563" s="6">
        <v>3186532</v>
      </c>
      <c r="I1563" s="6">
        <v>1.3031165031952431E-2</v>
      </c>
      <c r="J1563" s="6">
        <v>32147.884133826647</v>
      </c>
      <c r="K1563" s="6">
        <v>43185142</v>
      </c>
      <c r="M1563" s="6">
        <f>SUM(H1563,J1563)</f>
        <v>3218679.8841338265</v>
      </c>
      <c r="N1563" s="6">
        <f>K1563</f>
        <v>43185142</v>
      </c>
      <c r="O1563" s="6">
        <f>SUM(M1563:N1563)</f>
        <v>46403821.884133823</v>
      </c>
      <c r="P1563" s="8">
        <f>VLOOKUP(F1563,'LEAID Match'!$A$2:$B$436,2,FALSE)</f>
        <v>1812360</v>
      </c>
      <c r="Q1563" s="6">
        <f>COUNTIF($P$2:$P$3691,P1563)</f>
        <v>9</v>
      </c>
    </row>
    <row r="1564" spans="1:17" x14ac:dyDescent="0.2">
      <c r="A1564" s="16">
        <f>P1564</f>
        <v>1801740</v>
      </c>
      <c r="B1564">
        <v>2015</v>
      </c>
      <c r="C1564" t="s">
        <v>904</v>
      </c>
      <c r="D1564" t="s">
        <v>906</v>
      </c>
      <c r="E1564" t="s">
        <v>2928</v>
      </c>
      <c r="F1564" t="s">
        <v>746</v>
      </c>
      <c r="G1564" t="s">
        <v>225</v>
      </c>
      <c r="H1564" s="6">
        <v>197710</v>
      </c>
      <c r="I1564" s="6">
        <v>9.6140581250072634E-4</v>
      </c>
      <c r="J1564" s="6">
        <v>5586.7291764417205</v>
      </c>
      <c r="K1564" s="6">
        <v>812980.13754361402</v>
      </c>
      <c r="M1564" s="6">
        <f>SUM(H1564,J1564)</f>
        <v>203296.72917644173</v>
      </c>
      <c r="N1564" s="6">
        <f>K1564</f>
        <v>812980.13754361402</v>
      </c>
      <c r="O1564" s="6">
        <f>SUM(M1564:N1564)</f>
        <v>1016276.8667200557</v>
      </c>
      <c r="P1564" s="8">
        <f>VLOOKUP(F1564,'LEAID Match'!$A$2:$B$436,2,FALSE)</f>
        <v>1801740</v>
      </c>
      <c r="Q1564" s="6">
        <f>COUNTIF($P$2:$P$3691,P1564)</f>
        <v>9</v>
      </c>
    </row>
    <row r="1565" spans="1:17" x14ac:dyDescent="0.2">
      <c r="A1565" s="16">
        <f>P1565</f>
        <v>1801740</v>
      </c>
      <c r="B1565">
        <v>2016</v>
      </c>
      <c r="C1565" t="s">
        <v>904</v>
      </c>
      <c r="D1565" t="s">
        <v>906</v>
      </c>
      <c r="E1565" t="s">
        <v>2929</v>
      </c>
      <c r="F1565" t="s">
        <v>746</v>
      </c>
      <c r="G1565" t="s">
        <v>225</v>
      </c>
      <c r="H1565" s="6">
        <v>206683</v>
      </c>
      <c r="I1565" s="6">
        <v>9.5903450403214381E-4</v>
      </c>
      <c r="J1565" s="6">
        <v>4841.2061763542624</v>
      </c>
      <c r="K1565" s="6">
        <v>851143.12232852704</v>
      </c>
      <c r="M1565" s="6">
        <f>SUM(H1565,J1565)</f>
        <v>211524.20617635426</v>
      </c>
      <c r="N1565" s="6">
        <f>K1565</f>
        <v>851143.12232852704</v>
      </c>
      <c r="O1565" s="6">
        <f>SUM(M1565:N1565)</f>
        <v>1062667.3285048814</v>
      </c>
      <c r="P1565" s="8">
        <f>VLOOKUP(F1565,'LEAID Match'!$A$2:$B$436,2,FALSE)</f>
        <v>1801740</v>
      </c>
      <c r="Q1565" s="6">
        <f>COUNTIF($P$2:$P$3691,P1565)</f>
        <v>9</v>
      </c>
    </row>
    <row r="1566" spans="1:17" x14ac:dyDescent="0.2">
      <c r="A1566" s="16">
        <f>P1566</f>
        <v>1801740</v>
      </c>
      <c r="B1566">
        <v>2017</v>
      </c>
      <c r="C1566" t="s">
        <v>904</v>
      </c>
      <c r="D1566" t="s">
        <v>906</v>
      </c>
      <c r="E1566" t="s">
        <v>2930</v>
      </c>
      <c r="F1566" t="s">
        <v>746</v>
      </c>
      <c r="G1566" t="s">
        <v>225</v>
      </c>
      <c r="H1566" s="6">
        <v>223352</v>
      </c>
      <c r="I1566" s="6">
        <v>9.8351440734866218E-4</v>
      </c>
      <c r="J1566" s="6">
        <v>4450.4026932526967</v>
      </c>
      <c r="K1566" s="6">
        <v>856641.04880068405</v>
      </c>
      <c r="M1566" s="6">
        <f>SUM(H1566,J1566)</f>
        <v>227802.40269325269</v>
      </c>
      <c r="N1566" s="6">
        <f>K1566</f>
        <v>856641.04880068405</v>
      </c>
      <c r="O1566" s="6">
        <f>SUM(M1566:N1566)</f>
        <v>1084443.4514939368</v>
      </c>
      <c r="P1566" s="8">
        <f>VLOOKUP(F1566,'LEAID Match'!$A$2:$B$436,2,FALSE)</f>
        <v>1801740</v>
      </c>
      <c r="Q1566" s="6">
        <f>COUNTIF($P$2:$P$3691,P1566)</f>
        <v>9</v>
      </c>
    </row>
    <row r="1567" spans="1:17" x14ac:dyDescent="0.2">
      <c r="A1567" s="16">
        <f>P1567</f>
        <v>1801740</v>
      </c>
      <c r="B1567">
        <v>2018</v>
      </c>
      <c r="C1567" t="s">
        <v>904</v>
      </c>
      <c r="D1567" t="s">
        <v>906</v>
      </c>
      <c r="E1567" t="s">
        <v>2931</v>
      </c>
      <c r="F1567" t="s">
        <v>746</v>
      </c>
      <c r="G1567" t="s">
        <v>225</v>
      </c>
      <c r="H1567" s="6">
        <v>231745</v>
      </c>
      <c r="I1567" s="6">
        <v>9.8314822554313309E-4</v>
      </c>
      <c r="J1567" s="6">
        <v>4097.761804063779</v>
      </c>
      <c r="K1567" s="6">
        <v>1068895</v>
      </c>
      <c r="M1567" s="6">
        <f>SUM(H1567,J1567)</f>
        <v>235842.76180406378</v>
      </c>
      <c r="N1567" s="6">
        <f>K1567</f>
        <v>1068895</v>
      </c>
      <c r="O1567" s="6">
        <f>SUM(M1567:N1567)</f>
        <v>1304737.7618040638</v>
      </c>
      <c r="P1567" s="8">
        <f>VLOOKUP(F1567,'LEAID Match'!$A$2:$B$436,2,FALSE)</f>
        <v>1801740</v>
      </c>
      <c r="Q1567" s="6">
        <f>COUNTIF($P$2:$P$3691,P1567)</f>
        <v>9</v>
      </c>
    </row>
    <row r="1568" spans="1:17" x14ac:dyDescent="0.2">
      <c r="A1568" s="16">
        <f>P1568</f>
        <v>1801740</v>
      </c>
      <c r="B1568">
        <v>2019</v>
      </c>
      <c r="C1568" t="s">
        <v>904</v>
      </c>
      <c r="D1568" t="s">
        <v>906</v>
      </c>
      <c r="E1568" t="s">
        <v>2932</v>
      </c>
      <c r="F1568" t="s">
        <v>746</v>
      </c>
      <c r="G1568" t="s">
        <v>225</v>
      </c>
      <c r="H1568" s="6">
        <v>246215</v>
      </c>
      <c r="I1568" s="6">
        <v>6.2636962467015739E-4</v>
      </c>
      <c r="J1568" s="6">
        <v>2195.4255344689018</v>
      </c>
      <c r="K1568" s="6">
        <v>591230.288726161</v>
      </c>
      <c r="M1568" s="6">
        <f>SUM(H1568,J1568)</f>
        <v>248410.4255344689</v>
      </c>
      <c r="N1568" s="6">
        <f>K1568</f>
        <v>591230.288726161</v>
      </c>
      <c r="O1568" s="6">
        <f>SUM(M1568:N1568)</f>
        <v>839640.71426062984</v>
      </c>
      <c r="P1568" s="8">
        <f>VLOOKUP(F1568,'LEAID Match'!$A$2:$B$436,2,FALSE)</f>
        <v>1801740</v>
      </c>
      <c r="Q1568" s="6">
        <f>COUNTIF($P$2:$P$3691,P1568)</f>
        <v>9</v>
      </c>
    </row>
    <row r="1569" spans="1:17" x14ac:dyDescent="0.2">
      <c r="A1569" s="16">
        <f>P1569</f>
        <v>1801740</v>
      </c>
      <c r="B1569">
        <v>2020</v>
      </c>
      <c r="C1569" t="s">
        <v>904</v>
      </c>
      <c r="D1569" t="s">
        <v>906</v>
      </c>
      <c r="E1569" t="s">
        <v>2933</v>
      </c>
      <c r="F1569" t="s">
        <v>746</v>
      </c>
      <c r="G1569" t="s">
        <v>225</v>
      </c>
      <c r="H1569" s="6">
        <v>192252</v>
      </c>
      <c r="I1569" s="6">
        <v>1.0186871538162177E-3</v>
      </c>
      <c r="J1569" s="6">
        <v>2400.026934391009</v>
      </c>
      <c r="K1569" s="6">
        <v>1010657</v>
      </c>
      <c r="M1569" s="6">
        <f>SUM(H1569,J1569)</f>
        <v>194652.026934391</v>
      </c>
      <c r="N1569" s="6">
        <f>K1569</f>
        <v>1010657</v>
      </c>
      <c r="O1569" s="6">
        <f>SUM(M1569:N1569)</f>
        <v>1205309.0269343909</v>
      </c>
      <c r="P1569" s="8">
        <f>VLOOKUP(F1569,'LEAID Match'!$A$2:$B$436,2,FALSE)</f>
        <v>1801740</v>
      </c>
      <c r="Q1569" s="6">
        <f>COUNTIF($P$2:$P$3691,P1569)</f>
        <v>9</v>
      </c>
    </row>
    <row r="1570" spans="1:17" x14ac:dyDescent="0.2">
      <c r="A1570" s="16">
        <f>P1570</f>
        <v>1801740</v>
      </c>
      <c r="B1570">
        <v>2021</v>
      </c>
      <c r="C1570" t="s">
        <v>904</v>
      </c>
      <c r="D1570" t="s">
        <v>906</v>
      </c>
      <c r="E1570" t="s">
        <v>2934</v>
      </c>
      <c r="F1570" t="s">
        <v>746</v>
      </c>
      <c r="G1570" t="s">
        <v>225</v>
      </c>
      <c r="H1570" s="6">
        <v>196350</v>
      </c>
      <c r="I1570" s="6">
        <v>9.6998726033997154E-4</v>
      </c>
      <c r="J1570" s="6">
        <v>2186.351284806296</v>
      </c>
      <c r="K1570" s="6">
        <v>1636576</v>
      </c>
      <c r="M1570" s="6">
        <f>SUM(H1570,J1570)</f>
        <v>198536.3512848063</v>
      </c>
      <c r="N1570" s="6">
        <f>K1570</f>
        <v>1636576</v>
      </c>
      <c r="O1570" s="6">
        <f>SUM(M1570:N1570)</f>
        <v>1835112.3512848064</v>
      </c>
      <c r="P1570" s="8">
        <f>VLOOKUP(F1570,'LEAID Match'!$A$2:$B$436,2,FALSE)</f>
        <v>1801740</v>
      </c>
      <c r="Q1570" s="6">
        <f>COUNTIF($P$2:$P$3691,P1570)</f>
        <v>9</v>
      </c>
    </row>
    <row r="1571" spans="1:17" x14ac:dyDescent="0.2">
      <c r="A1571" s="16">
        <f>P1571</f>
        <v>1801740</v>
      </c>
      <c r="B1571">
        <v>2022</v>
      </c>
      <c r="C1571" t="s">
        <v>904</v>
      </c>
      <c r="D1571" t="s">
        <v>906</v>
      </c>
      <c r="E1571" t="s">
        <v>2935</v>
      </c>
      <c r="F1571" t="s">
        <v>746</v>
      </c>
      <c r="G1571" t="s">
        <v>225</v>
      </c>
      <c r="H1571" s="6">
        <v>205220</v>
      </c>
      <c r="I1571" s="6">
        <v>9.744227003700242E-4</v>
      </c>
      <c r="J1571" s="6">
        <v>2148.6020543159034</v>
      </c>
      <c r="K1571" s="6">
        <v>1613667</v>
      </c>
      <c r="M1571" s="6">
        <f>SUM(H1571,J1571)</f>
        <v>207368.60205431591</v>
      </c>
      <c r="N1571" s="6">
        <f>K1571</f>
        <v>1613667</v>
      </c>
      <c r="O1571" s="6">
        <f>SUM(M1571:N1571)</f>
        <v>1821035.6020543159</v>
      </c>
      <c r="P1571" s="8">
        <f>VLOOKUP(F1571,'LEAID Match'!$A$2:$B$436,2,FALSE)</f>
        <v>1801740</v>
      </c>
      <c r="Q1571" s="6">
        <f>COUNTIF($P$2:$P$3691,P1571)</f>
        <v>9</v>
      </c>
    </row>
    <row r="1572" spans="1:17" x14ac:dyDescent="0.2">
      <c r="A1572" s="16">
        <f>P1572</f>
        <v>1801740</v>
      </c>
      <c r="B1572">
        <v>2023</v>
      </c>
      <c r="C1572" t="s">
        <v>904</v>
      </c>
      <c r="D1572" t="s">
        <v>906</v>
      </c>
      <c r="E1572" t="s">
        <v>2936</v>
      </c>
      <c r="F1572" t="s">
        <v>746</v>
      </c>
      <c r="G1572" t="s">
        <v>225</v>
      </c>
      <c r="H1572" s="6">
        <v>249309</v>
      </c>
      <c r="I1572" s="6">
        <v>1.0195368265409005E-3</v>
      </c>
      <c r="J1572" s="6">
        <v>2515.1973510764014</v>
      </c>
      <c r="K1572" s="6">
        <v>4586082</v>
      </c>
      <c r="M1572" s="6">
        <f>SUM(H1572,J1572)</f>
        <v>251824.19735107641</v>
      </c>
      <c r="N1572" s="6">
        <f>K1572</f>
        <v>4586082</v>
      </c>
      <c r="O1572" s="6">
        <f>SUM(M1572:N1572)</f>
        <v>4837906.1973510766</v>
      </c>
      <c r="P1572" s="8">
        <f>VLOOKUP(F1572,'LEAID Match'!$A$2:$B$436,2,FALSE)</f>
        <v>1801740</v>
      </c>
      <c r="Q1572" s="6">
        <f>COUNTIF($P$2:$P$3691,P1572)</f>
        <v>9</v>
      </c>
    </row>
    <row r="1573" spans="1:17" x14ac:dyDescent="0.2">
      <c r="A1573" s="16">
        <f>P1573</f>
        <v>1800450</v>
      </c>
      <c r="B1573">
        <v>2015</v>
      </c>
      <c r="C1573" t="s">
        <v>904</v>
      </c>
      <c r="D1573" t="s">
        <v>906</v>
      </c>
      <c r="E1573" t="s">
        <v>2479</v>
      </c>
      <c r="F1573" t="s">
        <v>539</v>
      </c>
      <c r="G1573" t="s">
        <v>181</v>
      </c>
      <c r="H1573" s="6">
        <v>713788</v>
      </c>
      <c r="I1573" s="6">
        <v>3.4709419457451241E-3</v>
      </c>
      <c r="J1573" s="6">
        <v>20169.643646724915</v>
      </c>
      <c r="K1573" s="6">
        <v>2935084.0443932</v>
      </c>
      <c r="M1573" s="6">
        <f>SUM(H1573,J1573)</f>
        <v>733957.64364672487</v>
      </c>
      <c r="N1573" s="6">
        <f>K1573</f>
        <v>2935084.0443932</v>
      </c>
      <c r="O1573" s="6">
        <f>SUM(M1573:N1573)</f>
        <v>3669041.6880399249</v>
      </c>
      <c r="P1573" s="8">
        <f>VLOOKUP(F1573,'LEAID Match'!$A$2:$B$436,2,FALSE)</f>
        <v>1800450</v>
      </c>
      <c r="Q1573" s="6">
        <f>COUNTIF($P$2:$P$3691,P1573)</f>
        <v>9</v>
      </c>
    </row>
    <row r="1574" spans="1:17" x14ac:dyDescent="0.2">
      <c r="A1574" s="16">
        <f>P1574</f>
        <v>1800450</v>
      </c>
      <c r="B1574">
        <v>2016</v>
      </c>
      <c r="C1574" t="s">
        <v>904</v>
      </c>
      <c r="D1574" t="s">
        <v>906</v>
      </c>
      <c r="E1574" t="s">
        <v>2480</v>
      </c>
      <c r="F1574" t="s">
        <v>539</v>
      </c>
      <c r="G1574" t="s">
        <v>181</v>
      </c>
      <c r="H1574" s="6">
        <v>739990</v>
      </c>
      <c r="I1574" s="6">
        <v>3.4336444828009368E-3</v>
      </c>
      <c r="J1574" s="6">
        <v>17333.037349179129</v>
      </c>
      <c r="K1574" s="6">
        <v>3047359.4784858301</v>
      </c>
      <c r="M1574" s="6">
        <f>SUM(H1574,J1574)</f>
        <v>757323.03734917915</v>
      </c>
      <c r="N1574" s="6">
        <f>K1574</f>
        <v>3047359.4784858301</v>
      </c>
      <c r="O1574" s="6">
        <f>SUM(M1574:N1574)</f>
        <v>3804682.5158350095</v>
      </c>
      <c r="P1574" s="8">
        <f>VLOOKUP(F1574,'LEAID Match'!$A$2:$B$436,2,FALSE)</f>
        <v>1800450</v>
      </c>
      <c r="Q1574" s="6">
        <f>COUNTIF($P$2:$P$3691,P1574)</f>
        <v>9</v>
      </c>
    </row>
    <row r="1575" spans="1:17" x14ac:dyDescent="0.2">
      <c r="A1575" s="16">
        <f>P1575</f>
        <v>1800450</v>
      </c>
      <c r="B1575">
        <v>2017</v>
      </c>
      <c r="C1575" t="s">
        <v>904</v>
      </c>
      <c r="D1575" t="s">
        <v>906</v>
      </c>
      <c r="E1575" t="s">
        <v>2481</v>
      </c>
      <c r="F1575" t="s">
        <v>539</v>
      </c>
      <c r="G1575" t="s">
        <v>181</v>
      </c>
      <c r="H1575" s="6">
        <v>722395</v>
      </c>
      <c r="I1575" s="6">
        <v>3.1810142299895988E-3</v>
      </c>
      <c r="J1575" s="6">
        <v>14394.089390702935</v>
      </c>
      <c r="K1575" s="6">
        <v>2770663.3943209401</v>
      </c>
      <c r="M1575" s="6">
        <f>SUM(H1575,J1575)</f>
        <v>736789.08939070289</v>
      </c>
      <c r="N1575" s="6">
        <f>K1575</f>
        <v>2770663.3943209401</v>
      </c>
      <c r="O1575" s="6">
        <f>SUM(M1575:N1575)</f>
        <v>3507452.4837116431</v>
      </c>
      <c r="P1575" s="8">
        <f>VLOOKUP(F1575,'LEAID Match'!$A$2:$B$436,2,FALSE)</f>
        <v>1800450</v>
      </c>
      <c r="Q1575" s="6">
        <f>COUNTIF($P$2:$P$3691,P1575)</f>
        <v>9</v>
      </c>
    </row>
    <row r="1576" spans="1:17" x14ac:dyDescent="0.2">
      <c r="A1576" s="16">
        <f>P1576</f>
        <v>1800450</v>
      </c>
      <c r="B1576">
        <v>2018</v>
      </c>
      <c r="C1576" t="s">
        <v>904</v>
      </c>
      <c r="D1576" t="s">
        <v>906</v>
      </c>
      <c r="E1576" t="s">
        <v>2482</v>
      </c>
      <c r="F1576" t="s">
        <v>539</v>
      </c>
      <c r="G1576" t="s">
        <v>181</v>
      </c>
      <c r="H1576" s="6">
        <v>756210</v>
      </c>
      <c r="I1576" s="6">
        <v>3.2081232373426514E-3</v>
      </c>
      <c r="J1576" s="6">
        <v>13371.457653244172</v>
      </c>
      <c r="K1576" s="6">
        <v>2048569</v>
      </c>
      <c r="M1576" s="6">
        <f>SUM(H1576,J1576)</f>
        <v>769581.45765324414</v>
      </c>
      <c r="N1576" s="6">
        <f>K1576</f>
        <v>2048569</v>
      </c>
      <c r="O1576" s="6">
        <f>SUM(M1576:N1576)</f>
        <v>2818150.457653244</v>
      </c>
      <c r="P1576" s="8">
        <f>VLOOKUP(F1576,'LEAID Match'!$A$2:$B$436,2,FALSE)</f>
        <v>1800450</v>
      </c>
      <c r="Q1576" s="6">
        <f>COUNTIF($P$2:$P$3691,P1576)</f>
        <v>9</v>
      </c>
    </row>
    <row r="1577" spans="1:17" x14ac:dyDescent="0.2">
      <c r="A1577" s="16">
        <f>P1577</f>
        <v>1800450</v>
      </c>
      <c r="B1577">
        <v>2019</v>
      </c>
      <c r="C1577" t="s">
        <v>904</v>
      </c>
      <c r="D1577" t="s">
        <v>906</v>
      </c>
      <c r="E1577" t="s">
        <v>2483</v>
      </c>
      <c r="F1577" t="s">
        <v>539</v>
      </c>
      <c r="G1577" t="s">
        <v>181</v>
      </c>
      <c r="H1577" s="6">
        <v>759135</v>
      </c>
      <c r="I1577" s="6">
        <v>1.9312353228843895E-3</v>
      </c>
      <c r="J1577" s="6">
        <v>6768.9798067097854</v>
      </c>
      <c r="K1577" s="6">
        <v>1822893.0212705701</v>
      </c>
      <c r="M1577" s="6">
        <f>SUM(H1577,J1577)</f>
        <v>765903.9798067098</v>
      </c>
      <c r="N1577" s="6">
        <f>K1577</f>
        <v>1822893.0212705701</v>
      </c>
      <c r="O1577" s="6">
        <f>SUM(M1577:N1577)</f>
        <v>2588797.0010772799</v>
      </c>
      <c r="P1577" s="8">
        <f>VLOOKUP(F1577,'LEAID Match'!$A$2:$B$436,2,FALSE)</f>
        <v>1800450</v>
      </c>
      <c r="Q1577" s="6">
        <f>COUNTIF($P$2:$P$3691,P1577)</f>
        <v>9</v>
      </c>
    </row>
    <row r="1578" spans="1:17" x14ac:dyDescent="0.2">
      <c r="A1578" s="16">
        <f>P1578</f>
        <v>1800450</v>
      </c>
      <c r="B1578">
        <v>2020</v>
      </c>
      <c r="C1578" t="s">
        <v>904</v>
      </c>
      <c r="D1578" t="s">
        <v>906</v>
      </c>
      <c r="E1578" t="s">
        <v>2484</v>
      </c>
      <c r="F1578" t="s">
        <v>539</v>
      </c>
      <c r="G1578" t="s">
        <v>181</v>
      </c>
      <c r="H1578" s="6">
        <v>578901</v>
      </c>
      <c r="I1578" s="6">
        <v>3.0674271894771564E-3</v>
      </c>
      <c r="J1578" s="6">
        <v>7226.85845840818</v>
      </c>
      <c r="K1578" s="6">
        <v>2117165</v>
      </c>
      <c r="M1578" s="6">
        <f>SUM(H1578,J1578)</f>
        <v>586127.85845840815</v>
      </c>
      <c r="N1578" s="6">
        <f>K1578</f>
        <v>2117165</v>
      </c>
      <c r="O1578" s="6">
        <f>SUM(M1578:N1578)</f>
        <v>2703292.8584584082</v>
      </c>
      <c r="P1578" s="8">
        <f>VLOOKUP(F1578,'LEAID Match'!$A$2:$B$436,2,FALSE)</f>
        <v>1800450</v>
      </c>
      <c r="Q1578" s="6">
        <f>COUNTIF($P$2:$P$3691,P1578)</f>
        <v>9</v>
      </c>
    </row>
    <row r="1579" spans="1:17" x14ac:dyDescent="0.2">
      <c r="A1579" s="16">
        <f>P1579</f>
        <v>1800450</v>
      </c>
      <c r="B1579">
        <v>2021</v>
      </c>
      <c r="C1579" t="s">
        <v>904</v>
      </c>
      <c r="D1579" t="s">
        <v>906</v>
      </c>
      <c r="E1579" t="s">
        <v>2485</v>
      </c>
      <c r="F1579" t="s">
        <v>539</v>
      </c>
      <c r="G1579" t="s">
        <v>181</v>
      </c>
      <c r="H1579" s="6">
        <v>629897</v>
      </c>
      <c r="I1579" s="6">
        <v>3.1117497597472222E-3</v>
      </c>
      <c r="J1579" s="6">
        <v>7013.8839584702391</v>
      </c>
      <c r="K1579" s="6">
        <v>3612168</v>
      </c>
      <c r="M1579" s="6">
        <f>SUM(H1579,J1579)</f>
        <v>636910.88395847019</v>
      </c>
      <c r="N1579" s="6">
        <f>K1579</f>
        <v>3612168</v>
      </c>
      <c r="O1579" s="6">
        <f>SUM(M1579:N1579)</f>
        <v>4249078.8839584701</v>
      </c>
      <c r="P1579" s="8">
        <f>VLOOKUP(F1579,'LEAID Match'!$A$2:$B$436,2,FALSE)</f>
        <v>1800450</v>
      </c>
      <c r="Q1579" s="6">
        <f>COUNTIF($P$2:$P$3691,P1579)</f>
        <v>9</v>
      </c>
    </row>
    <row r="1580" spans="1:17" x14ac:dyDescent="0.2">
      <c r="A1580" s="16">
        <f>P1580</f>
        <v>1800450</v>
      </c>
      <c r="B1580">
        <v>2022</v>
      </c>
      <c r="C1580" t="s">
        <v>904</v>
      </c>
      <c r="D1580" t="s">
        <v>906</v>
      </c>
      <c r="E1580" t="s">
        <v>2486</v>
      </c>
      <c r="F1580" t="s">
        <v>539</v>
      </c>
      <c r="G1580" t="s">
        <v>181</v>
      </c>
      <c r="H1580" s="6">
        <v>698233</v>
      </c>
      <c r="I1580" s="6">
        <v>3.3153400513958832E-3</v>
      </c>
      <c r="J1580" s="6">
        <v>7310.3248133279221</v>
      </c>
      <c r="K1580" s="6">
        <v>3492299</v>
      </c>
      <c r="M1580" s="6">
        <f>SUM(H1580,J1580)</f>
        <v>705543.32481332787</v>
      </c>
      <c r="N1580" s="6">
        <f>K1580</f>
        <v>3492299</v>
      </c>
      <c r="O1580" s="6">
        <f>SUM(M1580:N1580)</f>
        <v>4197842.3248133278</v>
      </c>
      <c r="P1580" s="8">
        <f>VLOOKUP(F1580,'LEAID Match'!$A$2:$B$436,2,FALSE)</f>
        <v>1800450</v>
      </c>
      <c r="Q1580" s="6">
        <f>COUNTIF($P$2:$P$3691,P1580)</f>
        <v>9</v>
      </c>
    </row>
    <row r="1581" spans="1:17" x14ac:dyDescent="0.2">
      <c r="A1581" s="16">
        <f>P1581</f>
        <v>1800450</v>
      </c>
      <c r="B1581">
        <v>2023</v>
      </c>
      <c r="C1581" t="s">
        <v>904</v>
      </c>
      <c r="D1581" t="s">
        <v>906</v>
      </c>
      <c r="E1581" t="s">
        <v>2487</v>
      </c>
      <c r="F1581" t="s">
        <v>539</v>
      </c>
      <c r="G1581" t="s">
        <v>181</v>
      </c>
      <c r="H1581" s="6">
        <v>787409</v>
      </c>
      <c r="I1581" s="6">
        <v>3.2200701661381816E-3</v>
      </c>
      <c r="J1581" s="6">
        <v>7943.9130998628943</v>
      </c>
      <c r="K1581" s="6">
        <v>10086076</v>
      </c>
      <c r="M1581" s="6">
        <f>SUM(H1581,J1581)</f>
        <v>795352.91309986287</v>
      </c>
      <c r="N1581" s="6">
        <f>K1581</f>
        <v>10086076</v>
      </c>
      <c r="O1581" s="6">
        <f>SUM(M1581:N1581)</f>
        <v>10881428.913099863</v>
      </c>
      <c r="P1581" s="8">
        <f>VLOOKUP(F1581,'LEAID Match'!$A$2:$B$436,2,FALSE)</f>
        <v>1800450</v>
      </c>
      <c r="Q1581" s="6">
        <f>COUNTIF($P$2:$P$3691,P1581)</f>
        <v>9</v>
      </c>
    </row>
    <row r="1582" spans="1:17" x14ac:dyDescent="0.2">
      <c r="A1582" s="16">
        <f>P1582</f>
        <v>1804770</v>
      </c>
      <c r="B1582">
        <v>2015</v>
      </c>
      <c r="C1582" t="s">
        <v>904</v>
      </c>
      <c r="D1582" t="s">
        <v>906</v>
      </c>
      <c r="E1582" t="s">
        <v>2488</v>
      </c>
      <c r="F1582" t="s">
        <v>540</v>
      </c>
      <c r="G1582" t="s">
        <v>182</v>
      </c>
      <c r="H1582" s="6">
        <v>7885920</v>
      </c>
      <c r="I1582" s="6">
        <v>3.8346918845357993E-2</v>
      </c>
      <c r="J1582" s="6">
        <v>222833.94541037531</v>
      </c>
      <c r="K1582" s="6">
        <v>32426768.126336198</v>
      </c>
      <c r="M1582" s="6">
        <f>SUM(H1582,J1582)</f>
        <v>8108753.9454103755</v>
      </c>
      <c r="N1582" s="6">
        <f>K1582</f>
        <v>32426768.126336198</v>
      </c>
      <c r="O1582" s="6">
        <f>SUM(M1582:N1582)</f>
        <v>40535522.071746573</v>
      </c>
      <c r="P1582" s="8">
        <f>VLOOKUP(F1582,'LEAID Match'!$A$2:$B$436,2,FALSE)</f>
        <v>1804770</v>
      </c>
      <c r="Q1582" s="6">
        <f>COUNTIF($P$2:$P$3691,P1582)</f>
        <v>9</v>
      </c>
    </row>
    <row r="1583" spans="1:17" x14ac:dyDescent="0.2">
      <c r="A1583" s="16">
        <f>P1583</f>
        <v>1804770</v>
      </c>
      <c r="B1583">
        <v>2016</v>
      </c>
      <c r="C1583" t="s">
        <v>904</v>
      </c>
      <c r="D1583" t="s">
        <v>906</v>
      </c>
      <c r="E1583" t="s">
        <v>2489</v>
      </c>
      <c r="F1583" t="s">
        <v>540</v>
      </c>
      <c r="G1583" t="s">
        <v>182</v>
      </c>
      <c r="H1583" s="6">
        <v>8069686</v>
      </c>
      <c r="I1583" s="6">
        <v>3.7444334128617904E-2</v>
      </c>
      <c r="J1583" s="6">
        <v>189018.99868126318</v>
      </c>
      <c r="K1583" s="6">
        <v>33231846.539148301</v>
      </c>
      <c r="M1583" s="6">
        <f>SUM(H1583,J1583)</f>
        <v>8258704.9986812631</v>
      </c>
      <c r="N1583" s="6">
        <f>K1583</f>
        <v>33231846.539148301</v>
      </c>
      <c r="O1583" s="6">
        <f>SUM(M1583:N1583)</f>
        <v>41490551.537829563</v>
      </c>
      <c r="P1583" s="8">
        <f>VLOOKUP(F1583,'LEAID Match'!$A$2:$B$436,2,FALSE)</f>
        <v>1804770</v>
      </c>
      <c r="Q1583" s="6">
        <f>COUNTIF($P$2:$P$3691,P1583)</f>
        <v>9</v>
      </c>
    </row>
    <row r="1584" spans="1:17" x14ac:dyDescent="0.2">
      <c r="A1584" s="16">
        <f>P1584</f>
        <v>1804770</v>
      </c>
      <c r="B1584">
        <v>2017</v>
      </c>
      <c r="C1584" t="s">
        <v>904</v>
      </c>
      <c r="D1584" t="s">
        <v>906</v>
      </c>
      <c r="E1584" t="s">
        <v>2490</v>
      </c>
      <c r="F1584" t="s">
        <v>540</v>
      </c>
      <c r="G1584" t="s">
        <v>182</v>
      </c>
      <c r="H1584" s="6">
        <v>8018118</v>
      </c>
      <c r="I1584" s="6">
        <v>3.5307203753813E-2</v>
      </c>
      <c r="J1584" s="6">
        <v>159765.09698600383</v>
      </c>
      <c r="K1584" s="6">
        <v>30752574.469571099</v>
      </c>
      <c r="M1584" s="6">
        <f>SUM(H1584,J1584)</f>
        <v>8177883.0969860042</v>
      </c>
      <c r="N1584" s="6">
        <f>K1584</f>
        <v>30752574.469571099</v>
      </c>
      <c r="O1584" s="6">
        <f>SUM(M1584:N1584)</f>
        <v>38930457.566557102</v>
      </c>
      <c r="P1584" s="8">
        <f>VLOOKUP(F1584,'LEAID Match'!$A$2:$B$436,2,FALSE)</f>
        <v>1804770</v>
      </c>
      <c r="Q1584" s="6">
        <f>COUNTIF($P$2:$P$3691,P1584)</f>
        <v>9</v>
      </c>
    </row>
    <row r="1585" spans="1:17" x14ac:dyDescent="0.2">
      <c r="A1585" s="16">
        <f>P1585</f>
        <v>1804770</v>
      </c>
      <c r="B1585">
        <v>2018</v>
      </c>
      <c r="C1585" t="s">
        <v>904</v>
      </c>
      <c r="D1585" t="s">
        <v>906</v>
      </c>
      <c r="E1585" t="s">
        <v>2491</v>
      </c>
      <c r="F1585" t="s">
        <v>540</v>
      </c>
      <c r="G1585" t="s">
        <v>182</v>
      </c>
      <c r="H1585" s="6">
        <v>7887965</v>
      </c>
      <c r="I1585" s="6">
        <v>3.3463672540492095E-2</v>
      </c>
      <c r="J1585" s="6">
        <v>139476.58714877104</v>
      </c>
      <c r="K1585" s="6">
        <v>41196630</v>
      </c>
      <c r="M1585" s="6">
        <f>SUM(H1585,J1585)</f>
        <v>8027441.5871487707</v>
      </c>
      <c r="N1585" s="6">
        <f>K1585</f>
        <v>41196630</v>
      </c>
      <c r="O1585" s="6">
        <f>SUM(M1585:N1585)</f>
        <v>49224071.587148771</v>
      </c>
      <c r="P1585" s="8">
        <f>VLOOKUP(F1585,'LEAID Match'!$A$2:$B$436,2,FALSE)</f>
        <v>1804770</v>
      </c>
      <c r="Q1585" s="6">
        <f>COUNTIF($P$2:$P$3691,P1585)</f>
        <v>9</v>
      </c>
    </row>
    <row r="1586" spans="1:17" x14ac:dyDescent="0.2">
      <c r="A1586" s="16">
        <f>P1586</f>
        <v>1804770</v>
      </c>
      <c r="B1586">
        <v>2019</v>
      </c>
      <c r="C1586" t="s">
        <v>904</v>
      </c>
      <c r="D1586" t="s">
        <v>906</v>
      </c>
      <c r="E1586" t="s">
        <v>2492</v>
      </c>
      <c r="F1586" t="s">
        <v>540</v>
      </c>
      <c r="G1586" t="s">
        <v>182</v>
      </c>
      <c r="H1586" s="6">
        <v>7349851</v>
      </c>
      <c r="I1586" s="6">
        <v>1.8697981082596841E-2</v>
      </c>
      <c r="J1586" s="6">
        <v>65536.423694501937</v>
      </c>
      <c r="K1586" s="6">
        <v>17649024.3438631</v>
      </c>
      <c r="M1586" s="6">
        <f>SUM(H1586,J1586)</f>
        <v>7415387.4236945016</v>
      </c>
      <c r="N1586" s="6">
        <f>K1586</f>
        <v>17649024.3438631</v>
      </c>
      <c r="O1586" s="6">
        <f>SUM(M1586:N1586)</f>
        <v>25064411.767557602</v>
      </c>
      <c r="P1586" s="8">
        <f>VLOOKUP(F1586,'LEAID Match'!$A$2:$B$436,2,FALSE)</f>
        <v>1804770</v>
      </c>
      <c r="Q1586" s="6">
        <f>COUNTIF($P$2:$P$3691,P1586)</f>
        <v>9</v>
      </c>
    </row>
    <row r="1587" spans="1:17" x14ac:dyDescent="0.2">
      <c r="A1587" s="16">
        <f>P1587</f>
        <v>1804770</v>
      </c>
      <c r="B1587">
        <v>2020</v>
      </c>
      <c r="C1587" t="s">
        <v>904</v>
      </c>
      <c r="D1587" t="s">
        <v>906</v>
      </c>
      <c r="E1587" t="s">
        <v>2493</v>
      </c>
      <c r="F1587" t="s">
        <v>540</v>
      </c>
      <c r="G1587" t="s">
        <v>182</v>
      </c>
      <c r="H1587" s="6">
        <v>6233807</v>
      </c>
      <c r="I1587" s="6">
        <v>3.3031121186097495E-2</v>
      </c>
      <c r="J1587" s="6">
        <v>77821.321514445692</v>
      </c>
      <c r="K1587" s="6">
        <v>41995925</v>
      </c>
      <c r="M1587" s="6">
        <f>SUM(H1587,J1587)</f>
        <v>6311628.3215144454</v>
      </c>
      <c r="N1587" s="6">
        <f>K1587</f>
        <v>41995925</v>
      </c>
      <c r="O1587" s="6">
        <f>SUM(M1587:N1587)</f>
        <v>48307553.321514443</v>
      </c>
      <c r="P1587" s="8">
        <f>VLOOKUP(F1587,'LEAID Match'!$A$2:$B$436,2,FALSE)</f>
        <v>1804770</v>
      </c>
      <c r="Q1587" s="6">
        <f>COUNTIF($P$2:$P$3691,P1587)</f>
        <v>9</v>
      </c>
    </row>
    <row r="1588" spans="1:17" x14ac:dyDescent="0.2">
      <c r="A1588" s="16">
        <f>P1588</f>
        <v>1804770</v>
      </c>
      <c r="B1588">
        <v>2021</v>
      </c>
      <c r="C1588" t="s">
        <v>904</v>
      </c>
      <c r="D1588" t="s">
        <v>906</v>
      </c>
      <c r="E1588" t="s">
        <v>2494</v>
      </c>
      <c r="F1588" t="s">
        <v>540</v>
      </c>
      <c r="G1588" t="s">
        <v>182</v>
      </c>
      <c r="H1588" s="6">
        <v>6389372</v>
      </c>
      <c r="I1588" s="6">
        <v>3.1564091884761523E-2</v>
      </c>
      <c r="J1588" s="6">
        <v>71145.463108252472</v>
      </c>
      <c r="K1588" s="6">
        <v>66511415</v>
      </c>
      <c r="M1588" s="6">
        <f>SUM(H1588,J1588)</f>
        <v>6460517.4631082527</v>
      </c>
      <c r="N1588" s="6">
        <f>K1588</f>
        <v>66511415</v>
      </c>
      <c r="O1588" s="6">
        <f>SUM(M1588:N1588)</f>
        <v>72971932.463108256</v>
      </c>
      <c r="P1588" s="8">
        <f>VLOOKUP(F1588,'LEAID Match'!$A$2:$B$436,2,FALSE)</f>
        <v>1804770</v>
      </c>
      <c r="Q1588" s="6">
        <f>COUNTIF($P$2:$P$3691,P1588)</f>
        <v>9</v>
      </c>
    </row>
    <row r="1589" spans="1:17" x14ac:dyDescent="0.2">
      <c r="A1589" s="16">
        <f>P1589</f>
        <v>1804770</v>
      </c>
      <c r="B1589">
        <v>2022</v>
      </c>
      <c r="C1589" t="s">
        <v>904</v>
      </c>
      <c r="D1589" t="s">
        <v>906</v>
      </c>
      <c r="E1589" t="s">
        <v>2495</v>
      </c>
      <c r="F1589" t="s">
        <v>540</v>
      </c>
      <c r="G1589" t="s">
        <v>182</v>
      </c>
      <c r="H1589" s="6">
        <v>6380073</v>
      </c>
      <c r="I1589" s="6">
        <v>3.0293772347811526E-2</v>
      </c>
      <c r="J1589" s="6">
        <v>66797.768026924416</v>
      </c>
      <c r="K1589" s="6">
        <v>63261391</v>
      </c>
      <c r="M1589" s="6">
        <f>SUM(H1589,J1589)</f>
        <v>6446870.7680269247</v>
      </c>
      <c r="N1589" s="6">
        <f>K1589</f>
        <v>63261391</v>
      </c>
      <c r="O1589" s="6">
        <f>SUM(M1589:N1589)</f>
        <v>69708261.768026918</v>
      </c>
      <c r="P1589" s="8">
        <f>VLOOKUP(F1589,'LEAID Match'!$A$2:$B$436,2,FALSE)</f>
        <v>1804770</v>
      </c>
      <c r="Q1589" s="6">
        <f>COUNTIF($P$2:$P$3691,P1589)</f>
        <v>9</v>
      </c>
    </row>
    <row r="1590" spans="1:17" x14ac:dyDescent="0.2">
      <c r="A1590" s="16">
        <f>P1590</f>
        <v>1804770</v>
      </c>
      <c r="B1590">
        <v>2023</v>
      </c>
      <c r="C1590" t="s">
        <v>904</v>
      </c>
      <c r="D1590" t="s">
        <v>906</v>
      </c>
      <c r="E1590" t="s">
        <v>2496</v>
      </c>
      <c r="F1590" t="s">
        <v>540</v>
      </c>
      <c r="G1590" t="s">
        <v>182</v>
      </c>
      <c r="H1590" s="6">
        <v>7600510</v>
      </c>
      <c r="I1590" s="6">
        <v>3.1081909780603104E-2</v>
      </c>
      <c r="J1590" s="6">
        <v>76679.071428747862</v>
      </c>
      <c r="K1590" s="6">
        <v>156393375</v>
      </c>
      <c r="M1590" s="6">
        <f>SUM(H1590,J1590)</f>
        <v>7677189.0714287478</v>
      </c>
      <c r="N1590" s="6">
        <f>K1590</f>
        <v>156393375</v>
      </c>
      <c r="O1590" s="6">
        <f>SUM(M1590:N1590)</f>
        <v>164070564.07142875</v>
      </c>
      <c r="P1590" s="8">
        <f>VLOOKUP(F1590,'LEAID Match'!$A$2:$B$436,2,FALSE)</f>
        <v>1804770</v>
      </c>
      <c r="Q1590" s="6">
        <f>COUNTIF($P$2:$P$3691,P1590)</f>
        <v>9</v>
      </c>
    </row>
    <row r="1591" spans="1:17" x14ac:dyDescent="0.2">
      <c r="A1591" s="16">
        <f>P1591</f>
        <v>1810920</v>
      </c>
      <c r="B1591">
        <v>2015</v>
      </c>
      <c r="C1591" t="s">
        <v>904</v>
      </c>
      <c r="D1591" t="s">
        <v>906</v>
      </c>
      <c r="E1591" t="s">
        <v>2497</v>
      </c>
      <c r="F1591" t="s">
        <v>541</v>
      </c>
      <c r="G1591" t="s">
        <v>183</v>
      </c>
      <c r="H1591" s="6">
        <v>486059</v>
      </c>
      <c r="I1591" s="6">
        <v>2.3635625300606473E-3</v>
      </c>
      <c r="J1591" s="6">
        <v>13734.661862182422</v>
      </c>
      <c r="K1591" s="6">
        <v>1998666.29241976</v>
      </c>
      <c r="M1591" s="6">
        <f>SUM(H1591,J1591)</f>
        <v>499793.66186218243</v>
      </c>
      <c r="N1591" s="6">
        <f>K1591</f>
        <v>1998666.29241976</v>
      </c>
      <c r="O1591" s="6">
        <f>SUM(M1591:N1591)</f>
        <v>2498459.9542819425</v>
      </c>
      <c r="P1591" s="8">
        <f>VLOOKUP(F1591,'LEAID Match'!$A$2:$B$436,2,FALSE)</f>
        <v>1810920</v>
      </c>
      <c r="Q1591" s="6">
        <f>COUNTIF($P$2:$P$3691,P1591)</f>
        <v>9</v>
      </c>
    </row>
    <row r="1592" spans="1:17" x14ac:dyDescent="0.2">
      <c r="A1592" s="16">
        <f>P1592</f>
        <v>1810920</v>
      </c>
      <c r="B1592">
        <v>2016</v>
      </c>
      <c r="C1592" t="s">
        <v>904</v>
      </c>
      <c r="D1592" t="s">
        <v>906</v>
      </c>
      <c r="E1592" t="s">
        <v>2498</v>
      </c>
      <c r="F1592" t="s">
        <v>541</v>
      </c>
      <c r="G1592" t="s">
        <v>183</v>
      </c>
      <c r="H1592" s="6">
        <v>497404</v>
      </c>
      <c r="I1592" s="6">
        <v>2.3080156492967705E-3</v>
      </c>
      <c r="J1592" s="6">
        <v>11650.862997650098</v>
      </c>
      <c r="K1592" s="6">
        <v>2048363.88875088</v>
      </c>
      <c r="M1592" s="6">
        <f>SUM(H1592,J1592)</f>
        <v>509054.86299765011</v>
      </c>
      <c r="N1592" s="6">
        <f>K1592</f>
        <v>2048363.88875088</v>
      </c>
      <c r="O1592" s="6">
        <f>SUM(M1592:N1592)</f>
        <v>2557418.7517485302</v>
      </c>
      <c r="P1592" s="8">
        <f>VLOOKUP(F1592,'LEAID Match'!$A$2:$B$436,2,FALSE)</f>
        <v>1810920</v>
      </c>
      <c r="Q1592" s="6">
        <f>COUNTIF($P$2:$P$3691,P1592)</f>
        <v>9</v>
      </c>
    </row>
    <row r="1593" spans="1:17" x14ac:dyDescent="0.2">
      <c r="A1593" s="16">
        <f>P1593</f>
        <v>1810920</v>
      </c>
      <c r="B1593">
        <v>2017</v>
      </c>
      <c r="C1593" t="s">
        <v>904</v>
      </c>
      <c r="D1593" t="s">
        <v>906</v>
      </c>
      <c r="E1593" t="s">
        <v>2499</v>
      </c>
      <c r="F1593" t="s">
        <v>541</v>
      </c>
      <c r="G1593" t="s">
        <v>183</v>
      </c>
      <c r="H1593" s="6">
        <v>521844</v>
      </c>
      <c r="I1593" s="6">
        <v>2.2979023800478856E-3</v>
      </c>
      <c r="J1593" s="6">
        <v>10398.008269716682</v>
      </c>
      <c r="K1593" s="6">
        <v>2001472.9730217</v>
      </c>
      <c r="M1593" s="6">
        <f>SUM(H1593,J1593)</f>
        <v>532242.00826971664</v>
      </c>
      <c r="N1593" s="6">
        <f>K1593</f>
        <v>2001472.9730217</v>
      </c>
      <c r="O1593" s="6">
        <f>SUM(M1593:N1593)</f>
        <v>2533714.9812914166</v>
      </c>
      <c r="P1593" s="8">
        <f>VLOOKUP(F1593,'LEAID Match'!$A$2:$B$436,2,FALSE)</f>
        <v>1810920</v>
      </c>
      <c r="Q1593" s="6">
        <f>COUNTIF($P$2:$P$3691,P1593)</f>
        <v>9</v>
      </c>
    </row>
    <row r="1594" spans="1:17" x14ac:dyDescent="0.2">
      <c r="A1594" s="16">
        <f>P1594</f>
        <v>1810920</v>
      </c>
      <c r="B1594">
        <v>2018</v>
      </c>
      <c r="C1594" t="s">
        <v>904</v>
      </c>
      <c r="D1594" t="s">
        <v>906</v>
      </c>
      <c r="E1594" t="s">
        <v>2500</v>
      </c>
      <c r="F1594" t="s">
        <v>541</v>
      </c>
      <c r="G1594" t="s">
        <v>183</v>
      </c>
      <c r="H1594" s="6">
        <v>580795</v>
      </c>
      <c r="I1594" s="6">
        <v>2.4639477600566311E-3</v>
      </c>
      <c r="J1594" s="6">
        <v>10269.734263916038</v>
      </c>
      <c r="K1594" s="6">
        <v>1722439</v>
      </c>
      <c r="M1594" s="6">
        <f>SUM(H1594,J1594)</f>
        <v>591064.73426391603</v>
      </c>
      <c r="N1594" s="6">
        <f>K1594</f>
        <v>1722439</v>
      </c>
      <c r="O1594" s="6">
        <f>SUM(M1594:N1594)</f>
        <v>2313503.734263916</v>
      </c>
      <c r="P1594" s="8">
        <f>VLOOKUP(F1594,'LEAID Match'!$A$2:$B$436,2,FALSE)</f>
        <v>1810920</v>
      </c>
      <c r="Q1594" s="6">
        <f>COUNTIF($P$2:$P$3691,P1594)</f>
        <v>9</v>
      </c>
    </row>
    <row r="1595" spans="1:17" x14ac:dyDescent="0.2">
      <c r="A1595" s="16">
        <f>P1595</f>
        <v>1810920</v>
      </c>
      <c r="B1595">
        <v>2019</v>
      </c>
      <c r="C1595" t="s">
        <v>904</v>
      </c>
      <c r="D1595" t="s">
        <v>906</v>
      </c>
      <c r="E1595" t="s">
        <v>2501</v>
      </c>
      <c r="F1595" t="s">
        <v>541</v>
      </c>
      <c r="G1595" t="s">
        <v>183</v>
      </c>
      <c r="H1595" s="6">
        <v>609143</v>
      </c>
      <c r="I1595" s="6">
        <v>1.5496564883555174E-3</v>
      </c>
      <c r="J1595" s="6">
        <v>5431.5459916860882</v>
      </c>
      <c r="K1595" s="6">
        <v>1462720.75935877</v>
      </c>
      <c r="M1595" s="6">
        <f>SUM(H1595,J1595)</f>
        <v>614574.54599168606</v>
      </c>
      <c r="N1595" s="6">
        <f>K1595</f>
        <v>1462720.75935877</v>
      </c>
      <c r="O1595" s="6">
        <f>SUM(M1595:N1595)</f>
        <v>2077295.3053504559</v>
      </c>
      <c r="P1595" s="8">
        <f>VLOOKUP(F1595,'LEAID Match'!$A$2:$B$436,2,FALSE)</f>
        <v>1810920</v>
      </c>
      <c r="Q1595" s="6">
        <f>COUNTIF($P$2:$P$3691,P1595)</f>
        <v>9</v>
      </c>
    </row>
    <row r="1596" spans="1:17" x14ac:dyDescent="0.2">
      <c r="A1596" s="16">
        <f>P1596</f>
        <v>1810920</v>
      </c>
      <c r="B1596">
        <v>2020</v>
      </c>
      <c r="C1596" t="s">
        <v>904</v>
      </c>
      <c r="D1596" t="s">
        <v>906</v>
      </c>
      <c r="E1596" t="s">
        <v>2502</v>
      </c>
      <c r="F1596" t="s">
        <v>541</v>
      </c>
      <c r="G1596" t="s">
        <v>183</v>
      </c>
      <c r="H1596" s="6">
        <v>460760</v>
      </c>
      <c r="I1596" s="6">
        <v>2.4414325624303543E-3</v>
      </c>
      <c r="J1596" s="6">
        <v>5752.0151170859144</v>
      </c>
      <c r="K1596" s="6">
        <v>1802615</v>
      </c>
      <c r="M1596" s="6">
        <f>SUM(H1596,J1596)</f>
        <v>466512.01511708589</v>
      </c>
      <c r="N1596" s="6">
        <f>K1596</f>
        <v>1802615</v>
      </c>
      <c r="O1596" s="6">
        <f>SUM(M1596:N1596)</f>
        <v>2269127.015117086</v>
      </c>
      <c r="P1596" s="8">
        <f>VLOOKUP(F1596,'LEAID Match'!$A$2:$B$436,2,FALSE)</f>
        <v>1810920</v>
      </c>
      <c r="Q1596" s="6">
        <f>COUNTIF($P$2:$P$3691,P1596)</f>
        <v>9</v>
      </c>
    </row>
    <row r="1597" spans="1:17" x14ac:dyDescent="0.2">
      <c r="A1597" s="16">
        <f>P1597</f>
        <v>1810920</v>
      </c>
      <c r="B1597">
        <v>2021</v>
      </c>
      <c r="C1597" t="s">
        <v>904</v>
      </c>
      <c r="D1597" t="s">
        <v>906</v>
      </c>
      <c r="E1597" t="s">
        <v>2503</v>
      </c>
      <c r="F1597" t="s">
        <v>541</v>
      </c>
      <c r="G1597" t="s">
        <v>183</v>
      </c>
      <c r="H1597" s="6">
        <v>472951</v>
      </c>
      <c r="I1597" s="6">
        <v>2.3364219239371017E-3</v>
      </c>
      <c r="J1597" s="6">
        <v>5266.295016554227</v>
      </c>
      <c r="K1597" s="6">
        <v>3010699</v>
      </c>
      <c r="M1597" s="6">
        <f>SUM(H1597,J1597)</f>
        <v>478217.29501655424</v>
      </c>
      <c r="N1597" s="6">
        <f>K1597</f>
        <v>3010699</v>
      </c>
      <c r="O1597" s="6">
        <f>SUM(M1597:N1597)</f>
        <v>3488916.2950165542</v>
      </c>
      <c r="P1597" s="8">
        <f>VLOOKUP(F1597,'LEAID Match'!$A$2:$B$436,2,FALSE)</f>
        <v>1810920</v>
      </c>
      <c r="Q1597" s="6">
        <f>COUNTIF($P$2:$P$3691,P1597)</f>
        <v>9</v>
      </c>
    </row>
    <row r="1598" spans="1:17" x14ac:dyDescent="0.2">
      <c r="A1598" s="16">
        <f>P1598</f>
        <v>1810920</v>
      </c>
      <c r="B1598">
        <v>2022</v>
      </c>
      <c r="C1598" t="s">
        <v>904</v>
      </c>
      <c r="D1598" t="s">
        <v>906</v>
      </c>
      <c r="E1598" t="s">
        <v>2504</v>
      </c>
      <c r="F1598" t="s">
        <v>541</v>
      </c>
      <c r="G1598" t="s">
        <v>183</v>
      </c>
      <c r="H1598" s="6">
        <v>516243</v>
      </c>
      <c r="I1598" s="6">
        <v>2.4512177083477363E-3</v>
      </c>
      <c r="J1598" s="6">
        <v>5404.9350469067585</v>
      </c>
      <c r="K1598" s="6">
        <v>3016478</v>
      </c>
      <c r="M1598" s="6">
        <f>SUM(H1598,J1598)</f>
        <v>521647.93504690676</v>
      </c>
      <c r="N1598" s="6">
        <f>K1598</f>
        <v>3016478</v>
      </c>
      <c r="O1598" s="6">
        <f>SUM(M1598:N1598)</f>
        <v>3538125.9350469066</v>
      </c>
      <c r="P1598" s="8">
        <f>VLOOKUP(F1598,'LEAID Match'!$A$2:$B$436,2,FALSE)</f>
        <v>1810920</v>
      </c>
      <c r="Q1598" s="6">
        <f>COUNTIF($P$2:$P$3691,P1598)</f>
        <v>9</v>
      </c>
    </row>
    <row r="1599" spans="1:17" x14ac:dyDescent="0.2">
      <c r="A1599" s="16">
        <f>P1599</f>
        <v>1810920</v>
      </c>
      <c r="B1599">
        <v>2023</v>
      </c>
      <c r="C1599" t="s">
        <v>904</v>
      </c>
      <c r="D1599" t="s">
        <v>906</v>
      </c>
      <c r="E1599" t="s">
        <v>2505</v>
      </c>
      <c r="F1599" t="s">
        <v>541</v>
      </c>
      <c r="G1599" t="s">
        <v>183</v>
      </c>
      <c r="H1599" s="6">
        <v>560377</v>
      </c>
      <c r="I1599" s="6">
        <v>2.2916340294434224E-3</v>
      </c>
      <c r="J1599" s="6">
        <v>5653.4611506369229</v>
      </c>
      <c r="K1599" s="6">
        <v>9176398</v>
      </c>
      <c r="M1599" s="6">
        <f>SUM(H1599,J1599)</f>
        <v>566030.4611506369</v>
      </c>
      <c r="N1599" s="6">
        <f>K1599</f>
        <v>9176398</v>
      </c>
      <c r="O1599" s="6">
        <f>SUM(M1599:N1599)</f>
        <v>9742428.4611506369</v>
      </c>
      <c r="P1599" s="8">
        <f>VLOOKUP(F1599,'LEAID Match'!$A$2:$B$436,2,FALSE)</f>
        <v>1810920</v>
      </c>
      <c r="Q1599" s="6">
        <f>COUNTIF($P$2:$P$3691,P1599)</f>
        <v>9</v>
      </c>
    </row>
    <row r="1600" spans="1:17" x14ac:dyDescent="0.2">
      <c r="A1600" s="16">
        <f>P1600</f>
        <v>1803750</v>
      </c>
      <c r="B1600">
        <v>2015</v>
      </c>
      <c r="C1600" t="s">
        <v>904</v>
      </c>
      <c r="D1600" t="s">
        <v>906</v>
      </c>
      <c r="E1600" t="s">
        <v>2506</v>
      </c>
      <c r="F1600" t="s">
        <v>721</v>
      </c>
      <c r="G1600" t="s">
        <v>184</v>
      </c>
      <c r="H1600" s="6">
        <v>1599150</v>
      </c>
      <c r="I1600" s="6">
        <v>7.7761979923146856E-3</v>
      </c>
      <c r="J1600" s="6">
        <v>45187.486533340641</v>
      </c>
      <c r="K1600" s="6">
        <v>6575677.4414691702</v>
      </c>
      <c r="M1600" s="6">
        <f>SUM(H1600,J1600)</f>
        <v>1644337.4865333405</v>
      </c>
      <c r="N1600" s="6">
        <f>K1600</f>
        <v>6575677.4414691702</v>
      </c>
      <c r="O1600" s="6">
        <f>SUM(M1600:N1600)</f>
        <v>8220014.9280025102</v>
      </c>
      <c r="P1600" s="8">
        <f>VLOOKUP(F1600,'LEAID Match'!$A$2:$B$436,2,FALSE)</f>
        <v>1803750</v>
      </c>
      <c r="Q1600" s="6">
        <f>COUNTIF($P$2:$P$3691,P1600)</f>
        <v>9</v>
      </c>
    </row>
    <row r="1601" spans="1:17" x14ac:dyDescent="0.2">
      <c r="A1601" s="16">
        <f>P1601</f>
        <v>1803750</v>
      </c>
      <c r="B1601">
        <v>2016</v>
      </c>
      <c r="C1601" t="s">
        <v>904</v>
      </c>
      <c r="D1601" t="s">
        <v>906</v>
      </c>
      <c r="E1601" t="s">
        <v>2507</v>
      </c>
      <c r="F1601" t="s">
        <v>721</v>
      </c>
      <c r="G1601" t="s">
        <v>184</v>
      </c>
      <c r="H1601" s="6">
        <v>1813501</v>
      </c>
      <c r="I1601" s="6">
        <v>8.4148673674022383E-3</v>
      </c>
      <c r="J1601" s="6">
        <v>42478.250470646497</v>
      </c>
      <c r="K1601" s="6">
        <v>7468194.7885694802</v>
      </c>
      <c r="M1601" s="6">
        <f>SUM(H1601,J1601)</f>
        <v>1855979.2504706464</v>
      </c>
      <c r="N1601" s="6">
        <f>K1601</f>
        <v>7468194.7885694802</v>
      </c>
      <c r="O1601" s="6">
        <f>SUM(M1601:N1601)</f>
        <v>9324174.0390401259</v>
      </c>
      <c r="P1601" s="8">
        <f>VLOOKUP(F1601,'LEAID Match'!$A$2:$B$436,2,FALSE)</f>
        <v>1803750</v>
      </c>
      <c r="Q1601" s="6">
        <f>COUNTIF($P$2:$P$3691,P1601)</f>
        <v>9</v>
      </c>
    </row>
    <row r="1602" spans="1:17" x14ac:dyDescent="0.2">
      <c r="A1602" s="16">
        <f>P1602</f>
        <v>1803750</v>
      </c>
      <c r="B1602">
        <v>2017</v>
      </c>
      <c r="C1602" t="s">
        <v>904</v>
      </c>
      <c r="D1602" t="s">
        <v>906</v>
      </c>
      <c r="E1602" t="s">
        <v>2508</v>
      </c>
      <c r="F1602" t="s">
        <v>721</v>
      </c>
      <c r="G1602" t="s">
        <v>184</v>
      </c>
      <c r="H1602" s="6">
        <v>1869363</v>
      </c>
      <c r="I1602" s="6">
        <v>8.2316050138996621E-3</v>
      </c>
      <c r="J1602" s="6">
        <v>37248.012687895971</v>
      </c>
      <c r="K1602" s="6">
        <v>7169727.9671066003</v>
      </c>
      <c r="M1602" s="6">
        <f>SUM(H1602,J1602)</f>
        <v>1906611.0126878959</v>
      </c>
      <c r="N1602" s="6">
        <f>K1602</f>
        <v>7169727.9671066003</v>
      </c>
      <c r="O1602" s="6">
        <f>SUM(M1602:N1602)</f>
        <v>9076338.9797944967</v>
      </c>
      <c r="P1602" s="8">
        <f>VLOOKUP(F1602,'LEAID Match'!$A$2:$B$436,2,FALSE)</f>
        <v>1803750</v>
      </c>
      <c r="Q1602" s="6">
        <f>COUNTIF($P$2:$P$3691,P1602)</f>
        <v>9</v>
      </c>
    </row>
    <row r="1603" spans="1:17" x14ac:dyDescent="0.2">
      <c r="A1603" s="16">
        <f>P1603</f>
        <v>1803750</v>
      </c>
      <c r="B1603">
        <v>2018</v>
      </c>
      <c r="C1603" t="s">
        <v>904</v>
      </c>
      <c r="D1603" t="s">
        <v>906</v>
      </c>
      <c r="E1603" t="s">
        <v>2509</v>
      </c>
      <c r="F1603" t="s">
        <v>721</v>
      </c>
      <c r="G1603" t="s">
        <v>184</v>
      </c>
      <c r="H1603" s="6">
        <v>1972614</v>
      </c>
      <c r="I1603" s="6">
        <v>8.3685600715508075E-3</v>
      </c>
      <c r="J1603" s="6">
        <v>34880.158378223765</v>
      </c>
      <c r="K1603" s="6">
        <v>4787766</v>
      </c>
      <c r="M1603" s="6">
        <f>SUM(H1603,J1603)</f>
        <v>2007494.1583782237</v>
      </c>
      <c r="N1603" s="6">
        <f>K1603</f>
        <v>4787766</v>
      </c>
      <c r="O1603" s="6">
        <f>SUM(M1603:N1603)</f>
        <v>6795260.1583782239</v>
      </c>
      <c r="P1603" s="8">
        <f>VLOOKUP(F1603,'LEAID Match'!$A$2:$B$436,2,FALSE)</f>
        <v>1803750</v>
      </c>
      <c r="Q1603" s="6">
        <f>COUNTIF($P$2:$P$3691,P1603)</f>
        <v>9</v>
      </c>
    </row>
    <row r="1604" spans="1:17" x14ac:dyDescent="0.2">
      <c r="A1604" s="16">
        <f>P1604</f>
        <v>1803750</v>
      </c>
      <c r="B1604">
        <v>2019</v>
      </c>
      <c r="C1604" t="s">
        <v>904</v>
      </c>
      <c r="D1604" t="s">
        <v>906</v>
      </c>
      <c r="E1604" t="s">
        <v>2510</v>
      </c>
      <c r="F1604" t="s">
        <v>721</v>
      </c>
      <c r="G1604" t="s">
        <v>184</v>
      </c>
      <c r="H1604" s="6">
        <v>2129625</v>
      </c>
      <c r="I1604" s="6">
        <v>5.417754450127669E-3</v>
      </c>
      <c r="J1604" s="6">
        <v>18989.229347697481</v>
      </c>
      <c r="K1604" s="6">
        <v>5113818.4254754996</v>
      </c>
      <c r="M1604" s="6">
        <f>SUM(H1604,J1604)</f>
        <v>2148614.2293476975</v>
      </c>
      <c r="N1604" s="6">
        <f>K1604</f>
        <v>5113818.4254754996</v>
      </c>
      <c r="O1604" s="6">
        <f>SUM(M1604:N1604)</f>
        <v>7262432.6548231971</v>
      </c>
      <c r="P1604" s="8">
        <f>VLOOKUP(F1604,'LEAID Match'!$A$2:$B$436,2,FALSE)</f>
        <v>1803750</v>
      </c>
      <c r="Q1604" s="6">
        <f>COUNTIF($P$2:$P$3691,P1604)</f>
        <v>9</v>
      </c>
    </row>
    <row r="1605" spans="1:17" x14ac:dyDescent="0.2">
      <c r="A1605" s="16">
        <f>P1605</f>
        <v>1803750</v>
      </c>
      <c r="B1605">
        <v>2020</v>
      </c>
      <c r="C1605" t="s">
        <v>904</v>
      </c>
      <c r="D1605" t="s">
        <v>906</v>
      </c>
      <c r="E1605" t="s">
        <v>2511</v>
      </c>
      <c r="F1605" t="s">
        <v>721</v>
      </c>
      <c r="G1605" t="s">
        <v>184</v>
      </c>
      <c r="H1605" s="6">
        <v>1702120</v>
      </c>
      <c r="I1605" s="6">
        <v>9.019036359848848E-3</v>
      </c>
      <c r="J1605" s="6">
        <v>21248.849663803885</v>
      </c>
      <c r="K1605" s="6">
        <v>5144280</v>
      </c>
      <c r="M1605" s="6">
        <f>SUM(H1605,J1605)</f>
        <v>1723368.8496638038</v>
      </c>
      <c r="N1605" s="6">
        <f>K1605</f>
        <v>5144280</v>
      </c>
      <c r="O1605" s="6">
        <f>SUM(M1605:N1605)</f>
        <v>6867648.8496638034</v>
      </c>
      <c r="P1605" s="8">
        <f>VLOOKUP(F1605,'LEAID Match'!$A$2:$B$436,2,FALSE)</f>
        <v>1803750</v>
      </c>
      <c r="Q1605" s="6">
        <f>COUNTIF($P$2:$P$3691,P1605)</f>
        <v>9</v>
      </c>
    </row>
    <row r="1606" spans="1:17" x14ac:dyDescent="0.2">
      <c r="A1606" s="16">
        <f>P1606</f>
        <v>1803750</v>
      </c>
      <c r="B1606">
        <v>2021</v>
      </c>
      <c r="C1606" t="s">
        <v>904</v>
      </c>
      <c r="D1606" t="s">
        <v>906</v>
      </c>
      <c r="E1606" t="s">
        <v>2512</v>
      </c>
      <c r="F1606" t="s">
        <v>721</v>
      </c>
      <c r="G1606" t="s">
        <v>184</v>
      </c>
      <c r="H1606" s="6">
        <v>1866132</v>
      </c>
      <c r="I1606" s="6">
        <v>9.2188656282798671E-3</v>
      </c>
      <c r="J1606" s="6">
        <v>20779.323126142819</v>
      </c>
      <c r="K1606" s="6">
        <v>8953457</v>
      </c>
      <c r="M1606" s="6">
        <f>SUM(H1606,J1606)</f>
        <v>1886911.3231261428</v>
      </c>
      <c r="N1606" s="6">
        <f>K1606</f>
        <v>8953457</v>
      </c>
      <c r="O1606" s="6">
        <f>SUM(M1606:N1606)</f>
        <v>10840368.323126143</v>
      </c>
      <c r="P1606" s="8">
        <f>VLOOKUP(F1606,'LEAID Match'!$A$2:$B$436,2,FALSE)</f>
        <v>1803750</v>
      </c>
      <c r="Q1606" s="6">
        <f>COUNTIF($P$2:$P$3691,P1606)</f>
        <v>9</v>
      </c>
    </row>
    <row r="1607" spans="1:17" x14ac:dyDescent="0.2">
      <c r="A1607" s="16">
        <f>P1607</f>
        <v>1803750</v>
      </c>
      <c r="B1607">
        <v>2022</v>
      </c>
      <c r="C1607" t="s">
        <v>904</v>
      </c>
      <c r="D1607" t="s">
        <v>906</v>
      </c>
      <c r="E1607" t="s">
        <v>2513</v>
      </c>
      <c r="F1607" t="s">
        <v>721</v>
      </c>
      <c r="G1607" t="s">
        <v>184</v>
      </c>
      <c r="H1607" s="6">
        <v>2071250</v>
      </c>
      <c r="I1607" s="6">
        <v>9.8346799441643724E-3</v>
      </c>
      <c r="J1607" s="6">
        <v>21685.469276882443</v>
      </c>
      <c r="K1607" s="6">
        <v>8820129</v>
      </c>
      <c r="M1607" s="6">
        <f>SUM(H1607,J1607)</f>
        <v>2092935.4692768825</v>
      </c>
      <c r="N1607" s="6">
        <f>K1607</f>
        <v>8820129</v>
      </c>
      <c r="O1607" s="6">
        <f>SUM(M1607:N1607)</f>
        <v>10913064.469276883</v>
      </c>
      <c r="P1607" s="8">
        <f>VLOOKUP(F1607,'LEAID Match'!$A$2:$B$436,2,FALSE)</f>
        <v>1803750</v>
      </c>
      <c r="Q1607" s="6">
        <f>COUNTIF($P$2:$P$3691,P1607)</f>
        <v>9</v>
      </c>
    </row>
    <row r="1608" spans="1:17" x14ac:dyDescent="0.2">
      <c r="A1608" s="16">
        <f>P1608</f>
        <v>1803750</v>
      </c>
      <c r="B1608">
        <v>2023</v>
      </c>
      <c r="C1608" t="s">
        <v>904</v>
      </c>
      <c r="D1608" t="s">
        <v>906</v>
      </c>
      <c r="E1608" t="s">
        <v>2514</v>
      </c>
      <c r="F1608" t="s">
        <v>721</v>
      </c>
      <c r="G1608" t="s">
        <v>184</v>
      </c>
      <c r="H1608" s="6">
        <v>2321536</v>
      </c>
      <c r="I1608" s="6">
        <v>9.4938066661871649E-3</v>
      </c>
      <c r="J1608" s="6">
        <v>23421.221045483737</v>
      </c>
      <c r="K1608" s="6">
        <v>26917237</v>
      </c>
      <c r="M1608" s="6">
        <f>SUM(H1608,J1608)</f>
        <v>2344957.2210454838</v>
      </c>
      <c r="N1608" s="6">
        <f>K1608</f>
        <v>26917237</v>
      </c>
      <c r="O1608" s="6">
        <f>SUM(M1608:N1608)</f>
        <v>29262194.221045483</v>
      </c>
      <c r="P1608" s="8">
        <f>VLOOKUP(F1608,'LEAID Match'!$A$2:$B$436,2,FALSE)</f>
        <v>1803750</v>
      </c>
      <c r="Q1608" s="6">
        <f>COUNTIF($P$2:$P$3691,P1608)</f>
        <v>9</v>
      </c>
    </row>
    <row r="1609" spans="1:17" x14ac:dyDescent="0.2">
      <c r="A1609" s="16">
        <f>P1609</f>
        <v>1800140</v>
      </c>
      <c r="B1609">
        <v>2015</v>
      </c>
      <c r="C1609" t="s">
        <v>904</v>
      </c>
      <c r="D1609" t="s">
        <v>906</v>
      </c>
      <c r="E1609" t="s">
        <v>2515</v>
      </c>
      <c r="F1609" t="s">
        <v>542</v>
      </c>
      <c r="G1609" t="s">
        <v>185</v>
      </c>
      <c r="H1609" s="6">
        <v>38788</v>
      </c>
      <c r="I1609" s="6">
        <v>1.8861468137817093E-4</v>
      </c>
      <c r="J1609" s="6">
        <v>1096.0399134885513</v>
      </c>
      <c r="K1609" s="6">
        <v>159495.592408283</v>
      </c>
      <c r="M1609" s="6">
        <f>SUM(H1609,J1609)</f>
        <v>39884.039913488552</v>
      </c>
      <c r="N1609" s="6">
        <f>K1609</f>
        <v>159495.592408283</v>
      </c>
      <c r="O1609" s="6">
        <f>SUM(M1609:N1609)</f>
        <v>199379.63232177155</v>
      </c>
      <c r="P1609" s="8">
        <f>VLOOKUP(F1609,'LEAID Match'!$A$2:$B$436,2,FALSE)</f>
        <v>1800140</v>
      </c>
      <c r="Q1609" s="6">
        <f>COUNTIF($P$2:$P$3691,P1609)</f>
        <v>9</v>
      </c>
    </row>
    <row r="1610" spans="1:17" x14ac:dyDescent="0.2">
      <c r="A1610" s="16">
        <f>P1610</f>
        <v>1800140</v>
      </c>
      <c r="B1610">
        <v>2016</v>
      </c>
      <c r="C1610" t="s">
        <v>904</v>
      </c>
      <c r="D1610" t="s">
        <v>906</v>
      </c>
      <c r="E1610" t="s">
        <v>2516</v>
      </c>
      <c r="F1610" t="s">
        <v>542</v>
      </c>
      <c r="G1610" t="s">
        <v>185</v>
      </c>
      <c r="H1610" s="6">
        <v>46585</v>
      </c>
      <c r="I1610" s="6">
        <v>2.1616012139526433E-4</v>
      </c>
      <c r="J1610" s="6">
        <v>1091.1762928032942</v>
      </c>
      <c r="K1610" s="6">
        <v>191842.107738297</v>
      </c>
      <c r="M1610" s="6">
        <f>SUM(H1610,J1610)</f>
        <v>47676.176292803291</v>
      </c>
      <c r="N1610" s="6">
        <f>K1610</f>
        <v>191842.107738297</v>
      </c>
      <c r="O1610" s="6">
        <f>SUM(M1610:N1610)</f>
        <v>239518.28403110028</v>
      </c>
      <c r="P1610" s="8">
        <f>VLOOKUP(F1610,'LEAID Match'!$A$2:$B$436,2,FALSE)</f>
        <v>1800140</v>
      </c>
      <c r="Q1610" s="6">
        <f>COUNTIF($P$2:$P$3691,P1610)</f>
        <v>9</v>
      </c>
    </row>
    <row r="1611" spans="1:17" x14ac:dyDescent="0.2">
      <c r="A1611" s="16">
        <f>P1611</f>
        <v>1800140</v>
      </c>
      <c r="B1611">
        <v>2017</v>
      </c>
      <c r="C1611" t="s">
        <v>904</v>
      </c>
      <c r="D1611" t="s">
        <v>906</v>
      </c>
      <c r="E1611" t="s">
        <v>2517</v>
      </c>
      <c r="F1611" t="s">
        <v>542</v>
      </c>
      <c r="G1611" t="s">
        <v>185</v>
      </c>
      <c r="H1611" s="6">
        <v>88548</v>
      </c>
      <c r="I1611" s="6">
        <v>3.8991472537478665E-4</v>
      </c>
      <c r="J1611" s="6">
        <v>1764.3641323209097</v>
      </c>
      <c r="K1611" s="6">
        <v>339615.72580143902</v>
      </c>
      <c r="M1611" s="6">
        <f>SUM(H1611,J1611)</f>
        <v>90312.364132320916</v>
      </c>
      <c r="N1611" s="6">
        <f>K1611</f>
        <v>339615.72580143902</v>
      </c>
      <c r="O1611" s="6">
        <f>SUM(M1611:N1611)</f>
        <v>429928.08993375994</v>
      </c>
      <c r="P1611" s="8">
        <f>VLOOKUP(F1611,'LEAID Match'!$A$2:$B$436,2,FALSE)</f>
        <v>1800140</v>
      </c>
      <c r="Q1611" s="6">
        <f>COUNTIF($P$2:$P$3691,P1611)</f>
        <v>9</v>
      </c>
    </row>
    <row r="1612" spans="1:17" x14ac:dyDescent="0.2">
      <c r="A1612" s="16">
        <f>P1612</f>
        <v>1800140</v>
      </c>
      <c r="B1612">
        <v>2018</v>
      </c>
      <c r="C1612" t="s">
        <v>904</v>
      </c>
      <c r="D1612" t="s">
        <v>906</v>
      </c>
      <c r="E1612" t="s">
        <v>2518</v>
      </c>
      <c r="F1612" t="s">
        <v>542</v>
      </c>
      <c r="G1612" t="s">
        <v>185</v>
      </c>
      <c r="H1612" s="6">
        <v>234512</v>
      </c>
      <c r="I1612" s="6">
        <v>9.948868656004283E-4</v>
      </c>
      <c r="J1612" s="6">
        <v>4146.6884558225847</v>
      </c>
      <c r="K1612" s="6">
        <v>317685</v>
      </c>
      <c r="M1612" s="6">
        <f>SUM(H1612,J1612)</f>
        <v>238658.68845582259</v>
      </c>
      <c r="N1612" s="6">
        <f>K1612</f>
        <v>317685</v>
      </c>
      <c r="O1612" s="6">
        <f>SUM(M1612:N1612)</f>
        <v>556343.68845582264</v>
      </c>
      <c r="P1612" s="8">
        <f>VLOOKUP(F1612,'LEAID Match'!$A$2:$B$436,2,FALSE)</f>
        <v>1800140</v>
      </c>
      <c r="Q1612" s="6">
        <f>COUNTIF($P$2:$P$3691,P1612)</f>
        <v>9</v>
      </c>
    </row>
    <row r="1613" spans="1:17" x14ac:dyDescent="0.2">
      <c r="A1613" s="16">
        <f>P1613</f>
        <v>1800140</v>
      </c>
      <c r="B1613">
        <v>2019</v>
      </c>
      <c r="C1613" t="s">
        <v>904</v>
      </c>
      <c r="D1613" t="s">
        <v>906</v>
      </c>
      <c r="E1613" t="s">
        <v>2519</v>
      </c>
      <c r="F1613" t="s">
        <v>542</v>
      </c>
      <c r="G1613" t="s">
        <v>185</v>
      </c>
      <c r="H1613" s="6">
        <v>255052</v>
      </c>
      <c r="I1613" s="6">
        <v>6.4885090474330563E-4</v>
      </c>
      <c r="J1613" s="6">
        <v>2274.2224211252865</v>
      </c>
      <c r="K1613" s="6">
        <v>612450.36898720602</v>
      </c>
      <c r="M1613" s="6">
        <f>SUM(H1613,J1613)</f>
        <v>257326.22242112528</v>
      </c>
      <c r="N1613" s="6">
        <f>K1613</f>
        <v>612450.36898720602</v>
      </c>
      <c r="O1613" s="6">
        <f>SUM(M1613:N1613)</f>
        <v>869776.5914083313</v>
      </c>
      <c r="P1613" s="8">
        <f>VLOOKUP(F1613,'LEAID Match'!$A$2:$B$436,2,FALSE)</f>
        <v>1800140</v>
      </c>
      <c r="Q1613" s="6">
        <f>COUNTIF($P$2:$P$3691,P1613)</f>
        <v>9</v>
      </c>
    </row>
    <row r="1614" spans="1:17" x14ac:dyDescent="0.2">
      <c r="A1614" s="16">
        <f>P1614</f>
        <v>1800140</v>
      </c>
      <c r="B1614">
        <v>2020</v>
      </c>
      <c r="C1614" t="s">
        <v>904</v>
      </c>
      <c r="D1614" t="s">
        <v>906</v>
      </c>
      <c r="E1614" t="s">
        <v>2520</v>
      </c>
      <c r="F1614" t="s">
        <v>542</v>
      </c>
      <c r="G1614" t="s">
        <v>185</v>
      </c>
      <c r="H1614" s="6">
        <v>173876</v>
      </c>
      <c r="I1614" s="6">
        <v>9.2131810101818803E-4</v>
      </c>
      <c r="J1614" s="6">
        <v>2170.6254459988509</v>
      </c>
      <c r="K1614" s="6">
        <v>335915</v>
      </c>
      <c r="M1614" s="6">
        <f>SUM(H1614,J1614)</f>
        <v>176046.62544599886</v>
      </c>
      <c r="N1614" s="6">
        <f>K1614</f>
        <v>335915</v>
      </c>
      <c r="O1614" s="6">
        <f>SUM(M1614:N1614)</f>
        <v>511961.62544599886</v>
      </c>
      <c r="P1614" s="8">
        <f>VLOOKUP(F1614,'LEAID Match'!$A$2:$B$436,2,FALSE)</f>
        <v>1800140</v>
      </c>
      <c r="Q1614" s="6">
        <f>COUNTIF($P$2:$P$3691,P1614)</f>
        <v>9</v>
      </c>
    </row>
    <row r="1615" spans="1:17" x14ac:dyDescent="0.2">
      <c r="A1615" s="16">
        <f>P1615</f>
        <v>1800140</v>
      </c>
      <c r="B1615">
        <v>2021</v>
      </c>
      <c r="C1615" t="s">
        <v>904</v>
      </c>
      <c r="D1615" t="s">
        <v>906</v>
      </c>
      <c r="E1615" t="s">
        <v>2521</v>
      </c>
      <c r="F1615" t="s">
        <v>542</v>
      </c>
      <c r="G1615" t="s">
        <v>185</v>
      </c>
      <c r="H1615" s="6">
        <v>209638</v>
      </c>
      <c r="I1615" s="6">
        <v>1.0356312161097579E-3</v>
      </c>
      <c r="J1615" s="6">
        <v>2334.3127611113941</v>
      </c>
      <c r="K1615" s="6">
        <v>553837</v>
      </c>
      <c r="M1615" s="6">
        <f>SUM(H1615,J1615)</f>
        <v>211972.31276111139</v>
      </c>
      <c r="N1615" s="6">
        <f>K1615</f>
        <v>553837</v>
      </c>
      <c r="O1615" s="6">
        <f>SUM(M1615:N1615)</f>
        <v>765809.31276111142</v>
      </c>
      <c r="P1615" s="8">
        <f>VLOOKUP(F1615,'LEAID Match'!$A$2:$B$436,2,FALSE)</f>
        <v>1800140</v>
      </c>
      <c r="Q1615" s="6">
        <f>COUNTIF($P$2:$P$3691,P1615)</f>
        <v>9</v>
      </c>
    </row>
    <row r="1616" spans="1:17" x14ac:dyDescent="0.2">
      <c r="A1616" s="16">
        <f>P1616</f>
        <v>1800140</v>
      </c>
      <c r="B1616">
        <v>2022</v>
      </c>
      <c r="C1616" t="s">
        <v>904</v>
      </c>
      <c r="D1616" t="s">
        <v>906</v>
      </c>
      <c r="E1616" t="s">
        <v>2522</v>
      </c>
      <c r="F1616" t="s">
        <v>542</v>
      </c>
      <c r="G1616" t="s">
        <v>185</v>
      </c>
      <c r="H1616" s="6">
        <v>258728</v>
      </c>
      <c r="I1616" s="6">
        <v>1.2284886288925817E-3</v>
      </c>
      <c r="J1616" s="6">
        <v>2708.8174267081426</v>
      </c>
      <c r="K1616" s="6">
        <v>499232</v>
      </c>
      <c r="M1616" s="6">
        <f>SUM(H1616,J1616)</f>
        <v>261436.81742670815</v>
      </c>
      <c r="N1616" s="6">
        <f>K1616</f>
        <v>499232</v>
      </c>
      <c r="O1616" s="6">
        <f>SUM(M1616:N1616)</f>
        <v>760668.81742670818</v>
      </c>
      <c r="P1616" s="8">
        <f>VLOOKUP(F1616,'LEAID Match'!$A$2:$B$436,2,FALSE)</f>
        <v>1800140</v>
      </c>
      <c r="Q1616" s="6">
        <f>COUNTIF($P$2:$P$3691,P1616)</f>
        <v>9</v>
      </c>
    </row>
    <row r="1617" spans="1:17" x14ac:dyDescent="0.2">
      <c r="A1617" s="16">
        <f>P1617</f>
        <v>1800140</v>
      </c>
      <c r="B1617">
        <v>2023</v>
      </c>
      <c r="C1617" t="s">
        <v>904</v>
      </c>
      <c r="D1617" t="s">
        <v>906</v>
      </c>
      <c r="E1617" t="s">
        <v>2523</v>
      </c>
      <c r="F1617" t="s">
        <v>542</v>
      </c>
      <c r="G1617" t="s">
        <v>185</v>
      </c>
      <c r="H1617" s="6">
        <v>290736</v>
      </c>
      <c r="I1617" s="6">
        <v>1.188950494371223E-3</v>
      </c>
      <c r="J1617" s="6">
        <v>2933.1408696138074</v>
      </c>
      <c r="K1617" s="6">
        <v>1391621</v>
      </c>
      <c r="M1617" s="6">
        <f>SUM(H1617,J1617)</f>
        <v>293669.1408696138</v>
      </c>
      <c r="N1617" s="6">
        <f>K1617</f>
        <v>1391621</v>
      </c>
      <c r="O1617" s="6">
        <f>SUM(M1617:N1617)</f>
        <v>1685290.1408696137</v>
      </c>
      <c r="P1617" s="8">
        <f>VLOOKUP(F1617,'LEAID Match'!$A$2:$B$436,2,FALSE)</f>
        <v>1800140</v>
      </c>
      <c r="Q1617" s="6">
        <f>COUNTIF($P$2:$P$3691,P1617)</f>
        <v>9</v>
      </c>
    </row>
    <row r="1618" spans="1:17" x14ac:dyDescent="0.2">
      <c r="A1618" s="16">
        <f>P1618</f>
        <v>0</v>
      </c>
      <c r="B1618">
        <v>2015</v>
      </c>
      <c r="C1618" t="s">
        <v>904</v>
      </c>
      <c r="D1618" t="s">
        <v>906</v>
      </c>
      <c r="E1618" t="s">
        <v>2524</v>
      </c>
      <c r="F1618" t="s">
        <v>722</v>
      </c>
      <c r="G1618" t="s">
        <v>186</v>
      </c>
      <c r="H1618" s="6">
        <v>108029</v>
      </c>
      <c r="I1618" s="6">
        <v>5.253133808034038E-4</v>
      </c>
      <c r="J1618" s="6">
        <v>3052.5960558485795</v>
      </c>
      <c r="K1618" s="6">
        <v>444213.39982145099</v>
      </c>
      <c r="M1618" s="6">
        <f>SUM(H1618,J1618)</f>
        <v>111081.59605584858</v>
      </c>
      <c r="N1618" s="6">
        <f>K1618</f>
        <v>444213.39982145099</v>
      </c>
      <c r="O1618" s="6">
        <f>SUM(M1618:N1618)</f>
        <v>555294.99587729957</v>
      </c>
      <c r="P1618" s="8">
        <f>VLOOKUP(F1618,'LEAID Match'!$A$2:$B$436,2,FALSE)</f>
        <v>0</v>
      </c>
      <c r="Q1618" s="6">
        <f>COUNTIF($P$2:$P$3691,P1618)</f>
        <v>371</v>
      </c>
    </row>
    <row r="1619" spans="1:17" x14ac:dyDescent="0.2">
      <c r="A1619" s="16">
        <f>P1619</f>
        <v>0</v>
      </c>
      <c r="B1619">
        <v>2016</v>
      </c>
      <c r="C1619" t="s">
        <v>904</v>
      </c>
      <c r="D1619" t="s">
        <v>906</v>
      </c>
      <c r="E1619" t="s">
        <v>2525</v>
      </c>
      <c r="F1619" t="s">
        <v>722</v>
      </c>
      <c r="G1619" t="s">
        <v>186</v>
      </c>
      <c r="H1619" s="6">
        <v>111733</v>
      </c>
      <c r="I1619" s="6">
        <v>5.1845484262868027E-4</v>
      </c>
      <c r="J1619" s="6">
        <v>2617.1600455895782</v>
      </c>
      <c r="K1619" s="6">
        <v>460128.67283295299</v>
      </c>
      <c r="M1619" s="6">
        <f>SUM(H1619,J1619)</f>
        <v>114350.16004558958</v>
      </c>
      <c r="N1619" s="6">
        <f>K1619</f>
        <v>460128.67283295299</v>
      </c>
      <c r="O1619" s="6">
        <f>SUM(M1619:N1619)</f>
        <v>574478.8328785426</v>
      </c>
      <c r="P1619" s="8">
        <f>VLOOKUP(F1619,'LEAID Match'!$A$2:$B$436,2,FALSE)</f>
        <v>0</v>
      </c>
      <c r="Q1619" s="6">
        <f>COUNTIF($P$2:$P$3691,P1619)</f>
        <v>371</v>
      </c>
    </row>
    <row r="1620" spans="1:17" x14ac:dyDescent="0.2">
      <c r="A1620" s="16">
        <f>P1620</f>
        <v>0</v>
      </c>
      <c r="B1620">
        <v>2017</v>
      </c>
      <c r="C1620" t="s">
        <v>904</v>
      </c>
      <c r="D1620" t="s">
        <v>906</v>
      </c>
      <c r="E1620" t="s">
        <v>2526</v>
      </c>
      <c r="F1620" t="s">
        <v>722</v>
      </c>
      <c r="G1620" t="s">
        <v>186</v>
      </c>
      <c r="H1620" s="6">
        <v>123801</v>
      </c>
      <c r="I1620" s="6">
        <v>5.4514876582332703E-4</v>
      </c>
      <c r="J1620" s="6">
        <v>2466.7981653505549</v>
      </c>
      <c r="K1620" s="6">
        <v>474824.57503211702</v>
      </c>
      <c r="M1620" s="6">
        <f>SUM(H1620,J1620)</f>
        <v>126267.79816535056</v>
      </c>
      <c r="N1620" s="6">
        <f>K1620</f>
        <v>474824.57503211702</v>
      </c>
      <c r="O1620" s="6">
        <f>SUM(M1620:N1620)</f>
        <v>601092.37319746753</v>
      </c>
      <c r="P1620" s="8">
        <f>VLOOKUP(F1620,'LEAID Match'!$A$2:$B$436,2,FALSE)</f>
        <v>0</v>
      </c>
      <c r="Q1620" s="6">
        <f>COUNTIF($P$2:$P$3691,P1620)</f>
        <v>371</v>
      </c>
    </row>
    <row r="1621" spans="1:17" x14ac:dyDescent="0.2">
      <c r="A1621" s="16">
        <f>P1621</f>
        <v>0</v>
      </c>
      <c r="B1621">
        <v>2018</v>
      </c>
      <c r="C1621" t="s">
        <v>904</v>
      </c>
      <c r="D1621" t="s">
        <v>906</v>
      </c>
      <c r="E1621" t="s">
        <v>2527</v>
      </c>
      <c r="F1621" t="s">
        <v>722</v>
      </c>
      <c r="G1621" t="s">
        <v>186</v>
      </c>
      <c r="H1621" s="6">
        <v>118833</v>
      </c>
      <c r="I1621" s="6">
        <v>5.0413365158241664E-4</v>
      </c>
      <c r="J1621" s="6">
        <v>2101.2290597955125</v>
      </c>
      <c r="K1621" s="6">
        <v>43325</v>
      </c>
      <c r="M1621" s="6">
        <f>SUM(H1621,J1621)</f>
        <v>120934.22905979551</v>
      </c>
      <c r="N1621" s="6">
        <f>K1621</f>
        <v>43325</v>
      </c>
      <c r="O1621" s="6">
        <f>SUM(M1621:N1621)</f>
        <v>164259.2290597955</v>
      </c>
      <c r="P1621" s="8">
        <f>VLOOKUP(F1621,'LEAID Match'!$A$2:$B$436,2,FALSE)</f>
        <v>0</v>
      </c>
      <c r="Q1621" s="6">
        <f>COUNTIF($P$2:$P$3691,P1621)</f>
        <v>371</v>
      </c>
    </row>
    <row r="1622" spans="1:17" x14ac:dyDescent="0.2">
      <c r="A1622" s="16">
        <f>P1622</f>
        <v>0</v>
      </c>
      <c r="B1622">
        <v>2019</v>
      </c>
      <c r="C1622" t="s">
        <v>904</v>
      </c>
      <c r="D1622" t="s">
        <v>906</v>
      </c>
      <c r="E1622" t="s">
        <v>2528</v>
      </c>
      <c r="F1622" t="s">
        <v>722</v>
      </c>
      <c r="G1622" t="s">
        <v>186</v>
      </c>
      <c r="H1622" s="6">
        <v>15090</v>
      </c>
      <c r="I1622" s="6">
        <v>3.8388878160439757E-5</v>
      </c>
      <c r="J1622" s="6">
        <v>134.55301795234135</v>
      </c>
      <c r="K1622" s="6">
        <v>36235.262095639002</v>
      </c>
      <c r="M1622" s="6">
        <f>SUM(H1622,J1622)</f>
        <v>15224.553017952341</v>
      </c>
      <c r="N1622" s="6">
        <f>K1622</f>
        <v>36235.262095639002</v>
      </c>
      <c r="O1622" s="6">
        <f>SUM(M1622:N1622)</f>
        <v>51459.815113591343</v>
      </c>
      <c r="P1622" s="8">
        <f>VLOOKUP(F1622,'LEAID Match'!$A$2:$B$436,2,FALSE)</f>
        <v>0</v>
      </c>
      <c r="Q1622" s="6">
        <f>COUNTIF($P$2:$P$3691,P1622)</f>
        <v>371</v>
      </c>
    </row>
    <row r="1623" spans="1:17" x14ac:dyDescent="0.2">
      <c r="A1623" s="16">
        <f>P1623</f>
        <v>0</v>
      </c>
      <c r="B1623">
        <v>2020</v>
      </c>
      <c r="C1623" t="s">
        <v>904</v>
      </c>
      <c r="D1623" t="s">
        <v>906</v>
      </c>
      <c r="E1623" t="s">
        <v>2529</v>
      </c>
      <c r="F1623" t="s">
        <v>722</v>
      </c>
      <c r="G1623" t="s">
        <v>186</v>
      </c>
      <c r="H1623" s="6" t="s">
        <v>187</v>
      </c>
      <c r="I1623" s="6">
        <v>0</v>
      </c>
      <c r="J1623" s="6">
        <v>0</v>
      </c>
      <c r="K1623" s="6">
        <v>17577</v>
      </c>
      <c r="M1623" s="6">
        <f>SUM(H1623,J1623)</f>
        <v>0</v>
      </c>
      <c r="N1623" s="6">
        <f>K1623</f>
        <v>17577</v>
      </c>
      <c r="O1623" s="6">
        <f>SUM(M1623:N1623)</f>
        <v>17577</v>
      </c>
      <c r="P1623" s="8">
        <f>VLOOKUP(F1623,'LEAID Match'!$A$2:$B$436,2,FALSE)</f>
        <v>0</v>
      </c>
      <c r="Q1623" s="6">
        <f>COUNTIF($P$2:$P$3691,P1623)</f>
        <v>371</v>
      </c>
    </row>
    <row r="1624" spans="1:17" x14ac:dyDescent="0.2">
      <c r="A1624" s="16">
        <f>P1624</f>
        <v>0</v>
      </c>
      <c r="B1624">
        <v>2021</v>
      </c>
      <c r="C1624" t="s">
        <v>904</v>
      </c>
      <c r="D1624" t="s">
        <v>906</v>
      </c>
      <c r="E1624" t="s">
        <v>2530</v>
      </c>
      <c r="F1624" t="s">
        <v>722</v>
      </c>
      <c r="G1624" t="s">
        <v>186</v>
      </c>
      <c r="H1624" s="6" t="s">
        <v>187</v>
      </c>
      <c r="I1624" s="6">
        <v>0</v>
      </c>
      <c r="J1624" s="6">
        <v>0</v>
      </c>
      <c r="K1624" s="6" t="s">
        <v>187</v>
      </c>
      <c r="M1624" s="6">
        <f>SUM(H1624,J1624)</f>
        <v>0</v>
      </c>
      <c r="N1624" s="6" t="str">
        <f>K1624</f>
        <v>-</v>
      </c>
      <c r="O1624" s="6">
        <f>SUM(M1624:N1624)</f>
        <v>0</v>
      </c>
      <c r="P1624" s="8">
        <f>VLOOKUP(F1624,'LEAID Match'!$A$2:$B$436,2,FALSE)</f>
        <v>0</v>
      </c>
      <c r="Q1624" s="6">
        <f>COUNTIF($P$2:$P$3691,P1624)</f>
        <v>371</v>
      </c>
    </row>
    <row r="1625" spans="1:17" x14ac:dyDescent="0.2">
      <c r="A1625" s="16">
        <f>P1625</f>
        <v>0</v>
      </c>
      <c r="B1625">
        <v>2022</v>
      </c>
      <c r="C1625" t="s">
        <v>904</v>
      </c>
      <c r="D1625" t="s">
        <v>906</v>
      </c>
      <c r="E1625" t="s">
        <v>2531</v>
      </c>
      <c r="F1625" t="s">
        <v>722</v>
      </c>
      <c r="G1625" t="s">
        <v>186</v>
      </c>
      <c r="H1625" s="6" t="s">
        <v>187</v>
      </c>
      <c r="I1625" s="6">
        <v>0</v>
      </c>
      <c r="J1625" s="6">
        <v>0</v>
      </c>
      <c r="K1625" s="6" t="s">
        <v>187</v>
      </c>
      <c r="M1625" s="6">
        <f>SUM(H1625,J1625)</f>
        <v>0</v>
      </c>
      <c r="N1625" s="6" t="str">
        <f>K1625</f>
        <v>-</v>
      </c>
      <c r="O1625" s="6">
        <f>SUM(M1625:N1625)</f>
        <v>0</v>
      </c>
      <c r="P1625" s="8">
        <f>VLOOKUP(F1625,'LEAID Match'!$A$2:$B$436,2,FALSE)</f>
        <v>0</v>
      </c>
      <c r="Q1625" s="6">
        <f>COUNTIF($P$2:$P$3691,P1625)</f>
        <v>371</v>
      </c>
    </row>
    <row r="1626" spans="1:17" x14ac:dyDescent="0.2">
      <c r="A1626" s="16">
        <f>P1626</f>
        <v>0</v>
      </c>
      <c r="B1626">
        <v>2023</v>
      </c>
      <c r="C1626" t="s">
        <v>904</v>
      </c>
      <c r="D1626" t="s">
        <v>906</v>
      </c>
      <c r="E1626" t="s">
        <v>2532</v>
      </c>
      <c r="F1626" t="s">
        <v>722</v>
      </c>
      <c r="G1626" t="s">
        <v>186</v>
      </c>
      <c r="H1626" s="6" t="s">
        <v>187</v>
      </c>
      <c r="I1626" s="6">
        <v>0</v>
      </c>
      <c r="J1626" s="6">
        <v>0</v>
      </c>
      <c r="K1626" s="6" t="s">
        <v>187</v>
      </c>
      <c r="M1626" s="6">
        <f>SUM(H1626,J1626)</f>
        <v>0</v>
      </c>
      <c r="N1626" s="6" t="str">
        <f>K1626</f>
        <v>-</v>
      </c>
      <c r="O1626" s="6">
        <f>SUM(M1626:N1626)</f>
        <v>0</v>
      </c>
      <c r="P1626" s="8">
        <f>VLOOKUP(F1626,'LEAID Match'!$A$2:$B$436,2,FALSE)</f>
        <v>0</v>
      </c>
      <c r="Q1626" s="6">
        <f>COUNTIF($P$2:$P$3691,P1626)</f>
        <v>371</v>
      </c>
    </row>
    <row r="1627" spans="1:17" x14ac:dyDescent="0.2">
      <c r="A1627" s="16">
        <f>P1627</f>
        <v>1800105</v>
      </c>
      <c r="B1627">
        <v>2015</v>
      </c>
      <c r="C1627" t="s">
        <v>904</v>
      </c>
      <c r="D1627" t="s">
        <v>906</v>
      </c>
      <c r="E1627" t="s">
        <v>2533</v>
      </c>
      <c r="F1627" t="s">
        <v>543</v>
      </c>
      <c r="G1627" t="s">
        <v>188</v>
      </c>
      <c r="H1627" s="6">
        <v>143960</v>
      </c>
      <c r="I1627" s="6">
        <v>7.0003530811595051E-4</v>
      </c>
      <c r="J1627" s="6">
        <v>4067.9051754617885</v>
      </c>
      <c r="K1627" s="6">
        <v>591961.05710777699</v>
      </c>
      <c r="M1627" s="6">
        <f>SUM(H1627,J1627)</f>
        <v>148027.90517546178</v>
      </c>
      <c r="N1627" s="6">
        <f>K1627</f>
        <v>591961.05710777699</v>
      </c>
      <c r="O1627" s="6">
        <f>SUM(M1627:N1627)</f>
        <v>739988.96228323877</v>
      </c>
      <c r="P1627" s="8">
        <f>VLOOKUP(F1627,'LEAID Match'!$A$2:$B$436,2,FALSE)</f>
        <v>1800105</v>
      </c>
      <c r="Q1627" s="6">
        <f>COUNTIF($P$2:$P$3691,P1627)</f>
        <v>9</v>
      </c>
    </row>
    <row r="1628" spans="1:17" x14ac:dyDescent="0.2">
      <c r="A1628" s="16">
        <f>P1628</f>
        <v>1800105</v>
      </c>
      <c r="B1628">
        <v>2016</v>
      </c>
      <c r="C1628" t="s">
        <v>904</v>
      </c>
      <c r="D1628" t="s">
        <v>906</v>
      </c>
      <c r="E1628" t="s">
        <v>2534</v>
      </c>
      <c r="F1628" t="s">
        <v>543</v>
      </c>
      <c r="G1628" t="s">
        <v>188</v>
      </c>
      <c r="H1628" s="6">
        <v>149635</v>
      </c>
      <c r="I1628" s="6">
        <v>6.9432477761039769E-4</v>
      </c>
      <c r="J1628" s="6">
        <v>3504.9514773772876</v>
      </c>
      <c r="K1628" s="6">
        <v>616213.24012922798</v>
      </c>
      <c r="M1628" s="6">
        <f>SUM(H1628,J1628)</f>
        <v>153139.9514773773</v>
      </c>
      <c r="N1628" s="6">
        <f>K1628</f>
        <v>616213.24012922798</v>
      </c>
      <c r="O1628" s="6">
        <f>SUM(M1628:N1628)</f>
        <v>769353.19160660531</v>
      </c>
      <c r="P1628" s="8">
        <f>VLOOKUP(F1628,'LEAID Match'!$A$2:$B$436,2,FALSE)</f>
        <v>1800105</v>
      </c>
      <c r="Q1628" s="6">
        <f>COUNTIF($P$2:$P$3691,P1628)</f>
        <v>9</v>
      </c>
    </row>
    <row r="1629" spans="1:17" x14ac:dyDescent="0.2">
      <c r="A1629" s="16">
        <f>P1629</f>
        <v>1800105</v>
      </c>
      <c r="B1629">
        <v>2017</v>
      </c>
      <c r="C1629" t="s">
        <v>904</v>
      </c>
      <c r="D1629" t="s">
        <v>906</v>
      </c>
      <c r="E1629" t="s">
        <v>2535</v>
      </c>
      <c r="F1629" t="s">
        <v>543</v>
      </c>
      <c r="G1629" t="s">
        <v>188</v>
      </c>
      <c r="H1629" s="6">
        <v>161099</v>
      </c>
      <c r="I1629" s="6">
        <v>7.0938781613534758E-4</v>
      </c>
      <c r="J1629" s="6">
        <v>3209.9798680124477</v>
      </c>
      <c r="K1629" s="6">
        <v>617876.78785388696</v>
      </c>
      <c r="M1629" s="6">
        <f>SUM(H1629,J1629)</f>
        <v>164308.97986801245</v>
      </c>
      <c r="N1629" s="6">
        <f>K1629</f>
        <v>617876.78785388696</v>
      </c>
      <c r="O1629" s="6">
        <f>SUM(M1629:N1629)</f>
        <v>782185.76772189944</v>
      </c>
      <c r="P1629" s="8">
        <f>VLOOKUP(F1629,'LEAID Match'!$A$2:$B$436,2,FALSE)</f>
        <v>1800105</v>
      </c>
      <c r="Q1629" s="6">
        <f>COUNTIF($P$2:$P$3691,P1629)</f>
        <v>9</v>
      </c>
    </row>
    <row r="1630" spans="1:17" x14ac:dyDescent="0.2">
      <c r="A1630" s="16">
        <f>P1630</f>
        <v>1800105</v>
      </c>
      <c r="B1630">
        <v>2018</v>
      </c>
      <c r="C1630" t="s">
        <v>904</v>
      </c>
      <c r="D1630" t="s">
        <v>906</v>
      </c>
      <c r="E1630" t="s">
        <v>2536</v>
      </c>
      <c r="F1630" t="s">
        <v>543</v>
      </c>
      <c r="G1630" t="s">
        <v>188</v>
      </c>
      <c r="H1630" s="6">
        <v>180720</v>
      </c>
      <c r="I1630" s="6">
        <v>7.6668125448296624E-4</v>
      </c>
      <c r="J1630" s="6">
        <v>3195.5274686850034</v>
      </c>
      <c r="K1630" s="6">
        <v>213871</v>
      </c>
      <c r="M1630" s="6">
        <f>SUM(H1630,J1630)</f>
        <v>183915.527468685</v>
      </c>
      <c r="N1630" s="6">
        <f>K1630</f>
        <v>213871</v>
      </c>
      <c r="O1630" s="6">
        <f>SUM(M1630:N1630)</f>
        <v>397786.527468685</v>
      </c>
      <c r="P1630" s="8">
        <f>VLOOKUP(F1630,'LEAID Match'!$A$2:$B$436,2,FALSE)</f>
        <v>1800105</v>
      </c>
      <c r="Q1630" s="6">
        <f>COUNTIF($P$2:$P$3691,P1630)</f>
        <v>9</v>
      </c>
    </row>
    <row r="1631" spans="1:17" x14ac:dyDescent="0.2">
      <c r="A1631" s="16">
        <f>P1631</f>
        <v>1800105</v>
      </c>
      <c r="B1631">
        <v>2019</v>
      </c>
      <c r="C1631" t="s">
        <v>904</v>
      </c>
      <c r="D1631" t="s">
        <v>906</v>
      </c>
      <c r="E1631" t="s">
        <v>2537</v>
      </c>
      <c r="F1631" t="s">
        <v>543</v>
      </c>
      <c r="G1631" t="s">
        <v>188</v>
      </c>
      <c r="H1631" s="6">
        <v>64107</v>
      </c>
      <c r="I1631" s="6">
        <v>1.6308786032016644E-4</v>
      </c>
      <c r="J1631" s="6">
        <v>571.62295042218341</v>
      </c>
      <c r="K1631" s="6">
        <v>153938.63135620501</v>
      </c>
      <c r="M1631" s="6">
        <f>SUM(H1631,J1631)</f>
        <v>64678.622950422185</v>
      </c>
      <c r="N1631" s="6">
        <f>K1631</f>
        <v>153938.63135620501</v>
      </c>
      <c r="O1631" s="6">
        <f>SUM(M1631:N1631)</f>
        <v>218617.2543066272</v>
      </c>
      <c r="P1631" s="8">
        <f>VLOOKUP(F1631,'LEAID Match'!$A$2:$B$436,2,FALSE)</f>
        <v>1800105</v>
      </c>
      <c r="Q1631" s="6">
        <f>COUNTIF($P$2:$P$3691,P1631)</f>
        <v>9</v>
      </c>
    </row>
    <row r="1632" spans="1:17" x14ac:dyDescent="0.2">
      <c r="A1632" s="16">
        <f>P1632</f>
        <v>1800105</v>
      </c>
      <c r="B1632">
        <v>2020</v>
      </c>
      <c r="C1632" t="s">
        <v>904</v>
      </c>
      <c r="D1632" t="s">
        <v>906</v>
      </c>
      <c r="E1632" t="s">
        <v>2538</v>
      </c>
      <c r="F1632" t="s">
        <v>543</v>
      </c>
      <c r="G1632" t="s">
        <v>188</v>
      </c>
      <c r="H1632" s="6">
        <v>51931</v>
      </c>
      <c r="I1632" s="6">
        <v>2.7516718985929928E-4</v>
      </c>
      <c r="J1632" s="6">
        <v>648.29389930850914</v>
      </c>
      <c r="K1632" s="6">
        <v>51956</v>
      </c>
      <c r="M1632" s="6">
        <f>SUM(H1632,J1632)</f>
        <v>52579.293899308512</v>
      </c>
      <c r="N1632" s="6">
        <f>K1632</f>
        <v>51956</v>
      </c>
      <c r="O1632" s="6">
        <f>SUM(M1632:N1632)</f>
        <v>104535.29389930851</v>
      </c>
      <c r="P1632" s="8">
        <f>VLOOKUP(F1632,'LEAID Match'!$A$2:$B$436,2,FALSE)</f>
        <v>1800105</v>
      </c>
      <c r="Q1632" s="6">
        <f>COUNTIF($P$2:$P$3691,P1632)</f>
        <v>9</v>
      </c>
    </row>
    <row r="1633" spans="1:17" x14ac:dyDescent="0.2">
      <c r="A1633" s="16">
        <f>P1633</f>
        <v>1800105</v>
      </c>
      <c r="B1633">
        <v>2021</v>
      </c>
      <c r="C1633" t="s">
        <v>904</v>
      </c>
      <c r="D1633" t="s">
        <v>906</v>
      </c>
      <c r="E1633" t="s">
        <v>2539</v>
      </c>
      <c r="F1633" t="s">
        <v>543</v>
      </c>
      <c r="G1633" t="s">
        <v>188</v>
      </c>
      <c r="H1633" s="6">
        <v>59981</v>
      </c>
      <c r="I1633" s="6">
        <v>2.9631171816884053E-4</v>
      </c>
      <c r="J1633" s="6">
        <v>667.88661275256652</v>
      </c>
      <c r="K1633" s="6">
        <v>97341</v>
      </c>
      <c r="M1633" s="6">
        <f>SUM(H1633,J1633)</f>
        <v>60648.886612752569</v>
      </c>
      <c r="N1633" s="6">
        <f>K1633</f>
        <v>97341</v>
      </c>
      <c r="O1633" s="6">
        <f>SUM(M1633:N1633)</f>
        <v>157989.88661275257</v>
      </c>
      <c r="P1633" s="8">
        <f>VLOOKUP(F1633,'LEAID Match'!$A$2:$B$436,2,FALSE)</f>
        <v>1800105</v>
      </c>
      <c r="Q1633" s="6">
        <f>COUNTIF($P$2:$P$3691,P1633)</f>
        <v>9</v>
      </c>
    </row>
    <row r="1634" spans="1:17" x14ac:dyDescent="0.2">
      <c r="A1634" s="16">
        <f>P1634</f>
        <v>1800105</v>
      </c>
      <c r="B1634">
        <v>2022</v>
      </c>
      <c r="C1634" t="s">
        <v>904</v>
      </c>
      <c r="D1634" t="s">
        <v>906</v>
      </c>
      <c r="E1634" t="s">
        <v>2540</v>
      </c>
      <c r="F1634" t="s">
        <v>543</v>
      </c>
      <c r="G1634" t="s">
        <v>188</v>
      </c>
      <c r="H1634" s="6">
        <v>67649</v>
      </c>
      <c r="I1634" s="6">
        <v>3.212100246434644E-4</v>
      </c>
      <c r="J1634" s="6">
        <v>708.26810433883895</v>
      </c>
      <c r="K1634" s="6">
        <v>46047</v>
      </c>
      <c r="M1634" s="6">
        <f>SUM(H1634,J1634)</f>
        <v>68357.268104338844</v>
      </c>
      <c r="N1634" s="6">
        <f>K1634</f>
        <v>46047</v>
      </c>
      <c r="O1634" s="6">
        <f>SUM(M1634:N1634)</f>
        <v>114404.26810433884</v>
      </c>
      <c r="P1634" s="8">
        <f>VLOOKUP(F1634,'LEAID Match'!$A$2:$B$436,2,FALSE)</f>
        <v>1800105</v>
      </c>
      <c r="Q1634" s="6">
        <f>COUNTIF($P$2:$P$3691,P1634)</f>
        <v>9</v>
      </c>
    </row>
    <row r="1635" spans="1:17" x14ac:dyDescent="0.2">
      <c r="A1635" s="16">
        <f>P1635</f>
        <v>1800105</v>
      </c>
      <c r="B1635">
        <v>2023</v>
      </c>
      <c r="C1635" t="s">
        <v>904</v>
      </c>
      <c r="D1635" t="s">
        <v>906</v>
      </c>
      <c r="E1635" t="s">
        <v>2541</v>
      </c>
      <c r="F1635" t="s">
        <v>543</v>
      </c>
      <c r="G1635" t="s">
        <v>188</v>
      </c>
      <c r="H1635" s="6">
        <v>114091</v>
      </c>
      <c r="I1635" s="6">
        <v>4.6656950241217877E-4</v>
      </c>
      <c r="J1635" s="6">
        <v>1151.0269624508451</v>
      </c>
      <c r="K1635" s="6">
        <v>83006</v>
      </c>
      <c r="M1635" s="6">
        <f>SUM(H1635,J1635)</f>
        <v>115242.02696245085</v>
      </c>
      <c r="N1635" s="6">
        <f>K1635</f>
        <v>83006</v>
      </c>
      <c r="O1635" s="6">
        <f>SUM(M1635:N1635)</f>
        <v>198248.02696245085</v>
      </c>
      <c r="P1635" s="8">
        <f>VLOOKUP(F1635,'LEAID Match'!$A$2:$B$436,2,FALSE)</f>
        <v>1800105</v>
      </c>
      <c r="Q1635" s="6">
        <f>COUNTIF($P$2:$P$3691,P1635)</f>
        <v>9</v>
      </c>
    </row>
    <row r="1636" spans="1:17" x14ac:dyDescent="0.2">
      <c r="A1636" s="16">
        <f>P1636</f>
        <v>1800900</v>
      </c>
      <c r="B1636">
        <v>2015</v>
      </c>
      <c r="C1636" t="s">
        <v>904</v>
      </c>
      <c r="D1636" t="s">
        <v>906</v>
      </c>
      <c r="E1636" t="s">
        <v>2542</v>
      </c>
      <c r="F1636" t="s">
        <v>544</v>
      </c>
      <c r="G1636" t="s">
        <v>189</v>
      </c>
      <c r="H1636" s="6">
        <v>281693</v>
      </c>
      <c r="I1636" s="6">
        <v>1.3697905393797334E-3</v>
      </c>
      <c r="J1636" s="6">
        <v>7959.8528243356313</v>
      </c>
      <c r="K1636" s="6">
        <v>1158316.7967481299</v>
      </c>
      <c r="M1636" s="6">
        <f>SUM(H1636,J1636)</f>
        <v>289652.85282433563</v>
      </c>
      <c r="N1636" s="6">
        <f>K1636</f>
        <v>1158316.7967481299</v>
      </c>
      <c r="O1636" s="6">
        <f>SUM(M1636:N1636)</f>
        <v>1447969.6495724656</v>
      </c>
      <c r="P1636" s="8">
        <f>VLOOKUP(F1636,'LEAID Match'!$A$2:$B$436,2,FALSE)</f>
        <v>1800900</v>
      </c>
      <c r="Q1636" s="6">
        <f>COUNTIF($P$2:$P$3691,P1636)</f>
        <v>9</v>
      </c>
    </row>
    <row r="1637" spans="1:17" x14ac:dyDescent="0.2">
      <c r="A1637" s="16">
        <f>P1637</f>
        <v>1800900</v>
      </c>
      <c r="B1637">
        <v>2016</v>
      </c>
      <c r="C1637" t="s">
        <v>904</v>
      </c>
      <c r="D1637" t="s">
        <v>906</v>
      </c>
      <c r="E1637" t="s">
        <v>2543</v>
      </c>
      <c r="F1637" t="s">
        <v>544</v>
      </c>
      <c r="G1637" t="s">
        <v>189</v>
      </c>
      <c r="H1637" s="6">
        <v>306303</v>
      </c>
      <c r="I1637" s="6">
        <v>1.4212835389875206E-3</v>
      </c>
      <c r="J1637" s="6">
        <v>7174.639304809004</v>
      </c>
      <c r="K1637" s="6">
        <v>1261389.1408514199</v>
      </c>
      <c r="M1637" s="6">
        <f>SUM(H1637,J1637)</f>
        <v>313477.63930480898</v>
      </c>
      <c r="N1637" s="6">
        <f>K1637</f>
        <v>1261389.1408514199</v>
      </c>
      <c r="O1637" s="6">
        <f>SUM(M1637:N1637)</f>
        <v>1574866.7801562289</v>
      </c>
      <c r="P1637" s="8">
        <f>VLOOKUP(F1637,'LEAID Match'!$A$2:$B$436,2,FALSE)</f>
        <v>1800900</v>
      </c>
      <c r="Q1637" s="6">
        <f>COUNTIF($P$2:$P$3691,P1637)</f>
        <v>9</v>
      </c>
    </row>
    <row r="1638" spans="1:17" x14ac:dyDescent="0.2">
      <c r="A1638" s="16">
        <f>P1638</f>
        <v>1800900</v>
      </c>
      <c r="B1638">
        <v>2017</v>
      </c>
      <c r="C1638" t="s">
        <v>904</v>
      </c>
      <c r="D1638" t="s">
        <v>906</v>
      </c>
      <c r="E1638" t="s">
        <v>2544</v>
      </c>
      <c r="F1638" t="s">
        <v>544</v>
      </c>
      <c r="G1638" t="s">
        <v>189</v>
      </c>
      <c r="H1638" s="6">
        <v>307091</v>
      </c>
      <c r="I1638" s="6">
        <v>1.3522530484039008E-3</v>
      </c>
      <c r="J1638" s="6">
        <v>6118.9450440276514</v>
      </c>
      <c r="K1638" s="6">
        <v>1177812.4051597901</v>
      </c>
      <c r="M1638" s="6">
        <f>SUM(H1638,J1638)</f>
        <v>313209.94504402764</v>
      </c>
      <c r="N1638" s="6">
        <f>K1638</f>
        <v>1177812.4051597901</v>
      </c>
      <c r="O1638" s="6">
        <f>SUM(M1638:N1638)</f>
        <v>1491022.3502038177</v>
      </c>
      <c r="P1638" s="8">
        <f>VLOOKUP(F1638,'LEAID Match'!$A$2:$B$436,2,FALSE)</f>
        <v>1800900</v>
      </c>
      <c r="Q1638" s="6">
        <f>COUNTIF($P$2:$P$3691,P1638)</f>
        <v>9</v>
      </c>
    </row>
    <row r="1639" spans="1:17" x14ac:dyDescent="0.2">
      <c r="A1639" s="16">
        <f>P1639</f>
        <v>1800900</v>
      </c>
      <c r="B1639">
        <v>2018</v>
      </c>
      <c r="C1639" t="s">
        <v>904</v>
      </c>
      <c r="D1639" t="s">
        <v>906</v>
      </c>
      <c r="E1639" t="s">
        <v>2545</v>
      </c>
      <c r="F1639" t="s">
        <v>544</v>
      </c>
      <c r="G1639" t="s">
        <v>189</v>
      </c>
      <c r="H1639" s="6">
        <v>310484</v>
      </c>
      <c r="I1639" s="6">
        <v>1.3171882614923048E-3</v>
      </c>
      <c r="J1639" s="6">
        <v>5490.0406738999263</v>
      </c>
      <c r="K1639" s="6">
        <v>1171149</v>
      </c>
      <c r="M1639" s="6">
        <f>SUM(H1639,J1639)</f>
        <v>315974.04067389993</v>
      </c>
      <c r="N1639" s="6">
        <f>K1639</f>
        <v>1171149</v>
      </c>
      <c r="O1639" s="6">
        <f>SUM(M1639:N1639)</f>
        <v>1487123.0406738999</v>
      </c>
      <c r="P1639" s="8">
        <f>VLOOKUP(F1639,'LEAID Match'!$A$2:$B$436,2,FALSE)</f>
        <v>1800900</v>
      </c>
      <c r="Q1639" s="6">
        <f>COUNTIF($P$2:$P$3691,P1639)</f>
        <v>9</v>
      </c>
    </row>
    <row r="1640" spans="1:17" x14ac:dyDescent="0.2">
      <c r="A1640" s="16">
        <f>P1640</f>
        <v>1800900</v>
      </c>
      <c r="B1640">
        <v>2019</v>
      </c>
      <c r="C1640" t="s">
        <v>904</v>
      </c>
      <c r="D1640" t="s">
        <v>906</v>
      </c>
      <c r="E1640" t="s">
        <v>2546</v>
      </c>
      <c r="F1640" t="s">
        <v>544</v>
      </c>
      <c r="G1640" t="s">
        <v>189</v>
      </c>
      <c r="H1640" s="6">
        <v>318247</v>
      </c>
      <c r="I1640" s="6">
        <v>8.0961864200964034E-4</v>
      </c>
      <c r="J1640" s="6">
        <v>2837.7133402437894</v>
      </c>
      <c r="K1640" s="6">
        <v>764199.03619289899</v>
      </c>
      <c r="M1640" s="6">
        <f>SUM(H1640,J1640)</f>
        <v>321084.71334024379</v>
      </c>
      <c r="N1640" s="6">
        <f>K1640</f>
        <v>764199.03619289899</v>
      </c>
      <c r="O1640" s="6">
        <f>SUM(M1640:N1640)</f>
        <v>1085283.7495331429</v>
      </c>
      <c r="P1640" s="8">
        <f>VLOOKUP(F1640,'LEAID Match'!$A$2:$B$436,2,FALSE)</f>
        <v>1800900</v>
      </c>
      <c r="Q1640" s="6">
        <f>COUNTIF($P$2:$P$3691,P1640)</f>
        <v>9</v>
      </c>
    </row>
    <row r="1641" spans="1:17" x14ac:dyDescent="0.2">
      <c r="A1641" s="16">
        <f>P1641</f>
        <v>1800900</v>
      </c>
      <c r="B1641">
        <v>2020</v>
      </c>
      <c r="C1641" t="s">
        <v>904</v>
      </c>
      <c r="D1641" t="s">
        <v>906</v>
      </c>
      <c r="E1641" t="s">
        <v>2547</v>
      </c>
      <c r="F1641" t="s">
        <v>544</v>
      </c>
      <c r="G1641" t="s">
        <v>189</v>
      </c>
      <c r="H1641" s="6">
        <v>242504</v>
      </c>
      <c r="I1641" s="6">
        <v>1.2849578134378216E-3</v>
      </c>
      <c r="J1641" s="6">
        <v>3027.3606084595076</v>
      </c>
      <c r="K1641" s="6">
        <v>1195852</v>
      </c>
      <c r="M1641" s="6">
        <f>SUM(H1641,J1641)</f>
        <v>245531.36060845951</v>
      </c>
      <c r="N1641" s="6">
        <f>K1641</f>
        <v>1195852</v>
      </c>
      <c r="O1641" s="6">
        <f>SUM(M1641:N1641)</f>
        <v>1441383.3606084595</v>
      </c>
      <c r="P1641" s="8">
        <f>VLOOKUP(F1641,'LEAID Match'!$A$2:$B$436,2,FALSE)</f>
        <v>1800900</v>
      </c>
      <c r="Q1641" s="6">
        <f>COUNTIF($P$2:$P$3691,P1641)</f>
        <v>9</v>
      </c>
    </row>
    <row r="1642" spans="1:17" x14ac:dyDescent="0.2">
      <c r="A1642" s="16">
        <f>P1642</f>
        <v>1800900</v>
      </c>
      <c r="B1642">
        <v>2021</v>
      </c>
      <c r="C1642" t="s">
        <v>904</v>
      </c>
      <c r="D1642" t="s">
        <v>906</v>
      </c>
      <c r="E1642" t="s">
        <v>2548</v>
      </c>
      <c r="F1642" t="s">
        <v>544</v>
      </c>
      <c r="G1642" t="s">
        <v>189</v>
      </c>
      <c r="H1642" s="6">
        <v>252220</v>
      </c>
      <c r="I1642" s="6">
        <v>1.2459902561902094E-3</v>
      </c>
      <c r="J1642" s="6">
        <v>2808.4620374527321</v>
      </c>
      <c r="K1642" s="6">
        <v>2029457</v>
      </c>
      <c r="M1642" s="6">
        <f>SUM(H1642,J1642)</f>
        <v>255028.46203745273</v>
      </c>
      <c r="N1642" s="6">
        <f>K1642</f>
        <v>2029457</v>
      </c>
      <c r="O1642" s="6">
        <f>SUM(M1642:N1642)</f>
        <v>2284485.4620374525</v>
      </c>
      <c r="P1642" s="8">
        <f>VLOOKUP(F1642,'LEAID Match'!$A$2:$B$436,2,FALSE)</f>
        <v>1800900</v>
      </c>
      <c r="Q1642" s="6">
        <f>COUNTIF($P$2:$P$3691,P1642)</f>
        <v>9</v>
      </c>
    </row>
    <row r="1643" spans="1:17" x14ac:dyDescent="0.2">
      <c r="A1643" s="16">
        <f>P1643</f>
        <v>1800900</v>
      </c>
      <c r="B1643">
        <v>2022</v>
      </c>
      <c r="C1643" t="s">
        <v>904</v>
      </c>
      <c r="D1643" t="s">
        <v>906</v>
      </c>
      <c r="E1643" t="s">
        <v>2549</v>
      </c>
      <c r="F1643" t="s">
        <v>544</v>
      </c>
      <c r="G1643" t="s">
        <v>189</v>
      </c>
      <c r="H1643" s="6">
        <v>264547</v>
      </c>
      <c r="I1643" s="6">
        <v>1.2561183223603392E-3</v>
      </c>
      <c r="J1643" s="6">
        <v>2769.7409008045479</v>
      </c>
      <c r="K1643" s="6">
        <v>2032278</v>
      </c>
      <c r="M1643" s="6">
        <f>SUM(H1643,J1643)</f>
        <v>267316.74090080452</v>
      </c>
      <c r="N1643" s="6">
        <f>K1643</f>
        <v>2032278</v>
      </c>
      <c r="O1643" s="6">
        <f>SUM(M1643:N1643)</f>
        <v>2299594.7409008043</v>
      </c>
      <c r="P1643" s="8">
        <f>VLOOKUP(F1643,'LEAID Match'!$A$2:$B$436,2,FALSE)</f>
        <v>1800900</v>
      </c>
      <c r="Q1643" s="6">
        <f>COUNTIF($P$2:$P$3691,P1643)</f>
        <v>9</v>
      </c>
    </row>
    <row r="1644" spans="1:17" x14ac:dyDescent="0.2">
      <c r="A1644" s="16">
        <f>P1644</f>
        <v>1800900</v>
      </c>
      <c r="B1644">
        <v>2023</v>
      </c>
      <c r="C1644" t="s">
        <v>904</v>
      </c>
      <c r="D1644" t="s">
        <v>906</v>
      </c>
      <c r="E1644" t="s">
        <v>2550</v>
      </c>
      <c r="F1644" t="s">
        <v>544</v>
      </c>
      <c r="G1644" t="s">
        <v>189</v>
      </c>
      <c r="H1644" s="6">
        <v>306018</v>
      </c>
      <c r="I1644" s="6">
        <v>1.2514454776377639E-3</v>
      </c>
      <c r="J1644" s="6">
        <v>3087.3159933323636</v>
      </c>
      <c r="K1644" s="6">
        <v>6173783</v>
      </c>
      <c r="M1644" s="6">
        <f>SUM(H1644,J1644)</f>
        <v>309105.31599333236</v>
      </c>
      <c r="N1644" s="6">
        <f>K1644</f>
        <v>6173783</v>
      </c>
      <c r="O1644" s="6">
        <f>SUM(M1644:N1644)</f>
        <v>6482888.3159933323</v>
      </c>
      <c r="P1644" s="8">
        <f>VLOOKUP(F1644,'LEAID Match'!$A$2:$B$436,2,FALSE)</f>
        <v>1800900</v>
      </c>
      <c r="Q1644" s="6">
        <f>COUNTIF($P$2:$P$3691,P1644)</f>
        <v>9</v>
      </c>
    </row>
    <row r="1645" spans="1:17" x14ac:dyDescent="0.2">
      <c r="A1645" s="16">
        <f>P1645</f>
        <v>1802520</v>
      </c>
      <c r="B1645">
        <v>2015</v>
      </c>
      <c r="C1645" t="s">
        <v>904</v>
      </c>
      <c r="D1645" t="s">
        <v>906</v>
      </c>
      <c r="E1645" t="s">
        <v>2551</v>
      </c>
      <c r="F1645" t="s">
        <v>723</v>
      </c>
      <c r="G1645" t="s">
        <v>190</v>
      </c>
      <c r="H1645" s="6">
        <v>168495</v>
      </c>
      <c r="I1645" s="6">
        <v>8.1934182579186633E-4</v>
      </c>
      <c r="J1645" s="6">
        <v>4761.1953496765354</v>
      </c>
      <c r="K1645" s="6">
        <v>692848.55735881405</v>
      </c>
      <c r="M1645" s="6">
        <f>SUM(H1645,J1645)</f>
        <v>173256.19534967653</v>
      </c>
      <c r="N1645" s="6">
        <f>K1645</f>
        <v>692848.55735881405</v>
      </c>
      <c r="O1645" s="6">
        <f>SUM(M1645:N1645)</f>
        <v>866104.75270849059</v>
      </c>
      <c r="P1645" s="8">
        <f>VLOOKUP(F1645,'LEAID Match'!$A$2:$B$436,2,FALSE)</f>
        <v>1802520</v>
      </c>
      <c r="Q1645" s="6">
        <f>COUNTIF($P$2:$P$3691,P1645)</f>
        <v>9</v>
      </c>
    </row>
    <row r="1646" spans="1:17" x14ac:dyDescent="0.2">
      <c r="A1646" s="16">
        <f>P1646</f>
        <v>1802520</v>
      </c>
      <c r="B1646">
        <v>2016</v>
      </c>
      <c r="C1646" t="s">
        <v>904</v>
      </c>
      <c r="D1646" t="s">
        <v>906</v>
      </c>
      <c r="E1646" t="s">
        <v>2552</v>
      </c>
      <c r="F1646" t="s">
        <v>723</v>
      </c>
      <c r="G1646" t="s">
        <v>190</v>
      </c>
      <c r="H1646" s="6">
        <v>169392</v>
      </c>
      <c r="I1646" s="6">
        <v>7.859996840911584E-4</v>
      </c>
      <c r="J1646" s="6">
        <v>3967.7264052921678</v>
      </c>
      <c r="K1646" s="6">
        <v>697574.71963090298</v>
      </c>
      <c r="M1646" s="6">
        <f>SUM(H1646,J1646)</f>
        <v>173359.72640529217</v>
      </c>
      <c r="N1646" s="6">
        <f>K1646</f>
        <v>697574.71963090298</v>
      </c>
      <c r="O1646" s="6">
        <f>SUM(M1646:N1646)</f>
        <v>870934.44603619515</v>
      </c>
      <c r="P1646" s="8">
        <f>VLOOKUP(F1646,'LEAID Match'!$A$2:$B$436,2,FALSE)</f>
        <v>1802520</v>
      </c>
      <c r="Q1646" s="6">
        <f>COUNTIF($P$2:$P$3691,P1646)</f>
        <v>9</v>
      </c>
    </row>
    <row r="1647" spans="1:17" x14ac:dyDescent="0.2">
      <c r="A1647" s="16">
        <f>P1647</f>
        <v>1802520</v>
      </c>
      <c r="B1647">
        <v>2017</v>
      </c>
      <c r="C1647" t="s">
        <v>904</v>
      </c>
      <c r="D1647" t="s">
        <v>906</v>
      </c>
      <c r="E1647" t="s">
        <v>2553</v>
      </c>
      <c r="F1647" t="s">
        <v>723</v>
      </c>
      <c r="G1647" t="s">
        <v>190</v>
      </c>
      <c r="H1647" s="6">
        <v>157821</v>
      </c>
      <c r="I1647" s="6">
        <v>6.9495337978694267E-4</v>
      </c>
      <c r="J1647" s="6">
        <v>3144.6640435359154</v>
      </c>
      <c r="K1647" s="6">
        <v>605304.39379442704</v>
      </c>
      <c r="M1647" s="6">
        <f>SUM(H1647,J1647)</f>
        <v>160965.66404353591</v>
      </c>
      <c r="N1647" s="6">
        <f>K1647</f>
        <v>605304.39379442704</v>
      </c>
      <c r="O1647" s="6">
        <f>SUM(M1647:N1647)</f>
        <v>766270.05783796299</v>
      </c>
      <c r="P1647" s="8">
        <f>VLOOKUP(F1647,'LEAID Match'!$A$2:$B$436,2,FALSE)</f>
        <v>1802520</v>
      </c>
      <c r="Q1647" s="6">
        <f>COUNTIF($P$2:$P$3691,P1647)</f>
        <v>9</v>
      </c>
    </row>
    <row r="1648" spans="1:17" x14ac:dyDescent="0.2">
      <c r="A1648" s="16">
        <f>P1648</f>
        <v>1802520</v>
      </c>
      <c r="B1648">
        <v>2018</v>
      </c>
      <c r="C1648" t="s">
        <v>904</v>
      </c>
      <c r="D1648" t="s">
        <v>906</v>
      </c>
      <c r="E1648" t="s">
        <v>2554</v>
      </c>
      <c r="F1648" t="s">
        <v>723</v>
      </c>
      <c r="G1648" t="s">
        <v>190</v>
      </c>
      <c r="H1648" s="6">
        <v>155057</v>
      </c>
      <c r="I1648" s="6">
        <v>6.5780929214456232E-4</v>
      </c>
      <c r="J1648" s="6">
        <v>2741.7491296585358</v>
      </c>
      <c r="K1648" s="6">
        <v>1009415</v>
      </c>
      <c r="M1648" s="6">
        <f>SUM(H1648,J1648)</f>
        <v>157798.74912965854</v>
      </c>
      <c r="N1648" s="6">
        <f>K1648</f>
        <v>1009415</v>
      </c>
      <c r="O1648" s="6">
        <f>SUM(M1648:N1648)</f>
        <v>1167213.7491296586</v>
      </c>
      <c r="P1648" s="8">
        <f>VLOOKUP(F1648,'LEAID Match'!$A$2:$B$436,2,FALSE)</f>
        <v>1802520</v>
      </c>
      <c r="Q1648" s="6">
        <f>COUNTIF($P$2:$P$3691,P1648)</f>
        <v>9</v>
      </c>
    </row>
    <row r="1649" spans="1:17" x14ac:dyDescent="0.2">
      <c r="A1649" s="16">
        <f>P1649</f>
        <v>1802520</v>
      </c>
      <c r="B1649">
        <v>2019</v>
      </c>
      <c r="C1649" t="s">
        <v>904</v>
      </c>
      <c r="D1649" t="s">
        <v>906</v>
      </c>
      <c r="E1649" t="s">
        <v>2555</v>
      </c>
      <c r="F1649" t="s">
        <v>723</v>
      </c>
      <c r="G1649" t="s">
        <v>190</v>
      </c>
      <c r="H1649" s="6">
        <v>183869</v>
      </c>
      <c r="I1649" s="6">
        <v>4.6776173879933055E-4</v>
      </c>
      <c r="J1649" s="6">
        <v>1639.5048944916537</v>
      </c>
      <c r="K1649" s="6">
        <v>441520.30525268801</v>
      </c>
      <c r="M1649" s="6">
        <f>SUM(H1649,J1649)</f>
        <v>185508.50489449166</v>
      </c>
      <c r="N1649" s="6">
        <f>K1649</f>
        <v>441520.30525268801</v>
      </c>
      <c r="O1649" s="6">
        <f>SUM(M1649:N1649)</f>
        <v>627028.81014717964</v>
      </c>
      <c r="P1649" s="8">
        <f>VLOOKUP(F1649,'LEAID Match'!$A$2:$B$436,2,FALSE)</f>
        <v>1802520</v>
      </c>
      <c r="Q1649" s="6">
        <f>COUNTIF($P$2:$P$3691,P1649)</f>
        <v>9</v>
      </c>
    </row>
    <row r="1650" spans="1:17" x14ac:dyDescent="0.2">
      <c r="A1650" s="16">
        <f>P1650</f>
        <v>1802520</v>
      </c>
      <c r="B1650">
        <v>2020</v>
      </c>
      <c r="C1650" t="s">
        <v>904</v>
      </c>
      <c r="D1650" t="s">
        <v>906</v>
      </c>
      <c r="E1650" t="s">
        <v>2556</v>
      </c>
      <c r="F1650" t="s">
        <v>723</v>
      </c>
      <c r="G1650" t="s">
        <v>190</v>
      </c>
      <c r="H1650" s="6">
        <v>154290</v>
      </c>
      <c r="I1650" s="6">
        <v>8.175376118963872E-4</v>
      </c>
      <c r="J1650" s="6">
        <v>1926.1186136278882</v>
      </c>
      <c r="K1650" s="6">
        <v>1182062</v>
      </c>
      <c r="M1650" s="6">
        <f>SUM(H1650,J1650)</f>
        <v>156216.11861362788</v>
      </c>
      <c r="N1650" s="6">
        <f>K1650</f>
        <v>1182062</v>
      </c>
      <c r="O1650" s="6">
        <f>SUM(M1650:N1650)</f>
        <v>1338278.118613628</v>
      </c>
      <c r="P1650" s="8">
        <f>VLOOKUP(F1650,'LEAID Match'!$A$2:$B$436,2,FALSE)</f>
        <v>1802520</v>
      </c>
      <c r="Q1650" s="6">
        <f>COUNTIF($P$2:$P$3691,P1650)</f>
        <v>9</v>
      </c>
    </row>
    <row r="1651" spans="1:17" x14ac:dyDescent="0.2">
      <c r="A1651" s="16">
        <f>P1651</f>
        <v>1802520</v>
      </c>
      <c r="B1651">
        <v>2021</v>
      </c>
      <c r="C1651" t="s">
        <v>904</v>
      </c>
      <c r="D1651" t="s">
        <v>906</v>
      </c>
      <c r="E1651" t="s">
        <v>2557</v>
      </c>
      <c r="F1651" t="s">
        <v>723</v>
      </c>
      <c r="G1651" t="s">
        <v>190</v>
      </c>
      <c r="H1651" s="6">
        <v>158122</v>
      </c>
      <c r="I1651" s="6">
        <v>7.8113738517686263E-4</v>
      </c>
      <c r="J1651" s="6">
        <v>1760.6836661886484</v>
      </c>
      <c r="K1651" s="6">
        <v>1987260</v>
      </c>
      <c r="M1651" s="6">
        <f>SUM(H1651,J1651)</f>
        <v>159882.68366618865</v>
      </c>
      <c r="N1651" s="6">
        <f>K1651</f>
        <v>1987260</v>
      </c>
      <c r="O1651" s="6">
        <f>SUM(M1651:N1651)</f>
        <v>2147142.6836661887</v>
      </c>
      <c r="P1651" s="8">
        <f>VLOOKUP(F1651,'LEAID Match'!$A$2:$B$436,2,FALSE)</f>
        <v>1802520</v>
      </c>
      <c r="Q1651" s="6">
        <f>COUNTIF($P$2:$P$3691,P1651)</f>
        <v>9</v>
      </c>
    </row>
    <row r="1652" spans="1:17" x14ac:dyDescent="0.2">
      <c r="A1652" s="16">
        <f>P1652</f>
        <v>1802520</v>
      </c>
      <c r="B1652">
        <v>2022</v>
      </c>
      <c r="C1652" t="s">
        <v>904</v>
      </c>
      <c r="D1652" t="s">
        <v>906</v>
      </c>
      <c r="E1652" t="s">
        <v>2558</v>
      </c>
      <c r="F1652" t="s">
        <v>723</v>
      </c>
      <c r="G1652" t="s">
        <v>190</v>
      </c>
      <c r="H1652" s="6">
        <v>191489</v>
      </c>
      <c r="I1652" s="6">
        <v>9.0922536044808289E-4</v>
      </c>
      <c r="J1652" s="6">
        <v>2004.8419197880228</v>
      </c>
      <c r="K1652" s="6">
        <v>1886384</v>
      </c>
      <c r="M1652" s="6">
        <f>SUM(H1652,J1652)</f>
        <v>193493.84191978801</v>
      </c>
      <c r="N1652" s="6">
        <f>K1652</f>
        <v>1886384</v>
      </c>
      <c r="O1652" s="6">
        <f>SUM(M1652:N1652)</f>
        <v>2079877.8419197879</v>
      </c>
      <c r="P1652" s="8">
        <f>VLOOKUP(F1652,'LEAID Match'!$A$2:$B$436,2,FALSE)</f>
        <v>1802520</v>
      </c>
      <c r="Q1652" s="6">
        <f>COUNTIF($P$2:$P$3691,P1652)</f>
        <v>9</v>
      </c>
    </row>
    <row r="1653" spans="1:17" x14ac:dyDescent="0.2">
      <c r="A1653" s="16">
        <f>P1653</f>
        <v>1802520</v>
      </c>
      <c r="B1653">
        <v>2023</v>
      </c>
      <c r="C1653" t="s">
        <v>904</v>
      </c>
      <c r="D1653" t="s">
        <v>906</v>
      </c>
      <c r="E1653" t="s">
        <v>2559</v>
      </c>
      <c r="F1653" t="s">
        <v>723</v>
      </c>
      <c r="G1653" t="s">
        <v>190</v>
      </c>
      <c r="H1653" s="6">
        <v>230156</v>
      </c>
      <c r="I1653" s="6">
        <v>9.4121158020507676E-4</v>
      </c>
      <c r="J1653" s="6">
        <v>2321.9689683659244</v>
      </c>
      <c r="K1653" s="6">
        <v>5563096</v>
      </c>
      <c r="M1653" s="6">
        <f>SUM(H1653,J1653)</f>
        <v>232477.96896836592</v>
      </c>
      <c r="N1653" s="6">
        <f>K1653</f>
        <v>5563096</v>
      </c>
      <c r="O1653" s="6">
        <f>SUM(M1653:N1653)</f>
        <v>5795573.9689683663</v>
      </c>
      <c r="P1653" s="8">
        <f>VLOOKUP(F1653,'LEAID Match'!$A$2:$B$436,2,FALSE)</f>
        <v>1802520</v>
      </c>
      <c r="Q1653" s="6">
        <f>COUNTIF($P$2:$P$3691,P1653)</f>
        <v>9</v>
      </c>
    </row>
    <row r="1654" spans="1:17" x14ac:dyDescent="0.2">
      <c r="A1654" s="16">
        <f>P1654</f>
        <v>1811490</v>
      </c>
      <c r="B1654">
        <v>2015</v>
      </c>
      <c r="C1654" t="s">
        <v>904</v>
      </c>
      <c r="D1654" t="s">
        <v>906</v>
      </c>
      <c r="E1654" t="s">
        <v>2560</v>
      </c>
      <c r="F1654" t="s">
        <v>545</v>
      </c>
      <c r="G1654" t="s">
        <v>191</v>
      </c>
      <c r="H1654" s="6">
        <v>179345</v>
      </c>
      <c r="I1654" s="6">
        <v>8.7210219737465366E-4</v>
      </c>
      <c r="J1654" s="6">
        <v>5067.7858689441127</v>
      </c>
      <c r="K1654" s="6">
        <v>737463.57173516497</v>
      </c>
      <c r="M1654" s="6">
        <f>SUM(H1654,J1654)</f>
        <v>184412.78586894411</v>
      </c>
      <c r="N1654" s="6">
        <f>K1654</f>
        <v>737463.57173516497</v>
      </c>
      <c r="O1654" s="6">
        <f>SUM(M1654:N1654)</f>
        <v>921876.3576041091</v>
      </c>
      <c r="P1654" s="8">
        <f>VLOOKUP(F1654,'LEAID Match'!$A$2:$B$436,2,FALSE)</f>
        <v>1811490</v>
      </c>
      <c r="Q1654" s="6">
        <f>COUNTIF($P$2:$P$3691,P1654)</f>
        <v>9</v>
      </c>
    </row>
    <row r="1655" spans="1:17" x14ac:dyDescent="0.2">
      <c r="A1655" s="16">
        <f>P1655</f>
        <v>1811490</v>
      </c>
      <c r="B1655">
        <v>2016</v>
      </c>
      <c r="C1655" t="s">
        <v>904</v>
      </c>
      <c r="D1655" t="s">
        <v>906</v>
      </c>
      <c r="E1655" t="s">
        <v>2561</v>
      </c>
      <c r="F1655" t="s">
        <v>545</v>
      </c>
      <c r="G1655" t="s">
        <v>191</v>
      </c>
      <c r="H1655" s="6">
        <v>175651</v>
      </c>
      <c r="I1655" s="6">
        <v>8.1504221279810182E-4</v>
      </c>
      <c r="J1655" s="6">
        <v>4114.3330902048183</v>
      </c>
      <c r="K1655" s="6">
        <v>723349.96385831502</v>
      </c>
      <c r="M1655" s="6">
        <f>SUM(H1655,J1655)</f>
        <v>179765.3330902048</v>
      </c>
      <c r="N1655" s="6">
        <f>K1655</f>
        <v>723349.96385831502</v>
      </c>
      <c r="O1655" s="6">
        <f>SUM(M1655:N1655)</f>
        <v>903115.29694851977</v>
      </c>
      <c r="P1655" s="8">
        <f>VLOOKUP(F1655,'LEAID Match'!$A$2:$B$436,2,FALSE)</f>
        <v>1811490</v>
      </c>
      <c r="Q1655" s="6">
        <f>COUNTIF($P$2:$P$3691,P1655)</f>
        <v>9</v>
      </c>
    </row>
    <row r="1656" spans="1:17" x14ac:dyDescent="0.2">
      <c r="A1656" s="16">
        <f>P1656</f>
        <v>1811490</v>
      </c>
      <c r="B1656">
        <v>2017</v>
      </c>
      <c r="C1656" t="s">
        <v>904</v>
      </c>
      <c r="D1656" t="s">
        <v>906</v>
      </c>
      <c r="E1656" t="s">
        <v>2562</v>
      </c>
      <c r="F1656" t="s">
        <v>545</v>
      </c>
      <c r="G1656" t="s">
        <v>191</v>
      </c>
      <c r="H1656" s="6">
        <v>178824</v>
      </c>
      <c r="I1656" s="6">
        <v>7.8743857399851886E-4</v>
      </c>
      <c r="J1656" s="6">
        <v>3563.1595473432976</v>
      </c>
      <c r="K1656" s="6">
        <v>685858.99795270897</v>
      </c>
      <c r="M1656" s="6">
        <f>SUM(H1656,J1656)</f>
        <v>182387.1595473433</v>
      </c>
      <c r="N1656" s="6">
        <f>K1656</f>
        <v>685858.99795270897</v>
      </c>
      <c r="O1656" s="6">
        <f>SUM(M1656:N1656)</f>
        <v>868246.15750005224</v>
      </c>
      <c r="P1656" s="8">
        <f>VLOOKUP(F1656,'LEAID Match'!$A$2:$B$436,2,FALSE)</f>
        <v>1811490</v>
      </c>
      <c r="Q1656" s="6">
        <f>COUNTIF($P$2:$P$3691,P1656)</f>
        <v>9</v>
      </c>
    </row>
    <row r="1657" spans="1:17" x14ac:dyDescent="0.2">
      <c r="A1657" s="16">
        <f>P1657</f>
        <v>1811490</v>
      </c>
      <c r="B1657">
        <v>2018</v>
      </c>
      <c r="C1657" t="s">
        <v>904</v>
      </c>
      <c r="D1657" t="s">
        <v>906</v>
      </c>
      <c r="E1657" t="s">
        <v>2563</v>
      </c>
      <c r="F1657" t="s">
        <v>545</v>
      </c>
      <c r="G1657" t="s">
        <v>191</v>
      </c>
      <c r="H1657" s="6">
        <v>186211</v>
      </c>
      <c r="I1657" s="6">
        <v>7.89976112652322E-4</v>
      </c>
      <c r="J1657" s="6">
        <v>3292.620437534878</v>
      </c>
      <c r="K1657" s="6">
        <v>791413</v>
      </c>
      <c r="M1657" s="6">
        <f>SUM(H1657,J1657)</f>
        <v>189503.62043753488</v>
      </c>
      <c r="N1657" s="6">
        <f>K1657</f>
        <v>791413</v>
      </c>
      <c r="O1657" s="6">
        <f>SUM(M1657:N1657)</f>
        <v>980916.62043753488</v>
      </c>
      <c r="P1657" s="8">
        <f>VLOOKUP(F1657,'LEAID Match'!$A$2:$B$436,2,FALSE)</f>
        <v>1811490</v>
      </c>
      <c r="Q1657" s="6">
        <f>COUNTIF($P$2:$P$3691,P1657)</f>
        <v>9</v>
      </c>
    </row>
    <row r="1658" spans="1:17" x14ac:dyDescent="0.2">
      <c r="A1658" s="16">
        <f>P1658</f>
        <v>1811490</v>
      </c>
      <c r="B1658">
        <v>2019</v>
      </c>
      <c r="C1658" t="s">
        <v>904</v>
      </c>
      <c r="D1658" t="s">
        <v>906</v>
      </c>
      <c r="E1658" t="s">
        <v>2564</v>
      </c>
      <c r="F1658" t="s">
        <v>545</v>
      </c>
      <c r="G1658" t="s">
        <v>191</v>
      </c>
      <c r="H1658" s="6">
        <v>201622</v>
      </c>
      <c r="I1658" s="6">
        <v>5.1292527451717593E-4</v>
      </c>
      <c r="J1658" s="6">
        <v>1797.8030871827016</v>
      </c>
      <c r="K1658" s="6">
        <v>484150.166616762</v>
      </c>
      <c r="M1658" s="6">
        <f>SUM(H1658,J1658)</f>
        <v>203419.80308718269</v>
      </c>
      <c r="N1658" s="6">
        <f>K1658</f>
        <v>484150.166616762</v>
      </c>
      <c r="O1658" s="6">
        <f>SUM(M1658:N1658)</f>
        <v>687569.96970394463</v>
      </c>
      <c r="P1658" s="8">
        <f>VLOOKUP(F1658,'LEAID Match'!$A$2:$B$436,2,FALSE)</f>
        <v>1811490</v>
      </c>
      <c r="Q1658" s="6">
        <f>COUNTIF($P$2:$P$3691,P1658)</f>
        <v>9</v>
      </c>
    </row>
    <row r="1659" spans="1:17" x14ac:dyDescent="0.2">
      <c r="A1659" s="16">
        <f>P1659</f>
        <v>1811490</v>
      </c>
      <c r="B1659">
        <v>2020</v>
      </c>
      <c r="C1659" t="s">
        <v>904</v>
      </c>
      <c r="D1659" t="s">
        <v>906</v>
      </c>
      <c r="E1659" t="s">
        <v>2565</v>
      </c>
      <c r="F1659" t="s">
        <v>545</v>
      </c>
      <c r="G1659" t="s">
        <v>191</v>
      </c>
      <c r="H1659" s="6">
        <v>147809</v>
      </c>
      <c r="I1659" s="6">
        <v>7.8319668725642039E-4</v>
      </c>
      <c r="J1659" s="6">
        <v>1845.2113951761264</v>
      </c>
      <c r="K1659" s="6">
        <v>837893</v>
      </c>
      <c r="M1659" s="6">
        <f>SUM(H1659,J1659)</f>
        <v>149654.21139517613</v>
      </c>
      <c r="N1659" s="6">
        <f>K1659</f>
        <v>837893</v>
      </c>
      <c r="O1659" s="6">
        <f>SUM(M1659:N1659)</f>
        <v>987547.21139517613</v>
      </c>
      <c r="P1659" s="8">
        <f>VLOOKUP(F1659,'LEAID Match'!$A$2:$B$436,2,FALSE)</f>
        <v>1811490</v>
      </c>
      <c r="Q1659" s="6">
        <f>COUNTIF($P$2:$P$3691,P1659)</f>
        <v>9</v>
      </c>
    </row>
    <row r="1660" spans="1:17" x14ac:dyDescent="0.2">
      <c r="A1660" s="16">
        <f>P1660</f>
        <v>1811490</v>
      </c>
      <c r="B1660">
        <v>2021</v>
      </c>
      <c r="C1660" t="s">
        <v>904</v>
      </c>
      <c r="D1660" t="s">
        <v>906</v>
      </c>
      <c r="E1660" t="s">
        <v>2566</v>
      </c>
      <c r="F1660" t="s">
        <v>545</v>
      </c>
      <c r="G1660" t="s">
        <v>191</v>
      </c>
      <c r="H1660" s="6">
        <v>163420</v>
      </c>
      <c r="I1660" s="6">
        <v>8.0730999788519557E-4</v>
      </c>
      <c r="J1660" s="6">
        <v>1819.6767352332308</v>
      </c>
      <c r="K1660" s="6">
        <v>1387230</v>
      </c>
      <c r="M1660" s="6">
        <f>SUM(H1660,J1660)</f>
        <v>165239.67673523322</v>
      </c>
      <c r="N1660" s="6">
        <f>K1660</f>
        <v>1387230</v>
      </c>
      <c r="O1660" s="6">
        <f>SUM(M1660:N1660)</f>
        <v>1552469.6767352333</v>
      </c>
      <c r="P1660" s="8">
        <f>VLOOKUP(F1660,'LEAID Match'!$A$2:$B$436,2,FALSE)</f>
        <v>1811490</v>
      </c>
      <c r="Q1660" s="6">
        <f>COUNTIF($P$2:$P$3691,P1660)</f>
        <v>9</v>
      </c>
    </row>
    <row r="1661" spans="1:17" x14ac:dyDescent="0.2">
      <c r="A1661" s="16">
        <f>P1661</f>
        <v>1811490</v>
      </c>
      <c r="B1661">
        <v>2022</v>
      </c>
      <c r="C1661" t="s">
        <v>904</v>
      </c>
      <c r="D1661" t="s">
        <v>906</v>
      </c>
      <c r="E1661" t="s">
        <v>2567</v>
      </c>
      <c r="F1661" t="s">
        <v>545</v>
      </c>
      <c r="G1661" t="s">
        <v>191</v>
      </c>
      <c r="H1661" s="6">
        <v>170005</v>
      </c>
      <c r="I1661" s="6">
        <v>8.0721533562228812E-4</v>
      </c>
      <c r="J1661" s="6">
        <v>1779.9098150471452</v>
      </c>
      <c r="K1661" s="6">
        <v>1377540</v>
      </c>
      <c r="M1661" s="6">
        <f>SUM(H1661,J1661)</f>
        <v>171784.90981504714</v>
      </c>
      <c r="N1661" s="6">
        <f>K1661</f>
        <v>1377540</v>
      </c>
      <c r="O1661" s="6">
        <f>SUM(M1661:N1661)</f>
        <v>1549324.9098150472</v>
      </c>
      <c r="P1661" s="8">
        <f>VLOOKUP(F1661,'LEAID Match'!$A$2:$B$436,2,FALSE)</f>
        <v>1811490</v>
      </c>
      <c r="Q1661" s="6">
        <f>COUNTIF($P$2:$P$3691,P1661)</f>
        <v>9</v>
      </c>
    </row>
    <row r="1662" spans="1:17" x14ac:dyDescent="0.2">
      <c r="A1662" s="16">
        <f>P1662</f>
        <v>1811490</v>
      </c>
      <c r="B1662">
        <v>2023</v>
      </c>
      <c r="C1662" t="s">
        <v>904</v>
      </c>
      <c r="D1662" t="s">
        <v>906</v>
      </c>
      <c r="E1662" t="s">
        <v>2568</v>
      </c>
      <c r="F1662" t="s">
        <v>545</v>
      </c>
      <c r="G1662" t="s">
        <v>191</v>
      </c>
      <c r="H1662" s="6">
        <v>211505</v>
      </c>
      <c r="I1662" s="6">
        <v>8.6493923804408651E-4</v>
      </c>
      <c r="J1662" s="6">
        <v>2133.8051002547613</v>
      </c>
      <c r="K1662" s="6">
        <v>3892389</v>
      </c>
      <c r="M1662" s="6">
        <f>SUM(H1662,J1662)</f>
        <v>213638.80510025477</v>
      </c>
      <c r="N1662" s="6">
        <f>K1662</f>
        <v>3892389</v>
      </c>
      <c r="O1662" s="6">
        <f>SUM(M1662:N1662)</f>
        <v>4106027.8051002547</v>
      </c>
      <c r="P1662" s="8">
        <f>VLOOKUP(F1662,'LEAID Match'!$A$2:$B$436,2,FALSE)</f>
        <v>1811490</v>
      </c>
      <c r="Q1662" s="6">
        <f>COUNTIF($P$2:$P$3691,P1662)</f>
        <v>9</v>
      </c>
    </row>
    <row r="1663" spans="1:17" x14ac:dyDescent="0.2">
      <c r="A1663" s="16">
        <f>P1663</f>
        <v>1800180</v>
      </c>
      <c r="B1663">
        <v>2015</v>
      </c>
      <c r="C1663" t="s">
        <v>904</v>
      </c>
      <c r="D1663" t="s">
        <v>906</v>
      </c>
      <c r="E1663" t="s">
        <v>2569</v>
      </c>
      <c r="F1663" t="s">
        <v>724</v>
      </c>
      <c r="G1663" t="s">
        <v>192</v>
      </c>
      <c r="H1663" s="6">
        <v>84957</v>
      </c>
      <c r="I1663" s="6">
        <v>4.1312100355381221E-4</v>
      </c>
      <c r="J1663" s="6">
        <v>2400.6461516512027</v>
      </c>
      <c r="K1663" s="6">
        <v>349341.73054115998</v>
      </c>
      <c r="M1663" s="6">
        <f>SUM(H1663,J1663)</f>
        <v>87357.646151651206</v>
      </c>
      <c r="N1663" s="6">
        <f>K1663</f>
        <v>349341.73054115998</v>
      </c>
      <c r="O1663" s="6">
        <f>SUM(M1663:N1663)</f>
        <v>436699.3766928112</v>
      </c>
      <c r="P1663" s="8">
        <f>VLOOKUP(F1663,'LEAID Match'!$A$2:$B$436,2,FALSE)</f>
        <v>1800180</v>
      </c>
      <c r="Q1663" s="6">
        <f>COUNTIF($P$2:$P$3691,P1663)</f>
        <v>9</v>
      </c>
    </row>
    <row r="1664" spans="1:17" x14ac:dyDescent="0.2">
      <c r="A1664" s="16">
        <f>P1664</f>
        <v>1800180</v>
      </c>
      <c r="B1664">
        <v>2016</v>
      </c>
      <c r="C1664" t="s">
        <v>904</v>
      </c>
      <c r="D1664" t="s">
        <v>906</v>
      </c>
      <c r="E1664" t="s">
        <v>2570</v>
      </c>
      <c r="F1664" t="s">
        <v>724</v>
      </c>
      <c r="G1664" t="s">
        <v>192</v>
      </c>
      <c r="H1664" s="6">
        <v>105569</v>
      </c>
      <c r="I1664" s="6">
        <v>4.8985312558928111E-4</v>
      </c>
      <c r="J1664" s="6">
        <v>2472.778577974691</v>
      </c>
      <c r="K1664" s="6">
        <v>434744.64896048699</v>
      </c>
      <c r="M1664" s="6">
        <f>SUM(H1664,J1664)</f>
        <v>108041.77857797469</v>
      </c>
      <c r="N1664" s="6">
        <f>K1664</f>
        <v>434744.64896048699</v>
      </c>
      <c r="O1664" s="6">
        <f>SUM(M1664:N1664)</f>
        <v>542786.42753846163</v>
      </c>
      <c r="P1664" s="8">
        <f>VLOOKUP(F1664,'LEAID Match'!$A$2:$B$436,2,FALSE)</f>
        <v>1800180</v>
      </c>
      <c r="Q1664" s="6">
        <f>COUNTIF($P$2:$P$3691,P1664)</f>
        <v>9</v>
      </c>
    </row>
    <row r="1665" spans="1:17" x14ac:dyDescent="0.2">
      <c r="A1665" s="16">
        <f>P1665</f>
        <v>1800180</v>
      </c>
      <c r="B1665">
        <v>2017</v>
      </c>
      <c r="C1665" t="s">
        <v>904</v>
      </c>
      <c r="D1665" t="s">
        <v>906</v>
      </c>
      <c r="E1665" t="s">
        <v>2571</v>
      </c>
      <c r="F1665" t="s">
        <v>724</v>
      </c>
      <c r="G1665" t="s">
        <v>192</v>
      </c>
      <c r="H1665" s="6">
        <v>116314</v>
      </c>
      <c r="I1665" s="6">
        <v>5.1218030183903575E-4</v>
      </c>
      <c r="J1665" s="6">
        <v>2317.6158658216368</v>
      </c>
      <c r="K1665" s="6">
        <v>446109.04290180001</v>
      </c>
      <c r="M1665" s="6">
        <f>SUM(H1665,J1665)</f>
        <v>118631.61586582163</v>
      </c>
      <c r="N1665" s="6">
        <f>K1665</f>
        <v>446109.04290180001</v>
      </c>
      <c r="O1665" s="6">
        <f>SUM(M1665:N1665)</f>
        <v>564740.65876762161</v>
      </c>
      <c r="P1665" s="8">
        <f>VLOOKUP(F1665,'LEAID Match'!$A$2:$B$436,2,FALSE)</f>
        <v>1800180</v>
      </c>
      <c r="Q1665" s="6">
        <f>COUNTIF($P$2:$P$3691,P1665)</f>
        <v>9</v>
      </c>
    </row>
    <row r="1666" spans="1:17" x14ac:dyDescent="0.2">
      <c r="A1666" s="16">
        <f>P1666</f>
        <v>1800180</v>
      </c>
      <c r="B1666">
        <v>2018</v>
      </c>
      <c r="C1666" t="s">
        <v>904</v>
      </c>
      <c r="D1666" t="s">
        <v>906</v>
      </c>
      <c r="E1666" t="s">
        <v>2572</v>
      </c>
      <c r="F1666" t="s">
        <v>724</v>
      </c>
      <c r="G1666" t="s">
        <v>192</v>
      </c>
      <c r="H1666" s="6">
        <v>123406</v>
      </c>
      <c r="I1666" s="6">
        <v>5.2353401333955806E-4</v>
      </c>
      <c r="J1666" s="6">
        <v>2182.0897675992778</v>
      </c>
      <c r="K1666" s="6">
        <v>697696</v>
      </c>
      <c r="M1666" s="6">
        <f>SUM(H1666,J1666)</f>
        <v>125588.08976759927</v>
      </c>
      <c r="N1666" s="6">
        <f>K1666</f>
        <v>697696</v>
      </c>
      <c r="O1666" s="6">
        <f>SUM(M1666:N1666)</f>
        <v>823284.08976759925</v>
      </c>
      <c r="P1666" s="8">
        <f>VLOOKUP(F1666,'LEAID Match'!$A$2:$B$436,2,FALSE)</f>
        <v>1800180</v>
      </c>
      <c r="Q1666" s="6">
        <f>COUNTIF($P$2:$P$3691,P1666)</f>
        <v>9</v>
      </c>
    </row>
    <row r="1667" spans="1:17" x14ac:dyDescent="0.2">
      <c r="A1667" s="16">
        <f>P1667</f>
        <v>1800180</v>
      </c>
      <c r="B1667">
        <v>2019</v>
      </c>
      <c r="C1667" t="s">
        <v>904</v>
      </c>
      <c r="D1667" t="s">
        <v>906</v>
      </c>
      <c r="E1667" t="s">
        <v>2573</v>
      </c>
      <c r="F1667" t="s">
        <v>724</v>
      </c>
      <c r="G1667" t="s">
        <v>192</v>
      </c>
      <c r="H1667" s="6">
        <v>131219</v>
      </c>
      <c r="I1667" s="6">
        <v>3.3382042434292546E-4</v>
      </c>
      <c r="J1667" s="6">
        <v>1170.0405873219538</v>
      </c>
      <c r="K1667" s="6">
        <v>315093.09853728698</v>
      </c>
      <c r="M1667" s="6">
        <f>SUM(H1667,J1667)</f>
        <v>132389.04058732194</v>
      </c>
      <c r="N1667" s="6">
        <f>K1667</f>
        <v>315093.09853728698</v>
      </c>
      <c r="O1667" s="6">
        <f>SUM(M1667:N1667)</f>
        <v>447482.13912460895</v>
      </c>
      <c r="P1667" s="8">
        <f>VLOOKUP(F1667,'LEAID Match'!$A$2:$B$436,2,FALSE)</f>
        <v>1800180</v>
      </c>
      <c r="Q1667" s="6">
        <f>COUNTIF($P$2:$P$3691,P1667)</f>
        <v>9</v>
      </c>
    </row>
    <row r="1668" spans="1:17" x14ac:dyDescent="0.2">
      <c r="A1668" s="16">
        <f>P1668</f>
        <v>1800180</v>
      </c>
      <c r="B1668">
        <v>2020</v>
      </c>
      <c r="C1668" t="s">
        <v>904</v>
      </c>
      <c r="D1668" t="s">
        <v>906</v>
      </c>
      <c r="E1668" t="s">
        <v>2574</v>
      </c>
      <c r="F1668" t="s">
        <v>724</v>
      </c>
      <c r="G1668" t="s">
        <v>192</v>
      </c>
      <c r="H1668" s="6">
        <v>96063</v>
      </c>
      <c r="I1668" s="6">
        <v>5.0900975832265634E-4</v>
      </c>
      <c r="J1668" s="6">
        <v>1199.2269906081783</v>
      </c>
      <c r="K1668" s="6">
        <v>722134</v>
      </c>
      <c r="M1668" s="6">
        <f>SUM(H1668,J1668)</f>
        <v>97262.226990608178</v>
      </c>
      <c r="N1668" s="6">
        <f>K1668</f>
        <v>722134</v>
      </c>
      <c r="O1668" s="6">
        <f>SUM(M1668:N1668)</f>
        <v>819396.22699060815</v>
      </c>
      <c r="P1668" s="8">
        <f>VLOOKUP(F1668,'LEAID Match'!$A$2:$B$436,2,FALSE)</f>
        <v>1800180</v>
      </c>
      <c r="Q1668" s="6">
        <f>COUNTIF($P$2:$P$3691,P1668)</f>
        <v>9</v>
      </c>
    </row>
    <row r="1669" spans="1:17" x14ac:dyDescent="0.2">
      <c r="A1669" s="16">
        <f>P1669</f>
        <v>1800180</v>
      </c>
      <c r="B1669">
        <v>2021</v>
      </c>
      <c r="C1669" t="s">
        <v>904</v>
      </c>
      <c r="D1669" t="s">
        <v>906</v>
      </c>
      <c r="E1669" t="s">
        <v>2575</v>
      </c>
      <c r="F1669" t="s">
        <v>724</v>
      </c>
      <c r="G1669" t="s">
        <v>192</v>
      </c>
      <c r="H1669" s="6">
        <v>91182</v>
      </c>
      <c r="I1669" s="6">
        <v>4.5044755982846595E-4</v>
      </c>
      <c r="J1669" s="6">
        <v>1015.3087998533623</v>
      </c>
      <c r="K1669" s="6">
        <v>1162338</v>
      </c>
      <c r="M1669" s="6">
        <f>SUM(H1669,J1669)</f>
        <v>92197.308799853359</v>
      </c>
      <c r="N1669" s="6">
        <f>K1669</f>
        <v>1162338</v>
      </c>
      <c r="O1669" s="6">
        <f>SUM(M1669:N1669)</f>
        <v>1254535.3087998533</v>
      </c>
      <c r="P1669" s="8">
        <f>VLOOKUP(F1669,'LEAID Match'!$A$2:$B$436,2,FALSE)</f>
        <v>1800180</v>
      </c>
      <c r="Q1669" s="6">
        <f>COUNTIF($P$2:$P$3691,P1669)</f>
        <v>9</v>
      </c>
    </row>
    <row r="1670" spans="1:17" x14ac:dyDescent="0.2">
      <c r="A1670" s="16">
        <f>P1670</f>
        <v>1800180</v>
      </c>
      <c r="B1670">
        <v>2022</v>
      </c>
      <c r="C1670" t="s">
        <v>904</v>
      </c>
      <c r="D1670" t="s">
        <v>906</v>
      </c>
      <c r="E1670" t="s">
        <v>2576</v>
      </c>
      <c r="F1670" t="s">
        <v>724</v>
      </c>
      <c r="G1670" t="s">
        <v>192</v>
      </c>
      <c r="H1670" s="6">
        <v>105305</v>
      </c>
      <c r="I1670" s="6">
        <v>5.0000771105382228E-4</v>
      </c>
      <c r="J1670" s="6">
        <v>1102.5170028736782</v>
      </c>
      <c r="K1670" s="6">
        <v>1119396</v>
      </c>
      <c r="M1670" s="6">
        <f>SUM(H1670,J1670)</f>
        <v>106407.51700287368</v>
      </c>
      <c r="N1670" s="6">
        <f>K1670</f>
        <v>1119396</v>
      </c>
      <c r="O1670" s="6">
        <f>SUM(M1670:N1670)</f>
        <v>1225803.5170028736</v>
      </c>
      <c r="P1670" s="8">
        <f>VLOOKUP(F1670,'LEAID Match'!$A$2:$B$436,2,FALSE)</f>
        <v>1800180</v>
      </c>
      <c r="Q1670" s="6">
        <f>COUNTIF($P$2:$P$3691,P1670)</f>
        <v>9</v>
      </c>
    </row>
    <row r="1671" spans="1:17" x14ac:dyDescent="0.2">
      <c r="A1671" s="16">
        <f>P1671</f>
        <v>1800180</v>
      </c>
      <c r="B1671">
        <v>2023</v>
      </c>
      <c r="C1671" t="s">
        <v>904</v>
      </c>
      <c r="D1671" t="s">
        <v>906</v>
      </c>
      <c r="E1671" t="s">
        <v>2577</v>
      </c>
      <c r="F1671" t="s">
        <v>724</v>
      </c>
      <c r="G1671" t="s">
        <v>192</v>
      </c>
      <c r="H1671" s="6">
        <v>128612</v>
      </c>
      <c r="I1671" s="6">
        <v>5.2595241381208973E-4</v>
      </c>
      <c r="J1671" s="6">
        <v>1297.5246048744254</v>
      </c>
      <c r="K1671" s="6">
        <v>2853543</v>
      </c>
      <c r="M1671" s="6">
        <f>SUM(H1671,J1671)</f>
        <v>129909.52460487443</v>
      </c>
      <c r="N1671" s="6">
        <f>K1671</f>
        <v>2853543</v>
      </c>
      <c r="O1671" s="6">
        <f>SUM(M1671:N1671)</f>
        <v>2983452.5246048747</v>
      </c>
      <c r="P1671" s="8">
        <f>VLOOKUP(F1671,'LEAID Match'!$A$2:$B$436,2,FALSE)</f>
        <v>1800180</v>
      </c>
      <c r="Q1671" s="6">
        <f>COUNTIF($P$2:$P$3691,P1671)</f>
        <v>9</v>
      </c>
    </row>
    <row r="1672" spans="1:17" x14ac:dyDescent="0.2">
      <c r="A1672" s="16">
        <f>P1672</f>
        <v>1809060</v>
      </c>
      <c r="B1672">
        <v>2015</v>
      </c>
      <c r="C1672" t="s">
        <v>904</v>
      </c>
      <c r="D1672" t="s">
        <v>906</v>
      </c>
      <c r="E1672" t="s">
        <v>2578</v>
      </c>
      <c r="F1672" t="s">
        <v>725</v>
      </c>
      <c r="G1672" t="s">
        <v>193</v>
      </c>
      <c r="H1672" s="6">
        <v>697059</v>
      </c>
      <c r="I1672" s="6">
        <v>3.389593719366465E-3</v>
      </c>
      <c r="J1672" s="6">
        <v>19696.92910323853</v>
      </c>
      <c r="K1672" s="6">
        <v>2866294.6825957899</v>
      </c>
      <c r="M1672" s="6">
        <f>SUM(H1672,J1672)</f>
        <v>716755.92910323851</v>
      </c>
      <c r="N1672" s="6">
        <f>K1672</f>
        <v>2866294.6825957899</v>
      </c>
      <c r="O1672" s="6">
        <f>SUM(M1672:N1672)</f>
        <v>3583050.6116990284</v>
      </c>
      <c r="P1672" s="8">
        <f>VLOOKUP(F1672,'LEAID Match'!$A$2:$B$436,2,FALSE)</f>
        <v>1809060</v>
      </c>
      <c r="Q1672" s="6">
        <f>COUNTIF($P$2:$P$3691,P1672)</f>
        <v>9</v>
      </c>
    </row>
    <row r="1673" spans="1:17" x14ac:dyDescent="0.2">
      <c r="A1673" s="16">
        <f>P1673</f>
        <v>1809060</v>
      </c>
      <c r="B1673">
        <v>2016</v>
      </c>
      <c r="C1673" t="s">
        <v>904</v>
      </c>
      <c r="D1673" t="s">
        <v>906</v>
      </c>
      <c r="E1673" t="s">
        <v>2579</v>
      </c>
      <c r="F1673" t="s">
        <v>725</v>
      </c>
      <c r="G1673" t="s">
        <v>193</v>
      </c>
      <c r="H1673" s="6">
        <v>788649</v>
      </c>
      <c r="I1673" s="6">
        <v>3.6594282189171155E-3</v>
      </c>
      <c r="J1673" s="6">
        <v>18472.793649093601</v>
      </c>
      <c r="K1673" s="6">
        <v>3247742.5442889398</v>
      </c>
      <c r="M1673" s="6">
        <f>SUM(H1673,J1673)</f>
        <v>807121.7936490936</v>
      </c>
      <c r="N1673" s="6">
        <f>K1673</f>
        <v>3247742.5442889398</v>
      </c>
      <c r="O1673" s="6">
        <f>SUM(M1673:N1673)</f>
        <v>4054864.3379380335</v>
      </c>
      <c r="P1673" s="8">
        <f>VLOOKUP(F1673,'LEAID Match'!$A$2:$B$436,2,FALSE)</f>
        <v>1809060</v>
      </c>
      <c r="Q1673" s="6">
        <f>COUNTIF($P$2:$P$3691,P1673)</f>
        <v>9</v>
      </c>
    </row>
    <row r="1674" spans="1:17" x14ac:dyDescent="0.2">
      <c r="A1674" s="16">
        <f>P1674</f>
        <v>1809060</v>
      </c>
      <c r="B1674">
        <v>2017</v>
      </c>
      <c r="C1674" t="s">
        <v>904</v>
      </c>
      <c r="D1674" t="s">
        <v>906</v>
      </c>
      <c r="E1674" t="s">
        <v>2580</v>
      </c>
      <c r="F1674" t="s">
        <v>725</v>
      </c>
      <c r="G1674" t="s">
        <v>193</v>
      </c>
      <c r="H1674" s="6">
        <v>771812</v>
      </c>
      <c r="I1674" s="6">
        <v>3.3986184218837787E-3</v>
      </c>
      <c r="J1674" s="6">
        <v>15378.748359024099</v>
      </c>
      <c r="K1674" s="6">
        <v>2960196.64546077</v>
      </c>
      <c r="M1674" s="6">
        <f>SUM(H1674,J1674)</f>
        <v>787190.74835902406</v>
      </c>
      <c r="N1674" s="6">
        <f>K1674</f>
        <v>2960196.64546077</v>
      </c>
      <c r="O1674" s="6">
        <f>SUM(M1674:N1674)</f>
        <v>3747387.3938197941</v>
      </c>
      <c r="P1674" s="8">
        <f>VLOOKUP(F1674,'LEAID Match'!$A$2:$B$436,2,FALSE)</f>
        <v>1809060</v>
      </c>
      <c r="Q1674" s="6">
        <f>COUNTIF($P$2:$P$3691,P1674)</f>
        <v>9</v>
      </c>
    </row>
    <row r="1675" spans="1:17" x14ac:dyDescent="0.2">
      <c r="A1675" s="16">
        <f>P1675</f>
        <v>1809060</v>
      </c>
      <c r="B1675">
        <v>2018</v>
      </c>
      <c r="C1675" t="s">
        <v>904</v>
      </c>
      <c r="D1675" t="s">
        <v>906</v>
      </c>
      <c r="E1675" t="s">
        <v>2581</v>
      </c>
      <c r="F1675" t="s">
        <v>725</v>
      </c>
      <c r="G1675" t="s">
        <v>193</v>
      </c>
      <c r="H1675" s="6">
        <v>804798</v>
      </c>
      <c r="I1675" s="6">
        <v>3.4142515507159269E-3</v>
      </c>
      <c r="J1675" s="6">
        <v>14230.600463383984</v>
      </c>
      <c r="K1675" s="6">
        <v>2862196</v>
      </c>
      <c r="M1675" s="6">
        <f>SUM(H1675,J1675)</f>
        <v>819028.60046338395</v>
      </c>
      <c r="N1675" s="6">
        <f>K1675</f>
        <v>2862196</v>
      </c>
      <c r="O1675" s="6">
        <f>SUM(M1675:N1675)</f>
        <v>3681224.6004633838</v>
      </c>
      <c r="P1675" s="8">
        <f>VLOOKUP(F1675,'LEAID Match'!$A$2:$B$436,2,FALSE)</f>
        <v>1809060</v>
      </c>
      <c r="Q1675" s="6">
        <f>COUNTIF($P$2:$P$3691,P1675)</f>
        <v>9</v>
      </c>
    </row>
    <row r="1676" spans="1:17" x14ac:dyDescent="0.2">
      <c r="A1676" s="16">
        <f>P1676</f>
        <v>1809060</v>
      </c>
      <c r="B1676">
        <v>2019</v>
      </c>
      <c r="C1676" t="s">
        <v>904</v>
      </c>
      <c r="D1676" t="s">
        <v>906</v>
      </c>
      <c r="E1676" t="s">
        <v>2582</v>
      </c>
      <c r="F1676" t="s">
        <v>725</v>
      </c>
      <c r="G1676" t="s">
        <v>193</v>
      </c>
      <c r="H1676" s="6">
        <v>795150</v>
      </c>
      <c r="I1676" s="6">
        <v>2.0228572875595542E-3</v>
      </c>
      <c r="J1676" s="6">
        <v>7090.1147928962373</v>
      </c>
      <c r="K1676" s="6">
        <v>1909374.99372746</v>
      </c>
      <c r="M1676" s="6">
        <f>SUM(H1676,J1676)</f>
        <v>802240.1147928962</v>
      </c>
      <c r="N1676" s="6">
        <f>K1676</f>
        <v>1909374.99372746</v>
      </c>
      <c r="O1676" s="6">
        <f>SUM(M1676:N1676)</f>
        <v>2711615.108520356</v>
      </c>
      <c r="P1676" s="8">
        <f>VLOOKUP(F1676,'LEAID Match'!$A$2:$B$436,2,FALSE)</f>
        <v>1809060</v>
      </c>
      <c r="Q1676" s="6">
        <f>COUNTIF($P$2:$P$3691,P1676)</f>
        <v>9</v>
      </c>
    </row>
    <row r="1677" spans="1:17" x14ac:dyDescent="0.2">
      <c r="A1677" s="16">
        <f>P1677</f>
        <v>1809060</v>
      </c>
      <c r="B1677">
        <v>2020</v>
      </c>
      <c r="C1677" t="s">
        <v>904</v>
      </c>
      <c r="D1677" t="s">
        <v>906</v>
      </c>
      <c r="E1677" t="s">
        <v>2583</v>
      </c>
      <c r="F1677" t="s">
        <v>725</v>
      </c>
      <c r="G1677" t="s">
        <v>193</v>
      </c>
      <c r="H1677" s="6">
        <v>571054</v>
      </c>
      <c r="I1677" s="6">
        <v>3.0258482301113456E-3</v>
      </c>
      <c r="J1677" s="6">
        <v>7128.8984301423307</v>
      </c>
      <c r="K1677" s="6">
        <v>3004391</v>
      </c>
      <c r="M1677" s="6">
        <f>SUM(H1677,J1677)</f>
        <v>578182.89843014232</v>
      </c>
      <c r="N1677" s="6">
        <f>K1677</f>
        <v>3004391</v>
      </c>
      <c r="O1677" s="6">
        <f>SUM(M1677:N1677)</f>
        <v>3582573.8984301426</v>
      </c>
      <c r="P1677" s="8">
        <f>VLOOKUP(F1677,'LEAID Match'!$A$2:$B$436,2,FALSE)</f>
        <v>1809060</v>
      </c>
      <c r="Q1677" s="6">
        <f>COUNTIF($P$2:$P$3691,P1677)</f>
        <v>9</v>
      </c>
    </row>
    <row r="1678" spans="1:17" x14ac:dyDescent="0.2">
      <c r="A1678" s="16">
        <f>P1678</f>
        <v>1809060</v>
      </c>
      <c r="B1678">
        <v>2021</v>
      </c>
      <c r="C1678" t="s">
        <v>904</v>
      </c>
      <c r="D1678" t="s">
        <v>906</v>
      </c>
      <c r="E1678" t="s">
        <v>2584</v>
      </c>
      <c r="F1678" t="s">
        <v>725</v>
      </c>
      <c r="G1678" t="s">
        <v>193</v>
      </c>
      <c r="H1678" s="6">
        <v>583090</v>
      </c>
      <c r="I1678" s="6">
        <v>2.8805188267462898E-3</v>
      </c>
      <c r="J1678" s="6">
        <v>6492.689435486137</v>
      </c>
      <c r="K1678" s="6">
        <v>5034242</v>
      </c>
      <c r="M1678" s="6">
        <f>SUM(H1678,J1678)</f>
        <v>589582.6894354861</v>
      </c>
      <c r="N1678" s="6">
        <f>K1678</f>
        <v>5034242</v>
      </c>
      <c r="O1678" s="6">
        <f>SUM(M1678:N1678)</f>
        <v>5623824.6894354858</v>
      </c>
      <c r="P1678" s="8">
        <f>VLOOKUP(F1678,'LEAID Match'!$A$2:$B$436,2,FALSE)</f>
        <v>1809060</v>
      </c>
      <c r="Q1678" s="6">
        <f>COUNTIF($P$2:$P$3691,P1678)</f>
        <v>9</v>
      </c>
    </row>
    <row r="1679" spans="1:17" x14ac:dyDescent="0.2">
      <c r="A1679" s="16">
        <f>P1679</f>
        <v>1809060</v>
      </c>
      <c r="B1679">
        <v>2022</v>
      </c>
      <c r="C1679" t="s">
        <v>904</v>
      </c>
      <c r="D1679" t="s">
        <v>906</v>
      </c>
      <c r="E1679" t="s">
        <v>2585</v>
      </c>
      <c r="F1679" t="s">
        <v>725</v>
      </c>
      <c r="G1679" t="s">
        <v>193</v>
      </c>
      <c r="H1679" s="6">
        <v>608162</v>
      </c>
      <c r="I1679" s="6">
        <v>2.887666203598259E-3</v>
      </c>
      <c r="J1679" s="6">
        <v>6367.303978934161</v>
      </c>
      <c r="K1679" s="6">
        <v>5125036</v>
      </c>
      <c r="M1679" s="6">
        <f>SUM(H1679,J1679)</f>
        <v>614529.30397893419</v>
      </c>
      <c r="N1679" s="6">
        <f>K1679</f>
        <v>5125036</v>
      </c>
      <c r="O1679" s="6">
        <f>SUM(M1679:N1679)</f>
        <v>5739565.303978934</v>
      </c>
      <c r="P1679" s="8">
        <f>VLOOKUP(F1679,'LEAID Match'!$A$2:$B$436,2,FALSE)</f>
        <v>1809060</v>
      </c>
      <c r="Q1679" s="6">
        <f>COUNTIF($P$2:$P$3691,P1679)</f>
        <v>9</v>
      </c>
    </row>
    <row r="1680" spans="1:17" x14ac:dyDescent="0.2">
      <c r="A1680" s="16">
        <f>P1680</f>
        <v>1809060</v>
      </c>
      <c r="B1680">
        <v>2023</v>
      </c>
      <c r="C1680" t="s">
        <v>904</v>
      </c>
      <c r="D1680" t="s">
        <v>906</v>
      </c>
      <c r="E1680" t="s">
        <v>2586</v>
      </c>
      <c r="F1680" t="s">
        <v>725</v>
      </c>
      <c r="G1680" t="s">
        <v>193</v>
      </c>
      <c r="H1680" s="6">
        <v>787928</v>
      </c>
      <c r="I1680" s="6">
        <v>3.2221925909723219E-3</v>
      </c>
      <c r="J1680" s="6">
        <v>7949.1491219287182</v>
      </c>
      <c r="K1680" s="6">
        <v>14729330</v>
      </c>
      <c r="M1680" s="6">
        <f>SUM(H1680,J1680)</f>
        <v>795877.14912192873</v>
      </c>
      <c r="N1680" s="6">
        <f>K1680</f>
        <v>14729330</v>
      </c>
      <c r="O1680" s="6">
        <f>SUM(M1680:N1680)</f>
        <v>15525207.149121929</v>
      </c>
      <c r="P1680" s="8">
        <f>VLOOKUP(F1680,'LEAID Match'!$A$2:$B$436,2,FALSE)</f>
        <v>1809060</v>
      </c>
      <c r="Q1680" s="6">
        <f>COUNTIF($P$2:$P$3691,P1680)</f>
        <v>9</v>
      </c>
    </row>
    <row r="1681" spans="1:17" x14ac:dyDescent="0.2">
      <c r="A1681" s="16">
        <f>P1681</f>
        <v>0</v>
      </c>
      <c r="B1681">
        <v>2018</v>
      </c>
      <c r="C1681" t="s">
        <v>904</v>
      </c>
      <c r="D1681" t="s">
        <v>906</v>
      </c>
      <c r="E1681" t="s">
        <v>2587</v>
      </c>
      <c r="F1681" t="s">
        <v>879</v>
      </c>
      <c r="G1681" t="s">
        <v>429</v>
      </c>
      <c r="H1681" s="6">
        <v>0</v>
      </c>
      <c r="I1681" s="6">
        <v>0</v>
      </c>
      <c r="J1681" s="6">
        <v>0</v>
      </c>
      <c r="K1681" s="6">
        <v>523295</v>
      </c>
      <c r="M1681" s="6">
        <f>SUM(H1681,J1681)</f>
        <v>0</v>
      </c>
      <c r="N1681" s="6">
        <f>K1681</f>
        <v>523295</v>
      </c>
      <c r="O1681" s="6">
        <f>SUM(M1681:N1681)</f>
        <v>523295</v>
      </c>
      <c r="P1681" s="8">
        <f>VLOOKUP(F1681,'LEAID Match'!$A$2:$B$436,2,FALSE)</f>
        <v>0</v>
      </c>
      <c r="Q1681" s="6">
        <f>COUNTIF($P$2:$P$3691,P1681)</f>
        <v>371</v>
      </c>
    </row>
    <row r="1682" spans="1:17" x14ac:dyDescent="0.2">
      <c r="A1682" s="16">
        <f>P1682</f>
        <v>0</v>
      </c>
      <c r="B1682">
        <v>2020</v>
      </c>
      <c r="C1682" t="s">
        <v>904</v>
      </c>
      <c r="D1682" t="s">
        <v>906</v>
      </c>
      <c r="E1682" t="s">
        <v>2588</v>
      </c>
      <c r="F1682" t="s">
        <v>879</v>
      </c>
      <c r="G1682" t="s">
        <v>429</v>
      </c>
      <c r="H1682" s="6">
        <v>0</v>
      </c>
      <c r="I1682" s="6">
        <v>0</v>
      </c>
      <c r="J1682" s="6">
        <v>0</v>
      </c>
      <c r="K1682" s="6">
        <v>621136</v>
      </c>
      <c r="M1682" s="6">
        <f>SUM(H1682,J1682)</f>
        <v>0</v>
      </c>
      <c r="N1682" s="6">
        <f>K1682</f>
        <v>621136</v>
      </c>
      <c r="O1682" s="6">
        <f>SUM(M1682:N1682)</f>
        <v>621136</v>
      </c>
      <c r="P1682" s="8">
        <f>VLOOKUP(F1682,'LEAID Match'!$A$2:$B$436,2,FALSE)</f>
        <v>0</v>
      </c>
      <c r="Q1682" s="6">
        <f>COUNTIF($P$2:$P$3691,P1682)</f>
        <v>371</v>
      </c>
    </row>
    <row r="1683" spans="1:17" x14ac:dyDescent="0.2">
      <c r="A1683" s="16">
        <f>P1683</f>
        <v>0</v>
      </c>
      <c r="B1683">
        <v>2021</v>
      </c>
      <c r="C1683" t="s">
        <v>904</v>
      </c>
      <c r="D1683" t="s">
        <v>906</v>
      </c>
      <c r="E1683" t="s">
        <v>2589</v>
      </c>
      <c r="F1683" t="s">
        <v>879</v>
      </c>
      <c r="G1683" t="s">
        <v>429</v>
      </c>
      <c r="H1683" s="6" t="s">
        <v>893</v>
      </c>
      <c r="K1683" s="6">
        <v>1031112</v>
      </c>
      <c r="M1683" s="6">
        <f>SUM(H1683,J1683)</f>
        <v>0</v>
      </c>
      <c r="N1683" s="6">
        <f>K1683</f>
        <v>1031112</v>
      </c>
      <c r="O1683" s="6">
        <f>SUM(M1683:N1683)</f>
        <v>1031112</v>
      </c>
      <c r="P1683" s="8">
        <f>VLOOKUP(F1683,'LEAID Match'!$A$2:$B$436,2,FALSE)</f>
        <v>0</v>
      </c>
      <c r="Q1683" s="6">
        <f>COUNTIF($P$2:$P$3691,P1683)</f>
        <v>371</v>
      </c>
    </row>
    <row r="1684" spans="1:17" x14ac:dyDescent="0.2">
      <c r="A1684" s="16">
        <f>P1684</f>
        <v>0</v>
      </c>
      <c r="B1684">
        <v>2022</v>
      </c>
      <c r="C1684" t="s">
        <v>904</v>
      </c>
      <c r="D1684" t="s">
        <v>906</v>
      </c>
      <c r="E1684" t="s">
        <v>2590</v>
      </c>
      <c r="F1684" t="s">
        <v>879</v>
      </c>
      <c r="G1684" t="s">
        <v>429</v>
      </c>
      <c r="H1684" s="6" t="s">
        <v>893</v>
      </c>
      <c r="K1684" s="6">
        <v>1005131</v>
      </c>
      <c r="M1684" s="6">
        <f>SUM(H1684,J1684)</f>
        <v>0</v>
      </c>
      <c r="N1684" s="6">
        <f>K1684</f>
        <v>1005131</v>
      </c>
      <c r="O1684" s="6">
        <f>SUM(M1684:N1684)</f>
        <v>1005131</v>
      </c>
      <c r="P1684" s="8">
        <f>VLOOKUP(F1684,'LEAID Match'!$A$2:$B$436,2,FALSE)</f>
        <v>0</v>
      </c>
      <c r="Q1684" s="6">
        <f>COUNTIF($P$2:$P$3691,P1684)</f>
        <v>371</v>
      </c>
    </row>
    <row r="1685" spans="1:17" x14ac:dyDescent="0.2">
      <c r="A1685" s="16">
        <f>P1685</f>
        <v>0</v>
      </c>
      <c r="B1685">
        <v>2023</v>
      </c>
      <c r="C1685" t="s">
        <v>904</v>
      </c>
      <c r="D1685" t="s">
        <v>906</v>
      </c>
      <c r="E1685" t="s">
        <v>2591</v>
      </c>
      <c r="F1685" t="s">
        <v>879</v>
      </c>
      <c r="G1685" t="s">
        <v>429</v>
      </c>
      <c r="H1685" s="6" t="s">
        <v>893</v>
      </c>
      <c r="K1685" s="6">
        <v>2192036</v>
      </c>
      <c r="M1685" s="6">
        <f>SUM(H1685,J1685)</f>
        <v>0</v>
      </c>
      <c r="N1685" s="6">
        <f>K1685</f>
        <v>2192036</v>
      </c>
      <c r="O1685" s="6">
        <f>SUM(M1685:N1685)</f>
        <v>2192036</v>
      </c>
      <c r="P1685" s="8">
        <f>VLOOKUP(F1685,'LEAID Match'!$A$2:$B$436,2,FALSE)</f>
        <v>0</v>
      </c>
      <c r="Q1685" s="6">
        <f>COUNTIF($P$2:$P$3691,P1685)</f>
        <v>371</v>
      </c>
    </row>
    <row r="1686" spans="1:17" x14ac:dyDescent="0.2">
      <c r="A1686" s="16">
        <f>P1686</f>
        <v>1800570</v>
      </c>
      <c r="B1686">
        <v>2015</v>
      </c>
      <c r="C1686" t="s">
        <v>904</v>
      </c>
      <c r="D1686" t="s">
        <v>906</v>
      </c>
      <c r="E1686" t="s">
        <v>2592</v>
      </c>
      <c r="F1686" t="s">
        <v>625</v>
      </c>
      <c r="G1686" t="s">
        <v>11</v>
      </c>
      <c r="H1686" s="6">
        <v>267768</v>
      </c>
      <c r="I1686" s="6">
        <v>1.3020773435926079E-3</v>
      </c>
      <c r="J1686" s="6">
        <v>7566.3714436166447</v>
      </c>
      <c r="K1686" s="6">
        <v>1101057.4349793999</v>
      </c>
      <c r="M1686" s="6">
        <f>SUM(H1686,J1686)</f>
        <v>275334.37144361663</v>
      </c>
      <c r="N1686" s="6">
        <f>K1686</f>
        <v>1101057.4349793999</v>
      </c>
      <c r="O1686" s="6">
        <f>SUM(M1686:N1686)</f>
        <v>1376391.8064230166</v>
      </c>
      <c r="P1686" s="8">
        <f>VLOOKUP(F1686,'LEAID Match'!$A$2:$B$436,2,FALSE)</f>
        <v>1800570</v>
      </c>
      <c r="Q1686" s="6">
        <f>COUNTIF($P$2:$P$3691,P1686)</f>
        <v>9</v>
      </c>
    </row>
    <row r="1687" spans="1:17" x14ac:dyDescent="0.2">
      <c r="A1687" s="16">
        <f>P1687</f>
        <v>1800570</v>
      </c>
      <c r="B1687">
        <v>2016</v>
      </c>
      <c r="C1687" t="s">
        <v>904</v>
      </c>
      <c r="D1687" t="s">
        <v>906</v>
      </c>
      <c r="E1687" t="s">
        <v>2593</v>
      </c>
      <c r="F1687" t="s">
        <v>625</v>
      </c>
      <c r="G1687" t="s">
        <v>11</v>
      </c>
      <c r="H1687" s="6">
        <v>263822</v>
      </c>
      <c r="I1687" s="6">
        <v>1.224166481630169E-3</v>
      </c>
      <c r="J1687" s="6">
        <v>6179.5923992690932</v>
      </c>
      <c r="K1687" s="6">
        <v>1086447.75244677</v>
      </c>
      <c r="M1687" s="6">
        <f>SUM(H1687,J1687)</f>
        <v>270001.59239926911</v>
      </c>
      <c r="N1687" s="6">
        <f>K1687</f>
        <v>1086447.75244677</v>
      </c>
      <c r="O1687" s="6">
        <f>SUM(M1687:N1687)</f>
        <v>1356449.3448460391</v>
      </c>
      <c r="P1687" s="8">
        <f>VLOOKUP(F1687,'LEAID Match'!$A$2:$B$436,2,FALSE)</f>
        <v>1800570</v>
      </c>
      <c r="Q1687" s="6">
        <f>COUNTIF($P$2:$P$3691,P1687)</f>
        <v>9</v>
      </c>
    </row>
    <row r="1688" spans="1:17" x14ac:dyDescent="0.2">
      <c r="A1688" s="16">
        <f>P1688</f>
        <v>1800570</v>
      </c>
      <c r="B1688">
        <v>2017</v>
      </c>
      <c r="C1688" t="s">
        <v>904</v>
      </c>
      <c r="D1688" t="s">
        <v>906</v>
      </c>
      <c r="E1688" t="s">
        <v>2594</v>
      </c>
      <c r="F1688" t="s">
        <v>625</v>
      </c>
      <c r="G1688" t="s">
        <v>11</v>
      </c>
      <c r="H1688" s="6">
        <v>281829</v>
      </c>
      <c r="I1688" s="6">
        <v>1.2410136551661329E-3</v>
      </c>
      <c r="J1688" s="6">
        <v>5615.5867896267519</v>
      </c>
      <c r="K1688" s="6">
        <v>1080922.8936497001</v>
      </c>
      <c r="M1688" s="6">
        <f>SUM(H1688,J1688)</f>
        <v>287444.58678962674</v>
      </c>
      <c r="N1688" s="6">
        <f>K1688</f>
        <v>1080922.8936497001</v>
      </c>
      <c r="O1688" s="6">
        <f>SUM(M1688:N1688)</f>
        <v>1368367.4804393267</v>
      </c>
      <c r="P1688" s="8">
        <f>VLOOKUP(F1688,'LEAID Match'!$A$2:$B$436,2,FALSE)</f>
        <v>1800570</v>
      </c>
      <c r="Q1688" s="6">
        <f>COUNTIF($P$2:$P$3691,P1688)</f>
        <v>9</v>
      </c>
    </row>
    <row r="1689" spans="1:17" x14ac:dyDescent="0.2">
      <c r="A1689" s="16">
        <f>P1689</f>
        <v>1800570</v>
      </c>
      <c r="B1689">
        <v>2018</v>
      </c>
      <c r="C1689" t="s">
        <v>904</v>
      </c>
      <c r="D1689" t="s">
        <v>906</v>
      </c>
      <c r="E1689" t="s">
        <v>2595</v>
      </c>
      <c r="F1689" t="s">
        <v>625</v>
      </c>
      <c r="G1689" t="s">
        <v>11</v>
      </c>
      <c r="H1689" s="6">
        <v>283298</v>
      </c>
      <c r="I1689" s="6">
        <v>1.201855168395946E-3</v>
      </c>
      <c r="J1689" s="6">
        <v>5009.332341874303</v>
      </c>
      <c r="K1689" s="6">
        <v>2375066</v>
      </c>
      <c r="M1689" s="6">
        <f>SUM(H1689,J1689)</f>
        <v>288307.33234187431</v>
      </c>
      <c r="N1689" s="6">
        <f>K1689</f>
        <v>2375066</v>
      </c>
      <c r="O1689" s="6">
        <f>SUM(M1689:N1689)</f>
        <v>2663373.3323418745</v>
      </c>
      <c r="P1689" s="8">
        <f>VLOOKUP(F1689,'LEAID Match'!$A$2:$B$436,2,FALSE)</f>
        <v>1800570</v>
      </c>
      <c r="Q1689" s="6">
        <f>COUNTIF($P$2:$P$3691,P1689)</f>
        <v>9</v>
      </c>
    </row>
    <row r="1690" spans="1:17" x14ac:dyDescent="0.2">
      <c r="A1690" s="16">
        <f>P1690</f>
        <v>1800570</v>
      </c>
      <c r="B1690">
        <v>2019</v>
      </c>
      <c r="C1690" t="s">
        <v>904</v>
      </c>
      <c r="D1690" t="s">
        <v>906</v>
      </c>
      <c r="E1690" t="s">
        <v>2596</v>
      </c>
      <c r="F1690" t="s">
        <v>625</v>
      </c>
      <c r="G1690" t="s">
        <v>11</v>
      </c>
      <c r="H1690" s="6">
        <v>306253</v>
      </c>
      <c r="I1690" s="6">
        <v>7.7910597105826092E-4</v>
      </c>
      <c r="J1690" s="6">
        <v>2730.7664285592045</v>
      </c>
      <c r="K1690" s="6">
        <v>735398.12608189206</v>
      </c>
      <c r="M1690" s="6">
        <f>SUM(H1690,J1690)</f>
        <v>308983.7664285592</v>
      </c>
      <c r="N1690" s="6">
        <f>K1690</f>
        <v>735398.12608189206</v>
      </c>
      <c r="O1690" s="6">
        <f>SUM(M1690:N1690)</f>
        <v>1044381.8925104513</v>
      </c>
      <c r="P1690" s="8">
        <f>VLOOKUP(F1690,'LEAID Match'!$A$2:$B$436,2,FALSE)</f>
        <v>1800570</v>
      </c>
      <c r="Q1690" s="6">
        <f>COUNTIF($P$2:$P$3691,P1690)</f>
        <v>9</v>
      </c>
    </row>
    <row r="1691" spans="1:17" x14ac:dyDescent="0.2">
      <c r="A1691" s="16">
        <f>P1691</f>
        <v>1800570</v>
      </c>
      <c r="B1691">
        <v>2020</v>
      </c>
      <c r="C1691" t="s">
        <v>904</v>
      </c>
      <c r="D1691" t="s">
        <v>906</v>
      </c>
      <c r="E1691" t="s">
        <v>2597</v>
      </c>
      <c r="F1691" t="s">
        <v>625</v>
      </c>
      <c r="G1691" t="s">
        <v>11</v>
      </c>
      <c r="H1691" s="6">
        <v>257280</v>
      </c>
      <c r="I1691" s="6">
        <v>1.3632515184957062E-3</v>
      </c>
      <c r="J1691" s="6">
        <v>3211.8205775758838</v>
      </c>
      <c r="K1691" s="6">
        <v>2495809</v>
      </c>
      <c r="M1691" s="6">
        <f>SUM(H1691,J1691)</f>
        <v>260491.82057757588</v>
      </c>
      <c r="N1691" s="6">
        <f>K1691</f>
        <v>2495809</v>
      </c>
      <c r="O1691" s="6">
        <f>SUM(M1691:N1691)</f>
        <v>2756300.8205775758</v>
      </c>
      <c r="P1691" s="8">
        <f>VLOOKUP(F1691,'LEAID Match'!$A$2:$B$436,2,FALSE)</f>
        <v>1800570</v>
      </c>
      <c r="Q1691" s="6">
        <f>COUNTIF($P$2:$P$3691,P1691)</f>
        <v>9</v>
      </c>
    </row>
    <row r="1692" spans="1:17" x14ac:dyDescent="0.2">
      <c r="A1692" s="16">
        <f>P1692</f>
        <v>1800570</v>
      </c>
      <c r="B1692">
        <v>2021</v>
      </c>
      <c r="C1692" t="s">
        <v>904</v>
      </c>
      <c r="D1692" t="s">
        <v>906</v>
      </c>
      <c r="E1692" t="s">
        <v>2598</v>
      </c>
      <c r="F1692" t="s">
        <v>625</v>
      </c>
      <c r="G1692" t="s">
        <v>11</v>
      </c>
      <c r="H1692" s="6">
        <v>252217</v>
      </c>
      <c r="I1692" s="6">
        <v>1.2459754359112126E-3</v>
      </c>
      <c r="J1692" s="6">
        <v>2808.4286325438734</v>
      </c>
      <c r="K1692" s="6">
        <v>3918416</v>
      </c>
      <c r="M1692" s="6">
        <f>SUM(H1692,J1692)</f>
        <v>255025.42863254389</v>
      </c>
      <c r="N1692" s="6">
        <f>K1692</f>
        <v>3918416</v>
      </c>
      <c r="O1692" s="6">
        <f>SUM(M1692:N1692)</f>
        <v>4173441.4286325439</v>
      </c>
      <c r="P1692" s="8">
        <f>VLOOKUP(F1692,'LEAID Match'!$A$2:$B$436,2,FALSE)</f>
        <v>1800570</v>
      </c>
      <c r="Q1692" s="6">
        <f>COUNTIF($P$2:$P$3691,P1692)</f>
        <v>9</v>
      </c>
    </row>
    <row r="1693" spans="1:17" x14ac:dyDescent="0.2">
      <c r="A1693" s="16">
        <f>P1693</f>
        <v>1800570</v>
      </c>
      <c r="B1693">
        <v>2022</v>
      </c>
      <c r="C1693" t="s">
        <v>904</v>
      </c>
      <c r="D1693" t="s">
        <v>906</v>
      </c>
      <c r="E1693" t="s">
        <v>2599</v>
      </c>
      <c r="F1693" t="s">
        <v>625</v>
      </c>
      <c r="G1693" t="s">
        <v>11</v>
      </c>
      <c r="H1693" s="6">
        <v>287008</v>
      </c>
      <c r="I1693" s="6">
        <v>1.3627673247626933E-3</v>
      </c>
      <c r="J1693" s="6">
        <v>3004.9019511017386</v>
      </c>
      <c r="K1693" s="6">
        <v>3913081</v>
      </c>
      <c r="M1693" s="6">
        <f>SUM(H1693,J1693)</f>
        <v>290012.90195110172</v>
      </c>
      <c r="N1693" s="6">
        <f>K1693</f>
        <v>3913081</v>
      </c>
      <c r="O1693" s="6">
        <f>SUM(M1693:N1693)</f>
        <v>4203093.9019511016</v>
      </c>
      <c r="P1693" s="8">
        <f>VLOOKUP(F1693,'LEAID Match'!$A$2:$B$436,2,FALSE)</f>
        <v>1800570</v>
      </c>
      <c r="Q1693" s="6">
        <f>COUNTIF($P$2:$P$3691,P1693)</f>
        <v>9</v>
      </c>
    </row>
    <row r="1694" spans="1:17" x14ac:dyDescent="0.2">
      <c r="A1694" s="16">
        <f>P1694</f>
        <v>1800570</v>
      </c>
      <c r="B1694">
        <v>2023</v>
      </c>
      <c r="C1694" t="s">
        <v>904</v>
      </c>
      <c r="D1694" t="s">
        <v>906</v>
      </c>
      <c r="E1694" t="s">
        <v>2600</v>
      </c>
      <c r="F1694" t="s">
        <v>625</v>
      </c>
      <c r="G1694" t="s">
        <v>11</v>
      </c>
      <c r="H1694" s="6">
        <v>326366</v>
      </c>
      <c r="I1694" s="6">
        <v>1.3346576173778224E-3</v>
      </c>
      <c r="J1694" s="6">
        <v>3292.6003420710881</v>
      </c>
      <c r="K1694" s="6">
        <v>9767604</v>
      </c>
      <c r="M1694" s="6">
        <f>SUM(H1694,J1694)</f>
        <v>329658.60034207109</v>
      </c>
      <c r="N1694" s="6">
        <f>K1694</f>
        <v>9767604</v>
      </c>
      <c r="O1694" s="6">
        <f>SUM(M1694:N1694)</f>
        <v>10097262.600342071</v>
      </c>
      <c r="P1694" s="8">
        <f>VLOOKUP(F1694,'LEAID Match'!$A$2:$B$436,2,FALSE)</f>
        <v>1800570</v>
      </c>
      <c r="Q1694" s="6">
        <f>COUNTIF($P$2:$P$3691,P1694)</f>
        <v>9</v>
      </c>
    </row>
    <row r="1695" spans="1:17" x14ac:dyDescent="0.2">
      <c r="A1695" s="16">
        <f>P1695</f>
        <v>1810170</v>
      </c>
      <c r="B1695">
        <v>2015</v>
      </c>
      <c r="C1695" t="s">
        <v>904</v>
      </c>
      <c r="D1695" t="s">
        <v>906</v>
      </c>
      <c r="E1695" t="s">
        <v>2601</v>
      </c>
      <c r="F1695" t="s">
        <v>546</v>
      </c>
      <c r="G1695" t="s">
        <v>194</v>
      </c>
      <c r="H1695" s="6">
        <v>114750</v>
      </c>
      <c r="I1695" s="6">
        <v>5.5799563494238202E-4</v>
      </c>
      <c r="J1695" s="6">
        <v>3242.512634650182</v>
      </c>
      <c r="K1695" s="6">
        <v>471850.03683743702</v>
      </c>
      <c r="M1695" s="6">
        <f>SUM(H1695,J1695)</f>
        <v>117992.51263465018</v>
      </c>
      <c r="N1695" s="6">
        <f>K1695</f>
        <v>471850.03683743702</v>
      </c>
      <c r="O1695" s="6">
        <f>SUM(M1695:N1695)</f>
        <v>589842.54947208718</v>
      </c>
      <c r="P1695" s="8">
        <f>VLOOKUP(F1695,'LEAID Match'!$A$2:$B$436,2,FALSE)</f>
        <v>1810170</v>
      </c>
      <c r="Q1695" s="6">
        <f>COUNTIF($P$2:$P$3691,P1695)</f>
        <v>9</v>
      </c>
    </row>
    <row r="1696" spans="1:17" x14ac:dyDescent="0.2">
      <c r="A1696" s="16">
        <f>P1696</f>
        <v>1810170</v>
      </c>
      <c r="B1696">
        <v>2016</v>
      </c>
      <c r="C1696" t="s">
        <v>904</v>
      </c>
      <c r="D1696" t="s">
        <v>906</v>
      </c>
      <c r="E1696" t="s">
        <v>2602</v>
      </c>
      <c r="F1696" t="s">
        <v>546</v>
      </c>
      <c r="G1696" t="s">
        <v>194</v>
      </c>
      <c r="H1696" s="6">
        <v>120042</v>
      </c>
      <c r="I1696" s="6">
        <v>5.5700962310894749E-4</v>
      </c>
      <c r="J1696" s="6">
        <v>2811.7845774539669</v>
      </c>
      <c r="K1696" s="6">
        <v>494346.04050919</v>
      </c>
      <c r="M1696" s="6">
        <f>SUM(H1696,J1696)</f>
        <v>122853.78457745396</v>
      </c>
      <c r="N1696" s="6">
        <f>K1696</f>
        <v>494346.04050919</v>
      </c>
      <c r="O1696" s="6">
        <f>SUM(M1696:N1696)</f>
        <v>617199.82508664392</v>
      </c>
      <c r="P1696" s="8">
        <f>VLOOKUP(F1696,'LEAID Match'!$A$2:$B$436,2,FALSE)</f>
        <v>1810170</v>
      </c>
      <c r="Q1696" s="6">
        <f>COUNTIF($P$2:$P$3691,P1696)</f>
        <v>9</v>
      </c>
    </row>
    <row r="1697" spans="1:17" x14ac:dyDescent="0.2">
      <c r="A1697" s="16">
        <f>P1697</f>
        <v>1810170</v>
      </c>
      <c r="B1697">
        <v>2017</v>
      </c>
      <c r="C1697" t="s">
        <v>904</v>
      </c>
      <c r="D1697" t="s">
        <v>906</v>
      </c>
      <c r="E1697" t="s">
        <v>2603</v>
      </c>
      <c r="F1697" t="s">
        <v>546</v>
      </c>
      <c r="G1697" t="s">
        <v>194</v>
      </c>
      <c r="H1697" s="6">
        <v>128506</v>
      </c>
      <c r="I1697" s="6">
        <v>5.6586689365104048E-4</v>
      </c>
      <c r="J1697" s="6">
        <v>2560.5476937709582</v>
      </c>
      <c r="K1697" s="6">
        <v>492870.06437005597</v>
      </c>
      <c r="M1697" s="6">
        <f>SUM(H1697,J1697)</f>
        <v>131066.54769377096</v>
      </c>
      <c r="N1697" s="6">
        <f>K1697</f>
        <v>492870.06437005597</v>
      </c>
      <c r="O1697" s="6">
        <f>SUM(M1697:N1697)</f>
        <v>623936.61206382699</v>
      </c>
      <c r="P1697" s="8">
        <f>VLOOKUP(F1697,'LEAID Match'!$A$2:$B$436,2,FALSE)</f>
        <v>1810170</v>
      </c>
      <c r="Q1697" s="6">
        <f>COUNTIF($P$2:$P$3691,P1697)</f>
        <v>9</v>
      </c>
    </row>
    <row r="1698" spans="1:17" x14ac:dyDescent="0.2">
      <c r="A1698" s="16">
        <f>P1698</f>
        <v>1810170</v>
      </c>
      <c r="B1698">
        <v>2018</v>
      </c>
      <c r="C1698" t="s">
        <v>904</v>
      </c>
      <c r="D1698" t="s">
        <v>906</v>
      </c>
      <c r="E1698" t="s">
        <v>2604</v>
      </c>
      <c r="F1698" t="s">
        <v>546</v>
      </c>
      <c r="G1698" t="s">
        <v>194</v>
      </c>
      <c r="H1698" s="6">
        <v>140426</v>
      </c>
      <c r="I1698" s="6">
        <v>5.9573916468584013E-4</v>
      </c>
      <c r="J1698" s="6">
        <v>2483.0408384105817</v>
      </c>
      <c r="K1698" s="6">
        <v>550189</v>
      </c>
      <c r="M1698" s="6">
        <f>SUM(H1698,J1698)</f>
        <v>142909.04083841058</v>
      </c>
      <c r="N1698" s="6">
        <f>K1698</f>
        <v>550189</v>
      </c>
      <c r="O1698" s="6">
        <f>SUM(M1698:N1698)</f>
        <v>693098.04083841061</v>
      </c>
      <c r="P1698" s="8">
        <f>VLOOKUP(F1698,'LEAID Match'!$A$2:$B$436,2,FALSE)</f>
        <v>1810170</v>
      </c>
      <c r="Q1698" s="6">
        <f>COUNTIF($P$2:$P$3691,P1698)</f>
        <v>9</v>
      </c>
    </row>
    <row r="1699" spans="1:17" x14ac:dyDescent="0.2">
      <c r="A1699" s="16">
        <f>P1699</f>
        <v>1810170</v>
      </c>
      <c r="B1699">
        <v>2019</v>
      </c>
      <c r="C1699" t="s">
        <v>904</v>
      </c>
      <c r="D1699" t="s">
        <v>906</v>
      </c>
      <c r="E1699" t="s">
        <v>2605</v>
      </c>
      <c r="F1699" t="s">
        <v>546</v>
      </c>
      <c r="G1699" t="s">
        <v>194</v>
      </c>
      <c r="H1699" s="6">
        <v>151941</v>
      </c>
      <c r="I1699" s="6">
        <v>3.8653707995860685E-4</v>
      </c>
      <c r="J1699" s="6">
        <v>1354.812465254917</v>
      </c>
      <c r="K1699" s="6">
        <v>364852.34977292898</v>
      </c>
      <c r="M1699" s="6">
        <f>SUM(H1699,J1699)</f>
        <v>153295.81246525492</v>
      </c>
      <c r="N1699" s="6">
        <f>K1699</f>
        <v>364852.34977292898</v>
      </c>
      <c r="O1699" s="6">
        <f>SUM(M1699:N1699)</f>
        <v>518148.1622381839</v>
      </c>
      <c r="P1699" s="8">
        <f>VLOOKUP(F1699,'LEAID Match'!$A$2:$B$436,2,FALSE)</f>
        <v>1810170</v>
      </c>
      <c r="Q1699" s="6">
        <f>COUNTIF($P$2:$P$3691,P1699)</f>
        <v>9</v>
      </c>
    </row>
    <row r="1700" spans="1:17" x14ac:dyDescent="0.2">
      <c r="A1700" s="16">
        <f>P1700</f>
        <v>1810170</v>
      </c>
      <c r="B1700">
        <v>2020</v>
      </c>
      <c r="C1700" t="s">
        <v>904</v>
      </c>
      <c r="D1700" t="s">
        <v>906</v>
      </c>
      <c r="E1700" t="s">
        <v>2606</v>
      </c>
      <c r="F1700" t="s">
        <v>546</v>
      </c>
      <c r="G1700" t="s">
        <v>194</v>
      </c>
      <c r="H1700" s="6">
        <v>112320</v>
      </c>
      <c r="I1700" s="6">
        <v>5.9515084949252842E-4</v>
      </c>
      <c r="J1700" s="6">
        <v>1402.175401404397</v>
      </c>
      <c r="K1700" s="6">
        <v>579766</v>
      </c>
      <c r="M1700" s="6">
        <f>SUM(H1700,J1700)</f>
        <v>113722.1754014044</v>
      </c>
      <c r="N1700" s="6">
        <f>K1700</f>
        <v>579766</v>
      </c>
      <c r="O1700" s="6">
        <f>SUM(M1700:N1700)</f>
        <v>693488.17540140438</v>
      </c>
      <c r="P1700" s="8">
        <f>VLOOKUP(F1700,'LEAID Match'!$A$2:$B$436,2,FALSE)</f>
        <v>1810170</v>
      </c>
      <c r="Q1700" s="6">
        <f>COUNTIF($P$2:$P$3691,P1700)</f>
        <v>9</v>
      </c>
    </row>
    <row r="1701" spans="1:17" x14ac:dyDescent="0.2">
      <c r="A1701" s="16">
        <f>P1701</f>
        <v>1810170</v>
      </c>
      <c r="B1701">
        <v>2021</v>
      </c>
      <c r="C1701" t="s">
        <v>904</v>
      </c>
      <c r="D1701" t="s">
        <v>906</v>
      </c>
      <c r="E1701" t="s">
        <v>2607</v>
      </c>
      <c r="F1701" t="s">
        <v>546</v>
      </c>
      <c r="G1701" t="s">
        <v>194</v>
      </c>
      <c r="H1701" s="6">
        <v>129178</v>
      </c>
      <c r="I1701" s="6">
        <v>6.3815133341582305E-4</v>
      </c>
      <c r="J1701" s="6">
        <v>1438.3931055192652</v>
      </c>
      <c r="K1701" s="6">
        <v>958705</v>
      </c>
      <c r="M1701" s="6">
        <f>SUM(H1701,J1701)</f>
        <v>130616.39310551927</v>
      </c>
      <c r="N1701" s="6">
        <f>K1701</f>
        <v>958705</v>
      </c>
      <c r="O1701" s="6">
        <f>SUM(M1701:N1701)</f>
        <v>1089321.3931055192</v>
      </c>
      <c r="P1701" s="8">
        <f>VLOOKUP(F1701,'LEAID Match'!$A$2:$B$436,2,FALSE)</f>
        <v>1810170</v>
      </c>
      <c r="Q1701" s="6">
        <f>COUNTIF($P$2:$P$3691,P1701)</f>
        <v>9</v>
      </c>
    </row>
    <row r="1702" spans="1:17" x14ac:dyDescent="0.2">
      <c r="A1702" s="16">
        <f>P1702</f>
        <v>1810170</v>
      </c>
      <c r="B1702">
        <v>2022</v>
      </c>
      <c r="C1702" t="s">
        <v>904</v>
      </c>
      <c r="D1702" t="s">
        <v>906</v>
      </c>
      <c r="E1702" t="s">
        <v>2608</v>
      </c>
      <c r="F1702" t="s">
        <v>546</v>
      </c>
      <c r="G1702" t="s">
        <v>194</v>
      </c>
      <c r="H1702" s="6">
        <v>137297</v>
      </c>
      <c r="I1702" s="6">
        <v>6.5191167280334865E-4</v>
      </c>
      <c r="J1702" s="6">
        <v>1437.4652385313839</v>
      </c>
      <c r="K1702" s="6">
        <v>938463</v>
      </c>
      <c r="M1702" s="6">
        <f>SUM(H1702,J1702)</f>
        <v>138734.46523853138</v>
      </c>
      <c r="N1702" s="6">
        <f>K1702</f>
        <v>938463</v>
      </c>
      <c r="O1702" s="6">
        <f>SUM(M1702:N1702)</f>
        <v>1077197.4652385314</v>
      </c>
      <c r="P1702" s="8">
        <f>VLOOKUP(F1702,'LEAID Match'!$A$2:$B$436,2,FALSE)</f>
        <v>1810170</v>
      </c>
      <c r="Q1702" s="6">
        <f>COUNTIF($P$2:$P$3691,P1702)</f>
        <v>9</v>
      </c>
    </row>
    <row r="1703" spans="1:17" x14ac:dyDescent="0.2">
      <c r="A1703" s="16">
        <f>P1703</f>
        <v>1810170</v>
      </c>
      <c r="B1703">
        <v>2023</v>
      </c>
      <c r="C1703" t="s">
        <v>904</v>
      </c>
      <c r="D1703" t="s">
        <v>906</v>
      </c>
      <c r="E1703" t="s">
        <v>2609</v>
      </c>
      <c r="F1703" t="s">
        <v>546</v>
      </c>
      <c r="G1703" t="s">
        <v>194</v>
      </c>
      <c r="H1703" s="6">
        <v>158718</v>
      </c>
      <c r="I1703" s="6">
        <v>6.4906941199442713E-4</v>
      </c>
      <c r="J1703" s="6">
        <v>1601.2542393902518</v>
      </c>
      <c r="K1703" s="6">
        <v>2446136</v>
      </c>
      <c r="M1703" s="6">
        <f>SUM(H1703,J1703)</f>
        <v>160319.25423939025</v>
      </c>
      <c r="N1703" s="6">
        <f>K1703</f>
        <v>2446136</v>
      </c>
      <c r="O1703" s="6">
        <f>SUM(M1703:N1703)</f>
        <v>2606455.2542393901</v>
      </c>
      <c r="P1703" s="8">
        <f>VLOOKUP(F1703,'LEAID Match'!$A$2:$B$436,2,FALSE)</f>
        <v>1810170</v>
      </c>
      <c r="Q1703" s="6">
        <f>COUNTIF($P$2:$P$3691,P1703)</f>
        <v>9</v>
      </c>
    </row>
    <row r="1704" spans="1:17" x14ac:dyDescent="0.2">
      <c r="A1704" s="16">
        <f>P1704</f>
        <v>1806060</v>
      </c>
      <c r="B1704">
        <v>2015</v>
      </c>
      <c r="C1704" t="s">
        <v>904</v>
      </c>
      <c r="D1704" t="s">
        <v>906</v>
      </c>
      <c r="E1704" t="s">
        <v>2610</v>
      </c>
      <c r="F1704" t="s">
        <v>726</v>
      </c>
      <c r="G1704" t="s">
        <v>195</v>
      </c>
      <c r="H1704" s="6">
        <v>166199</v>
      </c>
      <c r="I1704" s="6">
        <v>8.0817705038596036E-4</v>
      </c>
      <c r="J1704" s="6">
        <v>4696.3168397928157</v>
      </c>
      <c r="K1704" s="6">
        <v>683407.44463917403</v>
      </c>
      <c r="M1704" s="6">
        <f>SUM(H1704,J1704)</f>
        <v>170895.31683979282</v>
      </c>
      <c r="N1704" s="6">
        <f>K1704</f>
        <v>683407.44463917403</v>
      </c>
      <c r="O1704" s="6">
        <f>SUM(M1704:N1704)</f>
        <v>854302.7614789668</v>
      </c>
      <c r="P1704" s="8">
        <f>VLOOKUP(F1704,'LEAID Match'!$A$2:$B$436,2,FALSE)</f>
        <v>1806060</v>
      </c>
      <c r="Q1704" s="6">
        <f>COUNTIF($P$2:$P$3691,P1704)</f>
        <v>9</v>
      </c>
    </row>
    <row r="1705" spans="1:17" x14ac:dyDescent="0.2">
      <c r="A1705" s="16">
        <f>P1705</f>
        <v>1806060</v>
      </c>
      <c r="B1705">
        <v>2016</v>
      </c>
      <c r="C1705" t="s">
        <v>904</v>
      </c>
      <c r="D1705" t="s">
        <v>906</v>
      </c>
      <c r="E1705" t="s">
        <v>2611</v>
      </c>
      <c r="F1705" t="s">
        <v>726</v>
      </c>
      <c r="G1705" t="s">
        <v>195</v>
      </c>
      <c r="H1705" s="6">
        <v>173816</v>
      </c>
      <c r="I1705" s="6">
        <v>8.0652758743027296E-4</v>
      </c>
      <c r="J1705" s="6">
        <v>4071.3512613480179</v>
      </c>
      <c r="K1705" s="6">
        <v>715793.23384436697</v>
      </c>
      <c r="M1705" s="6">
        <f>SUM(H1705,J1705)</f>
        <v>177887.35126134803</v>
      </c>
      <c r="N1705" s="6">
        <f>K1705</f>
        <v>715793.23384436697</v>
      </c>
      <c r="O1705" s="6">
        <f>SUM(M1705:N1705)</f>
        <v>893680.58510571497</v>
      </c>
      <c r="P1705" s="8">
        <f>VLOOKUP(F1705,'LEAID Match'!$A$2:$B$436,2,FALSE)</f>
        <v>1806060</v>
      </c>
      <c r="Q1705" s="6">
        <f>COUNTIF($P$2:$P$3691,P1705)</f>
        <v>9</v>
      </c>
    </row>
    <row r="1706" spans="1:17" x14ac:dyDescent="0.2">
      <c r="A1706" s="16">
        <f>P1706</f>
        <v>1806060</v>
      </c>
      <c r="B1706">
        <v>2017</v>
      </c>
      <c r="C1706" t="s">
        <v>904</v>
      </c>
      <c r="D1706" t="s">
        <v>906</v>
      </c>
      <c r="E1706" t="s">
        <v>2612</v>
      </c>
      <c r="F1706" t="s">
        <v>726</v>
      </c>
      <c r="G1706" t="s">
        <v>195</v>
      </c>
      <c r="H1706" s="6">
        <v>182695</v>
      </c>
      <c r="I1706" s="6">
        <v>8.0448424303594256E-4</v>
      </c>
      <c r="J1706" s="6">
        <v>3640.29119973764</v>
      </c>
      <c r="K1706" s="6">
        <v>700705.775684305</v>
      </c>
      <c r="M1706" s="6">
        <f>SUM(H1706,J1706)</f>
        <v>186335.29119973764</v>
      </c>
      <c r="N1706" s="6">
        <f>K1706</f>
        <v>700705.775684305</v>
      </c>
      <c r="O1706" s="6">
        <f>SUM(M1706:N1706)</f>
        <v>887041.0668840427</v>
      </c>
      <c r="P1706" s="8">
        <f>VLOOKUP(F1706,'LEAID Match'!$A$2:$B$436,2,FALSE)</f>
        <v>1806060</v>
      </c>
      <c r="Q1706" s="6">
        <f>COUNTIF($P$2:$P$3691,P1706)</f>
        <v>9</v>
      </c>
    </row>
    <row r="1707" spans="1:17" x14ac:dyDescent="0.2">
      <c r="A1707" s="16">
        <f>P1707</f>
        <v>1806060</v>
      </c>
      <c r="B1707">
        <v>2018</v>
      </c>
      <c r="C1707" t="s">
        <v>904</v>
      </c>
      <c r="D1707" t="s">
        <v>906</v>
      </c>
      <c r="E1707" t="s">
        <v>2613</v>
      </c>
      <c r="F1707" t="s">
        <v>726</v>
      </c>
      <c r="G1707" t="s">
        <v>195</v>
      </c>
      <c r="H1707" s="6">
        <v>182229</v>
      </c>
      <c r="I1707" s="6">
        <v>7.7308299204944923E-4</v>
      </c>
      <c r="J1707" s="6">
        <v>3222.2099108621046</v>
      </c>
      <c r="K1707" s="6">
        <v>961867</v>
      </c>
      <c r="M1707" s="6">
        <f>SUM(H1707,J1707)</f>
        <v>185451.20991086212</v>
      </c>
      <c r="N1707" s="6">
        <f>K1707</f>
        <v>961867</v>
      </c>
      <c r="O1707" s="6">
        <f>SUM(M1707:N1707)</f>
        <v>1147318.2099108621</v>
      </c>
      <c r="P1707" s="8">
        <f>VLOOKUP(F1707,'LEAID Match'!$A$2:$B$436,2,FALSE)</f>
        <v>1806060</v>
      </c>
      <c r="Q1707" s="6">
        <f>COUNTIF($P$2:$P$3691,P1707)</f>
        <v>9</v>
      </c>
    </row>
    <row r="1708" spans="1:17" x14ac:dyDescent="0.2">
      <c r="A1708" s="16">
        <f>P1708</f>
        <v>1806060</v>
      </c>
      <c r="B1708">
        <v>2019</v>
      </c>
      <c r="C1708" t="s">
        <v>904</v>
      </c>
      <c r="D1708" t="s">
        <v>906</v>
      </c>
      <c r="E1708" t="s">
        <v>2614</v>
      </c>
      <c r="F1708" t="s">
        <v>726</v>
      </c>
      <c r="G1708" t="s">
        <v>195</v>
      </c>
      <c r="H1708" s="6">
        <v>197933</v>
      </c>
      <c r="I1708" s="6">
        <v>5.0354047852420964E-4</v>
      </c>
      <c r="J1708" s="6">
        <v>1764.9093772273548</v>
      </c>
      <c r="K1708" s="6">
        <v>475291.857679001</v>
      </c>
      <c r="M1708" s="6">
        <f>SUM(H1708,J1708)</f>
        <v>199697.90937722736</v>
      </c>
      <c r="N1708" s="6">
        <f>K1708</f>
        <v>475291.857679001</v>
      </c>
      <c r="O1708" s="6">
        <f>SUM(M1708:N1708)</f>
        <v>674989.76705622836</v>
      </c>
      <c r="P1708" s="8">
        <f>VLOOKUP(F1708,'LEAID Match'!$A$2:$B$436,2,FALSE)</f>
        <v>1806060</v>
      </c>
      <c r="Q1708" s="6">
        <f>COUNTIF($P$2:$P$3691,P1708)</f>
        <v>9</v>
      </c>
    </row>
    <row r="1709" spans="1:17" x14ac:dyDescent="0.2">
      <c r="A1709" s="16">
        <f>P1709</f>
        <v>1806060</v>
      </c>
      <c r="B1709">
        <v>2020</v>
      </c>
      <c r="C1709" t="s">
        <v>904</v>
      </c>
      <c r="D1709" t="s">
        <v>906</v>
      </c>
      <c r="E1709" t="s">
        <v>2615</v>
      </c>
      <c r="F1709" t="s">
        <v>726</v>
      </c>
      <c r="G1709" t="s">
        <v>195</v>
      </c>
      <c r="H1709" s="6">
        <v>142805</v>
      </c>
      <c r="I1709" s="6">
        <v>7.566819538976186E-4</v>
      </c>
      <c r="J1709" s="6">
        <v>1782.7426833827894</v>
      </c>
      <c r="K1709" s="6">
        <v>1019203</v>
      </c>
      <c r="M1709" s="6">
        <f>SUM(H1709,J1709)</f>
        <v>144587.74268338279</v>
      </c>
      <c r="N1709" s="6">
        <f>K1709</f>
        <v>1019203</v>
      </c>
      <c r="O1709" s="6">
        <f>SUM(M1709:N1709)</f>
        <v>1163790.7426833827</v>
      </c>
      <c r="P1709" s="8">
        <f>VLOOKUP(F1709,'LEAID Match'!$A$2:$B$436,2,FALSE)</f>
        <v>1806060</v>
      </c>
      <c r="Q1709" s="6">
        <f>COUNTIF($P$2:$P$3691,P1709)</f>
        <v>9</v>
      </c>
    </row>
    <row r="1710" spans="1:17" x14ac:dyDescent="0.2">
      <c r="A1710" s="16">
        <f>P1710</f>
        <v>1806060</v>
      </c>
      <c r="B1710">
        <v>2021</v>
      </c>
      <c r="C1710" t="s">
        <v>904</v>
      </c>
      <c r="D1710" t="s">
        <v>906</v>
      </c>
      <c r="E1710" t="s">
        <v>2616</v>
      </c>
      <c r="F1710" t="s">
        <v>726</v>
      </c>
      <c r="G1710" t="s">
        <v>195</v>
      </c>
      <c r="H1710" s="6">
        <v>142424</v>
      </c>
      <c r="I1710" s="6">
        <v>7.0358780527965425E-4</v>
      </c>
      <c r="J1710" s="6">
        <v>1585.8869131003407</v>
      </c>
      <c r="K1710" s="6">
        <v>1652400</v>
      </c>
      <c r="M1710" s="6">
        <f>SUM(H1710,J1710)</f>
        <v>144009.88691310034</v>
      </c>
      <c r="N1710" s="6">
        <f>K1710</f>
        <v>1652400</v>
      </c>
      <c r="O1710" s="6">
        <f>SUM(M1710:N1710)</f>
        <v>1796409.8869131003</v>
      </c>
      <c r="P1710" s="8">
        <f>VLOOKUP(F1710,'LEAID Match'!$A$2:$B$436,2,FALSE)</f>
        <v>1806060</v>
      </c>
      <c r="Q1710" s="6">
        <f>COUNTIF($P$2:$P$3691,P1710)</f>
        <v>9</v>
      </c>
    </row>
    <row r="1711" spans="1:17" x14ac:dyDescent="0.2">
      <c r="A1711" s="16">
        <f>P1711</f>
        <v>1806060</v>
      </c>
      <c r="B1711">
        <v>2022</v>
      </c>
      <c r="C1711" t="s">
        <v>904</v>
      </c>
      <c r="D1711" t="s">
        <v>906</v>
      </c>
      <c r="E1711" t="s">
        <v>2617</v>
      </c>
      <c r="F1711" t="s">
        <v>726</v>
      </c>
      <c r="G1711" t="s">
        <v>195</v>
      </c>
      <c r="H1711" s="6">
        <v>146130</v>
      </c>
      <c r="I1711" s="6">
        <v>6.9385239842642847E-4</v>
      </c>
      <c r="J1711" s="6">
        <v>1529.9445385302747</v>
      </c>
      <c r="K1711" s="6">
        <v>1551806</v>
      </c>
      <c r="M1711" s="6">
        <f>SUM(H1711,J1711)</f>
        <v>147659.94453853028</v>
      </c>
      <c r="N1711" s="6">
        <f>K1711</f>
        <v>1551806</v>
      </c>
      <c r="O1711" s="6">
        <f>SUM(M1711:N1711)</f>
        <v>1699465.9445385302</v>
      </c>
      <c r="P1711" s="8">
        <f>VLOOKUP(F1711,'LEAID Match'!$A$2:$B$436,2,FALSE)</f>
        <v>1806060</v>
      </c>
      <c r="Q1711" s="6">
        <f>COUNTIF($P$2:$P$3691,P1711)</f>
        <v>9</v>
      </c>
    </row>
    <row r="1712" spans="1:17" x14ac:dyDescent="0.2">
      <c r="A1712" s="16">
        <f>P1712</f>
        <v>1806060</v>
      </c>
      <c r="B1712">
        <v>2023</v>
      </c>
      <c r="C1712" t="s">
        <v>904</v>
      </c>
      <c r="D1712" t="s">
        <v>906</v>
      </c>
      <c r="E1712" t="s">
        <v>2618</v>
      </c>
      <c r="F1712" t="s">
        <v>726</v>
      </c>
      <c r="G1712" t="s">
        <v>195</v>
      </c>
      <c r="H1712" s="6">
        <v>158265</v>
      </c>
      <c r="I1712" s="6">
        <v>6.4721689089642016E-4</v>
      </c>
      <c r="J1712" s="6">
        <v>1596.6840698414685</v>
      </c>
      <c r="K1712" s="6">
        <v>3761104</v>
      </c>
      <c r="M1712" s="6">
        <f>SUM(H1712,J1712)</f>
        <v>159861.68406984146</v>
      </c>
      <c r="N1712" s="6">
        <f>K1712</f>
        <v>3761104</v>
      </c>
      <c r="O1712" s="6">
        <f>SUM(M1712:N1712)</f>
        <v>3920965.6840698416</v>
      </c>
      <c r="P1712" s="8">
        <f>VLOOKUP(F1712,'LEAID Match'!$A$2:$B$436,2,FALSE)</f>
        <v>1806060</v>
      </c>
      <c r="Q1712" s="6">
        <f>COUNTIF($P$2:$P$3691,P1712)</f>
        <v>9</v>
      </c>
    </row>
    <row r="1713" spans="1:17" x14ac:dyDescent="0.2">
      <c r="A1713" s="16">
        <f>P1713</f>
        <v>1802580</v>
      </c>
      <c r="B1713">
        <v>2015</v>
      </c>
      <c r="C1713" t="s">
        <v>904</v>
      </c>
      <c r="D1713" t="s">
        <v>906</v>
      </c>
      <c r="E1713" t="s">
        <v>2619</v>
      </c>
      <c r="F1713" t="s">
        <v>547</v>
      </c>
      <c r="G1713" t="s">
        <v>196</v>
      </c>
      <c r="H1713" s="6">
        <v>124545</v>
      </c>
      <c r="I1713" s="6">
        <v>6.0562585057864023E-4</v>
      </c>
      <c r="J1713" s="6">
        <v>3519.2918177124784</v>
      </c>
      <c r="K1713" s="6">
        <v>512126.90926290699</v>
      </c>
      <c r="M1713" s="6">
        <f>SUM(H1713,J1713)</f>
        <v>128064.29181771248</v>
      </c>
      <c r="N1713" s="6">
        <f>K1713</f>
        <v>512126.90926290699</v>
      </c>
      <c r="O1713" s="6">
        <f>SUM(M1713:N1713)</f>
        <v>640191.20108061947</v>
      </c>
      <c r="P1713" s="8">
        <f>VLOOKUP(F1713,'LEAID Match'!$A$2:$B$436,2,FALSE)</f>
        <v>1802580</v>
      </c>
      <c r="Q1713" s="6">
        <f>COUNTIF($P$2:$P$3691,P1713)</f>
        <v>9</v>
      </c>
    </row>
    <row r="1714" spans="1:17" x14ac:dyDescent="0.2">
      <c r="A1714" s="16">
        <f>P1714</f>
        <v>1802580</v>
      </c>
      <c r="B1714">
        <v>2016</v>
      </c>
      <c r="C1714" t="s">
        <v>904</v>
      </c>
      <c r="D1714" t="s">
        <v>906</v>
      </c>
      <c r="E1714" t="s">
        <v>2620</v>
      </c>
      <c r="F1714" t="s">
        <v>547</v>
      </c>
      <c r="G1714" t="s">
        <v>196</v>
      </c>
      <c r="H1714" s="6">
        <v>133068</v>
      </c>
      <c r="I1714" s="6">
        <v>6.1745186291349216E-4</v>
      </c>
      <c r="J1714" s="6">
        <v>3116.8970039873084</v>
      </c>
      <c r="K1714" s="6">
        <v>547988.52833572403</v>
      </c>
      <c r="M1714" s="6">
        <f>SUM(H1714,J1714)</f>
        <v>136184.89700398731</v>
      </c>
      <c r="N1714" s="6">
        <f>K1714</f>
        <v>547988.52833572403</v>
      </c>
      <c r="O1714" s="6">
        <f>SUM(M1714:N1714)</f>
        <v>684173.42533971136</v>
      </c>
      <c r="P1714" s="8">
        <f>VLOOKUP(F1714,'LEAID Match'!$A$2:$B$436,2,FALSE)</f>
        <v>1802580</v>
      </c>
      <c r="Q1714" s="6">
        <f>COUNTIF($P$2:$P$3691,P1714)</f>
        <v>9</v>
      </c>
    </row>
    <row r="1715" spans="1:17" x14ac:dyDescent="0.2">
      <c r="A1715" s="16">
        <f>P1715</f>
        <v>1802580</v>
      </c>
      <c r="B1715">
        <v>2017</v>
      </c>
      <c r="C1715" t="s">
        <v>904</v>
      </c>
      <c r="D1715" t="s">
        <v>906</v>
      </c>
      <c r="E1715" t="s">
        <v>2621</v>
      </c>
      <c r="F1715" t="s">
        <v>547</v>
      </c>
      <c r="G1715" t="s">
        <v>196</v>
      </c>
      <c r="H1715" s="6">
        <v>141897</v>
      </c>
      <c r="I1715" s="6">
        <v>6.248331954025625E-4</v>
      </c>
      <c r="J1715" s="6">
        <v>2827.3702091965952</v>
      </c>
      <c r="K1715" s="6">
        <v>544229.71319563198</v>
      </c>
      <c r="M1715" s="6">
        <f>SUM(H1715,J1715)</f>
        <v>144724.37020919658</v>
      </c>
      <c r="N1715" s="6">
        <f>K1715</f>
        <v>544229.71319563198</v>
      </c>
      <c r="O1715" s="6">
        <f>SUM(M1715:N1715)</f>
        <v>688954.08340482856</v>
      </c>
      <c r="P1715" s="8">
        <f>VLOOKUP(F1715,'LEAID Match'!$A$2:$B$436,2,FALSE)</f>
        <v>1802580</v>
      </c>
      <c r="Q1715" s="6">
        <f>COUNTIF($P$2:$P$3691,P1715)</f>
        <v>9</v>
      </c>
    </row>
    <row r="1716" spans="1:17" x14ac:dyDescent="0.2">
      <c r="A1716" s="16">
        <f>P1716</f>
        <v>1802580</v>
      </c>
      <c r="B1716">
        <v>2018</v>
      </c>
      <c r="C1716" t="s">
        <v>904</v>
      </c>
      <c r="D1716" t="s">
        <v>906</v>
      </c>
      <c r="E1716" t="s">
        <v>2622</v>
      </c>
      <c r="F1716" t="s">
        <v>547</v>
      </c>
      <c r="G1716" t="s">
        <v>196</v>
      </c>
      <c r="H1716" s="6">
        <v>156882</v>
      </c>
      <c r="I1716" s="6">
        <v>6.6555161888997736E-4</v>
      </c>
      <c r="J1716" s="6">
        <v>2774.0191475334254</v>
      </c>
      <c r="K1716" s="6">
        <v>383590</v>
      </c>
      <c r="M1716" s="6">
        <f>SUM(H1716,J1716)</f>
        <v>159656.01914753343</v>
      </c>
      <c r="N1716" s="6">
        <f>K1716</f>
        <v>383590</v>
      </c>
      <c r="O1716" s="6">
        <f>SUM(M1716:N1716)</f>
        <v>543246.01914753346</v>
      </c>
      <c r="P1716" s="8">
        <f>VLOOKUP(F1716,'LEAID Match'!$A$2:$B$436,2,FALSE)</f>
        <v>1802580</v>
      </c>
      <c r="Q1716" s="6">
        <f>COUNTIF($P$2:$P$3691,P1716)</f>
        <v>9</v>
      </c>
    </row>
    <row r="1717" spans="1:17" x14ac:dyDescent="0.2">
      <c r="A1717" s="16">
        <f>P1717</f>
        <v>1802580</v>
      </c>
      <c r="B1717">
        <v>2019</v>
      </c>
      <c r="C1717" t="s">
        <v>904</v>
      </c>
      <c r="D1717" t="s">
        <v>906</v>
      </c>
      <c r="E1717" t="s">
        <v>2623</v>
      </c>
      <c r="F1717" t="s">
        <v>547</v>
      </c>
      <c r="G1717" t="s">
        <v>196</v>
      </c>
      <c r="H1717" s="6">
        <v>176588</v>
      </c>
      <c r="I1717" s="6">
        <v>4.4923891428732513E-4</v>
      </c>
      <c r="J1717" s="6">
        <v>1574.5823945770746</v>
      </c>
      <c r="K1717" s="6">
        <v>424036.61119580601</v>
      </c>
      <c r="M1717" s="6">
        <f>SUM(H1717,J1717)</f>
        <v>178162.58239457707</v>
      </c>
      <c r="N1717" s="6">
        <f>K1717</f>
        <v>424036.61119580601</v>
      </c>
      <c r="O1717" s="6">
        <f>SUM(M1717:N1717)</f>
        <v>602199.19359038305</v>
      </c>
      <c r="P1717" s="8">
        <f>VLOOKUP(F1717,'LEAID Match'!$A$2:$B$436,2,FALSE)</f>
        <v>1802580</v>
      </c>
      <c r="Q1717" s="6">
        <f>COUNTIF($P$2:$P$3691,P1717)</f>
        <v>9</v>
      </c>
    </row>
    <row r="1718" spans="1:17" x14ac:dyDescent="0.2">
      <c r="A1718" s="16">
        <f>P1718</f>
        <v>1802580</v>
      </c>
      <c r="B1718">
        <v>2020</v>
      </c>
      <c r="C1718" t="s">
        <v>904</v>
      </c>
      <c r="D1718" t="s">
        <v>906</v>
      </c>
      <c r="E1718" t="s">
        <v>2624</v>
      </c>
      <c r="F1718" t="s">
        <v>547</v>
      </c>
      <c r="G1718" t="s">
        <v>196</v>
      </c>
      <c r="H1718" s="6">
        <v>136479</v>
      </c>
      <c r="I1718" s="6">
        <v>7.2316232895201912E-4</v>
      </c>
      <c r="J1718" s="6">
        <v>1703.770447010957</v>
      </c>
      <c r="K1718" s="6">
        <v>395639</v>
      </c>
      <c r="M1718" s="6">
        <f>SUM(H1718,J1718)</f>
        <v>138182.77044701096</v>
      </c>
      <c r="N1718" s="6">
        <f>K1718</f>
        <v>395639</v>
      </c>
      <c r="O1718" s="6">
        <f>SUM(M1718:N1718)</f>
        <v>533821.77044701099</v>
      </c>
      <c r="P1718" s="8">
        <f>VLOOKUP(F1718,'LEAID Match'!$A$2:$B$436,2,FALSE)</f>
        <v>1802580</v>
      </c>
      <c r="Q1718" s="6">
        <f>COUNTIF($P$2:$P$3691,P1718)</f>
        <v>9</v>
      </c>
    </row>
    <row r="1719" spans="1:17" x14ac:dyDescent="0.2">
      <c r="A1719" s="16">
        <f>P1719</f>
        <v>1802580</v>
      </c>
      <c r="B1719">
        <v>2021</v>
      </c>
      <c r="C1719" t="s">
        <v>904</v>
      </c>
      <c r="D1719" t="s">
        <v>906</v>
      </c>
      <c r="E1719" t="s">
        <v>2625</v>
      </c>
      <c r="F1719" t="s">
        <v>547</v>
      </c>
      <c r="G1719" t="s">
        <v>196</v>
      </c>
      <c r="H1719" s="6">
        <v>136524</v>
      </c>
      <c r="I1719" s="6">
        <v>6.7444125658596527E-4</v>
      </c>
      <c r="J1719" s="6">
        <v>1520.1905923447657</v>
      </c>
      <c r="K1719" s="6">
        <v>600829</v>
      </c>
      <c r="M1719" s="6">
        <f>SUM(H1719,J1719)</f>
        <v>138044.19059234476</v>
      </c>
      <c r="N1719" s="6">
        <f>K1719</f>
        <v>600829</v>
      </c>
      <c r="O1719" s="6">
        <f>SUM(M1719:N1719)</f>
        <v>738873.19059234473</v>
      </c>
      <c r="P1719" s="8">
        <f>VLOOKUP(F1719,'LEAID Match'!$A$2:$B$436,2,FALSE)</f>
        <v>1802580</v>
      </c>
      <c r="Q1719" s="6">
        <f>COUNTIF($P$2:$P$3691,P1719)</f>
        <v>9</v>
      </c>
    </row>
    <row r="1720" spans="1:17" x14ac:dyDescent="0.2">
      <c r="A1720" s="16">
        <f>P1720</f>
        <v>1802580</v>
      </c>
      <c r="B1720">
        <v>2022</v>
      </c>
      <c r="C1720" t="s">
        <v>904</v>
      </c>
      <c r="D1720" t="s">
        <v>906</v>
      </c>
      <c r="E1720" t="s">
        <v>2626</v>
      </c>
      <c r="F1720" t="s">
        <v>547</v>
      </c>
      <c r="G1720" t="s">
        <v>196</v>
      </c>
      <c r="H1720" s="6">
        <v>145420</v>
      </c>
      <c r="I1720" s="6">
        <v>6.904811864721222E-4</v>
      </c>
      <c r="J1720" s="6">
        <v>1522.5110161710295</v>
      </c>
      <c r="K1720" s="6">
        <v>580629</v>
      </c>
      <c r="M1720" s="6">
        <f>SUM(H1720,J1720)</f>
        <v>146942.51101617102</v>
      </c>
      <c r="N1720" s="6">
        <f>K1720</f>
        <v>580629</v>
      </c>
      <c r="O1720" s="6">
        <f>SUM(M1720:N1720)</f>
        <v>727571.51101617096</v>
      </c>
      <c r="P1720" s="8">
        <f>VLOOKUP(F1720,'LEAID Match'!$A$2:$B$436,2,FALSE)</f>
        <v>1802580</v>
      </c>
      <c r="Q1720" s="6">
        <f>COUNTIF($P$2:$P$3691,P1720)</f>
        <v>9</v>
      </c>
    </row>
    <row r="1721" spans="1:17" x14ac:dyDescent="0.2">
      <c r="A1721" s="16">
        <f>P1721</f>
        <v>1802580</v>
      </c>
      <c r="B1721">
        <v>2023</v>
      </c>
      <c r="C1721" t="s">
        <v>904</v>
      </c>
      <c r="D1721" t="s">
        <v>906</v>
      </c>
      <c r="E1721" t="s">
        <v>2627</v>
      </c>
      <c r="F1721" t="s">
        <v>547</v>
      </c>
      <c r="G1721" t="s">
        <v>196</v>
      </c>
      <c r="H1721" s="6">
        <v>175212</v>
      </c>
      <c r="I1721" s="6">
        <v>7.1652080932450997E-4</v>
      </c>
      <c r="J1721" s="6">
        <v>1767.656836603566</v>
      </c>
      <c r="K1721" s="6">
        <v>1455993</v>
      </c>
      <c r="M1721" s="6">
        <f>SUM(H1721,J1721)</f>
        <v>176979.65683660356</v>
      </c>
      <c r="N1721" s="6">
        <f>K1721</f>
        <v>1455993</v>
      </c>
      <c r="O1721" s="6">
        <f>SUM(M1721:N1721)</f>
        <v>1632972.6568366035</v>
      </c>
      <c r="P1721" s="8">
        <f>VLOOKUP(F1721,'LEAID Match'!$A$2:$B$436,2,FALSE)</f>
        <v>1802580</v>
      </c>
      <c r="Q1721" s="6">
        <f>COUNTIF($P$2:$P$3691,P1721)</f>
        <v>9</v>
      </c>
    </row>
    <row r="1722" spans="1:17" x14ac:dyDescent="0.2">
      <c r="A1722" s="16">
        <f>P1722</f>
        <v>1807890</v>
      </c>
      <c r="B1722">
        <v>2015</v>
      </c>
      <c r="C1722" t="s">
        <v>904</v>
      </c>
      <c r="D1722" t="s">
        <v>906</v>
      </c>
      <c r="E1722" t="s">
        <v>2628</v>
      </c>
      <c r="F1722" t="s">
        <v>727</v>
      </c>
      <c r="G1722" t="s">
        <v>197</v>
      </c>
      <c r="H1722" s="6">
        <v>192528</v>
      </c>
      <c r="I1722" s="6">
        <v>9.3620726452450483E-4</v>
      </c>
      <c r="J1722" s="6">
        <v>5440.3004141518977</v>
      </c>
      <c r="K1722" s="6">
        <v>791671.84219815303</v>
      </c>
      <c r="M1722" s="6">
        <f>SUM(H1722,J1722)</f>
        <v>197968.30041415189</v>
      </c>
      <c r="N1722" s="6">
        <f>K1722</f>
        <v>791671.84219815303</v>
      </c>
      <c r="O1722" s="6">
        <f>SUM(M1722:N1722)</f>
        <v>989640.14261230489</v>
      </c>
      <c r="P1722" s="8">
        <f>VLOOKUP(F1722,'LEAID Match'!$A$2:$B$436,2,FALSE)</f>
        <v>1807890</v>
      </c>
      <c r="Q1722" s="6">
        <f>COUNTIF($P$2:$P$3691,P1722)</f>
        <v>9</v>
      </c>
    </row>
    <row r="1723" spans="1:17" x14ac:dyDescent="0.2">
      <c r="A1723" s="16">
        <f>P1723</f>
        <v>1807890</v>
      </c>
      <c r="B1723">
        <v>2016</v>
      </c>
      <c r="C1723" t="s">
        <v>904</v>
      </c>
      <c r="D1723" t="s">
        <v>906</v>
      </c>
      <c r="E1723" t="s">
        <v>2629</v>
      </c>
      <c r="F1723" t="s">
        <v>727</v>
      </c>
      <c r="G1723" t="s">
        <v>197</v>
      </c>
      <c r="H1723" s="6">
        <v>183455</v>
      </c>
      <c r="I1723" s="6">
        <v>8.5125373125616007E-4</v>
      </c>
      <c r="J1723" s="6">
        <v>4297.128835381096</v>
      </c>
      <c r="K1723" s="6">
        <v>755487.68648984202</v>
      </c>
      <c r="M1723" s="6">
        <f>SUM(H1723,J1723)</f>
        <v>187752.1288353811</v>
      </c>
      <c r="N1723" s="6">
        <f>K1723</f>
        <v>755487.68648984202</v>
      </c>
      <c r="O1723" s="6">
        <f>SUM(M1723:N1723)</f>
        <v>943239.81532522314</v>
      </c>
      <c r="P1723" s="8">
        <f>VLOOKUP(F1723,'LEAID Match'!$A$2:$B$436,2,FALSE)</f>
        <v>1807890</v>
      </c>
      <c r="Q1723" s="6">
        <f>COUNTIF($P$2:$P$3691,P1723)</f>
        <v>9</v>
      </c>
    </row>
    <row r="1724" spans="1:17" x14ac:dyDescent="0.2">
      <c r="A1724" s="16">
        <f>P1724</f>
        <v>1807890</v>
      </c>
      <c r="B1724">
        <v>2017</v>
      </c>
      <c r="C1724" t="s">
        <v>904</v>
      </c>
      <c r="D1724" t="s">
        <v>906</v>
      </c>
      <c r="E1724" t="s">
        <v>2630</v>
      </c>
      <c r="F1724" t="s">
        <v>727</v>
      </c>
      <c r="G1724" t="s">
        <v>197</v>
      </c>
      <c r="H1724" s="6">
        <v>161386</v>
      </c>
      <c r="I1724" s="6">
        <v>7.1065159991569901E-4</v>
      </c>
      <c r="J1724" s="6">
        <v>3215.6984896185381</v>
      </c>
      <c r="K1724" s="6">
        <v>618977.54352657299</v>
      </c>
      <c r="M1724" s="6">
        <f>SUM(H1724,J1724)</f>
        <v>164601.69848961855</v>
      </c>
      <c r="N1724" s="6">
        <f>K1724</f>
        <v>618977.54352657299</v>
      </c>
      <c r="O1724" s="6">
        <f>SUM(M1724:N1724)</f>
        <v>783579.24201619159</v>
      </c>
      <c r="P1724" s="8">
        <f>VLOOKUP(F1724,'LEAID Match'!$A$2:$B$436,2,FALSE)</f>
        <v>1807890</v>
      </c>
      <c r="Q1724" s="6">
        <f>COUNTIF($P$2:$P$3691,P1724)</f>
        <v>9</v>
      </c>
    </row>
    <row r="1725" spans="1:17" x14ac:dyDescent="0.2">
      <c r="A1725" s="16">
        <f>P1725</f>
        <v>1807890</v>
      </c>
      <c r="B1725">
        <v>2018</v>
      </c>
      <c r="C1725" t="s">
        <v>904</v>
      </c>
      <c r="D1725" t="s">
        <v>906</v>
      </c>
      <c r="E1725" t="s">
        <v>2631</v>
      </c>
      <c r="F1725" t="s">
        <v>727</v>
      </c>
      <c r="G1725" t="s">
        <v>197</v>
      </c>
      <c r="H1725" s="6">
        <v>166349</v>
      </c>
      <c r="I1725" s="6">
        <v>7.0571414343728947E-4</v>
      </c>
      <c r="J1725" s="6">
        <v>2941.4165498466227</v>
      </c>
      <c r="K1725" s="6">
        <v>906151</v>
      </c>
      <c r="M1725" s="6">
        <f>SUM(H1725,J1725)</f>
        <v>169290.41654984662</v>
      </c>
      <c r="N1725" s="6">
        <f>K1725</f>
        <v>906151</v>
      </c>
      <c r="O1725" s="6">
        <f>SUM(M1725:N1725)</f>
        <v>1075441.4165498465</v>
      </c>
      <c r="P1725" s="8">
        <f>VLOOKUP(F1725,'LEAID Match'!$A$2:$B$436,2,FALSE)</f>
        <v>1807890</v>
      </c>
      <c r="Q1725" s="6">
        <f>COUNTIF($P$2:$P$3691,P1725)</f>
        <v>9</v>
      </c>
    </row>
    <row r="1726" spans="1:17" x14ac:dyDescent="0.2">
      <c r="A1726" s="16">
        <f>P1726</f>
        <v>1807890</v>
      </c>
      <c r="B1726">
        <v>2019</v>
      </c>
      <c r="C1726" t="s">
        <v>904</v>
      </c>
      <c r="D1726" t="s">
        <v>906</v>
      </c>
      <c r="E1726" t="s">
        <v>2632</v>
      </c>
      <c r="F1726" t="s">
        <v>727</v>
      </c>
      <c r="G1726" t="s">
        <v>197</v>
      </c>
      <c r="H1726" s="6">
        <v>155488</v>
      </c>
      <c r="I1726" s="6">
        <v>3.9556062872170029E-4</v>
      </c>
      <c r="J1726" s="6">
        <v>1386.4400036695595</v>
      </c>
      <c r="K1726" s="6">
        <v>373369.67745041201</v>
      </c>
      <c r="M1726" s="6">
        <f>SUM(H1726,J1726)</f>
        <v>156874.44000366956</v>
      </c>
      <c r="N1726" s="6">
        <f>K1726</f>
        <v>373369.67745041201</v>
      </c>
      <c r="O1726" s="6">
        <f>SUM(M1726:N1726)</f>
        <v>530244.11745408154</v>
      </c>
      <c r="P1726" s="8">
        <f>VLOOKUP(F1726,'LEAID Match'!$A$2:$B$436,2,FALSE)</f>
        <v>1807890</v>
      </c>
      <c r="Q1726" s="6">
        <f>COUNTIF($P$2:$P$3691,P1726)</f>
        <v>9</v>
      </c>
    </row>
    <row r="1727" spans="1:17" x14ac:dyDescent="0.2">
      <c r="A1727" s="16">
        <f>P1727</f>
        <v>1807890</v>
      </c>
      <c r="B1727">
        <v>2020</v>
      </c>
      <c r="C1727" t="s">
        <v>904</v>
      </c>
      <c r="D1727" t="s">
        <v>906</v>
      </c>
      <c r="E1727" t="s">
        <v>2633</v>
      </c>
      <c r="F1727" t="s">
        <v>727</v>
      </c>
      <c r="G1727" t="s">
        <v>197</v>
      </c>
      <c r="H1727" s="6">
        <v>121348</v>
      </c>
      <c r="I1727" s="6">
        <v>6.4298758265864803E-4</v>
      </c>
      <c r="J1727" s="6">
        <v>1514.8787447437749</v>
      </c>
      <c r="K1727" s="6">
        <v>983951</v>
      </c>
      <c r="M1727" s="6">
        <f>SUM(H1727,J1727)</f>
        <v>122862.87874474378</v>
      </c>
      <c r="N1727" s="6">
        <f>K1727</f>
        <v>983951</v>
      </c>
      <c r="O1727" s="6">
        <f>SUM(M1727:N1727)</f>
        <v>1106813.8787447438</v>
      </c>
      <c r="P1727" s="8">
        <f>VLOOKUP(F1727,'LEAID Match'!$A$2:$B$436,2,FALSE)</f>
        <v>1807890</v>
      </c>
      <c r="Q1727" s="6">
        <f>COUNTIF($P$2:$P$3691,P1727)</f>
        <v>9</v>
      </c>
    </row>
    <row r="1728" spans="1:17" x14ac:dyDescent="0.2">
      <c r="A1728" s="16">
        <f>P1728</f>
        <v>1807890</v>
      </c>
      <c r="B1728">
        <v>2021</v>
      </c>
      <c r="C1728" t="s">
        <v>904</v>
      </c>
      <c r="D1728" t="s">
        <v>906</v>
      </c>
      <c r="E1728" t="s">
        <v>2634</v>
      </c>
      <c r="F1728" t="s">
        <v>727</v>
      </c>
      <c r="G1728" t="s">
        <v>197</v>
      </c>
      <c r="H1728" s="6">
        <v>136447</v>
      </c>
      <c r="I1728" s="6">
        <v>6.7406086942504767E-4</v>
      </c>
      <c r="J1728" s="6">
        <v>1519.3331996840575</v>
      </c>
      <c r="K1728" s="6">
        <v>1581113</v>
      </c>
      <c r="M1728" s="6">
        <f>SUM(H1728,J1728)</f>
        <v>137966.33319968407</v>
      </c>
      <c r="N1728" s="6">
        <f>K1728</f>
        <v>1581113</v>
      </c>
      <c r="O1728" s="6">
        <f>SUM(M1728:N1728)</f>
        <v>1719079.333199684</v>
      </c>
      <c r="P1728" s="8">
        <f>VLOOKUP(F1728,'LEAID Match'!$A$2:$B$436,2,FALSE)</f>
        <v>1807890</v>
      </c>
      <c r="Q1728" s="6">
        <f>COUNTIF($P$2:$P$3691,P1728)</f>
        <v>9</v>
      </c>
    </row>
    <row r="1729" spans="1:17" x14ac:dyDescent="0.2">
      <c r="A1729" s="16">
        <f>P1729</f>
        <v>1807890</v>
      </c>
      <c r="B1729">
        <v>2022</v>
      </c>
      <c r="C1729" t="s">
        <v>904</v>
      </c>
      <c r="D1729" t="s">
        <v>906</v>
      </c>
      <c r="E1729" t="s">
        <v>2635</v>
      </c>
      <c r="F1729" t="s">
        <v>727</v>
      </c>
      <c r="G1729" t="s">
        <v>197</v>
      </c>
      <c r="H1729" s="6">
        <v>153009</v>
      </c>
      <c r="I1729" s="6">
        <v>7.2651516889638945E-4</v>
      </c>
      <c r="J1729" s="6">
        <v>1601.9659474165387</v>
      </c>
      <c r="K1729" s="6">
        <v>1529170</v>
      </c>
      <c r="M1729" s="6">
        <f>SUM(H1729,J1729)</f>
        <v>154610.96594741655</v>
      </c>
      <c r="N1729" s="6">
        <f>K1729</f>
        <v>1529170</v>
      </c>
      <c r="O1729" s="6">
        <f>SUM(M1729:N1729)</f>
        <v>1683780.9659474166</v>
      </c>
      <c r="P1729" s="8">
        <f>VLOOKUP(F1729,'LEAID Match'!$A$2:$B$436,2,FALSE)</f>
        <v>1807890</v>
      </c>
      <c r="Q1729" s="6">
        <f>COUNTIF($P$2:$P$3691,P1729)</f>
        <v>9</v>
      </c>
    </row>
    <row r="1730" spans="1:17" x14ac:dyDescent="0.2">
      <c r="A1730" s="16">
        <f>P1730</f>
        <v>1807890</v>
      </c>
      <c r="B1730">
        <v>2023</v>
      </c>
      <c r="C1730" t="s">
        <v>904</v>
      </c>
      <c r="D1730" t="s">
        <v>906</v>
      </c>
      <c r="E1730" t="s">
        <v>2636</v>
      </c>
      <c r="F1730" t="s">
        <v>727</v>
      </c>
      <c r="G1730" t="s">
        <v>197</v>
      </c>
      <c r="H1730" s="6">
        <v>168263</v>
      </c>
      <c r="I1730" s="6">
        <v>6.881032174700935E-4</v>
      </c>
      <c r="J1730" s="6">
        <v>1697.5506374987206</v>
      </c>
      <c r="K1730" s="6">
        <v>3805571</v>
      </c>
      <c r="M1730" s="6">
        <f>SUM(H1730,J1730)</f>
        <v>169960.55063749873</v>
      </c>
      <c r="N1730" s="6">
        <f>K1730</f>
        <v>3805571</v>
      </c>
      <c r="O1730" s="6">
        <f>SUM(M1730:N1730)</f>
        <v>3975531.5506374985</v>
      </c>
      <c r="P1730" s="8">
        <f>VLOOKUP(F1730,'LEAID Match'!$A$2:$B$436,2,FALSE)</f>
        <v>1807890</v>
      </c>
      <c r="Q1730" s="6">
        <f>COUNTIF($P$2:$P$3691,P1730)</f>
        <v>9</v>
      </c>
    </row>
    <row r="1731" spans="1:17" x14ac:dyDescent="0.2">
      <c r="A1731" s="16">
        <f>P1731</f>
        <v>1808850</v>
      </c>
      <c r="B1731">
        <v>2015</v>
      </c>
      <c r="C1731" t="s">
        <v>904</v>
      </c>
      <c r="D1731" t="s">
        <v>906</v>
      </c>
      <c r="E1731" t="s">
        <v>2637</v>
      </c>
      <c r="F1731" t="s">
        <v>728</v>
      </c>
      <c r="G1731" t="s">
        <v>198</v>
      </c>
      <c r="H1731" s="6">
        <v>394935</v>
      </c>
      <c r="I1731" s="6">
        <v>1.9204532120781668E-3</v>
      </c>
      <c r="J1731" s="6">
        <v>11159.753615386227</v>
      </c>
      <c r="K1731" s="6">
        <v>1623965.96338469</v>
      </c>
      <c r="M1731" s="6">
        <f>SUM(H1731,J1731)</f>
        <v>406094.7536153862</v>
      </c>
      <c r="N1731" s="6">
        <f>K1731</f>
        <v>1623965.96338469</v>
      </c>
      <c r="O1731" s="6">
        <f>SUM(M1731:N1731)</f>
        <v>2030060.7170000761</v>
      </c>
      <c r="P1731" s="8">
        <f>VLOOKUP(F1731,'LEAID Match'!$A$2:$B$436,2,FALSE)</f>
        <v>1808850</v>
      </c>
      <c r="Q1731" s="6">
        <f>COUNTIF($P$2:$P$3691,P1731)</f>
        <v>9</v>
      </c>
    </row>
    <row r="1732" spans="1:17" x14ac:dyDescent="0.2">
      <c r="A1732" s="16">
        <f>P1732</f>
        <v>1808850</v>
      </c>
      <c r="B1732">
        <v>2016</v>
      </c>
      <c r="C1732" t="s">
        <v>904</v>
      </c>
      <c r="D1732" t="s">
        <v>906</v>
      </c>
      <c r="E1732" t="s">
        <v>2638</v>
      </c>
      <c r="F1732" t="s">
        <v>728</v>
      </c>
      <c r="G1732" t="s">
        <v>198</v>
      </c>
      <c r="H1732" s="6">
        <v>433296</v>
      </c>
      <c r="I1732" s="6">
        <v>2.0105466557922605E-3</v>
      </c>
      <c r="J1732" s="6">
        <v>10149.239518439332</v>
      </c>
      <c r="K1732" s="6">
        <v>1784360.15701563</v>
      </c>
      <c r="M1732" s="6">
        <f>SUM(H1732,J1732)</f>
        <v>443445.23951843934</v>
      </c>
      <c r="N1732" s="6">
        <f>K1732</f>
        <v>1784360.15701563</v>
      </c>
      <c r="O1732" s="6">
        <f>SUM(M1732:N1732)</f>
        <v>2227805.3965340694</v>
      </c>
      <c r="P1732" s="8">
        <f>VLOOKUP(F1732,'LEAID Match'!$A$2:$B$436,2,FALSE)</f>
        <v>1808850</v>
      </c>
      <c r="Q1732" s="6">
        <f>COUNTIF($P$2:$P$3691,P1732)</f>
        <v>9</v>
      </c>
    </row>
    <row r="1733" spans="1:17" x14ac:dyDescent="0.2">
      <c r="A1733" s="16">
        <f>P1733</f>
        <v>1808850</v>
      </c>
      <c r="B1733">
        <v>2017</v>
      </c>
      <c r="C1733" t="s">
        <v>904</v>
      </c>
      <c r="D1733" t="s">
        <v>906</v>
      </c>
      <c r="E1733" t="s">
        <v>2639</v>
      </c>
      <c r="F1733" t="s">
        <v>728</v>
      </c>
      <c r="G1733" t="s">
        <v>198</v>
      </c>
      <c r="H1733" s="6">
        <v>463728</v>
      </c>
      <c r="I1733" s="6">
        <v>2.0419927696684178E-3</v>
      </c>
      <c r="J1733" s="6">
        <v>9240.0172827495899</v>
      </c>
      <c r="K1733" s="6">
        <v>1778575.7023811899</v>
      </c>
      <c r="M1733" s="6">
        <f>SUM(H1733,J1733)</f>
        <v>472968.01728274958</v>
      </c>
      <c r="N1733" s="6">
        <f>K1733</f>
        <v>1778575.7023811899</v>
      </c>
      <c r="O1733" s="6">
        <f>SUM(M1733:N1733)</f>
        <v>2251543.7196639394</v>
      </c>
      <c r="P1733" s="8">
        <f>VLOOKUP(F1733,'LEAID Match'!$A$2:$B$436,2,FALSE)</f>
        <v>1808850</v>
      </c>
      <c r="Q1733" s="6">
        <f>COUNTIF($P$2:$P$3691,P1733)</f>
        <v>9</v>
      </c>
    </row>
    <row r="1734" spans="1:17" x14ac:dyDescent="0.2">
      <c r="A1734" s="16">
        <f>P1734</f>
        <v>1808850</v>
      </c>
      <c r="B1734">
        <v>2018</v>
      </c>
      <c r="C1734" t="s">
        <v>904</v>
      </c>
      <c r="D1734" t="s">
        <v>906</v>
      </c>
      <c r="E1734" t="s">
        <v>2640</v>
      </c>
      <c r="F1734" t="s">
        <v>728</v>
      </c>
      <c r="G1734" t="s">
        <v>198</v>
      </c>
      <c r="H1734" s="6">
        <v>464069</v>
      </c>
      <c r="I1734" s="6">
        <v>1.9687527837907019E-3</v>
      </c>
      <c r="J1734" s="6">
        <v>8205.761602839646</v>
      </c>
      <c r="K1734" s="6">
        <v>2082256</v>
      </c>
      <c r="M1734" s="6">
        <f>SUM(H1734,J1734)</f>
        <v>472274.76160283963</v>
      </c>
      <c r="N1734" s="6">
        <f>K1734</f>
        <v>2082256</v>
      </c>
      <c r="O1734" s="6">
        <f>SUM(M1734:N1734)</f>
        <v>2554530.7616028395</v>
      </c>
      <c r="P1734" s="8">
        <f>VLOOKUP(F1734,'LEAID Match'!$A$2:$B$436,2,FALSE)</f>
        <v>1808850</v>
      </c>
      <c r="Q1734" s="6">
        <f>COUNTIF($P$2:$P$3691,P1734)</f>
        <v>9</v>
      </c>
    </row>
    <row r="1735" spans="1:17" x14ac:dyDescent="0.2">
      <c r="A1735" s="16">
        <f>P1735</f>
        <v>1808850</v>
      </c>
      <c r="B1735">
        <v>2019</v>
      </c>
      <c r="C1735" t="s">
        <v>904</v>
      </c>
      <c r="D1735" t="s">
        <v>906</v>
      </c>
      <c r="E1735" t="s">
        <v>2641</v>
      </c>
      <c r="F1735" t="s">
        <v>728</v>
      </c>
      <c r="G1735" t="s">
        <v>198</v>
      </c>
      <c r="H1735" s="6">
        <v>465826</v>
      </c>
      <c r="I1735" s="6">
        <v>1.1850588176252493E-3</v>
      </c>
      <c r="J1735" s="6">
        <v>4153.6311557764984</v>
      </c>
      <c r="K1735" s="6">
        <v>1118577.0179564699</v>
      </c>
      <c r="M1735" s="6">
        <f>SUM(H1735,J1735)</f>
        <v>469979.6311557765</v>
      </c>
      <c r="N1735" s="6">
        <f>K1735</f>
        <v>1118577.0179564699</v>
      </c>
      <c r="O1735" s="6">
        <f>SUM(M1735:N1735)</f>
        <v>1588556.6491122465</v>
      </c>
      <c r="P1735" s="8">
        <f>VLOOKUP(F1735,'LEAID Match'!$A$2:$B$436,2,FALSE)</f>
        <v>1808850</v>
      </c>
      <c r="Q1735" s="6">
        <f>COUNTIF($P$2:$P$3691,P1735)</f>
        <v>9</v>
      </c>
    </row>
    <row r="1736" spans="1:17" x14ac:dyDescent="0.2">
      <c r="A1736" s="16">
        <f>P1736</f>
        <v>1808850</v>
      </c>
      <c r="B1736">
        <v>2020</v>
      </c>
      <c r="C1736" t="s">
        <v>904</v>
      </c>
      <c r="D1736" t="s">
        <v>906</v>
      </c>
      <c r="E1736" t="s">
        <v>2642</v>
      </c>
      <c r="F1736" t="s">
        <v>728</v>
      </c>
      <c r="G1736" t="s">
        <v>198</v>
      </c>
      <c r="H1736" s="6">
        <v>353157</v>
      </c>
      <c r="I1736" s="6">
        <v>1.8712757171851218E-3</v>
      </c>
      <c r="J1736" s="6">
        <v>4408.725589688147</v>
      </c>
      <c r="K1736" s="6">
        <v>2156593</v>
      </c>
      <c r="M1736" s="6">
        <f>SUM(H1736,J1736)</f>
        <v>357565.72558968817</v>
      </c>
      <c r="N1736" s="6">
        <f>K1736</f>
        <v>2156593</v>
      </c>
      <c r="O1736" s="6">
        <f>SUM(M1736:N1736)</f>
        <v>2514158.7255896879</v>
      </c>
      <c r="P1736" s="8">
        <f>VLOOKUP(F1736,'LEAID Match'!$A$2:$B$436,2,FALSE)</f>
        <v>1808850</v>
      </c>
      <c r="Q1736" s="6">
        <f>COUNTIF($P$2:$P$3691,P1736)</f>
        <v>9</v>
      </c>
    </row>
    <row r="1737" spans="1:17" x14ac:dyDescent="0.2">
      <c r="A1737" s="16">
        <f>P1737</f>
        <v>1808850</v>
      </c>
      <c r="B1737">
        <v>2021</v>
      </c>
      <c r="C1737" t="s">
        <v>904</v>
      </c>
      <c r="D1737" t="s">
        <v>906</v>
      </c>
      <c r="E1737" t="s">
        <v>2643</v>
      </c>
      <c r="F1737" t="s">
        <v>728</v>
      </c>
      <c r="G1737" t="s">
        <v>198</v>
      </c>
      <c r="H1737" s="6">
        <v>350190</v>
      </c>
      <c r="I1737" s="6">
        <v>1.7299711672954146E-3</v>
      </c>
      <c r="J1737" s="6">
        <v>3899.3550110838646</v>
      </c>
      <c r="K1737" s="6">
        <v>3496445</v>
      </c>
      <c r="M1737" s="6">
        <f>SUM(H1737,J1737)</f>
        <v>354089.35501108388</v>
      </c>
      <c r="N1737" s="6">
        <f>K1737</f>
        <v>3496445</v>
      </c>
      <c r="O1737" s="6">
        <f>SUM(M1737:N1737)</f>
        <v>3850534.3550110841</v>
      </c>
      <c r="P1737" s="8">
        <f>VLOOKUP(F1737,'LEAID Match'!$A$2:$B$436,2,FALSE)</f>
        <v>1808850</v>
      </c>
      <c r="Q1737" s="6">
        <f>COUNTIF($P$2:$P$3691,P1737)</f>
        <v>9</v>
      </c>
    </row>
    <row r="1738" spans="1:17" x14ac:dyDescent="0.2">
      <c r="A1738" s="16">
        <f>P1738</f>
        <v>1808850</v>
      </c>
      <c r="B1738">
        <v>2022</v>
      </c>
      <c r="C1738" t="s">
        <v>904</v>
      </c>
      <c r="D1738" t="s">
        <v>906</v>
      </c>
      <c r="E1738" t="s">
        <v>2644</v>
      </c>
      <c r="F1738" t="s">
        <v>728</v>
      </c>
      <c r="G1738" t="s">
        <v>198</v>
      </c>
      <c r="H1738" s="6">
        <v>376349</v>
      </c>
      <c r="I1738" s="6">
        <v>1.7869749968889887E-3</v>
      </c>
      <c r="J1738" s="6">
        <v>3940.2798681402201</v>
      </c>
      <c r="K1738" s="6">
        <v>3418655</v>
      </c>
      <c r="M1738" s="6">
        <f>SUM(H1738,J1738)</f>
        <v>380289.27986814023</v>
      </c>
      <c r="N1738" s="6">
        <f>K1738</f>
        <v>3418655</v>
      </c>
      <c r="O1738" s="6">
        <f>SUM(M1738:N1738)</f>
        <v>3798944.2798681404</v>
      </c>
      <c r="P1738" s="8">
        <f>VLOOKUP(F1738,'LEAID Match'!$A$2:$B$436,2,FALSE)</f>
        <v>1808850</v>
      </c>
      <c r="Q1738" s="6">
        <f>COUNTIF($P$2:$P$3691,P1738)</f>
        <v>9</v>
      </c>
    </row>
    <row r="1739" spans="1:17" x14ac:dyDescent="0.2">
      <c r="A1739" s="16">
        <f>P1739</f>
        <v>1808850</v>
      </c>
      <c r="B1739">
        <v>2023</v>
      </c>
      <c r="C1739" t="s">
        <v>904</v>
      </c>
      <c r="D1739" t="s">
        <v>906</v>
      </c>
      <c r="E1739" t="s">
        <v>2645</v>
      </c>
      <c r="F1739" t="s">
        <v>728</v>
      </c>
      <c r="G1739" t="s">
        <v>198</v>
      </c>
      <c r="H1739" s="6">
        <v>417271</v>
      </c>
      <c r="I1739" s="6">
        <v>1.7064091193962035E-3</v>
      </c>
      <c r="J1739" s="6">
        <v>4209.7112975504342</v>
      </c>
      <c r="K1739" s="6">
        <v>8388265</v>
      </c>
      <c r="M1739" s="6">
        <f>SUM(H1739,J1739)</f>
        <v>421480.71129755041</v>
      </c>
      <c r="N1739" s="6">
        <f>K1739</f>
        <v>8388265</v>
      </c>
      <c r="O1739" s="6">
        <f>SUM(M1739:N1739)</f>
        <v>8809745.7112975512</v>
      </c>
      <c r="P1739" s="8">
        <f>VLOOKUP(F1739,'LEAID Match'!$A$2:$B$436,2,FALSE)</f>
        <v>1808850</v>
      </c>
      <c r="Q1739" s="6">
        <f>COUNTIF($P$2:$P$3691,P1739)</f>
        <v>9</v>
      </c>
    </row>
    <row r="1740" spans="1:17" x14ac:dyDescent="0.2">
      <c r="A1740" s="16">
        <f>P1740</f>
        <v>1806090</v>
      </c>
      <c r="B1740">
        <v>2015</v>
      </c>
      <c r="C1740" t="s">
        <v>904</v>
      </c>
      <c r="D1740" t="s">
        <v>906</v>
      </c>
      <c r="E1740" t="s">
        <v>2646</v>
      </c>
      <c r="F1740" t="s">
        <v>548</v>
      </c>
      <c r="G1740" t="s">
        <v>199</v>
      </c>
      <c r="H1740" s="6">
        <v>464463</v>
      </c>
      <c r="I1740" s="6">
        <v>2.2585475084291378E-3</v>
      </c>
      <c r="J1740" s="6">
        <v>13124.41957148172</v>
      </c>
      <c r="K1740" s="6">
        <v>1909863.90988781</v>
      </c>
      <c r="M1740" s="6">
        <f>SUM(H1740,J1740)</f>
        <v>477587.4195714817</v>
      </c>
      <c r="N1740" s="6">
        <f>K1740</f>
        <v>1909863.90988781</v>
      </c>
      <c r="O1740" s="6">
        <f>SUM(M1740:N1740)</f>
        <v>2387451.3294592919</v>
      </c>
      <c r="P1740" s="8">
        <f>VLOOKUP(F1740,'LEAID Match'!$A$2:$B$436,2,FALSE)</f>
        <v>1806090</v>
      </c>
      <c r="Q1740" s="6">
        <f>COUNTIF($P$2:$P$3691,P1740)</f>
        <v>9</v>
      </c>
    </row>
    <row r="1741" spans="1:17" x14ac:dyDescent="0.2">
      <c r="A1741" s="16">
        <f>P1741</f>
        <v>1806090</v>
      </c>
      <c r="B1741">
        <v>2016</v>
      </c>
      <c r="C1741" t="s">
        <v>904</v>
      </c>
      <c r="D1741" t="s">
        <v>906</v>
      </c>
      <c r="E1741" t="s">
        <v>2647</v>
      </c>
      <c r="F1741" t="s">
        <v>548</v>
      </c>
      <c r="G1741" t="s">
        <v>199</v>
      </c>
      <c r="H1741" s="6">
        <v>493042</v>
      </c>
      <c r="I1741" s="6">
        <v>2.2877754335722637E-3</v>
      </c>
      <c r="J1741" s="6">
        <v>11548.690388672787</v>
      </c>
      <c r="K1741" s="6">
        <v>2030400.6972953801</v>
      </c>
      <c r="M1741" s="6">
        <f>SUM(H1741,J1741)</f>
        <v>504590.69038867281</v>
      </c>
      <c r="N1741" s="6">
        <f>K1741</f>
        <v>2030400.6972953801</v>
      </c>
      <c r="O1741" s="6">
        <f>SUM(M1741:N1741)</f>
        <v>2534991.3876840528</v>
      </c>
      <c r="P1741" s="8">
        <f>VLOOKUP(F1741,'LEAID Match'!$A$2:$B$436,2,FALSE)</f>
        <v>1806090</v>
      </c>
      <c r="Q1741" s="6">
        <f>COUNTIF($P$2:$P$3691,P1741)</f>
        <v>9</v>
      </c>
    </row>
    <row r="1742" spans="1:17" x14ac:dyDescent="0.2">
      <c r="A1742" s="16">
        <f>P1742</f>
        <v>1806090</v>
      </c>
      <c r="B1742">
        <v>2017</v>
      </c>
      <c r="C1742" t="s">
        <v>904</v>
      </c>
      <c r="D1742" t="s">
        <v>906</v>
      </c>
      <c r="E1742" t="s">
        <v>2648</v>
      </c>
      <c r="F1742" t="s">
        <v>548</v>
      </c>
      <c r="G1742" t="s">
        <v>199</v>
      </c>
      <c r="H1742" s="6">
        <v>532906</v>
      </c>
      <c r="I1742" s="6">
        <v>2.3466130984389939E-3</v>
      </c>
      <c r="J1742" s="6">
        <v>10618.424270436448</v>
      </c>
      <c r="K1742" s="6">
        <v>2043900.0087403599</v>
      </c>
      <c r="M1742" s="6">
        <f>SUM(H1742,J1742)</f>
        <v>543524.4242704364</v>
      </c>
      <c r="N1742" s="6">
        <f>K1742</f>
        <v>2043900.0087403599</v>
      </c>
      <c r="O1742" s="6">
        <f>SUM(M1742:N1742)</f>
        <v>2587424.4330107961</v>
      </c>
      <c r="P1742" s="8">
        <f>VLOOKUP(F1742,'LEAID Match'!$A$2:$B$436,2,FALSE)</f>
        <v>1806090</v>
      </c>
      <c r="Q1742" s="6">
        <f>COUNTIF($P$2:$P$3691,P1742)</f>
        <v>9</v>
      </c>
    </row>
    <row r="1743" spans="1:17" x14ac:dyDescent="0.2">
      <c r="A1743" s="16">
        <f>P1743</f>
        <v>1806090</v>
      </c>
      <c r="B1743">
        <v>2018</v>
      </c>
      <c r="C1743" t="s">
        <v>904</v>
      </c>
      <c r="D1743" t="s">
        <v>906</v>
      </c>
      <c r="E1743" t="s">
        <v>2649</v>
      </c>
      <c r="F1743" t="s">
        <v>548</v>
      </c>
      <c r="G1743" t="s">
        <v>199</v>
      </c>
      <c r="H1743" s="6">
        <v>525957</v>
      </c>
      <c r="I1743" s="6">
        <v>2.231304629062071E-3</v>
      </c>
      <c r="J1743" s="6">
        <v>9300.0776939307125</v>
      </c>
      <c r="K1743" s="6">
        <v>2025805</v>
      </c>
      <c r="M1743" s="6">
        <f>SUM(H1743,J1743)</f>
        <v>535257.07769393071</v>
      </c>
      <c r="N1743" s="6">
        <f>K1743</f>
        <v>2025805</v>
      </c>
      <c r="O1743" s="6">
        <f>SUM(M1743:N1743)</f>
        <v>2561062.0776939308</v>
      </c>
      <c r="P1743" s="8">
        <f>VLOOKUP(F1743,'LEAID Match'!$A$2:$B$436,2,FALSE)</f>
        <v>1806090</v>
      </c>
      <c r="Q1743" s="6">
        <f>COUNTIF($P$2:$P$3691,P1743)</f>
        <v>9</v>
      </c>
    </row>
    <row r="1744" spans="1:17" x14ac:dyDescent="0.2">
      <c r="A1744" s="16">
        <f>P1744</f>
        <v>1806090</v>
      </c>
      <c r="B1744">
        <v>2019</v>
      </c>
      <c r="C1744" t="s">
        <v>904</v>
      </c>
      <c r="D1744" t="s">
        <v>906</v>
      </c>
      <c r="E1744" t="s">
        <v>2650</v>
      </c>
      <c r="F1744" t="s">
        <v>548</v>
      </c>
      <c r="G1744" t="s">
        <v>199</v>
      </c>
      <c r="H1744" s="6">
        <v>494244</v>
      </c>
      <c r="I1744" s="6">
        <v>1.2573540555022127E-3</v>
      </c>
      <c r="J1744" s="6">
        <v>4407.0259645352553</v>
      </c>
      <c r="K1744" s="6">
        <v>1186816.4929885301</v>
      </c>
      <c r="M1744" s="6">
        <f>SUM(H1744,J1744)</f>
        <v>498651.02596453525</v>
      </c>
      <c r="N1744" s="6">
        <f>K1744</f>
        <v>1186816.4929885301</v>
      </c>
      <c r="O1744" s="6">
        <f>SUM(M1744:N1744)</f>
        <v>1685467.5189530654</v>
      </c>
      <c r="P1744" s="8">
        <f>VLOOKUP(F1744,'LEAID Match'!$A$2:$B$436,2,FALSE)</f>
        <v>1806090</v>
      </c>
      <c r="Q1744" s="6">
        <f>COUNTIF($P$2:$P$3691,P1744)</f>
        <v>9</v>
      </c>
    </row>
    <row r="1745" spans="1:17" x14ac:dyDescent="0.2">
      <c r="A1745" s="16">
        <f>P1745</f>
        <v>1806090</v>
      </c>
      <c r="B1745">
        <v>2020</v>
      </c>
      <c r="C1745" t="s">
        <v>904</v>
      </c>
      <c r="D1745" t="s">
        <v>906</v>
      </c>
      <c r="E1745" t="s">
        <v>2651</v>
      </c>
      <c r="F1745" t="s">
        <v>548</v>
      </c>
      <c r="G1745" t="s">
        <v>199</v>
      </c>
      <c r="H1745" s="6">
        <v>361968</v>
      </c>
      <c r="I1745" s="6">
        <v>1.9179626307791269E-3</v>
      </c>
      <c r="J1745" s="6">
        <v>4518.7199581156228</v>
      </c>
      <c r="K1745" s="6">
        <v>2179026</v>
      </c>
      <c r="M1745" s="6">
        <f>SUM(H1745,J1745)</f>
        <v>366486.7199581156</v>
      </c>
      <c r="N1745" s="6">
        <f>K1745</f>
        <v>2179026</v>
      </c>
      <c r="O1745" s="6">
        <f>SUM(M1745:N1745)</f>
        <v>2545512.7199581154</v>
      </c>
      <c r="P1745" s="8">
        <f>VLOOKUP(F1745,'LEAID Match'!$A$2:$B$436,2,FALSE)</f>
        <v>1806090</v>
      </c>
      <c r="Q1745" s="6">
        <f>COUNTIF($P$2:$P$3691,P1745)</f>
        <v>9</v>
      </c>
    </row>
    <row r="1746" spans="1:17" x14ac:dyDescent="0.2">
      <c r="A1746" s="16">
        <f>P1746</f>
        <v>1806090</v>
      </c>
      <c r="B1746">
        <v>2021</v>
      </c>
      <c r="C1746" t="s">
        <v>904</v>
      </c>
      <c r="D1746" t="s">
        <v>906</v>
      </c>
      <c r="E1746" t="s">
        <v>2652</v>
      </c>
      <c r="F1746" t="s">
        <v>548</v>
      </c>
      <c r="G1746" t="s">
        <v>199</v>
      </c>
      <c r="H1746" s="6">
        <v>366659</v>
      </c>
      <c r="I1746" s="6">
        <v>1.8113295588947983E-3</v>
      </c>
      <c r="J1746" s="6">
        <v>4082.7368257488752</v>
      </c>
      <c r="K1746" s="6">
        <v>3467195</v>
      </c>
      <c r="M1746" s="6">
        <f>SUM(H1746,J1746)</f>
        <v>370741.73682574887</v>
      </c>
      <c r="N1746" s="6">
        <f>K1746</f>
        <v>3467195</v>
      </c>
      <c r="O1746" s="6">
        <f>SUM(M1746:N1746)</f>
        <v>3837936.7368257488</v>
      </c>
      <c r="P1746" s="8">
        <f>VLOOKUP(F1746,'LEAID Match'!$A$2:$B$436,2,FALSE)</f>
        <v>1806090</v>
      </c>
      <c r="Q1746" s="6">
        <f>COUNTIF($P$2:$P$3691,P1746)</f>
        <v>9</v>
      </c>
    </row>
    <row r="1747" spans="1:17" x14ac:dyDescent="0.2">
      <c r="A1747" s="16">
        <f>P1747</f>
        <v>1806090</v>
      </c>
      <c r="B1747">
        <v>2022</v>
      </c>
      <c r="C1747" t="s">
        <v>904</v>
      </c>
      <c r="D1747" t="s">
        <v>906</v>
      </c>
      <c r="E1747" t="s">
        <v>2653</v>
      </c>
      <c r="F1747" t="s">
        <v>548</v>
      </c>
      <c r="G1747" t="s">
        <v>199</v>
      </c>
      <c r="H1747" s="6">
        <v>359385</v>
      </c>
      <c r="I1747" s="6">
        <v>1.7064267721103262E-3</v>
      </c>
      <c r="J1747" s="6">
        <v>3762.6710325032695</v>
      </c>
      <c r="K1747" s="6">
        <v>3344080</v>
      </c>
      <c r="M1747" s="6">
        <f>SUM(H1747,J1747)</f>
        <v>363147.67103250325</v>
      </c>
      <c r="N1747" s="6">
        <f>K1747</f>
        <v>3344080</v>
      </c>
      <c r="O1747" s="6">
        <f>SUM(M1747:N1747)</f>
        <v>3707227.6710325032</v>
      </c>
      <c r="P1747" s="8">
        <f>VLOOKUP(F1747,'LEAID Match'!$A$2:$B$436,2,FALSE)</f>
        <v>1806090</v>
      </c>
      <c r="Q1747" s="6">
        <f>COUNTIF($P$2:$P$3691,P1747)</f>
        <v>9</v>
      </c>
    </row>
    <row r="1748" spans="1:17" x14ac:dyDescent="0.2">
      <c r="A1748" s="16">
        <f>P1748</f>
        <v>1806090</v>
      </c>
      <c r="B1748">
        <v>2023</v>
      </c>
      <c r="C1748" t="s">
        <v>904</v>
      </c>
      <c r="D1748" t="s">
        <v>906</v>
      </c>
      <c r="E1748" t="s">
        <v>2654</v>
      </c>
      <c r="F1748" t="s">
        <v>548</v>
      </c>
      <c r="G1748" t="s">
        <v>199</v>
      </c>
      <c r="H1748" s="6">
        <v>383445</v>
      </c>
      <c r="I1748" s="6">
        <v>1.5680793651772522E-3</v>
      </c>
      <c r="J1748" s="6">
        <v>3868.4517938922809</v>
      </c>
      <c r="K1748" s="6">
        <v>8773226</v>
      </c>
      <c r="M1748" s="6">
        <f>SUM(H1748,J1748)</f>
        <v>387313.45179389231</v>
      </c>
      <c r="N1748" s="6">
        <f>K1748</f>
        <v>8773226</v>
      </c>
      <c r="O1748" s="6">
        <f>SUM(M1748:N1748)</f>
        <v>9160539.4517938923</v>
      </c>
      <c r="P1748" s="8">
        <f>VLOOKUP(F1748,'LEAID Match'!$A$2:$B$436,2,FALSE)</f>
        <v>1806090</v>
      </c>
      <c r="Q1748" s="6">
        <f>COUNTIF($P$2:$P$3691,P1748)</f>
        <v>9</v>
      </c>
    </row>
    <row r="1749" spans="1:17" x14ac:dyDescent="0.2">
      <c r="A1749" s="16">
        <f>P1749</f>
        <v>1808340</v>
      </c>
      <c r="B1749">
        <v>2015</v>
      </c>
      <c r="C1749" t="s">
        <v>904</v>
      </c>
      <c r="D1749" t="s">
        <v>906</v>
      </c>
      <c r="E1749" t="s">
        <v>2655</v>
      </c>
      <c r="F1749" t="s">
        <v>549</v>
      </c>
      <c r="G1749" t="s">
        <v>200</v>
      </c>
      <c r="H1749" s="6">
        <v>334130</v>
      </c>
      <c r="I1749" s="6">
        <v>1.6247763093969333E-3</v>
      </c>
      <c r="J1749" s="6">
        <v>9441.5751339055787</v>
      </c>
      <c r="K1749" s="6">
        <v>1373936.8436469899</v>
      </c>
      <c r="M1749" s="6">
        <f>SUM(H1749,J1749)</f>
        <v>343571.57513390557</v>
      </c>
      <c r="N1749" s="6">
        <f>K1749</f>
        <v>1373936.8436469899</v>
      </c>
      <c r="O1749" s="6">
        <f>SUM(M1749:N1749)</f>
        <v>1717508.4187808954</v>
      </c>
      <c r="P1749" s="8">
        <f>VLOOKUP(F1749,'LEAID Match'!$A$2:$B$436,2,FALSE)</f>
        <v>1808340</v>
      </c>
      <c r="Q1749" s="6">
        <f>COUNTIF($P$2:$P$3691,P1749)</f>
        <v>9</v>
      </c>
    </row>
    <row r="1750" spans="1:17" x14ac:dyDescent="0.2">
      <c r="A1750" s="16">
        <f>P1750</f>
        <v>1808340</v>
      </c>
      <c r="B1750">
        <v>2016</v>
      </c>
      <c r="C1750" t="s">
        <v>904</v>
      </c>
      <c r="D1750" t="s">
        <v>906</v>
      </c>
      <c r="E1750" t="s">
        <v>2656</v>
      </c>
      <c r="F1750" t="s">
        <v>549</v>
      </c>
      <c r="G1750" t="s">
        <v>200</v>
      </c>
      <c r="H1750" s="6">
        <v>359477</v>
      </c>
      <c r="I1750" s="6">
        <v>1.6680174296190928E-3</v>
      </c>
      <c r="J1750" s="6">
        <v>8420.1519847171803</v>
      </c>
      <c r="K1750" s="6">
        <v>1480365.46878694</v>
      </c>
      <c r="M1750" s="6">
        <f>SUM(H1750,J1750)</f>
        <v>367897.15198471717</v>
      </c>
      <c r="N1750" s="6">
        <f>K1750</f>
        <v>1480365.46878694</v>
      </c>
      <c r="O1750" s="6">
        <f>SUM(M1750:N1750)</f>
        <v>1848262.6207716572</v>
      </c>
      <c r="P1750" s="8">
        <f>VLOOKUP(F1750,'LEAID Match'!$A$2:$B$436,2,FALSE)</f>
        <v>1808340</v>
      </c>
      <c r="Q1750" s="6">
        <f>COUNTIF($P$2:$P$3691,P1750)</f>
        <v>9</v>
      </c>
    </row>
    <row r="1751" spans="1:17" x14ac:dyDescent="0.2">
      <c r="A1751" s="16">
        <f>P1751</f>
        <v>1808340</v>
      </c>
      <c r="B1751">
        <v>2017</v>
      </c>
      <c r="C1751" t="s">
        <v>904</v>
      </c>
      <c r="D1751" t="s">
        <v>906</v>
      </c>
      <c r="E1751" t="s">
        <v>2657</v>
      </c>
      <c r="F1751" t="s">
        <v>549</v>
      </c>
      <c r="G1751" t="s">
        <v>200</v>
      </c>
      <c r="H1751" s="6">
        <v>372456</v>
      </c>
      <c r="I1751" s="6">
        <v>1.6400831069498072E-3</v>
      </c>
      <c r="J1751" s="6">
        <v>7421.376058947877</v>
      </c>
      <c r="K1751" s="6">
        <v>1428512.38615328</v>
      </c>
      <c r="M1751" s="6">
        <f>SUM(H1751,J1751)</f>
        <v>379877.37605894788</v>
      </c>
      <c r="N1751" s="6">
        <f>K1751</f>
        <v>1428512.38615328</v>
      </c>
      <c r="O1751" s="6">
        <f>SUM(M1751:N1751)</f>
        <v>1808389.762212228</v>
      </c>
      <c r="P1751" s="8">
        <f>VLOOKUP(F1751,'LEAID Match'!$A$2:$B$436,2,FALSE)</f>
        <v>1808340</v>
      </c>
      <c r="Q1751" s="6">
        <f>COUNTIF($P$2:$P$3691,P1751)</f>
        <v>9</v>
      </c>
    </row>
    <row r="1752" spans="1:17" x14ac:dyDescent="0.2">
      <c r="A1752" s="16">
        <f>P1752</f>
        <v>1808340</v>
      </c>
      <c r="B1752">
        <v>2018</v>
      </c>
      <c r="C1752" t="s">
        <v>904</v>
      </c>
      <c r="D1752" t="s">
        <v>906</v>
      </c>
      <c r="E1752" t="s">
        <v>2658</v>
      </c>
      <c r="F1752" t="s">
        <v>549</v>
      </c>
      <c r="G1752" t="s">
        <v>200</v>
      </c>
      <c r="H1752" s="6">
        <v>378042</v>
      </c>
      <c r="I1752" s="6">
        <v>1.6037943493097031E-3</v>
      </c>
      <c r="J1752" s="6">
        <v>6684.6148479228423</v>
      </c>
      <c r="K1752" s="6">
        <v>1180419</v>
      </c>
      <c r="M1752" s="6">
        <f>SUM(H1752,J1752)</f>
        <v>384726.61484792281</v>
      </c>
      <c r="N1752" s="6">
        <f>K1752</f>
        <v>1180419</v>
      </c>
      <c r="O1752" s="6">
        <f>SUM(M1752:N1752)</f>
        <v>1565145.6148479227</v>
      </c>
      <c r="P1752" s="8">
        <f>VLOOKUP(F1752,'LEAID Match'!$A$2:$B$436,2,FALSE)</f>
        <v>1808340</v>
      </c>
      <c r="Q1752" s="6">
        <f>COUNTIF($P$2:$P$3691,P1752)</f>
        <v>9</v>
      </c>
    </row>
    <row r="1753" spans="1:17" x14ac:dyDescent="0.2">
      <c r="A1753" s="16">
        <f>P1753</f>
        <v>1808340</v>
      </c>
      <c r="B1753">
        <v>2019</v>
      </c>
      <c r="C1753" t="s">
        <v>904</v>
      </c>
      <c r="D1753" t="s">
        <v>906</v>
      </c>
      <c r="E1753" t="s">
        <v>2659</v>
      </c>
      <c r="F1753" t="s">
        <v>549</v>
      </c>
      <c r="G1753" t="s">
        <v>200</v>
      </c>
      <c r="H1753" s="6">
        <v>385508</v>
      </c>
      <c r="I1753" s="6">
        <v>9.8073026122430821E-4</v>
      </c>
      <c r="J1753" s="6">
        <v>3437.4595655912003</v>
      </c>
      <c r="K1753" s="6">
        <v>925711.29356962396</v>
      </c>
      <c r="M1753" s="6">
        <f>SUM(H1753,J1753)</f>
        <v>388945.45956559118</v>
      </c>
      <c r="N1753" s="6">
        <f>K1753</f>
        <v>925711.29356962396</v>
      </c>
      <c r="O1753" s="6">
        <f>SUM(M1753:N1753)</f>
        <v>1314656.753135215</v>
      </c>
      <c r="P1753" s="8">
        <f>VLOOKUP(F1753,'LEAID Match'!$A$2:$B$436,2,FALSE)</f>
        <v>1808340</v>
      </c>
      <c r="Q1753" s="6">
        <f>COUNTIF($P$2:$P$3691,P1753)</f>
        <v>9</v>
      </c>
    </row>
    <row r="1754" spans="1:17" x14ac:dyDescent="0.2">
      <c r="A1754" s="16">
        <f>P1754</f>
        <v>1808340</v>
      </c>
      <c r="B1754">
        <v>2020</v>
      </c>
      <c r="C1754" t="s">
        <v>904</v>
      </c>
      <c r="D1754" t="s">
        <v>906</v>
      </c>
      <c r="E1754" t="s">
        <v>2660</v>
      </c>
      <c r="F1754" t="s">
        <v>549</v>
      </c>
      <c r="G1754" t="s">
        <v>200</v>
      </c>
      <c r="H1754" s="6">
        <v>284630</v>
      </c>
      <c r="I1754" s="6">
        <v>1.5081711742437533E-3</v>
      </c>
      <c r="J1754" s="6">
        <v>3553.251286518283</v>
      </c>
      <c r="K1754" s="6">
        <v>1211099</v>
      </c>
      <c r="M1754" s="6">
        <f>SUM(H1754,J1754)</f>
        <v>288183.25128651829</v>
      </c>
      <c r="N1754" s="6">
        <f>K1754</f>
        <v>1211099</v>
      </c>
      <c r="O1754" s="6">
        <f>SUM(M1754:N1754)</f>
        <v>1499282.2512865183</v>
      </c>
      <c r="P1754" s="8">
        <f>VLOOKUP(F1754,'LEAID Match'!$A$2:$B$436,2,FALSE)</f>
        <v>1808340</v>
      </c>
      <c r="Q1754" s="6">
        <f>COUNTIF($P$2:$P$3691,P1754)</f>
        <v>9</v>
      </c>
    </row>
    <row r="1755" spans="1:17" x14ac:dyDescent="0.2">
      <c r="A1755" s="16">
        <f>P1755</f>
        <v>1808340</v>
      </c>
      <c r="B1755">
        <v>2021</v>
      </c>
      <c r="C1755" t="s">
        <v>904</v>
      </c>
      <c r="D1755" t="s">
        <v>906</v>
      </c>
      <c r="E1755" t="s">
        <v>2661</v>
      </c>
      <c r="F1755" t="s">
        <v>549</v>
      </c>
      <c r="G1755" t="s">
        <v>200</v>
      </c>
      <c r="H1755" s="6">
        <v>294598</v>
      </c>
      <c r="I1755" s="6">
        <v>1.4553415172988793E-3</v>
      </c>
      <c r="J1755" s="6">
        <v>3280.3397799916738</v>
      </c>
      <c r="K1755" s="6">
        <v>1991415</v>
      </c>
      <c r="M1755" s="6">
        <f>SUM(H1755,J1755)</f>
        <v>297878.33977999166</v>
      </c>
      <c r="N1755" s="6">
        <f>K1755</f>
        <v>1991415</v>
      </c>
      <c r="O1755" s="6">
        <f>SUM(M1755:N1755)</f>
        <v>2289293.3397799917</v>
      </c>
      <c r="P1755" s="8">
        <f>VLOOKUP(F1755,'LEAID Match'!$A$2:$B$436,2,FALSE)</f>
        <v>1808340</v>
      </c>
      <c r="Q1755" s="6">
        <f>COUNTIF($P$2:$P$3691,P1755)</f>
        <v>9</v>
      </c>
    </row>
    <row r="1756" spans="1:17" x14ac:dyDescent="0.2">
      <c r="A1756" s="16">
        <f>P1756</f>
        <v>1808340</v>
      </c>
      <c r="B1756">
        <v>2022</v>
      </c>
      <c r="C1756" t="s">
        <v>904</v>
      </c>
      <c r="D1756" t="s">
        <v>906</v>
      </c>
      <c r="E1756" t="s">
        <v>2662</v>
      </c>
      <c r="F1756" t="s">
        <v>549</v>
      </c>
      <c r="G1756" t="s">
        <v>200</v>
      </c>
      <c r="H1756" s="6">
        <v>312518</v>
      </c>
      <c r="I1756" s="6">
        <v>1.4838935458251594E-3</v>
      </c>
      <c r="J1756" s="6">
        <v>3271.9852685444766</v>
      </c>
      <c r="K1756" s="6">
        <v>1915377</v>
      </c>
      <c r="M1756" s="6">
        <f>SUM(H1756,J1756)</f>
        <v>315789.98526854446</v>
      </c>
      <c r="N1756" s="6">
        <f>K1756</f>
        <v>1915377</v>
      </c>
      <c r="O1756" s="6">
        <f>SUM(M1756:N1756)</f>
        <v>2231166.9852685444</v>
      </c>
      <c r="P1756" s="8">
        <f>VLOOKUP(F1756,'LEAID Match'!$A$2:$B$436,2,FALSE)</f>
        <v>1808340</v>
      </c>
      <c r="Q1756" s="6">
        <f>COUNTIF($P$2:$P$3691,P1756)</f>
        <v>9</v>
      </c>
    </row>
    <row r="1757" spans="1:17" x14ac:dyDescent="0.2">
      <c r="A1757" s="16">
        <f>P1757</f>
        <v>1808340</v>
      </c>
      <c r="B1757">
        <v>2023</v>
      </c>
      <c r="C1757" t="s">
        <v>904</v>
      </c>
      <c r="D1757" t="s">
        <v>906</v>
      </c>
      <c r="E1757" t="s">
        <v>2663</v>
      </c>
      <c r="F1757" t="s">
        <v>549</v>
      </c>
      <c r="G1757" t="s">
        <v>200</v>
      </c>
      <c r="H1757" s="6">
        <v>344958</v>
      </c>
      <c r="I1757" s="6">
        <v>1.4106886819565117E-3</v>
      </c>
      <c r="J1757" s="6">
        <v>3480.1689783867141</v>
      </c>
      <c r="K1757" s="6">
        <v>4877026</v>
      </c>
      <c r="M1757" s="6">
        <f>SUM(H1757,J1757)</f>
        <v>348438.16897838673</v>
      </c>
      <c r="N1757" s="6">
        <f>K1757</f>
        <v>4877026</v>
      </c>
      <c r="O1757" s="6">
        <f>SUM(M1757:N1757)</f>
        <v>5225464.1689783866</v>
      </c>
      <c r="P1757" s="8">
        <f>VLOOKUP(F1757,'LEAID Match'!$A$2:$B$436,2,FALSE)</f>
        <v>1808340</v>
      </c>
      <c r="Q1757" s="6">
        <f>COUNTIF($P$2:$P$3691,P1757)</f>
        <v>9</v>
      </c>
    </row>
    <row r="1758" spans="1:17" x14ac:dyDescent="0.2">
      <c r="A1758" s="16">
        <f>P1758</f>
        <v>1809480</v>
      </c>
      <c r="B1758">
        <v>2015</v>
      </c>
      <c r="C1758" t="s">
        <v>904</v>
      </c>
      <c r="D1758" t="s">
        <v>906</v>
      </c>
      <c r="E1758" t="s">
        <v>2664</v>
      </c>
      <c r="F1758" t="s">
        <v>550</v>
      </c>
      <c r="G1758" t="s">
        <v>201</v>
      </c>
      <c r="H1758" s="6">
        <v>451086</v>
      </c>
      <c r="I1758" s="6">
        <v>2.1934990761099723E-3</v>
      </c>
      <c r="J1758" s="6">
        <v>12746.423131275049</v>
      </c>
      <c r="K1758" s="6">
        <v>1854857.91474381</v>
      </c>
      <c r="M1758" s="6">
        <f>SUM(H1758,J1758)</f>
        <v>463832.42313127505</v>
      </c>
      <c r="N1758" s="6">
        <f>K1758</f>
        <v>1854857.91474381</v>
      </c>
      <c r="O1758" s="6">
        <f>SUM(M1758:N1758)</f>
        <v>2318690.337875085</v>
      </c>
      <c r="P1758" s="8">
        <f>VLOOKUP(F1758,'LEAID Match'!$A$2:$B$436,2,FALSE)</f>
        <v>1809480</v>
      </c>
      <c r="Q1758" s="6">
        <f>COUNTIF($P$2:$P$3691,P1758)</f>
        <v>9</v>
      </c>
    </row>
    <row r="1759" spans="1:17" x14ac:dyDescent="0.2">
      <c r="A1759" s="16">
        <f>P1759</f>
        <v>1809480</v>
      </c>
      <c r="B1759">
        <v>2016</v>
      </c>
      <c r="C1759" t="s">
        <v>904</v>
      </c>
      <c r="D1759" t="s">
        <v>906</v>
      </c>
      <c r="E1759" t="s">
        <v>2665</v>
      </c>
      <c r="F1759" t="s">
        <v>550</v>
      </c>
      <c r="G1759" t="s">
        <v>201</v>
      </c>
      <c r="H1759" s="6">
        <v>508159</v>
      </c>
      <c r="I1759" s="6">
        <v>2.357920170185599E-3</v>
      </c>
      <c r="J1759" s="6">
        <v>11902.781019096903</v>
      </c>
      <c r="K1759" s="6">
        <v>2092654.15103971</v>
      </c>
      <c r="M1759" s="6">
        <f>SUM(H1759,J1759)</f>
        <v>520061.7810190969</v>
      </c>
      <c r="N1759" s="6">
        <f>K1759</f>
        <v>2092654.15103971</v>
      </c>
      <c r="O1759" s="6">
        <f>SUM(M1759:N1759)</f>
        <v>2612715.932058807</v>
      </c>
      <c r="P1759" s="8">
        <f>VLOOKUP(F1759,'LEAID Match'!$A$2:$B$436,2,FALSE)</f>
        <v>1809480</v>
      </c>
      <c r="Q1759" s="6">
        <f>COUNTIF($P$2:$P$3691,P1759)</f>
        <v>9</v>
      </c>
    </row>
    <row r="1760" spans="1:17" x14ac:dyDescent="0.2">
      <c r="A1760" s="16">
        <f>P1760</f>
        <v>1809480</v>
      </c>
      <c r="B1760">
        <v>2017</v>
      </c>
      <c r="C1760" t="s">
        <v>904</v>
      </c>
      <c r="D1760" t="s">
        <v>906</v>
      </c>
      <c r="E1760" t="s">
        <v>2666</v>
      </c>
      <c r="F1760" t="s">
        <v>550</v>
      </c>
      <c r="G1760" t="s">
        <v>201</v>
      </c>
      <c r="H1760" s="6">
        <v>563645</v>
      </c>
      <c r="I1760" s="6">
        <v>2.4819700657707868E-3</v>
      </c>
      <c r="J1760" s="6">
        <v>11230.914547612811</v>
      </c>
      <c r="K1760" s="6">
        <v>2161795.9272863502</v>
      </c>
      <c r="M1760" s="6">
        <f>SUM(H1760,J1760)</f>
        <v>574875.91454761277</v>
      </c>
      <c r="N1760" s="6">
        <f>K1760</f>
        <v>2161795.9272863502</v>
      </c>
      <c r="O1760" s="6">
        <f>SUM(M1760:N1760)</f>
        <v>2736671.8418339631</v>
      </c>
      <c r="P1760" s="8">
        <f>VLOOKUP(F1760,'LEAID Match'!$A$2:$B$436,2,FALSE)</f>
        <v>1809480</v>
      </c>
      <c r="Q1760" s="6">
        <f>COUNTIF($P$2:$P$3691,P1760)</f>
        <v>9</v>
      </c>
    </row>
    <row r="1761" spans="1:17" x14ac:dyDescent="0.2">
      <c r="A1761" s="16">
        <f>P1761</f>
        <v>1809480</v>
      </c>
      <c r="B1761">
        <v>2018</v>
      </c>
      <c r="C1761" t="s">
        <v>904</v>
      </c>
      <c r="D1761" t="s">
        <v>906</v>
      </c>
      <c r="E1761" t="s">
        <v>2667</v>
      </c>
      <c r="F1761" t="s">
        <v>550</v>
      </c>
      <c r="G1761" t="s">
        <v>201</v>
      </c>
      <c r="H1761" s="6">
        <v>557451</v>
      </c>
      <c r="I1761" s="6">
        <v>2.3649138556484286E-3</v>
      </c>
      <c r="J1761" s="6">
        <v>9856.9609503426509</v>
      </c>
      <c r="K1761" s="6">
        <v>2588753</v>
      </c>
      <c r="M1761" s="6">
        <f>SUM(H1761,J1761)</f>
        <v>567307.96095034271</v>
      </c>
      <c r="N1761" s="6">
        <f>K1761</f>
        <v>2588753</v>
      </c>
      <c r="O1761" s="6">
        <f>SUM(M1761:N1761)</f>
        <v>3156060.9609503429</v>
      </c>
      <c r="P1761" s="8">
        <f>VLOOKUP(F1761,'LEAID Match'!$A$2:$B$436,2,FALSE)</f>
        <v>1809480</v>
      </c>
      <c r="Q1761" s="6">
        <f>COUNTIF($P$2:$P$3691,P1761)</f>
        <v>9</v>
      </c>
    </row>
    <row r="1762" spans="1:17" x14ac:dyDescent="0.2">
      <c r="A1762" s="16">
        <f>P1762</f>
        <v>1809480</v>
      </c>
      <c r="B1762">
        <v>2019</v>
      </c>
      <c r="C1762" t="s">
        <v>904</v>
      </c>
      <c r="D1762" t="s">
        <v>906</v>
      </c>
      <c r="E1762" t="s">
        <v>2668</v>
      </c>
      <c r="F1762" t="s">
        <v>550</v>
      </c>
      <c r="G1762" t="s">
        <v>201</v>
      </c>
      <c r="H1762" s="6">
        <v>604930</v>
      </c>
      <c r="I1762" s="6">
        <v>1.5389386392044284E-3</v>
      </c>
      <c r="J1762" s="6">
        <v>5393.9799304115213</v>
      </c>
      <c r="K1762" s="6">
        <v>1452604.1815450599</v>
      </c>
      <c r="M1762" s="6">
        <f>SUM(H1762,J1762)</f>
        <v>610323.97993041156</v>
      </c>
      <c r="N1762" s="6">
        <f>K1762</f>
        <v>1452604.1815450599</v>
      </c>
      <c r="O1762" s="6">
        <f>SUM(M1762:N1762)</f>
        <v>2062928.1614754715</v>
      </c>
      <c r="P1762" s="8">
        <f>VLOOKUP(F1762,'LEAID Match'!$A$2:$B$436,2,FALSE)</f>
        <v>1809480</v>
      </c>
      <c r="Q1762" s="6">
        <f>COUNTIF($P$2:$P$3691,P1762)</f>
        <v>9</v>
      </c>
    </row>
    <row r="1763" spans="1:17" x14ac:dyDescent="0.2">
      <c r="A1763" s="16">
        <f>P1763</f>
        <v>1809480</v>
      </c>
      <c r="B1763">
        <v>2020</v>
      </c>
      <c r="C1763" t="s">
        <v>904</v>
      </c>
      <c r="D1763" t="s">
        <v>906</v>
      </c>
      <c r="E1763" t="s">
        <v>2669</v>
      </c>
      <c r="F1763" t="s">
        <v>550</v>
      </c>
      <c r="G1763" t="s">
        <v>201</v>
      </c>
      <c r="H1763" s="6">
        <v>479669</v>
      </c>
      <c r="I1763" s="6">
        <v>2.541625826435467E-3</v>
      </c>
      <c r="J1763" s="6">
        <v>5988.0704470819601</v>
      </c>
      <c r="K1763" s="6">
        <v>2596127</v>
      </c>
      <c r="M1763" s="6">
        <f>SUM(H1763,J1763)</f>
        <v>485657.07044708193</v>
      </c>
      <c r="N1763" s="6">
        <f>K1763</f>
        <v>2596127</v>
      </c>
      <c r="O1763" s="6">
        <f>SUM(M1763:N1763)</f>
        <v>3081784.0704470817</v>
      </c>
      <c r="P1763" s="8">
        <f>VLOOKUP(F1763,'LEAID Match'!$A$2:$B$436,2,FALSE)</f>
        <v>1809480</v>
      </c>
      <c r="Q1763" s="6">
        <f>COUNTIF($P$2:$P$3691,P1763)</f>
        <v>9</v>
      </c>
    </row>
    <row r="1764" spans="1:17" x14ac:dyDescent="0.2">
      <c r="A1764" s="16">
        <f>P1764</f>
        <v>1809480</v>
      </c>
      <c r="B1764">
        <v>2021</v>
      </c>
      <c r="C1764" t="s">
        <v>904</v>
      </c>
      <c r="D1764" t="s">
        <v>906</v>
      </c>
      <c r="E1764" t="s">
        <v>2670</v>
      </c>
      <c r="F1764" t="s">
        <v>550</v>
      </c>
      <c r="G1764" t="s">
        <v>201</v>
      </c>
      <c r="H1764" s="6">
        <v>529732</v>
      </c>
      <c r="I1764" s="6">
        <v>2.616925344509365E-3</v>
      </c>
      <c r="J1764" s="6">
        <v>5898.5497265241083</v>
      </c>
      <c r="K1764" s="6">
        <v>4310817</v>
      </c>
      <c r="M1764" s="6">
        <f>SUM(H1764,J1764)</f>
        <v>535630.54972652416</v>
      </c>
      <c r="N1764" s="6">
        <f>K1764</f>
        <v>4310817</v>
      </c>
      <c r="O1764" s="6">
        <f>SUM(M1764:N1764)</f>
        <v>4846447.5497265244</v>
      </c>
      <c r="P1764" s="8">
        <f>VLOOKUP(F1764,'LEAID Match'!$A$2:$B$436,2,FALSE)</f>
        <v>1809480</v>
      </c>
      <c r="Q1764" s="6">
        <f>COUNTIF($P$2:$P$3691,P1764)</f>
        <v>9</v>
      </c>
    </row>
    <row r="1765" spans="1:17" x14ac:dyDescent="0.2">
      <c r="A1765" s="16">
        <f>P1765</f>
        <v>1809480</v>
      </c>
      <c r="B1765">
        <v>2022</v>
      </c>
      <c r="C1765" t="s">
        <v>904</v>
      </c>
      <c r="D1765" t="s">
        <v>906</v>
      </c>
      <c r="E1765" t="s">
        <v>2671</v>
      </c>
      <c r="F1765" t="s">
        <v>550</v>
      </c>
      <c r="G1765" t="s">
        <v>201</v>
      </c>
      <c r="H1765" s="6">
        <v>557531</v>
      </c>
      <c r="I1765" s="6">
        <v>2.647260805769418E-3</v>
      </c>
      <c r="J1765" s="6">
        <v>5837.210076721567</v>
      </c>
      <c r="K1765" s="6">
        <v>4298203</v>
      </c>
      <c r="M1765" s="6">
        <f>SUM(H1765,J1765)</f>
        <v>563368.21007672162</v>
      </c>
      <c r="N1765" s="6">
        <f>K1765</f>
        <v>4298203</v>
      </c>
      <c r="O1765" s="6">
        <f>SUM(M1765:N1765)</f>
        <v>4861571.2100767214</v>
      </c>
      <c r="P1765" s="8">
        <f>VLOOKUP(F1765,'LEAID Match'!$A$2:$B$436,2,FALSE)</f>
        <v>1809480</v>
      </c>
      <c r="Q1765" s="6">
        <f>COUNTIF($P$2:$P$3691,P1765)</f>
        <v>9</v>
      </c>
    </row>
    <row r="1766" spans="1:17" x14ac:dyDescent="0.2">
      <c r="A1766" s="16">
        <f>P1766</f>
        <v>1809480</v>
      </c>
      <c r="B1766">
        <v>2023</v>
      </c>
      <c r="C1766" t="s">
        <v>904</v>
      </c>
      <c r="D1766" t="s">
        <v>906</v>
      </c>
      <c r="E1766" t="s">
        <v>2672</v>
      </c>
      <c r="F1766" t="s">
        <v>550</v>
      </c>
      <c r="G1766" t="s">
        <v>201</v>
      </c>
      <c r="H1766" s="6">
        <v>639076</v>
      </c>
      <c r="I1766" s="6">
        <v>2.6134696980793012E-3</v>
      </c>
      <c r="J1766" s="6">
        <v>6447.4297451616358</v>
      </c>
      <c r="K1766" s="6">
        <v>11098665</v>
      </c>
      <c r="M1766" s="6">
        <f>SUM(H1766,J1766)</f>
        <v>645523.42974516167</v>
      </c>
      <c r="N1766" s="6">
        <f>K1766</f>
        <v>11098665</v>
      </c>
      <c r="O1766" s="6">
        <f>SUM(M1766:N1766)</f>
        <v>11744188.429745162</v>
      </c>
      <c r="P1766" s="8">
        <f>VLOOKUP(F1766,'LEAID Match'!$A$2:$B$436,2,FALSE)</f>
        <v>1809480</v>
      </c>
      <c r="Q1766" s="6">
        <f>COUNTIF($P$2:$P$3691,P1766)</f>
        <v>9</v>
      </c>
    </row>
    <row r="1767" spans="1:17" x14ac:dyDescent="0.2">
      <c r="A1767" s="16">
        <f>P1767</f>
        <v>1800630</v>
      </c>
      <c r="B1767">
        <v>2015</v>
      </c>
      <c r="C1767" t="s">
        <v>904</v>
      </c>
      <c r="D1767" t="s">
        <v>906</v>
      </c>
      <c r="E1767" t="s">
        <v>2673</v>
      </c>
      <c r="F1767" t="s">
        <v>729</v>
      </c>
      <c r="G1767" t="s">
        <v>202</v>
      </c>
      <c r="H1767" s="6">
        <v>2364832</v>
      </c>
      <c r="I1767" s="6">
        <v>1.1499485258144341E-2</v>
      </c>
      <c r="J1767" s="6">
        <v>66823.508835076762</v>
      </c>
      <c r="K1767" s="6">
        <v>9724148.7260509804</v>
      </c>
      <c r="M1767" s="6">
        <f>SUM(H1767,J1767)</f>
        <v>2431655.5088350768</v>
      </c>
      <c r="N1767" s="6">
        <f>K1767</f>
        <v>9724148.7260509804</v>
      </c>
      <c r="O1767" s="6">
        <f>SUM(M1767:N1767)</f>
        <v>12155804.234886058</v>
      </c>
      <c r="P1767" s="8">
        <f>VLOOKUP(F1767,'LEAID Match'!$A$2:$B$436,2,FALSE)</f>
        <v>1800630</v>
      </c>
      <c r="Q1767" s="6">
        <f>COUNTIF($P$2:$P$3691,P1767)</f>
        <v>9</v>
      </c>
    </row>
    <row r="1768" spans="1:17" x14ac:dyDescent="0.2">
      <c r="A1768" s="16">
        <f>P1768</f>
        <v>1800630</v>
      </c>
      <c r="B1768">
        <v>2016</v>
      </c>
      <c r="C1768" t="s">
        <v>904</v>
      </c>
      <c r="D1768" t="s">
        <v>906</v>
      </c>
      <c r="E1768" t="s">
        <v>2674</v>
      </c>
      <c r="F1768" t="s">
        <v>729</v>
      </c>
      <c r="G1768" t="s">
        <v>202</v>
      </c>
      <c r="H1768" s="6">
        <v>2595574</v>
      </c>
      <c r="I1768" s="6">
        <v>1.2043782138679657E-2</v>
      </c>
      <c r="J1768" s="6">
        <v>60797.012236054914</v>
      </c>
      <c r="K1768" s="6">
        <v>10688856.648078199</v>
      </c>
      <c r="M1768" s="6">
        <f>SUM(H1768,J1768)</f>
        <v>2656371.012236055</v>
      </c>
      <c r="N1768" s="6">
        <f>K1768</f>
        <v>10688856.648078199</v>
      </c>
      <c r="O1768" s="6">
        <f>SUM(M1768:N1768)</f>
        <v>13345227.660314254</v>
      </c>
      <c r="P1768" s="8">
        <f>VLOOKUP(F1768,'LEAID Match'!$A$2:$B$436,2,FALSE)</f>
        <v>1800630</v>
      </c>
      <c r="Q1768" s="6">
        <f>COUNTIF($P$2:$P$3691,P1768)</f>
        <v>9</v>
      </c>
    </row>
    <row r="1769" spans="1:17" x14ac:dyDescent="0.2">
      <c r="A1769" s="16">
        <f>P1769</f>
        <v>1800630</v>
      </c>
      <c r="B1769">
        <v>2017</v>
      </c>
      <c r="C1769" t="s">
        <v>904</v>
      </c>
      <c r="D1769" t="s">
        <v>906</v>
      </c>
      <c r="E1769" t="s">
        <v>2675</v>
      </c>
      <c r="F1769" t="s">
        <v>729</v>
      </c>
      <c r="G1769" t="s">
        <v>202</v>
      </c>
      <c r="H1769" s="6">
        <v>3014348</v>
      </c>
      <c r="I1769" s="6">
        <v>1.3273463800470224E-2</v>
      </c>
      <c r="J1769" s="6">
        <v>60062.423697127764</v>
      </c>
      <c r="K1769" s="6">
        <v>11561186.9702095</v>
      </c>
      <c r="M1769" s="6">
        <f>SUM(H1769,J1769)</f>
        <v>3074410.423697128</v>
      </c>
      <c r="N1769" s="6">
        <f>K1769</f>
        <v>11561186.9702095</v>
      </c>
      <c r="O1769" s="6">
        <f>SUM(M1769:N1769)</f>
        <v>14635597.393906627</v>
      </c>
      <c r="P1769" s="8">
        <f>VLOOKUP(F1769,'LEAID Match'!$A$2:$B$436,2,FALSE)</f>
        <v>1800630</v>
      </c>
      <c r="Q1769" s="6">
        <f>COUNTIF($P$2:$P$3691,P1769)</f>
        <v>9</v>
      </c>
    </row>
    <row r="1770" spans="1:17" x14ac:dyDescent="0.2">
      <c r="A1770" s="16">
        <f>P1770</f>
        <v>1800630</v>
      </c>
      <c r="B1770">
        <v>2018</v>
      </c>
      <c r="C1770" t="s">
        <v>904</v>
      </c>
      <c r="D1770" t="s">
        <v>906</v>
      </c>
      <c r="E1770" t="s">
        <v>2676</v>
      </c>
      <c r="F1770" t="s">
        <v>729</v>
      </c>
      <c r="G1770" t="s">
        <v>202</v>
      </c>
      <c r="H1770" s="6">
        <v>3008299</v>
      </c>
      <c r="I1770" s="6">
        <v>1.2762319893646817E-2</v>
      </c>
      <c r="J1770" s="6">
        <v>53193.349316719934</v>
      </c>
      <c r="K1770" s="6">
        <v>9341101</v>
      </c>
      <c r="M1770" s="6">
        <f>SUM(H1770,J1770)</f>
        <v>3061492.3493167199</v>
      </c>
      <c r="N1770" s="6">
        <f>K1770</f>
        <v>9341101</v>
      </c>
      <c r="O1770" s="6">
        <f>SUM(M1770:N1770)</f>
        <v>12402593.34931672</v>
      </c>
      <c r="P1770" s="8">
        <f>VLOOKUP(F1770,'LEAID Match'!$A$2:$B$436,2,FALSE)</f>
        <v>1800630</v>
      </c>
      <c r="Q1770" s="6">
        <f>COUNTIF($P$2:$P$3691,P1770)</f>
        <v>9</v>
      </c>
    </row>
    <row r="1771" spans="1:17" x14ac:dyDescent="0.2">
      <c r="A1771" s="16">
        <f>P1771</f>
        <v>1800630</v>
      </c>
      <c r="B1771">
        <v>2019</v>
      </c>
      <c r="C1771" t="s">
        <v>904</v>
      </c>
      <c r="D1771" t="s">
        <v>906</v>
      </c>
      <c r="E1771" t="s">
        <v>2677</v>
      </c>
      <c r="F1771" t="s">
        <v>729</v>
      </c>
      <c r="G1771" t="s">
        <v>202</v>
      </c>
      <c r="H1771" s="6">
        <v>3143657</v>
      </c>
      <c r="I1771" s="6">
        <v>7.997446358595995E-3</v>
      </c>
      <c r="J1771" s="6">
        <v>28031.049486878961</v>
      </c>
      <c r="K1771" s="6">
        <v>7548789.61787875</v>
      </c>
      <c r="M1771" s="6">
        <f>SUM(H1771,J1771)</f>
        <v>3171688.0494868788</v>
      </c>
      <c r="N1771" s="6">
        <f>K1771</f>
        <v>7548789.61787875</v>
      </c>
      <c r="O1771" s="6">
        <f>SUM(M1771:N1771)</f>
        <v>10720477.667365629</v>
      </c>
      <c r="P1771" s="8">
        <f>VLOOKUP(F1771,'LEAID Match'!$A$2:$B$436,2,FALSE)</f>
        <v>1800630</v>
      </c>
      <c r="Q1771" s="6">
        <f>COUNTIF($P$2:$P$3691,P1771)</f>
        <v>9</v>
      </c>
    </row>
    <row r="1772" spans="1:17" x14ac:dyDescent="0.2">
      <c r="A1772" s="16">
        <f>P1772</f>
        <v>1800630</v>
      </c>
      <c r="B1772">
        <v>2020</v>
      </c>
      <c r="C1772" t="s">
        <v>904</v>
      </c>
      <c r="D1772" t="s">
        <v>906</v>
      </c>
      <c r="E1772" t="s">
        <v>2678</v>
      </c>
      <c r="F1772" t="s">
        <v>729</v>
      </c>
      <c r="G1772" t="s">
        <v>202</v>
      </c>
      <c r="H1772" s="6">
        <v>2435824</v>
      </c>
      <c r="I1772" s="6">
        <v>1.2906719398275361E-2</v>
      </c>
      <c r="J1772" s="6">
        <v>30408.230902336752</v>
      </c>
      <c r="K1772" s="6">
        <v>9960998</v>
      </c>
      <c r="M1772" s="6">
        <f>SUM(H1772,J1772)</f>
        <v>2466232.2309023365</v>
      </c>
      <c r="N1772" s="6">
        <f>K1772</f>
        <v>9960998</v>
      </c>
      <c r="O1772" s="6">
        <f>SUM(M1772:N1772)</f>
        <v>12427230.230902337</v>
      </c>
      <c r="P1772" s="8">
        <f>VLOOKUP(F1772,'LEAID Match'!$A$2:$B$436,2,FALSE)</f>
        <v>1800630</v>
      </c>
      <c r="Q1772" s="6">
        <f>COUNTIF($P$2:$P$3691,P1772)</f>
        <v>9</v>
      </c>
    </row>
    <row r="1773" spans="1:17" x14ac:dyDescent="0.2">
      <c r="A1773" s="16">
        <f>P1773</f>
        <v>1800630</v>
      </c>
      <c r="B1773">
        <v>2021</v>
      </c>
      <c r="C1773" t="s">
        <v>904</v>
      </c>
      <c r="D1773" t="s">
        <v>906</v>
      </c>
      <c r="E1773" t="s">
        <v>2679</v>
      </c>
      <c r="F1773" t="s">
        <v>729</v>
      </c>
      <c r="G1773" t="s">
        <v>202</v>
      </c>
      <c r="H1773" s="6">
        <v>2521731</v>
      </c>
      <c r="I1773" s="6">
        <v>1.2457585658285596E-2</v>
      </c>
      <c r="J1773" s="6">
        <v>28079.398073775734</v>
      </c>
      <c r="K1773" s="6">
        <v>16104747</v>
      </c>
      <c r="M1773" s="6">
        <f>SUM(H1773,J1773)</f>
        <v>2549810.3980737757</v>
      </c>
      <c r="N1773" s="6">
        <f>K1773</f>
        <v>16104747</v>
      </c>
      <c r="O1773" s="6">
        <f>SUM(M1773:N1773)</f>
        <v>18654557.398073778</v>
      </c>
      <c r="P1773" s="8">
        <f>VLOOKUP(F1773,'LEAID Match'!$A$2:$B$436,2,FALSE)</f>
        <v>1800630</v>
      </c>
      <c r="Q1773" s="6">
        <f>COUNTIF($P$2:$P$3691,P1773)</f>
        <v>9</v>
      </c>
    </row>
    <row r="1774" spans="1:17" x14ac:dyDescent="0.2">
      <c r="A1774" s="16">
        <f>P1774</f>
        <v>1800630</v>
      </c>
      <c r="B1774">
        <v>2022</v>
      </c>
      <c r="C1774" t="s">
        <v>904</v>
      </c>
      <c r="D1774" t="s">
        <v>906</v>
      </c>
      <c r="E1774" t="s">
        <v>2680</v>
      </c>
      <c r="F1774" t="s">
        <v>729</v>
      </c>
      <c r="G1774" t="s">
        <v>202</v>
      </c>
      <c r="H1774" s="6">
        <v>2645895</v>
      </c>
      <c r="I1774" s="6">
        <v>1.2563201202590125E-2</v>
      </c>
      <c r="J1774" s="6">
        <v>27701.858651711224</v>
      </c>
      <c r="K1774" s="6">
        <v>15589996</v>
      </c>
      <c r="M1774" s="6">
        <f>SUM(H1774,J1774)</f>
        <v>2673596.8586517111</v>
      </c>
      <c r="N1774" s="6">
        <f>K1774</f>
        <v>15589996</v>
      </c>
      <c r="O1774" s="6">
        <f>SUM(M1774:N1774)</f>
        <v>18263592.858651713</v>
      </c>
      <c r="P1774" s="8">
        <f>VLOOKUP(F1774,'LEAID Match'!$A$2:$B$436,2,FALSE)</f>
        <v>1800630</v>
      </c>
      <c r="Q1774" s="6">
        <f>COUNTIF($P$2:$P$3691,P1774)</f>
        <v>9</v>
      </c>
    </row>
    <row r="1775" spans="1:17" x14ac:dyDescent="0.2">
      <c r="A1775" s="16">
        <f>P1775</f>
        <v>1800630</v>
      </c>
      <c r="B1775">
        <v>2023</v>
      </c>
      <c r="C1775" t="s">
        <v>904</v>
      </c>
      <c r="D1775" t="s">
        <v>906</v>
      </c>
      <c r="E1775" t="s">
        <v>2681</v>
      </c>
      <c r="F1775" t="s">
        <v>729</v>
      </c>
      <c r="G1775" t="s">
        <v>202</v>
      </c>
      <c r="H1775" s="6">
        <v>3176270</v>
      </c>
      <c r="I1775" s="6">
        <v>1.2989199090434224E-2</v>
      </c>
      <c r="J1775" s="6">
        <v>32044.354156101232</v>
      </c>
      <c r="K1775" s="6">
        <v>44014355</v>
      </c>
      <c r="M1775" s="6">
        <f>SUM(H1775,J1775)</f>
        <v>3208314.3541561011</v>
      </c>
      <c r="N1775" s="6">
        <f>K1775</f>
        <v>44014355</v>
      </c>
      <c r="O1775" s="6">
        <f>SUM(M1775:N1775)</f>
        <v>47222669.354156099</v>
      </c>
      <c r="P1775" s="8">
        <f>VLOOKUP(F1775,'LEAID Match'!$A$2:$B$436,2,FALSE)</f>
        <v>1800630</v>
      </c>
      <c r="Q1775" s="6">
        <f>COUNTIF($P$2:$P$3691,P1775)</f>
        <v>9</v>
      </c>
    </row>
    <row r="1776" spans="1:17" x14ac:dyDescent="0.2">
      <c r="A1776" s="16">
        <f>P1776</f>
        <v>1802460</v>
      </c>
      <c r="B1776">
        <v>2015</v>
      </c>
      <c r="C1776" t="s">
        <v>904</v>
      </c>
      <c r="D1776" t="s">
        <v>906</v>
      </c>
      <c r="E1776" t="s">
        <v>2682</v>
      </c>
      <c r="F1776" t="s">
        <v>730</v>
      </c>
      <c r="G1776" t="s">
        <v>203</v>
      </c>
      <c r="H1776" s="6">
        <v>545183</v>
      </c>
      <c r="I1776" s="6">
        <v>2.6510652221768422E-3</v>
      </c>
      <c r="J1776" s="6">
        <v>15405.340006069629</v>
      </c>
      <c r="K1776" s="6">
        <v>2241783.1689162902</v>
      </c>
      <c r="M1776" s="6">
        <f>SUM(H1776,J1776)</f>
        <v>560588.34000606963</v>
      </c>
      <c r="N1776" s="6">
        <f>K1776</f>
        <v>2241783.1689162902</v>
      </c>
      <c r="O1776" s="6">
        <f>SUM(M1776:N1776)</f>
        <v>2802371.5089223599</v>
      </c>
      <c r="P1776" s="8">
        <f>VLOOKUP(F1776,'LEAID Match'!$A$2:$B$436,2,FALSE)</f>
        <v>1802460</v>
      </c>
      <c r="Q1776" s="6">
        <f>COUNTIF($P$2:$P$3691,P1776)</f>
        <v>9</v>
      </c>
    </row>
    <row r="1777" spans="1:17" x14ac:dyDescent="0.2">
      <c r="A1777" s="16">
        <f>P1777</f>
        <v>1802460</v>
      </c>
      <c r="B1777">
        <v>2016</v>
      </c>
      <c r="C1777" t="s">
        <v>904</v>
      </c>
      <c r="D1777" t="s">
        <v>906</v>
      </c>
      <c r="E1777" t="s">
        <v>2683</v>
      </c>
      <c r="F1777" t="s">
        <v>730</v>
      </c>
      <c r="G1777" t="s">
        <v>203</v>
      </c>
      <c r="H1777" s="6">
        <v>558233</v>
      </c>
      <c r="I1777" s="6">
        <v>2.5902696800867786E-3</v>
      </c>
      <c r="J1777" s="6">
        <v>13075.681345078059</v>
      </c>
      <c r="K1777" s="6">
        <v>2298864.3410770101</v>
      </c>
      <c r="M1777" s="6">
        <f>SUM(H1777,J1777)</f>
        <v>571308.68134507805</v>
      </c>
      <c r="N1777" s="6">
        <f>K1777</f>
        <v>2298864.3410770101</v>
      </c>
      <c r="O1777" s="6">
        <f>SUM(M1777:N1777)</f>
        <v>2870173.0224220883</v>
      </c>
      <c r="P1777" s="8">
        <f>VLOOKUP(F1777,'LEAID Match'!$A$2:$B$436,2,FALSE)</f>
        <v>1802460</v>
      </c>
      <c r="Q1777" s="6">
        <f>COUNTIF($P$2:$P$3691,P1777)</f>
        <v>9</v>
      </c>
    </row>
    <row r="1778" spans="1:17" x14ac:dyDescent="0.2">
      <c r="A1778" s="16">
        <f>P1778</f>
        <v>1802460</v>
      </c>
      <c r="B1778">
        <v>2017</v>
      </c>
      <c r="C1778" t="s">
        <v>904</v>
      </c>
      <c r="D1778" t="s">
        <v>906</v>
      </c>
      <c r="E1778" t="s">
        <v>2684</v>
      </c>
      <c r="F1778" t="s">
        <v>730</v>
      </c>
      <c r="G1778" t="s">
        <v>203</v>
      </c>
      <c r="H1778" s="6">
        <v>582957</v>
      </c>
      <c r="I1778" s="6">
        <v>2.567009063562243E-3</v>
      </c>
      <c r="J1778" s="6">
        <v>11615.71601261915</v>
      </c>
      <c r="K1778" s="6">
        <v>2235864.89436271</v>
      </c>
      <c r="M1778" s="6">
        <f>SUM(H1778,J1778)</f>
        <v>594572.7160126192</v>
      </c>
      <c r="N1778" s="6">
        <f>K1778</f>
        <v>2235864.89436271</v>
      </c>
      <c r="O1778" s="6">
        <f>SUM(M1778:N1778)</f>
        <v>2830437.6103753289</v>
      </c>
      <c r="P1778" s="8">
        <f>VLOOKUP(F1778,'LEAID Match'!$A$2:$B$436,2,FALSE)</f>
        <v>1802460</v>
      </c>
      <c r="Q1778" s="6">
        <f>COUNTIF($P$2:$P$3691,P1778)</f>
        <v>9</v>
      </c>
    </row>
    <row r="1779" spans="1:17" x14ac:dyDescent="0.2">
      <c r="A1779" s="16">
        <f>P1779</f>
        <v>1802460</v>
      </c>
      <c r="B1779">
        <v>2018</v>
      </c>
      <c r="C1779" t="s">
        <v>904</v>
      </c>
      <c r="D1779" t="s">
        <v>906</v>
      </c>
      <c r="E1779" t="s">
        <v>2685</v>
      </c>
      <c r="F1779" t="s">
        <v>730</v>
      </c>
      <c r="G1779" t="s">
        <v>203</v>
      </c>
      <c r="H1779" s="6">
        <v>568118</v>
      </c>
      <c r="I1779" s="6">
        <v>2.4101672251790273E-3</v>
      </c>
      <c r="J1779" s="6">
        <v>10045.576994546185</v>
      </c>
      <c r="K1779" s="6">
        <v>2578565</v>
      </c>
      <c r="M1779" s="6">
        <f>SUM(H1779,J1779)</f>
        <v>578163.57699454622</v>
      </c>
      <c r="N1779" s="6">
        <f>K1779</f>
        <v>2578565</v>
      </c>
      <c r="O1779" s="6">
        <f>SUM(M1779:N1779)</f>
        <v>3156728.5769945462</v>
      </c>
      <c r="P1779" s="8">
        <f>VLOOKUP(F1779,'LEAID Match'!$A$2:$B$436,2,FALSE)</f>
        <v>1802460</v>
      </c>
      <c r="Q1779" s="6">
        <f>COUNTIF($P$2:$P$3691,P1779)</f>
        <v>9</v>
      </c>
    </row>
    <row r="1780" spans="1:17" x14ac:dyDescent="0.2">
      <c r="A1780" s="16">
        <f>P1780</f>
        <v>1802460</v>
      </c>
      <c r="B1780">
        <v>2019</v>
      </c>
      <c r="C1780" t="s">
        <v>904</v>
      </c>
      <c r="D1780" t="s">
        <v>906</v>
      </c>
      <c r="E1780" t="s">
        <v>2686</v>
      </c>
      <c r="F1780" t="s">
        <v>730</v>
      </c>
      <c r="G1780" t="s">
        <v>203</v>
      </c>
      <c r="H1780" s="6">
        <v>605254</v>
      </c>
      <c r="I1780" s="6">
        <v>1.5397628934472371E-3</v>
      </c>
      <c r="J1780" s="6">
        <v>5396.8689415325662</v>
      </c>
      <c r="K1780" s="6">
        <v>1453382.1951248399</v>
      </c>
      <c r="M1780" s="6">
        <f>SUM(H1780,J1780)</f>
        <v>610650.86894153256</v>
      </c>
      <c r="N1780" s="6">
        <f>K1780</f>
        <v>1453382.1951248399</v>
      </c>
      <c r="O1780" s="6">
        <f>SUM(M1780:N1780)</f>
        <v>2064033.0640663723</v>
      </c>
      <c r="P1780" s="8">
        <f>VLOOKUP(F1780,'LEAID Match'!$A$2:$B$436,2,FALSE)</f>
        <v>1802460</v>
      </c>
      <c r="Q1780" s="6">
        <f>COUNTIF($P$2:$P$3691,P1780)</f>
        <v>9</v>
      </c>
    </row>
    <row r="1781" spans="1:17" x14ac:dyDescent="0.2">
      <c r="A1781" s="16">
        <f>P1781</f>
        <v>1802460</v>
      </c>
      <c r="B1781">
        <v>2020</v>
      </c>
      <c r="C1781" t="s">
        <v>904</v>
      </c>
      <c r="D1781" t="s">
        <v>906</v>
      </c>
      <c r="E1781" t="s">
        <v>2687</v>
      </c>
      <c r="F1781" t="s">
        <v>730</v>
      </c>
      <c r="G1781" t="s">
        <v>203</v>
      </c>
      <c r="H1781" s="6">
        <v>476459</v>
      </c>
      <c r="I1781" s="6">
        <v>2.5246169747005043E-3</v>
      </c>
      <c r="J1781" s="6">
        <v>5947.9975923943884</v>
      </c>
      <c r="K1781" s="6">
        <v>2795986</v>
      </c>
      <c r="M1781" s="6">
        <f>SUM(H1781,J1781)</f>
        <v>482406.99759239441</v>
      </c>
      <c r="N1781" s="6">
        <f>K1781</f>
        <v>2795986</v>
      </c>
      <c r="O1781" s="6">
        <f>SUM(M1781:N1781)</f>
        <v>3278392.9975923942</v>
      </c>
      <c r="P1781" s="8">
        <f>VLOOKUP(F1781,'LEAID Match'!$A$2:$B$436,2,FALSE)</f>
        <v>1802460</v>
      </c>
      <c r="Q1781" s="6">
        <f>COUNTIF($P$2:$P$3691,P1781)</f>
        <v>9</v>
      </c>
    </row>
    <row r="1782" spans="1:17" x14ac:dyDescent="0.2">
      <c r="A1782" s="16">
        <f>P1782</f>
        <v>1802460</v>
      </c>
      <c r="B1782">
        <v>2021</v>
      </c>
      <c r="C1782" t="s">
        <v>904</v>
      </c>
      <c r="D1782" t="s">
        <v>906</v>
      </c>
      <c r="E1782" t="s">
        <v>2688</v>
      </c>
      <c r="F1782" t="s">
        <v>730</v>
      </c>
      <c r="G1782" t="s">
        <v>203</v>
      </c>
      <c r="H1782" s="6">
        <v>493520</v>
      </c>
      <c r="I1782" s="6">
        <v>2.4380346968320998E-3</v>
      </c>
      <c r="J1782" s="6">
        <v>5495.3302066595525</v>
      </c>
      <c r="K1782" s="6">
        <v>4782338</v>
      </c>
      <c r="M1782" s="6">
        <f>SUM(H1782,J1782)</f>
        <v>499015.33020665956</v>
      </c>
      <c r="N1782" s="6">
        <f>K1782</f>
        <v>4782338</v>
      </c>
      <c r="O1782" s="6">
        <f>SUM(M1782:N1782)</f>
        <v>5281353.3302066596</v>
      </c>
      <c r="P1782" s="8">
        <f>VLOOKUP(F1782,'LEAID Match'!$A$2:$B$436,2,FALSE)</f>
        <v>1802460</v>
      </c>
      <c r="Q1782" s="6">
        <f>COUNTIF($P$2:$P$3691,P1782)</f>
        <v>9</v>
      </c>
    </row>
    <row r="1783" spans="1:17" x14ac:dyDescent="0.2">
      <c r="A1783" s="16">
        <f>P1783</f>
        <v>1802460</v>
      </c>
      <c r="B1783">
        <v>2022</v>
      </c>
      <c r="C1783" t="s">
        <v>904</v>
      </c>
      <c r="D1783" t="s">
        <v>906</v>
      </c>
      <c r="E1783" t="s">
        <v>2689</v>
      </c>
      <c r="F1783" t="s">
        <v>730</v>
      </c>
      <c r="G1783" t="s">
        <v>203</v>
      </c>
      <c r="H1783" s="6">
        <v>547025</v>
      </c>
      <c r="I1783" s="6">
        <v>2.5973763652173886E-3</v>
      </c>
      <c r="J1783" s="6">
        <v>5727.2148853043418</v>
      </c>
      <c r="K1783" s="6">
        <v>4530299</v>
      </c>
      <c r="M1783" s="6">
        <f>SUM(H1783,J1783)</f>
        <v>552752.21488530433</v>
      </c>
      <c r="N1783" s="6">
        <f>K1783</f>
        <v>4530299</v>
      </c>
      <c r="O1783" s="6">
        <f>SUM(M1783:N1783)</f>
        <v>5083051.2148853047</v>
      </c>
      <c r="P1783" s="8">
        <f>VLOOKUP(F1783,'LEAID Match'!$A$2:$B$436,2,FALSE)</f>
        <v>1802460</v>
      </c>
      <c r="Q1783" s="6">
        <f>COUNTIF($P$2:$P$3691,P1783)</f>
        <v>9</v>
      </c>
    </row>
    <row r="1784" spans="1:17" x14ac:dyDescent="0.2">
      <c r="A1784" s="16">
        <f>P1784</f>
        <v>1802460</v>
      </c>
      <c r="B1784">
        <v>2023</v>
      </c>
      <c r="C1784" t="s">
        <v>904</v>
      </c>
      <c r="D1784" t="s">
        <v>906</v>
      </c>
      <c r="E1784" t="s">
        <v>2690</v>
      </c>
      <c r="F1784" t="s">
        <v>730</v>
      </c>
      <c r="G1784" t="s">
        <v>203</v>
      </c>
      <c r="H1784" s="6">
        <v>590275</v>
      </c>
      <c r="I1784" s="6">
        <v>2.4139004219118844E-3</v>
      </c>
      <c r="J1784" s="6">
        <v>5955.0923408566186</v>
      </c>
      <c r="K1784" s="6">
        <v>12964182</v>
      </c>
      <c r="M1784" s="6">
        <f>SUM(H1784,J1784)</f>
        <v>596230.09234085667</v>
      </c>
      <c r="N1784" s="6">
        <f>K1784</f>
        <v>12964182</v>
      </c>
      <c r="O1784" s="6">
        <f>SUM(M1784:N1784)</f>
        <v>13560412.092340857</v>
      </c>
      <c r="P1784" s="8">
        <f>VLOOKUP(F1784,'LEAID Match'!$A$2:$B$436,2,FALSE)</f>
        <v>1802460</v>
      </c>
      <c r="Q1784" s="6">
        <f>COUNTIF($P$2:$P$3691,P1784)</f>
        <v>9</v>
      </c>
    </row>
    <row r="1785" spans="1:17" x14ac:dyDescent="0.2">
      <c r="A1785" s="16">
        <f>P1785</f>
        <v>1810450</v>
      </c>
      <c r="B1785">
        <v>2015</v>
      </c>
      <c r="C1785" t="s">
        <v>904</v>
      </c>
      <c r="D1785" t="s">
        <v>906</v>
      </c>
      <c r="E1785" t="s">
        <v>2691</v>
      </c>
      <c r="F1785" t="s">
        <v>731</v>
      </c>
      <c r="G1785" t="s">
        <v>204</v>
      </c>
      <c r="H1785" s="6">
        <v>283504</v>
      </c>
      <c r="I1785" s="6">
        <v>1.3785969018623536E-3</v>
      </c>
      <c r="J1785" s="6">
        <v>8011.0265967221367</v>
      </c>
      <c r="K1785" s="6">
        <v>1165763.5977652301</v>
      </c>
      <c r="M1785" s="6">
        <f>SUM(H1785,J1785)</f>
        <v>291515.02659672213</v>
      </c>
      <c r="N1785" s="6">
        <f>K1785</f>
        <v>1165763.5977652301</v>
      </c>
      <c r="O1785" s="6">
        <f>SUM(M1785:N1785)</f>
        <v>1457278.6243619523</v>
      </c>
      <c r="P1785" s="8">
        <f>VLOOKUP(F1785,'LEAID Match'!$A$2:$B$436,2,FALSE)</f>
        <v>1810450</v>
      </c>
      <c r="Q1785" s="6">
        <f>COUNTIF($P$2:$P$3691,P1785)</f>
        <v>9</v>
      </c>
    </row>
    <row r="1786" spans="1:17" x14ac:dyDescent="0.2">
      <c r="A1786" s="16">
        <f>P1786</f>
        <v>1810450</v>
      </c>
      <c r="B1786">
        <v>2016</v>
      </c>
      <c r="C1786" t="s">
        <v>904</v>
      </c>
      <c r="D1786" t="s">
        <v>906</v>
      </c>
      <c r="E1786" t="s">
        <v>2692</v>
      </c>
      <c r="F1786" t="s">
        <v>731</v>
      </c>
      <c r="G1786" t="s">
        <v>204</v>
      </c>
      <c r="H1786" s="6">
        <v>283602</v>
      </c>
      <c r="I1786" s="6">
        <v>1.3159481109357037E-3</v>
      </c>
      <c r="J1786" s="6">
        <v>6642.9060640034322</v>
      </c>
      <c r="K1786" s="6">
        <v>1167903.9484554301</v>
      </c>
      <c r="M1786" s="6">
        <f>SUM(H1786,J1786)</f>
        <v>290244.90606400341</v>
      </c>
      <c r="N1786" s="6">
        <f>K1786</f>
        <v>1167903.9484554301</v>
      </c>
      <c r="O1786" s="6">
        <f>SUM(M1786:N1786)</f>
        <v>1458148.8545194336</v>
      </c>
      <c r="P1786" s="8">
        <f>VLOOKUP(F1786,'LEAID Match'!$A$2:$B$436,2,FALSE)</f>
        <v>1810450</v>
      </c>
      <c r="Q1786" s="6">
        <f>COUNTIF($P$2:$P$3691,P1786)</f>
        <v>9</v>
      </c>
    </row>
    <row r="1787" spans="1:17" x14ac:dyDescent="0.2">
      <c r="A1787" s="16">
        <f>P1787</f>
        <v>1810450</v>
      </c>
      <c r="B1787">
        <v>2017</v>
      </c>
      <c r="C1787" t="s">
        <v>904</v>
      </c>
      <c r="D1787" t="s">
        <v>906</v>
      </c>
      <c r="E1787" t="s">
        <v>2693</v>
      </c>
      <c r="F1787" t="s">
        <v>731</v>
      </c>
      <c r="G1787" t="s">
        <v>204</v>
      </c>
      <c r="H1787" s="6">
        <v>304160</v>
      </c>
      <c r="I1787" s="6">
        <v>1.3393466015042136E-3</v>
      </c>
      <c r="J1787" s="6">
        <v>6060.543371806566</v>
      </c>
      <c r="K1787" s="6">
        <v>1166570.8899101701</v>
      </c>
      <c r="M1787" s="6">
        <f>SUM(H1787,J1787)</f>
        <v>310220.54337180656</v>
      </c>
      <c r="N1787" s="6">
        <f>K1787</f>
        <v>1166570.8899101701</v>
      </c>
      <c r="O1787" s="6">
        <f>SUM(M1787:N1787)</f>
        <v>1476791.4332819767</v>
      </c>
      <c r="P1787" s="8">
        <f>VLOOKUP(F1787,'LEAID Match'!$A$2:$B$436,2,FALSE)</f>
        <v>1810450</v>
      </c>
      <c r="Q1787" s="6">
        <f>COUNTIF($P$2:$P$3691,P1787)</f>
        <v>9</v>
      </c>
    </row>
    <row r="1788" spans="1:17" x14ac:dyDescent="0.2">
      <c r="A1788" s="16">
        <f>P1788</f>
        <v>1810450</v>
      </c>
      <c r="B1788">
        <v>2018</v>
      </c>
      <c r="C1788" t="s">
        <v>904</v>
      </c>
      <c r="D1788" t="s">
        <v>906</v>
      </c>
      <c r="E1788" t="s">
        <v>2694</v>
      </c>
      <c r="F1788" t="s">
        <v>731</v>
      </c>
      <c r="G1788" t="s">
        <v>204</v>
      </c>
      <c r="H1788" s="6">
        <v>323831</v>
      </c>
      <c r="I1788" s="6">
        <v>1.3738111848189101E-3</v>
      </c>
      <c r="J1788" s="6">
        <v>5726.0450183252178</v>
      </c>
      <c r="K1788" s="6">
        <v>1850395</v>
      </c>
      <c r="M1788" s="6">
        <f>SUM(H1788,J1788)</f>
        <v>329557.04501832521</v>
      </c>
      <c r="N1788" s="6">
        <f>K1788</f>
        <v>1850395</v>
      </c>
      <c r="O1788" s="6">
        <f>SUM(M1788:N1788)</f>
        <v>2179952.0450183251</v>
      </c>
      <c r="P1788" s="8">
        <f>VLOOKUP(F1788,'LEAID Match'!$A$2:$B$436,2,FALSE)</f>
        <v>1810450</v>
      </c>
      <c r="Q1788" s="6">
        <f>COUNTIF($P$2:$P$3691,P1788)</f>
        <v>9</v>
      </c>
    </row>
    <row r="1789" spans="1:17" x14ac:dyDescent="0.2">
      <c r="A1789" s="16">
        <f>P1789</f>
        <v>1810450</v>
      </c>
      <c r="B1789">
        <v>2019</v>
      </c>
      <c r="C1789" t="s">
        <v>904</v>
      </c>
      <c r="D1789" t="s">
        <v>906</v>
      </c>
      <c r="E1789" t="s">
        <v>2695</v>
      </c>
      <c r="F1789" t="s">
        <v>731</v>
      </c>
      <c r="G1789" t="s">
        <v>204</v>
      </c>
      <c r="H1789" s="6">
        <v>334317</v>
      </c>
      <c r="I1789" s="6">
        <v>8.5050063485511858E-4</v>
      </c>
      <c r="J1789" s="6">
        <v>2981.0047251671908</v>
      </c>
      <c r="K1789" s="6">
        <v>802787.54923974595</v>
      </c>
      <c r="M1789" s="6">
        <f>SUM(H1789,J1789)</f>
        <v>337298.00472516718</v>
      </c>
      <c r="N1789" s="6">
        <f>K1789</f>
        <v>802787.54923974595</v>
      </c>
      <c r="O1789" s="6">
        <f>SUM(M1789:N1789)</f>
        <v>1140085.5539649131</v>
      </c>
      <c r="P1789" s="8">
        <f>VLOOKUP(F1789,'LEAID Match'!$A$2:$B$436,2,FALSE)</f>
        <v>1810450</v>
      </c>
      <c r="Q1789" s="6">
        <f>COUNTIF($P$2:$P$3691,P1789)</f>
        <v>9</v>
      </c>
    </row>
    <row r="1790" spans="1:17" x14ac:dyDescent="0.2">
      <c r="A1790" s="16">
        <f>P1790</f>
        <v>1810450</v>
      </c>
      <c r="B1790">
        <v>2020</v>
      </c>
      <c r="C1790" t="s">
        <v>904</v>
      </c>
      <c r="D1790" t="s">
        <v>906</v>
      </c>
      <c r="E1790" t="s">
        <v>2696</v>
      </c>
      <c r="F1790" t="s">
        <v>731</v>
      </c>
      <c r="G1790" t="s">
        <v>204</v>
      </c>
      <c r="H1790" s="6">
        <v>257896</v>
      </c>
      <c r="I1790" s="6">
        <v>1.3665155224423533E-3</v>
      </c>
      <c r="J1790" s="6">
        <v>3219.5105708741844</v>
      </c>
      <c r="K1790" s="6">
        <v>2042873</v>
      </c>
      <c r="M1790" s="6">
        <f>SUM(H1790,J1790)</f>
        <v>261115.51057087418</v>
      </c>
      <c r="N1790" s="6">
        <f>K1790</f>
        <v>2042873</v>
      </c>
      <c r="O1790" s="6">
        <f>SUM(M1790:N1790)</f>
        <v>2303988.510570874</v>
      </c>
      <c r="P1790" s="8">
        <f>VLOOKUP(F1790,'LEAID Match'!$A$2:$B$436,2,FALSE)</f>
        <v>1810450</v>
      </c>
      <c r="Q1790" s="6">
        <f>COUNTIF($P$2:$P$3691,P1790)</f>
        <v>9</v>
      </c>
    </row>
    <row r="1791" spans="1:17" x14ac:dyDescent="0.2">
      <c r="A1791" s="16">
        <f>P1791</f>
        <v>1810450</v>
      </c>
      <c r="B1791">
        <v>2021</v>
      </c>
      <c r="C1791" t="s">
        <v>904</v>
      </c>
      <c r="D1791" t="s">
        <v>906</v>
      </c>
      <c r="E1791" t="s">
        <v>2697</v>
      </c>
      <c r="F1791" t="s">
        <v>731</v>
      </c>
      <c r="G1791" t="s">
        <v>204</v>
      </c>
      <c r="H1791" s="6">
        <v>266536</v>
      </c>
      <c r="I1791" s="6">
        <v>1.3167126275628962E-3</v>
      </c>
      <c r="J1791" s="6">
        <v>2967.8702625267679</v>
      </c>
      <c r="K1791" s="6">
        <v>3449773</v>
      </c>
      <c r="M1791" s="6">
        <f>SUM(H1791,J1791)</f>
        <v>269503.87026252679</v>
      </c>
      <c r="N1791" s="6">
        <f>K1791</f>
        <v>3449773</v>
      </c>
      <c r="O1791" s="6">
        <f>SUM(M1791:N1791)</f>
        <v>3719276.8702625269</v>
      </c>
      <c r="P1791" s="8">
        <f>VLOOKUP(F1791,'LEAID Match'!$A$2:$B$436,2,FALSE)</f>
        <v>1810450</v>
      </c>
      <c r="Q1791" s="6">
        <f>COUNTIF($P$2:$P$3691,P1791)</f>
        <v>9</v>
      </c>
    </row>
    <row r="1792" spans="1:17" x14ac:dyDescent="0.2">
      <c r="A1792" s="16">
        <f>P1792</f>
        <v>1810450</v>
      </c>
      <c r="B1792">
        <v>2022</v>
      </c>
      <c r="C1792" t="s">
        <v>904</v>
      </c>
      <c r="D1792" t="s">
        <v>906</v>
      </c>
      <c r="E1792" t="s">
        <v>2698</v>
      </c>
      <c r="F1792" t="s">
        <v>731</v>
      </c>
      <c r="G1792" t="s">
        <v>204</v>
      </c>
      <c r="H1792" s="6">
        <v>273816</v>
      </c>
      <c r="I1792" s="6">
        <v>1.300129257014514E-3</v>
      </c>
      <c r="J1792" s="6">
        <v>2866.7850117170033</v>
      </c>
      <c r="K1792" s="6">
        <v>3347491</v>
      </c>
      <c r="M1792" s="6">
        <f>SUM(H1792,J1792)</f>
        <v>276682.785011717</v>
      </c>
      <c r="N1792" s="6">
        <f>K1792</f>
        <v>3347491</v>
      </c>
      <c r="O1792" s="6">
        <f>SUM(M1792:N1792)</f>
        <v>3624173.7850117171</v>
      </c>
      <c r="P1792" s="8">
        <f>VLOOKUP(F1792,'LEAID Match'!$A$2:$B$436,2,FALSE)</f>
        <v>1810450</v>
      </c>
      <c r="Q1792" s="6">
        <f>COUNTIF($P$2:$P$3691,P1792)</f>
        <v>9</v>
      </c>
    </row>
    <row r="1793" spans="1:17" x14ac:dyDescent="0.2">
      <c r="A1793" s="16">
        <f>P1793</f>
        <v>1810450</v>
      </c>
      <c r="B1793">
        <v>2023</v>
      </c>
      <c r="C1793" t="s">
        <v>904</v>
      </c>
      <c r="D1793" t="s">
        <v>906</v>
      </c>
      <c r="E1793" t="s">
        <v>2699</v>
      </c>
      <c r="F1793" t="s">
        <v>731</v>
      </c>
      <c r="G1793" t="s">
        <v>204</v>
      </c>
      <c r="H1793" s="6">
        <v>362994</v>
      </c>
      <c r="I1793" s="6">
        <v>1.4844460120308036E-3</v>
      </c>
      <c r="J1793" s="6">
        <v>3662.1283116799923</v>
      </c>
      <c r="K1793" s="6">
        <v>10658648</v>
      </c>
      <c r="M1793" s="6">
        <f>SUM(H1793,J1793)</f>
        <v>366656.12831167999</v>
      </c>
      <c r="N1793" s="6">
        <f>K1793</f>
        <v>10658648</v>
      </c>
      <c r="O1793" s="6">
        <f>SUM(M1793:N1793)</f>
        <v>11025304.128311681</v>
      </c>
      <c r="P1793" s="8">
        <f>VLOOKUP(F1793,'LEAID Match'!$A$2:$B$436,2,FALSE)</f>
        <v>1810450</v>
      </c>
      <c r="Q1793" s="6">
        <f>COUNTIF($P$2:$P$3691,P1793)</f>
        <v>9</v>
      </c>
    </row>
    <row r="1794" spans="1:17" x14ac:dyDescent="0.2">
      <c r="A1794" s="16">
        <f>P1794</f>
        <v>1807900</v>
      </c>
      <c r="B1794">
        <v>2015</v>
      </c>
      <c r="C1794" t="s">
        <v>904</v>
      </c>
      <c r="D1794" t="s">
        <v>906</v>
      </c>
      <c r="E1794" t="s">
        <v>2700</v>
      </c>
      <c r="F1794" t="s">
        <v>732</v>
      </c>
      <c r="G1794" t="s">
        <v>205</v>
      </c>
      <c r="H1794" s="6">
        <v>426654</v>
      </c>
      <c r="I1794" s="6">
        <v>2.0746934172610637E-3</v>
      </c>
      <c r="J1794" s="6">
        <v>12056.043447704042</v>
      </c>
      <c r="K1794" s="6">
        <v>1754393.9487306301</v>
      </c>
      <c r="M1794" s="6">
        <f>SUM(H1794,J1794)</f>
        <v>438710.04344770405</v>
      </c>
      <c r="N1794" s="6">
        <f>K1794</f>
        <v>1754393.9487306301</v>
      </c>
      <c r="O1794" s="6">
        <f>SUM(M1794:N1794)</f>
        <v>2193103.9921783339</v>
      </c>
      <c r="P1794" s="8">
        <f>VLOOKUP(F1794,'LEAID Match'!$A$2:$B$436,2,FALSE)</f>
        <v>1807900</v>
      </c>
      <c r="Q1794" s="6">
        <f>COUNTIF($P$2:$P$3691,P1794)</f>
        <v>9</v>
      </c>
    </row>
    <row r="1795" spans="1:17" x14ac:dyDescent="0.2">
      <c r="A1795" s="16">
        <f>P1795</f>
        <v>1807900</v>
      </c>
      <c r="B1795">
        <v>2016</v>
      </c>
      <c r="C1795" t="s">
        <v>904</v>
      </c>
      <c r="D1795" t="s">
        <v>906</v>
      </c>
      <c r="E1795" t="s">
        <v>2701</v>
      </c>
      <c r="F1795" t="s">
        <v>732</v>
      </c>
      <c r="G1795" t="s">
        <v>205</v>
      </c>
      <c r="H1795" s="6">
        <v>440935</v>
      </c>
      <c r="I1795" s="6">
        <v>2.0459925539856364E-3</v>
      </c>
      <c r="J1795" s="6">
        <v>10328.170412519492</v>
      </c>
      <c r="K1795" s="6">
        <v>1815818.39166225</v>
      </c>
      <c r="M1795" s="6">
        <f>SUM(H1795,J1795)</f>
        <v>451263.17041251948</v>
      </c>
      <c r="N1795" s="6">
        <f>K1795</f>
        <v>1815818.39166225</v>
      </c>
      <c r="O1795" s="6">
        <f>SUM(M1795:N1795)</f>
        <v>2267081.5620747693</v>
      </c>
      <c r="P1795" s="8">
        <f>VLOOKUP(F1795,'LEAID Match'!$A$2:$B$436,2,FALSE)</f>
        <v>1807900</v>
      </c>
      <c r="Q1795" s="6">
        <f>COUNTIF($P$2:$P$3691,P1795)</f>
        <v>9</v>
      </c>
    </row>
    <row r="1796" spans="1:17" x14ac:dyDescent="0.2">
      <c r="A1796" s="16">
        <f>P1796</f>
        <v>1807900</v>
      </c>
      <c r="B1796">
        <v>2017</v>
      </c>
      <c r="C1796" t="s">
        <v>904</v>
      </c>
      <c r="D1796" t="s">
        <v>906</v>
      </c>
      <c r="E1796" t="s">
        <v>2702</v>
      </c>
      <c r="F1796" t="s">
        <v>732</v>
      </c>
      <c r="G1796" t="s">
        <v>205</v>
      </c>
      <c r="H1796" s="6">
        <v>465707</v>
      </c>
      <c r="I1796" s="6">
        <v>2.0507071532966954E-3</v>
      </c>
      <c r="J1796" s="6">
        <v>9279.449868667547</v>
      </c>
      <c r="K1796" s="6">
        <v>1786165.93052142</v>
      </c>
      <c r="M1796" s="6">
        <f>SUM(H1796,J1796)</f>
        <v>474986.44986866752</v>
      </c>
      <c r="N1796" s="6">
        <f>K1796</f>
        <v>1786165.93052142</v>
      </c>
      <c r="O1796" s="6">
        <f>SUM(M1796:N1796)</f>
        <v>2261152.3803900876</v>
      </c>
      <c r="P1796" s="8">
        <f>VLOOKUP(F1796,'LEAID Match'!$A$2:$B$436,2,FALSE)</f>
        <v>1807900</v>
      </c>
      <c r="Q1796" s="6">
        <f>COUNTIF($P$2:$P$3691,P1796)</f>
        <v>9</v>
      </c>
    </row>
    <row r="1797" spans="1:17" x14ac:dyDescent="0.2">
      <c r="A1797" s="16">
        <f>P1797</f>
        <v>1807900</v>
      </c>
      <c r="B1797">
        <v>2018</v>
      </c>
      <c r="C1797" t="s">
        <v>904</v>
      </c>
      <c r="D1797" t="s">
        <v>906</v>
      </c>
      <c r="E1797" t="s">
        <v>2703</v>
      </c>
      <c r="F1797" t="s">
        <v>732</v>
      </c>
      <c r="G1797" t="s">
        <v>205</v>
      </c>
      <c r="H1797" s="6">
        <v>480510</v>
      </c>
      <c r="I1797" s="6">
        <v>2.0385016024325481E-3</v>
      </c>
      <c r="J1797" s="6">
        <v>8496.474678938861</v>
      </c>
      <c r="K1797" s="6">
        <v>1585948</v>
      </c>
      <c r="M1797" s="6">
        <f>SUM(H1797,J1797)</f>
        <v>489006.47467893886</v>
      </c>
      <c r="N1797" s="6">
        <f>K1797</f>
        <v>1585948</v>
      </c>
      <c r="O1797" s="6">
        <f>SUM(M1797:N1797)</f>
        <v>2074954.4746789387</v>
      </c>
      <c r="P1797" s="8">
        <f>VLOOKUP(F1797,'LEAID Match'!$A$2:$B$436,2,FALSE)</f>
        <v>1807900</v>
      </c>
      <c r="Q1797" s="6">
        <f>COUNTIF($P$2:$P$3691,P1797)</f>
        <v>9</v>
      </c>
    </row>
    <row r="1798" spans="1:17" x14ac:dyDescent="0.2">
      <c r="A1798" s="16">
        <f>P1798</f>
        <v>1807900</v>
      </c>
      <c r="B1798">
        <v>2019</v>
      </c>
      <c r="C1798" t="s">
        <v>904</v>
      </c>
      <c r="D1798" t="s">
        <v>906</v>
      </c>
      <c r="E1798" t="s">
        <v>2704</v>
      </c>
      <c r="F1798" t="s">
        <v>732</v>
      </c>
      <c r="G1798" t="s">
        <v>205</v>
      </c>
      <c r="H1798" s="6">
        <v>491782</v>
      </c>
      <c r="I1798" s="6">
        <v>1.2510907408546975E-3</v>
      </c>
      <c r="J1798" s="6">
        <v>4385.0730466957148</v>
      </c>
      <c r="K1798" s="6">
        <v>1180904.5502927401</v>
      </c>
      <c r="M1798" s="6">
        <f>SUM(H1798,J1798)</f>
        <v>496167.07304669573</v>
      </c>
      <c r="N1798" s="6">
        <f>K1798</f>
        <v>1180904.5502927401</v>
      </c>
      <c r="O1798" s="6">
        <f>SUM(M1798:N1798)</f>
        <v>1677071.6233394358</v>
      </c>
      <c r="P1798" s="8">
        <f>VLOOKUP(F1798,'LEAID Match'!$A$2:$B$436,2,FALSE)</f>
        <v>1807900</v>
      </c>
      <c r="Q1798" s="6">
        <f>COUNTIF($P$2:$P$3691,P1798)</f>
        <v>9</v>
      </c>
    </row>
    <row r="1799" spans="1:17" x14ac:dyDescent="0.2">
      <c r="A1799" s="16">
        <f>P1799</f>
        <v>1807900</v>
      </c>
      <c r="B1799">
        <v>2020</v>
      </c>
      <c r="C1799" t="s">
        <v>904</v>
      </c>
      <c r="D1799" t="s">
        <v>906</v>
      </c>
      <c r="E1799" t="s">
        <v>2705</v>
      </c>
      <c r="F1799" t="s">
        <v>732</v>
      </c>
      <c r="G1799" t="s">
        <v>205</v>
      </c>
      <c r="H1799" s="6">
        <v>371087</v>
      </c>
      <c r="I1799" s="6">
        <v>1.9662815463464558E-3</v>
      </c>
      <c r="J1799" s="6">
        <v>4632.5593231922494</v>
      </c>
      <c r="K1799" s="6">
        <v>1666657</v>
      </c>
      <c r="M1799" s="6">
        <f>SUM(H1799,J1799)</f>
        <v>375719.55932319222</v>
      </c>
      <c r="N1799" s="6">
        <f>K1799</f>
        <v>1666657</v>
      </c>
      <c r="O1799" s="6">
        <f>SUM(M1799:N1799)</f>
        <v>2042376.5593231921</v>
      </c>
      <c r="P1799" s="8">
        <f>VLOOKUP(F1799,'LEAID Match'!$A$2:$B$436,2,FALSE)</f>
        <v>1807900</v>
      </c>
      <c r="Q1799" s="6">
        <f>COUNTIF($P$2:$P$3691,P1799)</f>
        <v>9</v>
      </c>
    </row>
    <row r="1800" spans="1:17" x14ac:dyDescent="0.2">
      <c r="A1800" s="16">
        <f>P1800</f>
        <v>1807900</v>
      </c>
      <c r="B1800">
        <v>2021</v>
      </c>
      <c r="C1800" t="s">
        <v>904</v>
      </c>
      <c r="D1800" t="s">
        <v>906</v>
      </c>
      <c r="E1800" t="s">
        <v>2706</v>
      </c>
      <c r="F1800" t="s">
        <v>732</v>
      </c>
      <c r="G1800" t="s">
        <v>205</v>
      </c>
      <c r="H1800" s="6">
        <v>388905</v>
      </c>
      <c r="I1800" s="6">
        <v>1.9212268677490025E-3</v>
      </c>
      <c r="J1800" s="6">
        <v>4330.4453599062517</v>
      </c>
      <c r="K1800" s="6">
        <v>2721074</v>
      </c>
      <c r="M1800" s="6">
        <f>SUM(H1800,J1800)</f>
        <v>393235.44535990624</v>
      </c>
      <c r="N1800" s="6">
        <f>K1800</f>
        <v>2721074</v>
      </c>
      <c r="O1800" s="6">
        <f>SUM(M1800:N1800)</f>
        <v>3114309.4453599062</v>
      </c>
      <c r="P1800" s="8">
        <f>VLOOKUP(F1800,'LEAID Match'!$A$2:$B$436,2,FALSE)</f>
        <v>1807900</v>
      </c>
      <c r="Q1800" s="6">
        <f>COUNTIF($P$2:$P$3691,P1800)</f>
        <v>9</v>
      </c>
    </row>
    <row r="1801" spans="1:17" x14ac:dyDescent="0.2">
      <c r="A1801" s="16">
        <f>P1801</f>
        <v>1807900</v>
      </c>
      <c r="B1801">
        <v>2022</v>
      </c>
      <c r="C1801" t="s">
        <v>904</v>
      </c>
      <c r="D1801" t="s">
        <v>906</v>
      </c>
      <c r="E1801" t="s">
        <v>2707</v>
      </c>
      <c r="F1801" t="s">
        <v>732</v>
      </c>
      <c r="G1801" t="s">
        <v>205</v>
      </c>
      <c r="H1801" s="6">
        <v>391136</v>
      </c>
      <c r="I1801" s="6">
        <v>1.857186421069729E-3</v>
      </c>
      <c r="J1801" s="6">
        <v>4095.0960584587524</v>
      </c>
      <c r="K1801" s="6">
        <v>2597092</v>
      </c>
      <c r="M1801" s="6">
        <f>SUM(H1801,J1801)</f>
        <v>395231.09605845873</v>
      </c>
      <c r="N1801" s="6">
        <f>K1801</f>
        <v>2597092</v>
      </c>
      <c r="O1801" s="6">
        <f>SUM(M1801:N1801)</f>
        <v>2992323.0960584586</v>
      </c>
      <c r="P1801" s="8">
        <f>VLOOKUP(F1801,'LEAID Match'!$A$2:$B$436,2,FALSE)</f>
        <v>1807900</v>
      </c>
      <c r="Q1801" s="6">
        <f>COUNTIF($P$2:$P$3691,P1801)</f>
        <v>9</v>
      </c>
    </row>
    <row r="1802" spans="1:17" x14ac:dyDescent="0.2">
      <c r="A1802" s="16">
        <f>P1802</f>
        <v>1807900</v>
      </c>
      <c r="B1802">
        <v>2023</v>
      </c>
      <c r="C1802" t="s">
        <v>904</v>
      </c>
      <c r="D1802" t="s">
        <v>906</v>
      </c>
      <c r="E1802" t="s">
        <v>2708</v>
      </c>
      <c r="F1802" t="s">
        <v>732</v>
      </c>
      <c r="G1802" t="s">
        <v>205</v>
      </c>
      <c r="H1802" s="6">
        <v>450330</v>
      </c>
      <c r="I1802" s="6">
        <v>1.8416022650452398E-3</v>
      </c>
      <c r="J1802" s="6">
        <v>4543.2327878666065</v>
      </c>
      <c r="K1802" s="6">
        <v>6452446</v>
      </c>
      <c r="M1802" s="6">
        <f>SUM(H1802,J1802)</f>
        <v>454873.23278786661</v>
      </c>
      <c r="N1802" s="6">
        <f>K1802</f>
        <v>6452446</v>
      </c>
      <c r="O1802" s="6">
        <f>SUM(M1802:N1802)</f>
        <v>6907319.2327878661</v>
      </c>
      <c r="P1802" s="8">
        <f>VLOOKUP(F1802,'LEAID Match'!$A$2:$B$436,2,FALSE)</f>
        <v>1807900</v>
      </c>
      <c r="Q1802" s="6">
        <f>COUNTIF($P$2:$P$3691,P1802)</f>
        <v>9</v>
      </c>
    </row>
    <row r="1803" spans="1:17" x14ac:dyDescent="0.2">
      <c r="A1803" s="16">
        <f>P1803</f>
        <v>1803330</v>
      </c>
      <c r="B1803">
        <v>2015</v>
      </c>
      <c r="C1803" t="s">
        <v>904</v>
      </c>
      <c r="D1803" t="s">
        <v>906</v>
      </c>
      <c r="E1803" t="s">
        <v>2709</v>
      </c>
      <c r="F1803" t="s">
        <v>551</v>
      </c>
      <c r="G1803" t="s">
        <v>206</v>
      </c>
      <c r="H1803" s="6">
        <v>90916</v>
      </c>
      <c r="I1803" s="6">
        <v>4.4209787491434948E-4</v>
      </c>
      <c r="J1803" s="6">
        <v>2569.0307511272849</v>
      </c>
      <c r="K1803" s="6">
        <v>373845.036593572</v>
      </c>
      <c r="M1803" s="6">
        <f>SUM(H1803,J1803)</f>
        <v>93485.030751127284</v>
      </c>
      <c r="N1803" s="6">
        <f>K1803</f>
        <v>373845.036593572</v>
      </c>
      <c r="O1803" s="6">
        <f>SUM(M1803:N1803)</f>
        <v>467330.06734469929</v>
      </c>
      <c r="P1803" s="8">
        <f>VLOOKUP(F1803,'LEAID Match'!$A$2:$B$436,2,FALSE)</f>
        <v>1803330</v>
      </c>
      <c r="Q1803" s="6">
        <f>COUNTIF($P$2:$P$3691,P1803)</f>
        <v>9</v>
      </c>
    </row>
    <row r="1804" spans="1:17" x14ac:dyDescent="0.2">
      <c r="A1804" s="16">
        <f>P1804</f>
        <v>1803330</v>
      </c>
      <c r="B1804">
        <v>2016</v>
      </c>
      <c r="C1804" t="s">
        <v>904</v>
      </c>
      <c r="D1804" t="s">
        <v>906</v>
      </c>
      <c r="E1804" t="s">
        <v>2710</v>
      </c>
      <c r="F1804" t="s">
        <v>551</v>
      </c>
      <c r="G1804" t="s">
        <v>206</v>
      </c>
      <c r="H1804" s="6">
        <v>88887</v>
      </c>
      <c r="I1804" s="6">
        <v>4.1244659676850615E-4</v>
      </c>
      <c r="J1804" s="6">
        <v>2082.0304204874192</v>
      </c>
      <c r="K1804" s="6">
        <v>366046.35463204898</v>
      </c>
      <c r="M1804" s="6">
        <f>SUM(H1804,J1804)</f>
        <v>90969.030420487426</v>
      </c>
      <c r="N1804" s="6">
        <f>K1804</f>
        <v>366046.35463204898</v>
      </c>
      <c r="O1804" s="6">
        <f>SUM(M1804:N1804)</f>
        <v>457015.38505253638</v>
      </c>
      <c r="P1804" s="8">
        <f>VLOOKUP(F1804,'LEAID Match'!$A$2:$B$436,2,FALSE)</f>
        <v>1803330</v>
      </c>
      <c r="Q1804" s="6">
        <f>COUNTIF($P$2:$P$3691,P1804)</f>
        <v>9</v>
      </c>
    </row>
    <row r="1805" spans="1:17" x14ac:dyDescent="0.2">
      <c r="A1805" s="16">
        <f>P1805</f>
        <v>1803330</v>
      </c>
      <c r="B1805">
        <v>2017</v>
      </c>
      <c r="C1805" t="s">
        <v>904</v>
      </c>
      <c r="D1805" t="s">
        <v>906</v>
      </c>
      <c r="E1805" t="s">
        <v>2711</v>
      </c>
      <c r="F1805" t="s">
        <v>551</v>
      </c>
      <c r="G1805" t="s">
        <v>206</v>
      </c>
      <c r="H1805" s="6">
        <v>87234</v>
      </c>
      <c r="I1805" s="6">
        <v>3.8412862123756765E-4</v>
      </c>
      <c r="J1805" s="6">
        <v>1738.1820110999936</v>
      </c>
      <c r="K1805" s="6">
        <v>334576.02909792098</v>
      </c>
      <c r="M1805" s="6">
        <f>SUM(H1805,J1805)</f>
        <v>88972.182011099998</v>
      </c>
      <c r="N1805" s="6">
        <f>K1805</f>
        <v>334576.02909792098</v>
      </c>
      <c r="O1805" s="6">
        <f>SUM(M1805:N1805)</f>
        <v>423548.21110902098</v>
      </c>
      <c r="P1805" s="8">
        <f>VLOOKUP(F1805,'LEAID Match'!$A$2:$B$436,2,FALSE)</f>
        <v>1803330</v>
      </c>
      <c r="Q1805" s="6">
        <f>COUNTIF($P$2:$P$3691,P1805)</f>
        <v>9</v>
      </c>
    </row>
    <row r="1806" spans="1:17" x14ac:dyDescent="0.2">
      <c r="A1806" s="16">
        <f>P1806</f>
        <v>1803330</v>
      </c>
      <c r="B1806">
        <v>2018</v>
      </c>
      <c r="C1806" t="s">
        <v>904</v>
      </c>
      <c r="D1806" t="s">
        <v>906</v>
      </c>
      <c r="E1806" t="s">
        <v>2712</v>
      </c>
      <c r="F1806" t="s">
        <v>551</v>
      </c>
      <c r="G1806" t="s">
        <v>206</v>
      </c>
      <c r="H1806" s="6">
        <v>79273</v>
      </c>
      <c r="I1806" s="6">
        <v>3.3630546196673409E-4</v>
      </c>
      <c r="J1806" s="6">
        <v>1401.7211654773478</v>
      </c>
      <c r="K1806" s="6">
        <v>222866</v>
      </c>
      <c r="M1806" s="6">
        <f>SUM(H1806,J1806)</f>
        <v>80674.721165477342</v>
      </c>
      <c r="N1806" s="6">
        <f>K1806</f>
        <v>222866</v>
      </c>
      <c r="O1806" s="6">
        <f>SUM(M1806:N1806)</f>
        <v>303540.72116547736</v>
      </c>
      <c r="P1806" s="8">
        <f>VLOOKUP(F1806,'LEAID Match'!$A$2:$B$436,2,FALSE)</f>
        <v>1803330</v>
      </c>
      <c r="Q1806" s="6">
        <f>COUNTIF($P$2:$P$3691,P1806)</f>
        <v>9</v>
      </c>
    </row>
    <row r="1807" spans="1:17" x14ac:dyDescent="0.2">
      <c r="A1807" s="16">
        <f>P1807</f>
        <v>1803330</v>
      </c>
      <c r="B1807">
        <v>2019</v>
      </c>
      <c r="C1807" t="s">
        <v>904</v>
      </c>
      <c r="D1807" t="s">
        <v>906</v>
      </c>
      <c r="E1807" t="s">
        <v>2713</v>
      </c>
      <c r="F1807" t="s">
        <v>551</v>
      </c>
      <c r="G1807" t="s">
        <v>206</v>
      </c>
      <c r="H1807" s="6">
        <v>89128</v>
      </c>
      <c r="I1807" s="6">
        <v>2.2674114862052187E-4</v>
      </c>
      <c r="J1807" s="6">
        <v>794.72772591492912</v>
      </c>
      <c r="K1807" s="6">
        <v>214020.97018291001</v>
      </c>
      <c r="M1807" s="6">
        <f>SUM(H1807,J1807)</f>
        <v>89922.727725914927</v>
      </c>
      <c r="N1807" s="6">
        <f>K1807</f>
        <v>214020.97018291001</v>
      </c>
      <c r="O1807" s="6">
        <f>SUM(M1807:N1807)</f>
        <v>303943.69790882495</v>
      </c>
      <c r="P1807" s="8">
        <f>VLOOKUP(F1807,'LEAID Match'!$A$2:$B$436,2,FALSE)</f>
        <v>1803330</v>
      </c>
      <c r="Q1807" s="6">
        <f>COUNTIF($P$2:$P$3691,P1807)</f>
        <v>9</v>
      </c>
    </row>
    <row r="1808" spans="1:17" x14ac:dyDescent="0.2">
      <c r="A1808" s="16">
        <f>P1808</f>
        <v>1803330</v>
      </c>
      <c r="B1808">
        <v>2020</v>
      </c>
      <c r="C1808" t="s">
        <v>904</v>
      </c>
      <c r="D1808" t="s">
        <v>906</v>
      </c>
      <c r="E1808" t="s">
        <v>2714</v>
      </c>
      <c r="F1808" t="s">
        <v>551</v>
      </c>
      <c r="G1808" t="s">
        <v>206</v>
      </c>
      <c r="H1808" s="6">
        <v>63846</v>
      </c>
      <c r="I1808" s="6">
        <v>3.3830129217147413E-4</v>
      </c>
      <c r="J1808" s="6">
        <v>797.037844355993</v>
      </c>
      <c r="K1808" s="6">
        <v>259972</v>
      </c>
      <c r="M1808" s="6">
        <f>SUM(H1808,J1808)</f>
        <v>64643.037844355989</v>
      </c>
      <c r="N1808" s="6">
        <f>K1808</f>
        <v>259972</v>
      </c>
      <c r="O1808" s="6">
        <f>SUM(M1808:N1808)</f>
        <v>324615.03784435597</v>
      </c>
      <c r="P1808" s="8">
        <f>VLOOKUP(F1808,'LEAID Match'!$A$2:$B$436,2,FALSE)</f>
        <v>1803330</v>
      </c>
      <c r="Q1808" s="6">
        <f>COUNTIF($P$2:$P$3691,P1808)</f>
        <v>9</v>
      </c>
    </row>
    <row r="1809" spans="1:17" x14ac:dyDescent="0.2">
      <c r="A1809" s="16">
        <f>P1809</f>
        <v>1803330</v>
      </c>
      <c r="B1809">
        <v>2021</v>
      </c>
      <c r="C1809" t="s">
        <v>904</v>
      </c>
      <c r="D1809" t="s">
        <v>906</v>
      </c>
      <c r="E1809" t="s">
        <v>2715</v>
      </c>
      <c r="F1809" t="s">
        <v>551</v>
      </c>
      <c r="G1809" t="s">
        <v>206</v>
      </c>
      <c r="H1809" s="6">
        <v>64043</v>
      </c>
      <c r="I1809" s="6">
        <v>3.1637837593049553E-4</v>
      </c>
      <c r="J1809" s="6">
        <v>713.11685934733691</v>
      </c>
      <c r="K1809" s="6">
        <v>391282</v>
      </c>
      <c r="M1809" s="6">
        <f>SUM(H1809,J1809)</f>
        <v>64756.116859347334</v>
      </c>
      <c r="N1809" s="6">
        <f>K1809</f>
        <v>391282</v>
      </c>
      <c r="O1809" s="6">
        <f>SUM(M1809:N1809)</f>
        <v>456038.11685934733</v>
      </c>
      <c r="P1809" s="8">
        <f>VLOOKUP(F1809,'LEAID Match'!$A$2:$B$436,2,FALSE)</f>
        <v>1803330</v>
      </c>
      <c r="Q1809" s="6">
        <f>COUNTIF($P$2:$P$3691,P1809)</f>
        <v>9</v>
      </c>
    </row>
    <row r="1810" spans="1:17" x14ac:dyDescent="0.2">
      <c r="A1810" s="16">
        <f>P1810</f>
        <v>1803330</v>
      </c>
      <c r="B1810">
        <v>2022</v>
      </c>
      <c r="C1810" t="s">
        <v>904</v>
      </c>
      <c r="D1810" t="s">
        <v>906</v>
      </c>
      <c r="E1810" t="s">
        <v>2716</v>
      </c>
      <c r="F1810" t="s">
        <v>551</v>
      </c>
      <c r="G1810" t="s">
        <v>206</v>
      </c>
      <c r="H1810" s="6">
        <v>72471</v>
      </c>
      <c r="I1810" s="6">
        <v>3.4410577681763971E-4</v>
      </c>
      <c r="J1810" s="6">
        <v>758.75323788289552</v>
      </c>
      <c r="K1810" s="6">
        <v>371788</v>
      </c>
      <c r="M1810" s="6">
        <f>SUM(H1810,J1810)</f>
        <v>73229.753237882891</v>
      </c>
      <c r="N1810" s="6">
        <f>K1810</f>
        <v>371788</v>
      </c>
      <c r="O1810" s="6">
        <f>SUM(M1810:N1810)</f>
        <v>445017.75323788286</v>
      </c>
      <c r="P1810" s="8">
        <f>VLOOKUP(F1810,'LEAID Match'!$A$2:$B$436,2,FALSE)</f>
        <v>1803330</v>
      </c>
      <c r="Q1810" s="6">
        <f>COUNTIF($P$2:$P$3691,P1810)</f>
        <v>9</v>
      </c>
    </row>
    <row r="1811" spans="1:17" x14ac:dyDescent="0.2">
      <c r="A1811" s="16">
        <f>P1811</f>
        <v>1803330</v>
      </c>
      <c r="B1811">
        <v>2023</v>
      </c>
      <c r="C1811" t="s">
        <v>904</v>
      </c>
      <c r="D1811" t="s">
        <v>906</v>
      </c>
      <c r="E1811" t="s">
        <v>2717</v>
      </c>
      <c r="F1811" t="s">
        <v>551</v>
      </c>
      <c r="G1811" t="s">
        <v>206</v>
      </c>
      <c r="H1811" s="6">
        <v>87127</v>
      </c>
      <c r="I1811" s="6">
        <v>3.5630155785001358E-4</v>
      </c>
      <c r="J1811" s="6">
        <v>878.99594321598352</v>
      </c>
      <c r="K1811" s="6">
        <v>941441</v>
      </c>
      <c r="M1811" s="6">
        <f>SUM(H1811,J1811)</f>
        <v>88005.995943215981</v>
      </c>
      <c r="N1811" s="6">
        <f>K1811</f>
        <v>941441</v>
      </c>
      <c r="O1811" s="6">
        <f>SUM(M1811:N1811)</f>
        <v>1029446.995943216</v>
      </c>
      <c r="P1811" s="8">
        <f>VLOOKUP(F1811,'LEAID Match'!$A$2:$B$436,2,FALSE)</f>
        <v>1803330</v>
      </c>
      <c r="Q1811" s="6">
        <f>COUNTIF($P$2:$P$3691,P1811)</f>
        <v>9</v>
      </c>
    </row>
    <row r="1812" spans="1:17" x14ac:dyDescent="0.2">
      <c r="A1812" s="16">
        <f>P1812</f>
        <v>1806510</v>
      </c>
      <c r="B1812">
        <v>2015</v>
      </c>
      <c r="C1812" t="s">
        <v>904</v>
      </c>
      <c r="D1812" t="s">
        <v>906</v>
      </c>
      <c r="E1812" t="s">
        <v>2718</v>
      </c>
      <c r="F1812" t="s">
        <v>552</v>
      </c>
      <c r="G1812" t="s">
        <v>207</v>
      </c>
      <c r="H1812" s="6">
        <v>880364</v>
      </c>
      <c r="I1812" s="6">
        <v>4.2809522366920715E-3</v>
      </c>
      <c r="J1812" s="6">
        <v>24876.613447417629</v>
      </c>
      <c r="K1812" s="6">
        <v>3620041.7065825998</v>
      </c>
      <c r="M1812" s="6">
        <f>SUM(H1812,J1812)</f>
        <v>905240.61344741762</v>
      </c>
      <c r="N1812" s="6">
        <f>K1812</f>
        <v>3620041.7065825998</v>
      </c>
      <c r="O1812" s="6">
        <f>SUM(M1812:N1812)</f>
        <v>4525282.3200300178</v>
      </c>
      <c r="P1812" s="8">
        <f>VLOOKUP(F1812,'LEAID Match'!$A$2:$B$436,2,FALSE)</f>
        <v>1806510</v>
      </c>
      <c r="Q1812" s="6">
        <f>COUNTIF($P$2:$P$3691,P1812)</f>
        <v>9</v>
      </c>
    </row>
    <row r="1813" spans="1:17" x14ac:dyDescent="0.2">
      <c r="A1813" s="16">
        <f>P1813</f>
        <v>1806510</v>
      </c>
      <c r="B1813">
        <v>2016</v>
      </c>
      <c r="C1813" t="s">
        <v>904</v>
      </c>
      <c r="D1813" t="s">
        <v>906</v>
      </c>
      <c r="E1813" t="s">
        <v>2719</v>
      </c>
      <c r="F1813" t="s">
        <v>552</v>
      </c>
      <c r="G1813" t="s">
        <v>207</v>
      </c>
      <c r="H1813" s="6">
        <v>908931</v>
      </c>
      <c r="I1813" s="6">
        <v>4.2175514715019641E-3</v>
      </c>
      <c r="J1813" s="6">
        <v>21290.199828141915</v>
      </c>
      <c r="K1813" s="6">
        <v>3743076.9309579898</v>
      </c>
      <c r="M1813" s="6">
        <f>SUM(H1813,J1813)</f>
        <v>930221.19982814195</v>
      </c>
      <c r="N1813" s="6">
        <f>K1813</f>
        <v>3743076.9309579898</v>
      </c>
      <c r="O1813" s="6">
        <f>SUM(M1813:N1813)</f>
        <v>4673298.1307861321</v>
      </c>
      <c r="P1813" s="8">
        <f>VLOOKUP(F1813,'LEAID Match'!$A$2:$B$436,2,FALSE)</f>
        <v>1806510</v>
      </c>
      <c r="Q1813" s="6">
        <f>COUNTIF($P$2:$P$3691,P1813)</f>
        <v>9</v>
      </c>
    </row>
    <row r="1814" spans="1:17" x14ac:dyDescent="0.2">
      <c r="A1814" s="16">
        <f>P1814</f>
        <v>1806510</v>
      </c>
      <c r="B1814">
        <v>2017</v>
      </c>
      <c r="C1814" t="s">
        <v>904</v>
      </c>
      <c r="D1814" t="s">
        <v>906</v>
      </c>
      <c r="E1814" t="s">
        <v>2720</v>
      </c>
      <c r="F1814" t="s">
        <v>552</v>
      </c>
      <c r="G1814" t="s">
        <v>207</v>
      </c>
      <c r="H1814" s="6">
        <v>944685</v>
      </c>
      <c r="I1814" s="6">
        <v>4.1598521970081801E-3</v>
      </c>
      <c r="J1814" s="6">
        <v>18823.331191462014</v>
      </c>
      <c r="K1814" s="6">
        <v>3623231.2635941198</v>
      </c>
      <c r="M1814" s="6">
        <f>SUM(H1814,J1814)</f>
        <v>963508.331191462</v>
      </c>
      <c r="N1814" s="6">
        <f>K1814</f>
        <v>3623231.2635941198</v>
      </c>
      <c r="O1814" s="6">
        <f>SUM(M1814:N1814)</f>
        <v>4586739.5947855823</v>
      </c>
      <c r="P1814" s="8">
        <f>VLOOKUP(F1814,'LEAID Match'!$A$2:$B$436,2,FALSE)</f>
        <v>1806510</v>
      </c>
      <c r="Q1814" s="6">
        <f>COUNTIF($P$2:$P$3691,P1814)</f>
        <v>9</v>
      </c>
    </row>
    <row r="1815" spans="1:17" x14ac:dyDescent="0.2">
      <c r="A1815" s="16">
        <f>P1815</f>
        <v>1806510</v>
      </c>
      <c r="B1815">
        <v>2018</v>
      </c>
      <c r="C1815" t="s">
        <v>904</v>
      </c>
      <c r="D1815" t="s">
        <v>906</v>
      </c>
      <c r="E1815" t="s">
        <v>2721</v>
      </c>
      <c r="F1815" t="s">
        <v>552</v>
      </c>
      <c r="G1815" t="s">
        <v>207</v>
      </c>
      <c r="H1815" s="6">
        <v>956391</v>
      </c>
      <c r="I1815" s="6">
        <v>4.0573652703420685E-3</v>
      </c>
      <c r="J1815" s="6">
        <v>16911.098446785742</v>
      </c>
      <c r="K1815" s="6">
        <v>4624288</v>
      </c>
      <c r="M1815" s="6">
        <f>SUM(H1815,J1815)</f>
        <v>973302.09844678571</v>
      </c>
      <c r="N1815" s="6">
        <f>K1815</f>
        <v>4624288</v>
      </c>
      <c r="O1815" s="6">
        <f>SUM(M1815:N1815)</f>
        <v>5597590.0984467855</v>
      </c>
      <c r="P1815" s="8">
        <f>VLOOKUP(F1815,'LEAID Match'!$A$2:$B$436,2,FALSE)</f>
        <v>1806510</v>
      </c>
      <c r="Q1815" s="6">
        <f>COUNTIF($P$2:$P$3691,P1815)</f>
        <v>9</v>
      </c>
    </row>
    <row r="1816" spans="1:17" x14ac:dyDescent="0.2">
      <c r="A1816" s="16">
        <f>P1816</f>
        <v>1806510</v>
      </c>
      <c r="B1816">
        <v>2019</v>
      </c>
      <c r="C1816" t="s">
        <v>904</v>
      </c>
      <c r="D1816" t="s">
        <v>906</v>
      </c>
      <c r="E1816" t="s">
        <v>2722</v>
      </c>
      <c r="F1816" t="s">
        <v>552</v>
      </c>
      <c r="G1816" t="s">
        <v>207</v>
      </c>
      <c r="H1816" s="6">
        <v>974085</v>
      </c>
      <c r="I1816" s="6">
        <v>2.4780669571180889E-3</v>
      </c>
      <c r="J1816" s="6">
        <v>8685.6246846989015</v>
      </c>
      <c r="K1816" s="6">
        <v>2339047.4008237598</v>
      </c>
      <c r="M1816" s="6">
        <f>SUM(H1816,J1816)</f>
        <v>982770.62468469888</v>
      </c>
      <c r="N1816" s="6">
        <f>K1816</f>
        <v>2339047.4008237598</v>
      </c>
      <c r="O1816" s="6">
        <f>SUM(M1816:N1816)</f>
        <v>3321818.0255084587</v>
      </c>
      <c r="P1816" s="8">
        <f>VLOOKUP(F1816,'LEAID Match'!$A$2:$B$436,2,FALSE)</f>
        <v>1806510</v>
      </c>
      <c r="Q1816" s="6">
        <f>COUNTIF($P$2:$P$3691,P1816)</f>
        <v>9</v>
      </c>
    </row>
    <row r="1817" spans="1:17" x14ac:dyDescent="0.2">
      <c r="A1817" s="16">
        <f>P1817</f>
        <v>1806510</v>
      </c>
      <c r="B1817">
        <v>2020</v>
      </c>
      <c r="C1817" t="s">
        <v>904</v>
      </c>
      <c r="D1817" t="s">
        <v>906</v>
      </c>
      <c r="E1817" t="s">
        <v>2723</v>
      </c>
      <c r="F1817" t="s">
        <v>552</v>
      </c>
      <c r="G1817" t="s">
        <v>207</v>
      </c>
      <c r="H1817" s="6">
        <v>736103</v>
      </c>
      <c r="I1817" s="6">
        <v>3.9003946382122389E-3</v>
      </c>
      <c r="J1817" s="6">
        <v>9189.3297676280345</v>
      </c>
      <c r="K1817" s="6">
        <v>4875957</v>
      </c>
      <c r="M1817" s="6">
        <f>SUM(H1817,J1817)</f>
        <v>745292.32976762799</v>
      </c>
      <c r="N1817" s="6">
        <f>K1817</f>
        <v>4875957</v>
      </c>
      <c r="O1817" s="6">
        <f>SUM(M1817:N1817)</f>
        <v>5621249.3297676276</v>
      </c>
      <c r="P1817" s="8">
        <f>VLOOKUP(F1817,'LEAID Match'!$A$2:$B$436,2,FALSE)</f>
        <v>1806510</v>
      </c>
      <c r="Q1817" s="6">
        <f>COUNTIF($P$2:$P$3691,P1817)</f>
        <v>9</v>
      </c>
    </row>
    <row r="1818" spans="1:17" x14ac:dyDescent="0.2">
      <c r="A1818" s="16">
        <f>P1818</f>
        <v>1806510</v>
      </c>
      <c r="B1818">
        <v>2021</v>
      </c>
      <c r="C1818" t="s">
        <v>904</v>
      </c>
      <c r="D1818" t="s">
        <v>906</v>
      </c>
      <c r="E1818" t="s">
        <v>2724</v>
      </c>
      <c r="F1818" t="s">
        <v>552</v>
      </c>
      <c r="G1818" t="s">
        <v>207</v>
      </c>
      <c r="H1818" s="6">
        <v>795696</v>
      </c>
      <c r="I1818" s="6">
        <v>3.9308122388768728E-3</v>
      </c>
      <c r="J1818" s="6">
        <v>8860.0507864284718</v>
      </c>
      <c r="K1818" s="6">
        <v>8125179</v>
      </c>
      <c r="M1818" s="6">
        <f>SUM(H1818,J1818)</f>
        <v>804556.0507864285</v>
      </c>
      <c r="N1818" s="6">
        <f>K1818</f>
        <v>8125179</v>
      </c>
      <c r="O1818" s="6">
        <f>SUM(M1818:N1818)</f>
        <v>8929735.0507864282</v>
      </c>
      <c r="P1818" s="8">
        <f>VLOOKUP(F1818,'LEAID Match'!$A$2:$B$436,2,FALSE)</f>
        <v>1806510</v>
      </c>
      <c r="Q1818" s="6">
        <f>COUNTIF($P$2:$P$3691,P1818)</f>
        <v>9</v>
      </c>
    </row>
    <row r="1819" spans="1:17" x14ac:dyDescent="0.2">
      <c r="A1819" s="16">
        <f>P1819</f>
        <v>1806510</v>
      </c>
      <c r="B1819">
        <v>2022</v>
      </c>
      <c r="C1819" t="s">
        <v>904</v>
      </c>
      <c r="D1819" t="s">
        <v>906</v>
      </c>
      <c r="E1819" t="s">
        <v>2725</v>
      </c>
      <c r="F1819" t="s">
        <v>552</v>
      </c>
      <c r="G1819" t="s">
        <v>207</v>
      </c>
      <c r="H1819" s="6">
        <v>786115</v>
      </c>
      <c r="I1819" s="6">
        <v>3.7326201203653716E-3</v>
      </c>
      <c r="J1819" s="6">
        <v>8230.4273654056451</v>
      </c>
      <c r="K1819" s="6">
        <v>7838254</v>
      </c>
      <c r="M1819" s="6">
        <f>SUM(H1819,J1819)</f>
        <v>794345.4273654056</v>
      </c>
      <c r="N1819" s="6">
        <f>K1819</f>
        <v>7838254</v>
      </c>
      <c r="O1819" s="6">
        <f>SUM(M1819:N1819)</f>
        <v>8632599.4273654055</v>
      </c>
      <c r="P1819" s="8">
        <f>VLOOKUP(F1819,'LEAID Match'!$A$2:$B$436,2,FALSE)</f>
        <v>1806510</v>
      </c>
      <c r="Q1819" s="6">
        <f>COUNTIF($P$2:$P$3691,P1819)</f>
        <v>9</v>
      </c>
    </row>
    <row r="1820" spans="1:17" x14ac:dyDescent="0.2">
      <c r="A1820" s="16">
        <f>P1820</f>
        <v>1806510</v>
      </c>
      <c r="B1820">
        <v>2023</v>
      </c>
      <c r="C1820" t="s">
        <v>904</v>
      </c>
      <c r="D1820" t="s">
        <v>906</v>
      </c>
      <c r="E1820" t="s">
        <v>2726</v>
      </c>
      <c r="F1820" t="s">
        <v>552</v>
      </c>
      <c r="G1820" t="s">
        <v>207</v>
      </c>
      <c r="H1820" s="6">
        <v>963239</v>
      </c>
      <c r="I1820" s="6">
        <v>3.9391182559010323E-3</v>
      </c>
      <c r="J1820" s="6">
        <v>9717.8047373078462</v>
      </c>
      <c r="K1820" s="6">
        <v>20433875</v>
      </c>
      <c r="M1820" s="6">
        <f>SUM(H1820,J1820)</f>
        <v>972956.80473730783</v>
      </c>
      <c r="N1820" s="6">
        <f>K1820</f>
        <v>20433875</v>
      </c>
      <c r="O1820" s="6">
        <f>SUM(M1820:N1820)</f>
        <v>21406831.804737307</v>
      </c>
      <c r="P1820" s="8">
        <f>VLOOKUP(F1820,'LEAID Match'!$A$2:$B$436,2,FALSE)</f>
        <v>1806510</v>
      </c>
      <c r="Q1820" s="6">
        <f>COUNTIF($P$2:$P$3691,P1820)</f>
        <v>9</v>
      </c>
    </row>
    <row r="1821" spans="1:17" x14ac:dyDescent="0.2">
      <c r="A1821" s="16">
        <f>P1821</f>
        <v>1807140</v>
      </c>
      <c r="B1821">
        <v>2015</v>
      </c>
      <c r="C1821" t="s">
        <v>904</v>
      </c>
      <c r="D1821" t="s">
        <v>906</v>
      </c>
      <c r="E1821" t="s">
        <v>2727</v>
      </c>
      <c r="F1821" t="s">
        <v>553</v>
      </c>
      <c r="G1821" t="s">
        <v>208</v>
      </c>
      <c r="H1821" s="6">
        <v>809487</v>
      </c>
      <c r="I1821" s="6">
        <v>3.9362981485194246E-3</v>
      </c>
      <c r="J1821" s="6">
        <v>22873.828541046376</v>
      </c>
      <c r="K1821" s="6">
        <v>3328596.6951584001</v>
      </c>
      <c r="M1821" s="6">
        <f>SUM(H1821,J1821)</f>
        <v>832360.82854104636</v>
      </c>
      <c r="N1821" s="6">
        <f>K1821</f>
        <v>3328596.6951584001</v>
      </c>
      <c r="O1821" s="6">
        <f>SUM(M1821:N1821)</f>
        <v>4160957.5236994466</v>
      </c>
      <c r="P1821" s="8">
        <f>VLOOKUP(F1821,'LEAID Match'!$A$2:$B$436,2,FALSE)</f>
        <v>1807140</v>
      </c>
      <c r="Q1821" s="6">
        <f>COUNTIF($P$2:$P$3691,P1821)</f>
        <v>9</v>
      </c>
    </row>
    <row r="1822" spans="1:17" x14ac:dyDescent="0.2">
      <c r="A1822" s="16">
        <f>P1822</f>
        <v>1807140</v>
      </c>
      <c r="B1822">
        <v>2016</v>
      </c>
      <c r="C1822" t="s">
        <v>904</v>
      </c>
      <c r="D1822" t="s">
        <v>906</v>
      </c>
      <c r="E1822" t="s">
        <v>2728</v>
      </c>
      <c r="F1822" t="s">
        <v>553</v>
      </c>
      <c r="G1822" t="s">
        <v>208</v>
      </c>
      <c r="H1822" s="6">
        <v>852419</v>
      </c>
      <c r="I1822" s="6">
        <v>3.9553288509097308E-3</v>
      </c>
      <c r="J1822" s="6">
        <v>19966.500039392322</v>
      </c>
      <c r="K1822" s="6">
        <v>3510354.3551823799</v>
      </c>
      <c r="M1822" s="6">
        <f>SUM(H1822,J1822)</f>
        <v>872385.50003939227</v>
      </c>
      <c r="N1822" s="6">
        <f>K1822</f>
        <v>3510354.3551823799</v>
      </c>
      <c r="O1822" s="6">
        <f>SUM(M1822:N1822)</f>
        <v>4382739.8552217726</v>
      </c>
      <c r="P1822" s="8">
        <f>VLOOKUP(F1822,'LEAID Match'!$A$2:$B$436,2,FALSE)</f>
        <v>1807140</v>
      </c>
      <c r="Q1822" s="6">
        <f>COUNTIF($P$2:$P$3691,P1822)</f>
        <v>9</v>
      </c>
    </row>
    <row r="1823" spans="1:17" x14ac:dyDescent="0.2">
      <c r="A1823" s="16">
        <f>P1823</f>
        <v>1807140</v>
      </c>
      <c r="B1823">
        <v>2017</v>
      </c>
      <c r="C1823" t="s">
        <v>904</v>
      </c>
      <c r="D1823" t="s">
        <v>906</v>
      </c>
      <c r="E1823" t="s">
        <v>2729</v>
      </c>
      <c r="F1823" t="s">
        <v>553</v>
      </c>
      <c r="G1823" t="s">
        <v>208</v>
      </c>
      <c r="H1823" s="6">
        <v>890187</v>
      </c>
      <c r="I1823" s="6">
        <v>3.9198741884311919E-3</v>
      </c>
      <c r="J1823" s="6">
        <v>17737.430702651145</v>
      </c>
      <c r="K1823" s="6">
        <v>3414210.41812356</v>
      </c>
      <c r="M1823" s="6">
        <f>SUM(H1823,J1823)</f>
        <v>907924.43070265115</v>
      </c>
      <c r="N1823" s="6">
        <f>K1823</f>
        <v>3414210.41812356</v>
      </c>
      <c r="O1823" s="6">
        <f>SUM(M1823:N1823)</f>
        <v>4322134.8488262109</v>
      </c>
      <c r="P1823" s="8">
        <f>VLOOKUP(F1823,'LEAID Match'!$A$2:$B$436,2,FALSE)</f>
        <v>1807140</v>
      </c>
      <c r="Q1823" s="6">
        <f>COUNTIF($P$2:$P$3691,P1823)</f>
        <v>9</v>
      </c>
    </row>
    <row r="1824" spans="1:17" x14ac:dyDescent="0.2">
      <c r="A1824" s="16">
        <f>P1824</f>
        <v>1807140</v>
      </c>
      <c r="B1824">
        <v>2018</v>
      </c>
      <c r="C1824" t="s">
        <v>904</v>
      </c>
      <c r="D1824" t="s">
        <v>906</v>
      </c>
      <c r="E1824" t="s">
        <v>2730</v>
      </c>
      <c r="F1824" t="s">
        <v>553</v>
      </c>
      <c r="G1824" t="s">
        <v>208</v>
      </c>
      <c r="H1824" s="6">
        <v>880218</v>
      </c>
      <c r="I1824" s="6">
        <v>3.7342111579154913E-3</v>
      </c>
      <c r="J1824" s="6">
        <v>15564.192106191767</v>
      </c>
      <c r="K1824" s="6">
        <v>3233578</v>
      </c>
      <c r="M1824" s="6">
        <f>SUM(H1824,J1824)</f>
        <v>895782.19210619177</v>
      </c>
      <c r="N1824" s="6">
        <f>K1824</f>
        <v>3233578</v>
      </c>
      <c r="O1824" s="6">
        <f>SUM(M1824:N1824)</f>
        <v>4129360.192106192</v>
      </c>
      <c r="P1824" s="8">
        <f>VLOOKUP(F1824,'LEAID Match'!$A$2:$B$436,2,FALSE)</f>
        <v>1807140</v>
      </c>
      <c r="Q1824" s="6">
        <f>COUNTIF($P$2:$P$3691,P1824)</f>
        <v>9</v>
      </c>
    </row>
    <row r="1825" spans="1:17" x14ac:dyDescent="0.2">
      <c r="A1825" s="16">
        <f>P1825</f>
        <v>1807140</v>
      </c>
      <c r="B1825">
        <v>2019</v>
      </c>
      <c r="C1825" t="s">
        <v>904</v>
      </c>
      <c r="D1825" t="s">
        <v>906</v>
      </c>
      <c r="E1825" t="s">
        <v>2731</v>
      </c>
      <c r="F1825" t="s">
        <v>553</v>
      </c>
      <c r="G1825" t="s">
        <v>208</v>
      </c>
      <c r="H1825" s="6">
        <v>915787</v>
      </c>
      <c r="I1825" s="6">
        <v>2.3297571612932171E-3</v>
      </c>
      <c r="J1825" s="6">
        <v>8165.798850332726</v>
      </c>
      <c r="K1825" s="6">
        <v>2199057.7845446598</v>
      </c>
      <c r="M1825" s="6">
        <f>SUM(H1825,J1825)</f>
        <v>923952.79885033274</v>
      </c>
      <c r="N1825" s="6">
        <f>K1825</f>
        <v>2199057.7845446598</v>
      </c>
      <c r="O1825" s="6">
        <f>SUM(M1825:N1825)</f>
        <v>3123010.5833949926</v>
      </c>
      <c r="P1825" s="8">
        <f>VLOOKUP(F1825,'LEAID Match'!$A$2:$B$436,2,FALSE)</f>
        <v>1807140</v>
      </c>
      <c r="Q1825" s="6">
        <f>COUNTIF($P$2:$P$3691,P1825)</f>
        <v>9</v>
      </c>
    </row>
    <row r="1826" spans="1:17" x14ac:dyDescent="0.2">
      <c r="A1826" s="16">
        <f>P1826</f>
        <v>1807140</v>
      </c>
      <c r="B1826">
        <v>2020</v>
      </c>
      <c r="C1826" t="s">
        <v>904</v>
      </c>
      <c r="D1826" t="s">
        <v>906</v>
      </c>
      <c r="E1826" t="s">
        <v>2732</v>
      </c>
      <c r="F1826" t="s">
        <v>553</v>
      </c>
      <c r="G1826" t="s">
        <v>208</v>
      </c>
      <c r="H1826" s="6">
        <v>707443</v>
      </c>
      <c r="I1826" s="6">
        <v>3.7485336753698612E-3</v>
      </c>
      <c r="J1826" s="6">
        <v>8831.5453391713927</v>
      </c>
      <c r="K1826" s="6">
        <v>3444897</v>
      </c>
      <c r="M1826" s="6">
        <f>SUM(H1826,J1826)</f>
        <v>716274.54533917143</v>
      </c>
      <c r="N1826" s="6">
        <f>K1826</f>
        <v>3444897</v>
      </c>
      <c r="O1826" s="6">
        <f>SUM(M1826:N1826)</f>
        <v>4161171.5453391713</v>
      </c>
      <c r="P1826" s="8">
        <f>VLOOKUP(F1826,'LEAID Match'!$A$2:$B$436,2,FALSE)</f>
        <v>1807140</v>
      </c>
      <c r="Q1826" s="6">
        <f>COUNTIF($P$2:$P$3691,P1826)</f>
        <v>9</v>
      </c>
    </row>
    <row r="1827" spans="1:17" x14ac:dyDescent="0.2">
      <c r="A1827" s="16">
        <f>P1827</f>
        <v>1807140</v>
      </c>
      <c r="B1827">
        <v>2021</v>
      </c>
      <c r="C1827" t="s">
        <v>904</v>
      </c>
      <c r="D1827" t="s">
        <v>906</v>
      </c>
      <c r="E1827" t="s">
        <v>2733</v>
      </c>
      <c r="F1827" t="s">
        <v>553</v>
      </c>
      <c r="G1827" t="s">
        <v>208</v>
      </c>
      <c r="H1827" s="6">
        <v>744896</v>
      </c>
      <c r="I1827" s="6">
        <v>3.679855514531212E-3</v>
      </c>
      <c r="J1827" s="6">
        <v>8294.3943297533515</v>
      </c>
      <c r="K1827" s="6">
        <v>5788036</v>
      </c>
      <c r="M1827" s="6">
        <f>SUM(H1827,J1827)</f>
        <v>753190.39432975336</v>
      </c>
      <c r="N1827" s="6">
        <f>K1827</f>
        <v>5788036</v>
      </c>
      <c r="O1827" s="6">
        <f>SUM(M1827:N1827)</f>
        <v>6541226.3943297537</v>
      </c>
      <c r="P1827" s="8">
        <f>VLOOKUP(F1827,'LEAID Match'!$A$2:$B$436,2,FALSE)</f>
        <v>1807140</v>
      </c>
      <c r="Q1827" s="6">
        <f>COUNTIF($P$2:$P$3691,P1827)</f>
        <v>9</v>
      </c>
    </row>
    <row r="1828" spans="1:17" x14ac:dyDescent="0.2">
      <c r="A1828" s="16">
        <f>P1828</f>
        <v>1807140</v>
      </c>
      <c r="B1828">
        <v>2022</v>
      </c>
      <c r="C1828" t="s">
        <v>904</v>
      </c>
      <c r="D1828" t="s">
        <v>906</v>
      </c>
      <c r="E1828" t="s">
        <v>2734</v>
      </c>
      <c r="F1828" t="s">
        <v>553</v>
      </c>
      <c r="G1828" t="s">
        <v>208</v>
      </c>
      <c r="H1828" s="6">
        <v>801699</v>
      </c>
      <c r="I1828" s="6">
        <v>3.8066158486694673E-3</v>
      </c>
      <c r="J1828" s="6">
        <v>8393.5879463161764</v>
      </c>
      <c r="K1828" s="6">
        <v>5892179</v>
      </c>
      <c r="M1828" s="6">
        <f>SUM(H1828,J1828)</f>
        <v>810092.58794631623</v>
      </c>
      <c r="N1828" s="6">
        <f>K1828</f>
        <v>5892179</v>
      </c>
      <c r="O1828" s="6">
        <f>SUM(M1828:N1828)</f>
        <v>6702271.5879463162</v>
      </c>
      <c r="P1828" s="8">
        <f>VLOOKUP(F1828,'LEAID Match'!$A$2:$B$436,2,FALSE)</f>
        <v>1807140</v>
      </c>
      <c r="Q1828" s="6">
        <f>COUNTIF($P$2:$P$3691,P1828)</f>
        <v>9</v>
      </c>
    </row>
    <row r="1829" spans="1:17" x14ac:dyDescent="0.2">
      <c r="A1829" s="16">
        <f>P1829</f>
        <v>1807140</v>
      </c>
      <c r="B1829">
        <v>2023</v>
      </c>
      <c r="C1829" t="s">
        <v>904</v>
      </c>
      <c r="D1829" t="s">
        <v>906</v>
      </c>
      <c r="E1829" t="s">
        <v>2735</v>
      </c>
      <c r="F1829" t="s">
        <v>553</v>
      </c>
      <c r="G1829" t="s">
        <v>208</v>
      </c>
      <c r="H1829" s="6">
        <v>935970</v>
      </c>
      <c r="I1829" s="6">
        <v>3.8276030289218863E-3</v>
      </c>
      <c r="J1829" s="6">
        <v>9442.6966723502937</v>
      </c>
      <c r="K1829" s="6">
        <v>17004796</v>
      </c>
      <c r="M1829" s="6">
        <f>SUM(H1829,J1829)</f>
        <v>945412.69667235028</v>
      </c>
      <c r="N1829" s="6">
        <f>K1829</f>
        <v>17004796</v>
      </c>
      <c r="O1829" s="6">
        <f>SUM(M1829:N1829)</f>
        <v>17950208.69667235</v>
      </c>
      <c r="P1829" s="8">
        <f>VLOOKUP(F1829,'LEAID Match'!$A$2:$B$436,2,FALSE)</f>
        <v>1807140</v>
      </c>
      <c r="Q1829" s="6">
        <f>COUNTIF($P$2:$P$3691,P1829)</f>
        <v>9</v>
      </c>
    </row>
    <row r="1830" spans="1:17" x14ac:dyDescent="0.2">
      <c r="A1830" s="16">
        <f>P1830</f>
        <v>0</v>
      </c>
      <c r="B1830">
        <v>2018</v>
      </c>
      <c r="C1830" t="s">
        <v>904</v>
      </c>
      <c r="D1830" t="s">
        <v>906</v>
      </c>
      <c r="E1830" t="s">
        <v>2736</v>
      </c>
      <c r="F1830" t="s">
        <v>733</v>
      </c>
      <c r="G1830" t="s">
        <v>430</v>
      </c>
      <c r="H1830" s="6">
        <v>0</v>
      </c>
      <c r="I1830" s="6">
        <v>0</v>
      </c>
      <c r="J1830" s="6">
        <v>0</v>
      </c>
      <c r="K1830" s="6">
        <v>13034</v>
      </c>
      <c r="M1830" s="6">
        <f>SUM(H1830,J1830)</f>
        <v>0</v>
      </c>
      <c r="N1830" s="6">
        <f>K1830</f>
        <v>13034</v>
      </c>
      <c r="O1830" s="6">
        <f>SUM(M1830:N1830)</f>
        <v>13034</v>
      </c>
      <c r="P1830" s="8">
        <f>VLOOKUP(F1830,'LEAID Match'!$A$2:$B$436,2,FALSE)</f>
        <v>0</v>
      </c>
      <c r="Q1830" s="6">
        <f>COUNTIF($P$2:$P$3691,P1830)</f>
        <v>371</v>
      </c>
    </row>
    <row r="1831" spans="1:17" x14ac:dyDescent="0.2">
      <c r="A1831" s="16">
        <f>P1831</f>
        <v>0</v>
      </c>
      <c r="B1831">
        <v>2020</v>
      </c>
      <c r="C1831" t="s">
        <v>904</v>
      </c>
      <c r="D1831" t="s">
        <v>906</v>
      </c>
      <c r="E1831" t="s">
        <v>2737</v>
      </c>
      <c r="F1831" t="s">
        <v>733</v>
      </c>
      <c r="G1831" t="s">
        <v>430</v>
      </c>
      <c r="H1831" s="6">
        <v>0</v>
      </c>
      <c r="I1831" s="6">
        <v>0</v>
      </c>
      <c r="J1831" s="6">
        <v>0</v>
      </c>
      <c r="K1831" s="6">
        <v>14081</v>
      </c>
      <c r="M1831" s="6">
        <f>SUM(H1831,J1831)</f>
        <v>0</v>
      </c>
      <c r="N1831" s="6">
        <f>K1831</f>
        <v>14081</v>
      </c>
      <c r="O1831" s="6">
        <f>SUM(M1831:N1831)</f>
        <v>14081</v>
      </c>
      <c r="P1831" s="8">
        <f>VLOOKUP(F1831,'LEAID Match'!$A$2:$B$436,2,FALSE)</f>
        <v>0</v>
      </c>
      <c r="Q1831" s="6">
        <f>COUNTIF($P$2:$P$3691,P1831)</f>
        <v>371</v>
      </c>
    </row>
    <row r="1832" spans="1:17" x14ac:dyDescent="0.2">
      <c r="A1832" s="16">
        <f>P1832</f>
        <v>0</v>
      </c>
      <c r="B1832">
        <v>2021</v>
      </c>
      <c r="C1832" t="s">
        <v>904</v>
      </c>
      <c r="D1832" t="s">
        <v>906</v>
      </c>
      <c r="E1832" t="s">
        <v>2738</v>
      </c>
      <c r="F1832" t="s">
        <v>733</v>
      </c>
      <c r="G1832" t="s">
        <v>430</v>
      </c>
      <c r="H1832" s="6" t="s">
        <v>893</v>
      </c>
      <c r="K1832" s="6">
        <v>22217</v>
      </c>
      <c r="M1832" s="6">
        <f>SUM(H1832,J1832)</f>
        <v>0</v>
      </c>
      <c r="N1832" s="6">
        <f>K1832</f>
        <v>22217</v>
      </c>
      <c r="O1832" s="6">
        <f>SUM(M1832:N1832)</f>
        <v>22217</v>
      </c>
      <c r="P1832" s="8">
        <f>VLOOKUP(F1832,'LEAID Match'!$A$2:$B$436,2,FALSE)</f>
        <v>0</v>
      </c>
      <c r="Q1832" s="6">
        <f>COUNTIF($P$2:$P$3691,P1832)</f>
        <v>371</v>
      </c>
    </row>
    <row r="1833" spans="1:17" x14ac:dyDescent="0.2">
      <c r="A1833" s="16">
        <f>P1833</f>
        <v>0</v>
      </c>
      <c r="B1833">
        <v>2022</v>
      </c>
      <c r="C1833" t="s">
        <v>904</v>
      </c>
      <c r="D1833" t="s">
        <v>906</v>
      </c>
      <c r="E1833" t="s">
        <v>2739</v>
      </c>
      <c r="F1833" t="s">
        <v>733</v>
      </c>
      <c r="G1833" t="s">
        <v>430</v>
      </c>
      <c r="H1833" s="6" t="s">
        <v>893</v>
      </c>
      <c r="K1833" s="6">
        <v>21861</v>
      </c>
      <c r="M1833" s="6">
        <f>SUM(H1833,J1833)</f>
        <v>0</v>
      </c>
      <c r="N1833" s="6">
        <f>K1833</f>
        <v>21861</v>
      </c>
      <c r="O1833" s="6">
        <f>SUM(M1833:N1833)</f>
        <v>21861</v>
      </c>
      <c r="P1833" s="8">
        <f>VLOOKUP(F1833,'LEAID Match'!$A$2:$B$436,2,FALSE)</f>
        <v>0</v>
      </c>
      <c r="Q1833" s="6">
        <f>COUNTIF($P$2:$P$3691,P1833)</f>
        <v>371</v>
      </c>
    </row>
    <row r="1834" spans="1:17" x14ac:dyDescent="0.2">
      <c r="A1834" s="16">
        <f>P1834</f>
        <v>0</v>
      </c>
      <c r="B1834">
        <v>2023</v>
      </c>
      <c r="C1834" t="s">
        <v>904</v>
      </c>
      <c r="D1834" t="s">
        <v>906</v>
      </c>
      <c r="E1834" t="s">
        <v>2740</v>
      </c>
      <c r="F1834" t="s">
        <v>733</v>
      </c>
      <c r="G1834" t="s">
        <v>430</v>
      </c>
      <c r="H1834" s="6" t="s">
        <v>893</v>
      </c>
      <c r="K1834" s="6">
        <v>47432</v>
      </c>
      <c r="M1834" s="6">
        <f>SUM(H1834,J1834)</f>
        <v>0</v>
      </c>
      <c r="N1834" s="6">
        <f>K1834</f>
        <v>47432</v>
      </c>
      <c r="O1834" s="6">
        <f>SUM(M1834:N1834)</f>
        <v>47432</v>
      </c>
      <c r="P1834" s="8">
        <f>VLOOKUP(F1834,'LEAID Match'!$A$2:$B$436,2,FALSE)</f>
        <v>0</v>
      </c>
      <c r="Q1834" s="6">
        <f>COUNTIF($P$2:$P$3691,P1834)</f>
        <v>371</v>
      </c>
    </row>
    <row r="1835" spans="1:17" x14ac:dyDescent="0.2">
      <c r="A1835" s="16">
        <f>P1835</f>
        <v>1804140</v>
      </c>
      <c r="B1835">
        <v>2015</v>
      </c>
      <c r="C1835" t="s">
        <v>904</v>
      </c>
      <c r="D1835" t="s">
        <v>906</v>
      </c>
      <c r="E1835" t="s">
        <v>2741</v>
      </c>
      <c r="F1835" t="s">
        <v>554</v>
      </c>
      <c r="G1835" t="s">
        <v>209</v>
      </c>
      <c r="H1835" s="6">
        <v>226280</v>
      </c>
      <c r="I1835" s="6">
        <v>1.1003333531569692E-3</v>
      </c>
      <c r="J1835" s="6">
        <v>6394.0371151951476</v>
      </c>
      <c r="K1835" s="6">
        <v>930459.48876318301</v>
      </c>
      <c r="M1835" s="6">
        <f>SUM(H1835,J1835)</f>
        <v>232674.03711519515</v>
      </c>
      <c r="N1835" s="6">
        <f>K1835</f>
        <v>930459.48876318301</v>
      </c>
      <c r="O1835" s="6">
        <f>SUM(M1835:N1835)</f>
        <v>1163133.5258783782</v>
      </c>
      <c r="P1835" s="8">
        <f>VLOOKUP(F1835,'LEAID Match'!$A$2:$B$436,2,FALSE)</f>
        <v>1804140</v>
      </c>
      <c r="Q1835" s="6">
        <f>COUNTIF($P$2:$P$3691,P1835)</f>
        <v>9</v>
      </c>
    </row>
    <row r="1836" spans="1:17" x14ac:dyDescent="0.2">
      <c r="A1836" s="16">
        <f>P1836</f>
        <v>1804140</v>
      </c>
      <c r="B1836">
        <v>2016</v>
      </c>
      <c r="C1836" t="s">
        <v>904</v>
      </c>
      <c r="D1836" t="s">
        <v>906</v>
      </c>
      <c r="E1836" t="s">
        <v>2742</v>
      </c>
      <c r="F1836" t="s">
        <v>554</v>
      </c>
      <c r="G1836" t="s">
        <v>209</v>
      </c>
      <c r="H1836" s="6">
        <v>253490</v>
      </c>
      <c r="I1836" s="6">
        <v>1.1762247326926169E-3</v>
      </c>
      <c r="J1836" s="6">
        <v>5937.5824506323297</v>
      </c>
      <c r="K1836" s="6">
        <v>1043899.45026469</v>
      </c>
      <c r="M1836" s="6">
        <f>SUM(H1836,J1836)</f>
        <v>259427.58245063233</v>
      </c>
      <c r="N1836" s="6">
        <f>K1836</f>
        <v>1043899.45026469</v>
      </c>
      <c r="O1836" s="6">
        <f>SUM(M1836:N1836)</f>
        <v>1303327.0327153222</v>
      </c>
      <c r="P1836" s="8">
        <f>VLOOKUP(F1836,'LEAID Match'!$A$2:$B$436,2,FALSE)</f>
        <v>1804140</v>
      </c>
      <c r="Q1836" s="6">
        <f>COUNTIF($P$2:$P$3691,P1836)</f>
        <v>9</v>
      </c>
    </row>
    <row r="1837" spans="1:17" x14ac:dyDescent="0.2">
      <c r="A1837" s="16">
        <f>P1837</f>
        <v>1804140</v>
      </c>
      <c r="B1837">
        <v>2017</v>
      </c>
      <c r="C1837" t="s">
        <v>904</v>
      </c>
      <c r="D1837" t="s">
        <v>906</v>
      </c>
      <c r="E1837" t="s">
        <v>2743</v>
      </c>
      <c r="F1837" t="s">
        <v>554</v>
      </c>
      <c r="G1837" t="s">
        <v>209</v>
      </c>
      <c r="H1837" s="6">
        <v>273578</v>
      </c>
      <c r="I1837" s="6">
        <v>1.2046809723379791E-3</v>
      </c>
      <c r="J1837" s="6">
        <v>5451.1813998293555</v>
      </c>
      <c r="K1837" s="6">
        <v>1049277.1269063801</v>
      </c>
      <c r="M1837" s="6">
        <f>SUM(H1837,J1837)</f>
        <v>279029.18139982934</v>
      </c>
      <c r="N1837" s="6">
        <f>K1837</f>
        <v>1049277.1269063801</v>
      </c>
      <c r="O1837" s="6">
        <f>SUM(M1837:N1837)</f>
        <v>1328306.3083062093</v>
      </c>
      <c r="P1837" s="8">
        <f>VLOOKUP(F1837,'LEAID Match'!$A$2:$B$436,2,FALSE)</f>
        <v>1804140</v>
      </c>
      <c r="Q1837" s="6">
        <f>COUNTIF($P$2:$P$3691,P1837)</f>
        <v>9</v>
      </c>
    </row>
    <row r="1838" spans="1:17" x14ac:dyDescent="0.2">
      <c r="A1838" s="16">
        <f>P1838</f>
        <v>1804140</v>
      </c>
      <c r="B1838">
        <v>2018</v>
      </c>
      <c r="C1838" t="s">
        <v>904</v>
      </c>
      <c r="D1838" t="s">
        <v>906</v>
      </c>
      <c r="E1838" t="s">
        <v>2744</v>
      </c>
      <c r="F1838" t="s">
        <v>554</v>
      </c>
      <c r="G1838" t="s">
        <v>209</v>
      </c>
      <c r="H1838" s="6">
        <v>280283</v>
      </c>
      <c r="I1838" s="6">
        <v>1.1890644203754385E-3</v>
      </c>
      <c r="J1838" s="6">
        <v>4956.0205041248282</v>
      </c>
      <c r="K1838" s="6">
        <v>1051822</v>
      </c>
      <c r="M1838" s="6">
        <f>SUM(H1838,J1838)</f>
        <v>285239.02050412481</v>
      </c>
      <c r="N1838" s="6">
        <f>K1838</f>
        <v>1051822</v>
      </c>
      <c r="O1838" s="6">
        <f>SUM(M1838:N1838)</f>
        <v>1337061.0205041249</v>
      </c>
      <c r="P1838" s="8">
        <f>VLOOKUP(F1838,'LEAID Match'!$A$2:$B$436,2,FALSE)</f>
        <v>1804140</v>
      </c>
      <c r="Q1838" s="6">
        <f>COUNTIF($P$2:$P$3691,P1838)</f>
        <v>9</v>
      </c>
    </row>
    <row r="1839" spans="1:17" x14ac:dyDescent="0.2">
      <c r="A1839" s="16">
        <f>P1839</f>
        <v>1804140</v>
      </c>
      <c r="B1839">
        <v>2019</v>
      </c>
      <c r="C1839" t="s">
        <v>904</v>
      </c>
      <c r="D1839" t="s">
        <v>906</v>
      </c>
      <c r="E1839" t="s">
        <v>2745</v>
      </c>
      <c r="F1839" t="s">
        <v>554</v>
      </c>
      <c r="G1839" t="s">
        <v>209</v>
      </c>
      <c r="H1839" s="6">
        <v>294695</v>
      </c>
      <c r="I1839" s="6">
        <v>7.4970248174226607E-4</v>
      </c>
      <c r="J1839" s="6">
        <v>2627.7071985066427</v>
      </c>
      <c r="K1839" s="6">
        <v>707644.17251652398</v>
      </c>
      <c r="M1839" s="6">
        <f>SUM(H1839,J1839)</f>
        <v>297322.70719850663</v>
      </c>
      <c r="N1839" s="6">
        <f>K1839</f>
        <v>707644.17251652398</v>
      </c>
      <c r="O1839" s="6">
        <f>SUM(M1839:N1839)</f>
        <v>1004966.8797150305</v>
      </c>
      <c r="P1839" s="8">
        <f>VLOOKUP(F1839,'LEAID Match'!$A$2:$B$436,2,FALSE)</f>
        <v>1804140</v>
      </c>
      <c r="Q1839" s="6">
        <f>COUNTIF($P$2:$P$3691,P1839)</f>
        <v>9</v>
      </c>
    </row>
    <row r="1840" spans="1:17" x14ac:dyDescent="0.2">
      <c r="A1840" s="16">
        <f>P1840</f>
        <v>1804140</v>
      </c>
      <c r="B1840">
        <v>2020</v>
      </c>
      <c r="C1840" t="s">
        <v>904</v>
      </c>
      <c r="D1840" t="s">
        <v>906</v>
      </c>
      <c r="E1840" t="s">
        <v>2746</v>
      </c>
      <c r="F1840" t="s">
        <v>554</v>
      </c>
      <c r="G1840" t="s">
        <v>209</v>
      </c>
      <c r="H1840" s="6">
        <v>225204</v>
      </c>
      <c r="I1840" s="6">
        <v>1.1932901701310131E-3</v>
      </c>
      <c r="J1840" s="6">
        <v>2811.3916408286668</v>
      </c>
      <c r="K1840" s="6">
        <v>1232658</v>
      </c>
      <c r="M1840" s="6">
        <f>SUM(H1840,J1840)</f>
        <v>228015.39164082866</v>
      </c>
      <c r="N1840" s="6">
        <f>K1840</f>
        <v>1232658</v>
      </c>
      <c r="O1840" s="6">
        <f>SUM(M1840:N1840)</f>
        <v>1460673.3916408287</v>
      </c>
      <c r="P1840" s="8">
        <f>VLOOKUP(F1840,'LEAID Match'!$A$2:$B$436,2,FALSE)</f>
        <v>1804140</v>
      </c>
      <c r="Q1840" s="6">
        <f>COUNTIF($P$2:$P$3691,P1840)</f>
        <v>9</v>
      </c>
    </row>
    <row r="1841" spans="1:17" x14ac:dyDescent="0.2">
      <c r="A1841" s="16">
        <f>P1841</f>
        <v>1804140</v>
      </c>
      <c r="B1841">
        <v>2021</v>
      </c>
      <c r="C1841" t="s">
        <v>904</v>
      </c>
      <c r="D1841" t="s">
        <v>906</v>
      </c>
      <c r="E1841" t="s">
        <v>2747</v>
      </c>
      <c r="F1841" t="s">
        <v>554</v>
      </c>
      <c r="G1841" t="s">
        <v>209</v>
      </c>
      <c r="H1841" s="6">
        <v>244479</v>
      </c>
      <c r="I1841" s="6">
        <v>1.2077489962854897E-3</v>
      </c>
      <c r="J1841" s="6">
        <v>2722.2662376274939</v>
      </c>
      <c r="K1841" s="6">
        <v>2135589</v>
      </c>
      <c r="M1841" s="6">
        <f>SUM(H1841,J1841)</f>
        <v>247201.26623762748</v>
      </c>
      <c r="N1841" s="6">
        <f>K1841</f>
        <v>2135589</v>
      </c>
      <c r="O1841" s="6">
        <f>SUM(M1841:N1841)</f>
        <v>2382790.2662376277</v>
      </c>
      <c r="P1841" s="8">
        <f>VLOOKUP(F1841,'LEAID Match'!$A$2:$B$436,2,FALSE)</f>
        <v>1804140</v>
      </c>
      <c r="Q1841" s="6">
        <f>COUNTIF($P$2:$P$3691,P1841)</f>
        <v>9</v>
      </c>
    </row>
    <row r="1842" spans="1:17" x14ac:dyDescent="0.2">
      <c r="A1842" s="16">
        <f>P1842</f>
        <v>1804140</v>
      </c>
      <c r="B1842">
        <v>2022</v>
      </c>
      <c r="C1842" t="s">
        <v>904</v>
      </c>
      <c r="D1842" t="s">
        <v>906</v>
      </c>
      <c r="E1842" t="s">
        <v>2748</v>
      </c>
      <c r="F1842" t="s">
        <v>554</v>
      </c>
      <c r="G1842" t="s">
        <v>209</v>
      </c>
      <c r="H1842" s="6">
        <v>265360</v>
      </c>
      <c r="I1842" s="6">
        <v>1.2599785974573123E-3</v>
      </c>
      <c r="J1842" s="6">
        <v>2778.2528073933736</v>
      </c>
      <c r="K1842" s="6">
        <v>2055224</v>
      </c>
      <c r="M1842" s="6">
        <f>SUM(H1842,J1842)</f>
        <v>268138.25280739338</v>
      </c>
      <c r="N1842" s="6">
        <f>K1842</f>
        <v>2055224</v>
      </c>
      <c r="O1842" s="6">
        <f>SUM(M1842:N1842)</f>
        <v>2323362.2528073932</v>
      </c>
      <c r="P1842" s="8">
        <f>VLOOKUP(F1842,'LEAID Match'!$A$2:$B$436,2,FALSE)</f>
        <v>1804140</v>
      </c>
      <c r="Q1842" s="6">
        <f>COUNTIF($P$2:$P$3691,P1842)</f>
        <v>9</v>
      </c>
    </row>
    <row r="1843" spans="1:17" x14ac:dyDescent="0.2">
      <c r="A1843" s="16">
        <f>P1843</f>
        <v>1804140</v>
      </c>
      <c r="B1843">
        <v>2023</v>
      </c>
      <c r="C1843" t="s">
        <v>904</v>
      </c>
      <c r="D1843" t="s">
        <v>906</v>
      </c>
      <c r="E1843" t="s">
        <v>2749</v>
      </c>
      <c r="F1843" t="s">
        <v>554</v>
      </c>
      <c r="G1843" t="s">
        <v>209</v>
      </c>
      <c r="H1843" s="6">
        <v>341671</v>
      </c>
      <c r="I1843" s="6">
        <v>1.3972466580069553E-3</v>
      </c>
      <c r="J1843" s="6">
        <v>3447.0075053031587</v>
      </c>
      <c r="K1843" s="6">
        <v>5835407</v>
      </c>
      <c r="M1843" s="6">
        <f>SUM(H1843,J1843)</f>
        <v>345118.00750530313</v>
      </c>
      <c r="N1843" s="6">
        <f>K1843</f>
        <v>5835407</v>
      </c>
      <c r="O1843" s="6">
        <f>SUM(M1843:N1843)</f>
        <v>6180525.0075053032</v>
      </c>
      <c r="P1843" s="8">
        <f>VLOOKUP(F1843,'LEAID Match'!$A$2:$B$436,2,FALSE)</f>
        <v>1804140</v>
      </c>
      <c r="Q1843" s="6">
        <f>COUNTIF($P$2:$P$3691,P1843)</f>
        <v>9</v>
      </c>
    </row>
    <row r="1844" spans="1:17" x14ac:dyDescent="0.2">
      <c r="A1844" s="16">
        <f>P1844</f>
        <v>1810470</v>
      </c>
      <c r="B1844">
        <v>2015</v>
      </c>
      <c r="C1844" t="s">
        <v>904</v>
      </c>
      <c r="D1844" t="s">
        <v>906</v>
      </c>
      <c r="E1844" t="s">
        <v>2750</v>
      </c>
      <c r="F1844" t="s">
        <v>555</v>
      </c>
      <c r="G1844" t="s">
        <v>210</v>
      </c>
      <c r="H1844" s="6">
        <v>199730</v>
      </c>
      <c r="I1844" s="6">
        <v>9.7122848075853561E-4</v>
      </c>
      <c r="J1844" s="6">
        <v>5643.8087016878508</v>
      </c>
      <c r="K1844" s="6">
        <v>821286.34298510896</v>
      </c>
      <c r="M1844" s="6">
        <f>SUM(H1844,J1844)</f>
        <v>205373.80870168784</v>
      </c>
      <c r="N1844" s="6">
        <f>K1844</f>
        <v>821286.34298510896</v>
      </c>
      <c r="O1844" s="6">
        <f>SUM(M1844:N1844)</f>
        <v>1026660.1516867968</v>
      </c>
      <c r="P1844" s="8">
        <f>VLOOKUP(F1844,'LEAID Match'!$A$2:$B$436,2,FALSE)</f>
        <v>1810470</v>
      </c>
      <c r="Q1844" s="6">
        <f>COUNTIF($P$2:$P$3691,P1844)</f>
        <v>9</v>
      </c>
    </row>
    <row r="1845" spans="1:17" x14ac:dyDescent="0.2">
      <c r="A1845" s="16">
        <f>P1845</f>
        <v>1810470</v>
      </c>
      <c r="B1845">
        <v>2016</v>
      </c>
      <c r="C1845" t="s">
        <v>904</v>
      </c>
      <c r="D1845" t="s">
        <v>906</v>
      </c>
      <c r="E1845" t="s">
        <v>2751</v>
      </c>
      <c r="F1845" t="s">
        <v>555</v>
      </c>
      <c r="G1845" t="s">
        <v>210</v>
      </c>
      <c r="H1845" s="6">
        <v>205692</v>
      </c>
      <c r="I1845" s="6">
        <v>9.5443614232123457E-4</v>
      </c>
      <c r="J1845" s="6">
        <v>4817.9936464375924</v>
      </c>
      <c r="K1845" s="6">
        <v>847062.07631009503</v>
      </c>
      <c r="M1845" s="6">
        <f>SUM(H1845,J1845)</f>
        <v>210509.99364643759</v>
      </c>
      <c r="N1845" s="6">
        <f>K1845</f>
        <v>847062.07631009503</v>
      </c>
      <c r="O1845" s="6">
        <f>SUM(M1845:N1845)</f>
        <v>1057572.0699565327</v>
      </c>
      <c r="P1845" s="8">
        <f>VLOOKUP(F1845,'LEAID Match'!$A$2:$B$436,2,FALSE)</f>
        <v>1810470</v>
      </c>
      <c r="Q1845" s="6">
        <f>COUNTIF($P$2:$P$3691,P1845)</f>
        <v>9</v>
      </c>
    </row>
    <row r="1846" spans="1:17" x14ac:dyDescent="0.2">
      <c r="A1846" s="16">
        <f>P1846</f>
        <v>1810470</v>
      </c>
      <c r="B1846">
        <v>2017</v>
      </c>
      <c r="C1846" t="s">
        <v>904</v>
      </c>
      <c r="D1846" t="s">
        <v>906</v>
      </c>
      <c r="E1846" t="s">
        <v>2752</v>
      </c>
      <c r="F1846" t="s">
        <v>555</v>
      </c>
      <c r="G1846" t="s">
        <v>210</v>
      </c>
      <c r="H1846" s="6">
        <v>212985</v>
      </c>
      <c r="I1846" s="6">
        <v>9.3786407128279505E-4</v>
      </c>
      <c r="J1846" s="6">
        <v>4243.8349225546472</v>
      </c>
      <c r="K1846" s="6">
        <v>816879.60608731396</v>
      </c>
      <c r="M1846" s="6">
        <f>SUM(H1846,J1846)</f>
        <v>217228.83492255464</v>
      </c>
      <c r="N1846" s="6">
        <f>K1846</f>
        <v>816879.60608731396</v>
      </c>
      <c r="O1846" s="6">
        <f>SUM(M1846:N1846)</f>
        <v>1034108.4410098686</v>
      </c>
      <c r="P1846" s="8">
        <f>VLOOKUP(F1846,'LEAID Match'!$A$2:$B$436,2,FALSE)</f>
        <v>1810470</v>
      </c>
      <c r="Q1846" s="6">
        <f>COUNTIF($P$2:$P$3691,P1846)</f>
        <v>9</v>
      </c>
    </row>
    <row r="1847" spans="1:17" x14ac:dyDescent="0.2">
      <c r="A1847" s="16">
        <f>P1847</f>
        <v>1810470</v>
      </c>
      <c r="B1847">
        <v>2018</v>
      </c>
      <c r="C1847" t="s">
        <v>904</v>
      </c>
      <c r="D1847" t="s">
        <v>906</v>
      </c>
      <c r="E1847" t="s">
        <v>2753</v>
      </c>
      <c r="F1847" t="s">
        <v>555</v>
      </c>
      <c r="G1847" t="s">
        <v>210</v>
      </c>
      <c r="H1847" s="6">
        <v>222589</v>
      </c>
      <c r="I1847" s="6">
        <v>9.4430507832065616E-4</v>
      </c>
      <c r="J1847" s="6">
        <v>3935.8635664404947</v>
      </c>
      <c r="K1847" s="6">
        <v>891464</v>
      </c>
      <c r="M1847" s="6">
        <f>SUM(H1847,J1847)</f>
        <v>226524.8635664405</v>
      </c>
      <c r="N1847" s="6">
        <f>K1847</f>
        <v>891464</v>
      </c>
      <c r="O1847" s="6">
        <f>SUM(M1847:N1847)</f>
        <v>1117988.8635664405</v>
      </c>
      <c r="P1847" s="8">
        <f>VLOOKUP(F1847,'LEAID Match'!$A$2:$B$436,2,FALSE)</f>
        <v>1810470</v>
      </c>
      <c r="Q1847" s="6">
        <f>COUNTIF($P$2:$P$3691,P1847)</f>
        <v>9</v>
      </c>
    </row>
    <row r="1848" spans="1:17" x14ac:dyDescent="0.2">
      <c r="A1848" s="16">
        <f>P1848</f>
        <v>1810470</v>
      </c>
      <c r="B1848">
        <v>2019</v>
      </c>
      <c r="C1848" t="s">
        <v>904</v>
      </c>
      <c r="D1848" t="s">
        <v>906</v>
      </c>
      <c r="E1848" t="s">
        <v>2754</v>
      </c>
      <c r="F1848" t="s">
        <v>555</v>
      </c>
      <c r="G1848" t="s">
        <v>210</v>
      </c>
      <c r="H1848" s="6">
        <v>224861</v>
      </c>
      <c r="I1848" s="6">
        <v>5.7204516448208385E-4</v>
      </c>
      <c r="J1848" s="6">
        <v>2005.0183015097039</v>
      </c>
      <c r="K1848" s="6">
        <v>539953.43075463898</v>
      </c>
      <c r="M1848" s="6">
        <f>SUM(H1848,J1848)</f>
        <v>226866.0183015097</v>
      </c>
      <c r="N1848" s="6">
        <f>K1848</f>
        <v>539953.43075463898</v>
      </c>
      <c r="O1848" s="6">
        <f>SUM(M1848:N1848)</f>
        <v>766819.44905614865</v>
      </c>
      <c r="P1848" s="8">
        <f>VLOOKUP(F1848,'LEAID Match'!$A$2:$B$436,2,FALSE)</f>
        <v>1810470</v>
      </c>
      <c r="Q1848" s="6">
        <f>COUNTIF($P$2:$P$3691,P1848)</f>
        <v>9</v>
      </c>
    </row>
    <row r="1849" spans="1:17" x14ac:dyDescent="0.2">
      <c r="A1849" s="16">
        <f>P1849</f>
        <v>1810470</v>
      </c>
      <c r="B1849">
        <v>2020</v>
      </c>
      <c r="C1849" t="s">
        <v>904</v>
      </c>
      <c r="D1849" t="s">
        <v>906</v>
      </c>
      <c r="E1849" t="s">
        <v>2755</v>
      </c>
      <c r="F1849" t="s">
        <v>555</v>
      </c>
      <c r="G1849" t="s">
        <v>210</v>
      </c>
      <c r="H1849" s="6">
        <v>158633</v>
      </c>
      <c r="I1849" s="6">
        <v>8.405498994617901E-4</v>
      </c>
      <c r="J1849" s="6">
        <v>1980.3355631319776</v>
      </c>
      <c r="K1849" s="6">
        <v>931218</v>
      </c>
      <c r="M1849" s="6">
        <f>SUM(H1849,J1849)</f>
        <v>160613.33556313199</v>
      </c>
      <c r="N1849" s="6">
        <f>K1849</f>
        <v>931218</v>
      </c>
      <c r="O1849" s="6">
        <f>SUM(M1849:N1849)</f>
        <v>1091831.3355631321</v>
      </c>
      <c r="P1849" s="8">
        <f>VLOOKUP(F1849,'LEAID Match'!$A$2:$B$436,2,FALSE)</f>
        <v>1810470</v>
      </c>
      <c r="Q1849" s="6">
        <f>COUNTIF($P$2:$P$3691,P1849)</f>
        <v>9</v>
      </c>
    </row>
    <row r="1850" spans="1:17" x14ac:dyDescent="0.2">
      <c r="A1850" s="16">
        <f>P1850</f>
        <v>1810470</v>
      </c>
      <c r="B1850">
        <v>2021</v>
      </c>
      <c r="C1850" t="s">
        <v>904</v>
      </c>
      <c r="D1850" t="s">
        <v>906</v>
      </c>
      <c r="E1850" t="s">
        <v>2756</v>
      </c>
      <c r="F1850" t="s">
        <v>555</v>
      </c>
      <c r="G1850" t="s">
        <v>210</v>
      </c>
      <c r="H1850" s="6">
        <v>160365</v>
      </c>
      <c r="I1850" s="6">
        <v>7.922180137734634E-4</v>
      </c>
      <c r="J1850" s="6">
        <v>1785.6594030453866</v>
      </c>
      <c r="K1850" s="6">
        <v>1460435</v>
      </c>
      <c r="M1850" s="6">
        <f>SUM(H1850,J1850)</f>
        <v>162150.6594030454</v>
      </c>
      <c r="N1850" s="6">
        <f>K1850</f>
        <v>1460435</v>
      </c>
      <c r="O1850" s="6">
        <f>SUM(M1850:N1850)</f>
        <v>1622585.6594030454</v>
      </c>
      <c r="P1850" s="8">
        <f>VLOOKUP(F1850,'LEAID Match'!$A$2:$B$436,2,FALSE)</f>
        <v>1810470</v>
      </c>
      <c r="Q1850" s="6">
        <f>COUNTIF($P$2:$P$3691,P1850)</f>
        <v>9</v>
      </c>
    </row>
    <row r="1851" spans="1:17" x14ac:dyDescent="0.2">
      <c r="A1851" s="16">
        <f>P1851</f>
        <v>1810470</v>
      </c>
      <c r="B1851">
        <v>2022</v>
      </c>
      <c r="C1851" t="s">
        <v>904</v>
      </c>
      <c r="D1851" t="s">
        <v>906</v>
      </c>
      <c r="E1851" t="s">
        <v>2757</v>
      </c>
      <c r="F1851" t="s">
        <v>555</v>
      </c>
      <c r="G1851" t="s">
        <v>210</v>
      </c>
      <c r="H1851" s="6">
        <v>180333</v>
      </c>
      <c r="I1851" s="6">
        <v>8.5625459909281537E-4</v>
      </c>
      <c r="J1851" s="6">
        <v>1888.041390999658</v>
      </c>
      <c r="K1851" s="6">
        <v>1304205</v>
      </c>
      <c r="M1851" s="6">
        <f>SUM(H1851,J1851)</f>
        <v>182221.04139099966</v>
      </c>
      <c r="N1851" s="6">
        <f>K1851</f>
        <v>1304205</v>
      </c>
      <c r="O1851" s="6">
        <f>SUM(M1851:N1851)</f>
        <v>1486426.0413909997</v>
      </c>
      <c r="P1851" s="8">
        <f>VLOOKUP(F1851,'LEAID Match'!$A$2:$B$436,2,FALSE)</f>
        <v>1810470</v>
      </c>
      <c r="Q1851" s="6">
        <f>COUNTIF($P$2:$P$3691,P1851)</f>
        <v>9</v>
      </c>
    </row>
    <row r="1852" spans="1:17" x14ac:dyDescent="0.2">
      <c r="A1852" s="16">
        <f>P1852</f>
        <v>1810470</v>
      </c>
      <c r="B1852">
        <v>2023</v>
      </c>
      <c r="C1852" t="s">
        <v>904</v>
      </c>
      <c r="D1852" t="s">
        <v>906</v>
      </c>
      <c r="E1852" t="s">
        <v>2758</v>
      </c>
      <c r="F1852" t="s">
        <v>555</v>
      </c>
      <c r="G1852" t="s">
        <v>210</v>
      </c>
      <c r="H1852" s="6">
        <v>209643</v>
      </c>
      <c r="I1852" s="6">
        <v>8.5732468112468467E-4</v>
      </c>
      <c r="J1852" s="6">
        <v>2115.0199883345972</v>
      </c>
      <c r="K1852" s="6">
        <v>3469736</v>
      </c>
      <c r="M1852" s="6">
        <f>SUM(H1852,J1852)</f>
        <v>211758.01998833459</v>
      </c>
      <c r="N1852" s="6">
        <f>K1852</f>
        <v>3469736</v>
      </c>
      <c r="O1852" s="6">
        <f>SUM(M1852:N1852)</f>
        <v>3681494.0199883347</v>
      </c>
      <c r="P1852" s="8">
        <f>VLOOKUP(F1852,'LEAID Match'!$A$2:$B$436,2,FALSE)</f>
        <v>1810470</v>
      </c>
      <c r="Q1852" s="6">
        <f>COUNTIF($P$2:$P$3691,P1852)</f>
        <v>9</v>
      </c>
    </row>
    <row r="1853" spans="1:17" x14ac:dyDescent="0.2">
      <c r="A1853" s="16">
        <f>P1853</f>
        <v>1807920</v>
      </c>
      <c r="B1853">
        <v>2015</v>
      </c>
      <c r="C1853" t="s">
        <v>904</v>
      </c>
      <c r="D1853" t="s">
        <v>906</v>
      </c>
      <c r="E1853" t="s">
        <v>2759</v>
      </c>
      <c r="F1853" t="s">
        <v>556</v>
      </c>
      <c r="G1853" t="s">
        <v>211</v>
      </c>
      <c r="H1853" s="6">
        <v>233803</v>
      </c>
      <c r="I1853" s="6">
        <v>1.1369154983567212E-3</v>
      </c>
      <c r="J1853" s="6">
        <v>6606.6159609509068</v>
      </c>
      <c r="K1853" s="6">
        <v>961393.93605841696</v>
      </c>
      <c r="M1853" s="6">
        <f>SUM(H1853,J1853)</f>
        <v>240409.6159609509</v>
      </c>
      <c r="N1853" s="6">
        <f>K1853</f>
        <v>961393.93605841696</v>
      </c>
      <c r="O1853" s="6">
        <f>SUM(M1853:N1853)</f>
        <v>1201803.5520193679</v>
      </c>
      <c r="P1853" s="8">
        <f>VLOOKUP(F1853,'LEAID Match'!$A$2:$B$436,2,FALSE)</f>
        <v>1807920</v>
      </c>
      <c r="Q1853" s="6">
        <f>COUNTIF($P$2:$P$3691,P1853)</f>
        <v>9</v>
      </c>
    </row>
    <row r="1854" spans="1:17" x14ac:dyDescent="0.2">
      <c r="A1854" s="16">
        <f>P1854</f>
        <v>1807920</v>
      </c>
      <c r="B1854">
        <v>2016</v>
      </c>
      <c r="C1854" t="s">
        <v>904</v>
      </c>
      <c r="D1854" t="s">
        <v>906</v>
      </c>
      <c r="E1854" t="s">
        <v>2760</v>
      </c>
      <c r="F1854" t="s">
        <v>556</v>
      </c>
      <c r="G1854" t="s">
        <v>211</v>
      </c>
      <c r="H1854" s="6">
        <v>206325</v>
      </c>
      <c r="I1854" s="6">
        <v>9.5737334006392426E-4</v>
      </c>
      <c r="J1854" s="6">
        <v>4832.8206206426894</v>
      </c>
      <c r="K1854" s="6">
        <v>849668.83930673206</v>
      </c>
      <c r="M1854" s="6">
        <f>SUM(H1854,J1854)</f>
        <v>211157.82062064268</v>
      </c>
      <c r="N1854" s="6">
        <f>K1854</f>
        <v>849668.83930673206</v>
      </c>
      <c r="O1854" s="6">
        <f>SUM(M1854:N1854)</f>
        <v>1060826.6599273747</v>
      </c>
      <c r="P1854" s="8">
        <f>VLOOKUP(F1854,'LEAID Match'!$A$2:$B$436,2,FALSE)</f>
        <v>1807920</v>
      </c>
      <c r="Q1854" s="6">
        <f>COUNTIF($P$2:$P$3691,P1854)</f>
        <v>9</v>
      </c>
    </row>
    <row r="1855" spans="1:17" x14ac:dyDescent="0.2">
      <c r="A1855" s="16">
        <f>P1855</f>
        <v>1807920</v>
      </c>
      <c r="B1855">
        <v>2017</v>
      </c>
      <c r="C1855" t="s">
        <v>904</v>
      </c>
      <c r="D1855" t="s">
        <v>906</v>
      </c>
      <c r="E1855" t="s">
        <v>2761</v>
      </c>
      <c r="F1855" t="s">
        <v>556</v>
      </c>
      <c r="G1855" t="s">
        <v>211</v>
      </c>
      <c r="H1855" s="6">
        <v>223988</v>
      </c>
      <c r="I1855" s="6">
        <v>9.8631498743334371E-4</v>
      </c>
      <c r="J1855" s="6">
        <v>4463.0753181358805</v>
      </c>
      <c r="K1855" s="6">
        <v>859080.35405444202</v>
      </c>
      <c r="M1855" s="6">
        <f>SUM(H1855,J1855)</f>
        <v>228451.07531813587</v>
      </c>
      <c r="N1855" s="6">
        <f>K1855</f>
        <v>859080.35405444202</v>
      </c>
      <c r="O1855" s="6">
        <f>SUM(M1855:N1855)</f>
        <v>1087531.4293725779</v>
      </c>
      <c r="P1855" s="8">
        <f>VLOOKUP(F1855,'LEAID Match'!$A$2:$B$436,2,FALSE)</f>
        <v>1807920</v>
      </c>
      <c r="Q1855" s="6">
        <f>COUNTIF($P$2:$P$3691,P1855)</f>
        <v>9</v>
      </c>
    </row>
    <row r="1856" spans="1:17" x14ac:dyDescent="0.2">
      <c r="A1856" s="16">
        <f>P1856</f>
        <v>1807920</v>
      </c>
      <c r="B1856">
        <v>2018</v>
      </c>
      <c r="C1856" t="s">
        <v>904</v>
      </c>
      <c r="D1856" t="s">
        <v>906</v>
      </c>
      <c r="E1856" t="s">
        <v>2762</v>
      </c>
      <c r="F1856" t="s">
        <v>556</v>
      </c>
      <c r="G1856" t="s">
        <v>211</v>
      </c>
      <c r="H1856" s="6">
        <v>239562</v>
      </c>
      <c r="I1856" s="6">
        <v>1.016310838238426E-3</v>
      </c>
      <c r="J1856" s="6">
        <v>4235.9835737777594</v>
      </c>
      <c r="K1856" s="6">
        <v>1386672</v>
      </c>
      <c r="M1856" s="6">
        <f>SUM(H1856,J1856)</f>
        <v>243797.98357377775</v>
      </c>
      <c r="N1856" s="6">
        <f>K1856</f>
        <v>1386672</v>
      </c>
      <c r="O1856" s="6">
        <f>SUM(M1856:N1856)</f>
        <v>1630469.9835737778</v>
      </c>
      <c r="P1856" s="8">
        <f>VLOOKUP(F1856,'LEAID Match'!$A$2:$B$436,2,FALSE)</f>
        <v>1807920</v>
      </c>
      <c r="Q1856" s="6">
        <f>COUNTIF($P$2:$P$3691,P1856)</f>
        <v>9</v>
      </c>
    </row>
    <row r="1857" spans="1:17" x14ac:dyDescent="0.2">
      <c r="A1857" s="16">
        <f>P1857</f>
        <v>1807920</v>
      </c>
      <c r="B1857">
        <v>2019</v>
      </c>
      <c r="C1857" t="s">
        <v>904</v>
      </c>
      <c r="D1857" t="s">
        <v>906</v>
      </c>
      <c r="E1857" t="s">
        <v>2763</v>
      </c>
      <c r="F1857" t="s">
        <v>556</v>
      </c>
      <c r="G1857" t="s">
        <v>211</v>
      </c>
      <c r="H1857" s="6">
        <v>245627</v>
      </c>
      <c r="I1857" s="6">
        <v>6.2487375585913436E-4</v>
      </c>
      <c r="J1857" s="6">
        <v>2190.1825142862658</v>
      </c>
      <c r="K1857" s="6">
        <v>589818.33815543598</v>
      </c>
      <c r="M1857" s="6">
        <f>SUM(H1857,J1857)</f>
        <v>247817.18251428628</v>
      </c>
      <c r="N1857" s="6">
        <f>K1857</f>
        <v>589818.33815543598</v>
      </c>
      <c r="O1857" s="6">
        <f>SUM(M1857:N1857)</f>
        <v>837635.52066972223</v>
      </c>
      <c r="P1857" s="8">
        <f>VLOOKUP(F1857,'LEAID Match'!$A$2:$B$436,2,FALSE)</f>
        <v>1807920</v>
      </c>
      <c r="Q1857" s="6">
        <f>COUNTIF($P$2:$P$3691,P1857)</f>
        <v>9</v>
      </c>
    </row>
    <row r="1858" spans="1:17" x14ac:dyDescent="0.2">
      <c r="A1858" s="16">
        <f>P1858</f>
        <v>1807920</v>
      </c>
      <c r="B1858">
        <v>2020</v>
      </c>
      <c r="C1858" t="s">
        <v>904</v>
      </c>
      <c r="D1858" t="s">
        <v>906</v>
      </c>
      <c r="E1858" t="s">
        <v>2764</v>
      </c>
      <c r="F1858" t="s">
        <v>556</v>
      </c>
      <c r="G1858" t="s">
        <v>211</v>
      </c>
      <c r="H1858" s="6">
        <v>182364</v>
      </c>
      <c r="I1858" s="6">
        <v>9.6629353202328579E-4</v>
      </c>
      <c r="J1858" s="6">
        <v>2276.5875614468614</v>
      </c>
      <c r="K1858" s="6">
        <v>1413191</v>
      </c>
      <c r="M1858" s="6">
        <f>SUM(H1858,J1858)</f>
        <v>184640.58756144685</v>
      </c>
      <c r="N1858" s="6">
        <f>K1858</f>
        <v>1413191</v>
      </c>
      <c r="O1858" s="6">
        <f>SUM(M1858:N1858)</f>
        <v>1597831.5875614469</v>
      </c>
      <c r="P1858" s="8">
        <f>VLOOKUP(F1858,'LEAID Match'!$A$2:$B$436,2,FALSE)</f>
        <v>1807920</v>
      </c>
      <c r="Q1858" s="6">
        <f>COUNTIF($P$2:$P$3691,P1858)</f>
        <v>9</v>
      </c>
    </row>
    <row r="1859" spans="1:17" x14ac:dyDescent="0.2">
      <c r="A1859" s="16">
        <f>P1859</f>
        <v>1807920</v>
      </c>
      <c r="B1859">
        <v>2021</v>
      </c>
      <c r="C1859" t="s">
        <v>904</v>
      </c>
      <c r="D1859" t="s">
        <v>906</v>
      </c>
      <c r="E1859" t="s">
        <v>2765</v>
      </c>
      <c r="F1859" t="s">
        <v>556</v>
      </c>
      <c r="G1859" t="s">
        <v>211</v>
      </c>
      <c r="H1859" s="6">
        <v>181638</v>
      </c>
      <c r="I1859" s="6">
        <v>8.9730861213970848E-4</v>
      </c>
      <c r="J1859" s="6">
        <v>2022.5336117629029</v>
      </c>
      <c r="K1859" s="6">
        <v>2335546</v>
      </c>
      <c r="M1859" s="6">
        <f>SUM(H1859,J1859)</f>
        <v>183660.53361176289</v>
      </c>
      <c r="N1859" s="6">
        <f>K1859</f>
        <v>2335546</v>
      </c>
      <c r="O1859" s="6">
        <f>SUM(M1859:N1859)</f>
        <v>2519206.5336117628</v>
      </c>
      <c r="P1859" s="8">
        <f>VLOOKUP(F1859,'LEAID Match'!$A$2:$B$436,2,FALSE)</f>
        <v>1807920</v>
      </c>
      <c r="Q1859" s="6">
        <f>COUNTIF($P$2:$P$3691,P1859)</f>
        <v>9</v>
      </c>
    </row>
    <row r="1860" spans="1:17" x14ac:dyDescent="0.2">
      <c r="A1860" s="16">
        <f>P1860</f>
        <v>1807920</v>
      </c>
      <c r="B1860">
        <v>2022</v>
      </c>
      <c r="C1860" t="s">
        <v>904</v>
      </c>
      <c r="D1860" t="s">
        <v>906</v>
      </c>
      <c r="E1860" t="s">
        <v>2766</v>
      </c>
      <c r="F1860" t="s">
        <v>556</v>
      </c>
      <c r="G1860" t="s">
        <v>211</v>
      </c>
      <c r="H1860" s="6">
        <v>193460</v>
      </c>
      <c r="I1860" s="6">
        <v>9.1858403476067097E-4</v>
      </c>
      <c r="J1860" s="6">
        <v>2025.4777966472795</v>
      </c>
      <c r="K1860" s="6">
        <v>2347166</v>
      </c>
      <c r="M1860" s="6">
        <f>SUM(H1860,J1860)</f>
        <v>195485.47779664729</v>
      </c>
      <c r="N1860" s="6">
        <f>K1860</f>
        <v>2347166</v>
      </c>
      <c r="O1860" s="6">
        <f>SUM(M1860:N1860)</f>
        <v>2542651.4777966472</v>
      </c>
      <c r="P1860" s="8">
        <f>VLOOKUP(F1860,'LEAID Match'!$A$2:$B$436,2,FALSE)</f>
        <v>1807920</v>
      </c>
      <c r="Q1860" s="6">
        <f>COUNTIF($P$2:$P$3691,P1860)</f>
        <v>9</v>
      </c>
    </row>
    <row r="1861" spans="1:17" x14ac:dyDescent="0.2">
      <c r="A1861" s="16">
        <f>P1861</f>
        <v>1807920</v>
      </c>
      <c r="B1861">
        <v>2023</v>
      </c>
      <c r="C1861" t="s">
        <v>904</v>
      </c>
      <c r="D1861" t="s">
        <v>906</v>
      </c>
      <c r="E1861" t="s">
        <v>2767</v>
      </c>
      <c r="F1861" t="s">
        <v>556</v>
      </c>
      <c r="G1861" t="s">
        <v>211</v>
      </c>
      <c r="H1861" s="6">
        <v>232420</v>
      </c>
      <c r="I1861" s="6">
        <v>9.5047009624456432E-4</v>
      </c>
      <c r="J1861" s="6">
        <v>2344.8097274353404</v>
      </c>
      <c r="K1861" s="6">
        <v>6505384</v>
      </c>
      <c r="M1861" s="6">
        <f>SUM(H1861,J1861)</f>
        <v>234764.80972743535</v>
      </c>
      <c r="N1861" s="6">
        <f>K1861</f>
        <v>6505384</v>
      </c>
      <c r="O1861" s="6">
        <f>SUM(M1861:N1861)</f>
        <v>6740148.809727435</v>
      </c>
      <c r="P1861" s="8">
        <f>VLOOKUP(F1861,'LEAID Match'!$A$2:$B$436,2,FALSE)</f>
        <v>1807920</v>
      </c>
      <c r="Q1861" s="6">
        <f>COUNTIF($P$2:$P$3691,P1861)</f>
        <v>9</v>
      </c>
    </row>
    <row r="1862" spans="1:17" x14ac:dyDescent="0.2">
      <c r="A1862" s="16">
        <f>P1862</f>
        <v>1802970</v>
      </c>
      <c r="B1862">
        <v>2015</v>
      </c>
      <c r="C1862" t="s">
        <v>904</v>
      </c>
      <c r="D1862" t="s">
        <v>906</v>
      </c>
      <c r="E1862" t="s">
        <v>2768</v>
      </c>
      <c r="F1862" t="s">
        <v>557</v>
      </c>
      <c r="G1862" t="s">
        <v>212</v>
      </c>
      <c r="H1862" s="6">
        <v>665939</v>
      </c>
      <c r="I1862" s="6">
        <v>3.2382662757115027E-3</v>
      </c>
      <c r="J1862" s="6">
        <v>18817.565328159544</v>
      </c>
      <c r="K1862" s="6">
        <v>2738329.7750020502</v>
      </c>
      <c r="M1862" s="6">
        <f>SUM(H1862,J1862)</f>
        <v>684756.5653281596</v>
      </c>
      <c r="N1862" s="6">
        <f>K1862</f>
        <v>2738329.7750020502</v>
      </c>
      <c r="O1862" s="6">
        <f>SUM(M1862:N1862)</f>
        <v>3423086.3403302096</v>
      </c>
      <c r="P1862" s="8">
        <f>VLOOKUP(F1862,'LEAID Match'!$A$2:$B$436,2,FALSE)</f>
        <v>1802970</v>
      </c>
      <c r="Q1862" s="6">
        <f>COUNTIF($P$2:$P$3691,P1862)</f>
        <v>9</v>
      </c>
    </row>
    <row r="1863" spans="1:17" x14ac:dyDescent="0.2">
      <c r="A1863" s="16">
        <f>P1863</f>
        <v>1802970</v>
      </c>
      <c r="B1863">
        <v>2016</v>
      </c>
      <c r="C1863" t="s">
        <v>904</v>
      </c>
      <c r="D1863" t="s">
        <v>906</v>
      </c>
      <c r="E1863" t="s">
        <v>2769</v>
      </c>
      <c r="F1863" t="s">
        <v>557</v>
      </c>
      <c r="G1863" t="s">
        <v>212</v>
      </c>
      <c r="H1863" s="6">
        <v>718986</v>
      </c>
      <c r="I1863" s="6">
        <v>3.3361833431683058E-3</v>
      </c>
      <c r="J1863" s="6">
        <v>16841.053516313608</v>
      </c>
      <c r="K1863" s="6">
        <v>2960862.7170618698</v>
      </c>
      <c r="M1863" s="6">
        <f>SUM(H1863,J1863)</f>
        <v>735827.05351631367</v>
      </c>
      <c r="N1863" s="6">
        <f>K1863</f>
        <v>2960862.7170618698</v>
      </c>
      <c r="O1863" s="6">
        <f>SUM(M1863:N1863)</f>
        <v>3696689.7705781832</v>
      </c>
      <c r="P1863" s="8">
        <f>VLOOKUP(F1863,'LEAID Match'!$A$2:$B$436,2,FALSE)</f>
        <v>1802970</v>
      </c>
      <c r="Q1863" s="6">
        <f>COUNTIF($P$2:$P$3691,P1863)</f>
        <v>9</v>
      </c>
    </row>
    <row r="1864" spans="1:17" x14ac:dyDescent="0.2">
      <c r="A1864" s="16">
        <f>P1864</f>
        <v>1802970</v>
      </c>
      <c r="B1864">
        <v>2017</v>
      </c>
      <c r="C1864" t="s">
        <v>904</v>
      </c>
      <c r="D1864" t="s">
        <v>906</v>
      </c>
      <c r="E1864" t="s">
        <v>2770</v>
      </c>
      <c r="F1864" t="s">
        <v>557</v>
      </c>
      <c r="G1864" t="s">
        <v>212</v>
      </c>
      <c r="H1864" s="6">
        <v>764089</v>
      </c>
      <c r="I1864" s="6">
        <v>3.3646107489372469E-3</v>
      </c>
      <c r="J1864" s="6">
        <v>15224.863638941042</v>
      </c>
      <c r="K1864" s="6">
        <v>2930575.9623243399</v>
      </c>
      <c r="M1864" s="6">
        <f>SUM(H1864,J1864)</f>
        <v>779313.86363894108</v>
      </c>
      <c r="N1864" s="6">
        <f>K1864</f>
        <v>2930575.9623243399</v>
      </c>
      <c r="O1864" s="6">
        <f>SUM(M1864:N1864)</f>
        <v>3709889.8259632811</v>
      </c>
      <c r="P1864" s="8">
        <f>VLOOKUP(F1864,'LEAID Match'!$A$2:$B$436,2,FALSE)</f>
        <v>1802970</v>
      </c>
      <c r="Q1864" s="6">
        <f>COUNTIF($P$2:$P$3691,P1864)</f>
        <v>9</v>
      </c>
    </row>
    <row r="1865" spans="1:17" x14ac:dyDescent="0.2">
      <c r="A1865" s="16">
        <f>P1865</f>
        <v>1802970</v>
      </c>
      <c r="B1865">
        <v>2018</v>
      </c>
      <c r="C1865" t="s">
        <v>904</v>
      </c>
      <c r="D1865" t="s">
        <v>906</v>
      </c>
      <c r="E1865" t="s">
        <v>2771</v>
      </c>
      <c r="F1865" t="s">
        <v>557</v>
      </c>
      <c r="G1865" t="s">
        <v>212</v>
      </c>
      <c r="H1865" s="6">
        <v>782506</v>
      </c>
      <c r="I1865" s="6">
        <v>3.319680620409739E-3</v>
      </c>
      <c r="J1865" s="6">
        <v>13836.428825867792</v>
      </c>
      <c r="K1865" s="6">
        <v>3191355</v>
      </c>
      <c r="M1865" s="6">
        <f>SUM(H1865,J1865)</f>
        <v>796342.42882586783</v>
      </c>
      <c r="N1865" s="6">
        <f>K1865</f>
        <v>3191355</v>
      </c>
      <c r="O1865" s="6">
        <f>SUM(M1865:N1865)</f>
        <v>3987697.4288258678</v>
      </c>
      <c r="P1865" s="8">
        <f>VLOOKUP(F1865,'LEAID Match'!$A$2:$B$436,2,FALSE)</f>
        <v>1802970</v>
      </c>
      <c r="Q1865" s="6">
        <f>COUNTIF($P$2:$P$3691,P1865)</f>
        <v>9</v>
      </c>
    </row>
    <row r="1866" spans="1:17" x14ac:dyDescent="0.2">
      <c r="A1866" s="16">
        <f>P1866</f>
        <v>1802970</v>
      </c>
      <c r="B1866">
        <v>2019</v>
      </c>
      <c r="C1866" t="s">
        <v>904</v>
      </c>
      <c r="D1866" t="s">
        <v>906</v>
      </c>
      <c r="E1866" t="s">
        <v>2772</v>
      </c>
      <c r="F1866" t="s">
        <v>557</v>
      </c>
      <c r="G1866" t="s">
        <v>212</v>
      </c>
      <c r="H1866" s="6">
        <v>838879</v>
      </c>
      <c r="I1866" s="6">
        <v>2.1341036263983794E-3</v>
      </c>
      <c r="J1866" s="6">
        <v>7480.0332105263196</v>
      </c>
      <c r="K1866" s="6">
        <v>2014380.4129574299</v>
      </c>
      <c r="M1866" s="6">
        <f>SUM(H1866,J1866)</f>
        <v>846359.03321052634</v>
      </c>
      <c r="N1866" s="6">
        <f>K1866</f>
        <v>2014380.4129574299</v>
      </c>
      <c r="O1866" s="6">
        <f>SUM(M1866:N1866)</f>
        <v>2860739.4461679561</v>
      </c>
      <c r="P1866" s="8">
        <f>VLOOKUP(F1866,'LEAID Match'!$A$2:$B$436,2,FALSE)</f>
        <v>1802970</v>
      </c>
      <c r="Q1866" s="6">
        <f>COUNTIF($P$2:$P$3691,P1866)</f>
        <v>9</v>
      </c>
    </row>
    <row r="1867" spans="1:17" x14ac:dyDescent="0.2">
      <c r="A1867" s="16">
        <f>P1867</f>
        <v>1802970</v>
      </c>
      <c r="B1867">
        <v>2020</v>
      </c>
      <c r="C1867" t="s">
        <v>904</v>
      </c>
      <c r="D1867" t="s">
        <v>906</v>
      </c>
      <c r="E1867" t="s">
        <v>2773</v>
      </c>
      <c r="F1867" t="s">
        <v>557</v>
      </c>
      <c r="G1867" t="s">
        <v>212</v>
      </c>
      <c r="H1867" s="6">
        <v>634572</v>
      </c>
      <c r="I1867" s="6">
        <v>3.3624115461553844E-3</v>
      </c>
      <c r="J1867" s="6">
        <v>7921.8416027420853</v>
      </c>
      <c r="K1867" s="6">
        <v>3317290</v>
      </c>
      <c r="M1867" s="6">
        <f>SUM(H1867,J1867)</f>
        <v>642493.84160274209</v>
      </c>
      <c r="N1867" s="6">
        <f>K1867</f>
        <v>3317290</v>
      </c>
      <c r="O1867" s="6">
        <f>SUM(M1867:N1867)</f>
        <v>3959783.8416027422</v>
      </c>
      <c r="P1867" s="8">
        <f>VLOOKUP(F1867,'LEAID Match'!$A$2:$B$436,2,FALSE)</f>
        <v>1802970</v>
      </c>
      <c r="Q1867" s="6">
        <f>COUNTIF($P$2:$P$3691,P1867)</f>
        <v>9</v>
      </c>
    </row>
    <row r="1868" spans="1:17" x14ac:dyDescent="0.2">
      <c r="A1868" s="16">
        <f>P1868</f>
        <v>1802970</v>
      </c>
      <c r="B1868">
        <v>2021</v>
      </c>
      <c r="C1868" t="s">
        <v>904</v>
      </c>
      <c r="D1868" t="s">
        <v>906</v>
      </c>
      <c r="E1868" t="s">
        <v>2774</v>
      </c>
      <c r="F1868" t="s">
        <v>557</v>
      </c>
      <c r="G1868" t="s">
        <v>212</v>
      </c>
      <c r="H1868" s="6">
        <v>673850</v>
      </c>
      <c r="I1868" s="6">
        <v>3.3288816673292072E-3</v>
      </c>
      <c r="J1868" s="6">
        <v>7503.2992781600333</v>
      </c>
      <c r="K1868" s="6">
        <v>5784839</v>
      </c>
      <c r="M1868" s="6">
        <f>SUM(H1868,J1868)</f>
        <v>681353.29927816009</v>
      </c>
      <c r="N1868" s="6">
        <f>K1868</f>
        <v>5784839</v>
      </c>
      <c r="O1868" s="6">
        <f>SUM(M1868:N1868)</f>
        <v>6466192.2992781606</v>
      </c>
      <c r="P1868" s="8">
        <f>VLOOKUP(F1868,'LEAID Match'!$A$2:$B$436,2,FALSE)</f>
        <v>1802970</v>
      </c>
      <c r="Q1868" s="6">
        <f>COUNTIF($P$2:$P$3691,P1868)</f>
        <v>9</v>
      </c>
    </row>
    <row r="1869" spans="1:17" x14ac:dyDescent="0.2">
      <c r="A1869" s="16">
        <f>P1869</f>
        <v>1802970</v>
      </c>
      <c r="B1869">
        <v>2022</v>
      </c>
      <c r="C1869" t="s">
        <v>904</v>
      </c>
      <c r="D1869" t="s">
        <v>906</v>
      </c>
      <c r="E1869" t="s">
        <v>2775</v>
      </c>
      <c r="F1869" t="s">
        <v>557</v>
      </c>
      <c r="G1869" t="s">
        <v>212</v>
      </c>
      <c r="H1869" s="6">
        <v>706968</v>
      </c>
      <c r="I1869" s="6">
        <v>3.3568154548055517E-3</v>
      </c>
      <c r="J1869" s="6">
        <v>7401.7780778462411</v>
      </c>
      <c r="K1869" s="6">
        <v>5461630</v>
      </c>
      <c r="M1869" s="6">
        <f>SUM(H1869,J1869)</f>
        <v>714369.77807784628</v>
      </c>
      <c r="N1869" s="6">
        <f>K1869</f>
        <v>5461630</v>
      </c>
      <c r="O1869" s="6">
        <f>SUM(M1869:N1869)</f>
        <v>6175999.7780778464</v>
      </c>
      <c r="P1869" s="8">
        <f>VLOOKUP(F1869,'LEAID Match'!$A$2:$B$436,2,FALSE)</f>
        <v>1802970</v>
      </c>
      <c r="Q1869" s="6">
        <f>COUNTIF($P$2:$P$3691,P1869)</f>
        <v>9</v>
      </c>
    </row>
    <row r="1870" spans="1:17" x14ac:dyDescent="0.2">
      <c r="A1870" s="16">
        <f>P1870</f>
        <v>1802970</v>
      </c>
      <c r="B1870">
        <v>2023</v>
      </c>
      <c r="C1870" t="s">
        <v>904</v>
      </c>
      <c r="D1870" t="s">
        <v>906</v>
      </c>
      <c r="E1870" t="s">
        <v>2776</v>
      </c>
      <c r="F1870" t="s">
        <v>557</v>
      </c>
      <c r="G1870" t="s">
        <v>212</v>
      </c>
      <c r="H1870" s="6">
        <v>782832</v>
      </c>
      <c r="I1870" s="6">
        <v>3.2013527509823802E-3</v>
      </c>
      <c r="J1870" s="6">
        <v>7897.7372366735317</v>
      </c>
      <c r="K1870" s="6">
        <v>14714508</v>
      </c>
      <c r="M1870" s="6">
        <f>SUM(H1870,J1870)</f>
        <v>790729.73723667348</v>
      </c>
      <c r="N1870" s="6">
        <f>K1870</f>
        <v>14714508</v>
      </c>
      <c r="O1870" s="6">
        <f>SUM(M1870:N1870)</f>
        <v>15505237.737236673</v>
      </c>
      <c r="P1870" s="8">
        <f>VLOOKUP(F1870,'LEAID Match'!$A$2:$B$436,2,FALSE)</f>
        <v>1802970</v>
      </c>
      <c r="Q1870" s="6">
        <f>COUNTIF($P$2:$P$3691,P1870)</f>
        <v>9</v>
      </c>
    </row>
    <row r="1871" spans="1:17" x14ac:dyDescent="0.2">
      <c r="A1871" s="16">
        <f>P1871</f>
        <v>1812900</v>
      </c>
      <c r="B1871">
        <v>2015</v>
      </c>
      <c r="C1871" t="s">
        <v>904</v>
      </c>
      <c r="D1871" t="s">
        <v>906</v>
      </c>
      <c r="E1871" t="s">
        <v>2777</v>
      </c>
      <c r="F1871" t="s">
        <v>558</v>
      </c>
      <c r="G1871" t="s">
        <v>213</v>
      </c>
      <c r="H1871" s="6">
        <v>470555</v>
      </c>
      <c r="I1871" s="6">
        <v>2.2881711198284322E-3</v>
      </c>
      <c r="J1871" s="6">
        <v>13296.56237732302</v>
      </c>
      <c r="K1871" s="6">
        <v>1934914.1096648299</v>
      </c>
      <c r="M1871" s="6">
        <f>SUM(H1871,J1871)</f>
        <v>483851.56237732305</v>
      </c>
      <c r="N1871" s="6">
        <f>K1871</f>
        <v>1934914.1096648299</v>
      </c>
      <c r="O1871" s="6">
        <f>SUM(M1871:N1871)</f>
        <v>2418765.6720421528</v>
      </c>
      <c r="P1871" s="8">
        <f>VLOOKUP(F1871,'LEAID Match'!$A$2:$B$436,2,FALSE)</f>
        <v>1812900</v>
      </c>
      <c r="Q1871" s="6">
        <f>COUNTIF($P$2:$P$3691,P1871)</f>
        <v>9</v>
      </c>
    </row>
    <row r="1872" spans="1:17" x14ac:dyDescent="0.2">
      <c r="A1872" s="16">
        <f>P1872</f>
        <v>1812900</v>
      </c>
      <c r="B1872">
        <v>2016</v>
      </c>
      <c r="C1872" t="s">
        <v>904</v>
      </c>
      <c r="D1872" t="s">
        <v>906</v>
      </c>
      <c r="E1872" t="s">
        <v>2778</v>
      </c>
      <c r="F1872" t="s">
        <v>558</v>
      </c>
      <c r="G1872" t="s">
        <v>213</v>
      </c>
      <c r="H1872" s="6">
        <v>437685</v>
      </c>
      <c r="I1872" s="6">
        <v>2.030912154832806E-3</v>
      </c>
      <c r="J1872" s="6">
        <v>10252.044557596006</v>
      </c>
      <c r="K1872" s="6">
        <v>1802434.53741411</v>
      </c>
      <c r="M1872" s="6">
        <f>SUM(H1872,J1872)</f>
        <v>447937.04455759603</v>
      </c>
      <c r="N1872" s="6">
        <f>K1872</f>
        <v>1802434.53741411</v>
      </c>
      <c r="O1872" s="6">
        <f>SUM(M1872:N1872)</f>
        <v>2250371.5819717059</v>
      </c>
      <c r="P1872" s="8">
        <f>VLOOKUP(F1872,'LEAID Match'!$A$2:$B$436,2,FALSE)</f>
        <v>1812900</v>
      </c>
      <c r="Q1872" s="6">
        <f>COUNTIF($P$2:$P$3691,P1872)</f>
        <v>9</v>
      </c>
    </row>
    <row r="1873" spans="1:17" x14ac:dyDescent="0.2">
      <c r="A1873" s="16">
        <f>P1873</f>
        <v>1812900</v>
      </c>
      <c r="B1873">
        <v>2017</v>
      </c>
      <c r="C1873" t="s">
        <v>904</v>
      </c>
      <c r="D1873" t="s">
        <v>906</v>
      </c>
      <c r="E1873" t="s">
        <v>2779</v>
      </c>
      <c r="F1873" t="s">
        <v>558</v>
      </c>
      <c r="G1873" t="s">
        <v>213</v>
      </c>
      <c r="H1873" s="6">
        <v>464545</v>
      </c>
      <c r="I1873" s="6">
        <v>2.0455903701860037E-3</v>
      </c>
      <c r="J1873" s="6">
        <v>9256.2964250916666</v>
      </c>
      <c r="K1873" s="6">
        <v>1781709.2124320001</v>
      </c>
      <c r="M1873" s="6">
        <f>SUM(H1873,J1873)</f>
        <v>473801.29642509168</v>
      </c>
      <c r="N1873" s="6">
        <f>K1873</f>
        <v>1781709.2124320001</v>
      </c>
      <c r="O1873" s="6">
        <f>SUM(M1873:N1873)</f>
        <v>2255510.5088570919</v>
      </c>
      <c r="P1873" s="8">
        <f>VLOOKUP(F1873,'LEAID Match'!$A$2:$B$436,2,FALSE)</f>
        <v>1812900</v>
      </c>
      <c r="Q1873" s="6">
        <f>COUNTIF($P$2:$P$3691,P1873)</f>
        <v>9</v>
      </c>
    </row>
    <row r="1874" spans="1:17" x14ac:dyDescent="0.2">
      <c r="A1874" s="16">
        <f>P1874</f>
        <v>1812900</v>
      </c>
      <c r="B1874">
        <v>2018</v>
      </c>
      <c r="C1874" t="s">
        <v>904</v>
      </c>
      <c r="D1874" t="s">
        <v>906</v>
      </c>
      <c r="E1874" t="s">
        <v>2780</v>
      </c>
      <c r="F1874" t="s">
        <v>558</v>
      </c>
      <c r="G1874" t="s">
        <v>213</v>
      </c>
      <c r="H1874" s="6">
        <v>444994</v>
      </c>
      <c r="I1874" s="6">
        <v>1.8878295604105417E-3</v>
      </c>
      <c r="J1874" s="6">
        <v>7868.4736077911375</v>
      </c>
      <c r="K1874" s="6">
        <v>2254730</v>
      </c>
      <c r="M1874" s="6">
        <f>SUM(H1874,J1874)</f>
        <v>452862.47360779112</v>
      </c>
      <c r="N1874" s="6">
        <f>K1874</f>
        <v>2254730</v>
      </c>
      <c r="O1874" s="6">
        <f>SUM(M1874:N1874)</f>
        <v>2707592.4736077911</v>
      </c>
      <c r="P1874" s="8">
        <f>VLOOKUP(F1874,'LEAID Match'!$A$2:$B$436,2,FALSE)</f>
        <v>1812900</v>
      </c>
      <c r="Q1874" s="6">
        <f>COUNTIF($P$2:$P$3691,P1874)</f>
        <v>9</v>
      </c>
    </row>
    <row r="1875" spans="1:17" x14ac:dyDescent="0.2">
      <c r="A1875" s="16">
        <f>P1875</f>
        <v>1812900</v>
      </c>
      <c r="B1875">
        <v>2019</v>
      </c>
      <c r="C1875" t="s">
        <v>904</v>
      </c>
      <c r="D1875" t="s">
        <v>906</v>
      </c>
      <c r="E1875" t="s">
        <v>2781</v>
      </c>
      <c r="F1875" t="s">
        <v>558</v>
      </c>
      <c r="G1875" t="s">
        <v>213</v>
      </c>
      <c r="H1875" s="6">
        <v>463511</v>
      </c>
      <c r="I1875" s="6">
        <v>1.1791694701804899E-3</v>
      </c>
      <c r="J1875" s="6">
        <v>4132.9889929826168</v>
      </c>
      <c r="K1875" s="6">
        <v>1113018.06290336</v>
      </c>
      <c r="M1875" s="6">
        <f>SUM(H1875,J1875)</f>
        <v>467643.9889929826</v>
      </c>
      <c r="N1875" s="6">
        <f>K1875</f>
        <v>1113018.06290336</v>
      </c>
      <c r="O1875" s="6">
        <f>SUM(M1875:N1875)</f>
        <v>1580662.0518963425</v>
      </c>
      <c r="P1875" s="8">
        <f>VLOOKUP(F1875,'LEAID Match'!$A$2:$B$436,2,FALSE)</f>
        <v>1812900</v>
      </c>
      <c r="Q1875" s="6">
        <f>COUNTIF($P$2:$P$3691,P1875)</f>
        <v>9</v>
      </c>
    </row>
    <row r="1876" spans="1:17" x14ac:dyDescent="0.2">
      <c r="A1876" s="16">
        <f>P1876</f>
        <v>1812900</v>
      </c>
      <c r="B1876">
        <v>2020</v>
      </c>
      <c r="C1876" t="s">
        <v>904</v>
      </c>
      <c r="D1876" t="s">
        <v>906</v>
      </c>
      <c r="E1876" t="s">
        <v>2782</v>
      </c>
      <c r="F1876" t="s">
        <v>558</v>
      </c>
      <c r="G1876" t="s">
        <v>213</v>
      </c>
      <c r="H1876" s="6">
        <v>335739</v>
      </c>
      <c r="I1876" s="6">
        <v>1.7789828263690527E-3</v>
      </c>
      <c r="J1876" s="6">
        <v>4191.2835389254878</v>
      </c>
      <c r="K1876" s="6">
        <v>2392481</v>
      </c>
      <c r="M1876" s="6">
        <f>SUM(H1876,J1876)</f>
        <v>339930.28353892546</v>
      </c>
      <c r="N1876" s="6">
        <f>K1876</f>
        <v>2392481</v>
      </c>
      <c r="O1876" s="6">
        <f>SUM(M1876:N1876)</f>
        <v>2732411.2835389255</v>
      </c>
      <c r="P1876" s="8">
        <f>VLOOKUP(F1876,'LEAID Match'!$A$2:$B$436,2,FALSE)</f>
        <v>1812900</v>
      </c>
      <c r="Q1876" s="6">
        <f>COUNTIF($P$2:$P$3691,P1876)</f>
        <v>9</v>
      </c>
    </row>
    <row r="1877" spans="1:17" x14ac:dyDescent="0.2">
      <c r="A1877" s="16">
        <f>P1877</f>
        <v>1812900</v>
      </c>
      <c r="B1877">
        <v>2021</v>
      </c>
      <c r="C1877" t="s">
        <v>904</v>
      </c>
      <c r="D1877" t="s">
        <v>906</v>
      </c>
      <c r="E1877" t="s">
        <v>2783</v>
      </c>
      <c r="F1877" t="s">
        <v>558</v>
      </c>
      <c r="G1877" t="s">
        <v>213</v>
      </c>
      <c r="H1877" s="6">
        <v>354329</v>
      </c>
      <c r="I1877" s="6">
        <v>1.7504182122179872E-3</v>
      </c>
      <c r="J1877" s="6">
        <v>3945.4426503393433</v>
      </c>
      <c r="K1877" s="6">
        <v>4140111</v>
      </c>
      <c r="M1877" s="6">
        <f>SUM(H1877,J1877)</f>
        <v>358274.44265033933</v>
      </c>
      <c r="N1877" s="6">
        <f>K1877</f>
        <v>4140111</v>
      </c>
      <c r="O1877" s="6">
        <f>SUM(M1877:N1877)</f>
        <v>4498385.4426503396</v>
      </c>
      <c r="P1877" s="8">
        <f>VLOOKUP(F1877,'LEAID Match'!$A$2:$B$436,2,FALSE)</f>
        <v>1812900</v>
      </c>
      <c r="Q1877" s="6">
        <f>COUNTIF($P$2:$P$3691,P1877)</f>
        <v>9</v>
      </c>
    </row>
    <row r="1878" spans="1:17" x14ac:dyDescent="0.2">
      <c r="A1878" s="16">
        <f>P1878</f>
        <v>1812900</v>
      </c>
      <c r="B1878">
        <v>2022</v>
      </c>
      <c r="C1878" t="s">
        <v>904</v>
      </c>
      <c r="D1878" t="s">
        <v>906</v>
      </c>
      <c r="E1878" t="s">
        <v>2784</v>
      </c>
      <c r="F1878" t="s">
        <v>558</v>
      </c>
      <c r="G1878" t="s">
        <v>213</v>
      </c>
      <c r="H1878" s="6">
        <v>380515</v>
      </c>
      <c r="I1878" s="6">
        <v>1.8067559391448192E-3</v>
      </c>
      <c r="J1878" s="6">
        <v>3983.8968458143263</v>
      </c>
      <c r="K1878" s="6">
        <v>3985950</v>
      </c>
      <c r="M1878" s="6">
        <f>SUM(H1878,J1878)</f>
        <v>384498.89684581431</v>
      </c>
      <c r="N1878" s="6">
        <f>K1878</f>
        <v>3985950</v>
      </c>
      <c r="O1878" s="6">
        <f>SUM(M1878:N1878)</f>
        <v>4370448.8968458138</v>
      </c>
      <c r="P1878" s="8">
        <f>VLOOKUP(F1878,'LEAID Match'!$A$2:$B$436,2,FALSE)</f>
        <v>1812900</v>
      </c>
      <c r="Q1878" s="6">
        <f>COUNTIF($P$2:$P$3691,P1878)</f>
        <v>9</v>
      </c>
    </row>
    <row r="1879" spans="1:17" x14ac:dyDescent="0.2">
      <c r="A1879" s="16">
        <f>P1879</f>
        <v>1812900</v>
      </c>
      <c r="B1879">
        <v>2023</v>
      </c>
      <c r="C1879" t="s">
        <v>904</v>
      </c>
      <c r="D1879" t="s">
        <v>906</v>
      </c>
      <c r="E1879" t="s">
        <v>2785</v>
      </c>
      <c r="F1879" t="s">
        <v>558</v>
      </c>
      <c r="G1879" t="s">
        <v>213</v>
      </c>
      <c r="H1879" s="6">
        <v>436653</v>
      </c>
      <c r="I1879" s="6">
        <v>1.7856708499073993E-3</v>
      </c>
      <c r="J1879" s="6">
        <v>4405.2499867215538</v>
      </c>
      <c r="K1879" s="6">
        <v>12461064</v>
      </c>
      <c r="M1879" s="6">
        <f>SUM(H1879,J1879)</f>
        <v>441058.24998672155</v>
      </c>
      <c r="N1879" s="6">
        <f>K1879</f>
        <v>12461064</v>
      </c>
      <c r="O1879" s="6">
        <f>SUM(M1879:N1879)</f>
        <v>12902122.249986721</v>
      </c>
      <c r="P1879" s="8">
        <f>VLOOKUP(F1879,'LEAID Match'!$A$2:$B$436,2,FALSE)</f>
        <v>1812900</v>
      </c>
      <c r="Q1879" s="6">
        <f>COUNTIF($P$2:$P$3691,P1879)</f>
        <v>9</v>
      </c>
    </row>
    <row r="1880" spans="1:17" x14ac:dyDescent="0.2">
      <c r="A1880" s="16">
        <f>P1880</f>
        <v>1801710</v>
      </c>
      <c r="B1880">
        <v>2015</v>
      </c>
      <c r="C1880" t="s">
        <v>904</v>
      </c>
      <c r="D1880" t="s">
        <v>906</v>
      </c>
      <c r="E1880" t="s">
        <v>2786</v>
      </c>
      <c r="F1880" t="s">
        <v>734</v>
      </c>
      <c r="G1880" t="s">
        <v>214</v>
      </c>
      <c r="H1880" s="6">
        <v>201077</v>
      </c>
      <c r="I1880" s="6">
        <v>9.7777854716609466E-4</v>
      </c>
      <c r="J1880" s="6">
        <v>5681.8711375821758</v>
      </c>
      <c r="K1880" s="6">
        <v>826825.18394040398</v>
      </c>
      <c r="M1880" s="6">
        <f>SUM(H1880,J1880)</f>
        <v>206758.87113758217</v>
      </c>
      <c r="N1880" s="6">
        <f>K1880</f>
        <v>826825.18394040398</v>
      </c>
      <c r="O1880" s="6">
        <f>SUM(M1880:N1880)</f>
        <v>1033584.0550779861</v>
      </c>
      <c r="P1880" s="8">
        <f>VLOOKUP(F1880,'LEAID Match'!$A$2:$B$436,2,FALSE)</f>
        <v>1801710</v>
      </c>
      <c r="Q1880" s="6">
        <f>COUNTIF($P$2:$P$3691,P1880)</f>
        <v>9</v>
      </c>
    </row>
    <row r="1881" spans="1:17" x14ac:dyDescent="0.2">
      <c r="A1881" s="16">
        <f>P1881</f>
        <v>1801710</v>
      </c>
      <c r="B1881">
        <v>2016</v>
      </c>
      <c r="C1881" t="s">
        <v>904</v>
      </c>
      <c r="D1881" t="s">
        <v>906</v>
      </c>
      <c r="E1881" t="s">
        <v>2787</v>
      </c>
      <c r="F1881" t="s">
        <v>734</v>
      </c>
      <c r="G1881" t="s">
        <v>214</v>
      </c>
      <c r="H1881" s="6">
        <v>205149</v>
      </c>
      <c r="I1881" s="6">
        <v>9.5191655563200777E-4</v>
      </c>
      <c r="J1881" s="6">
        <v>4805.2747728303748</v>
      </c>
      <c r="K1881" s="6">
        <v>844825.94312340603</v>
      </c>
      <c r="M1881" s="6">
        <f>SUM(H1881,J1881)</f>
        <v>209954.27477283037</v>
      </c>
      <c r="N1881" s="6">
        <f>K1881</f>
        <v>844825.94312340603</v>
      </c>
      <c r="O1881" s="6">
        <f>SUM(M1881:N1881)</f>
        <v>1054780.2178962363</v>
      </c>
      <c r="P1881" s="8">
        <f>VLOOKUP(F1881,'LEAID Match'!$A$2:$B$436,2,FALSE)</f>
        <v>1801710</v>
      </c>
      <c r="Q1881" s="6">
        <f>COUNTIF($P$2:$P$3691,P1881)</f>
        <v>9</v>
      </c>
    </row>
    <row r="1882" spans="1:17" x14ac:dyDescent="0.2">
      <c r="A1882" s="16">
        <f>P1882</f>
        <v>1801710</v>
      </c>
      <c r="B1882">
        <v>2017</v>
      </c>
      <c r="C1882" t="s">
        <v>904</v>
      </c>
      <c r="D1882" t="s">
        <v>906</v>
      </c>
      <c r="E1882" t="s">
        <v>2788</v>
      </c>
      <c r="F1882" t="s">
        <v>734</v>
      </c>
      <c r="G1882" t="s">
        <v>214</v>
      </c>
      <c r="H1882" s="6">
        <v>207422</v>
      </c>
      <c r="I1882" s="6">
        <v>9.1336780239744536E-4</v>
      </c>
      <c r="J1882" s="6">
        <v>4132.9893058484404</v>
      </c>
      <c r="K1882" s="6">
        <v>795543.35588817496</v>
      </c>
      <c r="M1882" s="6">
        <f>SUM(H1882,J1882)</f>
        <v>211554.98930584843</v>
      </c>
      <c r="N1882" s="6">
        <f>K1882</f>
        <v>795543.35588817496</v>
      </c>
      <c r="O1882" s="6">
        <f>SUM(M1882:N1882)</f>
        <v>1007098.3451940233</v>
      </c>
      <c r="P1882" s="8">
        <f>VLOOKUP(F1882,'LEAID Match'!$A$2:$B$436,2,FALSE)</f>
        <v>1801710</v>
      </c>
      <c r="Q1882" s="6">
        <f>COUNTIF($P$2:$P$3691,P1882)</f>
        <v>9</v>
      </c>
    </row>
    <row r="1883" spans="1:17" x14ac:dyDescent="0.2">
      <c r="A1883" s="16">
        <f>P1883</f>
        <v>1801710</v>
      </c>
      <c r="B1883">
        <v>2018</v>
      </c>
      <c r="C1883" t="s">
        <v>904</v>
      </c>
      <c r="D1883" t="s">
        <v>906</v>
      </c>
      <c r="E1883" t="s">
        <v>2789</v>
      </c>
      <c r="F1883" t="s">
        <v>734</v>
      </c>
      <c r="G1883" t="s">
        <v>214</v>
      </c>
      <c r="H1883" s="6">
        <v>216280</v>
      </c>
      <c r="I1883" s="6">
        <v>9.1753996082102668E-4</v>
      </c>
      <c r="J1883" s="6">
        <v>3824.306556702039</v>
      </c>
      <c r="K1883" s="6">
        <v>1024193</v>
      </c>
      <c r="M1883" s="6">
        <f>SUM(H1883,J1883)</f>
        <v>220104.30655670204</v>
      </c>
      <c r="N1883" s="6">
        <f>K1883</f>
        <v>1024193</v>
      </c>
      <c r="O1883" s="6">
        <f>SUM(M1883:N1883)</f>
        <v>1244297.3065567021</v>
      </c>
      <c r="P1883" s="8">
        <f>VLOOKUP(F1883,'LEAID Match'!$A$2:$B$436,2,FALSE)</f>
        <v>1801710</v>
      </c>
      <c r="Q1883" s="6">
        <f>COUNTIF($P$2:$P$3691,P1883)</f>
        <v>9</v>
      </c>
    </row>
    <row r="1884" spans="1:17" x14ac:dyDescent="0.2">
      <c r="A1884" s="16">
        <f>P1884</f>
        <v>1801710</v>
      </c>
      <c r="B1884">
        <v>2019</v>
      </c>
      <c r="C1884" t="s">
        <v>904</v>
      </c>
      <c r="D1884" t="s">
        <v>906</v>
      </c>
      <c r="E1884" t="s">
        <v>2790</v>
      </c>
      <c r="F1884" t="s">
        <v>734</v>
      </c>
      <c r="G1884" t="s">
        <v>214</v>
      </c>
      <c r="H1884" s="6">
        <v>215554</v>
      </c>
      <c r="I1884" s="6">
        <v>5.4836820695794777E-4</v>
      </c>
      <c r="J1884" s="6">
        <v>1922.0305653876069</v>
      </c>
      <c r="K1884" s="6">
        <v>517604.75054760597</v>
      </c>
      <c r="M1884" s="6">
        <f>SUM(H1884,J1884)</f>
        <v>217476.0305653876</v>
      </c>
      <c r="N1884" s="6">
        <f>K1884</f>
        <v>517604.75054760597</v>
      </c>
      <c r="O1884" s="6">
        <f>SUM(M1884:N1884)</f>
        <v>735080.7811129936</v>
      </c>
      <c r="P1884" s="8">
        <f>VLOOKUP(F1884,'LEAID Match'!$A$2:$B$436,2,FALSE)</f>
        <v>1801710</v>
      </c>
      <c r="Q1884" s="6">
        <f>COUNTIF($P$2:$P$3691,P1884)</f>
        <v>9</v>
      </c>
    </row>
    <row r="1885" spans="1:17" x14ac:dyDescent="0.2">
      <c r="A1885" s="16">
        <f>P1885</f>
        <v>1801710</v>
      </c>
      <c r="B1885">
        <v>2020</v>
      </c>
      <c r="C1885" t="s">
        <v>904</v>
      </c>
      <c r="D1885" t="s">
        <v>906</v>
      </c>
      <c r="E1885" t="s">
        <v>2791</v>
      </c>
      <c r="F1885" t="s">
        <v>734</v>
      </c>
      <c r="G1885" t="s">
        <v>214</v>
      </c>
      <c r="H1885" s="6">
        <v>171294</v>
      </c>
      <c r="I1885" s="6">
        <v>9.0763683772233949E-4</v>
      </c>
      <c r="J1885" s="6">
        <v>2138.392389673832</v>
      </c>
      <c r="K1885" s="6">
        <v>1061253</v>
      </c>
      <c r="M1885" s="6">
        <f>SUM(H1885,J1885)</f>
        <v>173432.39238967383</v>
      </c>
      <c r="N1885" s="6">
        <f>K1885</f>
        <v>1061253</v>
      </c>
      <c r="O1885" s="6">
        <f>SUM(M1885:N1885)</f>
        <v>1234685.3923896737</v>
      </c>
      <c r="P1885" s="8">
        <f>VLOOKUP(F1885,'LEAID Match'!$A$2:$B$436,2,FALSE)</f>
        <v>1801710</v>
      </c>
      <c r="Q1885" s="6">
        <f>COUNTIF($P$2:$P$3691,P1885)</f>
        <v>9</v>
      </c>
    </row>
    <row r="1886" spans="1:17" x14ac:dyDescent="0.2">
      <c r="A1886" s="16">
        <f>P1886</f>
        <v>1801710</v>
      </c>
      <c r="B1886">
        <v>2021</v>
      </c>
      <c r="C1886" t="s">
        <v>904</v>
      </c>
      <c r="D1886" t="s">
        <v>906</v>
      </c>
      <c r="E1886" t="s">
        <v>2792</v>
      </c>
      <c r="F1886" t="s">
        <v>734</v>
      </c>
      <c r="G1886" t="s">
        <v>214</v>
      </c>
      <c r="H1886" s="6">
        <v>192483</v>
      </c>
      <c r="I1886" s="6">
        <v>9.5088392071310799E-4</v>
      </c>
      <c r="J1886" s="6">
        <v>2143.2923572873456</v>
      </c>
      <c r="K1886" s="6">
        <v>1856353</v>
      </c>
      <c r="M1886" s="6">
        <f>SUM(H1886,J1886)</f>
        <v>194626.29235728734</v>
      </c>
      <c r="N1886" s="6">
        <f>K1886</f>
        <v>1856353</v>
      </c>
      <c r="O1886" s="6">
        <f>SUM(M1886:N1886)</f>
        <v>2050979.2923572874</v>
      </c>
      <c r="P1886" s="8">
        <f>VLOOKUP(F1886,'LEAID Match'!$A$2:$B$436,2,FALSE)</f>
        <v>1801710</v>
      </c>
      <c r="Q1886" s="6">
        <f>COUNTIF($P$2:$P$3691,P1886)</f>
        <v>9</v>
      </c>
    </row>
    <row r="1887" spans="1:17" x14ac:dyDescent="0.2">
      <c r="A1887" s="16">
        <f>P1887</f>
        <v>1801710</v>
      </c>
      <c r="B1887">
        <v>2022</v>
      </c>
      <c r="C1887" t="s">
        <v>904</v>
      </c>
      <c r="D1887" t="s">
        <v>906</v>
      </c>
      <c r="E1887" t="s">
        <v>2793</v>
      </c>
      <c r="F1887" t="s">
        <v>734</v>
      </c>
      <c r="G1887" t="s">
        <v>214</v>
      </c>
      <c r="H1887" s="6">
        <v>200559</v>
      </c>
      <c r="I1887" s="6">
        <v>9.5229140611788169E-4</v>
      </c>
      <c r="J1887" s="6">
        <v>2099.8025504899292</v>
      </c>
      <c r="K1887" s="6">
        <v>1745297</v>
      </c>
      <c r="M1887" s="6">
        <f>SUM(H1887,J1887)</f>
        <v>202658.80255048993</v>
      </c>
      <c r="N1887" s="6">
        <f>K1887</f>
        <v>1745297</v>
      </c>
      <c r="O1887" s="6">
        <f>SUM(M1887:N1887)</f>
        <v>1947955.80255049</v>
      </c>
      <c r="P1887" s="8">
        <f>VLOOKUP(F1887,'LEAID Match'!$A$2:$B$436,2,FALSE)</f>
        <v>1801710</v>
      </c>
      <c r="Q1887" s="6">
        <f>COUNTIF($P$2:$P$3691,P1887)</f>
        <v>9</v>
      </c>
    </row>
    <row r="1888" spans="1:17" x14ac:dyDescent="0.2">
      <c r="A1888" s="16">
        <f>P1888</f>
        <v>1801710</v>
      </c>
      <c r="B1888">
        <v>2023</v>
      </c>
      <c r="C1888" t="s">
        <v>904</v>
      </c>
      <c r="D1888" t="s">
        <v>906</v>
      </c>
      <c r="E1888" t="s">
        <v>2794</v>
      </c>
      <c r="F1888" t="s">
        <v>734</v>
      </c>
      <c r="G1888" t="s">
        <v>214</v>
      </c>
      <c r="H1888" s="6">
        <v>222662</v>
      </c>
      <c r="I1888" s="6">
        <v>9.1056523780228547E-4</v>
      </c>
      <c r="J1888" s="6">
        <v>2246.3644416582383</v>
      </c>
      <c r="K1888" s="6">
        <v>4964267</v>
      </c>
      <c r="M1888" s="6">
        <f>SUM(H1888,J1888)</f>
        <v>224908.36444165822</v>
      </c>
      <c r="N1888" s="6">
        <f>K1888</f>
        <v>4964267</v>
      </c>
      <c r="O1888" s="6">
        <f>SUM(M1888:N1888)</f>
        <v>5189175.3644416584</v>
      </c>
      <c r="P1888" s="8">
        <f>VLOOKUP(F1888,'LEAID Match'!$A$2:$B$436,2,FALSE)</f>
        <v>1801710</v>
      </c>
      <c r="Q1888" s="6">
        <f>COUNTIF($P$2:$P$3691,P1888)</f>
        <v>9</v>
      </c>
    </row>
    <row r="1889" spans="1:17" x14ac:dyDescent="0.2">
      <c r="A1889" s="16">
        <f>P1889</f>
        <v>1809600</v>
      </c>
      <c r="B1889">
        <v>2015</v>
      </c>
      <c r="C1889" t="s">
        <v>904</v>
      </c>
      <c r="D1889" t="s">
        <v>906</v>
      </c>
      <c r="E1889" t="s">
        <v>2795</v>
      </c>
      <c r="F1889" t="s">
        <v>735</v>
      </c>
      <c r="G1889" t="s">
        <v>215</v>
      </c>
      <c r="H1889" s="6">
        <v>149732</v>
      </c>
      <c r="I1889" s="6">
        <v>7.2810285325658171E-4</v>
      </c>
      <c r="J1889" s="6">
        <v>4231.0056802739964</v>
      </c>
      <c r="K1889" s="6">
        <v>615695.42235941696</v>
      </c>
      <c r="M1889" s="6">
        <f>SUM(H1889,J1889)</f>
        <v>153963.00568027399</v>
      </c>
      <c r="N1889" s="6">
        <f>K1889</f>
        <v>615695.42235941696</v>
      </c>
      <c r="O1889" s="6">
        <f>SUM(M1889:N1889)</f>
        <v>769658.42803969095</v>
      </c>
      <c r="P1889" s="8">
        <f>VLOOKUP(F1889,'LEAID Match'!$A$2:$B$436,2,FALSE)</f>
        <v>1809600</v>
      </c>
      <c r="Q1889" s="6">
        <f>COUNTIF($P$2:$P$3691,P1889)</f>
        <v>9</v>
      </c>
    </row>
    <row r="1890" spans="1:17" x14ac:dyDescent="0.2">
      <c r="A1890" s="16">
        <f>P1890</f>
        <v>1809600</v>
      </c>
      <c r="B1890">
        <v>2016</v>
      </c>
      <c r="C1890" t="s">
        <v>904</v>
      </c>
      <c r="D1890" t="s">
        <v>906</v>
      </c>
      <c r="E1890" t="s">
        <v>2796</v>
      </c>
      <c r="F1890" t="s">
        <v>735</v>
      </c>
      <c r="G1890" t="s">
        <v>215</v>
      </c>
      <c r="H1890" s="6">
        <v>162843</v>
      </c>
      <c r="I1890" s="6">
        <v>7.5561151976750085E-4</v>
      </c>
      <c r="J1890" s="6">
        <v>3814.3269517863441</v>
      </c>
      <c r="K1890" s="6">
        <v>670605.22379365703</v>
      </c>
      <c r="M1890" s="6">
        <f>SUM(H1890,J1890)</f>
        <v>166657.32695178635</v>
      </c>
      <c r="N1890" s="6">
        <f>K1890</f>
        <v>670605.22379365703</v>
      </c>
      <c r="O1890" s="6">
        <f>SUM(M1890:N1890)</f>
        <v>837262.55074544344</v>
      </c>
      <c r="P1890" s="8">
        <f>VLOOKUP(F1890,'LEAID Match'!$A$2:$B$436,2,FALSE)</f>
        <v>1809600</v>
      </c>
      <c r="Q1890" s="6">
        <f>COUNTIF($P$2:$P$3691,P1890)</f>
        <v>9</v>
      </c>
    </row>
    <row r="1891" spans="1:17" x14ac:dyDescent="0.2">
      <c r="A1891" s="16">
        <f>P1891</f>
        <v>1809600</v>
      </c>
      <c r="B1891">
        <v>2017</v>
      </c>
      <c r="C1891" t="s">
        <v>904</v>
      </c>
      <c r="D1891" t="s">
        <v>906</v>
      </c>
      <c r="E1891" t="s">
        <v>2797</v>
      </c>
      <c r="F1891" t="s">
        <v>735</v>
      </c>
      <c r="G1891" t="s">
        <v>215</v>
      </c>
      <c r="H1891" s="6">
        <v>173651</v>
      </c>
      <c r="I1891" s="6">
        <v>7.6465964195754929E-4</v>
      </c>
      <c r="J1891" s="6">
        <v>3460.0848798579104</v>
      </c>
      <c r="K1891" s="6">
        <v>666018.54814502504</v>
      </c>
      <c r="M1891" s="6">
        <f>SUM(H1891,J1891)</f>
        <v>177111.08487985792</v>
      </c>
      <c r="N1891" s="6">
        <f>K1891</f>
        <v>666018.54814502504</v>
      </c>
      <c r="O1891" s="6">
        <f>SUM(M1891:N1891)</f>
        <v>843129.63302488299</v>
      </c>
      <c r="P1891" s="8">
        <f>VLOOKUP(F1891,'LEAID Match'!$A$2:$B$436,2,FALSE)</f>
        <v>1809600</v>
      </c>
      <c r="Q1891" s="6">
        <f>COUNTIF($P$2:$P$3691,P1891)</f>
        <v>9</v>
      </c>
    </row>
    <row r="1892" spans="1:17" x14ac:dyDescent="0.2">
      <c r="A1892" s="16">
        <f>P1892</f>
        <v>1809600</v>
      </c>
      <c r="B1892">
        <v>2018</v>
      </c>
      <c r="C1892" t="s">
        <v>904</v>
      </c>
      <c r="D1892" t="s">
        <v>906</v>
      </c>
      <c r="E1892" t="s">
        <v>2798</v>
      </c>
      <c r="F1892" t="s">
        <v>735</v>
      </c>
      <c r="G1892" t="s">
        <v>215</v>
      </c>
      <c r="H1892" s="6">
        <v>203892</v>
      </c>
      <c r="I1892" s="6">
        <v>8.6498547111023109E-4</v>
      </c>
      <c r="J1892" s="6">
        <v>3605.259443587443</v>
      </c>
      <c r="K1892" s="6">
        <v>738818</v>
      </c>
      <c r="M1892" s="6">
        <f>SUM(H1892,J1892)</f>
        <v>207497.25944358745</v>
      </c>
      <c r="N1892" s="6">
        <f>K1892</f>
        <v>738818</v>
      </c>
      <c r="O1892" s="6">
        <f>SUM(M1892:N1892)</f>
        <v>946315.25944358739</v>
      </c>
      <c r="P1892" s="8">
        <f>VLOOKUP(F1892,'LEAID Match'!$A$2:$B$436,2,FALSE)</f>
        <v>1809600</v>
      </c>
      <c r="Q1892" s="6">
        <f>COUNTIF($P$2:$P$3691,P1892)</f>
        <v>9</v>
      </c>
    </row>
    <row r="1893" spans="1:17" x14ac:dyDescent="0.2">
      <c r="A1893" s="16">
        <f>P1893</f>
        <v>1809600</v>
      </c>
      <c r="B1893">
        <v>2019</v>
      </c>
      <c r="C1893" t="s">
        <v>904</v>
      </c>
      <c r="D1893" t="s">
        <v>906</v>
      </c>
      <c r="E1893" t="s">
        <v>2799</v>
      </c>
      <c r="F1893" t="s">
        <v>735</v>
      </c>
      <c r="G1893" t="s">
        <v>215</v>
      </c>
      <c r="H1893" s="6">
        <v>209746</v>
      </c>
      <c r="I1893" s="6">
        <v>5.3359268645722987E-4</v>
      </c>
      <c r="J1893" s="6">
        <v>1870.2423660325908</v>
      </c>
      <c r="K1893" s="6">
        <v>503658.13674697903</v>
      </c>
      <c r="M1893" s="6">
        <f>SUM(H1893,J1893)</f>
        <v>211616.24236603259</v>
      </c>
      <c r="N1893" s="6">
        <f>K1893</f>
        <v>503658.13674697903</v>
      </c>
      <c r="O1893" s="6">
        <f>SUM(M1893:N1893)</f>
        <v>715274.37911301164</v>
      </c>
      <c r="P1893" s="8">
        <f>VLOOKUP(F1893,'LEAID Match'!$A$2:$B$436,2,FALSE)</f>
        <v>1809600</v>
      </c>
      <c r="Q1893" s="6">
        <f>COUNTIF($P$2:$P$3691,P1893)</f>
        <v>9</v>
      </c>
    </row>
    <row r="1894" spans="1:17" x14ac:dyDescent="0.2">
      <c r="A1894" s="16">
        <f>P1894</f>
        <v>1809600</v>
      </c>
      <c r="B1894">
        <v>2020</v>
      </c>
      <c r="C1894" t="s">
        <v>904</v>
      </c>
      <c r="D1894" t="s">
        <v>906</v>
      </c>
      <c r="E1894" t="s">
        <v>2800</v>
      </c>
      <c r="F1894" t="s">
        <v>735</v>
      </c>
      <c r="G1894" t="s">
        <v>215</v>
      </c>
      <c r="H1894" s="6">
        <v>161075</v>
      </c>
      <c r="I1894" s="6">
        <v>8.5348934367885526E-4</v>
      </c>
      <c r="J1894" s="6">
        <v>2010.820893707383</v>
      </c>
      <c r="K1894" s="6">
        <v>831677</v>
      </c>
      <c r="M1894" s="6">
        <f>SUM(H1894,J1894)</f>
        <v>163085.82089370739</v>
      </c>
      <c r="N1894" s="6">
        <f>K1894</f>
        <v>831677</v>
      </c>
      <c r="O1894" s="6">
        <f>SUM(M1894:N1894)</f>
        <v>994762.82089370745</v>
      </c>
      <c r="P1894" s="8">
        <f>VLOOKUP(F1894,'LEAID Match'!$A$2:$B$436,2,FALSE)</f>
        <v>1809600</v>
      </c>
      <c r="Q1894" s="6">
        <f>COUNTIF($P$2:$P$3691,P1894)</f>
        <v>9</v>
      </c>
    </row>
    <row r="1895" spans="1:17" x14ac:dyDescent="0.2">
      <c r="A1895" s="16">
        <f>P1895</f>
        <v>1809600</v>
      </c>
      <c r="B1895">
        <v>2021</v>
      </c>
      <c r="C1895" t="s">
        <v>904</v>
      </c>
      <c r="D1895" t="s">
        <v>906</v>
      </c>
      <c r="E1895" t="s">
        <v>2801</v>
      </c>
      <c r="F1895" t="s">
        <v>735</v>
      </c>
      <c r="G1895" t="s">
        <v>215</v>
      </c>
      <c r="H1895" s="6">
        <v>167168</v>
      </c>
      <c r="I1895" s="6">
        <v>8.2582546644518649E-4</v>
      </c>
      <c r="J1895" s="6">
        <v>1861.4106013674505</v>
      </c>
      <c r="K1895" s="6">
        <v>1365492</v>
      </c>
      <c r="M1895" s="6">
        <f>SUM(H1895,J1895)</f>
        <v>169029.41060136745</v>
      </c>
      <c r="N1895" s="6">
        <f>K1895</f>
        <v>1365492</v>
      </c>
      <c r="O1895" s="6">
        <f>SUM(M1895:N1895)</f>
        <v>1534521.4106013675</v>
      </c>
      <c r="P1895" s="8">
        <f>VLOOKUP(F1895,'LEAID Match'!$A$2:$B$436,2,FALSE)</f>
        <v>1809600</v>
      </c>
      <c r="Q1895" s="6">
        <f>COUNTIF($P$2:$P$3691,P1895)</f>
        <v>9</v>
      </c>
    </row>
    <row r="1896" spans="1:17" x14ac:dyDescent="0.2">
      <c r="A1896" s="16">
        <f>P1896</f>
        <v>1809600</v>
      </c>
      <c r="B1896">
        <v>2022</v>
      </c>
      <c r="C1896" t="s">
        <v>904</v>
      </c>
      <c r="D1896" t="s">
        <v>906</v>
      </c>
      <c r="E1896" t="s">
        <v>2802</v>
      </c>
      <c r="F1896" t="s">
        <v>735</v>
      </c>
      <c r="G1896" t="s">
        <v>215</v>
      </c>
      <c r="H1896" s="6">
        <v>176101</v>
      </c>
      <c r="I1896" s="6">
        <v>8.3616027657081005E-4</v>
      </c>
      <c r="J1896" s="6">
        <v>1843.7334098386361</v>
      </c>
      <c r="K1896" s="6">
        <v>1349012</v>
      </c>
      <c r="M1896" s="6">
        <f>SUM(H1896,J1896)</f>
        <v>177944.73340983863</v>
      </c>
      <c r="N1896" s="6">
        <f>K1896</f>
        <v>1349012</v>
      </c>
      <c r="O1896" s="6">
        <f>SUM(M1896:N1896)</f>
        <v>1526956.7334098388</v>
      </c>
      <c r="P1896" s="8">
        <f>VLOOKUP(F1896,'LEAID Match'!$A$2:$B$436,2,FALSE)</f>
        <v>1809600</v>
      </c>
      <c r="Q1896" s="6">
        <f>COUNTIF($P$2:$P$3691,P1896)</f>
        <v>9</v>
      </c>
    </row>
    <row r="1897" spans="1:17" x14ac:dyDescent="0.2">
      <c r="A1897" s="16">
        <f>P1897</f>
        <v>1809600</v>
      </c>
      <c r="B1897">
        <v>2023</v>
      </c>
      <c r="C1897" t="s">
        <v>904</v>
      </c>
      <c r="D1897" t="s">
        <v>906</v>
      </c>
      <c r="E1897" t="s">
        <v>2803</v>
      </c>
      <c r="F1897" t="s">
        <v>735</v>
      </c>
      <c r="G1897" t="s">
        <v>215</v>
      </c>
      <c r="H1897" s="6">
        <v>193665</v>
      </c>
      <c r="I1897" s="6">
        <v>7.9198344027709984E-4</v>
      </c>
      <c r="J1897" s="6">
        <v>1953.8231471636052</v>
      </c>
      <c r="K1897" s="6">
        <v>4074070</v>
      </c>
      <c r="M1897" s="6">
        <f>SUM(H1897,J1897)</f>
        <v>195618.82314716361</v>
      </c>
      <c r="N1897" s="6">
        <f>K1897</f>
        <v>4074070</v>
      </c>
      <c r="O1897" s="6">
        <f>SUM(M1897:N1897)</f>
        <v>4269688.8231471637</v>
      </c>
      <c r="P1897" s="8">
        <f>VLOOKUP(F1897,'LEAID Match'!$A$2:$B$436,2,FALSE)</f>
        <v>1809600</v>
      </c>
      <c r="Q1897" s="6">
        <f>COUNTIF($P$2:$P$3691,P1897)</f>
        <v>9</v>
      </c>
    </row>
    <row r="1898" spans="1:17" x14ac:dyDescent="0.2">
      <c r="A1898" s="16">
        <f>P1898</f>
        <v>1810980</v>
      </c>
      <c r="B1898">
        <v>2015</v>
      </c>
      <c r="C1898" t="s">
        <v>904</v>
      </c>
      <c r="D1898" t="s">
        <v>906</v>
      </c>
      <c r="E1898" t="s">
        <v>2804</v>
      </c>
      <c r="F1898" t="s">
        <v>736</v>
      </c>
      <c r="G1898" t="s">
        <v>216</v>
      </c>
      <c r="H1898" s="6">
        <v>152787</v>
      </c>
      <c r="I1898" s="6">
        <v>7.4295842331975354E-4</v>
      </c>
      <c r="J1898" s="6">
        <v>4317.3313979110881</v>
      </c>
      <c r="K1898" s="6">
        <v>628257.53009395604</v>
      </c>
      <c r="M1898" s="6">
        <f>SUM(H1898,J1898)</f>
        <v>157104.3313979111</v>
      </c>
      <c r="N1898" s="6">
        <f>K1898</f>
        <v>628257.53009395604</v>
      </c>
      <c r="O1898" s="6">
        <f>SUM(M1898:N1898)</f>
        <v>785361.86149186711</v>
      </c>
      <c r="P1898" s="8">
        <f>VLOOKUP(F1898,'LEAID Match'!$A$2:$B$436,2,FALSE)</f>
        <v>1810980</v>
      </c>
      <c r="Q1898" s="6">
        <f>COUNTIF($P$2:$P$3691,P1898)</f>
        <v>9</v>
      </c>
    </row>
    <row r="1899" spans="1:17" x14ac:dyDescent="0.2">
      <c r="A1899" s="16">
        <f>P1899</f>
        <v>1810980</v>
      </c>
      <c r="B1899">
        <v>2016</v>
      </c>
      <c r="C1899" t="s">
        <v>904</v>
      </c>
      <c r="D1899" t="s">
        <v>906</v>
      </c>
      <c r="E1899" t="s">
        <v>2805</v>
      </c>
      <c r="F1899" t="s">
        <v>736</v>
      </c>
      <c r="G1899" t="s">
        <v>216</v>
      </c>
      <c r="H1899" s="6">
        <v>150442</v>
      </c>
      <c r="I1899" s="6">
        <v>6.9806935672311594E-4</v>
      </c>
      <c r="J1899" s="6">
        <v>3523.8541127382891</v>
      </c>
      <c r="K1899" s="6">
        <v>619536.55409176496</v>
      </c>
      <c r="M1899" s="6">
        <f>SUM(H1899,J1899)</f>
        <v>153965.85411273828</v>
      </c>
      <c r="N1899" s="6">
        <f>K1899</f>
        <v>619536.55409176496</v>
      </c>
      <c r="O1899" s="6">
        <f>SUM(M1899:N1899)</f>
        <v>773502.40820450324</v>
      </c>
      <c r="P1899" s="8">
        <f>VLOOKUP(F1899,'LEAID Match'!$A$2:$B$436,2,FALSE)</f>
        <v>1810980</v>
      </c>
      <c r="Q1899" s="6">
        <f>COUNTIF($P$2:$P$3691,P1899)</f>
        <v>9</v>
      </c>
    </row>
    <row r="1900" spans="1:17" x14ac:dyDescent="0.2">
      <c r="A1900" s="16">
        <f>P1900</f>
        <v>1810980</v>
      </c>
      <c r="B1900">
        <v>2017</v>
      </c>
      <c r="C1900" t="s">
        <v>904</v>
      </c>
      <c r="D1900" t="s">
        <v>906</v>
      </c>
      <c r="E1900" t="s">
        <v>2806</v>
      </c>
      <c r="F1900" t="s">
        <v>736</v>
      </c>
      <c r="G1900" t="s">
        <v>216</v>
      </c>
      <c r="H1900" s="6">
        <v>158135</v>
      </c>
      <c r="I1900" s="6">
        <v>6.9633605611805897E-4</v>
      </c>
      <c r="J1900" s="6">
        <v>3150.9206539342167</v>
      </c>
      <c r="K1900" s="6">
        <v>606508.70487882895</v>
      </c>
      <c r="M1900" s="6">
        <f>SUM(H1900,J1900)</f>
        <v>161285.92065393421</v>
      </c>
      <c r="N1900" s="6">
        <f>K1900</f>
        <v>606508.70487882895</v>
      </c>
      <c r="O1900" s="6">
        <f>SUM(M1900:N1900)</f>
        <v>767794.6255327632</v>
      </c>
      <c r="P1900" s="8">
        <f>VLOOKUP(F1900,'LEAID Match'!$A$2:$B$436,2,FALSE)</f>
        <v>1810980</v>
      </c>
      <c r="Q1900" s="6">
        <f>COUNTIF($P$2:$P$3691,P1900)</f>
        <v>9</v>
      </c>
    </row>
    <row r="1901" spans="1:17" x14ac:dyDescent="0.2">
      <c r="A1901" s="16">
        <f>P1901</f>
        <v>1810980</v>
      </c>
      <c r="B1901">
        <v>2018</v>
      </c>
      <c r="C1901" t="s">
        <v>904</v>
      </c>
      <c r="D1901" t="s">
        <v>906</v>
      </c>
      <c r="E1901" t="s">
        <v>2807</v>
      </c>
      <c r="F1901" t="s">
        <v>736</v>
      </c>
      <c r="G1901" t="s">
        <v>216</v>
      </c>
      <c r="H1901" s="6">
        <v>181424</v>
      </c>
      <c r="I1901" s="6">
        <v>7.6966788353982781E-4</v>
      </c>
      <c r="J1901" s="6">
        <v>3207.9757385940025</v>
      </c>
      <c r="K1901" s="6">
        <v>860715</v>
      </c>
      <c r="M1901" s="6">
        <f>SUM(H1901,J1901)</f>
        <v>184631.97573859399</v>
      </c>
      <c r="N1901" s="6">
        <f>K1901</f>
        <v>860715</v>
      </c>
      <c r="O1901" s="6">
        <f>SUM(M1901:N1901)</f>
        <v>1045346.975738594</v>
      </c>
      <c r="P1901" s="8">
        <f>VLOOKUP(F1901,'LEAID Match'!$A$2:$B$436,2,FALSE)</f>
        <v>1810980</v>
      </c>
      <c r="Q1901" s="6">
        <f>COUNTIF($P$2:$P$3691,P1901)</f>
        <v>9</v>
      </c>
    </row>
    <row r="1902" spans="1:17" x14ac:dyDescent="0.2">
      <c r="A1902" s="16">
        <f>P1902</f>
        <v>1810980</v>
      </c>
      <c r="B1902">
        <v>2019</v>
      </c>
      <c r="C1902" t="s">
        <v>904</v>
      </c>
      <c r="D1902" t="s">
        <v>906</v>
      </c>
      <c r="E1902" t="s">
        <v>2808</v>
      </c>
      <c r="F1902" t="s">
        <v>736</v>
      </c>
      <c r="G1902" t="s">
        <v>216</v>
      </c>
      <c r="H1902" s="6">
        <v>203185</v>
      </c>
      <c r="I1902" s="6">
        <v>5.1690153804035473E-4</v>
      </c>
      <c r="J1902" s="6">
        <v>1811.7398908314433</v>
      </c>
      <c r="K1902" s="6">
        <v>487903.36175629002</v>
      </c>
      <c r="M1902" s="6">
        <f>SUM(H1902,J1902)</f>
        <v>204996.73989083144</v>
      </c>
      <c r="N1902" s="6">
        <f>K1902</f>
        <v>487903.36175629002</v>
      </c>
      <c r="O1902" s="6">
        <f>SUM(M1902:N1902)</f>
        <v>692900.10164712148</v>
      </c>
      <c r="P1902" s="8">
        <f>VLOOKUP(F1902,'LEAID Match'!$A$2:$B$436,2,FALSE)</f>
        <v>1810980</v>
      </c>
      <c r="Q1902" s="6">
        <f>COUNTIF($P$2:$P$3691,P1902)</f>
        <v>9</v>
      </c>
    </row>
    <row r="1903" spans="1:17" x14ac:dyDescent="0.2">
      <c r="A1903" s="16">
        <f>P1903</f>
        <v>1810980</v>
      </c>
      <c r="B1903">
        <v>2020</v>
      </c>
      <c r="C1903" t="s">
        <v>904</v>
      </c>
      <c r="D1903" t="s">
        <v>906</v>
      </c>
      <c r="E1903" t="s">
        <v>2809</v>
      </c>
      <c r="F1903" t="s">
        <v>736</v>
      </c>
      <c r="G1903" t="s">
        <v>216</v>
      </c>
      <c r="H1903" s="6">
        <v>152637</v>
      </c>
      <c r="I1903" s="6">
        <v>8.0877884805903729E-4</v>
      </c>
      <c r="J1903" s="6">
        <v>1905.4829660270918</v>
      </c>
      <c r="K1903" s="6">
        <v>859063</v>
      </c>
      <c r="M1903" s="6">
        <f>SUM(H1903,J1903)</f>
        <v>154542.48296602711</v>
      </c>
      <c r="N1903" s="6">
        <f>K1903</f>
        <v>859063</v>
      </c>
      <c r="O1903" s="6">
        <f>SUM(M1903:N1903)</f>
        <v>1013605.4829660271</v>
      </c>
      <c r="P1903" s="8">
        <f>VLOOKUP(F1903,'LEAID Match'!$A$2:$B$436,2,FALSE)</f>
        <v>1810980</v>
      </c>
      <c r="Q1903" s="6">
        <f>COUNTIF($P$2:$P$3691,P1903)</f>
        <v>9</v>
      </c>
    </row>
    <row r="1904" spans="1:17" x14ac:dyDescent="0.2">
      <c r="A1904" s="16">
        <f>P1904</f>
        <v>1810980</v>
      </c>
      <c r="B1904">
        <v>2021</v>
      </c>
      <c r="C1904" t="s">
        <v>904</v>
      </c>
      <c r="D1904" t="s">
        <v>906</v>
      </c>
      <c r="E1904" t="s">
        <v>2810</v>
      </c>
      <c r="F1904" t="s">
        <v>736</v>
      </c>
      <c r="G1904" t="s">
        <v>216</v>
      </c>
      <c r="H1904" s="6">
        <v>158926</v>
      </c>
      <c r="I1904" s="6">
        <v>7.8510921994800261E-4</v>
      </c>
      <c r="J1904" s="6">
        <v>1769.6361817627978</v>
      </c>
      <c r="K1904" s="6">
        <v>1440775</v>
      </c>
      <c r="M1904" s="6">
        <f>SUM(H1904,J1904)</f>
        <v>160695.63618176279</v>
      </c>
      <c r="N1904" s="6">
        <f>K1904</f>
        <v>1440775</v>
      </c>
      <c r="O1904" s="6">
        <f>SUM(M1904:N1904)</f>
        <v>1601470.6361817629</v>
      </c>
      <c r="P1904" s="8">
        <f>VLOOKUP(F1904,'LEAID Match'!$A$2:$B$436,2,FALSE)</f>
        <v>1810980</v>
      </c>
      <c r="Q1904" s="6">
        <f>COUNTIF($P$2:$P$3691,P1904)</f>
        <v>9</v>
      </c>
    </row>
    <row r="1905" spans="1:17" x14ac:dyDescent="0.2">
      <c r="A1905" s="16">
        <f>P1905</f>
        <v>1810980</v>
      </c>
      <c r="B1905">
        <v>2022</v>
      </c>
      <c r="C1905" t="s">
        <v>904</v>
      </c>
      <c r="D1905" t="s">
        <v>906</v>
      </c>
      <c r="E1905" t="s">
        <v>2811</v>
      </c>
      <c r="F1905" t="s">
        <v>736</v>
      </c>
      <c r="G1905" t="s">
        <v>216</v>
      </c>
      <c r="H1905" s="6">
        <v>166740</v>
      </c>
      <c r="I1905" s="6">
        <v>7.9171250881833076E-4</v>
      </c>
      <c r="J1905" s="6">
        <v>1745.7260819444193</v>
      </c>
      <c r="K1905" s="6">
        <v>1356919</v>
      </c>
      <c r="M1905" s="6">
        <f>SUM(H1905,J1905)</f>
        <v>168485.72608194442</v>
      </c>
      <c r="N1905" s="6">
        <f>K1905</f>
        <v>1356919</v>
      </c>
      <c r="O1905" s="6">
        <f>SUM(M1905:N1905)</f>
        <v>1525404.7260819445</v>
      </c>
      <c r="P1905" s="8">
        <f>VLOOKUP(F1905,'LEAID Match'!$A$2:$B$436,2,FALSE)</f>
        <v>1810980</v>
      </c>
      <c r="Q1905" s="6">
        <f>COUNTIF($P$2:$P$3691,P1905)</f>
        <v>9</v>
      </c>
    </row>
    <row r="1906" spans="1:17" x14ac:dyDescent="0.2">
      <c r="A1906" s="16">
        <f>P1906</f>
        <v>1810980</v>
      </c>
      <c r="B1906">
        <v>2023</v>
      </c>
      <c r="C1906" t="s">
        <v>904</v>
      </c>
      <c r="D1906" t="s">
        <v>906</v>
      </c>
      <c r="E1906" t="s">
        <v>2812</v>
      </c>
      <c r="F1906" t="s">
        <v>736</v>
      </c>
      <c r="G1906" t="s">
        <v>216</v>
      </c>
      <c r="H1906" s="6">
        <v>198836</v>
      </c>
      <c r="I1906" s="6">
        <v>8.1312998905810256E-4</v>
      </c>
      <c r="J1906" s="6">
        <v>2005.9916830063389</v>
      </c>
      <c r="K1906" s="6">
        <v>3457031</v>
      </c>
      <c r="M1906" s="6">
        <f>SUM(H1906,J1906)</f>
        <v>200841.99168300634</v>
      </c>
      <c r="N1906" s="6">
        <f>K1906</f>
        <v>3457031</v>
      </c>
      <c r="O1906" s="6">
        <f>SUM(M1906:N1906)</f>
        <v>3657872.9916830063</v>
      </c>
      <c r="P1906" s="8">
        <f>VLOOKUP(F1906,'LEAID Match'!$A$2:$B$436,2,FALSE)</f>
        <v>1810980</v>
      </c>
      <c r="Q1906" s="6">
        <f>COUNTIF($P$2:$P$3691,P1906)</f>
        <v>9</v>
      </c>
    </row>
    <row r="1907" spans="1:17" x14ac:dyDescent="0.2">
      <c r="A1907" s="16">
        <f>P1907</f>
        <v>1808490</v>
      </c>
      <c r="B1907">
        <v>2015</v>
      </c>
      <c r="C1907" t="s">
        <v>904</v>
      </c>
      <c r="D1907" t="s">
        <v>906</v>
      </c>
      <c r="E1907" t="s">
        <v>2813</v>
      </c>
      <c r="F1907" t="s">
        <v>737</v>
      </c>
      <c r="G1907" t="s">
        <v>217</v>
      </c>
      <c r="H1907" s="6">
        <v>160065</v>
      </c>
      <c r="I1907" s="6">
        <v>7.783492052902168E-4</v>
      </c>
      <c r="J1907" s="6">
        <v>4522.9872319414499</v>
      </c>
      <c r="K1907" s="6">
        <v>658184.541580691</v>
      </c>
      <c r="M1907" s="6">
        <f>SUM(H1907,J1907)</f>
        <v>164587.98723194146</v>
      </c>
      <c r="N1907" s="6">
        <f>K1907</f>
        <v>658184.541580691</v>
      </c>
      <c r="O1907" s="6">
        <f>SUM(M1907:N1907)</f>
        <v>822772.52881263243</v>
      </c>
      <c r="P1907" s="8">
        <f>VLOOKUP(F1907,'LEAID Match'!$A$2:$B$436,2,FALSE)</f>
        <v>1808490</v>
      </c>
      <c r="Q1907" s="6">
        <f>COUNTIF($P$2:$P$3691,P1907)</f>
        <v>9</v>
      </c>
    </row>
    <row r="1908" spans="1:17" x14ac:dyDescent="0.2">
      <c r="A1908" s="16">
        <f>P1908</f>
        <v>1808490</v>
      </c>
      <c r="B1908">
        <v>2016</v>
      </c>
      <c r="C1908" t="s">
        <v>904</v>
      </c>
      <c r="D1908" t="s">
        <v>906</v>
      </c>
      <c r="E1908" t="s">
        <v>2814</v>
      </c>
      <c r="F1908" t="s">
        <v>737</v>
      </c>
      <c r="G1908" t="s">
        <v>217</v>
      </c>
      <c r="H1908" s="6">
        <v>167164</v>
      </c>
      <c r="I1908" s="6">
        <v>7.7566149045654113E-4</v>
      </c>
      <c r="J1908" s="6">
        <v>3915.5392038246196</v>
      </c>
      <c r="K1908" s="6">
        <v>688399.57278018002</v>
      </c>
      <c r="M1908" s="6">
        <f>SUM(H1908,J1908)</f>
        <v>171079.53920382462</v>
      </c>
      <c r="N1908" s="6">
        <f>K1908</f>
        <v>688399.57278018002</v>
      </c>
      <c r="O1908" s="6">
        <f>SUM(M1908:N1908)</f>
        <v>859479.11198400462</v>
      </c>
      <c r="P1908" s="8">
        <f>VLOOKUP(F1908,'LEAID Match'!$A$2:$B$436,2,FALSE)</f>
        <v>1808490</v>
      </c>
      <c r="Q1908" s="6">
        <f>COUNTIF($P$2:$P$3691,P1908)</f>
        <v>9</v>
      </c>
    </row>
    <row r="1909" spans="1:17" x14ac:dyDescent="0.2">
      <c r="A1909" s="16">
        <f>P1909</f>
        <v>1808490</v>
      </c>
      <c r="B1909">
        <v>2017</v>
      </c>
      <c r="C1909" t="s">
        <v>904</v>
      </c>
      <c r="D1909" t="s">
        <v>906</v>
      </c>
      <c r="E1909" t="s">
        <v>2815</v>
      </c>
      <c r="F1909" t="s">
        <v>737</v>
      </c>
      <c r="G1909" t="s">
        <v>217</v>
      </c>
      <c r="H1909" s="6">
        <v>173063</v>
      </c>
      <c r="I1909" s="6">
        <v>7.6207042640756084E-4</v>
      </c>
      <c r="J1909" s="6">
        <v>3448.3686794942128</v>
      </c>
      <c r="K1909" s="6">
        <v>663763.34140098502</v>
      </c>
      <c r="M1909" s="6">
        <f>SUM(H1909,J1909)</f>
        <v>176511.36867949422</v>
      </c>
      <c r="N1909" s="6">
        <f>K1909</f>
        <v>663763.34140098502</v>
      </c>
      <c r="O1909" s="6">
        <f>SUM(M1909:N1909)</f>
        <v>840274.71008047927</v>
      </c>
      <c r="P1909" s="8">
        <f>VLOOKUP(F1909,'LEAID Match'!$A$2:$B$436,2,FALSE)</f>
        <v>1808490</v>
      </c>
      <c r="Q1909" s="6">
        <f>COUNTIF($P$2:$P$3691,P1909)</f>
        <v>9</v>
      </c>
    </row>
    <row r="1910" spans="1:17" x14ac:dyDescent="0.2">
      <c r="A1910" s="16">
        <f>P1910</f>
        <v>1808490</v>
      </c>
      <c r="B1910">
        <v>2018</v>
      </c>
      <c r="C1910" t="s">
        <v>904</v>
      </c>
      <c r="D1910" t="s">
        <v>906</v>
      </c>
      <c r="E1910" t="s">
        <v>2816</v>
      </c>
      <c r="F1910" t="s">
        <v>737</v>
      </c>
      <c r="G1910" t="s">
        <v>217</v>
      </c>
      <c r="H1910" s="6">
        <v>175621</v>
      </c>
      <c r="I1910" s="6">
        <v>7.4504940567481754E-4</v>
      </c>
      <c r="J1910" s="6">
        <v>3105.3659228526394</v>
      </c>
      <c r="K1910" s="6">
        <v>692005</v>
      </c>
      <c r="M1910" s="6">
        <f>SUM(H1910,J1910)</f>
        <v>178726.36592285265</v>
      </c>
      <c r="N1910" s="6">
        <f>K1910</f>
        <v>692005</v>
      </c>
      <c r="O1910" s="6">
        <f>SUM(M1910:N1910)</f>
        <v>870731.36592285265</v>
      </c>
      <c r="P1910" s="8">
        <f>VLOOKUP(F1910,'LEAID Match'!$A$2:$B$436,2,FALSE)</f>
        <v>1808490</v>
      </c>
      <c r="Q1910" s="6">
        <f>COUNTIF($P$2:$P$3691,P1910)</f>
        <v>9</v>
      </c>
    </row>
    <row r="1911" spans="1:17" x14ac:dyDescent="0.2">
      <c r="A1911" s="16">
        <f>P1911</f>
        <v>1808490</v>
      </c>
      <c r="B1911">
        <v>2019</v>
      </c>
      <c r="C1911" t="s">
        <v>904</v>
      </c>
      <c r="D1911" t="s">
        <v>906</v>
      </c>
      <c r="E1911" t="s">
        <v>2817</v>
      </c>
      <c r="F1911" t="s">
        <v>737</v>
      </c>
      <c r="G1911" t="s">
        <v>217</v>
      </c>
      <c r="H1911" s="6">
        <v>172613</v>
      </c>
      <c r="I1911" s="6">
        <v>4.3912653584545982E-4</v>
      </c>
      <c r="J1911" s="6">
        <v>1539.1385081383366</v>
      </c>
      <c r="K1911" s="6">
        <v>414491.53718452901</v>
      </c>
      <c r="M1911" s="6">
        <f>SUM(H1911,J1911)</f>
        <v>174152.13850813833</v>
      </c>
      <c r="N1911" s="6">
        <f>K1911</f>
        <v>414491.53718452901</v>
      </c>
      <c r="O1911" s="6">
        <f>SUM(M1911:N1911)</f>
        <v>588643.67569266737</v>
      </c>
      <c r="P1911" s="8">
        <f>VLOOKUP(F1911,'LEAID Match'!$A$2:$B$436,2,FALSE)</f>
        <v>1808490</v>
      </c>
      <c r="Q1911" s="6">
        <f>COUNTIF($P$2:$P$3691,P1911)</f>
        <v>9</v>
      </c>
    </row>
    <row r="1912" spans="1:17" x14ac:dyDescent="0.2">
      <c r="A1912" s="16">
        <f>P1912</f>
        <v>1808490</v>
      </c>
      <c r="B1912">
        <v>2020</v>
      </c>
      <c r="C1912" t="s">
        <v>904</v>
      </c>
      <c r="D1912" t="s">
        <v>906</v>
      </c>
      <c r="E1912" t="s">
        <v>2818</v>
      </c>
      <c r="F1912" t="s">
        <v>737</v>
      </c>
      <c r="G1912" t="s">
        <v>217</v>
      </c>
      <c r="H1912" s="6">
        <v>134410</v>
      </c>
      <c r="I1912" s="6">
        <v>7.1219930270914134E-4</v>
      </c>
      <c r="J1912" s="6">
        <v>1677.9415571827369</v>
      </c>
      <c r="K1912" s="6">
        <v>751462</v>
      </c>
      <c r="M1912" s="6">
        <f>SUM(H1912,J1912)</f>
        <v>136087.94155718273</v>
      </c>
      <c r="N1912" s="6">
        <f>K1912</f>
        <v>751462</v>
      </c>
      <c r="O1912" s="6">
        <f>SUM(M1912:N1912)</f>
        <v>887549.9415571827</v>
      </c>
      <c r="P1912" s="8">
        <f>VLOOKUP(F1912,'LEAID Match'!$A$2:$B$436,2,FALSE)</f>
        <v>1808490</v>
      </c>
      <c r="Q1912" s="6">
        <f>COUNTIF($P$2:$P$3691,P1912)</f>
        <v>9</v>
      </c>
    </row>
    <row r="1913" spans="1:17" x14ac:dyDescent="0.2">
      <c r="A1913" s="16">
        <f>P1913</f>
        <v>1808490</v>
      </c>
      <c r="B1913">
        <v>2021</v>
      </c>
      <c r="C1913" t="s">
        <v>904</v>
      </c>
      <c r="D1913" t="s">
        <v>906</v>
      </c>
      <c r="E1913" t="s">
        <v>2819</v>
      </c>
      <c r="F1913" t="s">
        <v>737</v>
      </c>
      <c r="G1913" t="s">
        <v>217</v>
      </c>
      <c r="H1913" s="6">
        <v>152885</v>
      </c>
      <c r="I1913" s="6">
        <v>7.5526611814146448E-4</v>
      </c>
      <c r="J1913" s="6">
        <v>1702.369830290861</v>
      </c>
      <c r="K1913" s="6">
        <v>1259679</v>
      </c>
      <c r="M1913" s="6">
        <f>SUM(H1913,J1913)</f>
        <v>154587.36983029087</v>
      </c>
      <c r="N1913" s="6">
        <f>K1913</f>
        <v>1259679</v>
      </c>
      <c r="O1913" s="6">
        <f>SUM(M1913:N1913)</f>
        <v>1414266.3698302908</v>
      </c>
      <c r="P1913" s="8">
        <f>VLOOKUP(F1913,'LEAID Match'!$A$2:$B$436,2,FALSE)</f>
        <v>1808490</v>
      </c>
      <c r="Q1913" s="6">
        <f>COUNTIF($P$2:$P$3691,P1913)</f>
        <v>9</v>
      </c>
    </row>
    <row r="1914" spans="1:17" x14ac:dyDescent="0.2">
      <c r="A1914" s="16">
        <f>P1914</f>
        <v>1808490</v>
      </c>
      <c r="B1914">
        <v>2022</v>
      </c>
      <c r="C1914" t="s">
        <v>904</v>
      </c>
      <c r="D1914" t="s">
        <v>906</v>
      </c>
      <c r="E1914" t="s">
        <v>2820</v>
      </c>
      <c r="F1914" t="s">
        <v>737</v>
      </c>
      <c r="G1914" t="s">
        <v>217</v>
      </c>
      <c r="H1914" s="6">
        <v>179195</v>
      </c>
      <c r="I1914" s="6">
        <v>8.5085116359422325E-4</v>
      </c>
      <c r="J1914" s="6">
        <v>1876.1268157252623</v>
      </c>
      <c r="K1914" s="6">
        <v>1226530</v>
      </c>
      <c r="M1914" s="6">
        <f>SUM(H1914,J1914)</f>
        <v>181071.12681572526</v>
      </c>
      <c r="N1914" s="6">
        <f>K1914</f>
        <v>1226530</v>
      </c>
      <c r="O1914" s="6">
        <f>SUM(M1914:N1914)</f>
        <v>1407601.1268157254</v>
      </c>
      <c r="P1914" s="8">
        <f>VLOOKUP(F1914,'LEAID Match'!$A$2:$B$436,2,FALSE)</f>
        <v>1808490</v>
      </c>
      <c r="Q1914" s="6">
        <f>COUNTIF($P$2:$P$3691,P1914)</f>
        <v>9</v>
      </c>
    </row>
    <row r="1915" spans="1:17" x14ac:dyDescent="0.2">
      <c r="A1915" s="16">
        <f>P1915</f>
        <v>1808490</v>
      </c>
      <c r="B1915">
        <v>2023</v>
      </c>
      <c r="C1915" t="s">
        <v>904</v>
      </c>
      <c r="D1915" t="s">
        <v>906</v>
      </c>
      <c r="E1915" t="s">
        <v>2821</v>
      </c>
      <c r="F1915" t="s">
        <v>737</v>
      </c>
      <c r="G1915" t="s">
        <v>217</v>
      </c>
      <c r="H1915" s="6">
        <v>203798</v>
      </c>
      <c r="I1915" s="6">
        <v>8.3342184267468252E-4</v>
      </c>
      <c r="J1915" s="6">
        <v>2056.0516858784417</v>
      </c>
      <c r="K1915" s="6">
        <v>3379107</v>
      </c>
      <c r="M1915" s="6">
        <f>SUM(H1915,J1915)</f>
        <v>205854.05168587845</v>
      </c>
      <c r="N1915" s="6">
        <f>K1915</f>
        <v>3379107</v>
      </c>
      <c r="O1915" s="6">
        <f>SUM(M1915:N1915)</f>
        <v>3584961.0516858785</v>
      </c>
      <c r="P1915" s="8">
        <f>VLOOKUP(F1915,'LEAID Match'!$A$2:$B$436,2,FALSE)</f>
        <v>1808490</v>
      </c>
      <c r="Q1915" s="6">
        <f>COUNTIF($P$2:$P$3691,P1915)</f>
        <v>9</v>
      </c>
    </row>
    <row r="1916" spans="1:17" x14ac:dyDescent="0.2">
      <c r="A1916" s="16">
        <f>P1916</f>
        <v>1808640</v>
      </c>
      <c r="B1916">
        <v>2015</v>
      </c>
      <c r="C1916" t="s">
        <v>904</v>
      </c>
      <c r="D1916" t="s">
        <v>906</v>
      </c>
      <c r="E1916" t="s">
        <v>2822</v>
      </c>
      <c r="F1916" t="s">
        <v>738</v>
      </c>
      <c r="G1916" t="s">
        <v>218</v>
      </c>
      <c r="H1916" s="6">
        <v>304953</v>
      </c>
      <c r="I1916" s="6">
        <v>1.4828971055562896E-3</v>
      </c>
      <c r="J1916" s="6">
        <v>8617.1150803875989</v>
      </c>
      <c r="K1916" s="6">
        <v>1253961.5188120799</v>
      </c>
      <c r="M1916" s="6">
        <f>SUM(H1916,J1916)</f>
        <v>313570.11508038762</v>
      </c>
      <c r="N1916" s="6">
        <f>K1916</f>
        <v>1253961.5188120799</v>
      </c>
      <c r="O1916" s="6">
        <f>SUM(M1916:N1916)</f>
        <v>1567531.6338924675</v>
      </c>
      <c r="P1916" s="8">
        <f>VLOOKUP(F1916,'LEAID Match'!$A$2:$B$436,2,FALSE)</f>
        <v>1808640</v>
      </c>
      <c r="Q1916" s="6">
        <f>COUNTIF($P$2:$P$3691,P1916)</f>
        <v>9</v>
      </c>
    </row>
    <row r="1917" spans="1:17" x14ac:dyDescent="0.2">
      <c r="A1917" s="16">
        <f>P1917</f>
        <v>1808640</v>
      </c>
      <c r="B1917">
        <v>2016</v>
      </c>
      <c r="C1917" t="s">
        <v>904</v>
      </c>
      <c r="D1917" t="s">
        <v>906</v>
      </c>
      <c r="E1917" t="s">
        <v>2823</v>
      </c>
      <c r="F1917" t="s">
        <v>738</v>
      </c>
      <c r="G1917" t="s">
        <v>218</v>
      </c>
      <c r="H1917" s="6">
        <v>316208</v>
      </c>
      <c r="I1917" s="6">
        <v>1.4672439554825319E-3</v>
      </c>
      <c r="J1917" s="6">
        <v>7406.6474872758208</v>
      </c>
      <c r="K1917" s="6">
        <v>1302179.01049074</v>
      </c>
      <c r="M1917" s="6">
        <f>SUM(H1917,J1917)</f>
        <v>323614.64748727583</v>
      </c>
      <c r="N1917" s="6">
        <f>K1917</f>
        <v>1302179.01049074</v>
      </c>
      <c r="O1917" s="6">
        <f>SUM(M1917:N1917)</f>
        <v>1625793.6579780157</v>
      </c>
      <c r="P1917" s="8">
        <f>VLOOKUP(F1917,'LEAID Match'!$A$2:$B$436,2,FALSE)</f>
        <v>1808640</v>
      </c>
      <c r="Q1917" s="6">
        <f>COUNTIF($P$2:$P$3691,P1917)</f>
        <v>9</v>
      </c>
    </row>
    <row r="1918" spans="1:17" x14ac:dyDescent="0.2">
      <c r="A1918" s="16">
        <f>P1918</f>
        <v>1808640</v>
      </c>
      <c r="B1918">
        <v>2017</v>
      </c>
      <c r="C1918" t="s">
        <v>904</v>
      </c>
      <c r="D1918" t="s">
        <v>906</v>
      </c>
      <c r="E1918" t="s">
        <v>2824</v>
      </c>
      <c r="F1918" t="s">
        <v>738</v>
      </c>
      <c r="G1918" t="s">
        <v>218</v>
      </c>
      <c r="H1918" s="6">
        <v>320521</v>
      </c>
      <c r="I1918" s="6">
        <v>1.4113910838398607E-3</v>
      </c>
      <c r="J1918" s="6">
        <v>6386.5446543753696</v>
      </c>
      <c r="K1918" s="6">
        <v>1229321.6340245099</v>
      </c>
      <c r="M1918" s="6">
        <f>SUM(H1918,J1918)</f>
        <v>326907.54465437535</v>
      </c>
      <c r="N1918" s="6">
        <f>K1918</f>
        <v>1229321.6340245099</v>
      </c>
      <c r="O1918" s="6">
        <f>SUM(M1918:N1918)</f>
        <v>1556229.1786788853</v>
      </c>
      <c r="P1918" s="8">
        <f>VLOOKUP(F1918,'LEAID Match'!$A$2:$B$436,2,FALSE)</f>
        <v>1808640</v>
      </c>
      <c r="Q1918" s="6">
        <f>COUNTIF($P$2:$P$3691,P1918)</f>
        <v>9</v>
      </c>
    </row>
    <row r="1919" spans="1:17" x14ac:dyDescent="0.2">
      <c r="A1919" s="16">
        <f>P1919</f>
        <v>1808640</v>
      </c>
      <c r="B1919">
        <v>2018</v>
      </c>
      <c r="C1919" t="s">
        <v>904</v>
      </c>
      <c r="D1919" t="s">
        <v>906</v>
      </c>
      <c r="E1919" t="s">
        <v>2825</v>
      </c>
      <c r="F1919" t="s">
        <v>738</v>
      </c>
      <c r="G1919" t="s">
        <v>218</v>
      </c>
      <c r="H1919" s="6">
        <v>350300</v>
      </c>
      <c r="I1919" s="6">
        <v>1.4861024980377549E-3</v>
      </c>
      <c r="J1919" s="6">
        <v>6194.0752118213622</v>
      </c>
      <c r="K1919" s="6">
        <v>1566305</v>
      </c>
      <c r="M1919" s="6">
        <f>SUM(H1919,J1919)</f>
        <v>356494.07521182136</v>
      </c>
      <c r="N1919" s="6">
        <f>K1919</f>
        <v>1566305</v>
      </c>
      <c r="O1919" s="6">
        <f>SUM(M1919:N1919)</f>
        <v>1922799.0752118214</v>
      </c>
      <c r="P1919" s="8">
        <f>VLOOKUP(F1919,'LEAID Match'!$A$2:$B$436,2,FALSE)</f>
        <v>1808640</v>
      </c>
      <c r="Q1919" s="6">
        <f>COUNTIF($P$2:$P$3691,P1919)</f>
        <v>9</v>
      </c>
    </row>
    <row r="1920" spans="1:17" x14ac:dyDescent="0.2">
      <c r="A1920" s="16">
        <f>P1920</f>
        <v>1808640</v>
      </c>
      <c r="B1920">
        <v>2019</v>
      </c>
      <c r="C1920" t="s">
        <v>904</v>
      </c>
      <c r="D1920" t="s">
        <v>906</v>
      </c>
      <c r="E1920" t="s">
        <v>2826</v>
      </c>
      <c r="F1920" t="s">
        <v>738</v>
      </c>
      <c r="G1920" t="s">
        <v>218</v>
      </c>
      <c r="H1920" s="6">
        <v>321145</v>
      </c>
      <c r="I1920" s="6">
        <v>8.1699113829253984E-4</v>
      </c>
      <c r="J1920" s="6">
        <v>2863.553939715352</v>
      </c>
      <c r="K1920" s="6">
        <v>771157.93543432804</v>
      </c>
      <c r="M1920" s="6">
        <f>SUM(H1920,J1920)</f>
        <v>324008.55393971538</v>
      </c>
      <c r="N1920" s="6">
        <f>K1920</f>
        <v>771157.93543432804</v>
      </c>
      <c r="O1920" s="6">
        <f>SUM(M1920:N1920)</f>
        <v>1095166.4893740434</v>
      </c>
      <c r="P1920" s="8">
        <f>VLOOKUP(F1920,'LEAID Match'!$A$2:$B$436,2,FALSE)</f>
        <v>1808640</v>
      </c>
      <c r="Q1920" s="6">
        <f>COUNTIF($P$2:$P$3691,P1920)</f>
        <v>9</v>
      </c>
    </row>
    <row r="1921" spans="1:17" x14ac:dyDescent="0.2">
      <c r="A1921" s="16">
        <f>P1921</f>
        <v>1808640</v>
      </c>
      <c r="B1921">
        <v>2020</v>
      </c>
      <c r="C1921" t="s">
        <v>904</v>
      </c>
      <c r="D1921" t="s">
        <v>906</v>
      </c>
      <c r="E1921" t="s">
        <v>2827</v>
      </c>
      <c r="F1921" t="s">
        <v>738</v>
      </c>
      <c r="G1921" t="s">
        <v>218</v>
      </c>
      <c r="H1921" s="6">
        <v>244025</v>
      </c>
      <c r="I1921" s="6">
        <v>1.2930171478580329E-3</v>
      </c>
      <c r="J1921" s="6">
        <v>3046.3484003535254</v>
      </c>
      <c r="K1921" s="6">
        <v>1601688</v>
      </c>
      <c r="M1921" s="6">
        <f>SUM(H1921,J1921)</f>
        <v>247071.34840035351</v>
      </c>
      <c r="N1921" s="6">
        <f>K1921</f>
        <v>1601688</v>
      </c>
      <c r="O1921" s="6">
        <f>SUM(M1921:N1921)</f>
        <v>1848759.3484003535</v>
      </c>
      <c r="P1921" s="8">
        <f>VLOOKUP(F1921,'LEAID Match'!$A$2:$B$436,2,FALSE)</f>
        <v>1808640</v>
      </c>
      <c r="Q1921" s="6">
        <f>COUNTIF($P$2:$P$3691,P1921)</f>
        <v>9</v>
      </c>
    </row>
    <row r="1922" spans="1:17" x14ac:dyDescent="0.2">
      <c r="A1922" s="16">
        <f>P1922</f>
        <v>1808640</v>
      </c>
      <c r="B1922">
        <v>2021</v>
      </c>
      <c r="C1922" t="s">
        <v>904</v>
      </c>
      <c r="D1922" t="s">
        <v>906</v>
      </c>
      <c r="E1922" t="s">
        <v>2828</v>
      </c>
      <c r="F1922" t="s">
        <v>738</v>
      </c>
      <c r="G1922" t="s">
        <v>218</v>
      </c>
      <c r="H1922" s="6">
        <v>249631</v>
      </c>
      <c r="I1922" s="6">
        <v>1.2332003554159788E-3</v>
      </c>
      <c r="J1922" s="6">
        <v>2779.6336011076164</v>
      </c>
      <c r="K1922" s="6">
        <v>2668167</v>
      </c>
      <c r="M1922" s="6">
        <f>SUM(H1922,J1922)</f>
        <v>252410.63360110761</v>
      </c>
      <c r="N1922" s="6">
        <f>K1922</f>
        <v>2668167</v>
      </c>
      <c r="O1922" s="6">
        <f>SUM(M1922:N1922)</f>
        <v>2920577.6336011076</v>
      </c>
      <c r="P1922" s="8">
        <f>VLOOKUP(F1922,'LEAID Match'!$A$2:$B$436,2,FALSE)</f>
        <v>1808640</v>
      </c>
      <c r="Q1922" s="6">
        <f>COUNTIF($P$2:$P$3691,P1922)</f>
        <v>9</v>
      </c>
    </row>
    <row r="1923" spans="1:17" x14ac:dyDescent="0.2">
      <c r="A1923" s="16">
        <f>P1923</f>
        <v>1808640</v>
      </c>
      <c r="B1923">
        <v>2022</v>
      </c>
      <c r="C1923" t="s">
        <v>904</v>
      </c>
      <c r="D1923" t="s">
        <v>906</v>
      </c>
      <c r="E1923" t="s">
        <v>2829</v>
      </c>
      <c r="F1923" t="s">
        <v>738</v>
      </c>
      <c r="G1923" t="s">
        <v>218</v>
      </c>
      <c r="H1923" s="6">
        <v>280412</v>
      </c>
      <c r="I1923" s="6">
        <v>1.3314482908886036E-3</v>
      </c>
      <c r="J1923" s="6">
        <v>2935.8434814093712</v>
      </c>
      <c r="K1923" s="6">
        <v>2595852</v>
      </c>
      <c r="M1923" s="6">
        <f>SUM(H1923,J1923)</f>
        <v>283347.84348140936</v>
      </c>
      <c r="N1923" s="6">
        <f>K1923</f>
        <v>2595852</v>
      </c>
      <c r="O1923" s="6">
        <f>SUM(M1923:N1923)</f>
        <v>2879199.8434814094</v>
      </c>
      <c r="P1923" s="8">
        <f>VLOOKUP(F1923,'LEAID Match'!$A$2:$B$436,2,FALSE)</f>
        <v>1808640</v>
      </c>
      <c r="Q1923" s="6">
        <f>COUNTIF($P$2:$P$3691,P1923)</f>
        <v>9</v>
      </c>
    </row>
    <row r="1924" spans="1:17" x14ac:dyDescent="0.2">
      <c r="A1924" s="16">
        <f>P1924</f>
        <v>1808640</v>
      </c>
      <c r="B1924">
        <v>2023</v>
      </c>
      <c r="C1924" t="s">
        <v>904</v>
      </c>
      <c r="D1924" t="s">
        <v>906</v>
      </c>
      <c r="E1924" t="s">
        <v>2830</v>
      </c>
      <c r="F1924" t="s">
        <v>738</v>
      </c>
      <c r="G1924" t="s">
        <v>218</v>
      </c>
      <c r="H1924" s="6">
        <v>338655</v>
      </c>
      <c r="I1924" s="6">
        <v>1.3849128751557652E-3</v>
      </c>
      <c r="J1924" s="6">
        <v>3416.5800630092726</v>
      </c>
      <c r="K1924" s="6">
        <v>6618035</v>
      </c>
      <c r="M1924" s="6">
        <f>SUM(H1924,J1924)</f>
        <v>342071.58006300929</v>
      </c>
      <c r="N1924" s="6">
        <f>K1924</f>
        <v>6618035</v>
      </c>
      <c r="O1924" s="6">
        <f>SUM(M1924:N1924)</f>
        <v>6960106.5800630096</v>
      </c>
      <c r="P1924" s="8">
        <f>VLOOKUP(F1924,'LEAID Match'!$A$2:$B$436,2,FALSE)</f>
        <v>1808640</v>
      </c>
      <c r="Q1924" s="6">
        <f>COUNTIF($P$2:$P$3691,P1924)</f>
        <v>9</v>
      </c>
    </row>
    <row r="1925" spans="1:17" x14ac:dyDescent="0.2">
      <c r="A1925" s="16">
        <f>P1925</f>
        <v>1800036</v>
      </c>
      <c r="B1925">
        <v>2015</v>
      </c>
      <c r="C1925" t="s">
        <v>904</v>
      </c>
      <c r="D1925" t="s">
        <v>906</v>
      </c>
      <c r="E1925" t="s">
        <v>2831</v>
      </c>
      <c r="F1925" t="s">
        <v>739</v>
      </c>
      <c r="G1925" t="s">
        <v>219</v>
      </c>
      <c r="H1925" s="6">
        <v>36443</v>
      </c>
      <c r="I1925" s="6">
        <v>1.7721163332640722E-4</v>
      </c>
      <c r="J1925" s="6">
        <v>1029.7768012597523</v>
      </c>
      <c r="K1925" s="6">
        <v>149852.99252694301</v>
      </c>
      <c r="M1925" s="6">
        <f>SUM(H1925,J1925)</f>
        <v>37472.776801259752</v>
      </c>
      <c r="N1925" s="6">
        <f>K1925</f>
        <v>149852.99252694301</v>
      </c>
      <c r="O1925" s="6">
        <f>SUM(M1925:N1925)</f>
        <v>187325.76932820276</v>
      </c>
      <c r="P1925" s="8">
        <f>VLOOKUP(F1925,'LEAID Match'!$A$2:$B$436,2,FALSE)</f>
        <v>1800036</v>
      </c>
      <c r="Q1925" s="6">
        <f>COUNTIF($P$2:$P$3691,P1925)</f>
        <v>9</v>
      </c>
    </row>
    <row r="1926" spans="1:17" x14ac:dyDescent="0.2">
      <c r="A1926" s="16">
        <f>P1926</f>
        <v>1800036</v>
      </c>
      <c r="B1926">
        <v>2016</v>
      </c>
      <c r="C1926" t="s">
        <v>904</v>
      </c>
      <c r="D1926" t="s">
        <v>906</v>
      </c>
      <c r="E1926" t="s">
        <v>2832</v>
      </c>
      <c r="F1926" t="s">
        <v>739</v>
      </c>
      <c r="G1926" t="s">
        <v>219</v>
      </c>
      <c r="H1926" s="6">
        <v>36607</v>
      </c>
      <c r="I1926" s="6">
        <v>1.6986097593466655E-4</v>
      </c>
      <c r="J1926" s="6">
        <v>857.45820651819679</v>
      </c>
      <c r="K1926" s="6">
        <v>150751.61614201599</v>
      </c>
      <c r="M1926" s="6">
        <f>SUM(H1926,J1926)</f>
        <v>37464.458206518197</v>
      </c>
      <c r="N1926" s="6">
        <f>K1926</f>
        <v>150751.61614201599</v>
      </c>
      <c r="O1926" s="6">
        <f>SUM(M1926:N1926)</f>
        <v>188216.0743485342</v>
      </c>
      <c r="P1926" s="8">
        <f>VLOOKUP(F1926,'LEAID Match'!$A$2:$B$436,2,FALSE)</f>
        <v>1800036</v>
      </c>
      <c r="Q1926" s="6">
        <f>COUNTIF($P$2:$P$3691,P1926)</f>
        <v>9</v>
      </c>
    </row>
    <row r="1927" spans="1:17" x14ac:dyDescent="0.2">
      <c r="A1927" s="16">
        <f>P1927</f>
        <v>1800036</v>
      </c>
      <c r="B1927">
        <v>2017</v>
      </c>
      <c r="C1927" t="s">
        <v>904</v>
      </c>
      <c r="D1927" t="s">
        <v>906</v>
      </c>
      <c r="E1927" t="s">
        <v>2833</v>
      </c>
      <c r="F1927" t="s">
        <v>739</v>
      </c>
      <c r="G1927" t="s">
        <v>219</v>
      </c>
      <c r="H1927" s="6">
        <v>41024</v>
      </c>
      <c r="I1927" s="6">
        <v>1.8064622231755937E-4</v>
      </c>
      <c r="J1927" s="6">
        <v>817.42415598695618</v>
      </c>
      <c r="K1927" s="6">
        <v>157342.859638594</v>
      </c>
      <c r="M1927" s="6">
        <f>SUM(H1927,J1927)</f>
        <v>41841.424155986955</v>
      </c>
      <c r="N1927" s="6">
        <f>K1927</f>
        <v>157342.859638594</v>
      </c>
      <c r="O1927" s="6">
        <f>SUM(M1927:N1927)</f>
        <v>199184.28379458096</v>
      </c>
      <c r="P1927" s="8">
        <f>VLOOKUP(F1927,'LEAID Match'!$A$2:$B$436,2,FALSE)</f>
        <v>1800036</v>
      </c>
      <c r="Q1927" s="6">
        <f>COUNTIF($P$2:$P$3691,P1927)</f>
        <v>9</v>
      </c>
    </row>
    <row r="1928" spans="1:17" x14ac:dyDescent="0.2">
      <c r="A1928" s="16">
        <f>P1928</f>
        <v>1800036</v>
      </c>
      <c r="B1928">
        <v>2018</v>
      </c>
      <c r="C1928" t="s">
        <v>904</v>
      </c>
      <c r="D1928" t="s">
        <v>906</v>
      </c>
      <c r="E1928" t="s">
        <v>2834</v>
      </c>
      <c r="F1928" t="s">
        <v>739</v>
      </c>
      <c r="G1928" t="s">
        <v>219</v>
      </c>
      <c r="H1928" s="6">
        <v>44035</v>
      </c>
      <c r="I1928" s="6">
        <v>1.8681279903252224E-4</v>
      </c>
      <c r="J1928" s="6">
        <v>778.63574636755266</v>
      </c>
      <c r="K1928" s="6">
        <v>80867</v>
      </c>
      <c r="M1928" s="6">
        <f>SUM(H1928,J1928)</f>
        <v>44813.635746367552</v>
      </c>
      <c r="N1928" s="6">
        <f>K1928</f>
        <v>80867</v>
      </c>
      <c r="O1928" s="6">
        <f>SUM(M1928:N1928)</f>
        <v>125680.63574636755</v>
      </c>
      <c r="P1928" s="8">
        <f>VLOOKUP(F1928,'LEAID Match'!$A$2:$B$436,2,FALSE)</f>
        <v>1800036</v>
      </c>
      <c r="Q1928" s="6">
        <f>COUNTIF($P$2:$P$3691,P1928)</f>
        <v>9</v>
      </c>
    </row>
    <row r="1929" spans="1:17" x14ac:dyDescent="0.2">
      <c r="A1929" s="16">
        <f>P1929</f>
        <v>1800036</v>
      </c>
      <c r="B1929">
        <v>2019</v>
      </c>
      <c r="C1929" t="s">
        <v>904</v>
      </c>
      <c r="D1929" t="s">
        <v>906</v>
      </c>
      <c r="E1929" t="s">
        <v>2835</v>
      </c>
      <c r="F1929" t="s">
        <v>739</v>
      </c>
      <c r="G1929" t="s">
        <v>219</v>
      </c>
      <c r="H1929" s="6">
        <v>53714</v>
      </c>
      <c r="I1929" s="6">
        <v>1.3664812468587551E-4</v>
      </c>
      <c r="J1929" s="6">
        <v>478.95167702399368</v>
      </c>
      <c r="K1929" s="6">
        <v>128982.164890997</v>
      </c>
      <c r="M1929" s="6">
        <f>SUM(H1929,J1929)</f>
        <v>54192.951677023993</v>
      </c>
      <c r="N1929" s="6">
        <f>K1929</f>
        <v>128982.164890997</v>
      </c>
      <c r="O1929" s="6">
        <f>SUM(M1929:N1929)</f>
        <v>183175.11656802098</v>
      </c>
      <c r="P1929" s="8">
        <f>VLOOKUP(F1929,'LEAID Match'!$A$2:$B$436,2,FALSE)</f>
        <v>1800036</v>
      </c>
      <c r="Q1929" s="6">
        <f>COUNTIF($P$2:$P$3691,P1929)</f>
        <v>9</v>
      </c>
    </row>
    <row r="1930" spans="1:17" x14ac:dyDescent="0.2">
      <c r="A1930" s="16">
        <f>P1930</f>
        <v>1800036</v>
      </c>
      <c r="B1930">
        <v>2020</v>
      </c>
      <c r="C1930" t="s">
        <v>904</v>
      </c>
      <c r="D1930" t="s">
        <v>906</v>
      </c>
      <c r="E1930" t="s">
        <v>2836</v>
      </c>
      <c r="F1930" t="s">
        <v>739</v>
      </c>
      <c r="G1930" t="s">
        <v>219</v>
      </c>
      <c r="H1930" s="6">
        <v>37001</v>
      </c>
      <c r="I1930" s="6">
        <v>1.9605748381475291E-4</v>
      </c>
      <c r="J1930" s="6">
        <v>461.91143186755784</v>
      </c>
      <c r="K1930" s="6">
        <v>106630</v>
      </c>
      <c r="M1930" s="6">
        <f>SUM(H1930,J1930)</f>
        <v>37462.911431867557</v>
      </c>
      <c r="N1930" s="6">
        <f>K1930</f>
        <v>106630</v>
      </c>
      <c r="O1930" s="6">
        <f>SUM(M1930:N1930)</f>
        <v>144092.91143186757</v>
      </c>
      <c r="P1930" s="8">
        <f>VLOOKUP(F1930,'LEAID Match'!$A$2:$B$436,2,FALSE)</f>
        <v>1800036</v>
      </c>
      <c r="Q1930" s="6">
        <f>COUNTIF($P$2:$P$3691,P1930)</f>
        <v>9</v>
      </c>
    </row>
    <row r="1931" spans="1:17" x14ac:dyDescent="0.2">
      <c r="A1931" s="16">
        <f>P1931</f>
        <v>1800036</v>
      </c>
      <c r="B1931">
        <v>2021</v>
      </c>
      <c r="C1931" t="s">
        <v>904</v>
      </c>
      <c r="D1931" t="s">
        <v>906</v>
      </c>
      <c r="E1931" t="s">
        <v>2837</v>
      </c>
      <c r="F1931" t="s">
        <v>739</v>
      </c>
      <c r="G1931" t="s">
        <v>219</v>
      </c>
      <c r="H1931" s="6">
        <v>40292</v>
      </c>
      <c r="I1931" s="6">
        <v>1.9904622711290111E-4</v>
      </c>
      <c r="J1931" s="6">
        <v>448.65019591247909</v>
      </c>
      <c r="K1931" s="6">
        <v>194362</v>
      </c>
      <c r="M1931" s="6">
        <f>SUM(H1931,J1931)</f>
        <v>40740.65019591248</v>
      </c>
      <c r="N1931" s="6">
        <f>K1931</f>
        <v>194362</v>
      </c>
      <c r="O1931" s="6">
        <f>SUM(M1931:N1931)</f>
        <v>235102.65019591249</v>
      </c>
      <c r="P1931" s="8">
        <f>VLOOKUP(F1931,'LEAID Match'!$A$2:$B$436,2,FALSE)</f>
        <v>1800036</v>
      </c>
      <c r="Q1931" s="6">
        <f>COUNTIF($P$2:$P$3691,P1931)</f>
        <v>9</v>
      </c>
    </row>
    <row r="1932" spans="1:17" x14ac:dyDescent="0.2">
      <c r="A1932" s="16">
        <f>P1932</f>
        <v>1800036</v>
      </c>
      <c r="B1932">
        <v>2022</v>
      </c>
      <c r="C1932" t="s">
        <v>904</v>
      </c>
      <c r="D1932" t="s">
        <v>906</v>
      </c>
      <c r="E1932" t="s">
        <v>2838</v>
      </c>
      <c r="F1932" t="s">
        <v>739</v>
      </c>
      <c r="G1932" t="s">
        <v>219</v>
      </c>
      <c r="H1932" s="6">
        <v>45437</v>
      </c>
      <c r="I1932" s="6">
        <v>2.1574332051804303E-4</v>
      </c>
      <c r="J1932" s="6">
        <v>475.7140217422849</v>
      </c>
      <c r="K1932" s="6">
        <v>200468</v>
      </c>
      <c r="M1932" s="6">
        <f>SUM(H1932,J1932)</f>
        <v>45912.714021742286</v>
      </c>
      <c r="N1932" s="6">
        <f>K1932</f>
        <v>200468</v>
      </c>
      <c r="O1932" s="6">
        <f>SUM(M1932:N1932)</f>
        <v>246380.71402174229</v>
      </c>
      <c r="P1932" s="8">
        <f>VLOOKUP(F1932,'LEAID Match'!$A$2:$B$436,2,FALSE)</f>
        <v>1800036</v>
      </c>
      <c r="Q1932" s="6">
        <f>COUNTIF($P$2:$P$3691,P1932)</f>
        <v>9</v>
      </c>
    </row>
    <row r="1933" spans="1:17" x14ac:dyDescent="0.2">
      <c r="A1933" s="16">
        <f>P1933</f>
        <v>1800036</v>
      </c>
      <c r="B1933">
        <v>2023</v>
      </c>
      <c r="C1933" t="s">
        <v>904</v>
      </c>
      <c r="D1933" t="s">
        <v>906</v>
      </c>
      <c r="E1933" t="s">
        <v>2839</v>
      </c>
      <c r="F1933" t="s">
        <v>739</v>
      </c>
      <c r="G1933" t="s">
        <v>219</v>
      </c>
      <c r="H1933" s="6">
        <v>54057</v>
      </c>
      <c r="I1933" s="6">
        <v>2.2106342824495487E-4</v>
      </c>
      <c r="J1933" s="6">
        <v>545.36347748030369</v>
      </c>
      <c r="K1933" s="6">
        <v>752983</v>
      </c>
      <c r="M1933" s="6">
        <f>SUM(H1933,J1933)</f>
        <v>54602.363477480307</v>
      </c>
      <c r="N1933" s="6">
        <f>K1933</f>
        <v>752983</v>
      </c>
      <c r="O1933" s="6">
        <f>SUM(M1933:N1933)</f>
        <v>807585.36347748036</v>
      </c>
      <c r="P1933" s="8">
        <f>VLOOKUP(F1933,'LEAID Match'!$A$2:$B$436,2,FALSE)</f>
        <v>1800036</v>
      </c>
      <c r="Q1933" s="6">
        <f>COUNTIF($P$2:$P$3691,P1933)</f>
        <v>9</v>
      </c>
    </row>
    <row r="1934" spans="1:17" x14ac:dyDescent="0.2">
      <c r="A1934" s="16">
        <f>P1934</f>
        <v>1810950</v>
      </c>
      <c r="B1934">
        <v>2015</v>
      </c>
      <c r="C1934" t="s">
        <v>904</v>
      </c>
      <c r="D1934" t="s">
        <v>906</v>
      </c>
      <c r="E1934" t="s">
        <v>2840</v>
      </c>
      <c r="F1934" t="s">
        <v>740</v>
      </c>
      <c r="G1934" t="s">
        <v>220</v>
      </c>
      <c r="H1934" s="6">
        <v>405898</v>
      </c>
      <c r="I1934" s="6">
        <v>1.9737630695585446E-3</v>
      </c>
      <c r="J1934" s="6">
        <v>11469.537197204703</v>
      </c>
      <c r="K1934" s="6">
        <v>1669045.6318278101</v>
      </c>
      <c r="M1934" s="6">
        <f>SUM(H1934,J1934)</f>
        <v>417367.53719720471</v>
      </c>
      <c r="N1934" s="6">
        <f>K1934</f>
        <v>1669045.6318278101</v>
      </c>
      <c r="O1934" s="6">
        <f>SUM(M1934:N1934)</f>
        <v>2086413.1690250149</v>
      </c>
      <c r="P1934" s="8">
        <f>VLOOKUP(F1934,'LEAID Match'!$A$2:$B$436,2,FALSE)</f>
        <v>1810950</v>
      </c>
      <c r="Q1934" s="6">
        <f>COUNTIF($P$2:$P$3691,P1934)</f>
        <v>9</v>
      </c>
    </row>
    <row r="1935" spans="1:17" x14ac:dyDescent="0.2">
      <c r="A1935" s="16">
        <f>P1935</f>
        <v>1810950</v>
      </c>
      <c r="B1935">
        <v>2016</v>
      </c>
      <c r="C1935" t="s">
        <v>904</v>
      </c>
      <c r="D1935" t="s">
        <v>906</v>
      </c>
      <c r="E1935" t="s">
        <v>2841</v>
      </c>
      <c r="F1935" t="s">
        <v>740</v>
      </c>
      <c r="G1935" t="s">
        <v>220</v>
      </c>
      <c r="H1935" s="6">
        <v>393409</v>
      </c>
      <c r="I1935" s="6">
        <v>1.8254660770202758E-3</v>
      </c>
      <c r="J1935" s="6">
        <v>9214.9527567983514</v>
      </c>
      <c r="K1935" s="6">
        <v>1620101.1433554899</v>
      </c>
      <c r="M1935" s="6">
        <f>SUM(H1935,J1935)</f>
        <v>402623.95275679836</v>
      </c>
      <c r="N1935" s="6">
        <f>K1935</f>
        <v>1620101.1433554899</v>
      </c>
      <c r="O1935" s="6">
        <f>SUM(M1935:N1935)</f>
        <v>2022725.0961122883</v>
      </c>
      <c r="P1935" s="8">
        <f>VLOOKUP(F1935,'LEAID Match'!$A$2:$B$436,2,FALSE)</f>
        <v>1810950</v>
      </c>
      <c r="Q1935" s="6">
        <f>COUNTIF($P$2:$P$3691,P1935)</f>
        <v>9</v>
      </c>
    </row>
    <row r="1936" spans="1:17" x14ac:dyDescent="0.2">
      <c r="A1936" s="16">
        <f>P1936</f>
        <v>1810950</v>
      </c>
      <c r="B1936">
        <v>2017</v>
      </c>
      <c r="C1936" t="s">
        <v>904</v>
      </c>
      <c r="D1936" t="s">
        <v>906</v>
      </c>
      <c r="E1936" t="s">
        <v>2842</v>
      </c>
      <c r="F1936" t="s">
        <v>740</v>
      </c>
      <c r="G1936" t="s">
        <v>220</v>
      </c>
      <c r="H1936" s="6">
        <v>412538</v>
      </c>
      <c r="I1936" s="6">
        <v>1.8165813002740177E-3</v>
      </c>
      <c r="J1936" s="6">
        <v>8220.0303837399297</v>
      </c>
      <c r="K1936" s="6">
        <v>1582242.3125386599</v>
      </c>
      <c r="M1936" s="6">
        <f>SUM(H1936,J1936)</f>
        <v>420758.03038373991</v>
      </c>
      <c r="N1936" s="6">
        <f>K1936</f>
        <v>1582242.3125386599</v>
      </c>
      <c r="O1936" s="6">
        <f>SUM(M1936:N1936)</f>
        <v>2003000.3429223998</v>
      </c>
      <c r="P1936" s="8">
        <f>VLOOKUP(F1936,'LEAID Match'!$A$2:$B$436,2,FALSE)</f>
        <v>1810950</v>
      </c>
      <c r="Q1936" s="6">
        <f>COUNTIF($P$2:$P$3691,P1936)</f>
        <v>9</v>
      </c>
    </row>
    <row r="1937" spans="1:17" x14ac:dyDescent="0.2">
      <c r="A1937" s="16">
        <f>P1937</f>
        <v>1810950</v>
      </c>
      <c r="B1937">
        <v>2018</v>
      </c>
      <c r="C1937" t="s">
        <v>904</v>
      </c>
      <c r="D1937" t="s">
        <v>906</v>
      </c>
      <c r="E1937" t="s">
        <v>2843</v>
      </c>
      <c r="F1937" t="s">
        <v>740</v>
      </c>
      <c r="G1937" t="s">
        <v>220</v>
      </c>
      <c r="H1937" s="6">
        <v>455388</v>
      </c>
      <c r="I1937" s="6">
        <v>1.9319247627074428E-3</v>
      </c>
      <c r="J1937" s="6">
        <v>8052.2624109646213</v>
      </c>
      <c r="K1937" s="6">
        <v>2343399</v>
      </c>
      <c r="M1937" s="6">
        <f>SUM(H1937,J1937)</f>
        <v>463440.26241096464</v>
      </c>
      <c r="N1937" s="6">
        <f>K1937</f>
        <v>2343399</v>
      </c>
      <c r="O1937" s="6">
        <f>SUM(M1937:N1937)</f>
        <v>2806839.2624109648</v>
      </c>
      <c r="P1937" s="8">
        <f>VLOOKUP(F1937,'LEAID Match'!$A$2:$B$436,2,FALSE)</f>
        <v>1810950</v>
      </c>
      <c r="Q1937" s="6">
        <f>COUNTIF($P$2:$P$3691,P1937)</f>
        <v>9</v>
      </c>
    </row>
    <row r="1938" spans="1:17" x14ac:dyDescent="0.2">
      <c r="A1938" s="16">
        <f>P1938</f>
        <v>1810950</v>
      </c>
      <c r="B1938">
        <v>2019</v>
      </c>
      <c r="C1938" t="s">
        <v>904</v>
      </c>
      <c r="D1938" t="s">
        <v>906</v>
      </c>
      <c r="E1938" t="s">
        <v>2844</v>
      </c>
      <c r="F1938" t="s">
        <v>740</v>
      </c>
      <c r="G1938" t="s">
        <v>220</v>
      </c>
      <c r="H1938" s="6">
        <v>491061</v>
      </c>
      <c r="I1938" s="6">
        <v>1.2492565207649906E-3</v>
      </c>
      <c r="J1938" s="6">
        <v>4378.6441052812925</v>
      </c>
      <c r="K1938" s="6">
        <v>1179173.2299500699</v>
      </c>
      <c r="M1938" s="6">
        <f>SUM(H1938,J1938)</f>
        <v>495439.64410528127</v>
      </c>
      <c r="N1938" s="6">
        <f>K1938</f>
        <v>1179173.2299500699</v>
      </c>
      <c r="O1938" s="6">
        <f>SUM(M1938:N1938)</f>
        <v>1674612.8740553511</v>
      </c>
      <c r="P1938" s="8">
        <f>VLOOKUP(F1938,'LEAID Match'!$A$2:$B$436,2,FALSE)</f>
        <v>1810950</v>
      </c>
      <c r="Q1938" s="6">
        <f>COUNTIF($P$2:$P$3691,P1938)</f>
        <v>9</v>
      </c>
    </row>
    <row r="1939" spans="1:17" x14ac:dyDescent="0.2">
      <c r="A1939" s="16">
        <f>P1939</f>
        <v>1810950</v>
      </c>
      <c r="B1939">
        <v>2020</v>
      </c>
      <c r="C1939" t="s">
        <v>904</v>
      </c>
      <c r="D1939" t="s">
        <v>906</v>
      </c>
      <c r="E1939" t="s">
        <v>2845</v>
      </c>
      <c r="F1939" t="s">
        <v>740</v>
      </c>
      <c r="G1939" t="s">
        <v>220</v>
      </c>
      <c r="H1939" s="6">
        <v>370914</v>
      </c>
      <c r="I1939" s="6">
        <v>1.9653648699133877E-3</v>
      </c>
      <c r="J1939" s="6">
        <v>4630.3996335159418</v>
      </c>
      <c r="K1939" s="6">
        <v>2457838</v>
      </c>
      <c r="M1939" s="6">
        <f>SUM(H1939,J1939)</f>
        <v>375544.39963351592</v>
      </c>
      <c r="N1939" s="6">
        <f>K1939</f>
        <v>2457838</v>
      </c>
      <c r="O1939" s="6">
        <f>SUM(M1939:N1939)</f>
        <v>2833382.3996335161</v>
      </c>
      <c r="P1939" s="8">
        <f>VLOOKUP(F1939,'LEAID Match'!$A$2:$B$436,2,FALSE)</f>
        <v>1810950</v>
      </c>
      <c r="Q1939" s="6">
        <f>COUNTIF($P$2:$P$3691,P1939)</f>
        <v>9</v>
      </c>
    </row>
    <row r="1940" spans="1:17" x14ac:dyDescent="0.2">
      <c r="A1940" s="16">
        <f>P1940</f>
        <v>1810950</v>
      </c>
      <c r="B1940">
        <v>2021</v>
      </c>
      <c r="C1940" t="s">
        <v>904</v>
      </c>
      <c r="D1940" t="s">
        <v>906</v>
      </c>
      <c r="E1940" t="s">
        <v>2846</v>
      </c>
      <c r="F1940" t="s">
        <v>740</v>
      </c>
      <c r="G1940" t="s">
        <v>220</v>
      </c>
      <c r="H1940" s="6">
        <v>396155</v>
      </c>
      <c r="I1940" s="6">
        <v>1.9570425419912474E-3</v>
      </c>
      <c r="J1940" s="6">
        <v>4411.1738896482721</v>
      </c>
      <c r="K1940" s="6">
        <v>4263825</v>
      </c>
      <c r="M1940" s="6">
        <f>SUM(H1940,J1940)</f>
        <v>400566.17388964829</v>
      </c>
      <c r="N1940" s="6">
        <f>K1940</f>
        <v>4263825</v>
      </c>
      <c r="O1940" s="6">
        <f>SUM(M1940:N1940)</f>
        <v>4664391.1738896482</v>
      </c>
      <c r="P1940" s="8">
        <f>VLOOKUP(F1940,'LEAID Match'!$A$2:$B$436,2,FALSE)</f>
        <v>1810950</v>
      </c>
      <c r="Q1940" s="6">
        <f>COUNTIF($P$2:$P$3691,P1940)</f>
        <v>9</v>
      </c>
    </row>
    <row r="1941" spans="1:17" x14ac:dyDescent="0.2">
      <c r="A1941" s="16">
        <f>P1941</f>
        <v>1810950</v>
      </c>
      <c r="B1941">
        <v>2022</v>
      </c>
      <c r="C1941" t="s">
        <v>904</v>
      </c>
      <c r="D1941" t="s">
        <v>906</v>
      </c>
      <c r="E1941" t="s">
        <v>2847</v>
      </c>
      <c r="F1941" t="s">
        <v>740</v>
      </c>
      <c r="G1941" t="s">
        <v>220</v>
      </c>
      <c r="H1941" s="6">
        <v>407457</v>
      </c>
      <c r="I1941" s="6">
        <v>1.9346815623461112E-3</v>
      </c>
      <c r="J1941" s="6">
        <v>4265.9728449731756</v>
      </c>
      <c r="K1941" s="6">
        <v>4118510</v>
      </c>
      <c r="M1941" s="6">
        <f>SUM(H1941,J1941)</f>
        <v>411722.97284497315</v>
      </c>
      <c r="N1941" s="6">
        <f>K1941</f>
        <v>4118510</v>
      </c>
      <c r="O1941" s="6">
        <f>SUM(M1941:N1941)</f>
        <v>4530232.9728449732</v>
      </c>
      <c r="P1941" s="8">
        <f>VLOOKUP(F1941,'LEAID Match'!$A$2:$B$436,2,FALSE)</f>
        <v>1810950</v>
      </c>
      <c r="Q1941" s="6">
        <f>COUNTIF($P$2:$P$3691,P1941)</f>
        <v>9</v>
      </c>
    </row>
    <row r="1942" spans="1:17" x14ac:dyDescent="0.2">
      <c r="A1942" s="16">
        <f>P1942</f>
        <v>1810950</v>
      </c>
      <c r="B1942">
        <v>2023</v>
      </c>
      <c r="C1942" t="s">
        <v>904</v>
      </c>
      <c r="D1942" t="s">
        <v>906</v>
      </c>
      <c r="E1942" t="s">
        <v>2848</v>
      </c>
      <c r="F1942" t="s">
        <v>740</v>
      </c>
      <c r="G1942" t="s">
        <v>220</v>
      </c>
      <c r="H1942" s="6">
        <v>475325</v>
      </c>
      <c r="I1942" s="6">
        <v>1.9438180814794232E-3</v>
      </c>
      <c r="J1942" s="6">
        <v>4795.3992070097374</v>
      </c>
      <c r="K1942" s="6">
        <v>11849954</v>
      </c>
      <c r="M1942" s="6">
        <f>SUM(H1942,J1942)</f>
        <v>480120.39920700976</v>
      </c>
      <c r="N1942" s="6">
        <f>K1942</f>
        <v>11849954</v>
      </c>
      <c r="O1942" s="6">
        <f>SUM(M1942:N1942)</f>
        <v>12330074.399207009</v>
      </c>
      <c r="P1942" s="8">
        <f>VLOOKUP(F1942,'LEAID Match'!$A$2:$B$436,2,FALSE)</f>
        <v>1810950</v>
      </c>
      <c r="Q1942" s="6">
        <f>COUNTIF($P$2:$P$3691,P1942)</f>
        <v>9</v>
      </c>
    </row>
    <row r="1943" spans="1:17" x14ac:dyDescent="0.2">
      <c r="A1943" s="16">
        <f>P1943</f>
        <v>1802830</v>
      </c>
      <c r="B1943">
        <v>2015</v>
      </c>
      <c r="C1943" t="s">
        <v>904</v>
      </c>
      <c r="D1943" t="s">
        <v>906</v>
      </c>
      <c r="E1943" t="s">
        <v>2849</v>
      </c>
      <c r="F1943" t="s">
        <v>626</v>
      </c>
      <c r="G1943" t="s">
        <v>12</v>
      </c>
      <c r="H1943" s="6">
        <v>1436857</v>
      </c>
      <c r="I1943" s="6">
        <v>6.987014675698529E-3</v>
      </c>
      <c r="J1943" s="6">
        <v>40601.542280484151</v>
      </c>
      <c r="K1943" s="6">
        <v>5908331.4020054797</v>
      </c>
      <c r="M1943" s="6">
        <f>SUM(H1943,J1943)</f>
        <v>1477458.5422804842</v>
      </c>
      <c r="N1943" s="6">
        <f>K1943</f>
        <v>5908331.4020054797</v>
      </c>
      <c r="O1943" s="6">
        <f>SUM(M1943:N1943)</f>
        <v>7385789.9442859637</v>
      </c>
      <c r="P1943" s="8">
        <f>VLOOKUP(F1943,'LEAID Match'!$A$2:$B$436,2,FALSE)</f>
        <v>1802830</v>
      </c>
      <c r="Q1943" s="6">
        <f>COUNTIF($P$2:$P$3691,P1943)</f>
        <v>9</v>
      </c>
    </row>
    <row r="1944" spans="1:17" x14ac:dyDescent="0.2">
      <c r="A1944" s="16">
        <f>P1944</f>
        <v>1802830</v>
      </c>
      <c r="B1944">
        <v>2016</v>
      </c>
      <c r="C1944" t="s">
        <v>904</v>
      </c>
      <c r="D1944" t="s">
        <v>906</v>
      </c>
      <c r="E1944" t="s">
        <v>2850</v>
      </c>
      <c r="F1944" t="s">
        <v>626</v>
      </c>
      <c r="G1944" t="s">
        <v>12</v>
      </c>
      <c r="H1944" s="6">
        <v>1459177</v>
      </c>
      <c r="I1944" s="6">
        <v>6.7707604906553105E-3</v>
      </c>
      <c r="J1944" s="6">
        <v>34178.79895682801</v>
      </c>
      <c r="K1944" s="6">
        <v>6009049.9354565796</v>
      </c>
      <c r="M1944" s="6">
        <f>SUM(H1944,J1944)</f>
        <v>1493355.798956828</v>
      </c>
      <c r="N1944" s="6">
        <f>K1944</f>
        <v>6009049.9354565796</v>
      </c>
      <c r="O1944" s="6">
        <f>SUM(M1944:N1944)</f>
        <v>7502405.7344134077</v>
      </c>
      <c r="P1944" s="8">
        <f>VLOOKUP(F1944,'LEAID Match'!$A$2:$B$436,2,FALSE)</f>
        <v>1802830</v>
      </c>
      <c r="Q1944" s="6">
        <f>COUNTIF($P$2:$P$3691,P1944)</f>
        <v>9</v>
      </c>
    </row>
    <row r="1945" spans="1:17" x14ac:dyDescent="0.2">
      <c r="A1945" s="16">
        <f>P1945</f>
        <v>1802830</v>
      </c>
      <c r="B1945">
        <v>2017</v>
      </c>
      <c r="C1945" t="s">
        <v>904</v>
      </c>
      <c r="D1945" t="s">
        <v>906</v>
      </c>
      <c r="E1945" t="s">
        <v>2851</v>
      </c>
      <c r="F1945" t="s">
        <v>626</v>
      </c>
      <c r="G1945" t="s">
        <v>12</v>
      </c>
      <c r="H1945" s="6">
        <v>1596099</v>
      </c>
      <c r="I1945" s="6">
        <v>7.0283067178927988E-3</v>
      </c>
      <c r="J1945" s="6">
        <v>31803.087898464913</v>
      </c>
      <c r="K1945" s="6">
        <v>6121655.1512846202</v>
      </c>
      <c r="M1945" s="6">
        <f>SUM(H1945,J1945)</f>
        <v>1627902.0878984649</v>
      </c>
      <c r="N1945" s="6">
        <f>K1945</f>
        <v>6121655.1512846202</v>
      </c>
      <c r="O1945" s="6">
        <f>SUM(M1945:N1945)</f>
        <v>7749557.239183085</v>
      </c>
      <c r="P1945" s="8">
        <f>VLOOKUP(F1945,'LEAID Match'!$A$2:$B$436,2,FALSE)</f>
        <v>1802830</v>
      </c>
      <c r="Q1945" s="6">
        <f>COUNTIF($P$2:$P$3691,P1945)</f>
        <v>9</v>
      </c>
    </row>
    <row r="1946" spans="1:17" x14ac:dyDescent="0.2">
      <c r="A1946" s="16">
        <f>P1946</f>
        <v>1802830</v>
      </c>
      <c r="B1946">
        <v>2018</v>
      </c>
      <c r="C1946" t="s">
        <v>904</v>
      </c>
      <c r="D1946" t="s">
        <v>906</v>
      </c>
      <c r="E1946" t="s">
        <v>2852</v>
      </c>
      <c r="F1946" t="s">
        <v>626</v>
      </c>
      <c r="G1946" t="s">
        <v>12</v>
      </c>
      <c r="H1946" s="6">
        <v>1700278</v>
      </c>
      <c r="I1946" s="6">
        <v>7.2132097720771851E-3</v>
      </c>
      <c r="J1946" s="6">
        <v>30064.658330017708</v>
      </c>
      <c r="K1946" s="6">
        <v>2729651</v>
      </c>
      <c r="M1946" s="6">
        <f>SUM(H1946,J1946)</f>
        <v>1730342.6583300177</v>
      </c>
      <c r="N1946" s="6">
        <f>K1946</f>
        <v>2729651</v>
      </c>
      <c r="O1946" s="6">
        <f>SUM(M1946:N1946)</f>
        <v>4459993.6583300177</v>
      </c>
      <c r="P1946" s="8">
        <f>VLOOKUP(F1946,'LEAID Match'!$A$2:$B$436,2,FALSE)</f>
        <v>1802830</v>
      </c>
      <c r="Q1946" s="6">
        <f>COUNTIF($P$2:$P$3691,P1946)</f>
        <v>9</v>
      </c>
    </row>
    <row r="1947" spans="1:17" x14ac:dyDescent="0.2">
      <c r="A1947" s="16">
        <f>P1947</f>
        <v>1802830</v>
      </c>
      <c r="B1947">
        <v>2019</v>
      </c>
      <c r="C1947" t="s">
        <v>904</v>
      </c>
      <c r="D1947" t="s">
        <v>906</v>
      </c>
      <c r="E1947" t="s">
        <v>2853</v>
      </c>
      <c r="F1947" t="s">
        <v>626</v>
      </c>
      <c r="G1947" t="s">
        <v>12</v>
      </c>
      <c r="H1947" s="6">
        <v>1820452</v>
      </c>
      <c r="I1947" s="6">
        <v>4.6312200149058241E-3</v>
      </c>
      <c r="J1947" s="6">
        <v>16232.426152244914</v>
      </c>
      <c r="K1947" s="6">
        <v>4371408.5720696002</v>
      </c>
      <c r="M1947" s="6">
        <f>SUM(H1947,J1947)</f>
        <v>1836684.4261522449</v>
      </c>
      <c r="N1947" s="6">
        <f>K1947</f>
        <v>4371408.5720696002</v>
      </c>
      <c r="O1947" s="6">
        <f>SUM(M1947:N1947)</f>
        <v>6208092.9982218454</v>
      </c>
      <c r="P1947" s="8">
        <f>VLOOKUP(F1947,'LEAID Match'!$A$2:$B$436,2,FALSE)</f>
        <v>1802830</v>
      </c>
      <c r="Q1947" s="6">
        <f>COUNTIF($P$2:$P$3691,P1947)</f>
        <v>9</v>
      </c>
    </row>
    <row r="1948" spans="1:17" x14ac:dyDescent="0.2">
      <c r="A1948" s="16">
        <f>P1948</f>
        <v>1802830</v>
      </c>
      <c r="B1948">
        <v>2020</v>
      </c>
      <c r="C1948" t="s">
        <v>904</v>
      </c>
      <c r="D1948" t="s">
        <v>906</v>
      </c>
      <c r="E1948" t="s">
        <v>2854</v>
      </c>
      <c r="F1948" t="s">
        <v>626</v>
      </c>
      <c r="G1948" t="s">
        <v>12</v>
      </c>
      <c r="H1948" s="6">
        <v>1469897</v>
      </c>
      <c r="I1948" s="6">
        <v>7.7885545603322568E-3</v>
      </c>
      <c r="J1948" s="6">
        <v>18349.834544142795</v>
      </c>
      <c r="K1948" s="6">
        <v>2941656</v>
      </c>
      <c r="M1948" s="6">
        <f>SUM(H1948,J1948)</f>
        <v>1488246.8345441427</v>
      </c>
      <c r="N1948" s="6">
        <f>K1948</f>
        <v>2941656</v>
      </c>
      <c r="O1948" s="6">
        <f>SUM(M1948:N1948)</f>
        <v>4429902.8345441427</v>
      </c>
      <c r="P1948" s="8">
        <f>VLOOKUP(F1948,'LEAID Match'!$A$2:$B$436,2,FALSE)</f>
        <v>1802830</v>
      </c>
      <c r="Q1948" s="6">
        <f>COUNTIF($P$2:$P$3691,P1948)</f>
        <v>9</v>
      </c>
    </row>
    <row r="1949" spans="1:17" x14ac:dyDescent="0.2">
      <c r="A1949" s="16">
        <f>P1949</f>
        <v>1802830</v>
      </c>
      <c r="B1949">
        <v>2021</v>
      </c>
      <c r="C1949" t="s">
        <v>904</v>
      </c>
      <c r="D1949" t="s">
        <v>906</v>
      </c>
      <c r="E1949" t="s">
        <v>2855</v>
      </c>
      <c r="F1949" t="s">
        <v>626</v>
      </c>
      <c r="G1949" t="s">
        <v>12</v>
      </c>
      <c r="H1949" s="6">
        <v>1557624</v>
      </c>
      <c r="I1949" s="6">
        <v>7.6948074173658664E-3</v>
      </c>
      <c r="J1949" s="6">
        <v>17344.095918742663</v>
      </c>
      <c r="K1949" s="6">
        <v>5116718</v>
      </c>
      <c r="M1949" s="6">
        <f>SUM(H1949,J1949)</f>
        <v>1574968.0959187427</v>
      </c>
      <c r="N1949" s="6">
        <f>K1949</f>
        <v>5116718</v>
      </c>
      <c r="O1949" s="6">
        <f>SUM(M1949:N1949)</f>
        <v>6691686.0959187429</v>
      </c>
      <c r="P1949" s="8">
        <f>VLOOKUP(F1949,'LEAID Match'!$A$2:$B$436,2,FALSE)</f>
        <v>1802830</v>
      </c>
      <c r="Q1949" s="6">
        <f>COUNTIF($P$2:$P$3691,P1949)</f>
        <v>9</v>
      </c>
    </row>
    <row r="1950" spans="1:17" x14ac:dyDescent="0.2">
      <c r="A1950" s="16">
        <f>P1950</f>
        <v>1802830</v>
      </c>
      <c r="B1950">
        <v>2022</v>
      </c>
      <c r="C1950" t="s">
        <v>904</v>
      </c>
      <c r="D1950" t="s">
        <v>906</v>
      </c>
      <c r="E1950" t="s">
        <v>2856</v>
      </c>
      <c r="F1950" t="s">
        <v>626</v>
      </c>
      <c r="G1950" t="s">
        <v>12</v>
      </c>
      <c r="H1950" s="6">
        <v>1592809</v>
      </c>
      <c r="I1950" s="6">
        <v>7.562953157361261E-3</v>
      </c>
      <c r="J1950" s="6">
        <v>16676.31171198158</v>
      </c>
      <c r="K1950" s="6">
        <v>5070462</v>
      </c>
      <c r="M1950" s="6">
        <f>SUM(H1950,J1950)</f>
        <v>1609485.3117119817</v>
      </c>
      <c r="N1950" s="6">
        <f>K1950</f>
        <v>5070462</v>
      </c>
      <c r="O1950" s="6">
        <f>SUM(M1950:N1950)</f>
        <v>6679947.3117119819</v>
      </c>
      <c r="P1950" s="8">
        <f>VLOOKUP(F1950,'LEAID Match'!$A$2:$B$436,2,FALSE)</f>
        <v>1802830</v>
      </c>
      <c r="Q1950" s="6">
        <f>COUNTIF($P$2:$P$3691,P1950)</f>
        <v>9</v>
      </c>
    </row>
    <row r="1951" spans="1:17" x14ac:dyDescent="0.2">
      <c r="A1951" s="16">
        <f>P1951</f>
        <v>1802830</v>
      </c>
      <c r="B1951">
        <v>2023</v>
      </c>
      <c r="C1951" t="s">
        <v>904</v>
      </c>
      <c r="D1951" t="s">
        <v>906</v>
      </c>
      <c r="E1951" t="s">
        <v>2857</v>
      </c>
      <c r="F1951" t="s">
        <v>626</v>
      </c>
      <c r="G1951" t="s">
        <v>12</v>
      </c>
      <c r="H1951" s="6">
        <v>1855306</v>
      </c>
      <c r="I1951" s="6">
        <v>7.5871821374370431E-3</v>
      </c>
      <c r="J1951" s="6">
        <v>18717.578333057187</v>
      </c>
      <c r="K1951" s="6">
        <v>16665572</v>
      </c>
      <c r="M1951" s="6">
        <f>SUM(H1951,J1951)</f>
        <v>1874023.5783330572</v>
      </c>
      <c r="N1951" s="6">
        <f>K1951</f>
        <v>16665572</v>
      </c>
      <c r="O1951" s="6">
        <f>SUM(M1951:N1951)</f>
        <v>18539595.578333057</v>
      </c>
      <c r="P1951" s="8">
        <f>VLOOKUP(F1951,'LEAID Match'!$A$2:$B$436,2,FALSE)</f>
        <v>1802830</v>
      </c>
      <c r="Q1951" s="6">
        <f>COUNTIF($P$2:$P$3691,P1951)</f>
        <v>9</v>
      </c>
    </row>
    <row r="1952" spans="1:17" x14ac:dyDescent="0.2">
      <c r="A1952" s="16">
        <f>P1952</f>
        <v>1805790</v>
      </c>
      <c r="B1952">
        <v>2015</v>
      </c>
      <c r="C1952" t="s">
        <v>904</v>
      </c>
      <c r="D1952" t="s">
        <v>906</v>
      </c>
      <c r="E1952" t="s">
        <v>2858</v>
      </c>
      <c r="F1952" t="s">
        <v>627</v>
      </c>
      <c r="G1952" t="s">
        <v>13</v>
      </c>
      <c r="H1952" s="6">
        <v>882483</v>
      </c>
      <c r="I1952" s="6">
        <v>4.2912563129486542E-3</v>
      </c>
      <c r="J1952" s="6">
        <v>24936.49043454463</v>
      </c>
      <c r="K1952" s="6">
        <v>3628754.9983303798</v>
      </c>
      <c r="M1952" s="6">
        <f>SUM(H1952,J1952)</f>
        <v>907419.49043454463</v>
      </c>
      <c r="N1952" s="6">
        <f>K1952</f>
        <v>3628754.9983303798</v>
      </c>
      <c r="O1952" s="6">
        <f>SUM(M1952:N1952)</f>
        <v>4536174.4887649249</v>
      </c>
      <c r="P1952" s="8">
        <f>VLOOKUP(F1952,'LEAID Match'!$A$2:$B$436,2,FALSE)</f>
        <v>1805790</v>
      </c>
      <c r="Q1952" s="6">
        <f>COUNTIF($P$2:$P$3691,P1952)</f>
        <v>9</v>
      </c>
    </row>
    <row r="1953" spans="1:17" x14ac:dyDescent="0.2">
      <c r="A1953" s="16">
        <f>P1953</f>
        <v>1805790</v>
      </c>
      <c r="B1953">
        <v>2016</v>
      </c>
      <c r="C1953" t="s">
        <v>904</v>
      </c>
      <c r="D1953" t="s">
        <v>906</v>
      </c>
      <c r="E1953" t="s">
        <v>2859</v>
      </c>
      <c r="F1953" t="s">
        <v>627</v>
      </c>
      <c r="G1953" t="s">
        <v>13</v>
      </c>
      <c r="H1953" s="6">
        <v>883876</v>
      </c>
      <c r="I1953" s="6">
        <v>4.1012931943406813E-3</v>
      </c>
      <c r="J1953" s="6">
        <v>20703.328045031758</v>
      </c>
      <c r="K1953" s="6">
        <v>3639897.7099773502</v>
      </c>
      <c r="M1953" s="6">
        <f>SUM(H1953,J1953)</f>
        <v>904579.32804503175</v>
      </c>
      <c r="N1953" s="6">
        <f>K1953</f>
        <v>3639897.7099773502</v>
      </c>
      <c r="O1953" s="6">
        <f>SUM(M1953:N1953)</f>
        <v>4544477.0380223822</v>
      </c>
      <c r="P1953" s="8">
        <f>VLOOKUP(F1953,'LEAID Match'!$A$2:$B$436,2,FALSE)</f>
        <v>1805790</v>
      </c>
      <c r="Q1953" s="6">
        <f>COUNTIF($P$2:$P$3691,P1953)</f>
        <v>9</v>
      </c>
    </row>
    <row r="1954" spans="1:17" x14ac:dyDescent="0.2">
      <c r="A1954" s="16">
        <f>P1954</f>
        <v>1805790</v>
      </c>
      <c r="B1954">
        <v>2017</v>
      </c>
      <c r="C1954" t="s">
        <v>904</v>
      </c>
      <c r="D1954" t="s">
        <v>906</v>
      </c>
      <c r="E1954" t="s">
        <v>2860</v>
      </c>
      <c r="F1954" t="s">
        <v>627</v>
      </c>
      <c r="G1954" t="s">
        <v>13</v>
      </c>
      <c r="H1954" s="6">
        <v>854072</v>
      </c>
      <c r="I1954" s="6">
        <v>3.7608443932137911E-3</v>
      </c>
      <c r="J1954" s="6">
        <v>17017.820879292405</v>
      </c>
      <c r="K1954" s="6">
        <v>3275695.4664892098</v>
      </c>
      <c r="M1954" s="6">
        <f>SUM(H1954,J1954)</f>
        <v>871089.82087929244</v>
      </c>
      <c r="N1954" s="6">
        <f>K1954</f>
        <v>3275695.4664892098</v>
      </c>
      <c r="O1954" s="6">
        <f>SUM(M1954:N1954)</f>
        <v>4146785.2873685025</v>
      </c>
      <c r="P1954" s="8">
        <f>VLOOKUP(F1954,'LEAID Match'!$A$2:$B$436,2,FALSE)</f>
        <v>1805790</v>
      </c>
      <c r="Q1954" s="6">
        <f>COUNTIF($P$2:$P$3691,P1954)</f>
        <v>9</v>
      </c>
    </row>
    <row r="1955" spans="1:17" x14ac:dyDescent="0.2">
      <c r="A1955" s="16">
        <f>P1955</f>
        <v>1805790</v>
      </c>
      <c r="B1955">
        <v>2018</v>
      </c>
      <c r="C1955" t="s">
        <v>904</v>
      </c>
      <c r="D1955" t="s">
        <v>906</v>
      </c>
      <c r="E1955" t="s">
        <v>2861</v>
      </c>
      <c r="F1955" t="s">
        <v>627</v>
      </c>
      <c r="G1955" t="s">
        <v>13</v>
      </c>
      <c r="H1955" s="6">
        <v>892899</v>
      </c>
      <c r="I1955" s="6">
        <v>3.7880086622763729E-3</v>
      </c>
      <c r="J1955" s="6">
        <v>15788.420104367922</v>
      </c>
      <c r="K1955" s="6">
        <v>2351568</v>
      </c>
      <c r="M1955" s="6">
        <f>SUM(H1955,J1955)</f>
        <v>908687.42010436789</v>
      </c>
      <c r="N1955" s="6">
        <f>K1955</f>
        <v>2351568</v>
      </c>
      <c r="O1955" s="6">
        <f>SUM(M1955:N1955)</f>
        <v>3260255.4201043677</v>
      </c>
      <c r="P1955" s="8">
        <f>VLOOKUP(F1955,'LEAID Match'!$A$2:$B$436,2,FALSE)</f>
        <v>1805790</v>
      </c>
      <c r="Q1955" s="6">
        <f>COUNTIF($P$2:$P$3691,P1955)</f>
        <v>9</v>
      </c>
    </row>
    <row r="1956" spans="1:17" x14ac:dyDescent="0.2">
      <c r="A1956" s="16">
        <f>P1956</f>
        <v>1805790</v>
      </c>
      <c r="B1956">
        <v>2019</v>
      </c>
      <c r="C1956" t="s">
        <v>904</v>
      </c>
      <c r="D1956" t="s">
        <v>906</v>
      </c>
      <c r="E1956" t="s">
        <v>2862</v>
      </c>
      <c r="F1956" t="s">
        <v>627</v>
      </c>
      <c r="G1956" t="s">
        <v>13</v>
      </c>
      <c r="H1956" s="6">
        <v>945221</v>
      </c>
      <c r="I1956" s="6">
        <v>2.4046370976599754E-3</v>
      </c>
      <c r="J1956" s="6">
        <v>8428.2530272982131</v>
      </c>
      <c r="K1956" s="6">
        <v>2269736.95648125</v>
      </c>
      <c r="M1956" s="6">
        <f>SUM(H1956,J1956)</f>
        <v>953649.25302729825</v>
      </c>
      <c r="N1956" s="6">
        <f>K1956</f>
        <v>2269736.95648125</v>
      </c>
      <c r="O1956" s="6">
        <f>SUM(M1956:N1956)</f>
        <v>3223386.2095085485</v>
      </c>
      <c r="P1956" s="8">
        <f>VLOOKUP(F1956,'LEAID Match'!$A$2:$B$436,2,FALSE)</f>
        <v>1805790</v>
      </c>
      <c r="Q1956" s="6">
        <f>COUNTIF($P$2:$P$3691,P1956)</f>
        <v>9</v>
      </c>
    </row>
    <row r="1957" spans="1:17" x14ac:dyDescent="0.2">
      <c r="A1957" s="16">
        <f>P1957</f>
        <v>1805790</v>
      </c>
      <c r="B1957">
        <v>2020</v>
      </c>
      <c r="C1957" t="s">
        <v>904</v>
      </c>
      <c r="D1957" t="s">
        <v>906</v>
      </c>
      <c r="E1957" t="s">
        <v>2863</v>
      </c>
      <c r="F1957" t="s">
        <v>627</v>
      </c>
      <c r="G1957" t="s">
        <v>13</v>
      </c>
      <c r="H1957" s="6">
        <v>700655</v>
      </c>
      <c r="I1957" s="6">
        <v>3.7125660474642765E-3</v>
      </c>
      <c r="J1957" s="6">
        <v>8746.805607825836</v>
      </c>
      <c r="K1957" s="6">
        <v>2524263</v>
      </c>
      <c r="M1957" s="6">
        <f>SUM(H1957,J1957)</f>
        <v>709401.80560782587</v>
      </c>
      <c r="N1957" s="6">
        <f>K1957</f>
        <v>2524263</v>
      </c>
      <c r="O1957" s="6">
        <f>SUM(M1957:N1957)</f>
        <v>3233664.805607826</v>
      </c>
      <c r="P1957" s="8">
        <f>VLOOKUP(F1957,'LEAID Match'!$A$2:$B$436,2,FALSE)</f>
        <v>1805790</v>
      </c>
      <c r="Q1957" s="6">
        <f>COUNTIF($P$2:$P$3691,P1957)</f>
        <v>9</v>
      </c>
    </row>
    <row r="1958" spans="1:17" x14ac:dyDescent="0.2">
      <c r="A1958" s="16">
        <f>P1958</f>
        <v>1805790</v>
      </c>
      <c r="B1958">
        <v>2021</v>
      </c>
      <c r="C1958" t="s">
        <v>904</v>
      </c>
      <c r="D1958" t="s">
        <v>906</v>
      </c>
      <c r="E1958" t="s">
        <v>2864</v>
      </c>
      <c r="F1958" t="s">
        <v>627</v>
      </c>
      <c r="G1958" t="s">
        <v>13</v>
      </c>
      <c r="H1958" s="6">
        <v>727749</v>
      </c>
      <c r="I1958" s="6">
        <v>3.5951477398785533E-3</v>
      </c>
      <c r="J1958" s="6">
        <v>8103.4630056862588</v>
      </c>
      <c r="K1958" s="6">
        <v>4247362</v>
      </c>
      <c r="M1958" s="6">
        <f>SUM(H1958,J1958)</f>
        <v>735852.4630056863</v>
      </c>
      <c r="N1958" s="6">
        <f>K1958</f>
        <v>4247362</v>
      </c>
      <c r="O1958" s="6">
        <f>SUM(M1958:N1958)</f>
        <v>4983214.4630056862</v>
      </c>
      <c r="P1958" s="8">
        <f>VLOOKUP(F1958,'LEAID Match'!$A$2:$B$436,2,FALSE)</f>
        <v>1805790</v>
      </c>
      <c r="Q1958" s="6">
        <f>COUNTIF($P$2:$P$3691,P1958)</f>
        <v>9</v>
      </c>
    </row>
    <row r="1959" spans="1:17" x14ac:dyDescent="0.2">
      <c r="A1959" s="16">
        <f>P1959</f>
        <v>1805790</v>
      </c>
      <c r="B1959">
        <v>2022</v>
      </c>
      <c r="C1959" t="s">
        <v>904</v>
      </c>
      <c r="D1959" t="s">
        <v>906</v>
      </c>
      <c r="E1959" t="s">
        <v>2865</v>
      </c>
      <c r="F1959" t="s">
        <v>627</v>
      </c>
      <c r="G1959" t="s">
        <v>13</v>
      </c>
      <c r="H1959" s="6">
        <v>778136</v>
      </c>
      <c r="I1959" s="6">
        <v>3.6947343454591616E-3</v>
      </c>
      <c r="J1959" s="6">
        <v>8146.8892317374512</v>
      </c>
      <c r="K1959" s="6">
        <v>3898197</v>
      </c>
      <c r="M1959" s="6">
        <f>SUM(H1959,J1959)</f>
        <v>786282.88923173747</v>
      </c>
      <c r="N1959" s="6">
        <f>K1959</f>
        <v>3898197</v>
      </c>
      <c r="O1959" s="6">
        <f>SUM(M1959:N1959)</f>
        <v>4684479.8892317377</v>
      </c>
      <c r="P1959" s="8">
        <f>VLOOKUP(F1959,'LEAID Match'!$A$2:$B$436,2,FALSE)</f>
        <v>1805790</v>
      </c>
      <c r="Q1959" s="6">
        <f>COUNTIF($P$2:$P$3691,P1959)</f>
        <v>9</v>
      </c>
    </row>
    <row r="1960" spans="1:17" x14ac:dyDescent="0.2">
      <c r="A1960" s="16">
        <f>P1960</f>
        <v>1805790</v>
      </c>
      <c r="B1960">
        <v>2023</v>
      </c>
      <c r="C1960" t="s">
        <v>904</v>
      </c>
      <c r="D1960" t="s">
        <v>906</v>
      </c>
      <c r="E1960" t="s">
        <v>2866</v>
      </c>
      <c r="F1960" t="s">
        <v>627</v>
      </c>
      <c r="G1960" t="s">
        <v>13</v>
      </c>
      <c r="H1960" s="6">
        <v>931799</v>
      </c>
      <c r="I1960" s="6">
        <v>3.8105459306883608E-3</v>
      </c>
      <c r="J1960" s="6">
        <v>9400.6168110081853</v>
      </c>
      <c r="K1960" s="6">
        <v>12153180</v>
      </c>
      <c r="M1960" s="6">
        <f>SUM(H1960,J1960)</f>
        <v>941199.61681100819</v>
      </c>
      <c r="N1960" s="6">
        <f>K1960</f>
        <v>12153180</v>
      </c>
      <c r="O1960" s="6">
        <f>SUM(M1960:N1960)</f>
        <v>13094379.616811007</v>
      </c>
      <c r="P1960" s="8">
        <f>VLOOKUP(F1960,'LEAID Match'!$A$2:$B$436,2,FALSE)</f>
        <v>1805790</v>
      </c>
      <c r="Q1960" s="6">
        <f>COUNTIF($P$2:$P$3691,P1960)</f>
        <v>9</v>
      </c>
    </row>
    <row r="1961" spans="1:17" x14ac:dyDescent="0.2">
      <c r="A1961" s="16">
        <f>P1961</f>
        <v>1812990</v>
      </c>
      <c r="B1961">
        <v>2015</v>
      </c>
      <c r="C1961" t="s">
        <v>904</v>
      </c>
      <c r="D1961" t="s">
        <v>906</v>
      </c>
      <c r="E1961" t="s">
        <v>2867</v>
      </c>
      <c r="F1961" t="s">
        <v>628</v>
      </c>
      <c r="G1961" t="s">
        <v>14</v>
      </c>
      <c r="H1961" s="6">
        <v>311228</v>
      </c>
      <c r="I1961" s="6">
        <v>1.5134105923472565E-3</v>
      </c>
      <c r="J1961" s="6">
        <v>8794.428952129907</v>
      </c>
      <c r="K1961" s="6">
        <v>1279764.21145831</v>
      </c>
      <c r="M1961" s="6">
        <f>SUM(H1961,J1961)</f>
        <v>320022.42895212991</v>
      </c>
      <c r="N1961" s="6">
        <f>K1961</f>
        <v>1279764.21145831</v>
      </c>
      <c r="O1961" s="6">
        <f>SUM(M1961:N1961)</f>
        <v>1599786.64041044</v>
      </c>
      <c r="P1961" s="8">
        <f>VLOOKUP(F1961,'LEAID Match'!$A$2:$B$436,2,FALSE)</f>
        <v>1812990</v>
      </c>
      <c r="Q1961" s="6">
        <f>COUNTIF($P$2:$P$3691,P1961)</f>
        <v>9</v>
      </c>
    </row>
    <row r="1962" spans="1:17" x14ac:dyDescent="0.2">
      <c r="A1962" s="16">
        <f>P1962</f>
        <v>1812990</v>
      </c>
      <c r="B1962">
        <v>2016</v>
      </c>
      <c r="C1962" t="s">
        <v>904</v>
      </c>
      <c r="D1962" t="s">
        <v>906</v>
      </c>
      <c r="E1962" t="s">
        <v>2868</v>
      </c>
      <c r="F1962" t="s">
        <v>628</v>
      </c>
      <c r="G1962" t="s">
        <v>14</v>
      </c>
      <c r="H1962" s="6">
        <v>319787</v>
      </c>
      <c r="I1962" s="6">
        <v>1.4838509550419105E-3</v>
      </c>
      <c r="J1962" s="6">
        <v>7490.4796210515642</v>
      </c>
      <c r="K1962" s="6">
        <v>1316917.7225996901</v>
      </c>
      <c r="M1962" s="6">
        <f>SUM(H1962,J1962)</f>
        <v>327277.47962105158</v>
      </c>
      <c r="N1962" s="6">
        <f>K1962</f>
        <v>1316917.7225996901</v>
      </c>
      <c r="O1962" s="6">
        <f>SUM(M1962:N1962)</f>
        <v>1644195.2022207417</v>
      </c>
      <c r="P1962" s="8">
        <f>VLOOKUP(F1962,'LEAID Match'!$A$2:$B$436,2,FALSE)</f>
        <v>1812990</v>
      </c>
      <c r="Q1962" s="6">
        <f>COUNTIF($P$2:$P$3691,P1962)</f>
        <v>9</v>
      </c>
    </row>
    <row r="1963" spans="1:17" x14ac:dyDescent="0.2">
      <c r="A1963" s="16">
        <f>P1963</f>
        <v>1812990</v>
      </c>
      <c r="B1963">
        <v>2017</v>
      </c>
      <c r="C1963" t="s">
        <v>904</v>
      </c>
      <c r="D1963" t="s">
        <v>906</v>
      </c>
      <c r="E1963" t="s">
        <v>2869</v>
      </c>
      <c r="F1963" t="s">
        <v>628</v>
      </c>
      <c r="G1963" t="s">
        <v>14</v>
      </c>
      <c r="H1963" s="6">
        <v>337424</v>
      </c>
      <c r="I1963" s="6">
        <v>1.4858222240464157E-3</v>
      </c>
      <c r="J1963" s="6">
        <v>6723.3455638100313</v>
      </c>
      <c r="K1963" s="6">
        <v>1294151.1571444201</v>
      </c>
      <c r="M1963" s="6">
        <f>SUM(H1963,J1963)</f>
        <v>344147.34556381003</v>
      </c>
      <c r="N1963" s="6">
        <f>K1963</f>
        <v>1294151.1571444201</v>
      </c>
      <c r="O1963" s="6">
        <f>SUM(M1963:N1963)</f>
        <v>1638298.5027082302</v>
      </c>
      <c r="P1963" s="8">
        <f>VLOOKUP(F1963,'LEAID Match'!$A$2:$B$436,2,FALSE)</f>
        <v>1812990</v>
      </c>
      <c r="Q1963" s="6">
        <f>COUNTIF($P$2:$P$3691,P1963)</f>
        <v>9</v>
      </c>
    </row>
    <row r="1964" spans="1:17" x14ac:dyDescent="0.2">
      <c r="A1964" s="16">
        <f>P1964</f>
        <v>1812990</v>
      </c>
      <c r="B1964">
        <v>2018</v>
      </c>
      <c r="C1964" t="s">
        <v>904</v>
      </c>
      <c r="D1964" t="s">
        <v>906</v>
      </c>
      <c r="E1964" t="s">
        <v>2870</v>
      </c>
      <c r="F1964" t="s">
        <v>628</v>
      </c>
      <c r="G1964" t="s">
        <v>14</v>
      </c>
      <c r="H1964" s="6">
        <v>354141</v>
      </c>
      <c r="I1964" s="6">
        <v>1.5023974443550917E-3</v>
      </c>
      <c r="J1964" s="6">
        <v>6261.9925480720221</v>
      </c>
      <c r="K1964" s="6">
        <v>1281205</v>
      </c>
      <c r="M1964" s="6">
        <f>SUM(H1964,J1964)</f>
        <v>360402.99254807201</v>
      </c>
      <c r="N1964" s="6">
        <f>K1964</f>
        <v>1281205</v>
      </c>
      <c r="O1964" s="6">
        <f>SUM(M1964:N1964)</f>
        <v>1641607.992548072</v>
      </c>
      <c r="P1964" s="8">
        <f>VLOOKUP(F1964,'LEAID Match'!$A$2:$B$436,2,FALSE)</f>
        <v>1812990</v>
      </c>
      <c r="Q1964" s="6">
        <f>COUNTIF($P$2:$P$3691,P1964)</f>
        <v>9</v>
      </c>
    </row>
    <row r="1965" spans="1:17" x14ac:dyDescent="0.2">
      <c r="A1965" s="16">
        <f>P1965</f>
        <v>1812990</v>
      </c>
      <c r="B1965">
        <v>2019</v>
      </c>
      <c r="C1965" t="s">
        <v>904</v>
      </c>
      <c r="D1965" t="s">
        <v>906</v>
      </c>
      <c r="E1965" t="s">
        <v>2871</v>
      </c>
      <c r="F1965" t="s">
        <v>628</v>
      </c>
      <c r="G1965" t="s">
        <v>14</v>
      </c>
      <c r="H1965" s="6">
        <v>379244</v>
      </c>
      <c r="I1965" s="6">
        <v>9.6479467919667443E-4</v>
      </c>
      <c r="J1965" s="6">
        <v>3381.6053505843438</v>
      </c>
      <c r="K1965" s="6">
        <v>910669.69769374002</v>
      </c>
      <c r="M1965" s="6">
        <f>SUM(H1965,J1965)</f>
        <v>382625.60535058432</v>
      </c>
      <c r="N1965" s="6">
        <f>K1965</f>
        <v>910669.69769374002</v>
      </c>
      <c r="O1965" s="6">
        <f>SUM(M1965:N1965)</f>
        <v>1293295.3030443243</v>
      </c>
      <c r="P1965" s="8">
        <f>VLOOKUP(F1965,'LEAID Match'!$A$2:$B$436,2,FALSE)</f>
        <v>1812990</v>
      </c>
      <c r="Q1965" s="6">
        <f>COUNTIF($P$2:$P$3691,P1965)</f>
        <v>9</v>
      </c>
    </row>
    <row r="1966" spans="1:17" x14ac:dyDescent="0.2">
      <c r="A1966" s="16">
        <f>P1966</f>
        <v>1812990</v>
      </c>
      <c r="B1966">
        <v>2020</v>
      </c>
      <c r="C1966" t="s">
        <v>904</v>
      </c>
      <c r="D1966" t="s">
        <v>906</v>
      </c>
      <c r="E1966" t="s">
        <v>2872</v>
      </c>
      <c r="F1966" t="s">
        <v>628</v>
      </c>
      <c r="G1966" t="s">
        <v>14</v>
      </c>
      <c r="H1966" s="6">
        <v>289027</v>
      </c>
      <c r="I1966" s="6">
        <v>1.5314695920252584E-3</v>
      </c>
      <c r="J1966" s="6">
        <v>3608.142358811509</v>
      </c>
      <c r="K1966" s="6">
        <v>1344921</v>
      </c>
      <c r="M1966" s="6">
        <f>SUM(H1966,J1966)</f>
        <v>292635.14235881151</v>
      </c>
      <c r="N1966" s="6">
        <f>K1966</f>
        <v>1344921</v>
      </c>
      <c r="O1966" s="6">
        <f>SUM(M1966:N1966)</f>
        <v>1637556.1423588116</v>
      </c>
      <c r="P1966" s="8">
        <f>VLOOKUP(F1966,'LEAID Match'!$A$2:$B$436,2,FALSE)</f>
        <v>1812990</v>
      </c>
      <c r="Q1966" s="6">
        <f>COUNTIF($P$2:$P$3691,P1966)</f>
        <v>9</v>
      </c>
    </row>
    <row r="1967" spans="1:17" x14ac:dyDescent="0.2">
      <c r="A1967" s="16">
        <f>P1967</f>
        <v>1812990</v>
      </c>
      <c r="B1967">
        <v>2021</v>
      </c>
      <c r="C1967" t="s">
        <v>904</v>
      </c>
      <c r="D1967" t="s">
        <v>906</v>
      </c>
      <c r="E1967" t="s">
        <v>2873</v>
      </c>
      <c r="F1967" t="s">
        <v>628</v>
      </c>
      <c r="G1967" t="s">
        <v>14</v>
      </c>
      <c r="H1967" s="6">
        <v>298905</v>
      </c>
      <c r="I1967" s="6">
        <v>1.4766184978452722E-3</v>
      </c>
      <c r="J1967" s="6">
        <v>3328.2980941432438</v>
      </c>
      <c r="K1967" s="6">
        <v>2203680</v>
      </c>
      <c r="M1967" s="6">
        <f>SUM(H1967,J1967)</f>
        <v>302233.29809414322</v>
      </c>
      <c r="N1967" s="6">
        <f>K1967</f>
        <v>2203680</v>
      </c>
      <c r="O1967" s="6">
        <f>SUM(M1967:N1967)</f>
        <v>2505913.2980941432</v>
      </c>
      <c r="P1967" s="8">
        <f>VLOOKUP(F1967,'LEAID Match'!$A$2:$B$436,2,FALSE)</f>
        <v>1812990</v>
      </c>
      <c r="Q1967" s="6">
        <f>COUNTIF($P$2:$P$3691,P1967)</f>
        <v>9</v>
      </c>
    </row>
    <row r="1968" spans="1:17" x14ac:dyDescent="0.2">
      <c r="A1968" s="16">
        <f>P1968</f>
        <v>1812990</v>
      </c>
      <c r="B1968">
        <v>2022</v>
      </c>
      <c r="C1968" t="s">
        <v>904</v>
      </c>
      <c r="D1968" t="s">
        <v>906</v>
      </c>
      <c r="E1968" t="s">
        <v>2874</v>
      </c>
      <c r="F1968" t="s">
        <v>628</v>
      </c>
      <c r="G1968" t="s">
        <v>14</v>
      </c>
      <c r="H1968" s="6">
        <v>309727</v>
      </c>
      <c r="I1968" s="6">
        <v>1.4706413591146403E-3</v>
      </c>
      <c r="J1968" s="6">
        <v>3242.7641968477819</v>
      </c>
      <c r="K1968" s="6">
        <v>2183133</v>
      </c>
      <c r="M1968" s="6">
        <f>SUM(H1968,J1968)</f>
        <v>312969.7641968478</v>
      </c>
      <c r="N1968" s="6">
        <f>K1968</f>
        <v>2183133</v>
      </c>
      <c r="O1968" s="6">
        <f>SUM(M1968:N1968)</f>
        <v>2496102.7641968476</v>
      </c>
      <c r="P1968" s="8">
        <f>VLOOKUP(F1968,'LEAID Match'!$A$2:$B$436,2,FALSE)</f>
        <v>1812990</v>
      </c>
      <c r="Q1968" s="6">
        <f>COUNTIF($P$2:$P$3691,P1968)</f>
        <v>9</v>
      </c>
    </row>
    <row r="1969" spans="1:17" x14ac:dyDescent="0.2">
      <c r="A1969" s="16">
        <f>P1969</f>
        <v>1812990</v>
      </c>
      <c r="B1969">
        <v>2023</v>
      </c>
      <c r="C1969" t="s">
        <v>904</v>
      </c>
      <c r="D1969" t="s">
        <v>906</v>
      </c>
      <c r="E1969" t="s">
        <v>2875</v>
      </c>
      <c r="F1969" t="s">
        <v>628</v>
      </c>
      <c r="G1969" t="s">
        <v>14</v>
      </c>
      <c r="H1969" s="6">
        <v>351778</v>
      </c>
      <c r="I1969" s="6">
        <v>1.4385787346903036E-3</v>
      </c>
      <c r="J1969" s="6">
        <v>3548.9737384809791</v>
      </c>
      <c r="K1969" s="6">
        <v>5911637</v>
      </c>
      <c r="M1969" s="6">
        <f>SUM(H1969,J1969)</f>
        <v>355326.973738481</v>
      </c>
      <c r="N1969" s="6">
        <f>K1969</f>
        <v>5911637</v>
      </c>
      <c r="O1969" s="6">
        <f>SUM(M1969:N1969)</f>
        <v>6266963.9737384813</v>
      </c>
      <c r="P1969" s="8">
        <f>VLOOKUP(F1969,'LEAID Match'!$A$2:$B$436,2,FALSE)</f>
        <v>1812990</v>
      </c>
      <c r="Q1969" s="6">
        <f>COUNTIF($P$2:$P$3691,P1969)</f>
        <v>9</v>
      </c>
    </row>
    <row r="1970" spans="1:17" x14ac:dyDescent="0.2">
      <c r="A1970" s="16">
        <f>P1970</f>
        <v>1810900</v>
      </c>
      <c r="B1970">
        <v>2015</v>
      </c>
      <c r="C1970" t="s">
        <v>904</v>
      </c>
      <c r="D1970" t="s">
        <v>906</v>
      </c>
      <c r="E1970" t="s">
        <v>2876</v>
      </c>
      <c r="F1970" t="s">
        <v>741</v>
      </c>
      <c r="G1970" t="s">
        <v>221</v>
      </c>
      <c r="H1970" s="6">
        <v>188991</v>
      </c>
      <c r="I1970" s="6">
        <v>9.1900786965922203E-4</v>
      </c>
      <c r="J1970" s="6">
        <v>5340.3547305897391</v>
      </c>
      <c r="K1970" s="6">
        <v>777127.758709752</v>
      </c>
      <c r="M1970" s="6">
        <f>SUM(H1970,J1970)</f>
        <v>194331.35473058975</v>
      </c>
      <c r="N1970" s="6">
        <f>K1970</f>
        <v>777127.758709752</v>
      </c>
      <c r="O1970" s="6">
        <f>SUM(M1970:N1970)</f>
        <v>971459.11344034178</v>
      </c>
      <c r="P1970" s="8">
        <f>VLOOKUP(F1970,'LEAID Match'!$A$2:$B$436,2,FALSE)</f>
        <v>1810900</v>
      </c>
      <c r="Q1970" s="6">
        <f>COUNTIF($P$2:$P$3691,P1970)</f>
        <v>9</v>
      </c>
    </row>
    <row r="1971" spans="1:17" x14ac:dyDescent="0.2">
      <c r="A1971" s="16">
        <f>P1971</f>
        <v>1810900</v>
      </c>
      <c r="B1971">
        <v>2016</v>
      </c>
      <c r="C1971" t="s">
        <v>904</v>
      </c>
      <c r="D1971" t="s">
        <v>906</v>
      </c>
      <c r="E1971" t="s">
        <v>2877</v>
      </c>
      <c r="F1971" t="s">
        <v>741</v>
      </c>
      <c r="G1971" t="s">
        <v>221</v>
      </c>
      <c r="H1971" s="6">
        <v>195426</v>
      </c>
      <c r="I1971" s="6">
        <v>9.0680064148955519E-4</v>
      </c>
      <c r="J1971" s="6">
        <v>4577.5296382392744</v>
      </c>
      <c r="K1971" s="6">
        <v>804785.56932198</v>
      </c>
      <c r="M1971" s="6">
        <f>SUM(H1971,J1971)</f>
        <v>200003.52963823927</v>
      </c>
      <c r="N1971" s="6">
        <f>K1971</f>
        <v>804785.56932198</v>
      </c>
      <c r="O1971" s="6">
        <f>SUM(M1971:N1971)</f>
        <v>1004789.0989602193</v>
      </c>
      <c r="P1971" s="8">
        <f>VLOOKUP(F1971,'LEAID Match'!$A$2:$B$436,2,FALSE)</f>
        <v>1810900</v>
      </c>
      <c r="Q1971" s="6">
        <f>COUNTIF($P$2:$P$3691,P1971)</f>
        <v>9</v>
      </c>
    </row>
    <row r="1972" spans="1:17" x14ac:dyDescent="0.2">
      <c r="A1972" s="16">
        <f>P1972</f>
        <v>1810900</v>
      </c>
      <c r="B1972">
        <v>2017</v>
      </c>
      <c r="C1972" t="s">
        <v>904</v>
      </c>
      <c r="D1972" t="s">
        <v>906</v>
      </c>
      <c r="E1972" t="s">
        <v>2878</v>
      </c>
      <c r="F1972" t="s">
        <v>741</v>
      </c>
      <c r="G1972" t="s">
        <v>221</v>
      </c>
      <c r="H1972" s="6">
        <v>208288</v>
      </c>
      <c r="I1972" s="6">
        <v>9.1718117087753043E-4</v>
      </c>
      <c r="J1972" s="6">
        <v>4150.244798220825</v>
      </c>
      <c r="K1972" s="6">
        <v>798864.79983432905</v>
      </c>
      <c r="M1972" s="6">
        <f>SUM(H1972,J1972)</f>
        <v>212438.24479822081</v>
      </c>
      <c r="N1972" s="6">
        <f>K1972</f>
        <v>798864.79983432905</v>
      </c>
      <c r="O1972" s="6">
        <f>SUM(M1972:N1972)</f>
        <v>1011303.0446325499</v>
      </c>
      <c r="P1972" s="8">
        <f>VLOOKUP(F1972,'LEAID Match'!$A$2:$B$436,2,FALSE)</f>
        <v>1810900</v>
      </c>
      <c r="Q1972" s="6">
        <f>COUNTIF($P$2:$P$3691,P1972)</f>
        <v>9</v>
      </c>
    </row>
    <row r="1973" spans="1:17" x14ac:dyDescent="0.2">
      <c r="A1973" s="16">
        <f>P1973</f>
        <v>1810900</v>
      </c>
      <c r="B1973">
        <v>2018</v>
      </c>
      <c r="C1973" t="s">
        <v>904</v>
      </c>
      <c r="D1973" t="s">
        <v>906</v>
      </c>
      <c r="E1973" t="s">
        <v>2879</v>
      </c>
      <c r="F1973" t="s">
        <v>741</v>
      </c>
      <c r="G1973" t="s">
        <v>221</v>
      </c>
      <c r="H1973" s="6">
        <v>225008</v>
      </c>
      <c r="I1973" s="6">
        <v>9.5456737333279808E-4</v>
      </c>
      <c r="J1973" s="6">
        <v>3978.6368120511024</v>
      </c>
      <c r="K1973" s="6">
        <v>931944</v>
      </c>
      <c r="M1973" s="6">
        <f>SUM(H1973,J1973)</f>
        <v>228986.63681205109</v>
      </c>
      <c r="N1973" s="6">
        <f>K1973</f>
        <v>931944</v>
      </c>
      <c r="O1973" s="6">
        <f>SUM(M1973:N1973)</f>
        <v>1160930.6368120511</v>
      </c>
      <c r="P1973" s="8">
        <f>VLOOKUP(F1973,'LEAID Match'!$A$2:$B$436,2,FALSE)</f>
        <v>1810900</v>
      </c>
      <c r="Q1973" s="6">
        <f>COUNTIF($P$2:$P$3691,P1973)</f>
        <v>9</v>
      </c>
    </row>
    <row r="1974" spans="1:17" x14ac:dyDescent="0.2">
      <c r="A1974" s="16">
        <f>P1974</f>
        <v>1810900</v>
      </c>
      <c r="B1974">
        <v>2019</v>
      </c>
      <c r="C1974" t="s">
        <v>904</v>
      </c>
      <c r="D1974" t="s">
        <v>906</v>
      </c>
      <c r="E1974" t="s">
        <v>2880</v>
      </c>
      <c r="F1974" t="s">
        <v>741</v>
      </c>
      <c r="G1974" t="s">
        <v>221</v>
      </c>
      <c r="H1974" s="6">
        <v>245092</v>
      </c>
      <c r="I1974" s="6">
        <v>6.2351271876066947E-4</v>
      </c>
      <c r="J1974" s="6">
        <v>2185.4120792561466</v>
      </c>
      <c r="K1974" s="6">
        <v>588533.65523819497</v>
      </c>
      <c r="M1974" s="6">
        <f>SUM(H1974,J1974)</f>
        <v>247277.41207925614</v>
      </c>
      <c r="N1974" s="6">
        <f>K1974</f>
        <v>588533.65523819497</v>
      </c>
      <c r="O1974" s="6">
        <f>SUM(M1974:N1974)</f>
        <v>835811.06731745112</v>
      </c>
      <c r="P1974" s="8">
        <f>VLOOKUP(F1974,'LEAID Match'!$A$2:$B$436,2,FALSE)</f>
        <v>1810900</v>
      </c>
      <c r="Q1974" s="6">
        <f>COUNTIF($P$2:$P$3691,P1974)</f>
        <v>9</v>
      </c>
    </row>
    <row r="1975" spans="1:17" x14ac:dyDescent="0.2">
      <c r="A1975" s="16">
        <f>P1975</f>
        <v>1810900</v>
      </c>
      <c r="B1975">
        <v>2020</v>
      </c>
      <c r="C1975" t="s">
        <v>904</v>
      </c>
      <c r="D1975" t="s">
        <v>906</v>
      </c>
      <c r="E1975" t="s">
        <v>2881</v>
      </c>
      <c r="F1975" t="s">
        <v>741</v>
      </c>
      <c r="G1975" t="s">
        <v>221</v>
      </c>
      <c r="H1975" s="6">
        <v>185908</v>
      </c>
      <c r="I1975" s="6">
        <v>9.8507215213191755E-4</v>
      </c>
      <c r="J1975" s="6">
        <v>2320.8299904227979</v>
      </c>
      <c r="K1975" s="6">
        <v>950738</v>
      </c>
      <c r="M1975" s="6">
        <f>SUM(H1975,J1975)</f>
        <v>188228.82999042279</v>
      </c>
      <c r="N1975" s="6">
        <f>K1975</f>
        <v>950738</v>
      </c>
      <c r="O1975" s="6">
        <f>SUM(M1975:N1975)</f>
        <v>1138966.8299904228</v>
      </c>
      <c r="P1975" s="8">
        <f>VLOOKUP(F1975,'LEAID Match'!$A$2:$B$436,2,FALSE)</f>
        <v>1810900</v>
      </c>
      <c r="Q1975" s="6">
        <f>COUNTIF($P$2:$P$3691,P1975)</f>
        <v>9</v>
      </c>
    </row>
    <row r="1976" spans="1:17" x14ac:dyDescent="0.2">
      <c r="A1976" s="16">
        <f>P1976</f>
        <v>1810900</v>
      </c>
      <c r="B1976">
        <v>2021</v>
      </c>
      <c r="C1976" t="s">
        <v>904</v>
      </c>
      <c r="D1976" t="s">
        <v>906</v>
      </c>
      <c r="E1976" t="s">
        <v>2882</v>
      </c>
      <c r="F1976" t="s">
        <v>741</v>
      </c>
      <c r="G1976" t="s">
        <v>221</v>
      </c>
      <c r="H1976" s="6">
        <v>196195</v>
      </c>
      <c r="I1976" s="6">
        <v>9.6922154592513738E-4</v>
      </c>
      <c r="J1976" s="6">
        <v>2184.6253645152597</v>
      </c>
      <c r="K1976" s="6">
        <v>1548026</v>
      </c>
      <c r="M1976" s="6">
        <f>SUM(H1976,J1976)</f>
        <v>198379.62536451526</v>
      </c>
      <c r="N1976" s="6">
        <f>K1976</f>
        <v>1548026</v>
      </c>
      <c r="O1976" s="6">
        <f>SUM(M1976:N1976)</f>
        <v>1746405.6253645152</v>
      </c>
      <c r="P1976" s="8">
        <f>VLOOKUP(F1976,'LEAID Match'!$A$2:$B$436,2,FALSE)</f>
        <v>1810900</v>
      </c>
      <c r="Q1976" s="6">
        <f>COUNTIF($P$2:$P$3691,P1976)</f>
        <v>9</v>
      </c>
    </row>
    <row r="1977" spans="1:17" x14ac:dyDescent="0.2">
      <c r="A1977" s="16">
        <f>P1977</f>
        <v>1810900</v>
      </c>
      <c r="B1977">
        <v>2022</v>
      </c>
      <c r="C1977" t="s">
        <v>904</v>
      </c>
      <c r="D1977" t="s">
        <v>906</v>
      </c>
      <c r="E1977" t="s">
        <v>2883</v>
      </c>
      <c r="F1977" t="s">
        <v>741</v>
      </c>
      <c r="G1977" t="s">
        <v>221</v>
      </c>
      <c r="H1977" s="6">
        <v>205438</v>
      </c>
      <c r="I1977" s="6">
        <v>9.7545780488557171E-4</v>
      </c>
      <c r="J1977" s="6">
        <v>2150.8844597726857</v>
      </c>
      <c r="K1977" s="6">
        <v>1512580</v>
      </c>
      <c r="M1977" s="6">
        <f>SUM(H1977,J1977)</f>
        <v>207588.88445977267</v>
      </c>
      <c r="N1977" s="6">
        <f>K1977</f>
        <v>1512580</v>
      </c>
      <c r="O1977" s="6">
        <f>SUM(M1977:N1977)</f>
        <v>1720168.8844597726</v>
      </c>
      <c r="P1977" s="8">
        <f>VLOOKUP(F1977,'LEAID Match'!$A$2:$B$436,2,FALSE)</f>
        <v>1810900</v>
      </c>
      <c r="Q1977" s="6">
        <f>COUNTIF($P$2:$P$3691,P1977)</f>
        <v>9</v>
      </c>
    </row>
    <row r="1978" spans="1:17" x14ac:dyDescent="0.2">
      <c r="A1978" s="16">
        <f>P1978</f>
        <v>1810900</v>
      </c>
      <c r="B1978">
        <v>2023</v>
      </c>
      <c r="C1978" t="s">
        <v>904</v>
      </c>
      <c r="D1978" t="s">
        <v>906</v>
      </c>
      <c r="E1978" t="s">
        <v>2884</v>
      </c>
      <c r="F1978" t="s">
        <v>741</v>
      </c>
      <c r="G1978" t="s">
        <v>221</v>
      </c>
      <c r="H1978" s="6">
        <v>237679</v>
      </c>
      <c r="I1978" s="6">
        <v>9.7197651667374496E-4</v>
      </c>
      <c r="J1978" s="6">
        <v>2397.8660666341289</v>
      </c>
      <c r="K1978" s="6">
        <v>4625467</v>
      </c>
      <c r="M1978" s="6">
        <f>SUM(H1978,J1978)</f>
        <v>240076.86606663413</v>
      </c>
      <c r="N1978" s="6">
        <f>K1978</f>
        <v>4625467</v>
      </c>
      <c r="O1978" s="6">
        <f>SUM(M1978:N1978)</f>
        <v>4865543.8660666337</v>
      </c>
      <c r="P1978" s="8">
        <f>VLOOKUP(F1978,'LEAID Match'!$A$2:$B$436,2,FALSE)</f>
        <v>1810900</v>
      </c>
      <c r="Q1978" s="6">
        <f>COUNTIF($P$2:$P$3691,P1978)</f>
        <v>9</v>
      </c>
    </row>
    <row r="1979" spans="1:17" x14ac:dyDescent="0.2">
      <c r="A1979" s="16">
        <f>P1979</f>
        <v>0</v>
      </c>
      <c r="B1979">
        <v>2016</v>
      </c>
      <c r="C1979" t="s">
        <v>904</v>
      </c>
      <c r="D1979" t="s">
        <v>906</v>
      </c>
      <c r="E1979" t="s">
        <v>2885</v>
      </c>
      <c r="F1979" t="s">
        <v>742</v>
      </c>
      <c r="G1979" t="s">
        <v>371</v>
      </c>
      <c r="H1979" s="6" t="s">
        <v>187</v>
      </c>
      <c r="I1979" s="6">
        <v>0</v>
      </c>
      <c r="J1979" s="6">
        <v>0</v>
      </c>
      <c r="K1979" s="6">
        <v>0</v>
      </c>
      <c r="M1979" s="6">
        <f>SUM(H1979,J1979)</f>
        <v>0</v>
      </c>
      <c r="N1979" s="6">
        <f>K1979</f>
        <v>0</v>
      </c>
      <c r="O1979" s="6">
        <f>SUM(M1979:N1979)</f>
        <v>0</v>
      </c>
      <c r="P1979" s="8">
        <f>VLOOKUP(F1979,'LEAID Match'!$A$2:$B$436,2,FALSE)</f>
        <v>0</v>
      </c>
      <c r="Q1979" s="6">
        <f>COUNTIF($P$2:$P$3691,P1979)</f>
        <v>371</v>
      </c>
    </row>
    <row r="1980" spans="1:17" x14ac:dyDescent="0.2">
      <c r="A1980" s="16">
        <f>P1980</f>
        <v>0</v>
      </c>
      <c r="B1980">
        <v>2017</v>
      </c>
      <c r="C1980" t="s">
        <v>904</v>
      </c>
      <c r="D1980" t="s">
        <v>906</v>
      </c>
      <c r="E1980" t="s">
        <v>2886</v>
      </c>
      <c r="F1980" t="s">
        <v>742</v>
      </c>
      <c r="G1980" t="s">
        <v>371</v>
      </c>
      <c r="H1980" s="6" t="s">
        <v>187</v>
      </c>
      <c r="I1980" s="6">
        <v>0</v>
      </c>
      <c r="J1980" s="6">
        <v>0</v>
      </c>
      <c r="K1980" s="6">
        <v>0</v>
      </c>
      <c r="M1980" s="6">
        <f>SUM(H1980,J1980)</f>
        <v>0</v>
      </c>
      <c r="N1980" s="6">
        <f>K1980</f>
        <v>0</v>
      </c>
      <c r="O1980" s="6">
        <f>SUM(M1980:N1980)</f>
        <v>0</v>
      </c>
      <c r="P1980" s="8">
        <f>VLOOKUP(F1980,'LEAID Match'!$A$2:$B$436,2,FALSE)</f>
        <v>0</v>
      </c>
      <c r="Q1980" s="6">
        <f>COUNTIF($P$2:$P$3691,P1980)</f>
        <v>371</v>
      </c>
    </row>
    <row r="1981" spans="1:17" x14ac:dyDescent="0.2">
      <c r="A1981" s="16">
        <f>P1981</f>
        <v>0</v>
      </c>
      <c r="B1981">
        <v>2018</v>
      </c>
      <c r="C1981" t="s">
        <v>904</v>
      </c>
      <c r="D1981" t="s">
        <v>906</v>
      </c>
      <c r="E1981" t="s">
        <v>2887</v>
      </c>
      <c r="F1981" t="s">
        <v>742</v>
      </c>
      <c r="G1981" t="s">
        <v>371</v>
      </c>
      <c r="H1981" s="6" t="s">
        <v>187</v>
      </c>
      <c r="I1981" s="6">
        <v>0</v>
      </c>
      <c r="J1981" s="6">
        <v>0</v>
      </c>
      <c r="K1981" s="6">
        <v>0</v>
      </c>
      <c r="M1981" s="6">
        <f>SUM(H1981,J1981)</f>
        <v>0</v>
      </c>
      <c r="N1981" s="6">
        <f>K1981</f>
        <v>0</v>
      </c>
      <c r="O1981" s="6">
        <f>SUM(M1981:N1981)</f>
        <v>0</v>
      </c>
      <c r="P1981" s="8">
        <f>VLOOKUP(F1981,'LEAID Match'!$A$2:$B$436,2,FALSE)</f>
        <v>0</v>
      </c>
      <c r="Q1981" s="6">
        <f>COUNTIF($P$2:$P$3691,P1981)</f>
        <v>371</v>
      </c>
    </row>
    <row r="1982" spans="1:17" x14ac:dyDescent="0.2">
      <c r="A1982" s="16">
        <f>P1982</f>
        <v>0</v>
      </c>
      <c r="B1982">
        <v>2019</v>
      </c>
      <c r="C1982" t="s">
        <v>904</v>
      </c>
      <c r="D1982" t="s">
        <v>906</v>
      </c>
      <c r="E1982" t="s">
        <v>2888</v>
      </c>
      <c r="F1982" t="s">
        <v>742</v>
      </c>
      <c r="G1982" t="s">
        <v>371</v>
      </c>
      <c r="H1982" s="6" t="s">
        <v>187</v>
      </c>
      <c r="I1982" s="6">
        <v>0</v>
      </c>
      <c r="J1982" s="6">
        <v>0</v>
      </c>
      <c r="K1982" s="6">
        <v>0</v>
      </c>
      <c r="M1982" s="6">
        <f>SUM(H1982,J1982)</f>
        <v>0</v>
      </c>
      <c r="N1982" s="6">
        <f>K1982</f>
        <v>0</v>
      </c>
      <c r="O1982" s="6">
        <f>SUM(M1982:N1982)</f>
        <v>0</v>
      </c>
      <c r="P1982" s="8">
        <f>VLOOKUP(F1982,'LEAID Match'!$A$2:$B$436,2,FALSE)</f>
        <v>0</v>
      </c>
      <c r="Q1982" s="6">
        <f>COUNTIF($P$2:$P$3691,P1982)</f>
        <v>371</v>
      </c>
    </row>
    <row r="1983" spans="1:17" x14ac:dyDescent="0.2">
      <c r="A1983" s="16">
        <f>P1983</f>
        <v>0</v>
      </c>
      <c r="B1983">
        <v>2020</v>
      </c>
      <c r="C1983" t="s">
        <v>904</v>
      </c>
      <c r="D1983" t="s">
        <v>906</v>
      </c>
      <c r="E1983" t="s">
        <v>2889</v>
      </c>
      <c r="F1983" t="s">
        <v>742</v>
      </c>
      <c r="G1983" t="s">
        <v>371</v>
      </c>
      <c r="H1983" s="6" t="s">
        <v>187</v>
      </c>
      <c r="I1983" s="6">
        <v>0</v>
      </c>
      <c r="J1983" s="6">
        <v>0</v>
      </c>
      <c r="K1983" s="6" t="s">
        <v>187</v>
      </c>
      <c r="M1983" s="6">
        <f>SUM(H1983,J1983)</f>
        <v>0</v>
      </c>
      <c r="N1983" s="6" t="str">
        <f>K1983</f>
        <v>-</v>
      </c>
      <c r="O1983" s="6">
        <f>SUM(M1983:N1983)</f>
        <v>0</v>
      </c>
      <c r="P1983" s="8">
        <f>VLOOKUP(F1983,'LEAID Match'!$A$2:$B$436,2,FALSE)</f>
        <v>0</v>
      </c>
      <c r="Q1983" s="6">
        <f>COUNTIF($P$2:$P$3691,P1983)</f>
        <v>371</v>
      </c>
    </row>
    <row r="1984" spans="1:17" x14ac:dyDescent="0.2">
      <c r="A1984" s="16">
        <f>P1984</f>
        <v>0</v>
      </c>
      <c r="B1984">
        <v>2021</v>
      </c>
      <c r="C1984" t="s">
        <v>904</v>
      </c>
      <c r="D1984" t="s">
        <v>906</v>
      </c>
      <c r="E1984" t="s">
        <v>2890</v>
      </c>
      <c r="F1984" t="s">
        <v>742</v>
      </c>
      <c r="G1984" t="s">
        <v>371</v>
      </c>
      <c r="H1984" s="6" t="s">
        <v>187</v>
      </c>
      <c r="I1984" s="6">
        <v>0</v>
      </c>
      <c r="J1984" s="6">
        <v>0</v>
      </c>
      <c r="K1984" s="6" t="s">
        <v>187</v>
      </c>
      <c r="M1984" s="6">
        <f>SUM(H1984,J1984)</f>
        <v>0</v>
      </c>
      <c r="N1984" s="6" t="str">
        <f>K1984</f>
        <v>-</v>
      </c>
      <c r="O1984" s="6">
        <f>SUM(M1984:N1984)</f>
        <v>0</v>
      </c>
      <c r="P1984" s="8">
        <f>VLOOKUP(F1984,'LEAID Match'!$A$2:$B$436,2,FALSE)</f>
        <v>0</v>
      </c>
      <c r="Q1984" s="6">
        <f>COUNTIF($P$2:$P$3691,P1984)</f>
        <v>371</v>
      </c>
    </row>
    <row r="1985" spans="1:17" x14ac:dyDescent="0.2">
      <c r="A1985" s="16">
        <f>P1985</f>
        <v>0</v>
      </c>
      <c r="B1985">
        <v>2022</v>
      </c>
      <c r="C1985" t="s">
        <v>904</v>
      </c>
      <c r="D1985" t="s">
        <v>906</v>
      </c>
      <c r="E1985" t="s">
        <v>2891</v>
      </c>
      <c r="F1985" t="s">
        <v>742</v>
      </c>
      <c r="G1985" t="s">
        <v>371</v>
      </c>
      <c r="H1985" s="6" t="s">
        <v>187</v>
      </c>
      <c r="I1985" s="6">
        <v>0</v>
      </c>
      <c r="J1985" s="6">
        <v>0</v>
      </c>
      <c r="K1985" s="6" t="s">
        <v>396</v>
      </c>
      <c r="M1985" s="6">
        <f>SUM(H1985,J1985)</f>
        <v>0</v>
      </c>
      <c r="N1985" s="6" t="str">
        <f>K1985</f>
        <v>$ -</v>
      </c>
      <c r="O1985" s="6">
        <f>SUM(M1985:N1985)</f>
        <v>0</v>
      </c>
      <c r="P1985" s="8">
        <f>VLOOKUP(F1985,'LEAID Match'!$A$2:$B$436,2,FALSE)</f>
        <v>0</v>
      </c>
      <c r="Q1985" s="6">
        <f>COUNTIF($P$2:$P$3691,P1985)</f>
        <v>371</v>
      </c>
    </row>
    <row r="1986" spans="1:17" x14ac:dyDescent="0.2">
      <c r="A1986" s="16">
        <f>P1986</f>
        <v>0</v>
      </c>
      <c r="B1986">
        <v>2023</v>
      </c>
      <c r="C1986" t="s">
        <v>904</v>
      </c>
      <c r="D1986" t="s">
        <v>906</v>
      </c>
      <c r="E1986" t="s">
        <v>2892</v>
      </c>
      <c r="F1986" t="s">
        <v>742</v>
      </c>
      <c r="G1986" t="s">
        <v>371</v>
      </c>
      <c r="H1986" s="6" t="s">
        <v>187</v>
      </c>
      <c r="I1986" s="6">
        <v>0</v>
      </c>
      <c r="J1986" s="6">
        <v>0</v>
      </c>
      <c r="K1986" s="6" t="s">
        <v>396</v>
      </c>
      <c r="M1986" s="6">
        <f>SUM(H1986,J1986)</f>
        <v>0</v>
      </c>
      <c r="N1986" s="6" t="str">
        <f>K1986</f>
        <v>$ -</v>
      </c>
      <c r="O1986" s="6">
        <f>SUM(M1986:N1986)</f>
        <v>0</v>
      </c>
      <c r="P1986" s="8">
        <f>VLOOKUP(F1986,'LEAID Match'!$A$2:$B$436,2,FALSE)</f>
        <v>0</v>
      </c>
      <c r="Q1986" s="6">
        <f>COUNTIF($P$2:$P$3691,P1986)</f>
        <v>371</v>
      </c>
    </row>
    <row r="1987" spans="1:17" x14ac:dyDescent="0.2">
      <c r="A1987" s="16">
        <f>P1987</f>
        <v>0</v>
      </c>
      <c r="B1987">
        <v>2016</v>
      </c>
      <c r="C1987" t="s">
        <v>904</v>
      </c>
      <c r="D1987" t="s">
        <v>906</v>
      </c>
      <c r="E1987" t="s">
        <v>2893</v>
      </c>
      <c r="F1987" t="s">
        <v>743</v>
      </c>
      <c r="G1987" t="s">
        <v>372</v>
      </c>
      <c r="H1987" s="6" t="s">
        <v>187</v>
      </c>
      <c r="I1987" s="6">
        <v>0</v>
      </c>
      <c r="J1987" s="6">
        <v>0</v>
      </c>
      <c r="K1987" s="6">
        <v>0</v>
      </c>
      <c r="M1987" s="6">
        <f>SUM(H1987,J1987)</f>
        <v>0</v>
      </c>
      <c r="N1987" s="6">
        <f>K1987</f>
        <v>0</v>
      </c>
      <c r="O1987" s="6">
        <f>SUM(M1987:N1987)</f>
        <v>0</v>
      </c>
      <c r="P1987" s="8">
        <f>VLOOKUP(F1987,'LEAID Match'!$A$2:$B$436,2,FALSE)</f>
        <v>0</v>
      </c>
      <c r="Q1987" s="6">
        <f>COUNTIF($P$2:$P$3691,P1987)</f>
        <v>371</v>
      </c>
    </row>
    <row r="1988" spans="1:17" x14ac:dyDescent="0.2">
      <c r="A1988" s="16">
        <f>P1988</f>
        <v>0</v>
      </c>
      <c r="B1988">
        <v>2017</v>
      </c>
      <c r="C1988" t="s">
        <v>904</v>
      </c>
      <c r="D1988" t="s">
        <v>906</v>
      </c>
      <c r="E1988" t="s">
        <v>2894</v>
      </c>
      <c r="F1988" t="s">
        <v>743</v>
      </c>
      <c r="G1988" t="s">
        <v>372</v>
      </c>
      <c r="H1988" s="6" t="s">
        <v>187</v>
      </c>
      <c r="I1988" s="6">
        <v>0</v>
      </c>
      <c r="J1988" s="6">
        <v>0</v>
      </c>
      <c r="K1988" s="6">
        <v>0</v>
      </c>
      <c r="M1988" s="6">
        <f>SUM(H1988,J1988)</f>
        <v>0</v>
      </c>
      <c r="N1988" s="6">
        <f>K1988</f>
        <v>0</v>
      </c>
      <c r="O1988" s="6">
        <f>SUM(M1988:N1988)</f>
        <v>0</v>
      </c>
      <c r="P1988" s="8">
        <f>VLOOKUP(F1988,'LEAID Match'!$A$2:$B$436,2,FALSE)</f>
        <v>0</v>
      </c>
      <c r="Q1988" s="6">
        <f>COUNTIF($P$2:$P$3691,P1988)</f>
        <v>371</v>
      </c>
    </row>
    <row r="1989" spans="1:17" x14ac:dyDescent="0.2">
      <c r="A1989" s="16">
        <f>P1989</f>
        <v>0</v>
      </c>
      <c r="B1989">
        <v>2018</v>
      </c>
      <c r="C1989" t="s">
        <v>904</v>
      </c>
      <c r="D1989" t="s">
        <v>906</v>
      </c>
      <c r="E1989" t="s">
        <v>2895</v>
      </c>
      <c r="F1989" t="s">
        <v>743</v>
      </c>
      <c r="G1989" t="s">
        <v>372</v>
      </c>
      <c r="H1989" s="6" t="s">
        <v>187</v>
      </c>
      <c r="I1989" s="6">
        <v>0</v>
      </c>
      <c r="J1989" s="6">
        <v>0</v>
      </c>
      <c r="K1989" s="6">
        <v>0</v>
      </c>
      <c r="M1989" s="6">
        <f>SUM(H1989,J1989)</f>
        <v>0</v>
      </c>
      <c r="N1989" s="6">
        <f>K1989</f>
        <v>0</v>
      </c>
      <c r="O1989" s="6">
        <f>SUM(M1989:N1989)</f>
        <v>0</v>
      </c>
      <c r="P1989" s="8">
        <f>VLOOKUP(F1989,'LEAID Match'!$A$2:$B$436,2,FALSE)</f>
        <v>0</v>
      </c>
      <c r="Q1989" s="6">
        <f>COUNTIF($P$2:$P$3691,P1989)</f>
        <v>371</v>
      </c>
    </row>
    <row r="1990" spans="1:17" x14ac:dyDescent="0.2">
      <c r="A1990" s="16">
        <f>P1990</f>
        <v>0</v>
      </c>
      <c r="B1990">
        <v>2019</v>
      </c>
      <c r="C1990" t="s">
        <v>904</v>
      </c>
      <c r="D1990" t="s">
        <v>906</v>
      </c>
      <c r="E1990" t="s">
        <v>2896</v>
      </c>
      <c r="F1990" t="s">
        <v>743</v>
      </c>
      <c r="G1990" t="s">
        <v>372</v>
      </c>
      <c r="H1990" s="6" t="s">
        <v>187</v>
      </c>
      <c r="I1990" s="6">
        <v>0</v>
      </c>
      <c r="J1990" s="6">
        <v>0</v>
      </c>
      <c r="K1990" s="6">
        <v>0</v>
      </c>
      <c r="M1990" s="6">
        <f>SUM(H1990,J1990)</f>
        <v>0</v>
      </c>
      <c r="N1990" s="6">
        <f>K1990</f>
        <v>0</v>
      </c>
      <c r="O1990" s="6">
        <f>SUM(M1990:N1990)</f>
        <v>0</v>
      </c>
      <c r="P1990" s="8">
        <f>VLOOKUP(F1990,'LEAID Match'!$A$2:$B$436,2,FALSE)</f>
        <v>0</v>
      </c>
      <c r="Q1990" s="6">
        <f>COUNTIF($P$2:$P$3691,P1990)</f>
        <v>371</v>
      </c>
    </row>
    <row r="1991" spans="1:17" x14ac:dyDescent="0.2">
      <c r="A1991" s="16">
        <f>P1991</f>
        <v>0</v>
      </c>
      <c r="B1991">
        <v>2020</v>
      </c>
      <c r="C1991" t="s">
        <v>904</v>
      </c>
      <c r="D1991" t="s">
        <v>906</v>
      </c>
      <c r="E1991" t="s">
        <v>2897</v>
      </c>
      <c r="F1991" t="s">
        <v>743</v>
      </c>
      <c r="G1991" t="s">
        <v>372</v>
      </c>
      <c r="H1991" s="6" t="s">
        <v>187</v>
      </c>
      <c r="I1991" s="6">
        <v>0</v>
      </c>
      <c r="J1991" s="6">
        <v>0</v>
      </c>
      <c r="K1991" s="6" t="s">
        <v>187</v>
      </c>
      <c r="M1991" s="6">
        <f>SUM(H1991,J1991)</f>
        <v>0</v>
      </c>
      <c r="N1991" s="6" t="str">
        <f>K1991</f>
        <v>-</v>
      </c>
      <c r="O1991" s="6">
        <f>SUM(M1991:N1991)</f>
        <v>0</v>
      </c>
      <c r="P1991" s="8">
        <f>VLOOKUP(F1991,'LEAID Match'!$A$2:$B$436,2,FALSE)</f>
        <v>0</v>
      </c>
      <c r="Q1991" s="6">
        <f>COUNTIF($P$2:$P$3691,P1991)</f>
        <v>371</v>
      </c>
    </row>
    <row r="1992" spans="1:17" x14ac:dyDescent="0.2">
      <c r="A1992" s="16">
        <f>P1992</f>
        <v>0</v>
      </c>
      <c r="B1992">
        <v>2021</v>
      </c>
      <c r="C1992" t="s">
        <v>904</v>
      </c>
      <c r="D1992" t="s">
        <v>906</v>
      </c>
      <c r="E1992" t="s">
        <v>2898</v>
      </c>
      <c r="F1992" t="s">
        <v>743</v>
      </c>
      <c r="G1992" t="s">
        <v>372</v>
      </c>
      <c r="H1992" s="6" t="s">
        <v>187</v>
      </c>
      <c r="I1992" s="6">
        <v>0</v>
      </c>
      <c r="J1992" s="6">
        <v>0</v>
      </c>
      <c r="K1992" s="6" t="s">
        <v>187</v>
      </c>
      <c r="M1992" s="6">
        <f>SUM(H1992,J1992)</f>
        <v>0</v>
      </c>
      <c r="N1992" s="6" t="str">
        <f>K1992</f>
        <v>-</v>
      </c>
      <c r="O1992" s="6">
        <f>SUM(M1992:N1992)</f>
        <v>0</v>
      </c>
      <c r="P1992" s="8">
        <f>VLOOKUP(F1992,'LEAID Match'!$A$2:$B$436,2,FALSE)</f>
        <v>0</v>
      </c>
      <c r="Q1992" s="6">
        <f>COUNTIF($P$2:$P$3691,P1992)</f>
        <v>371</v>
      </c>
    </row>
    <row r="1993" spans="1:17" x14ac:dyDescent="0.2">
      <c r="A1993" s="16">
        <f>P1993</f>
        <v>0</v>
      </c>
      <c r="B1993">
        <v>2022</v>
      </c>
      <c r="C1993" t="s">
        <v>904</v>
      </c>
      <c r="D1993" t="s">
        <v>906</v>
      </c>
      <c r="E1993" t="s">
        <v>2899</v>
      </c>
      <c r="F1993" t="s">
        <v>743</v>
      </c>
      <c r="G1993" t="s">
        <v>372</v>
      </c>
      <c r="H1993" s="6" t="s">
        <v>187</v>
      </c>
      <c r="I1993" s="6">
        <v>0</v>
      </c>
      <c r="J1993" s="6">
        <v>0</v>
      </c>
      <c r="K1993" s="6" t="s">
        <v>187</v>
      </c>
      <c r="M1993" s="6">
        <f>SUM(H1993,J1993)</f>
        <v>0</v>
      </c>
      <c r="N1993" s="6" t="str">
        <f>K1993</f>
        <v>-</v>
      </c>
      <c r="O1993" s="6">
        <f>SUM(M1993:N1993)</f>
        <v>0</v>
      </c>
      <c r="P1993" s="8">
        <f>VLOOKUP(F1993,'LEAID Match'!$A$2:$B$436,2,FALSE)</f>
        <v>0</v>
      </c>
      <c r="Q1993" s="6">
        <f>COUNTIF($P$2:$P$3691,P1993)</f>
        <v>371</v>
      </c>
    </row>
    <row r="1994" spans="1:17" x14ac:dyDescent="0.2">
      <c r="A1994" s="16">
        <f>P1994</f>
        <v>0</v>
      </c>
      <c r="B1994">
        <v>2023</v>
      </c>
      <c r="C1994" t="s">
        <v>904</v>
      </c>
      <c r="D1994" t="s">
        <v>906</v>
      </c>
      <c r="E1994" t="s">
        <v>2900</v>
      </c>
      <c r="F1994" t="s">
        <v>743</v>
      </c>
      <c r="G1994" t="s">
        <v>372</v>
      </c>
      <c r="H1994" s="6" t="s">
        <v>187</v>
      </c>
      <c r="I1994" s="6">
        <v>0</v>
      </c>
      <c r="J1994" s="6">
        <v>0</v>
      </c>
      <c r="K1994" s="6" t="s">
        <v>187</v>
      </c>
      <c r="M1994" s="6">
        <f>SUM(H1994,J1994)</f>
        <v>0</v>
      </c>
      <c r="N1994" s="6" t="str">
        <f>K1994</f>
        <v>-</v>
      </c>
      <c r="O1994" s="6">
        <f>SUM(M1994:N1994)</f>
        <v>0</v>
      </c>
      <c r="P1994" s="8">
        <f>VLOOKUP(F1994,'LEAID Match'!$A$2:$B$436,2,FALSE)</f>
        <v>0</v>
      </c>
      <c r="Q1994" s="6">
        <f>COUNTIF($P$2:$P$3691,P1994)</f>
        <v>371</v>
      </c>
    </row>
    <row r="1995" spans="1:17" x14ac:dyDescent="0.2">
      <c r="A1995" s="16">
        <f>P1995</f>
        <v>1800118</v>
      </c>
      <c r="B1995">
        <v>2015</v>
      </c>
      <c r="C1995" t="s">
        <v>904</v>
      </c>
      <c r="D1995" t="s">
        <v>906</v>
      </c>
      <c r="E1995" t="s">
        <v>2901</v>
      </c>
      <c r="F1995" t="s">
        <v>559</v>
      </c>
      <c r="G1995" t="s">
        <v>222</v>
      </c>
      <c r="H1995" s="6">
        <v>277045</v>
      </c>
      <c r="I1995" s="6">
        <v>1.3471886769726555E-3</v>
      </c>
      <c r="J1995" s="6">
        <v>7828.5134018881008</v>
      </c>
      <c r="K1995" s="6">
        <v>1139204.3002669001</v>
      </c>
      <c r="M1995" s="6">
        <f>SUM(H1995,J1995)</f>
        <v>284873.51340188808</v>
      </c>
      <c r="N1995" s="6">
        <f>K1995</f>
        <v>1139204.3002669001</v>
      </c>
      <c r="O1995" s="6">
        <f>SUM(M1995:N1995)</f>
        <v>1424077.8136687882</v>
      </c>
      <c r="P1995" s="8">
        <f>VLOOKUP(F1995,'LEAID Match'!$A$2:$B$436,2,FALSE)</f>
        <v>1800118</v>
      </c>
      <c r="Q1995" s="6">
        <f>COUNTIF($P$2:$P$3691,P1995)</f>
        <v>9</v>
      </c>
    </row>
    <row r="1996" spans="1:17" x14ac:dyDescent="0.2">
      <c r="A1996" s="16">
        <f>P1996</f>
        <v>1800118</v>
      </c>
      <c r="B1996">
        <v>2016</v>
      </c>
      <c r="C1996" t="s">
        <v>904</v>
      </c>
      <c r="D1996" t="s">
        <v>906</v>
      </c>
      <c r="E1996" t="s">
        <v>2902</v>
      </c>
      <c r="F1996" t="s">
        <v>559</v>
      </c>
      <c r="G1996" t="s">
        <v>222</v>
      </c>
      <c r="H1996" s="6">
        <v>273476</v>
      </c>
      <c r="I1996" s="6">
        <v>1.2689622272983E-3</v>
      </c>
      <c r="J1996" s="6">
        <v>6405.7213234018182</v>
      </c>
      <c r="K1996" s="6">
        <v>1126203.97672724</v>
      </c>
      <c r="M1996" s="6">
        <f>SUM(H1996,J1996)</f>
        <v>279881.72132340184</v>
      </c>
      <c r="N1996" s="6">
        <f>K1996</f>
        <v>1126203.97672724</v>
      </c>
      <c r="O1996" s="6">
        <f>SUM(M1996:N1996)</f>
        <v>1406085.6980506419</v>
      </c>
      <c r="P1996" s="8">
        <f>VLOOKUP(F1996,'LEAID Match'!$A$2:$B$436,2,FALSE)</f>
        <v>1800118</v>
      </c>
      <c r="Q1996" s="6">
        <f>COUNTIF($P$2:$P$3691,P1996)</f>
        <v>9</v>
      </c>
    </row>
    <row r="1997" spans="1:17" x14ac:dyDescent="0.2">
      <c r="A1997" s="16">
        <f>P1997</f>
        <v>1800118</v>
      </c>
      <c r="B1997">
        <v>2017</v>
      </c>
      <c r="C1997" t="s">
        <v>904</v>
      </c>
      <c r="D1997" t="s">
        <v>906</v>
      </c>
      <c r="E1997" t="s">
        <v>2903</v>
      </c>
      <c r="F1997" t="s">
        <v>559</v>
      </c>
      <c r="G1997" t="s">
        <v>222</v>
      </c>
      <c r="H1997" s="6">
        <v>281040</v>
      </c>
      <c r="I1997" s="6">
        <v>1.237539350627118E-3</v>
      </c>
      <c r="J1997" s="6">
        <v>5599.8655615877087</v>
      </c>
      <c r="K1997" s="6">
        <v>1077896.77439622</v>
      </c>
      <c r="M1997" s="6">
        <f>SUM(H1997,J1997)</f>
        <v>286639.86556158774</v>
      </c>
      <c r="N1997" s="6">
        <f>K1997</f>
        <v>1077896.77439622</v>
      </c>
      <c r="O1997" s="6">
        <f>SUM(M1997:N1997)</f>
        <v>1364536.6399578077</v>
      </c>
      <c r="P1997" s="8">
        <f>VLOOKUP(F1997,'LEAID Match'!$A$2:$B$436,2,FALSE)</f>
        <v>1800118</v>
      </c>
      <c r="Q1997" s="6">
        <f>COUNTIF($P$2:$P$3691,P1997)</f>
        <v>9</v>
      </c>
    </row>
    <row r="1998" spans="1:17" x14ac:dyDescent="0.2">
      <c r="A1998" s="16">
        <f>P1998</f>
        <v>1800118</v>
      </c>
      <c r="B1998">
        <v>2018</v>
      </c>
      <c r="C1998" t="s">
        <v>904</v>
      </c>
      <c r="D1998" t="s">
        <v>906</v>
      </c>
      <c r="E1998" t="s">
        <v>2904</v>
      </c>
      <c r="F1998" t="s">
        <v>559</v>
      </c>
      <c r="G1998" t="s">
        <v>222</v>
      </c>
      <c r="H1998" s="6">
        <v>273244</v>
      </c>
      <c r="I1998" s="6">
        <v>1.1592023721776429E-3</v>
      </c>
      <c r="J1998" s="6">
        <v>4831.5554872364155</v>
      </c>
      <c r="K1998" s="6">
        <v>1328936</v>
      </c>
      <c r="M1998" s="6">
        <f>SUM(H1998,J1998)</f>
        <v>278075.55548723642</v>
      </c>
      <c r="N1998" s="6">
        <f>K1998</f>
        <v>1328936</v>
      </c>
      <c r="O1998" s="6">
        <f>SUM(M1998:N1998)</f>
        <v>1607011.5554872365</v>
      </c>
      <c r="P1998" s="8">
        <f>VLOOKUP(F1998,'LEAID Match'!$A$2:$B$436,2,FALSE)</f>
        <v>1800118</v>
      </c>
      <c r="Q1998" s="6">
        <f>COUNTIF($P$2:$P$3691,P1998)</f>
        <v>9</v>
      </c>
    </row>
    <row r="1999" spans="1:17" x14ac:dyDescent="0.2">
      <c r="A1999" s="16">
        <f>P1999</f>
        <v>1800118</v>
      </c>
      <c r="B1999">
        <v>2019</v>
      </c>
      <c r="C1999" t="s">
        <v>904</v>
      </c>
      <c r="D1999" t="s">
        <v>906</v>
      </c>
      <c r="E1999" t="s">
        <v>2905</v>
      </c>
      <c r="F1999" t="s">
        <v>559</v>
      </c>
      <c r="G1999" t="s">
        <v>222</v>
      </c>
      <c r="H1999" s="6">
        <v>277386</v>
      </c>
      <c r="I1999" s="6">
        <v>7.0566847961641777E-4</v>
      </c>
      <c r="J1999" s="6">
        <v>2473.3680210555444</v>
      </c>
      <c r="K1999" s="6">
        <v>666080.47790993599</v>
      </c>
      <c r="M1999" s="6">
        <f>SUM(H1999,J1999)</f>
        <v>279859.36802105553</v>
      </c>
      <c r="N1999" s="6">
        <f>K1999</f>
        <v>666080.47790993599</v>
      </c>
      <c r="O1999" s="6">
        <f>SUM(M1999:N1999)</f>
        <v>945939.84593099146</v>
      </c>
      <c r="P1999" s="8">
        <f>VLOOKUP(F1999,'LEAID Match'!$A$2:$B$436,2,FALSE)</f>
        <v>1800118</v>
      </c>
      <c r="Q1999" s="6">
        <f>COUNTIF($P$2:$P$3691,P1999)</f>
        <v>9</v>
      </c>
    </row>
    <row r="2000" spans="1:17" x14ac:dyDescent="0.2">
      <c r="A2000" s="16">
        <f>P2000</f>
        <v>1800118</v>
      </c>
      <c r="B2000">
        <v>2020</v>
      </c>
      <c r="C2000" t="s">
        <v>904</v>
      </c>
      <c r="D2000" t="s">
        <v>906</v>
      </c>
      <c r="E2000" t="s">
        <v>2906</v>
      </c>
      <c r="F2000" t="s">
        <v>559</v>
      </c>
      <c r="G2000" t="s">
        <v>222</v>
      </c>
      <c r="H2000" s="6">
        <v>221647</v>
      </c>
      <c r="I2000" s="6">
        <v>1.1744426668222085E-3</v>
      </c>
      <c r="J2000" s="6">
        <v>2766.9869230331233</v>
      </c>
      <c r="K2000" s="6">
        <v>1379687</v>
      </c>
      <c r="M2000" s="6">
        <f>SUM(H2000,J2000)</f>
        <v>224413.98692303311</v>
      </c>
      <c r="N2000" s="6">
        <f>K2000</f>
        <v>1379687</v>
      </c>
      <c r="O2000" s="6">
        <f>SUM(M2000:N2000)</f>
        <v>1604100.9869230331</v>
      </c>
      <c r="P2000" s="8">
        <f>VLOOKUP(F2000,'LEAID Match'!$A$2:$B$436,2,FALSE)</f>
        <v>1800118</v>
      </c>
      <c r="Q2000" s="6">
        <f>COUNTIF($P$2:$P$3691,P2000)</f>
        <v>9</v>
      </c>
    </row>
    <row r="2001" spans="1:17" x14ac:dyDescent="0.2">
      <c r="A2001" s="16">
        <f>P2001</f>
        <v>1800118</v>
      </c>
      <c r="B2001">
        <v>2021</v>
      </c>
      <c r="C2001" t="s">
        <v>904</v>
      </c>
      <c r="D2001" t="s">
        <v>906</v>
      </c>
      <c r="E2001" t="s">
        <v>2907</v>
      </c>
      <c r="F2001" t="s">
        <v>559</v>
      </c>
      <c r="G2001" t="s">
        <v>222</v>
      </c>
      <c r="H2001" s="6">
        <v>241189</v>
      </c>
      <c r="I2001" s="6">
        <v>1.191496090319009E-3</v>
      </c>
      <c r="J2001" s="6">
        <v>2685.6321875790463</v>
      </c>
      <c r="K2001" s="6">
        <v>2318283</v>
      </c>
      <c r="M2001" s="6">
        <f>SUM(H2001,J2001)</f>
        <v>243874.63218757906</v>
      </c>
      <c r="N2001" s="6">
        <f>K2001</f>
        <v>2318283</v>
      </c>
      <c r="O2001" s="6">
        <f>SUM(M2001:N2001)</f>
        <v>2562157.6321875788</v>
      </c>
      <c r="P2001" s="8">
        <f>VLOOKUP(F2001,'LEAID Match'!$A$2:$B$436,2,FALSE)</f>
        <v>1800118</v>
      </c>
      <c r="Q2001" s="6">
        <f>COUNTIF($P$2:$P$3691,P2001)</f>
        <v>9</v>
      </c>
    </row>
    <row r="2002" spans="1:17" x14ac:dyDescent="0.2">
      <c r="A2002" s="16">
        <f>P2002</f>
        <v>1800118</v>
      </c>
      <c r="B2002">
        <v>2022</v>
      </c>
      <c r="C2002" t="s">
        <v>904</v>
      </c>
      <c r="D2002" t="s">
        <v>906</v>
      </c>
      <c r="E2002" t="s">
        <v>2908</v>
      </c>
      <c r="F2002" t="s">
        <v>559</v>
      </c>
      <c r="G2002" t="s">
        <v>222</v>
      </c>
      <c r="H2002" s="6">
        <v>272447</v>
      </c>
      <c r="I2002" s="6">
        <v>1.2936289905843095E-3</v>
      </c>
      <c r="J2002" s="6">
        <v>2852.4519242384022</v>
      </c>
      <c r="K2002" s="6">
        <v>2224374</v>
      </c>
      <c r="M2002" s="6">
        <f>SUM(H2002,J2002)</f>
        <v>275299.45192423841</v>
      </c>
      <c r="N2002" s="6">
        <f>K2002</f>
        <v>2224374</v>
      </c>
      <c r="O2002" s="6">
        <f>SUM(M2002:N2002)</f>
        <v>2499673.4519242384</v>
      </c>
      <c r="P2002" s="8">
        <f>VLOOKUP(F2002,'LEAID Match'!$A$2:$B$436,2,FALSE)</f>
        <v>1800118</v>
      </c>
      <c r="Q2002" s="6">
        <f>COUNTIF($P$2:$P$3691,P2002)</f>
        <v>9</v>
      </c>
    </row>
    <row r="2003" spans="1:17" x14ac:dyDescent="0.2">
      <c r="A2003" s="16">
        <f>P2003</f>
        <v>1800118</v>
      </c>
      <c r="B2003">
        <v>2023</v>
      </c>
      <c r="C2003" t="s">
        <v>904</v>
      </c>
      <c r="D2003" t="s">
        <v>906</v>
      </c>
      <c r="E2003" t="s">
        <v>2909</v>
      </c>
      <c r="F2003" t="s">
        <v>559</v>
      </c>
      <c r="G2003" t="s">
        <v>222</v>
      </c>
      <c r="H2003" s="6">
        <v>348614</v>
      </c>
      <c r="I2003" s="6">
        <v>1.4256397131580869E-3</v>
      </c>
      <c r="J2003" s="6">
        <v>3517.0531723610002</v>
      </c>
      <c r="K2003" s="6">
        <v>6014547</v>
      </c>
      <c r="M2003" s="6">
        <f>SUM(H2003,J2003)</f>
        <v>352131.05317236099</v>
      </c>
      <c r="N2003" s="6">
        <f>K2003</f>
        <v>6014547</v>
      </c>
      <c r="O2003" s="6">
        <f>SUM(M2003:N2003)</f>
        <v>6366678.0531723611</v>
      </c>
      <c r="P2003" s="8">
        <f>VLOOKUP(F2003,'LEAID Match'!$A$2:$B$436,2,FALSE)</f>
        <v>1800118</v>
      </c>
      <c r="Q2003" s="6">
        <f>COUNTIF($P$2:$P$3691,P2003)</f>
        <v>9</v>
      </c>
    </row>
    <row r="2004" spans="1:17" x14ac:dyDescent="0.2">
      <c r="A2004" s="16">
        <f>P2004</f>
        <v>1801170</v>
      </c>
      <c r="B2004">
        <v>2015</v>
      </c>
      <c r="C2004" t="s">
        <v>904</v>
      </c>
      <c r="D2004" t="s">
        <v>906</v>
      </c>
      <c r="E2004" t="s">
        <v>2910</v>
      </c>
      <c r="F2004" t="s">
        <v>744</v>
      </c>
      <c r="G2004" t="s">
        <v>223</v>
      </c>
      <c r="H2004" s="6">
        <v>31013</v>
      </c>
      <c r="I2004" s="6">
        <v>1.5080713399972194E-4</v>
      </c>
      <c r="J2004" s="6">
        <v>876.34025567238416</v>
      </c>
      <c r="K2004" s="6">
        <v>127524.92542430801</v>
      </c>
      <c r="M2004" s="6">
        <f>SUM(H2004,J2004)</f>
        <v>31889.340255672385</v>
      </c>
      <c r="N2004" s="6">
        <f>K2004</f>
        <v>127524.92542430801</v>
      </c>
      <c r="O2004" s="6">
        <f>SUM(M2004:N2004)</f>
        <v>159414.2656799804</v>
      </c>
      <c r="P2004" s="8">
        <f>VLOOKUP(F2004,'LEAID Match'!$A$2:$B$436,2,FALSE)</f>
        <v>1801170</v>
      </c>
      <c r="Q2004" s="6">
        <f>COUNTIF($P$2:$P$3691,P2004)</f>
        <v>9</v>
      </c>
    </row>
    <row r="2005" spans="1:17" x14ac:dyDescent="0.2">
      <c r="A2005" s="16">
        <f>P2005</f>
        <v>1801170</v>
      </c>
      <c r="B2005">
        <v>2016</v>
      </c>
      <c r="C2005" t="s">
        <v>904</v>
      </c>
      <c r="D2005" t="s">
        <v>906</v>
      </c>
      <c r="E2005" t="s">
        <v>2911</v>
      </c>
      <c r="F2005" t="s">
        <v>744</v>
      </c>
      <c r="G2005" t="s">
        <v>223</v>
      </c>
      <c r="H2005" s="6">
        <v>42760</v>
      </c>
      <c r="I2005" s="6">
        <v>1.9841165162308688E-4</v>
      </c>
      <c r="J2005" s="6">
        <v>1001.5820173933425</v>
      </c>
      <c r="K2005" s="6">
        <v>176090.34081548901</v>
      </c>
      <c r="M2005" s="6">
        <f>SUM(H2005,J2005)</f>
        <v>43761.582017393346</v>
      </c>
      <c r="N2005" s="6">
        <f>K2005</f>
        <v>176090.34081548901</v>
      </c>
      <c r="O2005" s="6">
        <f>SUM(M2005:N2005)</f>
        <v>219851.92283288235</v>
      </c>
      <c r="P2005" s="8">
        <f>VLOOKUP(F2005,'LEAID Match'!$A$2:$B$436,2,FALSE)</f>
        <v>1801170</v>
      </c>
      <c r="Q2005" s="6">
        <f>COUNTIF($P$2:$P$3691,P2005)</f>
        <v>9</v>
      </c>
    </row>
    <row r="2006" spans="1:17" x14ac:dyDescent="0.2">
      <c r="A2006" s="16">
        <f>P2006</f>
        <v>1801170</v>
      </c>
      <c r="B2006">
        <v>2017</v>
      </c>
      <c r="C2006" t="s">
        <v>904</v>
      </c>
      <c r="D2006" t="s">
        <v>906</v>
      </c>
      <c r="E2006" t="s">
        <v>2912</v>
      </c>
      <c r="F2006" t="s">
        <v>744</v>
      </c>
      <c r="G2006" t="s">
        <v>223</v>
      </c>
      <c r="H2006" s="6">
        <v>49680</v>
      </c>
      <c r="I2006" s="6">
        <v>2.1876229340718481E-4</v>
      </c>
      <c r="J2006" s="6">
        <v>989.89937766751132</v>
      </c>
      <c r="K2006" s="6">
        <v>190541.957557658</v>
      </c>
      <c r="M2006" s="6">
        <f>SUM(H2006,J2006)</f>
        <v>50669.899377667512</v>
      </c>
      <c r="N2006" s="6">
        <f>K2006</f>
        <v>190541.957557658</v>
      </c>
      <c r="O2006" s="6">
        <f>SUM(M2006:N2006)</f>
        <v>241211.85693532552</v>
      </c>
      <c r="P2006" s="8">
        <f>VLOOKUP(F2006,'LEAID Match'!$A$2:$B$436,2,FALSE)</f>
        <v>1801170</v>
      </c>
      <c r="Q2006" s="6">
        <f>COUNTIF($P$2:$P$3691,P2006)</f>
        <v>9</v>
      </c>
    </row>
    <row r="2007" spans="1:17" x14ac:dyDescent="0.2">
      <c r="A2007" s="16">
        <f>P2007</f>
        <v>1801170</v>
      </c>
      <c r="B2007">
        <v>2018</v>
      </c>
      <c r="C2007" t="s">
        <v>904</v>
      </c>
      <c r="D2007" t="s">
        <v>906</v>
      </c>
      <c r="E2007" t="s">
        <v>2913</v>
      </c>
      <c r="F2007" t="s">
        <v>744</v>
      </c>
      <c r="G2007" t="s">
        <v>223</v>
      </c>
      <c r="H2007" s="6">
        <v>53757</v>
      </c>
      <c r="I2007" s="6">
        <v>2.2805712813878275E-4</v>
      </c>
      <c r="J2007" s="6">
        <v>950.54211008244647</v>
      </c>
      <c r="K2007" s="6">
        <v>204600</v>
      </c>
      <c r="M2007" s="6">
        <f>SUM(H2007,J2007)</f>
        <v>54707.542110082446</v>
      </c>
      <c r="N2007" s="6">
        <f>K2007</f>
        <v>204600</v>
      </c>
      <c r="O2007" s="6">
        <f>SUM(M2007:N2007)</f>
        <v>259307.54211008246</v>
      </c>
      <c r="P2007" s="8">
        <f>VLOOKUP(F2007,'LEAID Match'!$A$2:$B$436,2,FALSE)</f>
        <v>1801170</v>
      </c>
      <c r="Q2007" s="6">
        <f>COUNTIF($P$2:$P$3691,P2007)</f>
        <v>9</v>
      </c>
    </row>
    <row r="2008" spans="1:17" x14ac:dyDescent="0.2">
      <c r="A2008" s="16">
        <f>P2008</f>
        <v>1801170</v>
      </c>
      <c r="B2008">
        <v>2019</v>
      </c>
      <c r="C2008" t="s">
        <v>904</v>
      </c>
      <c r="D2008" t="s">
        <v>906</v>
      </c>
      <c r="E2008" t="s">
        <v>2914</v>
      </c>
      <c r="F2008" t="s">
        <v>744</v>
      </c>
      <c r="G2008" t="s">
        <v>223</v>
      </c>
      <c r="H2008" s="6">
        <v>53348</v>
      </c>
      <c r="I2008" s="6">
        <v>1.3571702267085092E-4</v>
      </c>
      <c r="J2008" s="6">
        <v>475.68816446133246</v>
      </c>
      <c r="K2008" s="6">
        <v>128103.297699016</v>
      </c>
      <c r="M2008" s="6">
        <f>SUM(H2008,J2008)</f>
        <v>53823.688164461331</v>
      </c>
      <c r="N2008" s="6">
        <f>K2008</f>
        <v>128103.297699016</v>
      </c>
      <c r="O2008" s="6">
        <f>SUM(M2008:N2008)</f>
        <v>181926.98586347734</v>
      </c>
      <c r="P2008" s="8">
        <f>VLOOKUP(F2008,'LEAID Match'!$A$2:$B$436,2,FALSE)</f>
        <v>1801170</v>
      </c>
      <c r="Q2008" s="6">
        <f>COUNTIF($P$2:$P$3691,P2008)</f>
        <v>9</v>
      </c>
    </row>
    <row r="2009" spans="1:17" x14ac:dyDescent="0.2">
      <c r="A2009" s="16">
        <f>P2009</f>
        <v>1801170</v>
      </c>
      <c r="B2009">
        <v>2020</v>
      </c>
      <c r="C2009" t="s">
        <v>904</v>
      </c>
      <c r="D2009" t="s">
        <v>906</v>
      </c>
      <c r="E2009" t="s">
        <v>2915</v>
      </c>
      <c r="F2009" t="s">
        <v>744</v>
      </c>
      <c r="G2009" t="s">
        <v>223</v>
      </c>
      <c r="H2009" s="6">
        <v>43462</v>
      </c>
      <c r="I2009" s="6">
        <v>2.3029243430060784E-4</v>
      </c>
      <c r="J2009" s="6">
        <v>542.56897521223209</v>
      </c>
      <c r="K2009" s="6">
        <v>237248</v>
      </c>
      <c r="M2009" s="6">
        <f>SUM(H2009,J2009)</f>
        <v>44004.568975212234</v>
      </c>
      <c r="N2009" s="6">
        <f>K2009</f>
        <v>237248</v>
      </c>
      <c r="O2009" s="6">
        <f>SUM(M2009:N2009)</f>
        <v>281252.56897521223</v>
      </c>
      <c r="P2009" s="8">
        <f>VLOOKUP(F2009,'LEAID Match'!$A$2:$B$436,2,FALSE)</f>
        <v>1801170</v>
      </c>
      <c r="Q2009" s="6">
        <f>COUNTIF($P$2:$P$3691,P2009)</f>
        <v>9</v>
      </c>
    </row>
    <row r="2010" spans="1:17" x14ac:dyDescent="0.2">
      <c r="A2010" s="16">
        <f>P2010</f>
        <v>1801170</v>
      </c>
      <c r="B2010">
        <v>2021</v>
      </c>
      <c r="C2010" t="s">
        <v>904</v>
      </c>
      <c r="D2010" t="s">
        <v>906</v>
      </c>
      <c r="E2010" t="s">
        <v>2916</v>
      </c>
      <c r="F2010" t="s">
        <v>744</v>
      </c>
      <c r="G2010" t="s">
        <v>223</v>
      </c>
      <c r="H2010" s="6">
        <v>57675</v>
      </c>
      <c r="I2010" s="6">
        <v>2.8491986371330716E-4</v>
      </c>
      <c r="J2010" s="6">
        <v>642.20937280979433</v>
      </c>
      <c r="K2010" s="6">
        <v>386967</v>
      </c>
      <c r="M2010" s="6">
        <f>SUM(H2010,J2010)</f>
        <v>58317.209372809797</v>
      </c>
      <c r="N2010" s="6">
        <f>K2010</f>
        <v>386967</v>
      </c>
      <c r="O2010" s="6">
        <f>SUM(M2010:N2010)</f>
        <v>445284.2093728098</v>
      </c>
      <c r="P2010" s="8">
        <f>VLOOKUP(F2010,'LEAID Match'!$A$2:$B$436,2,FALSE)</f>
        <v>1801170</v>
      </c>
      <c r="Q2010" s="6">
        <f>COUNTIF($P$2:$P$3691,P2010)</f>
        <v>9</v>
      </c>
    </row>
    <row r="2011" spans="1:17" x14ac:dyDescent="0.2">
      <c r="A2011" s="16">
        <f>P2011</f>
        <v>1801170</v>
      </c>
      <c r="B2011">
        <v>2022</v>
      </c>
      <c r="C2011" t="s">
        <v>904</v>
      </c>
      <c r="D2011" t="s">
        <v>906</v>
      </c>
      <c r="E2011" t="s">
        <v>2917</v>
      </c>
      <c r="F2011" t="s">
        <v>744</v>
      </c>
      <c r="G2011" t="s">
        <v>223</v>
      </c>
      <c r="H2011" s="6">
        <v>45478</v>
      </c>
      <c r="I2011" s="6">
        <v>2.1593799613793958E-4</v>
      </c>
      <c r="J2011" s="6">
        <v>476.14328148415677</v>
      </c>
      <c r="K2011" s="6">
        <v>364967</v>
      </c>
      <c r="M2011" s="6">
        <f>SUM(H2011,J2011)</f>
        <v>45954.143281484154</v>
      </c>
      <c r="N2011" s="6">
        <f>K2011</f>
        <v>364967</v>
      </c>
      <c r="O2011" s="6">
        <f>SUM(M2011:N2011)</f>
        <v>410921.14328148414</v>
      </c>
      <c r="P2011" s="8">
        <f>VLOOKUP(F2011,'LEAID Match'!$A$2:$B$436,2,FALSE)</f>
        <v>1801170</v>
      </c>
      <c r="Q2011" s="6">
        <f>COUNTIF($P$2:$P$3691,P2011)</f>
        <v>9</v>
      </c>
    </row>
    <row r="2012" spans="1:17" x14ac:dyDescent="0.2">
      <c r="A2012" s="16">
        <f>P2012</f>
        <v>1801170</v>
      </c>
      <c r="B2012">
        <v>2023</v>
      </c>
      <c r="C2012" t="s">
        <v>904</v>
      </c>
      <c r="D2012" t="s">
        <v>906</v>
      </c>
      <c r="E2012" t="s">
        <v>2918</v>
      </c>
      <c r="F2012" t="s">
        <v>744</v>
      </c>
      <c r="G2012" t="s">
        <v>223</v>
      </c>
      <c r="H2012" s="6">
        <v>54399</v>
      </c>
      <c r="I2012" s="6">
        <v>2.2246202033219197E-4</v>
      </c>
      <c r="J2012" s="6">
        <v>548.81380415951764</v>
      </c>
      <c r="K2012" s="6">
        <v>727573</v>
      </c>
      <c r="M2012" s="6">
        <f>SUM(H2012,J2012)</f>
        <v>54947.813804159516</v>
      </c>
      <c r="N2012" s="6">
        <f>K2012</f>
        <v>727573</v>
      </c>
      <c r="O2012" s="6">
        <f>SUM(M2012:N2012)</f>
        <v>782520.81380415952</v>
      </c>
      <c r="P2012" s="8">
        <f>VLOOKUP(F2012,'LEAID Match'!$A$2:$B$436,2,FALSE)</f>
        <v>1801170</v>
      </c>
      <c r="Q2012" s="6">
        <f>COUNTIF($P$2:$P$3691,P2012)</f>
        <v>9</v>
      </c>
    </row>
    <row r="2013" spans="1:17" x14ac:dyDescent="0.2">
      <c r="A2013" s="16">
        <f>P2013</f>
        <v>1811260</v>
      </c>
      <c r="B2013">
        <v>2015</v>
      </c>
      <c r="C2013" t="s">
        <v>904</v>
      </c>
      <c r="D2013" t="s">
        <v>906</v>
      </c>
      <c r="E2013" t="s">
        <v>2919</v>
      </c>
      <c r="F2013" t="s">
        <v>745</v>
      </c>
      <c r="G2013" t="s">
        <v>224</v>
      </c>
      <c r="H2013" s="6">
        <v>303846</v>
      </c>
      <c r="I2013" s="6">
        <v>1.4775140888427277E-3</v>
      </c>
      <c r="J2013" s="6">
        <v>8585.8343702650909</v>
      </c>
      <c r="K2013" s="6">
        <v>1249409.55375083</v>
      </c>
      <c r="M2013" s="6">
        <f>SUM(H2013,J2013)</f>
        <v>312431.83437026507</v>
      </c>
      <c r="N2013" s="6">
        <f>K2013</f>
        <v>1249409.55375083</v>
      </c>
      <c r="O2013" s="6">
        <f>SUM(M2013:N2013)</f>
        <v>1561841.388121095</v>
      </c>
      <c r="P2013" s="8">
        <f>VLOOKUP(F2013,'LEAID Match'!$A$2:$B$436,2,FALSE)</f>
        <v>1811260</v>
      </c>
      <c r="Q2013" s="6">
        <f>COUNTIF($P$2:$P$3691,P2013)</f>
        <v>9</v>
      </c>
    </row>
    <row r="2014" spans="1:17" x14ac:dyDescent="0.2">
      <c r="A2014" s="16">
        <f>P2014</f>
        <v>1811260</v>
      </c>
      <c r="B2014">
        <v>2016</v>
      </c>
      <c r="C2014" t="s">
        <v>904</v>
      </c>
      <c r="D2014" t="s">
        <v>906</v>
      </c>
      <c r="E2014" t="s">
        <v>2920</v>
      </c>
      <c r="F2014" t="s">
        <v>745</v>
      </c>
      <c r="G2014" t="s">
        <v>224</v>
      </c>
      <c r="H2014" s="6">
        <v>315737</v>
      </c>
      <c r="I2014" s="6">
        <v>1.4650584576360755E-3</v>
      </c>
      <c r="J2014" s="6">
        <v>7395.6150941469095</v>
      </c>
      <c r="K2014" s="6">
        <v>1300239.3811520101</v>
      </c>
      <c r="M2014" s="6">
        <f>SUM(H2014,J2014)</f>
        <v>323132.61509414692</v>
      </c>
      <c r="N2014" s="6">
        <f>K2014</f>
        <v>1300239.3811520101</v>
      </c>
      <c r="O2014" s="6">
        <f>SUM(M2014:N2014)</f>
        <v>1623371.996246157</v>
      </c>
      <c r="P2014" s="8">
        <f>VLOOKUP(F2014,'LEAID Match'!$A$2:$B$436,2,FALSE)</f>
        <v>1811260</v>
      </c>
      <c r="Q2014" s="6">
        <f>COUNTIF($P$2:$P$3691,P2014)</f>
        <v>9</v>
      </c>
    </row>
    <row r="2015" spans="1:17" x14ac:dyDescent="0.2">
      <c r="A2015" s="16">
        <f>P2015</f>
        <v>1811260</v>
      </c>
      <c r="B2015">
        <v>2017</v>
      </c>
      <c r="C2015" t="s">
        <v>904</v>
      </c>
      <c r="D2015" t="s">
        <v>906</v>
      </c>
      <c r="E2015" t="s">
        <v>2921</v>
      </c>
      <c r="F2015" t="s">
        <v>745</v>
      </c>
      <c r="G2015" t="s">
        <v>224</v>
      </c>
      <c r="H2015" s="6">
        <v>313894</v>
      </c>
      <c r="I2015" s="6">
        <v>1.3822095677688178E-3</v>
      </c>
      <c r="J2015" s="6">
        <v>6254.4982941539001</v>
      </c>
      <c r="K2015" s="6">
        <v>1203904.5335266399</v>
      </c>
      <c r="M2015" s="6">
        <f>SUM(H2015,J2015)</f>
        <v>320148.49829415389</v>
      </c>
      <c r="N2015" s="6">
        <f>K2015</f>
        <v>1203904.5335266399</v>
      </c>
      <c r="O2015" s="6">
        <f>SUM(M2015:N2015)</f>
        <v>1524053.0318207939</v>
      </c>
      <c r="P2015" s="8">
        <f>VLOOKUP(F2015,'LEAID Match'!$A$2:$B$436,2,FALSE)</f>
        <v>1811260</v>
      </c>
      <c r="Q2015" s="6">
        <f>COUNTIF($P$2:$P$3691,P2015)</f>
        <v>9</v>
      </c>
    </row>
    <row r="2016" spans="1:17" x14ac:dyDescent="0.2">
      <c r="A2016" s="16">
        <f>P2016</f>
        <v>1811260</v>
      </c>
      <c r="B2016">
        <v>2018</v>
      </c>
      <c r="C2016" t="s">
        <v>904</v>
      </c>
      <c r="D2016" t="s">
        <v>906</v>
      </c>
      <c r="E2016" t="s">
        <v>2922</v>
      </c>
      <c r="F2016" t="s">
        <v>745</v>
      </c>
      <c r="G2016" t="s">
        <v>224</v>
      </c>
      <c r="H2016" s="6">
        <v>315456</v>
      </c>
      <c r="I2016" s="6">
        <v>1.3382813292063889E-3</v>
      </c>
      <c r="J2016" s="6">
        <v>5577.9565801322287</v>
      </c>
      <c r="K2016" s="6">
        <v>1472862</v>
      </c>
      <c r="M2016" s="6">
        <f>SUM(H2016,J2016)</f>
        <v>321033.95658013225</v>
      </c>
      <c r="N2016" s="6">
        <f>K2016</f>
        <v>1472862</v>
      </c>
      <c r="O2016" s="6">
        <f>SUM(M2016:N2016)</f>
        <v>1793895.9565801322</v>
      </c>
      <c r="P2016" s="8">
        <f>VLOOKUP(F2016,'LEAID Match'!$A$2:$B$436,2,FALSE)</f>
        <v>1811260</v>
      </c>
      <c r="Q2016" s="6">
        <f>COUNTIF($P$2:$P$3691,P2016)</f>
        <v>9</v>
      </c>
    </row>
    <row r="2017" spans="1:17" x14ac:dyDescent="0.2">
      <c r="A2017" s="16">
        <f>P2017</f>
        <v>1811260</v>
      </c>
      <c r="B2017">
        <v>2019</v>
      </c>
      <c r="C2017" t="s">
        <v>904</v>
      </c>
      <c r="D2017" t="s">
        <v>906</v>
      </c>
      <c r="E2017" t="s">
        <v>2923</v>
      </c>
      <c r="F2017" t="s">
        <v>745</v>
      </c>
      <c r="G2017" t="s">
        <v>224</v>
      </c>
      <c r="H2017" s="6">
        <v>320667</v>
      </c>
      <c r="I2017" s="6">
        <v>8.1577510888493951E-4</v>
      </c>
      <c r="J2017" s="6">
        <v>2859.2917566417132</v>
      </c>
      <c r="K2017" s="6">
        <v>770010.12527649396</v>
      </c>
      <c r="M2017" s="6">
        <f>SUM(H2017,J2017)</f>
        <v>323526.2917566417</v>
      </c>
      <c r="N2017" s="6">
        <f>K2017</f>
        <v>770010.12527649396</v>
      </c>
      <c r="O2017" s="6">
        <f>SUM(M2017:N2017)</f>
        <v>1093536.4170331357</v>
      </c>
      <c r="P2017" s="8">
        <f>VLOOKUP(F2017,'LEAID Match'!$A$2:$B$436,2,FALSE)</f>
        <v>1811260</v>
      </c>
      <c r="Q2017" s="6">
        <f>COUNTIF($P$2:$P$3691,P2017)</f>
        <v>9</v>
      </c>
    </row>
    <row r="2018" spans="1:17" x14ac:dyDescent="0.2">
      <c r="A2018" s="16">
        <f>P2018</f>
        <v>1811260</v>
      </c>
      <c r="B2018">
        <v>2020</v>
      </c>
      <c r="C2018" t="s">
        <v>904</v>
      </c>
      <c r="D2018" t="s">
        <v>906</v>
      </c>
      <c r="E2018" t="s">
        <v>2924</v>
      </c>
      <c r="F2018" t="s">
        <v>745</v>
      </c>
      <c r="G2018" t="s">
        <v>224</v>
      </c>
      <c r="H2018" s="6">
        <v>243311</v>
      </c>
      <c r="I2018" s="6">
        <v>1.2892338705562374E-3</v>
      </c>
      <c r="J2018" s="6">
        <v>3037.4349990304954</v>
      </c>
      <c r="K2018" s="6">
        <v>1552937</v>
      </c>
      <c r="M2018" s="6">
        <f>SUM(H2018,J2018)</f>
        <v>246348.43499903049</v>
      </c>
      <c r="N2018" s="6">
        <f>K2018</f>
        <v>1552937</v>
      </c>
      <c r="O2018" s="6">
        <f>SUM(M2018:N2018)</f>
        <v>1799285.4349990305</v>
      </c>
      <c r="P2018" s="8">
        <f>VLOOKUP(F2018,'LEAID Match'!$A$2:$B$436,2,FALSE)</f>
        <v>1811260</v>
      </c>
      <c r="Q2018" s="6">
        <f>COUNTIF($P$2:$P$3691,P2018)</f>
        <v>9</v>
      </c>
    </row>
    <row r="2019" spans="1:17" x14ac:dyDescent="0.2">
      <c r="A2019" s="16">
        <f>P2019</f>
        <v>1811260</v>
      </c>
      <c r="B2019">
        <v>2021</v>
      </c>
      <c r="C2019" t="s">
        <v>904</v>
      </c>
      <c r="D2019" t="s">
        <v>906</v>
      </c>
      <c r="E2019" t="s">
        <v>2925</v>
      </c>
      <c r="F2019" t="s">
        <v>745</v>
      </c>
      <c r="G2019" t="s">
        <v>224</v>
      </c>
      <c r="H2019" s="6">
        <v>253971</v>
      </c>
      <c r="I2019" s="6">
        <v>1.2546403590313366E-3</v>
      </c>
      <c r="J2019" s="6">
        <v>2827.9593692566327</v>
      </c>
      <c r="K2019" s="6">
        <v>2439919</v>
      </c>
      <c r="M2019" s="6">
        <f>SUM(H2019,J2019)</f>
        <v>256798.95936925663</v>
      </c>
      <c r="N2019" s="6">
        <f>K2019</f>
        <v>2439919</v>
      </c>
      <c r="O2019" s="6">
        <f>SUM(M2019:N2019)</f>
        <v>2696717.9593692566</v>
      </c>
      <c r="P2019" s="8">
        <f>VLOOKUP(F2019,'LEAID Match'!$A$2:$B$436,2,FALSE)</f>
        <v>1811260</v>
      </c>
      <c r="Q2019" s="6">
        <f>COUNTIF($P$2:$P$3691,P2019)</f>
        <v>9</v>
      </c>
    </row>
    <row r="2020" spans="1:17" x14ac:dyDescent="0.2">
      <c r="A2020" s="16">
        <f>P2020</f>
        <v>1811260</v>
      </c>
      <c r="B2020">
        <v>2022</v>
      </c>
      <c r="C2020" t="s">
        <v>904</v>
      </c>
      <c r="D2020" t="s">
        <v>906</v>
      </c>
      <c r="E2020" t="s">
        <v>2926</v>
      </c>
      <c r="F2020" t="s">
        <v>745</v>
      </c>
      <c r="G2020" t="s">
        <v>224</v>
      </c>
      <c r="H2020" s="6">
        <v>269252</v>
      </c>
      <c r="I2020" s="6">
        <v>1.2784585367899316E-3</v>
      </c>
      <c r="J2020" s="6">
        <v>2819.0010736217992</v>
      </c>
      <c r="K2020" s="6">
        <v>2274452</v>
      </c>
      <c r="M2020" s="6">
        <f>SUM(H2020,J2020)</f>
        <v>272071.0010736218</v>
      </c>
      <c r="N2020" s="6">
        <f>K2020</f>
        <v>2274452</v>
      </c>
      <c r="O2020" s="6">
        <f>SUM(M2020:N2020)</f>
        <v>2546523.0010736217</v>
      </c>
      <c r="P2020" s="8">
        <f>VLOOKUP(F2020,'LEAID Match'!$A$2:$B$436,2,FALSE)</f>
        <v>1811260</v>
      </c>
      <c r="Q2020" s="6">
        <f>COUNTIF($P$2:$P$3691,P2020)</f>
        <v>9</v>
      </c>
    </row>
    <row r="2021" spans="1:17" x14ac:dyDescent="0.2">
      <c r="A2021" s="16">
        <f>P2021</f>
        <v>1811260</v>
      </c>
      <c r="B2021">
        <v>2023</v>
      </c>
      <c r="C2021" t="s">
        <v>904</v>
      </c>
      <c r="D2021" t="s">
        <v>906</v>
      </c>
      <c r="E2021" t="s">
        <v>2927</v>
      </c>
      <c r="F2021" t="s">
        <v>745</v>
      </c>
      <c r="G2021" t="s">
        <v>224</v>
      </c>
      <c r="H2021" s="6">
        <v>302807</v>
      </c>
      <c r="I2021" s="6">
        <v>1.2383142519298159E-3</v>
      </c>
      <c r="J2021" s="6">
        <v>3054.9212595108556</v>
      </c>
      <c r="K2021" s="6">
        <v>5514817</v>
      </c>
      <c r="M2021" s="6">
        <f>SUM(H2021,J2021)</f>
        <v>305861.92125951085</v>
      </c>
      <c r="N2021" s="6">
        <f>K2021</f>
        <v>5514817</v>
      </c>
      <c r="O2021" s="6">
        <f>SUM(M2021:N2021)</f>
        <v>5820678.9212595113</v>
      </c>
      <c r="P2021" s="8">
        <f>VLOOKUP(F2021,'LEAID Match'!$A$2:$B$436,2,FALSE)</f>
        <v>1811260</v>
      </c>
      <c r="Q2021" s="6">
        <f>COUNTIF($P$2:$P$3691,P2021)</f>
        <v>9</v>
      </c>
    </row>
    <row r="2022" spans="1:17" x14ac:dyDescent="0.2">
      <c r="A2022" s="16">
        <f>P2022</f>
        <v>1809750</v>
      </c>
      <c r="B2022">
        <v>2015</v>
      </c>
      <c r="C2022" t="s">
        <v>904</v>
      </c>
      <c r="D2022" t="s">
        <v>906</v>
      </c>
      <c r="E2022" t="s">
        <v>3272</v>
      </c>
      <c r="F2022" t="s">
        <v>578</v>
      </c>
      <c r="G2022" t="s">
        <v>259</v>
      </c>
      <c r="H2022" s="6">
        <v>425877</v>
      </c>
      <c r="I2022" s="6">
        <v>2.070915093876748E-3</v>
      </c>
      <c r="J2022" s="6">
        <v>12034.087610517783</v>
      </c>
      <c r="K2022" s="6">
        <v>1751198.9380236799</v>
      </c>
      <c r="M2022" s="6">
        <f>SUM(H2022,J2022)</f>
        <v>437911.0876105178</v>
      </c>
      <c r="N2022" s="6">
        <f>K2022</f>
        <v>1751198.9380236799</v>
      </c>
      <c r="O2022" s="6">
        <f>SUM(M2022:N2022)</f>
        <v>2189110.0256341975</v>
      </c>
      <c r="P2022" s="8">
        <f>VLOOKUP(F2022,'LEAID Match'!$A$2:$B$436,2,FALSE)</f>
        <v>1809750</v>
      </c>
      <c r="Q2022" s="6">
        <f>COUNTIF($P$2:$P$3691,P2022)</f>
        <v>9</v>
      </c>
    </row>
    <row r="2023" spans="1:17" x14ac:dyDescent="0.2">
      <c r="A2023" s="16">
        <f>P2023</f>
        <v>1809750</v>
      </c>
      <c r="B2023">
        <v>2016</v>
      </c>
      <c r="C2023" t="s">
        <v>904</v>
      </c>
      <c r="D2023" t="s">
        <v>906</v>
      </c>
      <c r="E2023" t="s">
        <v>3273</v>
      </c>
      <c r="F2023" t="s">
        <v>578</v>
      </c>
      <c r="G2023" t="s">
        <v>259</v>
      </c>
      <c r="H2023" s="6">
        <v>422975</v>
      </c>
      <c r="I2023" s="6">
        <v>1.9626559482056869E-3</v>
      </c>
      <c r="J2023" s="6">
        <v>9907.4872265423073</v>
      </c>
      <c r="K2023" s="6">
        <v>1741857.15403254</v>
      </c>
      <c r="M2023" s="6">
        <f>SUM(H2023,J2023)</f>
        <v>432882.48722654232</v>
      </c>
      <c r="N2023" s="6">
        <f>K2023</f>
        <v>1741857.15403254</v>
      </c>
      <c r="O2023" s="6">
        <f>SUM(M2023:N2023)</f>
        <v>2174739.6412590826</v>
      </c>
      <c r="P2023" s="8">
        <f>VLOOKUP(F2023,'LEAID Match'!$A$2:$B$436,2,FALSE)</f>
        <v>1809750</v>
      </c>
      <c r="Q2023" s="6">
        <f>COUNTIF($P$2:$P$3691,P2023)</f>
        <v>9</v>
      </c>
    </row>
    <row r="2024" spans="1:17" x14ac:dyDescent="0.2">
      <c r="A2024" s="16">
        <f>P2024</f>
        <v>1809750</v>
      </c>
      <c r="B2024">
        <v>2017</v>
      </c>
      <c r="C2024" t="s">
        <v>904</v>
      </c>
      <c r="D2024" t="s">
        <v>906</v>
      </c>
      <c r="E2024" t="s">
        <v>3274</v>
      </c>
      <c r="F2024" t="s">
        <v>578</v>
      </c>
      <c r="G2024" t="s">
        <v>259</v>
      </c>
      <c r="H2024" s="6">
        <v>424123</v>
      </c>
      <c r="I2024" s="6">
        <v>1.8675950114077182E-3</v>
      </c>
      <c r="J2024" s="6">
        <v>8450.867426619925</v>
      </c>
      <c r="K2024" s="6">
        <v>1626675.25493612</v>
      </c>
      <c r="M2024" s="6">
        <f>SUM(H2024,J2024)</f>
        <v>432573.86742661992</v>
      </c>
      <c r="N2024" s="6">
        <f>K2024</f>
        <v>1626675.25493612</v>
      </c>
      <c r="O2024" s="6">
        <f>SUM(M2024:N2024)</f>
        <v>2059249.1223627399</v>
      </c>
      <c r="P2024" s="8">
        <f>VLOOKUP(F2024,'LEAID Match'!$A$2:$B$436,2,FALSE)</f>
        <v>1809750</v>
      </c>
      <c r="Q2024" s="6">
        <f>COUNTIF($P$2:$P$3691,P2024)</f>
        <v>9</v>
      </c>
    </row>
    <row r="2025" spans="1:17" x14ac:dyDescent="0.2">
      <c r="A2025" s="16">
        <f>P2025</f>
        <v>1809750</v>
      </c>
      <c r="B2025">
        <v>2018</v>
      </c>
      <c r="C2025" t="s">
        <v>904</v>
      </c>
      <c r="D2025" t="s">
        <v>906</v>
      </c>
      <c r="E2025" t="s">
        <v>3275</v>
      </c>
      <c r="F2025" t="s">
        <v>578</v>
      </c>
      <c r="G2025" t="s">
        <v>259</v>
      </c>
      <c r="H2025" s="6">
        <v>430608</v>
      </c>
      <c r="I2025" s="6">
        <v>1.8267988138025739E-3</v>
      </c>
      <c r="J2025" s="6">
        <v>7614.097455929128</v>
      </c>
      <c r="K2025" s="6">
        <v>2453638</v>
      </c>
      <c r="M2025" s="6">
        <f>SUM(H2025,J2025)</f>
        <v>438222.09745592915</v>
      </c>
      <c r="N2025" s="6">
        <f>K2025</f>
        <v>2453638</v>
      </c>
      <c r="O2025" s="6">
        <f>SUM(M2025:N2025)</f>
        <v>2891860.097455929</v>
      </c>
      <c r="P2025" s="8">
        <f>VLOOKUP(F2025,'LEAID Match'!$A$2:$B$436,2,FALSE)</f>
        <v>1809750</v>
      </c>
      <c r="Q2025" s="6">
        <f>COUNTIF($P$2:$P$3691,P2025)</f>
        <v>9</v>
      </c>
    </row>
    <row r="2026" spans="1:17" x14ac:dyDescent="0.2">
      <c r="A2026" s="16">
        <f>P2026</f>
        <v>1809750</v>
      </c>
      <c r="B2026">
        <v>2019</v>
      </c>
      <c r="C2026" t="s">
        <v>904</v>
      </c>
      <c r="D2026" t="s">
        <v>906</v>
      </c>
      <c r="E2026" t="s">
        <v>3276</v>
      </c>
      <c r="F2026" t="s">
        <v>578</v>
      </c>
      <c r="G2026" t="s">
        <v>259</v>
      </c>
      <c r="H2026" s="6">
        <v>443165</v>
      </c>
      <c r="I2026" s="6">
        <v>1.1274093565255988E-3</v>
      </c>
      <c r="J2026" s="6">
        <v>3951.5697946222235</v>
      </c>
      <c r="K2026" s="6">
        <v>1064161.6916245101</v>
      </c>
      <c r="M2026" s="6">
        <f>SUM(H2026,J2026)</f>
        <v>447116.56979462225</v>
      </c>
      <c r="N2026" s="6">
        <f>K2026</f>
        <v>1064161.6916245101</v>
      </c>
      <c r="O2026" s="6">
        <f>SUM(M2026:N2026)</f>
        <v>1511278.2614191324</v>
      </c>
      <c r="P2026" s="8">
        <f>VLOOKUP(F2026,'LEAID Match'!$A$2:$B$436,2,FALSE)</f>
        <v>1809750</v>
      </c>
      <c r="Q2026" s="6">
        <f>COUNTIF($P$2:$P$3691,P2026)</f>
        <v>9</v>
      </c>
    </row>
    <row r="2027" spans="1:17" x14ac:dyDescent="0.2">
      <c r="A2027" s="16">
        <f>P2027</f>
        <v>1809750</v>
      </c>
      <c r="B2027">
        <v>2020</v>
      </c>
      <c r="C2027" t="s">
        <v>904</v>
      </c>
      <c r="D2027" t="s">
        <v>906</v>
      </c>
      <c r="E2027" t="s">
        <v>3277</v>
      </c>
      <c r="F2027" t="s">
        <v>578</v>
      </c>
      <c r="G2027" t="s">
        <v>259</v>
      </c>
      <c r="H2027" s="6">
        <v>336773</v>
      </c>
      <c r="I2027" s="6">
        <v>1.784461690136639E-3</v>
      </c>
      <c r="J2027" s="6">
        <v>4204.1917419619213</v>
      </c>
      <c r="K2027" s="6">
        <v>2610888</v>
      </c>
      <c r="M2027" s="6">
        <f>SUM(H2027,J2027)</f>
        <v>340977.19174196193</v>
      </c>
      <c r="N2027" s="6">
        <f>K2027</f>
        <v>2610888</v>
      </c>
      <c r="O2027" s="6">
        <f>SUM(M2027:N2027)</f>
        <v>2951865.191741962</v>
      </c>
      <c r="P2027" s="8">
        <f>VLOOKUP(F2027,'LEAID Match'!$A$2:$B$436,2,FALSE)</f>
        <v>1809750</v>
      </c>
      <c r="Q2027" s="6">
        <f>COUNTIF($P$2:$P$3691,P2027)</f>
        <v>9</v>
      </c>
    </row>
    <row r="2028" spans="1:17" x14ac:dyDescent="0.2">
      <c r="A2028" s="16">
        <f>P2028</f>
        <v>1809750</v>
      </c>
      <c r="B2028">
        <v>2021</v>
      </c>
      <c r="C2028" t="s">
        <v>904</v>
      </c>
      <c r="D2028" t="s">
        <v>906</v>
      </c>
      <c r="E2028" t="s">
        <v>3278</v>
      </c>
      <c r="F2028" t="s">
        <v>578</v>
      </c>
      <c r="G2028" t="s">
        <v>259</v>
      </c>
      <c r="H2028" s="6">
        <v>344259</v>
      </c>
      <c r="I2028" s="6">
        <v>1.7006714757187586E-3</v>
      </c>
      <c r="J2028" s="6">
        <v>3833.3135062700817</v>
      </c>
      <c r="K2028" s="6">
        <v>4328879</v>
      </c>
      <c r="M2028" s="6">
        <f>SUM(H2028,J2028)</f>
        <v>348092.31350627006</v>
      </c>
      <c r="N2028" s="6">
        <f>K2028</f>
        <v>4328879</v>
      </c>
      <c r="O2028" s="6">
        <f>SUM(M2028:N2028)</f>
        <v>4676971.3135062698</v>
      </c>
      <c r="P2028" s="8">
        <f>VLOOKUP(F2028,'LEAID Match'!$A$2:$B$436,2,FALSE)</f>
        <v>1809750</v>
      </c>
      <c r="Q2028" s="6">
        <f>COUNTIF($P$2:$P$3691,P2028)</f>
        <v>9</v>
      </c>
    </row>
    <row r="2029" spans="1:17" x14ac:dyDescent="0.2">
      <c r="A2029" s="16">
        <f>P2029</f>
        <v>1809750</v>
      </c>
      <c r="B2029">
        <v>2022</v>
      </c>
      <c r="C2029" t="s">
        <v>904</v>
      </c>
      <c r="D2029" t="s">
        <v>906</v>
      </c>
      <c r="E2029" t="s">
        <v>3279</v>
      </c>
      <c r="F2029" t="s">
        <v>578</v>
      </c>
      <c r="G2029" t="s">
        <v>259</v>
      </c>
      <c r="H2029" s="6">
        <v>377067</v>
      </c>
      <c r="I2029" s="6">
        <v>1.790384194330104E-3</v>
      </c>
      <c r="J2029" s="6">
        <v>3947.7971484978793</v>
      </c>
      <c r="K2029" s="6">
        <v>4058199</v>
      </c>
      <c r="M2029" s="6">
        <f>SUM(H2029,J2029)</f>
        <v>381014.79714849789</v>
      </c>
      <c r="N2029" s="6">
        <f>K2029</f>
        <v>4058199</v>
      </c>
      <c r="O2029" s="6">
        <f>SUM(M2029:N2029)</f>
        <v>4439213.7971484978</v>
      </c>
      <c r="P2029" s="8">
        <f>VLOOKUP(F2029,'LEAID Match'!$A$2:$B$436,2,FALSE)</f>
        <v>1809750</v>
      </c>
      <c r="Q2029" s="6">
        <f>COUNTIF($P$2:$P$3691,P2029)</f>
        <v>9</v>
      </c>
    </row>
    <row r="2030" spans="1:17" x14ac:dyDescent="0.2">
      <c r="A2030" s="16">
        <f>P2030</f>
        <v>1809750</v>
      </c>
      <c r="B2030">
        <v>2023</v>
      </c>
      <c r="C2030" t="s">
        <v>904</v>
      </c>
      <c r="D2030" t="s">
        <v>906</v>
      </c>
      <c r="E2030" t="s">
        <v>3280</v>
      </c>
      <c r="F2030" t="s">
        <v>578</v>
      </c>
      <c r="G2030" t="s">
        <v>259</v>
      </c>
      <c r="H2030" s="6">
        <v>430932</v>
      </c>
      <c r="I2030" s="6">
        <v>1.7622751033252843E-3</v>
      </c>
      <c r="J2030" s="6">
        <v>4347.5326799034765</v>
      </c>
      <c r="K2030" s="6">
        <v>10515082</v>
      </c>
      <c r="M2030" s="6">
        <f>SUM(H2030,J2030)</f>
        <v>435279.5326799035</v>
      </c>
      <c r="N2030" s="6">
        <f>K2030</f>
        <v>10515082</v>
      </c>
      <c r="O2030" s="6">
        <f>SUM(M2030:N2030)</f>
        <v>10950361.532679904</v>
      </c>
      <c r="P2030" s="8">
        <f>VLOOKUP(F2030,'LEAID Match'!$A$2:$B$436,2,FALSE)</f>
        <v>1809750</v>
      </c>
      <c r="Q2030" s="6">
        <f>COUNTIF($P$2:$P$3691,P2030)</f>
        <v>9</v>
      </c>
    </row>
    <row r="2031" spans="1:17" x14ac:dyDescent="0.2">
      <c r="A2031" s="16">
        <f>P2031</f>
        <v>1808900</v>
      </c>
      <c r="B2031">
        <v>2015</v>
      </c>
      <c r="C2031" t="s">
        <v>904</v>
      </c>
      <c r="D2031" t="s">
        <v>906</v>
      </c>
      <c r="E2031" t="s">
        <v>2937</v>
      </c>
      <c r="F2031" t="s">
        <v>560</v>
      </c>
      <c r="G2031" t="s">
        <v>226</v>
      </c>
      <c r="H2031" s="6">
        <v>421489</v>
      </c>
      <c r="I2031" s="6">
        <v>2.0495775353048338E-3</v>
      </c>
      <c r="J2031" s="6">
        <v>11910.09505765639</v>
      </c>
      <c r="K2031" s="6">
        <v>1733155.55709433</v>
      </c>
      <c r="M2031" s="6">
        <f>SUM(H2031,J2031)</f>
        <v>433399.09505765641</v>
      </c>
      <c r="N2031" s="6">
        <f>K2031</f>
        <v>1733155.55709433</v>
      </c>
      <c r="O2031" s="6">
        <f>SUM(M2031:N2031)</f>
        <v>2166554.6521519865</v>
      </c>
      <c r="P2031" s="8">
        <f>VLOOKUP(F2031,'LEAID Match'!$A$2:$B$436,2,FALSE)</f>
        <v>1808900</v>
      </c>
      <c r="Q2031" s="6">
        <f>COUNTIF($P$2:$P$3691,P2031)</f>
        <v>9</v>
      </c>
    </row>
    <row r="2032" spans="1:17" x14ac:dyDescent="0.2">
      <c r="A2032" s="16">
        <f>P2032</f>
        <v>1808900</v>
      </c>
      <c r="B2032">
        <v>2016</v>
      </c>
      <c r="C2032" t="s">
        <v>904</v>
      </c>
      <c r="D2032" t="s">
        <v>906</v>
      </c>
      <c r="E2032" t="s">
        <v>2938</v>
      </c>
      <c r="F2032" t="s">
        <v>560</v>
      </c>
      <c r="G2032" t="s">
        <v>226</v>
      </c>
      <c r="H2032" s="6">
        <v>386673</v>
      </c>
      <c r="I2032" s="6">
        <v>1.7942102097299785E-3</v>
      </c>
      <c r="J2032" s="6">
        <v>9057.1731387169311</v>
      </c>
      <c r="K2032" s="6">
        <v>1592361.56113535</v>
      </c>
      <c r="M2032" s="6">
        <f>SUM(H2032,J2032)</f>
        <v>395730.17313871696</v>
      </c>
      <c r="N2032" s="6">
        <f>K2032</f>
        <v>1592361.56113535</v>
      </c>
      <c r="O2032" s="6">
        <f>SUM(M2032:N2032)</f>
        <v>1988091.734274067</v>
      </c>
      <c r="P2032" s="8">
        <f>VLOOKUP(F2032,'LEAID Match'!$A$2:$B$436,2,FALSE)</f>
        <v>1808900</v>
      </c>
      <c r="Q2032" s="6">
        <f>COUNTIF($P$2:$P$3691,P2032)</f>
        <v>9</v>
      </c>
    </row>
    <row r="2033" spans="1:17" x14ac:dyDescent="0.2">
      <c r="A2033" s="16">
        <f>P2033</f>
        <v>1808900</v>
      </c>
      <c r="B2033">
        <v>2017</v>
      </c>
      <c r="C2033" t="s">
        <v>904</v>
      </c>
      <c r="D2033" t="s">
        <v>906</v>
      </c>
      <c r="E2033" t="s">
        <v>2939</v>
      </c>
      <c r="F2033" t="s">
        <v>560</v>
      </c>
      <c r="G2033" t="s">
        <v>226</v>
      </c>
      <c r="H2033" s="6">
        <v>368470</v>
      </c>
      <c r="I2033" s="6">
        <v>1.6225310437146816E-3</v>
      </c>
      <c r="J2033" s="6">
        <v>7341.9529728089337</v>
      </c>
      <c r="K2033" s="6">
        <v>1413224.5390754801</v>
      </c>
      <c r="M2033" s="6">
        <f>SUM(H2033,J2033)</f>
        <v>375811.95297280891</v>
      </c>
      <c r="N2033" s="6">
        <f>K2033</f>
        <v>1413224.5390754801</v>
      </c>
      <c r="O2033" s="6">
        <f>SUM(M2033:N2033)</f>
        <v>1789036.4920482889</v>
      </c>
      <c r="P2033" s="8">
        <f>VLOOKUP(F2033,'LEAID Match'!$A$2:$B$436,2,FALSE)</f>
        <v>1808900</v>
      </c>
      <c r="Q2033" s="6">
        <f>COUNTIF($P$2:$P$3691,P2033)</f>
        <v>9</v>
      </c>
    </row>
    <row r="2034" spans="1:17" x14ac:dyDescent="0.2">
      <c r="A2034" s="16">
        <f>P2034</f>
        <v>1808900</v>
      </c>
      <c r="B2034">
        <v>2018</v>
      </c>
      <c r="C2034" t="s">
        <v>904</v>
      </c>
      <c r="D2034" t="s">
        <v>906</v>
      </c>
      <c r="E2034" t="s">
        <v>2940</v>
      </c>
      <c r="F2034" t="s">
        <v>560</v>
      </c>
      <c r="G2034" t="s">
        <v>226</v>
      </c>
      <c r="H2034" s="6">
        <v>397303</v>
      </c>
      <c r="I2034" s="6">
        <v>1.6855066536622728E-3</v>
      </c>
      <c r="J2034" s="6">
        <v>7025.1917324643528</v>
      </c>
      <c r="K2034" s="6">
        <v>1987621</v>
      </c>
      <c r="M2034" s="6">
        <f>SUM(H2034,J2034)</f>
        <v>404328.19173246436</v>
      </c>
      <c r="N2034" s="6">
        <f>K2034</f>
        <v>1987621</v>
      </c>
      <c r="O2034" s="6">
        <f>SUM(M2034:N2034)</f>
        <v>2391949.1917324644</v>
      </c>
      <c r="P2034" s="8">
        <f>VLOOKUP(F2034,'LEAID Match'!$A$2:$B$436,2,FALSE)</f>
        <v>1808900</v>
      </c>
      <c r="Q2034" s="6">
        <f>COUNTIF($P$2:$P$3691,P2034)</f>
        <v>9</v>
      </c>
    </row>
    <row r="2035" spans="1:17" x14ac:dyDescent="0.2">
      <c r="A2035" s="16">
        <f>P2035</f>
        <v>1808900</v>
      </c>
      <c r="B2035">
        <v>2019</v>
      </c>
      <c r="C2035" t="s">
        <v>904</v>
      </c>
      <c r="D2035" t="s">
        <v>906</v>
      </c>
      <c r="E2035" t="s">
        <v>2941</v>
      </c>
      <c r="F2035" t="s">
        <v>560</v>
      </c>
      <c r="G2035" t="s">
        <v>226</v>
      </c>
      <c r="H2035" s="6">
        <v>409620</v>
      </c>
      <c r="I2035" s="6">
        <v>1.0420710584545616E-3</v>
      </c>
      <c r="J2035" s="6">
        <v>3652.4590598832383</v>
      </c>
      <c r="K2035" s="6">
        <v>983610.87207526003</v>
      </c>
      <c r="M2035" s="6">
        <f>SUM(H2035,J2035)</f>
        <v>413272.45905988326</v>
      </c>
      <c r="N2035" s="6">
        <f>K2035</f>
        <v>983610.87207526003</v>
      </c>
      <c r="O2035" s="6">
        <f>SUM(M2035:N2035)</f>
        <v>1396883.3311351433</v>
      </c>
      <c r="P2035" s="8">
        <f>VLOOKUP(F2035,'LEAID Match'!$A$2:$B$436,2,FALSE)</f>
        <v>1808900</v>
      </c>
      <c r="Q2035" s="6">
        <f>COUNTIF($P$2:$P$3691,P2035)</f>
        <v>9</v>
      </c>
    </row>
    <row r="2036" spans="1:17" x14ac:dyDescent="0.2">
      <c r="A2036" s="16">
        <f>P2036</f>
        <v>1808900</v>
      </c>
      <c r="B2036">
        <v>2020</v>
      </c>
      <c r="C2036" t="s">
        <v>904</v>
      </c>
      <c r="D2036" t="s">
        <v>906</v>
      </c>
      <c r="E2036" t="s">
        <v>2942</v>
      </c>
      <c r="F2036" t="s">
        <v>560</v>
      </c>
      <c r="G2036" t="s">
        <v>226</v>
      </c>
      <c r="H2036" s="6">
        <v>332408</v>
      </c>
      <c r="I2036" s="6">
        <v>1.761332831001713E-3</v>
      </c>
      <c r="J2036" s="6">
        <v>4149.7001498400359</v>
      </c>
      <c r="K2036" s="6">
        <v>2124351</v>
      </c>
      <c r="M2036" s="6">
        <f>SUM(H2036,J2036)</f>
        <v>336557.70014984004</v>
      </c>
      <c r="N2036" s="6">
        <f>K2036</f>
        <v>2124351</v>
      </c>
      <c r="O2036" s="6">
        <f>SUM(M2036:N2036)</f>
        <v>2460908.7001498402</v>
      </c>
      <c r="P2036" s="8">
        <f>VLOOKUP(F2036,'LEAID Match'!$A$2:$B$436,2,FALSE)</f>
        <v>1808900</v>
      </c>
      <c r="Q2036" s="6">
        <f>COUNTIF($P$2:$P$3691,P2036)</f>
        <v>9</v>
      </c>
    </row>
    <row r="2037" spans="1:17" x14ac:dyDescent="0.2">
      <c r="A2037" s="16">
        <f>P2037</f>
        <v>1808900</v>
      </c>
      <c r="B2037">
        <v>2021</v>
      </c>
      <c r="C2037" t="s">
        <v>904</v>
      </c>
      <c r="D2037" t="s">
        <v>906</v>
      </c>
      <c r="E2037" t="s">
        <v>2943</v>
      </c>
      <c r="F2037" t="s">
        <v>560</v>
      </c>
      <c r="G2037" t="s">
        <v>226</v>
      </c>
      <c r="H2037" s="6">
        <v>341628</v>
      </c>
      <c r="I2037" s="6">
        <v>1.6876740910385731E-3</v>
      </c>
      <c r="J2037" s="6">
        <v>3804.0174012009438</v>
      </c>
      <c r="K2037" s="6">
        <v>3413330</v>
      </c>
      <c r="M2037" s="6">
        <f>SUM(H2037,J2037)</f>
        <v>345432.01740120095</v>
      </c>
      <c r="N2037" s="6">
        <f>K2037</f>
        <v>3413330</v>
      </c>
      <c r="O2037" s="6">
        <f>SUM(M2037:N2037)</f>
        <v>3758762.0174012007</v>
      </c>
      <c r="P2037" s="8">
        <f>VLOOKUP(F2037,'LEAID Match'!$A$2:$B$436,2,FALSE)</f>
        <v>1808900</v>
      </c>
      <c r="Q2037" s="6">
        <f>COUNTIF($P$2:$P$3691,P2037)</f>
        <v>9</v>
      </c>
    </row>
    <row r="2038" spans="1:17" x14ac:dyDescent="0.2">
      <c r="A2038" s="16">
        <f>P2038</f>
        <v>1808900</v>
      </c>
      <c r="B2038">
        <v>2022</v>
      </c>
      <c r="C2038" t="s">
        <v>904</v>
      </c>
      <c r="D2038" t="s">
        <v>906</v>
      </c>
      <c r="E2038" t="s">
        <v>2944</v>
      </c>
      <c r="F2038" t="s">
        <v>560</v>
      </c>
      <c r="G2038" t="s">
        <v>226</v>
      </c>
      <c r="H2038" s="6">
        <v>382743</v>
      </c>
      <c r="I2038" s="6">
        <v>1.8173348972211488E-3</v>
      </c>
      <c r="J2038" s="6">
        <v>4007.2234483726334</v>
      </c>
      <c r="K2038" s="6">
        <v>3323305</v>
      </c>
      <c r="M2038" s="6">
        <f>SUM(H2038,J2038)</f>
        <v>386750.22344837262</v>
      </c>
      <c r="N2038" s="6">
        <f>K2038</f>
        <v>3323305</v>
      </c>
      <c r="O2038" s="6">
        <f>SUM(M2038:N2038)</f>
        <v>3710055.2234483724</v>
      </c>
      <c r="P2038" s="8">
        <f>VLOOKUP(F2038,'LEAID Match'!$A$2:$B$436,2,FALSE)</f>
        <v>1808900</v>
      </c>
      <c r="Q2038" s="6">
        <f>COUNTIF($P$2:$P$3691,P2038)</f>
        <v>9</v>
      </c>
    </row>
    <row r="2039" spans="1:17" x14ac:dyDescent="0.2">
      <c r="A2039" s="16">
        <f>P2039</f>
        <v>1808900</v>
      </c>
      <c r="B2039">
        <v>2023</v>
      </c>
      <c r="C2039" t="s">
        <v>904</v>
      </c>
      <c r="D2039" t="s">
        <v>906</v>
      </c>
      <c r="E2039" t="s">
        <v>2945</v>
      </c>
      <c r="F2039" t="s">
        <v>560</v>
      </c>
      <c r="G2039" t="s">
        <v>226</v>
      </c>
      <c r="H2039" s="6">
        <v>441848</v>
      </c>
      <c r="I2039" s="6">
        <v>1.8069155455015414E-3</v>
      </c>
      <c r="J2039" s="6">
        <v>4457.6606507523029</v>
      </c>
      <c r="K2039" s="6">
        <v>8735958</v>
      </c>
      <c r="M2039" s="6">
        <f>SUM(H2039,J2039)</f>
        <v>446305.66065075231</v>
      </c>
      <c r="N2039" s="6">
        <f>K2039</f>
        <v>8735958</v>
      </c>
      <c r="O2039" s="6">
        <f>SUM(M2039:N2039)</f>
        <v>9182263.6606507525</v>
      </c>
      <c r="P2039" s="8">
        <f>VLOOKUP(F2039,'LEAID Match'!$A$2:$B$436,2,FALSE)</f>
        <v>1808900</v>
      </c>
      <c r="Q2039" s="6">
        <f>COUNTIF($P$2:$P$3691,P2039)</f>
        <v>9</v>
      </c>
    </row>
    <row r="2040" spans="1:17" x14ac:dyDescent="0.2">
      <c r="A2040" s="16">
        <f>P2040</f>
        <v>1800750</v>
      </c>
      <c r="B2040">
        <v>2015</v>
      </c>
      <c r="C2040" t="s">
        <v>904</v>
      </c>
      <c r="D2040" t="s">
        <v>906</v>
      </c>
      <c r="E2040" t="s">
        <v>2946</v>
      </c>
      <c r="F2040" t="s">
        <v>561</v>
      </c>
      <c r="G2040" t="s">
        <v>227</v>
      </c>
      <c r="H2040" s="6">
        <v>172827</v>
      </c>
      <c r="I2040" s="6">
        <v>8.4040707276851468E-4</v>
      </c>
      <c r="J2040" s="6">
        <v>4883.6054998578384</v>
      </c>
      <c r="K2040" s="6">
        <v>710661.66724622005</v>
      </c>
      <c r="M2040" s="6">
        <f>SUM(H2040,J2040)</f>
        <v>177710.60549985783</v>
      </c>
      <c r="N2040" s="6">
        <f>K2040</f>
        <v>710661.66724622005</v>
      </c>
      <c r="O2040" s="6">
        <f>SUM(M2040:N2040)</f>
        <v>888372.27274607786</v>
      </c>
      <c r="P2040" s="8">
        <f>VLOOKUP(F2040,'LEAID Match'!$A$2:$B$436,2,FALSE)</f>
        <v>1800750</v>
      </c>
      <c r="Q2040" s="6">
        <f>COUNTIF($P$2:$P$3691,P2040)</f>
        <v>9</v>
      </c>
    </row>
    <row r="2041" spans="1:17" x14ac:dyDescent="0.2">
      <c r="A2041" s="16">
        <f>P2041</f>
        <v>1800750</v>
      </c>
      <c r="B2041">
        <v>2016</v>
      </c>
      <c r="C2041" t="s">
        <v>904</v>
      </c>
      <c r="D2041" t="s">
        <v>906</v>
      </c>
      <c r="E2041" t="s">
        <v>2947</v>
      </c>
      <c r="F2041" t="s">
        <v>561</v>
      </c>
      <c r="G2041" t="s">
        <v>227</v>
      </c>
      <c r="H2041" s="6">
        <v>132411</v>
      </c>
      <c r="I2041" s="6">
        <v>6.144033022232123E-4</v>
      </c>
      <c r="J2041" s="6">
        <v>3101.5078696227756</v>
      </c>
      <c r="K2041" s="6">
        <v>545282.93072309997</v>
      </c>
      <c r="M2041" s="6">
        <f>SUM(H2041,J2041)</f>
        <v>135512.50786962279</v>
      </c>
      <c r="N2041" s="6">
        <f>K2041</f>
        <v>545282.93072309997</v>
      </c>
      <c r="O2041" s="6">
        <f>SUM(M2041:N2041)</f>
        <v>680795.43859272276</v>
      </c>
      <c r="P2041" s="8">
        <f>VLOOKUP(F2041,'LEAID Match'!$A$2:$B$436,2,FALSE)</f>
        <v>1800750</v>
      </c>
      <c r="Q2041" s="6">
        <f>COUNTIF($P$2:$P$3691,P2041)</f>
        <v>9</v>
      </c>
    </row>
    <row r="2042" spans="1:17" x14ac:dyDescent="0.2">
      <c r="A2042" s="16">
        <f>P2042</f>
        <v>1800750</v>
      </c>
      <c r="B2042">
        <v>2017</v>
      </c>
      <c r="C2042" t="s">
        <v>904</v>
      </c>
      <c r="D2042" t="s">
        <v>906</v>
      </c>
      <c r="E2042" t="s">
        <v>2948</v>
      </c>
      <c r="F2042" t="s">
        <v>561</v>
      </c>
      <c r="G2042" t="s">
        <v>227</v>
      </c>
      <c r="H2042" s="6">
        <v>240900</v>
      </c>
      <c r="I2042" s="6">
        <v>1.0607857584901534E-3</v>
      </c>
      <c r="J2042" s="6">
        <v>4800.0555571679442</v>
      </c>
      <c r="K2042" s="6">
        <v>923944.39564492297</v>
      </c>
      <c r="M2042" s="6">
        <f>SUM(H2042,J2042)</f>
        <v>245700.05555716794</v>
      </c>
      <c r="N2042" s="6">
        <f>K2042</f>
        <v>923944.39564492297</v>
      </c>
      <c r="O2042" s="6">
        <f>SUM(M2042:N2042)</f>
        <v>1169644.4512020908</v>
      </c>
      <c r="P2042" s="8">
        <f>VLOOKUP(F2042,'LEAID Match'!$A$2:$B$436,2,FALSE)</f>
        <v>1800750</v>
      </c>
      <c r="Q2042" s="6">
        <f>COUNTIF($P$2:$P$3691,P2042)</f>
        <v>9</v>
      </c>
    </row>
    <row r="2043" spans="1:17" x14ac:dyDescent="0.2">
      <c r="A2043" s="16">
        <f>P2043</f>
        <v>1800750</v>
      </c>
      <c r="B2043">
        <v>2018</v>
      </c>
      <c r="C2043" t="s">
        <v>904</v>
      </c>
      <c r="D2043" t="s">
        <v>906</v>
      </c>
      <c r="E2043" t="s">
        <v>2949</v>
      </c>
      <c r="F2043" t="s">
        <v>561</v>
      </c>
      <c r="G2043" t="s">
        <v>227</v>
      </c>
      <c r="H2043" s="6">
        <v>204604</v>
      </c>
      <c r="I2043" s="6">
        <v>8.6800603913364776E-4</v>
      </c>
      <c r="J2043" s="6">
        <v>3617.8491711090437</v>
      </c>
      <c r="K2043" s="6">
        <v>875034</v>
      </c>
      <c r="M2043" s="6">
        <f>SUM(H2043,J2043)</f>
        <v>208221.84917110903</v>
      </c>
      <c r="N2043" s="6">
        <f>K2043</f>
        <v>875034</v>
      </c>
      <c r="O2043" s="6">
        <f>SUM(M2043:N2043)</f>
        <v>1083255.849171109</v>
      </c>
      <c r="P2043" s="8">
        <f>VLOOKUP(F2043,'LEAID Match'!$A$2:$B$436,2,FALSE)</f>
        <v>1800750</v>
      </c>
      <c r="Q2043" s="6">
        <f>COUNTIF($P$2:$P$3691,P2043)</f>
        <v>9</v>
      </c>
    </row>
    <row r="2044" spans="1:17" x14ac:dyDescent="0.2">
      <c r="A2044" s="16">
        <f>P2044</f>
        <v>1800750</v>
      </c>
      <c r="B2044">
        <v>2019</v>
      </c>
      <c r="C2044" t="s">
        <v>904</v>
      </c>
      <c r="D2044" t="s">
        <v>906</v>
      </c>
      <c r="E2044" t="s">
        <v>2950</v>
      </c>
      <c r="F2044" t="s">
        <v>561</v>
      </c>
      <c r="G2044" t="s">
        <v>227</v>
      </c>
      <c r="H2044" s="6">
        <v>201132</v>
      </c>
      <c r="I2044" s="6">
        <v>5.1167871717465669E-4</v>
      </c>
      <c r="J2044" s="6">
        <v>1793.4339036971717</v>
      </c>
      <c r="K2044" s="6">
        <v>482973.54114115803</v>
      </c>
      <c r="M2044" s="6">
        <f>SUM(H2044,J2044)</f>
        <v>202925.43390369718</v>
      </c>
      <c r="N2044" s="6">
        <f>K2044</f>
        <v>482973.54114115803</v>
      </c>
      <c r="O2044" s="6">
        <f>SUM(M2044:N2044)</f>
        <v>685898.97504485515</v>
      </c>
      <c r="P2044" s="8">
        <f>VLOOKUP(F2044,'LEAID Match'!$A$2:$B$436,2,FALSE)</f>
        <v>1800750</v>
      </c>
      <c r="Q2044" s="6">
        <f>COUNTIF($P$2:$P$3691,P2044)</f>
        <v>9</v>
      </c>
    </row>
    <row r="2045" spans="1:17" x14ac:dyDescent="0.2">
      <c r="A2045" s="16">
        <f>P2045</f>
        <v>1800750</v>
      </c>
      <c r="B2045">
        <v>2020</v>
      </c>
      <c r="C2045" t="s">
        <v>904</v>
      </c>
      <c r="D2045" t="s">
        <v>906</v>
      </c>
      <c r="E2045" t="s">
        <v>2951</v>
      </c>
      <c r="F2045" t="s">
        <v>561</v>
      </c>
      <c r="G2045" t="s">
        <v>227</v>
      </c>
      <c r="H2045" s="6">
        <v>155678</v>
      </c>
      <c r="I2045" s="6">
        <v>8.248922181917543E-4</v>
      </c>
      <c r="J2045" s="6">
        <v>1943.4460660597731</v>
      </c>
      <c r="K2045" s="6">
        <v>961226</v>
      </c>
      <c r="M2045" s="6">
        <f>SUM(H2045,J2045)</f>
        <v>157621.44606605978</v>
      </c>
      <c r="N2045" s="6">
        <f>K2045</f>
        <v>961226</v>
      </c>
      <c r="O2045" s="6">
        <f>SUM(M2045:N2045)</f>
        <v>1118847.4460660599</v>
      </c>
      <c r="P2045" s="8">
        <f>VLOOKUP(F2045,'LEAID Match'!$A$2:$B$436,2,FALSE)</f>
        <v>1800750</v>
      </c>
      <c r="Q2045" s="6">
        <f>COUNTIF($P$2:$P$3691,P2045)</f>
        <v>9</v>
      </c>
    </row>
    <row r="2046" spans="1:17" x14ac:dyDescent="0.2">
      <c r="A2046" s="16">
        <f>P2046</f>
        <v>1800750</v>
      </c>
      <c r="B2046">
        <v>2021</v>
      </c>
      <c r="C2046" t="s">
        <v>904</v>
      </c>
      <c r="D2046" t="s">
        <v>906</v>
      </c>
      <c r="E2046" t="s">
        <v>2952</v>
      </c>
      <c r="F2046" t="s">
        <v>561</v>
      </c>
      <c r="G2046" t="s">
        <v>227</v>
      </c>
      <c r="H2046" s="6">
        <v>157726</v>
      </c>
      <c r="I2046" s="6">
        <v>7.7918110834928624E-4</v>
      </c>
      <c r="J2046" s="6">
        <v>1756.2742182192912</v>
      </c>
      <c r="K2046" s="6">
        <v>1616277</v>
      </c>
      <c r="M2046" s="6">
        <f>SUM(H2046,J2046)</f>
        <v>159482.2742182193</v>
      </c>
      <c r="N2046" s="6">
        <f>K2046</f>
        <v>1616277</v>
      </c>
      <c r="O2046" s="6">
        <f>SUM(M2046:N2046)</f>
        <v>1775759.2742182193</v>
      </c>
      <c r="P2046" s="8">
        <f>VLOOKUP(F2046,'LEAID Match'!$A$2:$B$436,2,FALSE)</f>
        <v>1800750</v>
      </c>
      <c r="Q2046" s="6">
        <f>COUNTIF($P$2:$P$3691,P2046)</f>
        <v>9</v>
      </c>
    </row>
    <row r="2047" spans="1:17" x14ac:dyDescent="0.2">
      <c r="A2047" s="16">
        <f>P2047</f>
        <v>1800750</v>
      </c>
      <c r="B2047">
        <v>2022</v>
      </c>
      <c r="C2047" t="s">
        <v>904</v>
      </c>
      <c r="D2047" t="s">
        <v>906</v>
      </c>
      <c r="E2047" t="s">
        <v>2953</v>
      </c>
      <c r="F2047" t="s">
        <v>561</v>
      </c>
      <c r="G2047" t="s">
        <v>227</v>
      </c>
      <c r="H2047" s="6">
        <v>168491</v>
      </c>
      <c r="I2047" s="6">
        <v>8.0002658224366898E-4</v>
      </c>
      <c r="J2047" s="6">
        <v>1764.0586138472902</v>
      </c>
      <c r="K2047" s="6">
        <v>1577543</v>
      </c>
      <c r="M2047" s="6">
        <f>SUM(H2047,J2047)</f>
        <v>170255.0586138473</v>
      </c>
      <c r="N2047" s="6">
        <f>K2047</f>
        <v>1577543</v>
      </c>
      <c r="O2047" s="6">
        <f>SUM(M2047:N2047)</f>
        <v>1747798.0586138472</v>
      </c>
      <c r="P2047" s="8">
        <f>VLOOKUP(F2047,'LEAID Match'!$A$2:$B$436,2,FALSE)</f>
        <v>1800750</v>
      </c>
      <c r="Q2047" s="6">
        <f>COUNTIF($P$2:$P$3691,P2047)</f>
        <v>9</v>
      </c>
    </row>
    <row r="2048" spans="1:17" x14ac:dyDescent="0.2">
      <c r="A2048" s="16">
        <f>P2048</f>
        <v>1800750</v>
      </c>
      <c r="B2048">
        <v>2023</v>
      </c>
      <c r="C2048" t="s">
        <v>904</v>
      </c>
      <c r="D2048" t="s">
        <v>906</v>
      </c>
      <c r="E2048" t="s">
        <v>2954</v>
      </c>
      <c r="F2048" t="s">
        <v>561</v>
      </c>
      <c r="G2048" t="s">
        <v>227</v>
      </c>
      <c r="H2048" s="6">
        <v>189921</v>
      </c>
      <c r="I2048" s="6">
        <v>7.7667253742734661E-4</v>
      </c>
      <c r="J2048" s="6">
        <v>1916.0511498332642</v>
      </c>
      <c r="K2048" s="6">
        <v>4760987</v>
      </c>
      <c r="M2048" s="6">
        <f>SUM(H2048,J2048)</f>
        <v>191837.05114983328</v>
      </c>
      <c r="N2048" s="6">
        <f>K2048</f>
        <v>4760987</v>
      </c>
      <c r="O2048" s="6">
        <f>SUM(M2048:N2048)</f>
        <v>4952824.051149833</v>
      </c>
      <c r="P2048" s="8">
        <f>VLOOKUP(F2048,'LEAID Match'!$A$2:$B$436,2,FALSE)</f>
        <v>1800750</v>
      </c>
      <c r="Q2048" s="6">
        <f>COUNTIF($P$2:$P$3691,P2048)</f>
        <v>9</v>
      </c>
    </row>
    <row r="2049" spans="1:17" x14ac:dyDescent="0.2">
      <c r="A2049" s="16">
        <f>P2049</f>
        <v>0</v>
      </c>
      <c r="B2049">
        <v>2018</v>
      </c>
      <c r="C2049" t="s">
        <v>904</v>
      </c>
      <c r="D2049" t="s">
        <v>906</v>
      </c>
      <c r="E2049" t="s">
        <v>2955</v>
      </c>
      <c r="F2049" t="s">
        <v>880</v>
      </c>
      <c r="G2049" t="s">
        <v>431</v>
      </c>
      <c r="H2049" s="6">
        <v>0</v>
      </c>
      <c r="I2049" s="6">
        <v>0</v>
      </c>
      <c r="J2049" s="6">
        <v>0</v>
      </c>
      <c r="K2049" s="6">
        <v>154574</v>
      </c>
      <c r="M2049" s="6">
        <f>SUM(H2049,J2049)</f>
        <v>0</v>
      </c>
      <c r="N2049" s="6">
        <f>K2049</f>
        <v>154574</v>
      </c>
      <c r="O2049" s="6">
        <f>SUM(M2049:N2049)</f>
        <v>154574</v>
      </c>
      <c r="P2049" s="8">
        <f>VLOOKUP(F2049,'LEAID Match'!$A$2:$B$436,2,FALSE)</f>
        <v>0</v>
      </c>
      <c r="Q2049" s="6">
        <f>COUNTIF($P$2:$P$3691,P2049)</f>
        <v>371</v>
      </c>
    </row>
    <row r="2050" spans="1:17" x14ac:dyDescent="0.2">
      <c r="A2050" s="16">
        <f>P2050</f>
        <v>0</v>
      </c>
      <c r="B2050">
        <v>2020</v>
      </c>
      <c r="C2050" t="s">
        <v>904</v>
      </c>
      <c r="D2050" t="s">
        <v>906</v>
      </c>
      <c r="E2050" t="s">
        <v>2956</v>
      </c>
      <c r="F2050" t="s">
        <v>880</v>
      </c>
      <c r="G2050" t="s">
        <v>431</v>
      </c>
      <c r="H2050" s="6">
        <v>0</v>
      </c>
      <c r="I2050" s="6">
        <v>0</v>
      </c>
      <c r="J2050" s="6">
        <v>0</v>
      </c>
      <c r="K2050" s="6">
        <v>171016</v>
      </c>
      <c r="M2050" s="6">
        <f>SUM(H2050,J2050)</f>
        <v>0</v>
      </c>
      <c r="N2050" s="6">
        <f>K2050</f>
        <v>171016</v>
      </c>
      <c r="O2050" s="6">
        <f>SUM(M2050:N2050)</f>
        <v>171016</v>
      </c>
      <c r="P2050" s="8">
        <f>VLOOKUP(F2050,'LEAID Match'!$A$2:$B$436,2,FALSE)</f>
        <v>0</v>
      </c>
      <c r="Q2050" s="6">
        <f>COUNTIF($P$2:$P$3691,P2050)</f>
        <v>371</v>
      </c>
    </row>
    <row r="2051" spans="1:17" x14ac:dyDescent="0.2">
      <c r="A2051" s="16">
        <f>P2051</f>
        <v>0</v>
      </c>
      <c r="B2051">
        <v>2021</v>
      </c>
      <c r="C2051" t="s">
        <v>904</v>
      </c>
      <c r="D2051" t="s">
        <v>906</v>
      </c>
      <c r="E2051" t="s">
        <v>2957</v>
      </c>
      <c r="F2051" t="s">
        <v>880</v>
      </c>
      <c r="G2051" t="s">
        <v>431</v>
      </c>
      <c r="H2051" s="6" t="s">
        <v>893</v>
      </c>
      <c r="K2051" s="6">
        <v>253822</v>
      </c>
      <c r="M2051" s="6">
        <f>SUM(H2051,J2051)</f>
        <v>0</v>
      </c>
      <c r="N2051" s="6">
        <f>K2051</f>
        <v>253822</v>
      </c>
      <c r="O2051" s="6">
        <f>SUM(M2051:N2051)</f>
        <v>253822</v>
      </c>
      <c r="P2051" s="8">
        <f>VLOOKUP(F2051,'LEAID Match'!$A$2:$B$436,2,FALSE)</f>
        <v>0</v>
      </c>
      <c r="Q2051" s="6">
        <f>COUNTIF($P$2:$P$3691,P2051)</f>
        <v>371</v>
      </c>
    </row>
    <row r="2052" spans="1:17" x14ac:dyDescent="0.2">
      <c r="A2052" s="16">
        <f>P2052</f>
        <v>0</v>
      </c>
      <c r="B2052">
        <v>2022</v>
      </c>
      <c r="C2052" t="s">
        <v>904</v>
      </c>
      <c r="D2052" t="s">
        <v>906</v>
      </c>
      <c r="E2052" t="s">
        <v>2958</v>
      </c>
      <c r="F2052" t="s">
        <v>880</v>
      </c>
      <c r="G2052" t="s">
        <v>431</v>
      </c>
      <c r="H2052" s="6" t="s">
        <v>893</v>
      </c>
      <c r="K2052" s="6">
        <v>253802</v>
      </c>
      <c r="M2052" s="6">
        <f>SUM(H2052,J2052)</f>
        <v>0</v>
      </c>
      <c r="N2052" s="6">
        <f>K2052</f>
        <v>253802</v>
      </c>
      <c r="O2052" s="6">
        <f>SUM(M2052:N2052)</f>
        <v>253802</v>
      </c>
      <c r="P2052" s="8">
        <f>VLOOKUP(F2052,'LEAID Match'!$A$2:$B$436,2,FALSE)</f>
        <v>0</v>
      </c>
      <c r="Q2052" s="6">
        <f>COUNTIF($P$2:$P$3691,P2052)</f>
        <v>371</v>
      </c>
    </row>
    <row r="2053" spans="1:17" x14ac:dyDescent="0.2">
      <c r="A2053" s="16">
        <f>P2053</f>
        <v>0</v>
      </c>
      <c r="B2053">
        <v>2023</v>
      </c>
      <c r="C2053" t="s">
        <v>904</v>
      </c>
      <c r="D2053" t="s">
        <v>906</v>
      </c>
      <c r="E2053" t="s">
        <v>2959</v>
      </c>
      <c r="F2053" t="s">
        <v>880</v>
      </c>
      <c r="G2053" t="s">
        <v>431</v>
      </c>
      <c r="H2053" s="6" t="s">
        <v>893</v>
      </c>
      <c r="K2053" s="6">
        <v>481943</v>
      </c>
      <c r="M2053" s="6">
        <f>SUM(H2053,J2053)</f>
        <v>0</v>
      </c>
      <c r="N2053" s="6">
        <f>K2053</f>
        <v>481943</v>
      </c>
      <c r="O2053" s="6">
        <f>SUM(M2053:N2053)</f>
        <v>481943</v>
      </c>
      <c r="P2053" s="8">
        <f>VLOOKUP(F2053,'LEAID Match'!$A$2:$B$436,2,FALSE)</f>
        <v>0</v>
      </c>
      <c r="Q2053" s="6">
        <f>COUNTIF($P$2:$P$3691,P2053)</f>
        <v>371</v>
      </c>
    </row>
    <row r="2054" spans="1:17" x14ac:dyDescent="0.2">
      <c r="A2054" s="16">
        <f>P2054</f>
        <v>0</v>
      </c>
      <c r="B2054">
        <v>2018</v>
      </c>
      <c r="C2054" t="s">
        <v>904</v>
      </c>
      <c r="D2054" t="s">
        <v>906</v>
      </c>
      <c r="E2054" t="s">
        <v>2960</v>
      </c>
      <c r="F2054" t="s">
        <v>747</v>
      </c>
      <c r="G2054" t="s">
        <v>432</v>
      </c>
      <c r="H2054" s="6">
        <v>0</v>
      </c>
      <c r="I2054" s="6">
        <v>0</v>
      </c>
      <c r="J2054" s="6">
        <v>0</v>
      </c>
      <c r="K2054" s="6">
        <v>270597</v>
      </c>
      <c r="M2054" s="6">
        <f>SUM(H2054,J2054)</f>
        <v>0</v>
      </c>
      <c r="N2054" s="6">
        <f>K2054</f>
        <v>270597</v>
      </c>
      <c r="O2054" s="6">
        <f>SUM(M2054:N2054)</f>
        <v>270597</v>
      </c>
      <c r="P2054" s="8">
        <f>VLOOKUP(F2054,'LEAID Match'!$A$2:$B$436,2,FALSE)</f>
        <v>0</v>
      </c>
      <c r="Q2054" s="6">
        <f>COUNTIF($P$2:$P$3691,P2054)</f>
        <v>371</v>
      </c>
    </row>
    <row r="2055" spans="1:17" x14ac:dyDescent="0.2">
      <c r="A2055" s="16">
        <f>P2055</f>
        <v>0</v>
      </c>
      <c r="B2055">
        <v>2020</v>
      </c>
      <c r="C2055" t="s">
        <v>904</v>
      </c>
      <c r="D2055" t="s">
        <v>906</v>
      </c>
      <c r="E2055" t="s">
        <v>2961</v>
      </c>
      <c r="F2055" t="s">
        <v>747</v>
      </c>
      <c r="G2055" t="s">
        <v>432</v>
      </c>
      <c r="H2055" s="6">
        <v>0</v>
      </c>
      <c r="I2055" s="6">
        <v>0</v>
      </c>
      <c r="J2055" s="6">
        <v>0</v>
      </c>
      <c r="K2055" s="6">
        <v>307072</v>
      </c>
      <c r="M2055" s="6">
        <f>SUM(H2055,J2055)</f>
        <v>0</v>
      </c>
      <c r="N2055" s="6">
        <f>K2055</f>
        <v>307072</v>
      </c>
      <c r="O2055" s="6">
        <f>SUM(M2055:N2055)</f>
        <v>307072</v>
      </c>
      <c r="P2055" s="8">
        <f>VLOOKUP(F2055,'LEAID Match'!$A$2:$B$436,2,FALSE)</f>
        <v>0</v>
      </c>
      <c r="Q2055" s="6">
        <f>COUNTIF($P$2:$P$3691,P2055)</f>
        <v>371</v>
      </c>
    </row>
    <row r="2056" spans="1:17" x14ac:dyDescent="0.2">
      <c r="A2056" s="16">
        <f>P2056</f>
        <v>0</v>
      </c>
      <c r="B2056">
        <v>2021</v>
      </c>
      <c r="C2056" t="s">
        <v>904</v>
      </c>
      <c r="D2056" t="s">
        <v>906</v>
      </c>
      <c r="E2056" t="s">
        <v>2962</v>
      </c>
      <c r="F2056" t="s">
        <v>747</v>
      </c>
      <c r="G2056" t="s">
        <v>432</v>
      </c>
      <c r="H2056" s="6" t="s">
        <v>893</v>
      </c>
      <c r="K2056" s="6">
        <v>479513</v>
      </c>
      <c r="M2056" s="6">
        <f>SUM(H2056,J2056)</f>
        <v>0</v>
      </c>
      <c r="N2056" s="6">
        <f>K2056</f>
        <v>479513</v>
      </c>
      <c r="O2056" s="6">
        <f>SUM(M2056:N2056)</f>
        <v>479513</v>
      </c>
      <c r="P2056" s="8">
        <f>VLOOKUP(F2056,'LEAID Match'!$A$2:$B$436,2,FALSE)</f>
        <v>0</v>
      </c>
      <c r="Q2056" s="6">
        <f>COUNTIF($P$2:$P$3691,P2056)</f>
        <v>371</v>
      </c>
    </row>
    <row r="2057" spans="1:17" x14ac:dyDescent="0.2">
      <c r="A2057" s="16">
        <f>P2057</f>
        <v>0</v>
      </c>
      <c r="B2057">
        <v>2022</v>
      </c>
      <c r="C2057" t="s">
        <v>904</v>
      </c>
      <c r="D2057" t="s">
        <v>906</v>
      </c>
      <c r="E2057" t="s">
        <v>2963</v>
      </c>
      <c r="F2057" t="s">
        <v>747</v>
      </c>
      <c r="G2057" t="s">
        <v>432</v>
      </c>
      <c r="H2057" s="6" t="s">
        <v>893</v>
      </c>
      <c r="K2057" s="6">
        <v>448069</v>
      </c>
      <c r="M2057" s="6">
        <f>SUM(H2057,J2057)</f>
        <v>0</v>
      </c>
      <c r="N2057" s="6">
        <f>K2057</f>
        <v>448069</v>
      </c>
      <c r="O2057" s="6">
        <f>SUM(M2057:N2057)</f>
        <v>448069</v>
      </c>
      <c r="P2057" s="8">
        <f>VLOOKUP(F2057,'LEAID Match'!$A$2:$B$436,2,FALSE)</f>
        <v>0</v>
      </c>
      <c r="Q2057" s="6">
        <f>COUNTIF($P$2:$P$3691,P2057)</f>
        <v>371</v>
      </c>
    </row>
    <row r="2058" spans="1:17" x14ac:dyDescent="0.2">
      <c r="A2058" s="16">
        <f>P2058</f>
        <v>0</v>
      </c>
      <c r="B2058">
        <v>2023</v>
      </c>
      <c r="C2058" t="s">
        <v>904</v>
      </c>
      <c r="D2058" t="s">
        <v>906</v>
      </c>
      <c r="E2058" t="s">
        <v>2964</v>
      </c>
      <c r="F2058" t="s">
        <v>747</v>
      </c>
      <c r="G2058" t="s">
        <v>432</v>
      </c>
      <c r="H2058" s="6" t="s">
        <v>893</v>
      </c>
      <c r="K2058" s="6">
        <v>975744</v>
      </c>
      <c r="M2058" s="6">
        <f>SUM(H2058,J2058)</f>
        <v>0</v>
      </c>
      <c r="N2058" s="6">
        <f>K2058</f>
        <v>975744</v>
      </c>
      <c r="O2058" s="6">
        <f>SUM(M2058:N2058)</f>
        <v>975744</v>
      </c>
      <c r="P2058" s="8">
        <f>VLOOKUP(F2058,'LEAID Match'!$A$2:$B$436,2,FALSE)</f>
        <v>0</v>
      </c>
      <c r="Q2058" s="6">
        <f>COUNTIF($P$2:$P$3691,P2058)</f>
        <v>371</v>
      </c>
    </row>
    <row r="2059" spans="1:17" x14ac:dyDescent="0.2">
      <c r="A2059" s="16">
        <f>P2059</f>
        <v>1809180</v>
      </c>
      <c r="B2059">
        <v>2015</v>
      </c>
      <c r="C2059" t="s">
        <v>904</v>
      </c>
      <c r="D2059" t="s">
        <v>906</v>
      </c>
      <c r="E2059" t="s">
        <v>2965</v>
      </c>
      <c r="F2059" t="s">
        <v>562</v>
      </c>
      <c r="G2059" t="s">
        <v>228</v>
      </c>
      <c r="H2059" s="6">
        <v>233287</v>
      </c>
      <c r="I2059" s="6">
        <v>1.1344063415146273E-3</v>
      </c>
      <c r="J2059" s="6">
        <v>6592.0352505414994</v>
      </c>
      <c r="K2059" s="6">
        <v>959272.15288623294</v>
      </c>
      <c r="M2059" s="6">
        <f>SUM(H2059,J2059)</f>
        <v>239879.03525054149</v>
      </c>
      <c r="N2059" s="6">
        <f>K2059</f>
        <v>959272.15288623294</v>
      </c>
      <c r="O2059" s="6">
        <f>SUM(M2059:N2059)</f>
        <v>1199151.1881367743</v>
      </c>
      <c r="P2059" s="8">
        <f>VLOOKUP(F2059,'LEAID Match'!$A$2:$B$436,2,FALSE)</f>
        <v>1809180</v>
      </c>
      <c r="Q2059" s="6">
        <f>COUNTIF($P$2:$P$3691,P2059)</f>
        <v>9</v>
      </c>
    </row>
    <row r="2060" spans="1:17" x14ac:dyDescent="0.2">
      <c r="A2060" s="16">
        <f>P2060</f>
        <v>1809180</v>
      </c>
      <c r="B2060">
        <v>2016</v>
      </c>
      <c r="C2060" t="s">
        <v>904</v>
      </c>
      <c r="D2060" t="s">
        <v>906</v>
      </c>
      <c r="E2060" t="s">
        <v>2966</v>
      </c>
      <c r="F2060" t="s">
        <v>562</v>
      </c>
      <c r="G2060" t="s">
        <v>228</v>
      </c>
      <c r="H2060" s="6">
        <v>238011</v>
      </c>
      <c r="I2060" s="6">
        <v>1.1044002716197974E-3</v>
      </c>
      <c r="J2060" s="6">
        <v>5575.0125711367373</v>
      </c>
      <c r="K2060" s="6">
        <v>980155.24106257001</v>
      </c>
      <c r="M2060" s="6">
        <f>SUM(H2060,J2060)</f>
        <v>243586.01257113673</v>
      </c>
      <c r="N2060" s="6">
        <f>K2060</f>
        <v>980155.24106257001</v>
      </c>
      <c r="O2060" s="6">
        <f>SUM(M2060:N2060)</f>
        <v>1223741.2536337068</v>
      </c>
      <c r="P2060" s="8">
        <f>VLOOKUP(F2060,'LEAID Match'!$A$2:$B$436,2,FALSE)</f>
        <v>1809180</v>
      </c>
      <c r="Q2060" s="6">
        <f>COUNTIF($P$2:$P$3691,P2060)</f>
        <v>9</v>
      </c>
    </row>
    <row r="2061" spans="1:17" x14ac:dyDescent="0.2">
      <c r="A2061" s="16">
        <f>P2061</f>
        <v>1809180</v>
      </c>
      <c r="B2061">
        <v>2017</v>
      </c>
      <c r="C2061" t="s">
        <v>904</v>
      </c>
      <c r="D2061" t="s">
        <v>906</v>
      </c>
      <c r="E2061" t="s">
        <v>2967</v>
      </c>
      <c r="F2061" t="s">
        <v>562</v>
      </c>
      <c r="G2061" t="s">
        <v>228</v>
      </c>
      <c r="H2061" s="6">
        <v>251654</v>
      </c>
      <c r="I2061" s="6">
        <v>1.1081402211169824E-3</v>
      </c>
      <c r="J2061" s="6">
        <v>5014.3345005543451</v>
      </c>
      <c r="K2061" s="6">
        <v>965190.13259289099</v>
      </c>
      <c r="M2061" s="6">
        <f>SUM(H2061,J2061)</f>
        <v>256668.33450055434</v>
      </c>
      <c r="N2061" s="6">
        <f>K2061</f>
        <v>965190.13259289099</v>
      </c>
      <c r="O2061" s="6">
        <f>SUM(M2061:N2061)</f>
        <v>1221858.4670934454</v>
      </c>
      <c r="P2061" s="8">
        <f>VLOOKUP(F2061,'LEAID Match'!$A$2:$B$436,2,FALSE)</f>
        <v>1809180</v>
      </c>
      <c r="Q2061" s="6">
        <f>COUNTIF($P$2:$P$3691,P2061)</f>
        <v>9</v>
      </c>
    </row>
    <row r="2062" spans="1:17" x14ac:dyDescent="0.2">
      <c r="A2062" s="16">
        <f>P2062</f>
        <v>1809180</v>
      </c>
      <c r="B2062">
        <v>2018</v>
      </c>
      <c r="C2062" t="s">
        <v>904</v>
      </c>
      <c r="D2062" t="s">
        <v>906</v>
      </c>
      <c r="E2062" t="s">
        <v>2968</v>
      </c>
      <c r="F2062" t="s">
        <v>562</v>
      </c>
      <c r="G2062" t="s">
        <v>228</v>
      </c>
      <c r="H2062" s="6">
        <v>269807</v>
      </c>
      <c r="I2062" s="6">
        <v>1.1446213436713461E-3</v>
      </c>
      <c r="J2062" s="6">
        <v>4770.7817604221709</v>
      </c>
      <c r="K2062" s="6">
        <v>885957</v>
      </c>
      <c r="M2062" s="6">
        <f>SUM(H2062,J2062)</f>
        <v>274577.78176042216</v>
      </c>
      <c r="N2062" s="6">
        <f>K2062</f>
        <v>885957</v>
      </c>
      <c r="O2062" s="6">
        <f>SUM(M2062:N2062)</f>
        <v>1160534.781760422</v>
      </c>
      <c r="P2062" s="8">
        <f>VLOOKUP(F2062,'LEAID Match'!$A$2:$B$436,2,FALSE)</f>
        <v>1809180</v>
      </c>
      <c r="Q2062" s="6">
        <f>COUNTIF($P$2:$P$3691,P2062)</f>
        <v>9</v>
      </c>
    </row>
    <row r="2063" spans="1:17" x14ac:dyDescent="0.2">
      <c r="A2063" s="16">
        <f>P2063</f>
        <v>1809180</v>
      </c>
      <c r="B2063">
        <v>2019</v>
      </c>
      <c r="C2063" t="s">
        <v>904</v>
      </c>
      <c r="D2063" t="s">
        <v>906</v>
      </c>
      <c r="E2063" t="s">
        <v>2969</v>
      </c>
      <c r="F2063" t="s">
        <v>562</v>
      </c>
      <c r="G2063" t="s">
        <v>228</v>
      </c>
      <c r="H2063" s="6">
        <v>288798</v>
      </c>
      <c r="I2063" s="6">
        <v>7.347005457242334E-4</v>
      </c>
      <c r="J2063" s="6">
        <v>2575.1254127634379</v>
      </c>
      <c r="K2063" s="6">
        <v>693483.84510910301</v>
      </c>
      <c r="M2063" s="6">
        <f>SUM(H2063,J2063)</f>
        <v>291373.12541276345</v>
      </c>
      <c r="N2063" s="6">
        <f>K2063</f>
        <v>693483.84510910301</v>
      </c>
      <c r="O2063" s="6">
        <f>SUM(M2063:N2063)</f>
        <v>984856.97052186646</v>
      </c>
      <c r="P2063" s="8">
        <f>VLOOKUP(F2063,'LEAID Match'!$A$2:$B$436,2,FALSE)</f>
        <v>1809180</v>
      </c>
      <c r="Q2063" s="6">
        <f>COUNTIF($P$2:$P$3691,P2063)</f>
        <v>9</v>
      </c>
    </row>
    <row r="2064" spans="1:17" x14ac:dyDescent="0.2">
      <c r="A2064" s="16">
        <f>P2064</f>
        <v>1809180</v>
      </c>
      <c r="B2064">
        <v>2020</v>
      </c>
      <c r="C2064" t="s">
        <v>904</v>
      </c>
      <c r="D2064" t="s">
        <v>906</v>
      </c>
      <c r="E2064" t="s">
        <v>2970</v>
      </c>
      <c r="F2064" t="s">
        <v>562</v>
      </c>
      <c r="G2064" t="s">
        <v>228</v>
      </c>
      <c r="H2064" s="6">
        <v>218738</v>
      </c>
      <c r="I2064" s="6">
        <v>1.15902872610663E-3</v>
      </c>
      <c r="J2064" s="6">
        <v>2730.6716787072201</v>
      </c>
      <c r="K2064" s="6">
        <v>945785</v>
      </c>
      <c r="M2064" s="6">
        <f>SUM(H2064,J2064)</f>
        <v>221468.67167870721</v>
      </c>
      <c r="N2064" s="6">
        <f>K2064</f>
        <v>945785</v>
      </c>
      <c r="O2064" s="6">
        <f>SUM(M2064:N2064)</f>
        <v>1167253.6716787072</v>
      </c>
      <c r="P2064" s="8">
        <f>VLOOKUP(F2064,'LEAID Match'!$A$2:$B$436,2,FALSE)</f>
        <v>1809180</v>
      </c>
      <c r="Q2064" s="6">
        <f>COUNTIF($P$2:$P$3691,P2064)</f>
        <v>9</v>
      </c>
    </row>
    <row r="2065" spans="1:17" x14ac:dyDescent="0.2">
      <c r="A2065" s="16">
        <f>P2065</f>
        <v>1809180</v>
      </c>
      <c r="B2065">
        <v>2021</v>
      </c>
      <c r="C2065" t="s">
        <v>904</v>
      </c>
      <c r="D2065" t="s">
        <v>906</v>
      </c>
      <c r="E2065" t="s">
        <v>2971</v>
      </c>
      <c r="F2065" t="s">
        <v>562</v>
      </c>
      <c r="G2065" t="s">
        <v>228</v>
      </c>
      <c r="H2065" s="6">
        <v>230657</v>
      </c>
      <c r="I2065" s="6">
        <v>1.1394670308542746E-3</v>
      </c>
      <c r="J2065" s="6">
        <v>2568.3586875455348</v>
      </c>
      <c r="K2065" s="6">
        <v>1525969</v>
      </c>
      <c r="M2065" s="6">
        <f>SUM(H2065,J2065)</f>
        <v>233225.35868754552</v>
      </c>
      <c r="N2065" s="6">
        <f>K2065</f>
        <v>1525969</v>
      </c>
      <c r="O2065" s="6">
        <f>SUM(M2065:N2065)</f>
        <v>1759194.3586875456</v>
      </c>
      <c r="P2065" s="8">
        <f>VLOOKUP(F2065,'LEAID Match'!$A$2:$B$436,2,FALSE)</f>
        <v>1809180</v>
      </c>
      <c r="Q2065" s="6">
        <f>COUNTIF($P$2:$P$3691,P2065)</f>
        <v>9</v>
      </c>
    </row>
    <row r="2066" spans="1:17" x14ac:dyDescent="0.2">
      <c r="A2066" s="16">
        <f>P2066</f>
        <v>1809180</v>
      </c>
      <c r="B2066">
        <v>2022</v>
      </c>
      <c r="C2066" t="s">
        <v>904</v>
      </c>
      <c r="D2066" t="s">
        <v>906</v>
      </c>
      <c r="E2066" t="s">
        <v>2972</v>
      </c>
      <c r="F2066" t="s">
        <v>562</v>
      </c>
      <c r="G2066" t="s">
        <v>228</v>
      </c>
      <c r="H2066" s="6">
        <v>239033</v>
      </c>
      <c r="I2066" s="6">
        <v>1.1349731085544684E-3</v>
      </c>
      <c r="J2066" s="6">
        <v>2502.6157043626031</v>
      </c>
      <c r="K2066" s="6">
        <v>1506069</v>
      </c>
      <c r="M2066" s="6">
        <f>SUM(H2066,J2066)</f>
        <v>241535.6157043626</v>
      </c>
      <c r="N2066" s="6">
        <f>K2066</f>
        <v>1506069</v>
      </c>
      <c r="O2066" s="6">
        <f>SUM(M2066:N2066)</f>
        <v>1747604.6157043625</v>
      </c>
      <c r="P2066" s="8">
        <f>VLOOKUP(F2066,'LEAID Match'!$A$2:$B$436,2,FALSE)</f>
        <v>1809180</v>
      </c>
      <c r="Q2066" s="6">
        <f>COUNTIF($P$2:$P$3691,P2066)</f>
        <v>9</v>
      </c>
    </row>
    <row r="2067" spans="1:17" x14ac:dyDescent="0.2">
      <c r="A2067" s="16">
        <f>P2067</f>
        <v>1809180</v>
      </c>
      <c r="B2067">
        <v>2023</v>
      </c>
      <c r="C2067" t="s">
        <v>904</v>
      </c>
      <c r="D2067" t="s">
        <v>906</v>
      </c>
      <c r="E2067" t="s">
        <v>2973</v>
      </c>
      <c r="F2067" t="s">
        <v>562</v>
      </c>
      <c r="G2067" t="s">
        <v>228</v>
      </c>
      <c r="H2067" s="6">
        <v>286618</v>
      </c>
      <c r="I2067" s="6">
        <v>1.1721101370167134E-3</v>
      </c>
      <c r="J2067" s="6">
        <v>2891.595708020232</v>
      </c>
      <c r="K2067" s="6">
        <v>4171475</v>
      </c>
      <c r="M2067" s="6">
        <f>SUM(H2067,J2067)</f>
        <v>289509.59570802021</v>
      </c>
      <c r="N2067" s="6">
        <f>K2067</f>
        <v>4171475</v>
      </c>
      <c r="O2067" s="6">
        <f>SUM(M2067:N2067)</f>
        <v>4460984.59570802</v>
      </c>
      <c r="P2067" s="8">
        <f>VLOOKUP(F2067,'LEAID Match'!$A$2:$B$436,2,FALSE)</f>
        <v>1809180</v>
      </c>
      <c r="Q2067" s="6">
        <f>COUNTIF($P$2:$P$3691,P2067)</f>
        <v>9</v>
      </c>
    </row>
    <row r="2068" spans="1:17" x14ac:dyDescent="0.2">
      <c r="A2068" s="16">
        <f>P2068</f>
        <v>1811700</v>
      </c>
      <c r="B2068">
        <v>2015</v>
      </c>
      <c r="C2068" t="s">
        <v>904</v>
      </c>
      <c r="D2068" t="s">
        <v>906</v>
      </c>
      <c r="E2068" t="s">
        <v>2974</v>
      </c>
      <c r="F2068" t="s">
        <v>748</v>
      </c>
      <c r="G2068" t="s">
        <v>229</v>
      </c>
      <c r="H2068" s="6">
        <v>252878</v>
      </c>
      <c r="I2068" s="6">
        <v>1.2296716354942021E-3</v>
      </c>
      <c r="J2068" s="6">
        <v>7145.6218738568086</v>
      </c>
      <c r="K2068" s="6">
        <v>1039830.00972006</v>
      </c>
      <c r="M2068" s="6">
        <f>SUM(H2068,J2068)</f>
        <v>260023.62187385681</v>
      </c>
      <c r="N2068" s="6">
        <f>K2068</f>
        <v>1039830.00972006</v>
      </c>
      <c r="O2068" s="6">
        <f>SUM(M2068:N2068)</f>
        <v>1299853.6315939168</v>
      </c>
      <c r="P2068" s="8">
        <f>VLOOKUP(F2068,'LEAID Match'!$A$2:$B$436,2,FALSE)</f>
        <v>1811700</v>
      </c>
      <c r="Q2068" s="6">
        <f>COUNTIF($P$2:$P$3691,P2068)</f>
        <v>9</v>
      </c>
    </row>
    <row r="2069" spans="1:17" x14ac:dyDescent="0.2">
      <c r="A2069" s="16">
        <f>P2069</f>
        <v>1811700</v>
      </c>
      <c r="B2069">
        <v>2016</v>
      </c>
      <c r="C2069" t="s">
        <v>904</v>
      </c>
      <c r="D2069" t="s">
        <v>906</v>
      </c>
      <c r="E2069" t="s">
        <v>2975</v>
      </c>
      <c r="F2069" t="s">
        <v>748</v>
      </c>
      <c r="G2069" t="s">
        <v>229</v>
      </c>
      <c r="H2069" s="6">
        <v>275063</v>
      </c>
      <c r="I2069" s="6">
        <v>1.2763261022076975E-3</v>
      </c>
      <c r="J2069" s="6">
        <v>6442.8941639444574</v>
      </c>
      <c r="K2069" s="6">
        <v>1132739.41570933</v>
      </c>
      <c r="M2069" s="6">
        <f>SUM(H2069,J2069)</f>
        <v>281505.89416394447</v>
      </c>
      <c r="N2069" s="6">
        <f>K2069</f>
        <v>1132739.41570933</v>
      </c>
      <c r="O2069" s="6">
        <f>SUM(M2069:N2069)</f>
        <v>1414245.3098732745</v>
      </c>
      <c r="P2069" s="8">
        <f>VLOOKUP(F2069,'LEAID Match'!$A$2:$B$436,2,FALSE)</f>
        <v>1811700</v>
      </c>
      <c r="Q2069" s="6">
        <f>COUNTIF($P$2:$P$3691,P2069)</f>
        <v>9</v>
      </c>
    </row>
    <row r="2070" spans="1:17" x14ac:dyDescent="0.2">
      <c r="A2070" s="16">
        <f>P2070</f>
        <v>1811700</v>
      </c>
      <c r="B2070">
        <v>2017</v>
      </c>
      <c r="C2070" t="s">
        <v>904</v>
      </c>
      <c r="D2070" t="s">
        <v>906</v>
      </c>
      <c r="E2070" t="s">
        <v>2976</v>
      </c>
      <c r="F2070" t="s">
        <v>748</v>
      </c>
      <c r="G2070" t="s">
        <v>229</v>
      </c>
      <c r="H2070" s="6">
        <v>291252</v>
      </c>
      <c r="I2070" s="6">
        <v>1.2825071553830393E-3</v>
      </c>
      <c r="J2070" s="6">
        <v>5803.3448781082534</v>
      </c>
      <c r="K2070" s="6">
        <v>1117063.7323386199</v>
      </c>
      <c r="M2070" s="6">
        <f>SUM(H2070,J2070)</f>
        <v>297055.34487810824</v>
      </c>
      <c r="N2070" s="6">
        <f>K2070</f>
        <v>1117063.7323386199</v>
      </c>
      <c r="O2070" s="6">
        <f>SUM(M2070:N2070)</f>
        <v>1414119.0772167281</v>
      </c>
      <c r="P2070" s="8">
        <f>VLOOKUP(F2070,'LEAID Match'!$A$2:$B$436,2,FALSE)</f>
        <v>1811700</v>
      </c>
      <c r="Q2070" s="6">
        <f>COUNTIF($P$2:$P$3691,P2070)</f>
        <v>9</v>
      </c>
    </row>
    <row r="2071" spans="1:17" x14ac:dyDescent="0.2">
      <c r="A2071" s="16">
        <f>P2071</f>
        <v>1811700</v>
      </c>
      <c r="B2071">
        <v>2018</v>
      </c>
      <c r="C2071" t="s">
        <v>904</v>
      </c>
      <c r="D2071" t="s">
        <v>906</v>
      </c>
      <c r="E2071" t="s">
        <v>2977</v>
      </c>
      <c r="F2071" t="s">
        <v>748</v>
      </c>
      <c r="G2071" t="s">
        <v>229</v>
      </c>
      <c r="H2071" s="6">
        <v>304760</v>
      </c>
      <c r="I2071" s="6">
        <v>1.2929049309220275E-3</v>
      </c>
      <c r="J2071" s="6">
        <v>5388.8277520830106</v>
      </c>
      <c r="K2071" s="6">
        <v>1276248</v>
      </c>
      <c r="M2071" s="6">
        <f>SUM(H2071,J2071)</f>
        <v>310148.82775208302</v>
      </c>
      <c r="N2071" s="6">
        <f>K2071</f>
        <v>1276248</v>
      </c>
      <c r="O2071" s="6">
        <f>SUM(M2071:N2071)</f>
        <v>1586396.8277520831</v>
      </c>
      <c r="P2071" s="8">
        <f>VLOOKUP(F2071,'LEAID Match'!$A$2:$B$436,2,FALSE)</f>
        <v>1811700</v>
      </c>
      <c r="Q2071" s="6">
        <f>COUNTIF($P$2:$P$3691,P2071)</f>
        <v>9</v>
      </c>
    </row>
    <row r="2072" spans="1:17" x14ac:dyDescent="0.2">
      <c r="A2072" s="16">
        <f>P2072</f>
        <v>1811700</v>
      </c>
      <c r="B2072">
        <v>2019</v>
      </c>
      <c r="C2072" t="s">
        <v>904</v>
      </c>
      <c r="D2072" t="s">
        <v>906</v>
      </c>
      <c r="E2072" t="s">
        <v>2978</v>
      </c>
      <c r="F2072" t="s">
        <v>748</v>
      </c>
      <c r="G2072" t="s">
        <v>229</v>
      </c>
      <c r="H2072" s="6">
        <v>335630</v>
      </c>
      <c r="I2072" s="6">
        <v>8.5384089973415483E-4</v>
      </c>
      <c r="J2072" s="6">
        <v>2992.7123535682126</v>
      </c>
      <c r="K2072" s="6">
        <v>805940.42525906803</v>
      </c>
      <c r="M2072" s="6">
        <f>SUM(H2072,J2072)</f>
        <v>338622.71235356823</v>
      </c>
      <c r="N2072" s="6">
        <f>K2072</f>
        <v>805940.42525906803</v>
      </c>
      <c r="O2072" s="6">
        <f>SUM(M2072:N2072)</f>
        <v>1144563.1376126362</v>
      </c>
      <c r="P2072" s="8">
        <f>VLOOKUP(F2072,'LEAID Match'!$A$2:$B$436,2,FALSE)</f>
        <v>1811700</v>
      </c>
      <c r="Q2072" s="6">
        <f>COUNTIF($P$2:$P$3691,P2072)</f>
        <v>9</v>
      </c>
    </row>
    <row r="2073" spans="1:17" x14ac:dyDescent="0.2">
      <c r="A2073" s="16">
        <f>P2073</f>
        <v>1811700</v>
      </c>
      <c r="B2073">
        <v>2020</v>
      </c>
      <c r="C2073" t="s">
        <v>904</v>
      </c>
      <c r="D2073" t="s">
        <v>906</v>
      </c>
      <c r="E2073" t="s">
        <v>2979</v>
      </c>
      <c r="F2073" t="s">
        <v>748</v>
      </c>
      <c r="G2073" t="s">
        <v>229</v>
      </c>
      <c r="H2073" s="6">
        <v>257225</v>
      </c>
      <c r="I2073" s="6">
        <v>1.3629600895718984E-3</v>
      </c>
      <c r="J2073" s="6">
        <v>3211.1339710313928</v>
      </c>
      <c r="K2073" s="6">
        <v>1373375</v>
      </c>
      <c r="M2073" s="6">
        <f>SUM(H2073,J2073)</f>
        <v>260436.13397103141</v>
      </c>
      <c r="N2073" s="6">
        <f>K2073</f>
        <v>1373375</v>
      </c>
      <c r="O2073" s="6">
        <f>SUM(M2073:N2073)</f>
        <v>1633811.1339710313</v>
      </c>
      <c r="P2073" s="8">
        <f>VLOOKUP(F2073,'LEAID Match'!$A$2:$B$436,2,FALSE)</f>
        <v>1811700</v>
      </c>
      <c r="Q2073" s="6">
        <f>COUNTIF($P$2:$P$3691,P2073)</f>
        <v>9</v>
      </c>
    </row>
    <row r="2074" spans="1:17" x14ac:dyDescent="0.2">
      <c r="A2074" s="16">
        <f>P2074</f>
        <v>1811700</v>
      </c>
      <c r="B2074">
        <v>2021</v>
      </c>
      <c r="C2074" t="s">
        <v>904</v>
      </c>
      <c r="D2074" t="s">
        <v>906</v>
      </c>
      <c r="E2074" t="s">
        <v>2980</v>
      </c>
      <c r="F2074" t="s">
        <v>748</v>
      </c>
      <c r="G2074" t="s">
        <v>229</v>
      </c>
      <c r="H2074" s="6">
        <v>278447</v>
      </c>
      <c r="I2074" s="6">
        <v>1.3755540752731553E-3</v>
      </c>
      <c r="J2074" s="6">
        <v>3100.4988856656919</v>
      </c>
      <c r="K2074" s="6">
        <v>2324197</v>
      </c>
      <c r="M2074" s="6">
        <f>SUM(H2074,J2074)</f>
        <v>281547.49888566567</v>
      </c>
      <c r="N2074" s="6">
        <f>K2074</f>
        <v>2324197</v>
      </c>
      <c r="O2074" s="6">
        <f>SUM(M2074:N2074)</f>
        <v>2605744.4988856656</v>
      </c>
      <c r="P2074" s="8">
        <f>VLOOKUP(F2074,'LEAID Match'!$A$2:$B$436,2,FALSE)</f>
        <v>1811700</v>
      </c>
      <c r="Q2074" s="6">
        <f>COUNTIF($P$2:$P$3691,P2074)</f>
        <v>9</v>
      </c>
    </row>
    <row r="2075" spans="1:17" x14ac:dyDescent="0.2">
      <c r="A2075" s="16">
        <f>P2075</f>
        <v>1811700</v>
      </c>
      <c r="B2075">
        <v>2022</v>
      </c>
      <c r="C2075" t="s">
        <v>904</v>
      </c>
      <c r="D2075" t="s">
        <v>906</v>
      </c>
      <c r="E2075" t="s">
        <v>2981</v>
      </c>
      <c r="F2075" t="s">
        <v>748</v>
      </c>
      <c r="G2075" t="s">
        <v>229</v>
      </c>
      <c r="H2075" s="6">
        <v>288129</v>
      </c>
      <c r="I2075" s="6">
        <v>1.3680900411018162E-3</v>
      </c>
      <c r="J2075" s="6">
        <v>3016.6385406295044</v>
      </c>
      <c r="K2075" s="6">
        <v>2253211</v>
      </c>
      <c r="M2075" s="6">
        <f>SUM(H2075,J2075)</f>
        <v>291145.63854062953</v>
      </c>
      <c r="N2075" s="6">
        <f>K2075</f>
        <v>2253211</v>
      </c>
      <c r="O2075" s="6">
        <f>SUM(M2075:N2075)</f>
        <v>2544356.6385406293</v>
      </c>
      <c r="P2075" s="8">
        <f>VLOOKUP(F2075,'LEAID Match'!$A$2:$B$436,2,FALSE)</f>
        <v>1811700</v>
      </c>
      <c r="Q2075" s="6">
        <f>COUNTIF($P$2:$P$3691,P2075)</f>
        <v>9</v>
      </c>
    </row>
    <row r="2076" spans="1:17" x14ac:dyDescent="0.2">
      <c r="A2076" s="16">
        <f>P2076</f>
        <v>1811700</v>
      </c>
      <c r="B2076">
        <v>2023</v>
      </c>
      <c r="C2076" t="s">
        <v>904</v>
      </c>
      <c r="D2076" t="s">
        <v>906</v>
      </c>
      <c r="E2076" t="s">
        <v>2982</v>
      </c>
      <c r="F2076" t="s">
        <v>748</v>
      </c>
      <c r="G2076" t="s">
        <v>229</v>
      </c>
      <c r="H2076" s="6">
        <v>344860</v>
      </c>
      <c r="I2076" s="6">
        <v>1.4102879158028588E-3</v>
      </c>
      <c r="J2076" s="6">
        <v>3479.1802882856528</v>
      </c>
      <c r="K2076" s="6">
        <v>6951329</v>
      </c>
      <c r="M2076" s="6">
        <f>SUM(H2076,J2076)</f>
        <v>348339.18028828566</v>
      </c>
      <c r="N2076" s="6">
        <f>K2076</f>
        <v>6951329</v>
      </c>
      <c r="O2076" s="6">
        <f>SUM(M2076:N2076)</f>
        <v>7299668.1802882859</v>
      </c>
      <c r="P2076" s="8">
        <f>VLOOKUP(F2076,'LEAID Match'!$A$2:$B$436,2,FALSE)</f>
        <v>1811700</v>
      </c>
      <c r="Q2076" s="6">
        <f>COUNTIF($P$2:$P$3691,P2076)</f>
        <v>9</v>
      </c>
    </row>
    <row r="2077" spans="1:17" x14ac:dyDescent="0.2">
      <c r="A2077" s="16">
        <f>P2077</f>
        <v>0</v>
      </c>
      <c r="B2077">
        <v>2016</v>
      </c>
      <c r="C2077" t="s">
        <v>904</v>
      </c>
      <c r="D2077" t="s">
        <v>906</v>
      </c>
      <c r="E2077" t="s">
        <v>4391</v>
      </c>
      <c r="F2077" t="s">
        <v>858</v>
      </c>
      <c r="G2077" t="s">
        <v>379</v>
      </c>
      <c r="H2077" s="6" t="s">
        <v>187</v>
      </c>
      <c r="I2077" s="6">
        <v>0</v>
      </c>
      <c r="J2077" s="6">
        <v>0</v>
      </c>
      <c r="K2077" s="6">
        <v>0</v>
      </c>
      <c r="M2077" s="6">
        <f>SUM(H2077,J2077)</f>
        <v>0</v>
      </c>
      <c r="N2077" s="6">
        <f>K2077</f>
        <v>0</v>
      </c>
      <c r="O2077" s="6">
        <f>SUM(M2077:N2077)</f>
        <v>0</v>
      </c>
      <c r="P2077" s="8">
        <f>VLOOKUP(F2077,'LEAID Match'!$A$2:$B$436,2,FALSE)</f>
        <v>0</v>
      </c>
      <c r="Q2077" s="6">
        <f>COUNTIF($P$2:$P$3691,P2077)</f>
        <v>371</v>
      </c>
    </row>
    <row r="2078" spans="1:17" x14ac:dyDescent="0.2">
      <c r="A2078" s="16">
        <f>P2078</f>
        <v>0</v>
      </c>
      <c r="B2078">
        <v>2017</v>
      </c>
      <c r="C2078" t="s">
        <v>904</v>
      </c>
      <c r="D2078" t="s">
        <v>906</v>
      </c>
      <c r="E2078" t="s">
        <v>4392</v>
      </c>
      <c r="F2078" t="s">
        <v>858</v>
      </c>
      <c r="G2078" t="s">
        <v>379</v>
      </c>
      <c r="H2078" s="6">
        <v>49948</v>
      </c>
      <c r="I2078" s="6">
        <v>2.1994241205922034E-4</v>
      </c>
      <c r="J2078" s="6">
        <v>995.23941456797206</v>
      </c>
      <c r="K2078" s="6">
        <v>191569.84090358001</v>
      </c>
      <c r="M2078" s="6">
        <f>SUM(H2078,J2078)</f>
        <v>50943.239414567972</v>
      </c>
      <c r="N2078" s="6">
        <f>K2078</f>
        <v>191569.84090358001</v>
      </c>
      <c r="O2078" s="6">
        <f>SUM(M2078:N2078)</f>
        <v>242513.08031814799</v>
      </c>
      <c r="P2078" s="8">
        <f>VLOOKUP(F2078,'LEAID Match'!$A$2:$B$436,2,FALSE)</f>
        <v>0</v>
      </c>
      <c r="Q2078" s="6">
        <f>COUNTIF($P$2:$P$3691,P2078)</f>
        <v>371</v>
      </c>
    </row>
    <row r="2079" spans="1:17" x14ac:dyDescent="0.2">
      <c r="A2079" s="16">
        <f>P2079</f>
        <v>0</v>
      </c>
      <c r="B2079">
        <v>2018</v>
      </c>
      <c r="C2079" t="s">
        <v>904</v>
      </c>
      <c r="D2079" t="s">
        <v>906</v>
      </c>
      <c r="E2079" t="s">
        <v>4393</v>
      </c>
      <c r="F2079" t="s">
        <v>858</v>
      </c>
      <c r="G2079" t="s">
        <v>379</v>
      </c>
      <c r="H2079" s="6">
        <v>35369</v>
      </c>
      <c r="I2079" s="6">
        <v>1.5004841351155398E-4</v>
      </c>
      <c r="J2079" s="6">
        <v>625.40178751615701</v>
      </c>
      <c r="K2079" s="6">
        <v>0</v>
      </c>
      <c r="M2079" s="6">
        <f>SUM(H2079,J2079)</f>
        <v>35994.401787516159</v>
      </c>
      <c r="N2079" s="6">
        <f>K2079</f>
        <v>0</v>
      </c>
      <c r="O2079" s="6">
        <f>SUM(M2079:N2079)</f>
        <v>35994.401787516159</v>
      </c>
      <c r="P2079" s="8">
        <f>VLOOKUP(F2079,'LEAID Match'!$A$2:$B$436,2,FALSE)</f>
        <v>0</v>
      </c>
      <c r="Q2079" s="6">
        <f>COUNTIF($P$2:$P$3691,P2079)</f>
        <v>371</v>
      </c>
    </row>
    <row r="2080" spans="1:17" x14ac:dyDescent="0.2">
      <c r="A2080" s="16">
        <f>P2080</f>
        <v>0</v>
      </c>
      <c r="B2080">
        <v>2019</v>
      </c>
      <c r="C2080" t="s">
        <v>904</v>
      </c>
      <c r="D2080" t="s">
        <v>906</v>
      </c>
      <c r="E2080" t="s">
        <v>4394</v>
      </c>
      <c r="F2080" t="s">
        <v>858</v>
      </c>
      <c r="G2080" t="s">
        <v>379</v>
      </c>
      <c r="H2080" s="6">
        <v>32985</v>
      </c>
      <c r="I2080" s="6">
        <v>8.391366110815808E-5</v>
      </c>
      <c r="J2080" s="6">
        <v>294.11738218409408</v>
      </c>
      <c r="K2080" s="6">
        <v>79206.104719990399</v>
      </c>
      <c r="M2080" s="6">
        <f>SUM(H2080,J2080)</f>
        <v>33279.117382184093</v>
      </c>
      <c r="N2080" s="6">
        <f>K2080</f>
        <v>79206.104719990399</v>
      </c>
      <c r="O2080" s="6">
        <f>SUM(M2080:N2080)</f>
        <v>112485.22210217449</v>
      </c>
      <c r="P2080" s="8">
        <f>VLOOKUP(F2080,'LEAID Match'!$A$2:$B$436,2,FALSE)</f>
        <v>0</v>
      </c>
      <c r="Q2080" s="6">
        <f>COUNTIF($P$2:$P$3691,P2080)</f>
        <v>371</v>
      </c>
    </row>
    <row r="2081" spans="1:17" x14ac:dyDescent="0.2">
      <c r="A2081" s="16">
        <f>P2081</f>
        <v>0</v>
      </c>
      <c r="B2081">
        <v>2020</v>
      </c>
      <c r="C2081" t="s">
        <v>904</v>
      </c>
      <c r="D2081" t="s">
        <v>906</v>
      </c>
      <c r="E2081" t="s">
        <v>4395</v>
      </c>
      <c r="F2081" t="s">
        <v>858</v>
      </c>
      <c r="G2081" t="s">
        <v>379</v>
      </c>
      <c r="H2081" s="6">
        <v>30625</v>
      </c>
      <c r="I2081" s="6">
        <v>1.6227292348387361E-4</v>
      </c>
      <c r="J2081" s="6">
        <v>382.31500772800621</v>
      </c>
      <c r="K2081" s="6">
        <v>0</v>
      </c>
      <c r="M2081" s="6">
        <f>SUM(H2081,J2081)</f>
        <v>31007.315007728008</v>
      </c>
      <c r="N2081" s="6">
        <f>K2081</f>
        <v>0</v>
      </c>
      <c r="O2081" s="6">
        <f>SUM(M2081:N2081)</f>
        <v>31007.315007728008</v>
      </c>
      <c r="P2081" s="8">
        <f>VLOOKUP(F2081,'LEAID Match'!$A$2:$B$436,2,FALSE)</f>
        <v>0</v>
      </c>
      <c r="Q2081" s="6">
        <f>COUNTIF($P$2:$P$3691,P2081)</f>
        <v>371</v>
      </c>
    </row>
    <row r="2082" spans="1:17" x14ac:dyDescent="0.2">
      <c r="A2082" s="16">
        <f>P2082</f>
        <v>1809150</v>
      </c>
      <c r="B2082">
        <v>2015</v>
      </c>
      <c r="C2082" t="s">
        <v>904</v>
      </c>
      <c r="D2082" t="s">
        <v>906</v>
      </c>
      <c r="E2082" t="s">
        <v>2988</v>
      </c>
      <c r="F2082" t="s">
        <v>563</v>
      </c>
      <c r="G2082" t="s">
        <v>230</v>
      </c>
      <c r="H2082" s="6">
        <v>1233825</v>
      </c>
      <c r="I2082" s="6">
        <v>5.9997295362334158E-3</v>
      </c>
      <c r="J2082" s="6">
        <v>34864.428335052376</v>
      </c>
      <c r="K2082" s="6">
        <v>5073467.2915115496</v>
      </c>
      <c r="M2082" s="6">
        <f>SUM(H2082,J2082)</f>
        <v>1268689.4283350524</v>
      </c>
      <c r="N2082" s="6">
        <f>K2082</f>
        <v>5073467.2915115496</v>
      </c>
      <c r="O2082" s="6">
        <f>SUM(M2082:N2082)</f>
        <v>6342156.7198466025</v>
      </c>
      <c r="P2082" s="8">
        <f>VLOOKUP(F2082,'LEAID Match'!$A$2:$B$436,2,FALSE)</f>
        <v>1809150</v>
      </c>
      <c r="Q2082" s="6">
        <f>COUNTIF($P$2:$P$3691,P2082)</f>
        <v>9</v>
      </c>
    </row>
    <row r="2083" spans="1:17" x14ac:dyDescent="0.2">
      <c r="A2083" s="16">
        <f>P2083</f>
        <v>1809150</v>
      </c>
      <c r="B2083">
        <v>2016</v>
      </c>
      <c r="C2083" t="s">
        <v>904</v>
      </c>
      <c r="D2083" t="s">
        <v>906</v>
      </c>
      <c r="E2083" t="s">
        <v>2989</v>
      </c>
      <c r="F2083" t="s">
        <v>563</v>
      </c>
      <c r="G2083" t="s">
        <v>230</v>
      </c>
      <c r="H2083" s="6">
        <v>1346549</v>
      </c>
      <c r="I2083" s="6">
        <v>6.2481527381060813E-3</v>
      </c>
      <c r="J2083" s="6">
        <v>31540.675021959498</v>
      </c>
      <c r="K2083" s="6">
        <v>5545235.5550691402</v>
      </c>
      <c r="M2083" s="6">
        <f>SUM(H2083,J2083)</f>
        <v>1378089.6750219595</v>
      </c>
      <c r="N2083" s="6">
        <f>K2083</f>
        <v>5545235.5550691402</v>
      </c>
      <c r="O2083" s="6">
        <f>SUM(M2083:N2083)</f>
        <v>6923325.2300910996</v>
      </c>
      <c r="P2083" s="8">
        <f>VLOOKUP(F2083,'LEAID Match'!$A$2:$B$436,2,FALSE)</f>
        <v>1809150</v>
      </c>
      <c r="Q2083" s="6">
        <f>COUNTIF($P$2:$P$3691,P2083)</f>
        <v>9</v>
      </c>
    </row>
    <row r="2084" spans="1:17" x14ac:dyDescent="0.2">
      <c r="A2084" s="16">
        <f>P2084</f>
        <v>1809150</v>
      </c>
      <c r="B2084">
        <v>2017</v>
      </c>
      <c r="C2084" t="s">
        <v>904</v>
      </c>
      <c r="D2084" t="s">
        <v>906</v>
      </c>
      <c r="E2084" t="s">
        <v>2990</v>
      </c>
      <c r="F2084" t="s">
        <v>563</v>
      </c>
      <c r="G2084" t="s">
        <v>230</v>
      </c>
      <c r="H2084" s="6">
        <v>1347276</v>
      </c>
      <c r="I2084" s="6">
        <v>5.9326326008948939E-3</v>
      </c>
      <c r="J2084" s="6">
        <v>26845.162519049394</v>
      </c>
      <c r="K2084" s="6">
        <v>5167322.9953794498</v>
      </c>
      <c r="M2084" s="6">
        <f>SUM(H2084,J2084)</f>
        <v>1374121.1625190494</v>
      </c>
      <c r="N2084" s="6">
        <f>K2084</f>
        <v>5167322.9953794498</v>
      </c>
      <c r="O2084" s="6">
        <f>SUM(M2084:N2084)</f>
        <v>6541444.1578984987</v>
      </c>
      <c r="P2084" s="8">
        <f>VLOOKUP(F2084,'LEAID Match'!$A$2:$B$436,2,FALSE)</f>
        <v>1809150</v>
      </c>
      <c r="Q2084" s="6">
        <f>COUNTIF($P$2:$P$3691,P2084)</f>
        <v>9</v>
      </c>
    </row>
    <row r="2085" spans="1:17" x14ac:dyDescent="0.2">
      <c r="A2085" s="16">
        <f>P2085</f>
        <v>1809150</v>
      </c>
      <c r="B2085">
        <v>2018</v>
      </c>
      <c r="C2085" t="s">
        <v>904</v>
      </c>
      <c r="D2085" t="s">
        <v>906</v>
      </c>
      <c r="E2085" t="s">
        <v>2991</v>
      </c>
      <c r="F2085" t="s">
        <v>563</v>
      </c>
      <c r="G2085" t="s">
        <v>230</v>
      </c>
      <c r="H2085" s="6">
        <v>1519933</v>
      </c>
      <c r="I2085" s="6">
        <v>6.4481194066514959E-3</v>
      </c>
      <c r="J2085" s="6">
        <v>26875.761686923433</v>
      </c>
      <c r="K2085" s="6">
        <v>6541598</v>
      </c>
      <c r="M2085" s="6">
        <f>SUM(H2085,J2085)</f>
        <v>1546808.7616869234</v>
      </c>
      <c r="N2085" s="6">
        <f>K2085</f>
        <v>6541598</v>
      </c>
      <c r="O2085" s="6">
        <f>SUM(M2085:N2085)</f>
        <v>8088406.761686923</v>
      </c>
      <c r="P2085" s="8">
        <f>VLOOKUP(F2085,'LEAID Match'!$A$2:$B$436,2,FALSE)</f>
        <v>1809150</v>
      </c>
      <c r="Q2085" s="6">
        <f>COUNTIF($P$2:$P$3691,P2085)</f>
        <v>9</v>
      </c>
    </row>
    <row r="2086" spans="1:17" x14ac:dyDescent="0.2">
      <c r="A2086" s="16">
        <f>P2086</f>
        <v>1809150</v>
      </c>
      <c r="B2086">
        <v>2019</v>
      </c>
      <c r="C2086" t="s">
        <v>904</v>
      </c>
      <c r="D2086" t="s">
        <v>906</v>
      </c>
      <c r="E2086" t="s">
        <v>2992</v>
      </c>
      <c r="F2086" t="s">
        <v>563</v>
      </c>
      <c r="G2086" t="s">
        <v>230</v>
      </c>
      <c r="H2086" s="6">
        <v>1592849</v>
      </c>
      <c r="I2086" s="6">
        <v>4.0521992172947857E-3</v>
      </c>
      <c r="J2086" s="6">
        <v>14202.958256618223</v>
      </c>
      <c r="K2086" s="6">
        <v>3824870.8412045399</v>
      </c>
      <c r="M2086" s="6">
        <f>SUM(H2086,J2086)</f>
        <v>1607051.9582566181</v>
      </c>
      <c r="N2086" s="6">
        <f>K2086</f>
        <v>3824870.8412045399</v>
      </c>
      <c r="O2086" s="6">
        <f>SUM(M2086:N2086)</f>
        <v>5431922.799461158</v>
      </c>
      <c r="P2086" s="8">
        <f>VLOOKUP(F2086,'LEAID Match'!$A$2:$B$436,2,FALSE)</f>
        <v>1809150</v>
      </c>
      <c r="Q2086" s="6">
        <f>COUNTIF($P$2:$P$3691,P2086)</f>
        <v>9</v>
      </c>
    </row>
    <row r="2087" spans="1:17" x14ac:dyDescent="0.2">
      <c r="A2087" s="16">
        <f>P2087</f>
        <v>1809150</v>
      </c>
      <c r="B2087">
        <v>2020</v>
      </c>
      <c r="C2087" t="s">
        <v>904</v>
      </c>
      <c r="D2087" t="s">
        <v>906</v>
      </c>
      <c r="E2087" t="s">
        <v>2993</v>
      </c>
      <c r="F2087" t="s">
        <v>563</v>
      </c>
      <c r="G2087" t="s">
        <v>230</v>
      </c>
      <c r="H2087" s="6">
        <v>1206732</v>
      </c>
      <c r="I2087" s="6">
        <v>6.3941201469891193E-3</v>
      </c>
      <c r="J2087" s="6">
        <v>15064.547066306364</v>
      </c>
      <c r="K2087" s="6">
        <v>6583887</v>
      </c>
      <c r="M2087" s="6">
        <f>SUM(H2087,J2087)</f>
        <v>1221796.5470663065</v>
      </c>
      <c r="N2087" s="6">
        <f>K2087</f>
        <v>6583887</v>
      </c>
      <c r="O2087" s="6">
        <f>SUM(M2087:N2087)</f>
        <v>7805683.5470663067</v>
      </c>
      <c r="P2087" s="8">
        <f>VLOOKUP(F2087,'LEAID Match'!$A$2:$B$436,2,FALSE)</f>
        <v>1809150</v>
      </c>
      <c r="Q2087" s="6">
        <f>COUNTIF($P$2:$P$3691,P2087)</f>
        <v>9</v>
      </c>
    </row>
    <row r="2088" spans="1:17" x14ac:dyDescent="0.2">
      <c r="A2088" s="16">
        <f>P2088</f>
        <v>1809150</v>
      </c>
      <c r="B2088">
        <v>2021</v>
      </c>
      <c r="C2088" t="s">
        <v>904</v>
      </c>
      <c r="D2088" t="s">
        <v>906</v>
      </c>
      <c r="E2088" t="s">
        <v>2994</v>
      </c>
      <c r="F2088" t="s">
        <v>563</v>
      </c>
      <c r="G2088" t="s">
        <v>230</v>
      </c>
      <c r="H2088" s="6">
        <v>1193370</v>
      </c>
      <c r="I2088" s="6">
        <v>5.8953587821334958E-3</v>
      </c>
      <c r="J2088" s="6">
        <v>13288.138694928899</v>
      </c>
      <c r="K2088" s="6">
        <v>10420766</v>
      </c>
      <c r="M2088" s="6">
        <f>SUM(H2088,J2088)</f>
        <v>1206658.138694929</v>
      </c>
      <c r="N2088" s="6">
        <f>K2088</f>
        <v>10420766</v>
      </c>
      <c r="O2088" s="6">
        <f>SUM(M2088:N2088)</f>
        <v>11627424.138694929</v>
      </c>
      <c r="P2088" s="8">
        <f>VLOOKUP(F2088,'LEAID Match'!$A$2:$B$436,2,FALSE)</f>
        <v>1809150</v>
      </c>
      <c r="Q2088" s="6">
        <f>COUNTIF($P$2:$P$3691,P2088)</f>
        <v>9</v>
      </c>
    </row>
    <row r="2089" spans="1:17" x14ac:dyDescent="0.2">
      <c r="A2089" s="16">
        <f>P2089</f>
        <v>1809150</v>
      </c>
      <c r="B2089">
        <v>2022</v>
      </c>
      <c r="C2089" t="s">
        <v>904</v>
      </c>
      <c r="D2089" t="s">
        <v>906</v>
      </c>
      <c r="E2089" t="s">
        <v>2995</v>
      </c>
      <c r="F2089" t="s">
        <v>563</v>
      </c>
      <c r="G2089" t="s">
        <v>230</v>
      </c>
      <c r="H2089" s="6">
        <v>1352549</v>
      </c>
      <c r="I2089" s="6">
        <v>6.4221540247674487E-3</v>
      </c>
      <c r="J2089" s="6">
        <v>14160.849624612225</v>
      </c>
      <c r="K2089" s="6">
        <v>10339686</v>
      </c>
      <c r="M2089" s="6">
        <f>SUM(H2089,J2089)</f>
        <v>1366709.8496246121</v>
      </c>
      <c r="N2089" s="6">
        <f>K2089</f>
        <v>10339686</v>
      </c>
      <c r="O2089" s="6">
        <f>SUM(M2089:N2089)</f>
        <v>11706395.849624611</v>
      </c>
      <c r="P2089" s="8">
        <f>VLOOKUP(F2089,'LEAID Match'!$A$2:$B$436,2,FALSE)</f>
        <v>1809150</v>
      </c>
      <c r="Q2089" s="6">
        <f>COUNTIF($P$2:$P$3691,P2089)</f>
        <v>9</v>
      </c>
    </row>
    <row r="2090" spans="1:17" x14ac:dyDescent="0.2">
      <c r="A2090" s="16">
        <f>P2090</f>
        <v>1809150</v>
      </c>
      <c r="B2090">
        <v>2023</v>
      </c>
      <c r="C2090" t="s">
        <v>904</v>
      </c>
      <c r="D2090" t="s">
        <v>906</v>
      </c>
      <c r="E2090" t="s">
        <v>2996</v>
      </c>
      <c r="F2090" t="s">
        <v>563</v>
      </c>
      <c r="G2090" t="s">
        <v>230</v>
      </c>
      <c r="H2090" s="6">
        <v>1453894</v>
      </c>
      <c r="I2090" s="6">
        <v>5.9456276142732748E-3</v>
      </c>
      <c r="J2090" s="6">
        <v>14667.863324412168</v>
      </c>
      <c r="K2090" s="6">
        <v>25023768</v>
      </c>
      <c r="M2090" s="6">
        <f>SUM(H2090,J2090)</f>
        <v>1468561.8633244121</v>
      </c>
      <c r="N2090" s="6">
        <f>K2090</f>
        <v>25023768</v>
      </c>
      <c r="O2090" s="6">
        <f>SUM(M2090:N2090)</f>
        <v>26492329.863324411</v>
      </c>
      <c r="P2090" s="8">
        <f>VLOOKUP(F2090,'LEAID Match'!$A$2:$B$436,2,FALSE)</f>
        <v>1809150</v>
      </c>
      <c r="Q2090" s="6">
        <f>COUNTIF($P$2:$P$3691,P2090)</f>
        <v>9</v>
      </c>
    </row>
    <row r="2091" spans="1:17" x14ac:dyDescent="0.2">
      <c r="A2091" s="16">
        <f>P2091</f>
        <v>1811970</v>
      </c>
      <c r="B2091">
        <v>2015</v>
      </c>
      <c r="C2091" t="s">
        <v>904</v>
      </c>
      <c r="D2091" t="s">
        <v>906</v>
      </c>
      <c r="E2091" t="s">
        <v>2997</v>
      </c>
      <c r="F2091" t="s">
        <v>750</v>
      </c>
      <c r="G2091" t="s">
        <v>231</v>
      </c>
      <c r="H2091" s="6">
        <v>919544</v>
      </c>
      <c r="I2091" s="6">
        <v>4.4714730992371048E-3</v>
      </c>
      <c r="J2091" s="6">
        <v>25983.730179666814</v>
      </c>
      <c r="K2091" s="6">
        <v>3781149.1962844799</v>
      </c>
      <c r="M2091" s="6">
        <f>SUM(H2091,J2091)</f>
        <v>945527.73017966677</v>
      </c>
      <c r="N2091" s="6">
        <f>K2091</f>
        <v>3781149.1962844799</v>
      </c>
      <c r="O2091" s="6">
        <f>SUM(M2091:N2091)</f>
        <v>4726676.9264641469</v>
      </c>
      <c r="P2091" s="8">
        <f>VLOOKUP(F2091,'LEAID Match'!$A$2:$B$436,2,FALSE)</f>
        <v>1811970</v>
      </c>
      <c r="Q2091" s="6">
        <f>COUNTIF($P$2:$P$3691,P2091)</f>
        <v>9</v>
      </c>
    </row>
    <row r="2092" spans="1:17" x14ac:dyDescent="0.2">
      <c r="A2092" s="16">
        <f>P2092</f>
        <v>1811970</v>
      </c>
      <c r="B2092">
        <v>2016</v>
      </c>
      <c r="C2092" t="s">
        <v>904</v>
      </c>
      <c r="D2092" t="s">
        <v>906</v>
      </c>
      <c r="E2092" t="s">
        <v>2998</v>
      </c>
      <c r="F2092" t="s">
        <v>750</v>
      </c>
      <c r="G2092" t="s">
        <v>231</v>
      </c>
      <c r="H2092" s="6">
        <v>1016318</v>
      </c>
      <c r="I2092" s="6">
        <v>4.715840340371198E-3</v>
      </c>
      <c r="J2092" s="6">
        <v>23805.562038193806</v>
      </c>
      <c r="K2092" s="6">
        <v>4185308.3020794298</v>
      </c>
      <c r="M2092" s="6">
        <f>SUM(H2092,J2092)</f>
        <v>1040123.5620381938</v>
      </c>
      <c r="N2092" s="6">
        <f>K2092</f>
        <v>4185308.3020794298</v>
      </c>
      <c r="O2092" s="6">
        <f>SUM(M2092:N2092)</f>
        <v>5225431.8641176233</v>
      </c>
      <c r="P2092" s="8">
        <f>VLOOKUP(F2092,'LEAID Match'!$A$2:$B$436,2,FALSE)</f>
        <v>1811970</v>
      </c>
      <c r="Q2092" s="6">
        <f>COUNTIF($P$2:$P$3691,P2092)</f>
        <v>9</v>
      </c>
    </row>
    <row r="2093" spans="1:17" x14ac:dyDescent="0.2">
      <c r="A2093" s="16">
        <f>P2093</f>
        <v>1811970</v>
      </c>
      <c r="B2093">
        <v>2017</v>
      </c>
      <c r="C2093" t="s">
        <v>904</v>
      </c>
      <c r="D2093" t="s">
        <v>906</v>
      </c>
      <c r="E2093" t="s">
        <v>2999</v>
      </c>
      <c r="F2093" t="s">
        <v>750</v>
      </c>
      <c r="G2093" t="s">
        <v>231</v>
      </c>
      <c r="H2093" s="6">
        <v>1139069</v>
      </c>
      <c r="I2093" s="6">
        <v>5.015808107669658E-3</v>
      </c>
      <c r="J2093" s="6">
        <v>22696.531687205203</v>
      </c>
      <c r="K2093" s="6">
        <v>4368768.86178027</v>
      </c>
      <c r="M2093" s="6">
        <f>SUM(H2093,J2093)</f>
        <v>1161765.5316872052</v>
      </c>
      <c r="N2093" s="6">
        <f>K2093</f>
        <v>4368768.86178027</v>
      </c>
      <c r="O2093" s="6">
        <f>SUM(M2093:N2093)</f>
        <v>5530534.3934674747</v>
      </c>
      <c r="P2093" s="8">
        <f>VLOOKUP(F2093,'LEAID Match'!$A$2:$B$436,2,FALSE)</f>
        <v>1811970</v>
      </c>
      <c r="Q2093" s="6">
        <f>COUNTIF($P$2:$P$3691,P2093)</f>
        <v>9</v>
      </c>
    </row>
    <row r="2094" spans="1:17" x14ac:dyDescent="0.2">
      <c r="A2094" s="16">
        <f>P2094</f>
        <v>1811970</v>
      </c>
      <c r="B2094">
        <v>2018</v>
      </c>
      <c r="C2094" t="s">
        <v>904</v>
      </c>
      <c r="D2094" t="s">
        <v>906</v>
      </c>
      <c r="E2094" t="s">
        <v>3000</v>
      </c>
      <c r="F2094" t="s">
        <v>750</v>
      </c>
      <c r="G2094" t="s">
        <v>231</v>
      </c>
      <c r="H2094" s="6">
        <v>1257910</v>
      </c>
      <c r="I2094" s="6">
        <v>5.3365206774384022E-3</v>
      </c>
      <c r="J2094" s="6">
        <v>22242.61818356326</v>
      </c>
      <c r="K2094" s="6">
        <v>5923484</v>
      </c>
      <c r="M2094" s="6">
        <f>SUM(H2094,J2094)</f>
        <v>1280152.6181835632</v>
      </c>
      <c r="N2094" s="6">
        <f>K2094</f>
        <v>5923484</v>
      </c>
      <c r="O2094" s="6">
        <f>SUM(M2094:N2094)</f>
        <v>7203636.6181835635</v>
      </c>
      <c r="P2094" s="8">
        <f>VLOOKUP(F2094,'LEAID Match'!$A$2:$B$436,2,FALSE)</f>
        <v>1811970</v>
      </c>
      <c r="Q2094" s="6">
        <f>COUNTIF($P$2:$P$3691,P2094)</f>
        <v>9</v>
      </c>
    </row>
    <row r="2095" spans="1:17" x14ac:dyDescent="0.2">
      <c r="A2095" s="16">
        <f>P2095</f>
        <v>1811970</v>
      </c>
      <c r="B2095">
        <v>2019</v>
      </c>
      <c r="C2095" t="s">
        <v>904</v>
      </c>
      <c r="D2095" t="s">
        <v>906</v>
      </c>
      <c r="E2095" t="s">
        <v>3001</v>
      </c>
      <c r="F2095" t="s">
        <v>750</v>
      </c>
      <c r="G2095" t="s">
        <v>231</v>
      </c>
      <c r="H2095" s="6">
        <v>1314214</v>
      </c>
      <c r="I2095" s="6">
        <v>3.343353288452232E-3</v>
      </c>
      <c r="J2095" s="6">
        <v>11718.453276025073</v>
      </c>
      <c r="K2095" s="6">
        <v>3155791.1689700601</v>
      </c>
      <c r="M2095" s="6">
        <f>SUM(H2095,J2095)</f>
        <v>1325932.4532760251</v>
      </c>
      <c r="N2095" s="6">
        <f>K2095</f>
        <v>3155791.1689700601</v>
      </c>
      <c r="O2095" s="6">
        <f>SUM(M2095:N2095)</f>
        <v>4481723.6222460847</v>
      </c>
      <c r="P2095" s="8">
        <f>VLOOKUP(F2095,'LEAID Match'!$A$2:$B$436,2,FALSE)</f>
        <v>1811970</v>
      </c>
      <c r="Q2095" s="6">
        <f>COUNTIF($P$2:$P$3691,P2095)</f>
        <v>9</v>
      </c>
    </row>
    <row r="2096" spans="1:17" x14ac:dyDescent="0.2">
      <c r="A2096" s="16">
        <f>P2096</f>
        <v>1811970</v>
      </c>
      <c r="B2096">
        <v>2020</v>
      </c>
      <c r="C2096" t="s">
        <v>904</v>
      </c>
      <c r="D2096" t="s">
        <v>906</v>
      </c>
      <c r="E2096" t="s">
        <v>3002</v>
      </c>
      <c r="F2096" t="s">
        <v>750</v>
      </c>
      <c r="G2096" t="s">
        <v>231</v>
      </c>
      <c r="H2096" s="6">
        <v>1029293</v>
      </c>
      <c r="I2096" s="6">
        <v>5.4539227504158926E-3</v>
      </c>
      <c r="J2096" s="6">
        <v>12849.441999979843</v>
      </c>
      <c r="K2096" s="6">
        <v>6152510</v>
      </c>
      <c r="M2096" s="6">
        <f>SUM(H2096,J2096)</f>
        <v>1042142.4419999799</v>
      </c>
      <c r="N2096" s="6">
        <f>K2096</f>
        <v>6152510</v>
      </c>
      <c r="O2096" s="6">
        <f>SUM(M2096:N2096)</f>
        <v>7194652.4419999802</v>
      </c>
      <c r="P2096" s="8">
        <f>VLOOKUP(F2096,'LEAID Match'!$A$2:$B$436,2,FALSE)</f>
        <v>1811970</v>
      </c>
      <c r="Q2096" s="6">
        <f>COUNTIF($P$2:$P$3691,P2096)</f>
        <v>9</v>
      </c>
    </row>
    <row r="2097" spans="1:17" x14ac:dyDescent="0.2">
      <c r="A2097" s="16">
        <f>P2097</f>
        <v>1811970</v>
      </c>
      <c r="B2097">
        <v>2021</v>
      </c>
      <c r="C2097" t="s">
        <v>904</v>
      </c>
      <c r="D2097" t="s">
        <v>906</v>
      </c>
      <c r="E2097" t="s">
        <v>3003</v>
      </c>
      <c r="F2097" t="s">
        <v>750</v>
      </c>
      <c r="G2097" t="s">
        <v>231</v>
      </c>
      <c r="H2097" s="6">
        <v>1040178</v>
      </c>
      <c r="I2097" s="6">
        <v>5.1385760554413596E-3</v>
      </c>
      <c r="J2097" s="6">
        <v>11582.350428964824</v>
      </c>
      <c r="K2097" s="6">
        <v>10238391</v>
      </c>
      <c r="M2097" s="6">
        <f>SUM(H2097,J2097)</f>
        <v>1051760.3504289647</v>
      </c>
      <c r="N2097" s="6">
        <f>K2097</f>
        <v>10238391</v>
      </c>
      <c r="O2097" s="6">
        <f>SUM(M2097:N2097)</f>
        <v>11290151.350428965</v>
      </c>
      <c r="P2097" s="8">
        <f>VLOOKUP(F2097,'LEAID Match'!$A$2:$B$436,2,FALSE)</f>
        <v>1811970</v>
      </c>
      <c r="Q2097" s="6">
        <f>COUNTIF($P$2:$P$3691,P2097)</f>
        <v>9</v>
      </c>
    </row>
    <row r="2098" spans="1:17" x14ac:dyDescent="0.2">
      <c r="A2098" s="16">
        <f>P2098</f>
        <v>1811970</v>
      </c>
      <c r="B2098">
        <v>2022</v>
      </c>
      <c r="C2098" t="s">
        <v>904</v>
      </c>
      <c r="D2098" t="s">
        <v>906</v>
      </c>
      <c r="E2098" t="s">
        <v>3004</v>
      </c>
      <c r="F2098" t="s">
        <v>750</v>
      </c>
      <c r="G2098" t="s">
        <v>231</v>
      </c>
      <c r="H2098" s="6">
        <v>1184323</v>
      </c>
      <c r="I2098" s="6">
        <v>5.6233857117743312E-3</v>
      </c>
      <c r="J2098" s="6">
        <v>12399.5654944624</v>
      </c>
      <c r="K2098" s="6">
        <v>9743399</v>
      </c>
      <c r="M2098" s="6">
        <f>SUM(H2098,J2098)</f>
        <v>1196722.5654944624</v>
      </c>
      <c r="N2098" s="6">
        <f>K2098</f>
        <v>9743399</v>
      </c>
      <c r="O2098" s="6">
        <f>SUM(M2098:N2098)</f>
        <v>10940121.565494463</v>
      </c>
      <c r="P2098" s="8">
        <f>VLOOKUP(F2098,'LEAID Match'!$A$2:$B$436,2,FALSE)</f>
        <v>1811970</v>
      </c>
      <c r="Q2098" s="6">
        <f>COUNTIF($P$2:$P$3691,P2098)</f>
        <v>9</v>
      </c>
    </row>
    <row r="2099" spans="1:17" x14ac:dyDescent="0.2">
      <c r="A2099" s="16">
        <f>P2099</f>
        <v>1811970</v>
      </c>
      <c r="B2099">
        <v>2023</v>
      </c>
      <c r="C2099" t="s">
        <v>904</v>
      </c>
      <c r="D2099" t="s">
        <v>906</v>
      </c>
      <c r="E2099" t="s">
        <v>3005</v>
      </c>
      <c r="F2099" t="s">
        <v>750</v>
      </c>
      <c r="G2099" t="s">
        <v>231</v>
      </c>
      <c r="H2099" s="6">
        <v>1407155</v>
      </c>
      <c r="I2099" s="6">
        <v>5.7544907851347559E-3</v>
      </c>
      <c r="J2099" s="6">
        <v>14196.328766927443</v>
      </c>
      <c r="K2099" s="6">
        <v>26442917</v>
      </c>
      <c r="M2099" s="6">
        <f>SUM(H2099,J2099)</f>
        <v>1421351.3287669274</v>
      </c>
      <c r="N2099" s="6">
        <f>K2099</f>
        <v>26442917</v>
      </c>
      <c r="O2099" s="6">
        <f>SUM(M2099:N2099)</f>
        <v>27864268.328766927</v>
      </c>
      <c r="P2099" s="8">
        <f>VLOOKUP(F2099,'LEAID Match'!$A$2:$B$436,2,FALSE)</f>
        <v>1811970</v>
      </c>
      <c r="Q2099" s="6">
        <f>COUNTIF($P$2:$P$3691,P2099)</f>
        <v>9</v>
      </c>
    </row>
    <row r="2100" spans="1:17" x14ac:dyDescent="0.2">
      <c r="A2100" s="16">
        <f>P2100</f>
        <v>0</v>
      </c>
      <c r="B2100">
        <v>2018</v>
      </c>
      <c r="C2100" t="s">
        <v>904</v>
      </c>
      <c r="D2100" t="s">
        <v>906</v>
      </c>
      <c r="E2100" t="s">
        <v>3006</v>
      </c>
      <c r="F2100" t="s">
        <v>751</v>
      </c>
      <c r="G2100" t="s">
        <v>434</v>
      </c>
      <c r="H2100" s="6">
        <v>0</v>
      </c>
      <c r="I2100" s="6">
        <v>0</v>
      </c>
      <c r="J2100" s="6">
        <v>0</v>
      </c>
      <c r="K2100" s="6">
        <v>19092</v>
      </c>
      <c r="M2100" s="6">
        <f>SUM(H2100,J2100)</f>
        <v>0</v>
      </c>
      <c r="N2100" s="6">
        <f>K2100</f>
        <v>19092</v>
      </c>
      <c r="O2100" s="6">
        <f>SUM(M2100:N2100)</f>
        <v>19092</v>
      </c>
      <c r="P2100" s="8">
        <f>VLOOKUP(F2100,'LEAID Match'!$A$2:$B$436,2,FALSE)</f>
        <v>0</v>
      </c>
      <c r="Q2100" s="6">
        <f>COUNTIF($P$2:$P$3691,P2100)</f>
        <v>371</v>
      </c>
    </row>
    <row r="2101" spans="1:17" x14ac:dyDescent="0.2">
      <c r="A2101" s="16">
        <f>P2101</f>
        <v>0</v>
      </c>
      <c r="B2101">
        <v>2020</v>
      </c>
      <c r="C2101" t="s">
        <v>904</v>
      </c>
      <c r="D2101" t="s">
        <v>906</v>
      </c>
      <c r="E2101" t="s">
        <v>3007</v>
      </c>
      <c r="F2101" t="s">
        <v>751</v>
      </c>
      <c r="G2101" t="s">
        <v>434</v>
      </c>
      <c r="H2101" s="6">
        <v>0</v>
      </c>
      <c r="I2101" s="6">
        <v>0</v>
      </c>
      <c r="J2101" s="6">
        <v>0</v>
      </c>
      <c r="K2101" s="6">
        <v>21074</v>
      </c>
      <c r="M2101" s="6">
        <f>SUM(H2101,J2101)</f>
        <v>0</v>
      </c>
      <c r="N2101" s="6">
        <f>K2101</f>
        <v>21074</v>
      </c>
      <c r="O2101" s="6">
        <f>SUM(M2101:N2101)</f>
        <v>21074</v>
      </c>
      <c r="P2101" s="8">
        <f>VLOOKUP(F2101,'LEAID Match'!$A$2:$B$436,2,FALSE)</f>
        <v>0</v>
      </c>
      <c r="Q2101" s="6">
        <f>COUNTIF($P$2:$P$3691,P2101)</f>
        <v>371</v>
      </c>
    </row>
    <row r="2102" spans="1:17" x14ac:dyDescent="0.2">
      <c r="A2102" s="16">
        <f>P2102</f>
        <v>0</v>
      </c>
      <c r="B2102">
        <v>2021</v>
      </c>
      <c r="C2102" t="s">
        <v>904</v>
      </c>
      <c r="D2102" t="s">
        <v>906</v>
      </c>
      <c r="E2102" t="s">
        <v>3008</v>
      </c>
      <c r="F2102" t="s">
        <v>751</v>
      </c>
      <c r="G2102" t="s">
        <v>434</v>
      </c>
      <c r="H2102" s="6" t="s">
        <v>893</v>
      </c>
      <c r="K2102" s="6">
        <v>19820</v>
      </c>
      <c r="M2102" s="6">
        <f>SUM(H2102,J2102)</f>
        <v>0</v>
      </c>
      <c r="N2102" s="6">
        <f>K2102</f>
        <v>19820</v>
      </c>
      <c r="O2102" s="6">
        <f>SUM(M2102:N2102)</f>
        <v>19820</v>
      </c>
      <c r="P2102" s="8">
        <f>VLOOKUP(F2102,'LEAID Match'!$A$2:$B$436,2,FALSE)</f>
        <v>0</v>
      </c>
      <c r="Q2102" s="6">
        <f>COUNTIF($P$2:$P$3691,P2102)</f>
        <v>371</v>
      </c>
    </row>
    <row r="2103" spans="1:17" x14ac:dyDescent="0.2">
      <c r="A2103" s="16">
        <f>P2103</f>
        <v>0</v>
      </c>
      <c r="B2103">
        <v>2022</v>
      </c>
      <c r="C2103" t="s">
        <v>904</v>
      </c>
      <c r="D2103" t="s">
        <v>906</v>
      </c>
      <c r="E2103" t="s">
        <v>3009</v>
      </c>
      <c r="F2103" t="s">
        <v>751</v>
      </c>
      <c r="G2103" t="s">
        <v>434</v>
      </c>
      <c r="H2103" s="6" t="s">
        <v>893</v>
      </c>
      <c r="K2103" s="6">
        <v>19225</v>
      </c>
      <c r="M2103" s="6">
        <f>SUM(H2103,J2103)</f>
        <v>0</v>
      </c>
      <c r="N2103" s="6">
        <f>K2103</f>
        <v>19225</v>
      </c>
      <c r="O2103" s="6">
        <f>SUM(M2103:N2103)</f>
        <v>19225</v>
      </c>
      <c r="P2103" s="8">
        <f>VLOOKUP(F2103,'LEAID Match'!$A$2:$B$436,2,FALSE)</f>
        <v>0</v>
      </c>
      <c r="Q2103" s="6">
        <f>COUNTIF($P$2:$P$3691,P2103)</f>
        <v>371</v>
      </c>
    </row>
    <row r="2104" spans="1:17" x14ac:dyDescent="0.2">
      <c r="A2104" s="16">
        <f>P2104</f>
        <v>0</v>
      </c>
      <c r="B2104">
        <v>2023</v>
      </c>
      <c r="C2104" t="s">
        <v>904</v>
      </c>
      <c r="D2104" t="s">
        <v>906</v>
      </c>
      <c r="E2104" t="s">
        <v>3010</v>
      </c>
      <c r="F2104" t="s">
        <v>751</v>
      </c>
      <c r="G2104" t="s">
        <v>434</v>
      </c>
      <c r="H2104" s="6" t="s">
        <v>893</v>
      </c>
      <c r="K2104" s="6">
        <v>41503</v>
      </c>
      <c r="M2104" s="6">
        <f>SUM(H2104,J2104)</f>
        <v>0</v>
      </c>
      <c r="N2104" s="6">
        <f>K2104</f>
        <v>41503</v>
      </c>
      <c r="O2104" s="6">
        <f>SUM(M2104:N2104)</f>
        <v>41503</v>
      </c>
      <c r="P2104" s="8">
        <f>VLOOKUP(F2104,'LEAID Match'!$A$2:$B$436,2,FALSE)</f>
        <v>0</v>
      </c>
      <c r="Q2104" s="6">
        <f>COUNTIF($P$2:$P$3691,P2104)</f>
        <v>371</v>
      </c>
    </row>
    <row r="2105" spans="1:17" x14ac:dyDescent="0.2">
      <c r="A2105" s="16">
        <f>P2105</f>
        <v>1809130</v>
      </c>
      <c r="B2105">
        <v>2015</v>
      </c>
      <c r="C2105" t="s">
        <v>904</v>
      </c>
      <c r="D2105" t="s">
        <v>906</v>
      </c>
      <c r="E2105" t="s">
        <v>3011</v>
      </c>
      <c r="F2105" t="s">
        <v>564</v>
      </c>
      <c r="G2105" t="s">
        <v>232</v>
      </c>
      <c r="H2105" s="6">
        <v>467906</v>
      </c>
      <c r="I2105" s="6">
        <v>2.2752898088309386E-3</v>
      </c>
      <c r="J2105" s="6">
        <v>13221.709079116585</v>
      </c>
      <c r="K2105" s="6">
        <v>1924021.46698438</v>
      </c>
      <c r="M2105" s="6">
        <f>SUM(H2105,J2105)</f>
        <v>481127.70907911658</v>
      </c>
      <c r="N2105" s="6">
        <f>K2105</f>
        <v>1924021.46698438</v>
      </c>
      <c r="O2105" s="6">
        <f>SUM(M2105:N2105)</f>
        <v>2405149.1760634966</v>
      </c>
      <c r="P2105" s="8">
        <f>VLOOKUP(F2105,'LEAID Match'!$A$2:$B$436,2,FALSE)</f>
        <v>1809130</v>
      </c>
      <c r="Q2105" s="6">
        <f>COUNTIF($P$2:$P$3691,P2105)</f>
        <v>9</v>
      </c>
    </row>
    <row r="2106" spans="1:17" x14ac:dyDescent="0.2">
      <c r="A2106" s="16">
        <f>P2106</f>
        <v>1809130</v>
      </c>
      <c r="B2106">
        <v>2016</v>
      </c>
      <c r="C2106" t="s">
        <v>904</v>
      </c>
      <c r="D2106" t="s">
        <v>906</v>
      </c>
      <c r="E2106" t="s">
        <v>3012</v>
      </c>
      <c r="F2106" t="s">
        <v>564</v>
      </c>
      <c r="G2106" t="s">
        <v>232</v>
      </c>
      <c r="H2106" s="6">
        <v>518863</v>
      </c>
      <c r="I2106" s="6">
        <v>2.4075880448107983E-3</v>
      </c>
      <c r="J2106" s="6">
        <v>12153.50445020491</v>
      </c>
      <c r="K2106" s="6">
        <v>2136734.3897695802</v>
      </c>
      <c r="M2106" s="6">
        <f>SUM(H2106,J2106)</f>
        <v>531016.5044502049</v>
      </c>
      <c r="N2106" s="6">
        <f>K2106</f>
        <v>2136734.3897695802</v>
      </c>
      <c r="O2106" s="6">
        <f>SUM(M2106:N2106)</f>
        <v>2667750.894219785</v>
      </c>
      <c r="P2106" s="8">
        <f>VLOOKUP(F2106,'LEAID Match'!$A$2:$B$436,2,FALSE)</f>
        <v>1809130</v>
      </c>
      <c r="Q2106" s="6">
        <f>COUNTIF($P$2:$P$3691,P2106)</f>
        <v>9</v>
      </c>
    </row>
    <row r="2107" spans="1:17" x14ac:dyDescent="0.2">
      <c r="A2107" s="16">
        <f>P2107</f>
        <v>1809130</v>
      </c>
      <c r="B2107">
        <v>2017</v>
      </c>
      <c r="C2107" t="s">
        <v>904</v>
      </c>
      <c r="D2107" t="s">
        <v>906</v>
      </c>
      <c r="E2107" t="s">
        <v>3013</v>
      </c>
      <c r="F2107" t="s">
        <v>564</v>
      </c>
      <c r="G2107" t="s">
        <v>232</v>
      </c>
      <c r="H2107" s="6">
        <v>582558</v>
      </c>
      <c r="I2107" s="6">
        <v>2.5652520958676082E-3</v>
      </c>
      <c r="J2107" s="6">
        <v>11607.765733800927</v>
      </c>
      <c r="K2107" s="6">
        <v>2234334.5755006801</v>
      </c>
      <c r="M2107" s="6">
        <f>SUM(H2107,J2107)</f>
        <v>594165.76573380094</v>
      </c>
      <c r="N2107" s="6">
        <f>K2107</f>
        <v>2234334.5755006801</v>
      </c>
      <c r="O2107" s="6">
        <f>SUM(M2107:N2107)</f>
        <v>2828500.341234481</v>
      </c>
      <c r="P2107" s="8">
        <f>VLOOKUP(F2107,'LEAID Match'!$A$2:$B$436,2,FALSE)</f>
        <v>1809130</v>
      </c>
      <c r="Q2107" s="6">
        <f>COUNTIF($P$2:$P$3691,P2107)</f>
        <v>9</v>
      </c>
    </row>
    <row r="2108" spans="1:17" x14ac:dyDescent="0.2">
      <c r="A2108" s="16">
        <f>P2108</f>
        <v>1809130</v>
      </c>
      <c r="B2108">
        <v>2018</v>
      </c>
      <c r="C2108" t="s">
        <v>904</v>
      </c>
      <c r="D2108" t="s">
        <v>906</v>
      </c>
      <c r="E2108" t="s">
        <v>3014</v>
      </c>
      <c r="F2108" t="s">
        <v>564</v>
      </c>
      <c r="G2108" t="s">
        <v>232</v>
      </c>
      <c r="H2108" s="6">
        <v>621670</v>
      </c>
      <c r="I2108" s="6">
        <v>2.6373546672998319E-3</v>
      </c>
      <c r="J2108" s="6">
        <v>10992.4942533057</v>
      </c>
      <c r="K2108" s="6">
        <v>2344684</v>
      </c>
      <c r="M2108" s="6">
        <f>SUM(H2108,J2108)</f>
        <v>632662.49425330572</v>
      </c>
      <c r="N2108" s="6">
        <f>K2108</f>
        <v>2344684</v>
      </c>
      <c r="O2108" s="6">
        <f>SUM(M2108:N2108)</f>
        <v>2977346.4942533057</v>
      </c>
      <c r="P2108" s="8">
        <f>VLOOKUP(F2108,'LEAID Match'!$A$2:$B$436,2,FALSE)</f>
        <v>1809130</v>
      </c>
      <c r="Q2108" s="6">
        <f>COUNTIF($P$2:$P$3691,P2108)</f>
        <v>9</v>
      </c>
    </row>
    <row r="2109" spans="1:17" x14ac:dyDescent="0.2">
      <c r="A2109" s="16">
        <f>P2109</f>
        <v>1809130</v>
      </c>
      <c r="B2109">
        <v>2019</v>
      </c>
      <c r="C2109" t="s">
        <v>904</v>
      </c>
      <c r="D2109" t="s">
        <v>906</v>
      </c>
      <c r="E2109" t="s">
        <v>3015</v>
      </c>
      <c r="F2109" t="s">
        <v>564</v>
      </c>
      <c r="G2109" t="s">
        <v>232</v>
      </c>
      <c r="H2109" s="6">
        <v>666604</v>
      </c>
      <c r="I2109" s="6">
        <v>1.6958369607198002E-3</v>
      </c>
      <c r="J2109" s="6">
        <v>5943.9085473228997</v>
      </c>
      <c r="K2109" s="6">
        <v>1600700.5072234101</v>
      </c>
      <c r="M2109" s="6">
        <f>SUM(H2109,J2109)</f>
        <v>672547.90854732285</v>
      </c>
      <c r="N2109" s="6">
        <f>K2109</f>
        <v>1600700.5072234101</v>
      </c>
      <c r="O2109" s="6">
        <f>SUM(M2109:N2109)</f>
        <v>2273248.4157707328</v>
      </c>
      <c r="P2109" s="8">
        <f>VLOOKUP(F2109,'LEAID Match'!$A$2:$B$436,2,FALSE)</f>
        <v>1809130</v>
      </c>
      <c r="Q2109" s="6">
        <f>COUNTIF($P$2:$P$3691,P2109)</f>
        <v>9</v>
      </c>
    </row>
    <row r="2110" spans="1:17" x14ac:dyDescent="0.2">
      <c r="A2110" s="16">
        <f>P2110</f>
        <v>1809130</v>
      </c>
      <c r="B2110">
        <v>2020</v>
      </c>
      <c r="C2110" t="s">
        <v>904</v>
      </c>
      <c r="D2110" t="s">
        <v>906</v>
      </c>
      <c r="E2110" t="s">
        <v>3016</v>
      </c>
      <c r="F2110" t="s">
        <v>564</v>
      </c>
      <c r="G2110" t="s">
        <v>232</v>
      </c>
      <c r="H2110" s="6">
        <v>534977</v>
      </c>
      <c r="I2110" s="6">
        <v>2.8346867522165632E-3</v>
      </c>
      <c r="J2110" s="6">
        <v>6678.5219882222227</v>
      </c>
      <c r="K2110" s="6">
        <v>2581172</v>
      </c>
      <c r="M2110" s="6">
        <f>SUM(H2110,J2110)</f>
        <v>541655.52198822226</v>
      </c>
      <c r="N2110" s="6">
        <f>K2110</f>
        <v>2581172</v>
      </c>
      <c r="O2110" s="6">
        <f>SUM(M2110:N2110)</f>
        <v>3122827.5219882224</v>
      </c>
      <c r="P2110" s="8">
        <f>VLOOKUP(F2110,'LEAID Match'!$A$2:$B$436,2,FALSE)</f>
        <v>1809130</v>
      </c>
      <c r="Q2110" s="6">
        <f>COUNTIF($P$2:$P$3691,P2110)</f>
        <v>9</v>
      </c>
    </row>
    <row r="2111" spans="1:17" x14ac:dyDescent="0.2">
      <c r="A2111" s="16">
        <f>P2111</f>
        <v>1809130</v>
      </c>
      <c r="B2111">
        <v>2021</v>
      </c>
      <c r="C2111" t="s">
        <v>904</v>
      </c>
      <c r="D2111" t="s">
        <v>906</v>
      </c>
      <c r="E2111" t="s">
        <v>3017</v>
      </c>
      <c r="F2111" t="s">
        <v>564</v>
      </c>
      <c r="G2111" t="s">
        <v>232</v>
      </c>
      <c r="H2111" s="6">
        <v>573603</v>
      </c>
      <c r="I2111" s="6">
        <v>2.8336521644654377E-3</v>
      </c>
      <c r="J2111" s="6">
        <v>6387.0519787050962</v>
      </c>
      <c r="K2111" s="6">
        <v>4412954</v>
      </c>
      <c r="M2111" s="6">
        <f>SUM(H2111,J2111)</f>
        <v>579990.0519787051</v>
      </c>
      <c r="N2111" s="6">
        <f>K2111</f>
        <v>4412954</v>
      </c>
      <c r="O2111" s="6">
        <f>SUM(M2111:N2111)</f>
        <v>4992944.0519787055</v>
      </c>
      <c r="P2111" s="8">
        <f>VLOOKUP(F2111,'LEAID Match'!$A$2:$B$436,2,FALSE)</f>
        <v>1809130</v>
      </c>
      <c r="Q2111" s="6">
        <f>COUNTIF($P$2:$P$3691,P2111)</f>
        <v>9</v>
      </c>
    </row>
    <row r="2112" spans="1:17" x14ac:dyDescent="0.2">
      <c r="A2112" s="16">
        <f>P2112</f>
        <v>1809130</v>
      </c>
      <c r="B2112">
        <v>2022</v>
      </c>
      <c r="C2112" t="s">
        <v>904</v>
      </c>
      <c r="D2112" t="s">
        <v>906</v>
      </c>
      <c r="E2112" t="s">
        <v>3018</v>
      </c>
      <c r="F2112" t="s">
        <v>564</v>
      </c>
      <c r="G2112" t="s">
        <v>232</v>
      </c>
      <c r="H2112" s="6">
        <v>586678</v>
      </c>
      <c r="I2112" s="6">
        <v>2.7856561787724639E-3</v>
      </c>
      <c r="J2112" s="6">
        <v>6142.3718741932826</v>
      </c>
      <c r="K2112" s="6">
        <v>4307505</v>
      </c>
      <c r="M2112" s="6">
        <f>SUM(H2112,J2112)</f>
        <v>592820.37187419331</v>
      </c>
      <c r="N2112" s="6">
        <f>K2112</f>
        <v>4307505</v>
      </c>
      <c r="O2112" s="6">
        <f>SUM(M2112:N2112)</f>
        <v>4900325.3718741937</v>
      </c>
      <c r="P2112" s="8">
        <f>VLOOKUP(F2112,'LEAID Match'!$A$2:$B$436,2,FALSE)</f>
        <v>1809130</v>
      </c>
      <c r="Q2112" s="6">
        <f>COUNTIF($P$2:$P$3691,P2112)</f>
        <v>9</v>
      </c>
    </row>
    <row r="2113" spans="1:17" x14ac:dyDescent="0.2">
      <c r="A2113" s="16">
        <f>P2113</f>
        <v>1809130</v>
      </c>
      <c r="B2113">
        <v>2023</v>
      </c>
      <c r="C2113" t="s">
        <v>904</v>
      </c>
      <c r="D2113" t="s">
        <v>906</v>
      </c>
      <c r="E2113" t="s">
        <v>3019</v>
      </c>
      <c r="F2113" t="s">
        <v>564</v>
      </c>
      <c r="G2113" t="s">
        <v>232</v>
      </c>
      <c r="H2113" s="6">
        <v>737648</v>
      </c>
      <c r="I2113" s="6">
        <v>3.0165750174451873E-3</v>
      </c>
      <c r="J2113" s="6">
        <v>7441.8905680372773</v>
      </c>
      <c r="K2113" s="6">
        <v>12861695</v>
      </c>
      <c r="M2113" s="6">
        <f>SUM(H2113,J2113)</f>
        <v>745089.89056803728</v>
      </c>
      <c r="N2113" s="6">
        <f>K2113</f>
        <v>12861695</v>
      </c>
      <c r="O2113" s="6">
        <f>SUM(M2113:N2113)</f>
        <v>13606784.890568037</v>
      </c>
      <c r="P2113" s="8">
        <f>VLOOKUP(F2113,'LEAID Match'!$A$2:$B$436,2,FALSE)</f>
        <v>1809130</v>
      </c>
      <c r="Q2113" s="6">
        <f>COUNTIF($P$2:$P$3691,P2113)</f>
        <v>9</v>
      </c>
    </row>
    <row r="2114" spans="1:17" x14ac:dyDescent="0.2">
      <c r="A2114" s="16">
        <f>P2114</f>
        <v>1802800</v>
      </c>
      <c r="B2114">
        <v>2015</v>
      </c>
      <c r="C2114" t="s">
        <v>904</v>
      </c>
      <c r="D2114" t="s">
        <v>906</v>
      </c>
      <c r="E2114" t="s">
        <v>3020</v>
      </c>
      <c r="F2114" t="s">
        <v>565</v>
      </c>
      <c r="G2114" t="s">
        <v>233</v>
      </c>
      <c r="H2114" s="6">
        <v>1024989</v>
      </c>
      <c r="I2114" s="6">
        <v>4.9842212450018058E-3</v>
      </c>
      <c r="J2114" s="6">
        <v>28963.309654705492</v>
      </c>
      <c r="K2114" s="6">
        <v>4214737.2323134402</v>
      </c>
      <c r="M2114" s="6">
        <f>SUM(H2114,J2114)</f>
        <v>1053952.3096547055</v>
      </c>
      <c r="N2114" s="6">
        <f>K2114</f>
        <v>4214737.2323134402</v>
      </c>
      <c r="O2114" s="6">
        <f>SUM(M2114:N2114)</f>
        <v>5268689.5419681454</v>
      </c>
      <c r="P2114" s="8">
        <f>VLOOKUP(F2114,'LEAID Match'!$A$2:$B$436,2,FALSE)</f>
        <v>1802800</v>
      </c>
      <c r="Q2114" s="6">
        <f>COUNTIF($P$2:$P$3691,P2114)</f>
        <v>9</v>
      </c>
    </row>
    <row r="2115" spans="1:17" x14ac:dyDescent="0.2">
      <c r="A2115" s="16">
        <f>P2115</f>
        <v>1802800</v>
      </c>
      <c r="B2115">
        <v>2016</v>
      </c>
      <c r="C2115" t="s">
        <v>904</v>
      </c>
      <c r="D2115" t="s">
        <v>906</v>
      </c>
      <c r="E2115" t="s">
        <v>3021</v>
      </c>
      <c r="F2115" t="s">
        <v>565</v>
      </c>
      <c r="G2115" t="s">
        <v>233</v>
      </c>
      <c r="H2115" s="6">
        <v>1105677</v>
      </c>
      <c r="I2115" s="6">
        <v>5.1304770751089768E-3</v>
      </c>
      <c r="J2115" s="6">
        <v>25898.648275150113</v>
      </c>
      <c r="K2115" s="6">
        <v>4553298.4041592097</v>
      </c>
      <c r="M2115" s="6">
        <f>SUM(H2115,J2115)</f>
        <v>1131575.6482751502</v>
      </c>
      <c r="N2115" s="6">
        <f>K2115</f>
        <v>4553298.4041592097</v>
      </c>
      <c r="O2115" s="6">
        <f>SUM(M2115:N2115)</f>
        <v>5684874.0524343597</v>
      </c>
      <c r="P2115" s="8">
        <f>VLOOKUP(F2115,'LEAID Match'!$A$2:$B$436,2,FALSE)</f>
        <v>1802800</v>
      </c>
      <c r="Q2115" s="6">
        <f>COUNTIF($P$2:$P$3691,P2115)</f>
        <v>9</v>
      </c>
    </row>
    <row r="2116" spans="1:17" x14ac:dyDescent="0.2">
      <c r="A2116" s="16">
        <f>P2116</f>
        <v>1802800</v>
      </c>
      <c r="B2116">
        <v>2017</v>
      </c>
      <c r="C2116" t="s">
        <v>904</v>
      </c>
      <c r="D2116" t="s">
        <v>906</v>
      </c>
      <c r="E2116" t="s">
        <v>3022</v>
      </c>
      <c r="F2116" t="s">
        <v>565</v>
      </c>
      <c r="G2116" t="s">
        <v>233</v>
      </c>
      <c r="H2116" s="6">
        <v>1229020</v>
      </c>
      <c r="I2116" s="6">
        <v>5.411900842256406E-3</v>
      </c>
      <c r="J2116" s="6">
        <v>24488.851311210237</v>
      </c>
      <c r="K2116" s="6">
        <v>4713765.63360532</v>
      </c>
      <c r="M2116" s="6">
        <f>SUM(H2116,J2116)</f>
        <v>1253508.8513112103</v>
      </c>
      <c r="N2116" s="6">
        <f>K2116</f>
        <v>4713765.63360532</v>
      </c>
      <c r="O2116" s="6">
        <f>SUM(M2116:N2116)</f>
        <v>5967274.4849165305</v>
      </c>
      <c r="P2116" s="8">
        <f>VLOOKUP(F2116,'LEAID Match'!$A$2:$B$436,2,FALSE)</f>
        <v>1802800</v>
      </c>
      <c r="Q2116" s="6">
        <f>COUNTIF($P$2:$P$3691,P2116)</f>
        <v>9</v>
      </c>
    </row>
    <row r="2117" spans="1:17" x14ac:dyDescent="0.2">
      <c r="A2117" s="16">
        <f>P2117</f>
        <v>1802800</v>
      </c>
      <c r="B2117">
        <v>2018</v>
      </c>
      <c r="C2117" t="s">
        <v>904</v>
      </c>
      <c r="D2117" t="s">
        <v>906</v>
      </c>
      <c r="E2117" t="s">
        <v>3023</v>
      </c>
      <c r="F2117" t="s">
        <v>565</v>
      </c>
      <c r="G2117" t="s">
        <v>233</v>
      </c>
      <c r="H2117" s="6">
        <v>1267646</v>
      </c>
      <c r="I2117" s="6">
        <v>5.3778243997361346E-3</v>
      </c>
      <c r="J2117" s="6">
        <v>22414.772098100209</v>
      </c>
      <c r="K2117" s="6">
        <v>4346624</v>
      </c>
      <c r="M2117" s="6">
        <f>SUM(H2117,J2117)</f>
        <v>1290060.7720981003</v>
      </c>
      <c r="N2117" s="6">
        <f>K2117</f>
        <v>4346624</v>
      </c>
      <c r="O2117" s="6">
        <f>SUM(M2117:N2117)</f>
        <v>5636684.7720980998</v>
      </c>
      <c r="P2117" s="8">
        <f>VLOOKUP(F2117,'LEAID Match'!$A$2:$B$436,2,FALSE)</f>
        <v>1802800</v>
      </c>
      <c r="Q2117" s="6">
        <f>COUNTIF($P$2:$P$3691,P2117)</f>
        <v>9</v>
      </c>
    </row>
    <row r="2118" spans="1:17" x14ac:dyDescent="0.2">
      <c r="A2118" s="16">
        <f>P2118</f>
        <v>1802800</v>
      </c>
      <c r="B2118">
        <v>2019</v>
      </c>
      <c r="C2118" t="s">
        <v>904</v>
      </c>
      <c r="D2118" t="s">
        <v>906</v>
      </c>
      <c r="E2118" t="s">
        <v>3024</v>
      </c>
      <c r="F2118" t="s">
        <v>565</v>
      </c>
      <c r="G2118" t="s">
        <v>233</v>
      </c>
      <c r="H2118" s="6">
        <v>1308396</v>
      </c>
      <c r="I2118" s="6">
        <v>3.3285523280057482E-3</v>
      </c>
      <c r="J2118" s="6">
        <v>11666.575909660147</v>
      </c>
      <c r="K2118" s="6">
        <v>3141820.54240462</v>
      </c>
      <c r="M2118" s="6">
        <f>SUM(H2118,J2118)</f>
        <v>1320062.5759096602</v>
      </c>
      <c r="N2118" s="6">
        <f>K2118</f>
        <v>3141820.54240462</v>
      </c>
      <c r="O2118" s="6">
        <f>SUM(M2118:N2118)</f>
        <v>4461883.1183142802</v>
      </c>
      <c r="P2118" s="8">
        <f>VLOOKUP(F2118,'LEAID Match'!$A$2:$B$436,2,FALSE)</f>
        <v>1802800</v>
      </c>
      <c r="Q2118" s="6">
        <f>COUNTIF($P$2:$P$3691,P2118)</f>
        <v>9</v>
      </c>
    </row>
    <row r="2119" spans="1:17" x14ac:dyDescent="0.2">
      <c r="A2119" s="16">
        <f>P2119</f>
        <v>1802800</v>
      </c>
      <c r="B2119">
        <v>2020</v>
      </c>
      <c r="C2119" t="s">
        <v>904</v>
      </c>
      <c r="D2119" t="s">
        <v>906</v>
      </c>
      <c r="E2119" t="s">
        <v>3025</v>
      </c>
      <c r="F2119" t="s">
        <v>565</v>
      </c>
      <c r="G2119" t="s">
        <v>233</v>
      </c>
      <c r="H2119" s="6">
        <v>1028373</v>
      </c>
      <c r="I2119" s="6">
        <v>5.4490479393267451E-3</v>
      </c>
      <c r="J2119" s="6">
        <v>12837.956945053811</v>
      </c>
      <c r="K2119" s="6">
        <v>4574420</v>
      </c>
      <c r="M2119" s="6">
        <f>SUM(H2119,J2119)</f>
        <v>1041210.9569450538</v>
      </c>
      <c r="N2119" s="6">
        <f>K2119</f>
        <v>4574420</v>
      </c>
      <c r="O2119" s="6">
        <f>SUM(M2119:N2119)</f>
        <v>5615630.9569450542</v>
      </c>
      <c r="P2119" s="8">
        <f>VLOOKUP(F2119,'LEAID Match'!$A$2:$B$436,2,FALSE)</f>
        <v>1802800</v>
      </c>
      <c r="Q2119" s="6">
        <f>COUNTIF($P$2:$P$3691,P2119)</f>
        <v>9</v>
      </c>
    </row>
    <row r="2120" spans="1:17" x14ac:dyDescent="0.2">
      <c r="A2120" s="16">
        <f>P2120</f>
        <v>1802800</v>
      </c>
      <c r="B2120">
        <v>2021</v>
      </c>
      <c r="C2120" t="s">
        <v>904</v>
      </c>
      <c r="D2120" t="s">
        <v>906</v>
      </c>
      <c r="E2120" t="s">
        <v>3026</v>
      </c>
      <c r="F2120" t="s">
        <v>565</v>
      </c>
      <c r="G2120" t="s">
        <v>233</v>
      </c>
      <c r="H2120" s="6">
        <v>1097140</v>
      </c>
      <c r="I2120" s="6">
        <v>5.4199736328464296E-3</v>
      </c>
      <c r="J2120" s="6">
        <v>12216.620568435852</v>
      </c>
      <c r="K2120" s="6">
        <v>7617536</v>
      </c>
      <c r="M2120" s="6">
        <f>SUM(H2120,J2120)</f>
        <v>1109356.6205684359</v>
      </c>
      <c r="N2120" s="6">
        <f>K2120</f>
        <v>7617536</v>
      </c>
      <c r="O2120" s="6">
        <f>SUM(M2120:N2120)</f>
        <v>8726892.6205684356</v>
      </c>
      <c r="P2120" s="8">
        <f>VLOOKUP(F2120,'LEAID Match'!$A$2:$B$436,2,FALSE)</f>
        <v>1802800</v>
      </c>
      <c r="Q2120" s="6">
        <f>COUNTIF($P$2:$P$3691,P2120)</f>
        <v>9</v>
      </c>
    </row>
    <row r="2121" spans="1:17" x14ac:dyDescent="0.2">
      <c r="A2121" s="16">
        <f>P2121</f>
        <v>1802800</v>
      </c>
      <c r="B2121">
        <v>2022</v>
      </c>
      <c r="C2121" t="s">
        <v>904</v>
      </c>
      <c r="D2121" t="s">
        <v>906</v>
      </c>
      <c r="E2121" t="s">
        <v>3027</v>
      </c>
      <c r="F2121" t="s">
        <v>565</v>
      </c>
      <c r="G2121" t="s">
        <v>233</v>
      </c>
      <c r="H2121" s="6">
        <v>1193736</v>
      </c>
      <c r="I2121" s="6">
        <v>5.668080385191069E-3</v>
      </c>
      <c r="J2121" s="6">
        <v>12498.117249346307</v>
      </c>
      <c r="K2121" s="6">
        <v>7332666</v>
      </c>
      <c r="M2121" s="6">
        <f>SUM(H2121,J2121)</f>
        <v>1206234.1172493463</v>
      </c>
      <c r="N2121" s="6">
        <f>K2121</f>
        <v>7332666</v>
      </c>
      <c r="O2121" s="6">
        <f>SUM(M2121:N2121)</f>
        <v>8538900.1172493473</v>
      </c>
      <c r="P2121" s="8">
        <f>VLOOKUP(F2121,'LEAID Match'!$A$2:$B$436,2,FALSE)</f>
        <v>1802800</v>
      </c>
      <c r="Q2121" s="6">
        <f>COUNTIF($P$2:$P$3691,P2121)</f>
        <v>9</v>
      </c>
    </row>
    <row r="2122" spans="1:17" x14ac:dyDescent="0.2">
      <c r="A2122" s="16">
        <f>P2122</f>
        <v>1802800</v>
      </c>
      <c r="B2122">
        <v>2023</v>
      </c>
      <c r="C2122" t="s">
        <v>904</v>
      </c>
      <c r="D2122" t="s">
        <v>906</v>
      </c>
      <c r="E2122" t="s">
        <v>3028</v>
      </c>
      <c r="F2122" t="s">
        <v>565</v>
      </c>
      <c r="G2122" t="s">
        <v>233</v>
      </c>
      <c r="H2122" s="6">
        <v>1438664</v>
      </c>
      <c r="I2122" s="6">
        <v>5.8833452824352027E-3</v>
      </c>
      <c r="J2122" s="6">
        <v>14514.212811767646</v>
      </c>
      <c r="K2122" s="6">
        <v>19725360</v>
      </c>
      <c r="M2122" s="6">
        <f>SUM(H2122,J2122)</f>
        <v>1453178.2128117676</v>
      </c>
      <c r="N2122" s="6">
        <f>K2122</f>
        <v>19725360</v>
      </c>
      <c r="O2122" s="6">
        <f>SUM(M2122:N2122)</f>
        <v>21178538.212811768</v>
      </c>
      <c r="P2122" s="8">
        <f>VLOOKUP(F2122,'LEAID Match'!$A$2:$B$436,2,FALSE)</f>
        <v>1802800</v>
      </c>
      <c r="Q2122" s="6">
        <f>COUNTIF($P$2:$P$3691,P2122)</f>
        <v>9</v>
      </c>
    </row>
    <row r="2123" spans="1:17" x14ac:dyDescent="0.2">
      <c r="A2123" s="16">
        <f>P2123</f>
        <v>1809000</v>
      </c>
      <c r="B2123">
        <v>2015</v>
      </c>
      <c r="C2123" t="s">
        <v>904</v>
      </c>
      <c r="D2123" t="s">
        <v>906</v>
      </c>
      <c r="E2123" t="s">
        <v>3029</v>
      </c>
      <c r="F2123" t="s">
        <v>566</v>
      </c>
      <c r="G2123" t="s">
        <v>234</v>
      </c>
      <c r="H2123" s="6">
        <v>345212</v>
      </c>
      <c r="I2123" s="6">
        <v>1.6786648290172512E-3</v>
      </c>
      <c r="J2123" s="6">
        <v>9754.721321419247</v>
      </c>
      <c r="K2123" s="6">
        <v>1419505.83805425</v>
      </c>
      <c r="M2123" s="6">
        <f>SUM(H2123,J2123)</f>
        <v>354966.72132141923</v>
      </c>
      <c r="N2123" s="6">
        <f>K2123</f>
        <v>1419505.83805425</v>
      </c>
      <c r="O2123" s="6">
        <f>SUM(M2123:N2123)</f>
        <v>1774472.5593756693</v>
      </c>
      <c r="P2123" s="8">
        <f>VLOOKUP(F2123,'LEAID Match'!$A$2:$B$436,2,FALSE)</f>
        <v>1809000</v>
      </c>
      <c r="Q2123" s="6">
        <f>COUNTIF($P$2:$P$3691,P2123)</f>
        <v>9</v>
      </c>
    </row>
    <row r="2124" spans="1:17" x14ac:dyDescent="0.2">
      <c r="A2124" s="16">
        <f>P2124</f>
        <v>1809000</v>
      </c>
      <c r="B2124">
        <v>2016</v>
      </c>
      <c r="C2124" t="s">
        <v>904</v>
      </c>
      <c r="D2124" t="s">
        <v>906</v>
      </c>
      <c r="E2124" t="s">
        <v>3030</v>
      </c>
      <c r="F2124" t="s">
        <v>566</v>
      </c>
      <c r="G2124" t="s">
        <v>234</v>
      </c>
      <c r="H2124" s="6">
        <v>362906</v>
      </c>
      <c r="I2124" s="6">
        <v>1.683928410756033E-3</v>
      </c>
      <c r="J2124" s="6">
        <v>8500.470617496454</v>
      </c>
      <c r="K2124" s="6">
        <v>1494486.4645459701</v>
      </c>
      <c r="M2124" s="6">
        <f>SUM(H2124,J2124)</f>
        <v>371406.47061749647</v>
      </c>
      <c r="N2124" s="6">
        <f>K2124</f>
        <v>1494486.4645459701</v>
      </c>
      <c r="O2124" s="6">
        <f>SUM(M2124:N2124)</f>
        <v>1865892.9351634665</v>
      </c>
      <c r="P2124" s="8">
        <f>VLOOKUP(F2124,'LEAID Match'!$A$2:$B$436,2,FALSE)</f>
        <v>1809000</v>
      </c>
      <c r="Q2124" s="6">
        <f>COUNTIF($P$2:$P$3691,P2124)</f>
        <v>9</v>
      </c>
    </row>
    <row r="2125" spans="1:17" x14ac:dyDescent="0.2">
      <c r="A2125" s="16">
        <f>P2125</f>
        <v>1809000</v>
      </c>
      <c r="B2125">
        <v>2017</v>
      </c>
      <c r="C2125" t="s">
        <v>904</v>
      </c>
      <c r="D2125" t="s">
        <v>906</v>
      </c>
      <c r="E2125" t="s">
        <v>3031</v>
      </c>
      <c r="F2125" t="s">
        <v>566</v>
      </c>
      <c r="G2125" t="s">
        <v>234</v>
      </c>
      <c r="H2125" s="6">
        <v>386185</v>
      </c>
      <c r="I2125" s="6">
        <v>1.7005377672997919E-3</v>
      </c>
      <c r="J2125" s="6">
        <v>7694.9333970315583</v>
      </c>
      <c r="K2125" s="6">
        <v>1481168.39531811</v>
      </c>
      <c r="M2125" s="6">
        <f>SUM(H2125,J2125)</f>
        <v>393879.93339703156</v>
      </c>
      <c r="N2125" s="6">
        <f>K2125</f>
        <v>1481168.39531811</v>
      </c>
      <c r="O2125" s="6">
        <f>SUM(M2125:N2125)</f>
        <v>1875048.3287151416</v>
      </c>
      <c r="P2125" s="8">
        <f>VLOOKUP(F2125,'LEAID Match'!$A$2:$B$436,2,FALSE)</f>
        <v>1809000</v>
      </c>
      <c r="Q2125" s="6">
        <f>COUNTIF($P$2:$P$3691,P2125)</f>
        <v>9</v>
      </c>
    </row>
    <row r="2126" spans="1:17" x14ac:dyDescent="0.2">
      <c r="A2126" s="16">
        <f>P2126</f>
        <v>1809000</v>
      </c>
      <c r="B2126">
        <v>2018</v>
      </c>
      <c r="C2126" t="s">
        <v>904</v>
      </c>
      <c r="D2126" t="s">
        <v>906</v>
      </c>
      <c r="E2126" t="s">
        <v>3032</v>
      </c>
      <c r="F2126" t="s">
        <v>566</v>
      </c>
      <c r="G2126" t="s">
        <v>234</v>
      </c>
      <c r="H2126" s="6">
        <v>390300</v>
      </c>
      <c r="I2126" s="6">
        <v>1.6557973308139759E-3</v>
      </c>
      <c r="J2126" s="6">
        <v>6901.3632748326518</v>
      </c>
      <c r="K2126" s="6">
        <v>1329119</v>
      </c>
      <c r="M2126" s="6">
        <f>SUM(H2126,J2126)</f>
        <v>397201.36327483266</v>
      </c>
      <c r="N2126" s="6">
        <f>K2126</f>
        <v>1329119</v>
      </c>
      <c r="O2126" s="6">
        <f>SUM(M2126:N2126)</f>
        <v>1726320.3632748327</v>
      </c>
      <c r="P2126" s="8">
        <f>VLOOKUP(F2126,'LEAID Match'!$A$2:$B$436,2,FALSE)</f>
        <v>1809000</v>
      </c>
      <c r="Q2126" s="6">
        <f>COUNTIF($P$2:$P$3691,P2126)</f>
        <v>9</v>
      </c>
    </row>
    <row r="2127" spans="1:17" x14ac:dyDescent="0.2">
      <c r="A2127" s="16">
        <f>P2127</f>
        <v>1809000</v>
      </c>
      <c r="B2127">
        <v>2019</v>
      </c>
      <c r="C2127" t="s">
        <v>904</v>
      </c>
      <c r="D2127" t="s">
        <v>906</v>
      </c>
      <c r="E2127" t="s">
        <v>3033</v>
      </c>
      <c r="F2127" t="s">
        <v>566</v>
      </c>
      <c r="G2127" t="s">
        <v>234</v>
      </c>
      <c r="H2127" s="6">
        <v>437722</v>
      </c>
      <c r="I2127" s="6">
        <v>1.1135623940453289E-3</v>
      </c>
      <c r="J2127" s="6">
        <v>3903.0361911288778</v>
      </c>
      <c r="K2127" s="6">
        <v>1051091.5437393801</v>
      </c>
      <c r="M2127" s="6">
        <f>SUM(H2127,J2127)</f>
        <v>441625.03619112889</v>
      </c>
      <c r="N2127" s="6">
        <f>K2127</f>
        <v>1051091.5437393801</v>
      </c>
      <c r="O2127" s="6">
        <f>SUM(M2127:N2127)</f>
        <v>1492716.579930509</v>
      </c>
      <c r="P2127" s="8">
        <f>VLOOKUP(F2127,'LEAID Match'!$A$2:$B$436,2,FALSE)</f>
        <v>1809000</v>
      </c>
      <c r="Q2127" s="6">
        <f>COUNTIF($P$2:$P$3691,P2127)</f>
        <v>9</v>
      </c>
    </row>
    <row r="2128" spans="1:17" x14ac:dyDescent="0.2">
      <c r="A2128" s="16">
        <f>P2128</f>
        <v>1809000</v>
      </c>
      <c r="B2128">
        <v>2020</v>
      </c>
      <c r="C2128" t="s">
        <v>904</v>
      </c>
      <c r="D2128" t="s">
        <v>906</v>
      </c>
      <c r="E2128" t="s">
        <v>3034</v>
      </c>
      <c r="F2128" t="s">
        <v>566</v>
      </c>
      <c r="G2128" t="s">
        <v>234</v>
      </c>
      <c r="H2128" s="6">
        <v>353098</v>
      </c>
      <c r="I2128" s="6">
        <v>1.8709630934304917E-3</v>
      </c>
      <c r="J2128" s="6">
        <v>4407.9890481222383</v>
      </c>
      <c r="K2128" s="6">
        <v>1398333</v>
      </c>
      <c r="M2128" s="6">
        <f>SUM(H2128,J2128)</f>
        <v>357505.98904812225</v>
      </c>
      <c r="N2128" s="6">
        <f>K2128</f>
        <v>1398333</v>
      </c>
      <c r="O2128" s="6">
        <f>SUM(M2128:N2128)</f>
        <v>1755838.9890481222</v>
      </c>
      <c r="P2128" s="8">
        <f>VLOOKUP(F2128,'LEAID Match'!$A$2:$B$436,2,FALSE)</f>
        <v>1809000</v>
      </c>
      <c r="Q2128" s="6">
        <f>COUNTIF($P$2:$P$3691,P2128)</f>
        <v>9</v>
      </c>
    </row>
    <row r="2129" spans="1:17" x14ac:dyDescent="0.2">
      <c r="A2129" s="16">
        <f>P2129</f>
        <v>1809000</v>
      </c>
      <c r="B2129">
        <v>2021</v>
      </c>
      <c r="C2129" t="s">
        <v>904</v>
      </c>
      <c r="D2129" t="s">
        <v>906</v>
      </c>
      <c r="E2129" t="s">
        <v>3035</v>
      </c>
      <c r="F2129" t="s">
        <v>566</v>
      </c>
      <c r="G2129" t="s">
        <v>234</v>
      </c>
      <c r="H2129" s="6">
        <v>351085</v>
      </c>
      <c r="I2129" s="6">
        <v>1.7343925505294573E-3</v>
      </c>
      <c r="J2129" s="6">
        <v>3909.3208088933966</v>
      </c>
      <c r="K2129" s="6">
        <v>2417862</v>
      </c>
      <c r="M2129" s="6">
        <f>SUM(H2129,J2129)</f>
        <v>354994.32080889342</v>
      </c>
      <c r="N2129" s="6">
        <f>K2129</f>
        <v>2417862</v>
      </c>
      <c r="O2129" s="6">
        <f>SUM(M2129:N2129)</f>
        <v>2772856.3208088935</v>
      </c>
      <c r="P2129" s="8">
        <f>VLOOKUP(F2129,'LEAID Match'!$A$2:$B$436,2,FALSE)</f>
        <v>1809000</v>
      </c>
      <c r="Q2129" s="6">
        <f>COUNTIF($P$2:$P$3691,P2129)</f>
        <v>9</v>
      </c>
    </row>
    <row r="2130" spans="1:17" x14ac:dyDescent="0.2">
      <c r="A2130" s="16">
        <f>P2130</f>
        <v>1809000</v>
      </c>
      <c r="B2130">
        <v>2022</v>
      </c>
      <c r="C2130" t="s">
        <v>904</v>
      </c>
      <c r="D2130" t="s">
        <v>906</v>
      </c>
      <c r="E2130" t="s">
        <v>3036</v>
      </c>
      <c r="F2130" t="s">
        <v>566</v>
      </c>
      <c r="G2130" t="s">
        <v>234</v>
      </c>
      <c r="H2130" s="6">
        <v>364035</v>
      </c>
      <c r="I2130" s="6">
        <v>1.7285058363181063E-3</v>
      </c>
      <c r="J2130" s="6">
        <v>3811.3553690814242</v>
      </c>
      <c r="K2130" s="6">
        <v>2320809</v>
      </c>
      <c r="M2130" s="6">
        <f>SUM(H2130,J2130)</f>
        <v>367846.35536908143</v>
      </c>
      <c r="N2130" s="6">
        <f>K2130</f>
        <v>2320809</v>
      </c>
      <c r="O2130" s="6">
        <f>SUM(M2130:N2130)</f>
        <v>2688655.3553690813</v>
      </c>
      <c r="P2130" s="8">
        <f>VLOOKUP(F2130,'LEAID Match'!$A$2:$B$436,2,FALSE)</f>
        <v>1809000</v>
      </c>
      <c r="Q2130" s="6">
        <f>COUNTIF($P$2:$P$3691,P2130)</f>
        <v>9</v>
      </c>
    </row>
    <row r="2131" spans="1:17" x14ac:dyDescent="0.2">
      <c r="A2131" s="16">
        <f>P2131</f>
        <v>1809000</v>
      </c>
      <c r="B2131">
        <v>2023</v>
      </c>
      <c r="C2131" t="s">
        <v>904</v>
      </c>
      <c r="D2131" t="s">
        <v>906</v>
      </c>
      <c r="E2131" t="s">
        <v>3037</v>
      </c>
      <c r="F2131" t="s">
        <v>566</v>
      </c>
      <c r="G2131" t="s">
        <v>234</v>
      </c>
      <c r="H2131" s="6">
        <v>429522</v>
      </c>
      <c r="I2131" s="6">
        <v>1.756508978053342E-3</v>
      </c>
      <c r="J2131" s="6">
        <v>4333.3076488575944</v>
      </c>
      <c r="K2131" s="6">
        <v>8064711</v>
      </c>
      <c r="M2131" s="6">
        <f>SUM(H2131,J2131)</f>
        <v>433855.30764885759</v>
      </c>
      <c r="N2131" s="6">
        <f>K2131</f>
        <v>8064711</v>
      </c>
      <c r="O2131" s="6">
        <f>SUM(M2131:N2131)</f>
        <v>8498566.3076488581</v>
      </c>
      <c r="P2131" s="8">
        <f>VLOOKUP(F2131,'LEAID Match'!$A$2:$B$436,2,FALSE)</f>
        <v>1809000</v>
      </c>
      <c r="Q2131" s="6">
        <f>COUNTIF($P$2:$P$3691,P2131)</f>
        <v>9</v>
      </c>
    </row>
    <row r="2132" spans="1:17" x14ac:dyDescent="0.2">
      <c r="A2132" s="16">
        <f>P2132</f>
        <v>1807950</v>
      </c>
      <c r="B2132">
        <v>2015</v>
      </c>
      <c r="C2132" t="s">
        <v>904</v>
      </c>
      <c r="D2132" t="s">
        <v>906</v>
      </c>
      <c r="E2132" t="s">
        <v>3038</v>
      </c>
      <c r="F2132" t="s">
        <v>752</v>
      </c>
      <c r="G2132" t="s">
        <v>235</v>
      </c>
      <c r="H2132" s="6">
        <v>314282</v>
      </c>
      <c r="I2132" s="6">
        <v>1.5282612997033699E-3</v>
      </c>
      <c r="J2132" s="6">
        <v>8880.7264125762831</v>
      </c>
      <c r="K2132" s="6">
        <v>1292322.2072099601</v>
      </c>
      <c r="M2132" s="6">
        <f>SUM(H2132,J2132)</f>
        <v>323162.72641257627</v>
      </c>
      <c r="N2132" s="6">
        <f>K2132</f>
        <v>1292322.2072099601</v>
      </c>
      <c r="O2132" s="6">
        <f>SUM(M2132:N2132)</f>
        <v>1615484.9336225362</v>
      </c>
      <c r="P2132" s="8">
        <f>VLOOKUP(F2132,'LEAID Match'!$A$2:$B$436,2,FALSE)</f>
        <v>1807950</v>
      </c>
      <c r="Q2132" s="6">
        <f>COUNTIF($P$2:$P$3691,P2132)</f>
        <v>9</v>
      </c>
    </row>
    <row r="2133" spans="1:17" x14ac:dyDescent="0.2">
      <c r="A2133" s="16">
        <f>P2133</f>
        <v>1807950</v>
      </c>
      <c r="B2133">
        <v>2016</v>
      </c>
      <c r="C2133" t="s">
        <v>904</v>
      </c>
      <c r="D2133" t="s">
        <v>906</v>
      </c>
      <c r="E2133" t="s">
        <v>3039</v>
      </c>
      <c r="F2133" t="s">
        <v>752</v>
      </c>
      <c r="G2133" t="s">
        <v>235</v>
      </c>
      <c r="H2133" s="6">
        <v>300859</v>
      </c>
      <c r="I2133" s="6">
        <v>1.3960227103758255E-3</v>
      </c>
      <c r="J2133" s="6">
        <v>7047.1226419771665</v>
      </c>
      <c r="K2133" s="6">
        <v>1238970.15545854</v>
      </c>
      <c r="M2133" s="6">
        <f>SUM(H2133,J2133)</f>
        <v>307906.12264197716</v>
      </c>
      <c r="N2133" s="6">
        <f>K2133</f>
        <v>1238970.15545854</v>
      </c>
      <c r="O2133" s="6">
        <f>SUM(M2133:N2133)</f>
        <v>1546876.2781005171</v>
      </c>
      <c r="P2133" s="8">
        <f>VLOOKUP(F2133,'LEAID Match'!$A$2:$B$436,2,FALSE)</f>
        <v>1807950</v>
      </c>
      <c r="Q2133" s="6">
        <f>COUNTIF($P$2:$P$3691,P2133)</f>
        <v>9</v>
      </c>
    </row>
    <row r="2134" spans="1:17" x14ac:dyDescent="0.2">
      <c r="A2134" s="16">
        <f>P2134</f>
        <v>1807950</v>
      </c>
      <c r="B2134">
        <v>2017</v>
      </c>
      <c r="C2134" t="s">
        <v>904</v>
      </c>
      <c r="D2134" t="s">
        <v>906</v>
      </c>
      <c r="E2134" t="s">
        <v>3040</v>
      </c>
      <c r="F2134" t="s">
        <v>752</v>
      </c>
      <c r="G2134" t="s">
        <v>235</v>
      </c>
      <c r="H2134" s="6">
        <v>314755</v>
      </c>
      <c r="I2134" s="6">
        <v>1.3860009191098723E-3</v>
      </c>
      <c r="J2134" s="6">
        <v>6271.6541589721719</v>
      </c>
      <c r="K2134" s="6">
        <v>1207206.8005446901</v>
      </c>
      <c r="M2134" s="6">
        <f>SUM(H2134,J2134)</f>
        <v>321026.65415897215</v>
      </c>
      <c r="N2134" s="6">
        <f>K2134</f>
        <v>1207206.8005446901</v>
      </c>
      <c r="O2134" s="6">
        <f>SUM(M2134:N2134)</f>
        <v>1528233.4547036623</v>
      </c>
      <c r="P2134" s="8">
        <f>VLOOKUP(F2134,'LEAID Match'!$A$2:$B$436,2,FALSE)</f>
        <v>1807950</v>
      </c>
      <c r="Q2134" s="6">
        <f>COUNTIF($P$2:$P$3691,P2134)</f>
        <v>9</v>
      </c>
    </row>
    <row r="2135" spans="1:17" x14ac:dyDescent="0.2">
      <c r="A2135" s="16">
        <f>P2135</f>
        <v>1807950</v>
      </c>
      <c r="B2135">
        <v>2018</v>
      </c>
      <c r="C2135" t="s">
        <v>904</v>
      </c>
      <c r="D2135" t="s">
        <v>906</v>
      </c>
      <c r="E2135" t="s">
        <v>3041</v>
      </c>
      <c r="F2135" t="s">
        <v>752</v>
      </c>
      <c r="G2135" t="s">
        <v>235</v>
      </c>
      <c r="H2135" s="6">
        <v>311157</v>
      </c>
      <c r="I2135" s="6">
        <v>1.3200433770537646E-3</v>
      </c>
      <c r="J2135" s="6">
        <v>5501.9407955600909</v>
      </c>
      <c r="K2135" s="6">
        <v>1543724</v>
      </c>
      <c r="M2135" s="6">
        <f>SUM(H2135,J2135)</f>
        <v>316658.94079556008</v>
      </c>
      <c r="N2135" s="6">
        <f>K2135</f>
        <v>1543724</v>
      </c>
      <c r="O2135" s="6">
        <f>SUM(M2135:N2135)</f>
        <v>1860382.9407955601</v>
      </c>
      <c r="P2135" s="8">
        <f>VLOOKUP(F2135,'LEAID Match'!$A$2:$B$436,2,FALSE)</f>
        <v>1807950</v>
      </c>
      <c r="Q2135" s="6">
        <f>COUNTIF($P$2:$P$3691,P2135)</f>
        <v>9</v>
      </c>
    </row>
    <row r="2136" spans="1:17" x14ac:dyDescent="0.2">
      <c r="A2136" s="16">
        <f>P2136</f>
        <v>1807950</v>
      </c>
      <c r="B2136">
        <v>2019</v>
      </c>
      <c r="C2136" t="s">
        <v>904</v>
      </c>
      <c r="D2136" t="s">
        <v>906</v>
      </c>
      <c r="E2136" t="s">
        <v>3042</v>
      </c>
      <c r="F2136" t="s">
        <v>752</v>
      </c>
      <c r="G2136" t="s">
        <v>235</v>
      </c>
      <c r="H2136" s="6">
        <v>328779</v>
      </c>
      <c r="I2136" s="6">
        <v>8.3641199289007453E-4</v>
      </c>
      <c r="J2136" s="6">
        <v>2931.6240350797111</v>
      </c>
      <c r="K2136" s="6">
        <v>789489.28008894098</v>
      </c>
      <c r="M2136" s="6">
        <f>SUM(H2136,J2136)</f>
        <v>331710.62403507973</v>
      </c>
      <c r="N2136" s="6">
        <f>K2136</f>
        <v>789489.28008894098</v>
      </c>
      <c r="O2136" s="6">
        <f>SUM(M2136:N2136)</f>
        <v>1121199.9041240206</v>
      </c>
      <c r="P2136" s="8">
        <f>VLOOKUP(F2136,'LEAID Match'!$A$2:$B$436,2,FALSE)</f>
        <v>1807950</v>
      </c>
      <c r="Q2136" s="6">
        <f>COUNTIF($P$2:$P$3691,P2136)</f>
        <v>9</v>
      </c>
    </row>
    <row r="2137" spans="1:17" x14ac:dyDescent="0.2">
      <c r="A2137" s="16">
        <f>P2137</f>
        <v>1807950</v>
      </c>
      <c r="B2137">
        <v>2020</v>
      </c>
      <c r="C2137" t="s">
        <v>904</v>
      </c>
      <c r="D2137" t="s">
        <v>906</v>
      </c>
      <c r="E2137" t="s">
        <v>3043</v>
      </c>
      <c r="F2137" t="s">
        <v>752</v>
      </c>
      <c r="G2137" t="s">
        <v>235</v>
      </c>
      <c r="H2137" s="6">
        <v>249898</v>
      </c>
      <c r="I2137" s="6">
        <v>1.3241364582129976E-3</v>
      </c>
      <c r="J2137" s="6">
        <v>3119.665495549822</v>
      </c>
      <c r="K2137" s="6">
        <v>1642573</v>
      </c>
      <c r="M2137" s="6">
        <f>SUM(H2137,J2137)</f>
        <v>253017.66549554982</v>
      </c>
      <c r="N2137" s="6">
        <f>K2137</f>
        <v>1642573</v>
      </c>
      <c r="O2137" s="6">
        <f>SUM(M2137:N2137)</f>
        <v>1895590.6654955498</v>
      </c>
      <c r="P2137" s="8">
        <f>VLOOKUP(F2137,'LEAID Match'!$A$2:$B$436,2,FALSE)</f>
        <v>1807950</v>
      </c>
      <c r="Q2137" s="6">
        <f>COUNTIF($P$2:$P$3691,P2137)</f>
        <v>9</v>
      </c>
    </row>
    <row r="2138" spans="1:17" x14ac:dyDescent="0.2">
      <c r="A2138" s="16">
        <f>P2138</f>
        <v>1807950</v>
      </c>
      <c r="B2138">
        <v>2021</v>
      </c>
      <c r="C2138" t="s">
        <v>904</v>
      </c>
      <c r="D2138" t="s">
        <v>906</v>
      </c>
      <c r="E2138" t="s">
        <v>3044</v>
      </c>
      <c r="F2138" t="s">
        <v>752</v>
      </c>
      <c r="G2138" t="s">
        <v>235</v>
      </c>
      <c r="H2138" s="6">
        <v>264212</v>
      </c>
      <c r="I2138" s="6">
        <v>1.3052318514333821E-3</v>
      </c>
      <c r="J2138" s="6">
        <v>2941.9925931308435</v>
      </c>
      <c r="K2138" s="6">
        <v>2788525</v>
      </c>
      <c r="M2138" s="6">
        <f>SUM(H2138,J2138)</f>
        <v>267153.99259313085</v>
      </c>
      <c r="N2138" s="6">
        <f>K2138</f>
        <v>2788525</v>
      </c>
      <c r="O2138" s="6">
        <f>SUM(M2138:N2138)</f>
        <v>3055678.992593131</v>
      </c>
      <c r="P2138" s="8">
        <f>VLOOKUP(F2138,'LEAID Match'!$A$2:$B$436,2,FALSE)</f>
        <v>1807950</v>
      </c>
      <c r="Q2138" s="6">
        <f>COUNTIF($P$2:$P$3691,P2138)</f>
        <v>9</v>
      </c>
    </row>
    <row r="2139" spans="1:17" x14ac:dyDescent="0.2">
      <c r="A2139" s="16">
        <f>P2139</f>
        <v>1807950</v>
      </c>
      <c r="B2139">
        <v>2022</v>
      </c>
      <c r="C2139" t="s">
        <v>904</v>
      </c>
      <c r="D2139" t="s">
        <v>906</v>
      </c>
      <c r="E2139" t="s">
        <v>3045</v>
      </c>
      <c r="F2139" t="s">
        <v>752</v>
      </c>
      <c r="G2139" t="s">
        <v>235</v>
      </c>
      <c r="H2139" s="6">
        <v>275172</v>
      </c>
      <c r="I2139" s="6">
        <v>1.3065677970286536E-3</v>
      </c>
      <c r="J2139" s="6">
        <v>2880.9819924481812</v>
      </c>
      <c r="K2139" s="6">
        <v>2613992</v>
      </c>
      <c r="M2139" s="6">
        <f>SUM(H2139,J2139)</f>
        <v>278052.98199244816</v>
      </c>
      <c r="N2139" s="6">
        <f>K2139</f>
        <v>2613992</v>
      </c>
      <c r="O2139" s="6">
        <f>SUM(M2139:N2139)</f>
        <v>2892044.9819924482</v>
      </c>
      <c r="P2139" s="8">
        <f>VLOOKUP(F2139,'LEAID Match'!$A$2:$B$436,2,FALSE)</f>
        <v>1807950</v>
      </c>
      <c r="Q2139" s="6">
        <f>COUNTIF($P$2:$P$3691,P2139)</f>
        <v>9</v>
      </c>
    </row>
    <row r="2140" spans="1:17" x14ac:dyDescent="0.2">
      <c r="A2140" s="16">
        <f>P2140</f>
        <v>1807950</v>
      </c>
      <c r="B2140">
        <v>2023</v>
      </c>
      <c r="C2140" t="s">
        <v>904</v>
      </c>
      <c r="D2140" t="s">
        <v>906</v>
      </c>
      <c r="E2140" t="s">
        <v>3046</v>
      </c>
      <c r="F2140" t="s">
        <v>752</v>
      </c>
      <c r="G2140" t="s">
        <v>235</v>
      </c>
      <c r="H2140" s="6">
        <v>335754</v>
      </c>
      <c r="I2140" s="6">
        <v>1.3730493791175348E-3</v>
      </c>
      <c r="J2140" s="6">
        <v>3387.3128182829582</v>
      </c>
      <c r="K2140" s="6">
        <v>7084308</v>
      </c>
      <c r="M2140" s="6">
        <f>SUM(H2140,J2140)</f>
        <v>339141.31281828298</v>
      </c>
      <c r="N2140" s="6">
        <f>K2140</f>
        <v>7084308</v>
      </c>
      <c r="O2140" s="6">
        <f>SUM(M2140:N2140)</f>
        <v>7423449.3128182832</v>
      </c>
      <c r="P2140" s="8">
        <f>VLOOKUP(F2140,'LEAID Match'!$A$2:$B$436,2,FALSE)</f>
        <v>1807950</v>
      </c>
      <c r="Q2140" s="6">
        <f>COUNTIF($P$2:$P$3691,P2140)</f>
        <v>9</v>
      </c>
    </row>
    <row r="2141" spans="1:17" x14ac:dyDescent="0.2">
      <c r="A2141" s="16">
        <f>P2141</f>
        <v>0</v>
      </c>
      <c r="B2141">
        <v>2018</v>
      </c>
      <c r="C2141" t="s">
        <v>904</v>
      </c>
      <c r="D2141" t="s">
        <v>906</v>
      </c>
      <c r="E2141" t="s">
        <v>3047</v>
      </c>
      <c r="F2141" t="s">
        <v>881</v>
      </c>
      <c r="G2141" t="s">
        <v>435</v>
      </c>
      <c r="H2141" s="6">
        <v>0</v>
      </c>
      <c r="I2141" s="6">
        <v>0</v>
      </c>
      <c r="J2141" s="6">
        <v>0</v>
      </c>
      <c r="K2141" s="6">
        <v>210107</v>
      </c>
      <c r="M2141" s="6">
        <f>SUM(H2141,J2141)</f>
        <v>0</v>
      </c>
      <c r="N2141" s="6">
        <f>K2141</f>
        <v>210107</v>
      </c>
      <c r="O2141" s="6">
        <f>SUM(M2141:N2141)</f>
        <v>210107</v>
      </c>
      <c r="P2141" s="8">
        <f>VLOOKUP(F2141,'LEAID Match'!$A$2:$B$436,2,FALSE)</f>
        <v>0</v>
      </c>
      <c r="Q2141" s="6">
        <f>COUNTIF($P$2:$P$3691,P2141)</f>
        <v>371</v>
      </c>
    </row>
    <row r="2142" spans="1:17" x14ac:dyDescent="0.2">
      <c r="A2142" s="16">
        <f>P2142</f>
        <v>0</v>
      </c>
      <c r="B2142">
        <v>2020</v>
      </c>
      <c r="C2142" t="s">
        <v>904</v>
      </c>
      <c r="D2142" t="s">
        <v>906</v>
      </c>
      <c r="E2142" t="s">
        <v>3048</v>
      </c>
      <c r="F2142" t="s">
        <v>881</v>
      </c>
      <c r="G2142" t="s">
        <v>435</v>
      </c>
      <c r="H2142" s="6">
        <v>0</v>
      </c>
      <c r="I2142" s="6">
        <v>0</v>
      </c>
      <c r="J2142" s="6">
        <v>0</v>
      </c>
      <c r="K2142" s="6">
        <v>227925</v>
      </c>
      <c r="M2142" s="6">
        <f>SUM(H2142,J2142)</f>
        <v>0</v>
      </c>
      <c r="N2142" s="6">
        <f>K2142</f>
        <v>227925</v>
      </c>
      <c r="O2142" s="6">
        <f>SUM(M2142:N2142)</f>
        <v>227925</v>
      </c>
      <c r="P2142" s="8">
        <f>VLOOKUP(F2142,'LEAID Match'!$A$2:$B$436,2,FALSE)</f>
        <v>0</v>
      </c>
      <c r="Q2142" s="6">
        <f>COUNTIF($P$2:$P$3691,P2142)</f>
        <v>371</v>
      </c>
    </row>
    <row r="2143" spans="1:17" x14ac:dyDescent="0.2">
      <c r="A2143" s="16">
        <f>P2143</f>
        <v>0</v>
      </c>
      <c r="B2143">
        <v>2021</v>
      </c>
      <c r="C2143" t="s">
        <v>904</v>
      </c>
      <c r="D2143" t="s">
        <v>906</v>
      </c>
      <c r="E2143" t="s">
        <v>3049</v>
      </c>
      <c r="F2143" t="s">
        <v>881</v>
      </c>
      <c r="G2143" t="s">
        <v>435</v>
      </c>
      <c r="H2143" s="6" t="s">
        <v>893</v>
      </c>
      <c r="K2143" s="6">
        <v>358196</v>
      </c>
      <c r="M2143" s="6">
        <f>SUM(H2143,J2143)</f>
        <v>0</v>
      </c>
      <c r="N2143" s="6">
        <f>K2143</f>
        <v>358196</v>
      </c>
      <c r="O2143" s="6">
        <f>SUM(M2143:N2143)</f>
        <v>358196</v>
      </c>
      <c r="P2143" s="8">
        <f>VLOOKUP(F2143,'LEAID Match'!$A$2:$B$436,2,FALSE)</f>
        <v>0</v>
      </c>
      <c r="Q2143" s="6">
        <f>COUNTIF($P$2:$P$3691,P2143)</f>
        <v>371</v>
      </c>
    </row>
    <row r="2144" spans="1:17" x14ac:dyDescent="0.2">
      <c r="A2144" s="16">
        <f>P2144</f>
        <v>0</v>
      </c>
      <c r="B2144">
        <v>2022</v>
      </c>
      <c r="C2144" t="s">
        <v>904</v>
      </c>
      <c r="D2144" t="s">
        <v>906</v>
      </c>
      <c r="E2144" t="s">
        <v>3050</v>
      </c>
      <c r="F2144" t="s">
        <v>881</v>
      </c>
      <c r="G2144" t="s">
        <v>435</v>
      </c>
      <c r="H2144" s="6" t="s">
        <v>893</v>
      </c>
      <c r="K2144" s="6">
        <v>353649</v>
      </c>
      <c r="M2144" s="6">
        <f>SUM(H2144,J2144)</f>
        <v>0</v>
      </c>
      <c r="N2144" s="6">
        <f>K2144</f>
        <v>353649</v>
      </c>
      <c r="O2144" s="6">
        <f>SUM(M2144:N2144)</f>
        <v>353649</v>
      </c>
      <c r="P2144" s="8">
        <f>VLOOKUP(F2144,'LEAID Match'!$A$2:$B$436,2,FALSE)</f>
        <v>0</v>
      </c>
      <c r="Q2144" s="6">
        <f>COUNTIF($P$2:$P$3691,P2144)</f>
        <v>371</v>
      </c>
    </row>
    <row r="2145" spans="1:17" x14ac:dyDescent="0.2">
      <c r="A2145" s="16">
        <f>P2145</f>
        <v>0</v>
      </c>
      <c r="B2145">
        <v>2023</v>
      </c>
      <c r="C2145" t="s">
        <v>904</v>
      </c>
      <c r="D2145" t="s">
        <v>906</v>
      </c>
      <c r="E2145" t="s">
        <v>3051</v>
      </c>
      <c r="F2145" t="s">
        <v>881</v>
      </c>
      <c r="G2145" t="s">
        <v>435</v>
      </c>
      <c r="H2145" s="6" t="s">
        <v>893</v>
      </c>
      <c r="K2145" s="6">
        <v>763147</v>
      </c>
      <c r="M2145" s="6">
        <f>SUM(H2145,J2145)</f>
        <v>0</v>
      </c>
      <c r="N2145" s="6">
        <f>K2145</f>
        <v>763147</v>
      </c>
      <c r="O2145" s="6">
        <f>SUM(M2145:N2145)</f>
        <v>763147</v>
      </c>
      <c r="P2145" s="8">
        <f>VLOOKUP(F2145,'LEAID Match'!$A$2:$B$436,2,FALSE)</f>
        <v>0</v>
      </c>
      <c r="Q2145" s="6">
        <f>COUNTIF($P$2:$P$3691,P2145)</f>
        <v>371</v>
      </c>
    </row>
    <row r="2146" spans="1:17" x14ac:dyDescent="0.2">
      <c r="A2146" s="16">
        <f>P2146</f>
        <v>1807290</v>
      </c>
      <c r="B2146">
        <v>2015</v>
      </c>
      <c r="C2146" t="s">
        <v>904</v>
      </c>
      <c r="D2146" t="s">
        <v>906</v>
      </c>
      <c r="E2146" t="s">
        <v>3052</v>
      </c>
      <c r="F2146" t="s">
        <v>567</v>
      </c>
      <c r="G2146" t="s">
        <v>236</v>
      </c>
      <c r="H2146" s="6">
        <v>345883</v>
      </c>
      <c r="I2146" s="6">
        <v>1.6819277054533849E-3</v>
      </c>
      <c r="J2146" s="6">
        <v>9773.6818963896203</v>
      </c>
      <c r="K2146" s="6">
        <v>1422264.9785746599</v>
      </c>
      <c r="M2146" s="6">
        <f>SUM(H2146,J2146)</f>
        <v>355656.68189638964</v>
      </c>
      <c r="N2146" s="6">
        <f>K2146</f>
        <v>1422264.9785746599</v>
      </c>
      <c r="O2146" s="6">
        <f>SUM(M2146:N2146)</f>
        <v>1777921.6604710496</v>
      </c>
      <c r="P2146" s="8">
        <f>VLOOKUP(F2146,'LEAID Match'!$A$2:$B$436,2,FALSE)</f>
        <v>1807290</v>
      </c>
      <c r="Q2146" s="6">
        <f>COUNTIF($P$2:$P$3691,P2146)</f>
        <v>9</v>
      </c>
    </row>
    <row r="2147" spans="1:17" x14ac:dyDescent="0.2">
      <c r="A2147" s="16">
        <f>P2147</f>
        <v>1807290</v>
      </c>
      <c r="B2147">
        <v>2016</v>
      </c>
      <c r="C2147" t="s">
        <v>904</v>
      </c>
      <c r="D2147" t="s">
        <v>906</v>
      </c>
      <c r="E2147" t="s">
        <v>3053</v>
      </c>
      <c r="F2147" t="s">
        <v>567</v>
      </c>
      <c r="G2147" t="s">
        <v>236</v>
      </c>
      <c r="H2147" s="6">
        <v>349788</v>
      </c>
      <c r="I2147" s="6">
        <v>1.6230592796523929E-3</v>
      </c>
      <c r="J2147" s="6">
        <v>8193.2032436852787</v>
      </c>
      <c r="K2147" s="6">
        <v>1440465.1106914899</v>
      </c>
      <c r="M2147" s="6">
        <f>SUM(H2147,J2147)</f>
        <v>357981.2032436853</v>
      </c>
      <c r="N2147" s="6">
        <f>K2147</f>
        <v>1440465.1106914899</v>
      </c>
      <c r="O2147" s="6">
        <f>SUM(M2147:N2147)</f>
        <v>1798446.3139351751</v>
      </c>
      <c r="P2147" s="8">
        <f>VLOOKUP(F2147,'LEAID Match'!$A$2:$B$436,2,FALSE)</f>
        <v>1807290</v>
      </c>
      <c r="Q2147" s="6">
        <f>COUNTIF($P$2:$P$3691,P2147)</f>
        <v>9</v>
      </c>
    </row>
    <row r="2148" spans="1:17" x14ac:dyDescent="0.2">
      <c r="A2148" s="16">
        <f>P2148</f>
        <v>1807290</v>
      </c>
      <c r="B2148">
        <v>2017</v>
      </c>
      <c r="C2148" t="s">
        <v>904</v>
      </c>
      <c r="D2148" t="s">
        <v>906</v>
      </c>
      <c r="E2148" t="s">
        <v>3054</v>
      </c>
      <c r="F2148" t="s">
        <v>567</v>
      </c>
      <c r="G2148" t="s">
        <v>236</v>
      </c>
      <c r="H2148" s="6">
        <v>362911</v>
      </c>
      <c r="I2148" s="6">
        <v>1.5980523885405565E-3</v>
      </c>
      <c r="J2148" s="6">
        <v>7231.187058146018</v>
      </c>
      <c r="K2148" s="6">
        <v>1391903.6304188201</v>
      </c>
      <c r="M2148" s="6">
        <f>SUM(H2148,J2148)</f>
        <v>370142.187058146</v>
      </c>
      <c r="N2148" s="6">
        <f>K2148</f>
        <v>1391903.6304188201</v>
      </c>
      <c r="O2148" s="6">
        <f>SUM(M2148:N2148)</f>
        <v>1762045.817476966</v>
      </c>
      <c r="P2148" s="8">
        <f>VLOOKUP(F2148,'LEAID Match'!$A$2:$B$436,2,FALSE)</f>
        <v>1807290</v>
      </c>
      <c r="Q2148" s="6">
        <f>COUNTIF($P$2:$P$3691,P2148)</f>
        <v>9</v>
      </c>
    </row>
    <row r="2149" spans="1:17" x14ac:dyDescent="0.2">
      <c r="A2149" s="16">
        <f>P2149</f>
        <v>1807290</v>
      </c>
      <c r="B2149">
        <v>2018</v>
      </c>
      <c r="C2149" t="s">
        <v>904</v>
      </c>
      <c r="D2149" t="s">
        <v>906</v>
      </c>
      <c r="E2149" t="s">
        <v>3055</v>
      </c>
      <c r="F2149" t="s">
        <v>567</v>
      </c>
      <c r="G2149" t="s">
        <v>236</v>
      </c>
      <c r="H2149" s="6">
        <v>383677</v>
      </c>
      <c r="I2149" s="6">
        <v>1.6277001088770531E-3</v>
      </c>
      <c r="J2149" s="6">
        <v>6784.2540537995574</v>
      </c>
      <c r="K2149" s="6">
        <v>3187041</v>
      </c>
      <c r="M2149" s="6">
        <f>SUM(H2149,J2149)</f>
        <v>390461.25405379955</v>
      </c>
      <c r="N2149" s="6">
        <f>K2149</f>
        <v>3187041</v>
      </c>
      <c r="O2149" s="6">
        <f>SUM(M2149:N2149)</f>
        <v>3577502.2540537994</v>
      </c>
      <c r="P2149" s="8">
        <f>VLOOKUP(F2149,'LEAID Match'!$A$2:$B$436,2,FALSE)</f>
        <v>1807290</v>
      </c>
      <c r="Q2149" s="6">
        <f>COUNTIF($P$2:$P$3691,P2149)</f>
        <v>9</v>
      </c>
    </row>
    <row r="2150" spans="1:17" x14ac:dyDescent="0.2">
      <c r="A2150" s="16">
        <f>P2150</f>
        <v>1807290</v>
      </c>
      <c r="B2150">
        <v>2019</v>
      </c>
      <c r="C2150" t="s">
        <v>904</v>
      </c>
      <c r="D2150" t="s">
        <v>906</v>
      </c>
      <c r="E2150" t="s">
        <v>3056</v>
      </c>
      <c r="F2150" t="s">
        <v>567</v>
      </c>
      <c r="G2150" t="s">
        <v>236</v>
      </c>
      <c r="H2150" s="6">
        <v>403632</v>
      </c>
      <c r="I2150" s="6">
        <v>1.0268376189300611E-3</v>
      </c>
      <c r="J2150" s="6">
        <v>3599.0658543498644</v>
      </c>
      <c r="K2150" s="6">
        <v>969232.02850808401</v>
      </c>
      <c r="M2150" s="6">
        <f>SUM(H2150,J2150)</f>
        <v>407231.06585434987</v>
      </c>
      <c r="N2150" s="6">
        <f>K2150</f>
        <v>969232.02850808401</v>
      </c>
      <c r="O2150" s="6">
        <f>SUM(M2150:N2150)</f>
        <v>1376463.094362434</v>
      </c>
      <c r="P2150" s="8">
        <f>VLOOKUP(F2150,'LEAID Match'!$A$2:$B$436,2,FALSE)</f>
        <v>1807290</v>
      </c>
      <c r="Q2150" s="6">
        <f>COUNTIF($P$2:$P$3691,P2150)</f>
        <v>9</v>
      </c>
    </row>
    <row r="2151" spans="1:17" x14ac:dyDescent="0.2">
      <c r="A2151" s="16">
        <f>P2151</f>
        <v>1807290</v>
      </c>
      <c r="B2151">
        <v>2020</v>
      </c>
      <c r="C2151" t="s">
        <v>904</v>
      </c>
      <c r="D2151" t="s">
        <v>906</v>
      </c>
      <c r="E2151" t="s">
        <v>3057</v>
      </c>
      <c r="F2151" t="s">
        <v>567</v>
      </c>
      <c r="G2151" t="s">
        <v>236</v>
      </c>
      <c r="H2151" s="6">
        <v>308246</v>
      </c>
      <c r="I2151" s="6">
        <v>1.6333054554191055E-3</v>
      </c>
      <c r="J2151" s="6">
        <v>3848.0676529674124</v>
      </c>
      <c r="K2151" s="6">
        <v>3449655</v>
      </c>
      <c r="M2151" s="6">
        <f>SUM(H2151,J2151)</f>
        <v>312094.06765296741</v>
      </c>
      <c r="N2151" s="6">
        <f>K2151</f>
        <v>3449655</v>
      </c>
      <c r="O2151" s="6">
        <f>SUM(M2151:N2151)</f>
        <v>3761749.0676529673</v>
      </c>
      <c r="P2151" s="8">
        <f>VLOOKUP(F2151,'LEAID Match'!$A$2:$B$436,2,FALSE)</f>
        <v>1807290</v>
      </c>
      <c r="Q2151" s="6">
        <f>COUNTIF($P$2:$P$3691,P2151)</f>
        <v>9</v>
      </c>
    </row>
    <row r="2152" spans="1:17" x14ac:dyDescent="0.2">
      <c r="A2152" s="16">
        <f>P2152</f>
        <v>1807290</v>
      </c>
      <c r="B2152">
        <v>2021</v>
      </c>
      <c r="C2152" t="s">
        <v>904</v>
      </c>
      <c r="D2152" t="s">
        <v>906</v>
      </c>
      <c r="E2152" t="s">
        <v>3058</v>
      </c>
      <c r="F2152" t="s">
        <v>567</v>
      </c>
      <c r="G2152" t="s">
        <v>236</v>
      </c>
      <c r="H2152" s="6">
        <v>331530</v>
      </c>
      <c r="I2152" s="6">
        <v>1.6377890319353744E-3</v>
      </c>
      <c r="J2152" s="6">
        <v>3691.5764779823339</v>
      </c>
      <c r="K2152" s="6">
        <v>5680785</v>
      </c>
      <c r="M2152" s="6">
        <f>SUM(H2152,J2152)</f>
        <v>335221.57647798234</v>
      </c>
      <c r="N2152" s="6">
        <f>K2152</f>
        <v>5680785</v>
      </c>
      <c r="O2152" s="6">
        <f>SUM(M2152:N2152)</f>
        <v>6016006.5764779821</v>
      </c>
      <c r="P2152" s="8">
        <f>VLOOKUP(F2152,'LEAID Match'!$A$2:$B$436,2,FALSE)</f>
        <v>1807290</v>
      </c>
      <c r="Q2152" s="6">
        <f>COUNTIF($P$2:$P$3691,P2152)</f>
        <v>9</v>
      </c>
    </row>
    <row r="2153" spans="1:17" x14ac:dyDescent="0.2">
      <c r="A2153" s="16">
        <f>P2153</f>
        <v>1807290</v>
      </c>
      <c r="B2153">
        <v>2022</v>
      </c>
      <c r="C2153" t="s">
        <v>904</v>
      </c>
      <c r="D2153" t="s">
        <v>906</v>
      </c>
      <c r="E2153" t="s">
        <v>3059</v>
      </c>
      <c r="F2153" t="s">
        <v>567</v>
      </c>
      <c r="G2153" t="s">
        <v>236</v>
      </c>
      <c r="H2153" s="6">
        <v>376024</v>
      </c>
      <c r="I2153" s="6">
        <v>1.7854318364873697E-3</v>
      </c>
      <c r="J2153" s="6">
        <v>3936.8771994546501</v>
      </c>
      <c r="K2153" s="6">
        <v>5566438</v>
      </c>
      <c r="M2153" s="6">
        <f>SUM(H2153,J2153)</f>
        <v>379960.87719945464</v>
      </c>
      <c r="N2153" s="6">
        <f>K2153</f>
        <v>5566438</v>
      </c>
      <c r="O2153" s="6">
        <f>SUM(M2153:N2153)</f>
        <v>5946398.8771994542</v>
      </c>
      <c r="P2153" s="8">
        <f>VLOOKUP(F2153,'LEAID Match'!$A$2:$B$436,2,FALSE)</f>
        <v>1807290</v>
      </c>
      <c r="Q2153" s="6">
        <f>COUNTIF($P$2:$P$3691,P2153)</f>
        <v>9</v>
      </c>
    </row>
    <row r="2154" spans="1:17" x14ac:dyDescent="0.2">
      <c r="A2154" s="16">
        <f>P2154</f>
        <v>1807290</v>
      </c>
      <c r="B2154">
        <v>2023</v>
      </c>
      <c r="C2154" t="s">
        <v>904</v>
      </c>
      <c r="D2154" t="s">
        <v>906</v>
      </c>
      <c r="E2154" t="s">
        <v>3060</v>
      </c>
      <c r="F2154" t="s">
        <v>567</v>
      </c>
      <c r="G2154" t="s">
        <v>236</v>
      </c>
      <c r="H2154" s="6">
        <v>445056</v>
      </c>
      <c r="I2154" s="6">
        <v>1.820034502857847E-3</v>
      </c>
      <c r="J2154" s="6">
        <v>4490.0251185503084</v>
      </c>
      <c r="K2154" s="6">
        <v>15860075</v>
      </c>
      <c r="M2154" s="6">
        <f>SUM(H2154,J2154)</f>
        <v>449546.02511855029</v>
      </c>
      <c r="N2154" s="6">
        <f>K2154</f>
        <v>15860075</v>
      </c>
      <c r="O2154" s="6">
        <f>SUM(M2154:N2154)</f>
        <v>16309621.02511855</v>
      </c>
      <c r="P2154" s="8">
        <f>VLOOKUP(F2154,'LEAID Match'!$A$2:$B$436,2,FALSE)</f>
        <v>1807290</v>
      </c>
      <c r="Q2154" s="6">
        <f>COUNTIF($P$2:$P$3691,P2154)</f>
        <v>9</v>
      </c>
    </row>
    <row r="2155" spans="1:17" x14ac:dyDescent="0.2">
      <c r="A2155" s="16">
        <f>P2155</f>
        <v>0</v>
      </c>
      <c r="B2155">
        <v>2020</v>
      </c>
      <c r="C2155" t="s">
        <v>904</v>
      </c>
      <c r="D2155" t="s">
        <v>906</v>
      </c>
      <c r="E2155" t="s">
        <v>3061</v>
      </c>
      <c r="F2155" t="s">
        <v>882</v>
      </c>
      <c r="G2155" t="s">
        <v>454</v>
      </c>
      <c r="H2155" s="6">
        <v>0</v>
      </c>
      <c r="I2155" s="6">
        <v>0</v>
      </c>
      <c r="J2155" s="6">
        <v>0</v>
      </c>
      <c r="K2155" s="6">
        <v>5147</v>
      </c>
      <c r="M2155" s="6">
        <f>SUM(H2155,J2155)</f>
        <v>0</v>
      </c>
      <c r="N2155" s="6">
        <f>K2155</f>
        <v>5147</v>
      </c>
      <c r="O2155" s="6">
        <f>SUM(M2155:N2155)</f>
        <v>5147</v>
      </c>
      <c r="P2155" s="8">
        <f>VLOOKUP(F2155,'LEAID Match'!$A$2:$B$436,2,FALSE)</f>
        <v>0</v>
      </c>
      <c r="Q2155" s="6">
        <f>COUNTIF($P$2:$P$3691,P2155)</f>
        <v>371</v>
      </c>
    </row>
    <row r="2156" spans="1:17" x14ac:dyDescent="0.2">
      <c r="A2156" s="16">
        <f>P2156</f>
        <v>0</v>
      </c>
      <c r="B2156">
        <v>2021</v>
      </c>
      <c r="C2156" t="s">
        <v>904</v>
      </c>
      <c r="D2156" t="s">
        <v>906</v>
      </c>
      <c r="E2156" t="s">
        <v>3062</v>
      </c>
      <c r="F2156" t="s">
        <v>882</v>
      </c>
      <c r="G2156" t="s">
        <v>454</v>
      </c>
      <c r="H2156" s="6" t="s">
        <v>893</v>
      </c>
      <c r="K2156" s="6">
        <v>8152</v>
      </c>
      <c r="M2156" s="6">
        <f>SUM(H2156,J2156)</f>
        <v>0</v>
      </c>
      <c r="N2156" s="6">
        <f>K2156</f>
        <v>8152</v>
      </c>
      <c r="O2156" s="6">
        <f>SUM(M2156:N2156)</f>
        <v>8152</v>
      </c>
      <c r="P2156" s="8">
        <f>VLOOKUP(F2156,'LEAID Match'!$A$2:$B$436,2,FALSE)</f>
        <v>0</v>
      </c>
      <c r="Q2156" s="6">
        <f>COUNTIF($P$2:$P$3691,P2156)</f>
        <v>371</v>
      </c>
    </row>
    <row r="2157" spans="1:17" x14ac:dyDescent="0.2">
      <c r="A2157" s="16">
        <f>P2157</f>
        <v>0</v>
      </c>
      <c r="B2157">
        <v>2022</v>
      </c>
      <c r="C2157" t="s">
        <v>904</v>
      </c>
      <c r="D2157" t="s">
        <v>906</v>
      </c>
      <c r="E2157" t="s">
        <v>3063</v>
      </c>
      <c r="F2157" t="s">
        <v>882</v>
      </c>
      <c r="G2157" t="s">
        <v>454</v>
      </c>
      <c r="H2157" s="6" t="s">
        <v>893</v>
      </c>
      <c r="K2157" s="6">
        <v>8062</v>
      </c>
      <c r="M2157" s="6">
        <f>SUM(H2157,J2157)</f>
        <v>0</v>
      </c>
      <c r="N2157" s="6">
        <f>K2157</f>
        <v>8062</v>
      </c>
      <c r="O2157" s="6">
        <f>SUM(M2157:N2157)</f>
        <v>8062</v>
      </c>
      <c r="P2157" s="8">
        <f>VLOOKUP(F2157,'LEAID Match'!$A$2:$B$436,2,FALSE)</f>
        <v>0</v>
      </c>
      <c r="Q2157" s="6">
        <f>COUNTIF($P$2:$P$3691,P2157)</f>
        <v>371</v>
      </c>
    </row>
    <row r="2158" spans="1:17" x14ac:dyDescent="0.2">
      <c r="A2158" s="16">
        <f>P2158</f>
        <v>0</v>
      </c>
      <c r="B2158">
        <v>2023</v>
      </c>
      <c r="C2158" t="s">
        <v>904</v>
      </c>
      <c r="D2158" t="s">
        <v>906</v>
      </c>
      <c r="E2158" t="s">
        <v>3064</v>
      </c>
      <c r="F2158" t="s">
        <v>882</v>
      </c>
      <c r="G2158" t="s">
        <v>454</v>
      </c>
      <c r="H2158" s="6" t="s">
        <v>893</v>
      </c>
      <c r="K2158" s="6">
        <v>17787</v>
      </c>
      <c r="M2158" s="6">
        <f>SUM(H2158,J2158)</f>
        <v>0</v>
      </c>
      <c r="N2158" s="6">
        <f>K2158</f>
        <v>17787</v>
      </c>
      <c r="O2158" s="6">
        <f>SUM(M2158:N2158)</f>
        <v>17787</v>
      </c>
      <c r="P2158" s="8">
        <f>VLOOKUP(F2158,'LEAID Match'!$A$2:$B$436,2,FALSE)</f>
        <v>0</v>
      </c>
      <c r="Q2158" s="6">
        <f>COUNTIF($P$2:$P$3691,P2158)</f>
        <v>371</v>
      </c>
    </row>
    <row r="2159" spans="1:17" x14ac:dyDescent="0.2">
      <c r="A2159" s="16">
        <f>P2159</f>
        <v>1809360</v>
      </c>
      <c r="B2159">
        <v>2015</v>
      </c>
      <c r="C2159" t="s">
        <v>904</v>
      </c>
      <c r="D2159" t="s">
        <v>906</v>
      </c>
      <c r="E2159" t="s">
        <v>3065</v>
      </c>
      <c r="F2159" t="s">
        <v>568</v>
      </c>
      <c r="G2159" t="s">
        <v>237</v>
      </c>
      <c r="H2159" s="6">
        <v>236478</v>
      </c>
      <c r="I2159" s="6">
        <v>1.1499232397377309E-3</v>
      </c>
      <c r="J2159" s="6">
        <v>6682.2039461159547</v>
      </c>
      <c r="K2159" s="6">
        <v>972393.49029406102</v>
      </c>
      <c r="M2159" s="6">
        <f>SUM(H2159,J2159)</f>
        <v>243160.20394611594</v>
      </c>
      <c r="N2159" s="6">
        <f>K2159</f>
        <v>972393.49029406102</v>
      </c>
      <c r="O2159" s="6">
        <f>SUM(M2159:N2159)</f>
        <v>1215553.6942401771</v>
      </c>
      <c r="P2159" s="8">
        <f>VLOOKUP(F2159,'LEAID Match'!$A$2:$B$436,2,FALSE)</f>
        <v>1809360</v>
      </c>
      <c r="Q2159" s="6">
        <f>COUNTIF($P$2:$P$3691,P2159)</f>
        <v>9</v>
      </c>
    </row>
    <row r="2160" spans="1:17" x14ac:dyDescent="0.2">
      <c r="A2160" s="16">
        <f>P2160</f>
        <v>1809360</v>
      </c>
      <c r="B2160">
        <v>2016</v>
      </c>
      <c r="C2160" t="s">
        <v>904</v>
      </c>
      <c r="D2160" t="s">
        <v>906</v>
      </c>
      <c r="E2160" t="s">
        <v>3066</v>
      </c>
      <c r="F2160" t="s">
        <v>568</v>
      </c>
      <c r="G2160" t="s">
        <v>237</v>
      </c>
      <c r="H2160" s="6">
        <v>242209</v>
      </c>
      <c r="I2160" s="6">
        <v>1.123879507202438E-3</v>
      </c>
      <c r="J2160" s="6">
        <v>5673.3437523579069</v>
      </c>
      <c r="K2160" s="6">
        <v>997443.06264216301</v>
      </c>
      <c r="M2160" s="6">
        <f>SUM(H2160,J2160)</f>
        <v>247882.34375235791</v>
      </c>
      <c r="N2160" s="6">
        <f>K2160</f>
        <v>997443.06264216301</v>
      </c>
      <c r="O2160" s="6">
        <f>SUM(M2160:N2160)</f>
        <v>1245325.406394521</v>
      </c>
      <c r="P2160" s="8">
        <f>VLOOKUP(F2160,'LEAID Match'!$A$2:$B$436,2,FALSE)</f>
        <v>1809360</v>
      </c>
      <c r="Q2160" s="6">
        <f>COUNTIF($P$2:$P$3691,P2160)</f>
        <v>9</v>
      </c>
    </row>
    <row r="2161" spans="1:17" x14ac:dyDescent="0.2">
      <c r="A2161" s="16">
        <f>P2161</f>
        <v>1809360</v>
      </c>
      <c r="B2161">
        <v>2017</v>
      </c>
      <c r="C2161" t="s">
        <v>904</v>
      </c>
      <c r="D2161" t="s">
        <v>906</v>
      </c>
      <c r="E2161" t="s">
        <v>3067</v>
      </c>
      <c r="F2161" t="s">
        <v>568</v>
      </c>
      <c r="G2161" t="s">
        <v>237</v>
      </c>
      <c r="H2161" s="6">
        <v>232380</v>
      </c>
      <c r="I2161" s="6">
        <v>1.0232685535821579E-3</v>
      </c>
      <c r="J2161" s="6">
        <v>4630.2902049592649</v>
      </c>
      <c r="K2161" s="6">
        <v>891266.91017005895</v>
      </c>
      <c r="M2161" s="6">
        <f>SUM(H2161,J2161)</f>
        <v>237010.29020495925</v>
      </c>
      <c r="N2161" s="6">
        <f>K2161</f>
        <v>891266.91017005895</v>
      </c>
      <c r="O2161" s="6">
        <f>SUM(M2161:N2161)</f>
        <v>1128277.2003750182</v>
      </c>
      <c r="P2161" s="8">
        <f>VLOOKUP(F2161,'LEAID Match'!$A$2:$B$436,2,FALSE)</f>
        <v>1809360</v>
      </c>
      <c r="Q2161" s="6">
        <f>COUNTIF($P$2:$P$3691,P2161)</f>
        <v>9</v>
      </c>
    </row>
    <row r="2162" spans="1:17" x14ac:dyDescent="0.2">
      <c r="A2162" s="16">
        <f>P2162</f>
        <v>1809360</v>
      </c>
      <c r="B2162">
        <v>2018</v>
      </c>
      <c r="C2162" t="s">
        <v>904</v>
      </c>
      <c r="D2162" t="s">
        <v>906</v>
      </c>
      <c r="E2162" t="s">
        <v>3068</v>
      </c>
      <c r="F2162" t="s">
        <v>568</v>
      </c>
      <c r="G2162" t="s">
        <v>237</v>
      </c>
      <c r="H2162" s="6">
        <v>247158</v>
      </c>
      <c r="I2162" s="6">
        <v>1.0485358869826305E-3</v>
      </c>
      <c r="J2162" s="6">
        <v>4370.2975769436043</v>
      </c>
      <c r="K2162" s="6">
        <v>922306</v>
      </c>
      <c r="M2162" s="6">
        <f>SUM(H2162,J2162)</f>
        <v>251528.29757694362</v>
      </c>
      <c r="N2162" s="6">
        <f>K2162</f>
        <v>922306</v>
      </c>
      <c r="O2162" s="6">
        <f>SUM(M2162:N2162)</f>
        <v>1173834.2975769436</v>
      </c>
      <c r="P2162" s="8">
        <f>VLOOKUP(F2162,'LEAID Match'!$A$2:$B$436,2,FALSE)</f>
        <v>1809360</v>
      </c>
      <c r="Q2162" s="6">
        <f>COUNTIF($P$2:$P$3691,P2162)</f>
        <v>9</v>
      </c>
    </row>
    <row r="2163" spans="1:17" x14ac:dyDescent="0.2">
      <c r="A2163" s="16">
        <f>P2163</f>
        <v>1809360</v>
      </c>
      <c r="B2163">
        <v>2019</v>
      </c>
      <c r="C2163" t="s">
        <v>904</v>
      </c>
      <c r="D2163" t="s">
        <v>906</v>
      </c>
      <c r="E2163" t="s">
        <v>3069</v>
      </c>
      <c r="F2163" t="s">
        <v>568</v>
      </c>
      <c r="G2163" t="s">
        <v>237</v>
      </c>
      <c r="H2163" s="6">
        <v>248713</v>
      </c>
      <c r="I2163" s="6">
        <v>6.3272452312242904E-4</v>
      </c>
      <c r="J2163" s="6">
        <v>2217.6994535441136</v>
      </c>
      <c r="K2163" s="6">
        <v>597228.67737526004</v>
      </c>
      <c r="M2163" s="6">
        <f>SUM(H2163,J2163)</f>
        <v>250930.6994535441</v>
      </c>
      <c r="N2163" s="6">
        <f>K2163</f>
        <v>597228.67737526004</v>
      </c>
      <c r="O2163" s="6">
        <f>SUM(M2163:N2163)</f>
        <v>848159.37682880415</v>
      </c>
      <c r="P2163" s="8">
        <f>VLOOKUP(F2163,'LEAID Match'!$A$2:$B$436,2,FALSE)</f>
        <v>1809360</v>
      </c>
      <c r="Q2163" s="6">
        <f>COUNTIF($P$2:$P$3691,P2163)</f>
        <v>9</v>
      </c>
    </row>
    <row r="2164" spans="1:17" x14ac:dyDescent="0.2">
      <c r="A2164" s="16">
        <f>P2164</f>
        <v>1809360</v>
      </c>
      <c r="B2164">
        <v>2020</v>
      </c>
      <c r="C2164" t="s">
        <v>904</v>
      </c>
      <c r="D2164" t="s">
        <v>906</v>
      </c>
      <c r="E2164" t="s">
        <v>3070</v>
      </c>
      <c r="F2164" t="s">
        <v>568</v>
      </c>
      <c r="G2164" t="s">
        <v>237</v>
      </c>
      <c r="H2164" s="6">
        <v>191050</v>
      </c>
      <c r="I2164" s="6">
        <v>1.0123181071540915E-3</v>
      </c>
      <c r="J2164" s="6">
        <v>2385.0214604550397</v>
      </c>
      <c r="K2164" s="6">
        <v>955108</v>
      </c>
      <c r="M2164" s="6">
        <f>SUM(H2164,J2164)</f>
        <v>193435.02146045503</v>
      </c>
      <c r="N2164" s="6">
        <f>K2164</f>
        <v>955108</v>
      </c>
      <c r="O2164" s="6">
        <f>SUM(M2164:N2164)</f>
        <v>1148543.0214604549</v>
      </c>
      <c r="P2164" s="8">
        <f>VLOOKUP(F2164,'LEAID Match'!$A$2:$B$436,2,FALSE)</f>
        <v>1809360</v>
      </c>
      <c r="Q2164" s="6">
        <f>COUNTIF($P$2:$P$3691,P2164)</f>
        <v>9</v>
      </c>
    </row>
    <row r="2165" spans="1:17" x14ac:dyDescent="0.2">
      <c r="A2165" s="16">
        <f>P2165</f>
        <v>1809360</v>
      </c>
      <c r="B2165">
        <v>2021</v>
      </c>
      <c r="C2165" t="s">
        <v>904</v>
      </c>
      <c r="D2165" t="s">
        <v>906</v>
      </c>
      <c r="E2165" t="s">
        <v>3071</v>
      </c>
      <c r="F2165" t="s">
        <v>568</v>
      </c>
      <c r="G2165" t="s">
        <v>237</v>
      </c>
      <c r="H2165" s="6">
        <v>194354</v>
      </c>
      <c r="I2165" s="6">
        <v>9.6012683471410659E-4</v>
      </c>
      <c r="J2165" s="6">
        <v>2164.1258854455964</v>
      </c>
      <c r="K2165" s="6">
        <v>1574559</v>
      </c>
      <c r="M2165" s="6">
        <f>SUM(H2165,J2165)</f>
        <v>196518.1258854456</v>
      </c>
      <c r="N2165" s="6">
        <f>K2165</f>
        <v>1574559</v>
      </c>
      <c r="O2165" s="6">
        <f>SUM(M2165:N2165)</f>
        <v>1771077.1258854456</v>
      </c>
      <c r="P2165" s="8">
        <f>VLOOKUP(F2165,'LEAID Match'!$A$2:$B$436,2,FALSE)</f>
        <v>1809360</v>
      </c>
      <c r="Q2165" s="6">
        <f>COUNTIF($P$2:$P$3691,P2165)</f>
        <v>9</v>
      </c>
    </row>
    <row r="2166" spans="1:17" x14ac:dyDescent="0.2">
      <c r="A2166" s="16">
        <f>P2166</f>
        <v>1809360</v>
      </c>
      <c r="B2166">
        <v>2022</v>
      </c>
      <c r="C2166" t="s">
        <v>904</v>
      </c>
      <c r="D2166" t="s">
        <v>906</v>
      </c>
      <c r="E2166" t="s">
        <v>3072</v>
      </c>
      <c r="F2166" t="s">
        <v>568</v>
      </c>
      <c r="G2166" t="s">
        <v>237</v>
      </c>
      <c r="H2166" s="6">
        <v>202257</v>
      </c>
      <c r="I2166" s="6">
        <v>9.6035382569310975E-4</v>
      </c>
      <c r="J2166" s="6">
        <v>2117.5801856533071</v>
      </c>
      <c r="K2166" s="6">
        <v>1535061</v>
      </c>
      <c r="M2166" s="6">
        <f>SUM(H2166,J2166)</f>
        <v>204374.58018565329</v>
      </c>
      <c r="N2166" s="6">
        <f>K2166</f>
        <v>1535061</v>
      </c>
      <c r="O2166" s="6">
        <f>SUM(M2166:N2166)</f>
        <v>1739435.5801856532</v>
      </c>
      <c r="P2166" s="8">
        <f>VLOOKUP(F2166,'LEAID Match'!$A$2:$B$436,2,FALSE)</f>
        <v>1809360</v>
      </c>
      <c r="Q2166" s="6">
        <f>COUNTIF($P$2:$P$3691,P2166)</f>
        <v>9</v>
      </c>
    </row>
    <row r="2167" spans="1:17" x14ac:dyDescent="0.2">
      <c r="A2167" s="16">
        <f>P2167</f>
        <v>1809360</v>
      </c>
      <c r="B2167">
        <v>2023</v>
      </c>
      <c r="C2167" t="s">
        <v>904</v>
      </c>
      <c r="D2167" t="s">
        <v>906</v>
      </c>
      <c r="E2167" t="s">
        <v>3073</v>
      </c>
      <c r="F2167" t="s">
        <v>568</v>
      </c>
      <c r="G2167" t="s">
        <v>237</v>
      </c>
      <c r="H2167" s="6">
        <v>237597</v>
      </c>
      <c r="I2167" s="6">
        <v>9.7164118172885189E-4</v>
      </c>
      <c r="J2167" s="6">
        <v>2397.0387953250774</v>
      </c>
      <c r="K2167" s="6">
        <v>3982594</v>
      </c>
      <c r="M2167" s="6">
        <f>SUM(H2167,J2167)</f>
        <v>239994.03879532509</v>
      </c>
      <c r="N2167" s="6">
        <f>K2167</f>
        <v>3982594</v>
      </c>
      <c r="O2167" s="6">
        <f>SUM(M2167:N2167)</f>
        <v>4222588.038795325</v>
      </c>
      <c r="P2167" s="8">
        <f>VLOOKUP(F2167,'LEAID Match'!$A$2:$B$436,2,FALSE)</f>
        <v>1809360</v>
      </c>
      <c r="Q2167" s="6">
        <f>COUNTIF($P$2:$P$3691,P2167)</f>
        <v>9</v>
      </c>
    </row>
    <row r="2168" spans="1:17" x14ac:dyDescent="0.2">
      <c r="A2168" s="16">
        <f>P2168</f>
        <v>1807110</v>
      </c>
      <c r="B2168">
        <v>2015</v>
      </c>
      <c r="C2168" t="s">
        <v>904</v>
      </c>
      <c r="D2168" t="s">
        <v>906</v>
      </c>
      <c r="E2168" t="s">
        <v>3074</v>
      </c>
      <c r="F2168" t="s">
        <v>753</v>
      </c>
      <c r="G2168" t="s">
        <v>238</v>
      </c>
      <c r="H2168" s="6">
        <v>226593</v>
      </c>
      <c r="I2168" s="6">
        <v>1.1018553804662237E-3</v>
      </c>
      <c r="J2168" s="6">
        <v>6402.8816158892259</v>
      </c>
      <c r="K2168" s="6">
        <v>931746.53940832603</v>
      </c>
      <c r="M2168" s="6">
        <f>SUM(H2168,J2168)</f>
        <v>232995.88161588923</v>
      </c>
      <c r="N2168" s="6">
        <f>K2168</f>
        <v>931746.53940832603</v>
      </c>
      <c r="O2168" s="6">
        <f>SUM(M2168:N2168)</f>
        <v>1164742.4210242152</v>
      </c>
      <c r="P2168" s="8">
        <f>VLOOKUP(F2168,'LEAID Match'!$A$2:$B$436,2,FALSE)</f>
        <v>1807110</v>
      </c>
      <c r="Q2168" s="6">
        <f>COUNTIF($P$2:$P$3691,P2168)</f>
        <v>9</v>
      </c>
    </row>
    <row r="2169" spans="1:17" x14ac:dyDescent="0.2">
      <c r="A2169" s="16">
        <f>P2169</f>
        <v>1807110</v>
      </c>
      <c r="B2169">
        <v>2016</v>
      </c>
      <c r="C2169" t="s">
        <v>904</v>
      </c>
      <c r="D2169" t="s">
        <v>906</v>
      </c>
      <c r="E2169" t="s">
        <v>3075</v>
      </c>
      <c r="F2169" t="s">
        <v>753</v>
      </c>
      <c r="G2169" t="s">
        <v>238</v>
      </c>
      <c r="H2169" s="6">
        <v>244421</v>
      </c>
      <c r="I2169" s="6">
        <v>1.1341434588719953E-3</v>
      </c>
      <c r="J2169" s="6">
        <v>5725.1561803858322</v>
      </c>
      <c r="K2169" s="6">
        <v>1006552.31974889</v>
      </c>
      <c r="M2169" s="6">
        <f>SUM(H2169,J2169)</f>
        <v>250146.15618038582</v>
      </c>
      <c r="N2169" s="6">
        <f>K2169</f>
        <v>1006552.31974889</v>
      </c>
      <c r="O2169" s="6">
        <f>SUM(M2169:N2169)</f>
        <v>1256698.4759292759</v>
      </c>
      <c r="P2169" s="8">
        <f>VLOOKUP(F2169,'LEAID Match'!$A$2:$B$436,2,FALSE)</f>
        <v>1807110</v>
      </c>
      <c r="Q2169" s="6">
        <f>COUNTIF($P$2:$P$3691,P2169)</f>
        <v>9</v>
      </c>
    </row>
    <row r="2170" spans="1:17" x14ac:dyDescent="0.2">
      <c r="A2170" s="16">
        <f>P2170</f>
        <v>1807110</v>
      </c>
      <c r="B2170">
        <v>2017</v>
      </c>
      <c r="C2170" t="s">
        <v>904</v>
      </c>
      <c r="D2170" t="s">
        <v>906</v>
      </c>
      <c r="E2170" t="s">
        <v>3076</v>
      </c>
      <c r="F2170" t="s">
        <v>753</v>
      </c>
      <c r="G2170" t="s">
        <v>238</v>
      </c>
      <c r="H2170" s="6">
        <v>269383</v>
      </c>
      <c r="I2170" s="6">
        <v>1.1862085926913782E-3</v>
      </c>
      <c r="J2170" s="6">
        <v>5367.5938819284866</v>
      </c>
      <c r="K2170" s="6">
        <v>1033187.68423419</v>
      </c>
      <c r="M2170" s="6">
        <f>SUM(H2170,J2170)</f>
        <v>274750.59388192848</v>
      </c>
      <c r="N2170" s="6">
        <f>K2170</f>
        <v>1033187.68423419</v>
      </c>
      <c r="O2170" s="6">
        <f>SUM(M2170:N2170)</f>
        <v>1307938.2781161186</v>
      </c>
      <c r="P2170" s="8">
        <f>VLOOKUP(F2170,'LEAID Match'!$A$2:$B$436,2,FALSE)</f>
        <v>1807110</v>
      </c>
      <c r="Q2170" s="6">
        <f>COUNTIF($P$2:$P$3691,P2170)</f>
        <v>9</v>
      </c>
    </row>
    <row r="2171" spans="1:17" x14ac:dyDescent="0.2">
      <c r="A2171" s="16">
        <f>P2171</f>
        <v>1807110</v>
      </c>
      <c r="B2171">
        <v>2018</v>
      </c>
      <c r="C2171" t="s">
        <v>904</v>
      </c>
      <c r="D2171" t="s">
        <v>906</v>
      </c>
      <c r="E2171" t="s">
        <v>3077</v>
      </c>
      <c r="F2171" t="s">
        <v>753</v>
      </c>
      <c r="G2171" t="s">
        <v>238</v>
      </c>
      <c r="H2171" s="6">
        <v>264927</v>
      </c>
      <c r="I2171" s="6">
        <v>1.1239185740726473E-3</v>
      </c>
      <c r="J2171" s="6">
        <v>4684.492616734794</v>
      </c>
      <c r="K2171" s="6">
        <v>1331139</v>
      </c>
      <c r="M2171" s="6">
        <f>SUM(H2171,J2171)</f>
        <v>269611.49261673482</v>
      </c>
      <c r="N2171" s="6">
        <f>K2171</f>
        <v>1331139</v>
      </c>
      <c r="O2171" s="6">
        <f>SUM(M2171:N2171)</f>
        <v>1600750.4926167349</v>
      </c>
      <c r="P2171" s="8">
        <f>VLOOKUP(F2171,'LEAID Match'!$A$2:$B$436,2,FALSE)</f>
        <v>1807110</v>
      </c>
      <c r="Q2171" s="6">
        <f>COUNTIF($P$2:$P$3691,P2171)</f>
        <v>9</v>
      </c>
    </row>
    <row r="2172" spans="1:17" x14ac:dyDescent="0.2">
      <c r="A2172" s="16">
        <f>P2172</f>
        <v>1807110</v>
      </c>
      <c r="B2172">
        <v>2019</v>
      </c>
      <c r="C2172" t="s">
        <v>904</v>
      </c>
      <c r="D2172" t="s">
        <v>906</v>
      </c>
      <c r="E2172" t="s">
        <v>3078</v>
      </c>
      <c r="F2172" t="s">
        <v>753</v>
      </c>
      <c r="G2172" t="s">
        <v>238</v>
      </c>
      <c r="H2172" s="6">
        <v>276786</v>
      </c>
      <c r="I2172" s="6">
        <v>7.0414208287047583E-4</v>
      </c>
      <c r="J2172" s="6">
        <v>2468.0180004610179</v>
      </c>
      <c r="K2172" s="6">
        <v>664639.71202144201</v>
      </c>
      <c r="M2172" s="6">
        <f>SUM(H2172,J2172)</f>
        <v>279254.01800046104</v>
      </c>
      <c r="N2172" s="6">
        <f>K2172</f>
        <v>664639.71202144201</v>
      </c>
      <c r="O2172" s="6">
        <f>SUM(M2172:N2172)</f>
        <v>943893.73002190306</v>
      </c>
      <c r="P2172" s="8">
        <f>VLOOKUP(F2172,'LEAID Match'!$A$2:$B$436,2,FALSE)</f>
        <v>1807110</v>
      </c>
      <c r="Q2172" s="6">
        <f>COUNTIF($P$2:$P$3691,P2172)</f>
        <v>9</v>
      </c>
    </row>
    <row r="2173" spans="1:17" x14ac:dyDescent="0.2">
      <c r="A2173" s="16">
        <f>P2173</f>
        <v>1807110</v>
      </c>
      <c r="B2173">
        <v>2020</v>
      </c>
      <c r="C2173" t="s">
        <v>904</v>
      </c>
      <c r="D2173" t="s">
        <v>906</v>
      </c>
      <c r="E2173" t="s">
        <v>3079</v>
      </c>
      <c r="F2173" t="s">
        <v>753</v>
      </c>
      <c r="G2173" t="s">
        <v>238</v>
      </c>
      <c r="H2173" s="6">
        <v>208969</v>
      </c>
      <c r="I2173" s="6">
        <v>1.1072656505306639E-3</v>
      </c>
      <c r="J2173" s="6">
        <v>2608.7178726502443</v>
      </c>
      <c r="K2173" s="6">
        <v>1388233</v>
      </c>
      <c r="M2173" s="6">
        <f>SUM(H2173,J2173)</f>
        <v>211577.71787265025</v>
      </c>
      <c r="N2173" s="6">
        <f>K2173</f>
        <v>1388233</v>
      </c>
      <c r="O2173" s="6">
        <f>SUM(M2173:N2173)</f>
        <v>1599810.7178726504</v>
      </c>
      <c r="P2173" s="8">
        <f>VLOOKUP(F2173,'LEAID Match'!$A$2:$B$436,2,FALSE)</f>
        <v>1807110</v>
      </c>
      <c r="Q2173" s="6">
        <f>COUNTIF($P$2:$P$3691,P2173)</f>
        <v>9</v>
      </c>
    </row>
    <row r="2174" spans="1:17" x14ac:dyDescent="0.2">
      <c r="A2174" s="16">
        <f>P2174</f>
        <v>1807110</v>
      </c>
      <c r="B2174">
        <v>2021</v>
      </c>
      <c r="C2174" t="s">
        <v>904</v>
      </c>
      <c r="D2174" t="s">
        <v>906</v>
      </c>
      <c r="E2174" t="s">
        <v>3080</v>
      </c>
      <c r="F2174" t="s">
        <v>753</v>
      </c>
      <c r="G2174" t="s">
        <v>238</v>
      </c>
      <c r="H2174" s="6">
        <v>219806</v>
      </c>
      <c r="I2174" s="6">
        <v>1.0858620817228814E-3</v>
      </c>
      <c r="J2174" s="6">
        <v>2447.5331322033749</v>
      </c>
      <c r="K2174" s="6">
        <v>2368472</v>
      </c>
      <c r="M2174" s="6">
        <f>SUM(H2174,J2174)</f>
        <v>222253.53313220339</v>
      </c>
      <c r="N2174" s="6">
        <f>K2174</f>
        <v>2368472</v>
      </c>
      <c r="O2174" s="6">
        <f>SUM(M2174:N2174)</f>
        <v>2590725.5331322034</v>
      </c>
      <c r="P2174" s="8">
        <f>VLOOKUP(F2174,'LEAID Match'!$A$2:$B$436,2,FALSE)</f>
        <v>1807110</v>
      </c>
      <c r="Q2174" s="6">
        <f>COUNTIF($P$2:$P$3691,P2174)</f>
        <v>9</v>
      </c>
    </row>
    <row r="2175" spans="1:17" x14ac:dyDescent="0.2">
      <c r="A2175" s="16">
        <f>P2175</f>
        <v>1807110</v>
      </c>
      <c r="B2175">
        <v>2022</v>
      </c>
      <c r="C2175" t="s">
        <v>904</v>
      </c>
      <c r="D2175" t="s">
        <v>906</v>
      </c>
      <c r="E2175" t="s">
        <v>3081</v>
      </c>
      <c r="F2175" t="s">
        <v>753</v>
      </c>
      <c r="G2175" t="s">
        <v>238</v>
      </c>
      <c r="H2175" s="6">
        <v>226334</v>
      </c>
      <c r="I2175" s="6">
        <v>1.0746758964308989E-3</v>
      </c>
      <c r="J2175" s="6">
        <v>2369.660351630132</v>
      </c>
      <c r="K2175" s="6">
        <v>2315383</v>
      </c>
      <c r="M2175" s="6">
        <f>SUM(H2175,J2175)</f>
        <v>228703.66035163013</v>
      </c>
      <c r="N2175" s="6">
        <f>K2175</f>
        <v>2315383</v>
      </c>
      <c r="O2175" s="6">
        <f>SUM(M2175:N2175)</f>
        <v>2544086.6603516303</v>
      </c>
      <c r="P2175" s="8">
        <f>VLOOKUP(F2175,'LEAID Match'!$A$2:$B$436,2,FALSE)</f>
        <v>1807110</v>
      </c>
      <c r="Q2175" s="6">
        <f>COUNTIF($P$2:$P$3691,P2175)</f>
        <v>9</v>
      </c>
    </row>
    <row r="2176" spans="1:17" x14ac:dyDescent="0.2">
      <c r="A2176" s="16">
        <f>P2176</f>
        <v>1807110</v>
      </c>
      <c r="B2176">
        <v>2023</v>
      </c>
      <c r="C2176" t="s">
        <v>904</v>
      </c>
      <c r="D2176" t="s">
        <v>906</v>
      </c>
      <c r="E2176" t="s">
        <v>3082</v>
      </c>
      <c r="F2176" t="s">
        <v>753</v>
      </c>
      <c r="G2176" t="s">
        <v>238</v>
      </c>
      <c r="H2176" s="6">
        <v>258840</v>
      </c>
      <c r="I2176" s="6">
        <v>1.0585133797089022E-3</v>
      </c>
      <c r="J2176" s="6">
        <v>2611.3525077418617</v>
      </c>
      <c r="K2176" s="6">
        <v>5511429</v>
      </c>
      <c r="M2176" s="6">
        <f>SUM(H2176,J2176)</f>
        <v>261451.35250774186</v>
      </c>
      <c r="N2176" s="6">
        <f>K2176</f>
        <v>5511429</v>
      </c>
      <c r="O2176" s="6">
        <f>SUM(M2176:N2176)</f>
        <v>5772880.3525077421</v>
      </c>
      <c r="P2176" s="8">
        <f>VLOOKUP(F2176,'LEAID Match'!$A$2:$B$436,2,FALSE)</f>
        <v>1807110</v>
      </c>
      <c r="Q2176" s="6">
        <f>COUNTIF($P$2:$P$3691,P2176)</f>
        <v>9</v>
      </c>
    </row>
    <row r="2177" spans="1:17" x14ac:dyDescent="0.2">
      <c r="A2177" s="16">
        <f>P2177</f>
        <v>1802220</v>
      </c>
      <c r="B2177">
        <v>2015</v>
      </c>
      <c r="C2177" t="s">
        <v>904</v>
      </c>
      <c r="D2177" t="s">
        <v>906</v>
      </c>
      <c r="E2177" t="s">
        <v>3083</v>
      </c>
      <c r="F2177" t="s">
        <v>754</v>
      </c>
      <c r="G2177" t="s">
        <v>239</v>
      </c>
      <c r="H2177" s="6">
        <v>230757</v>
      </c>
      <c r="I2177" s="6">
        <v>1.122103692657074E-3</v>
      </c>
      <c r="J2177" s="6">
        <v>6520.5445580302567</v>
      </c>
      <c r="K2177" s="6">
        <v>948868.83616990398</v>
      </c>
      <c r="M2177" s="6">
        <f>SUM(H2177,J2177)</f>
        <v>237277.54455803026</v>
      </c>
      <c r="N2177" s="6">
        <f>K2177</f>
        <v>948868.83616990398</v>
      </c>
      <c r="O2177" s="6">
        <f>SUM(M2177:N2177)</f>
        <v>1186146.3807279342</v>
      </c>
      <c r="P2177" s="8">
        <f>VLOOKUP(F2177,'LEAID Match'!$A$2:$B$436,2,FALSE)</f>
        <v>1802220</v>
      </c>
      <c r="Q2177" s="6">
        <f>COUNTIF($P$2:$P$3691,P2177)</f>
        <v>9</v>
      </c>
    </row>
    <row r="2178" spans="1:17" x14ac:dyDescent="0.2">
      <c r="A2178" s="16">
        <f>P2178</f>
        <v>1802220</v>
      </c>
      <c r="B2178">
        <v>2016</v>
      </c>
      <c r="C2178" t="s">
        <v>904</v>
      </c>
      <c r="D2178" t="s">
        <v>906</v>
      </c>
      <c r="E2178" t="s">
        <v>3084</v>
      </c>
      <c r="F2178" t="s">
        <v>754</v>
      </c>
      <c r="G2178" t="s">
        <v>239</v>
      </c>
      <c r="H2178" s="6">
        <v>220050</v>
      </c>
      <c r="I2178" s="6">
        <v>1.0210590257170315E-3</v>
      </c>
      <c r="J2178" s="6">
        <v>5154.3059618195748</v>
      </c>
      <c r="K2178" s="6">
        <v>906189.88532386499</v>
      </c>
      <c r="M2178" s="6">
        <f>SUM(H2178,J2178)</f>
        <v>225204.30596181957</v>
      </c>
      <c r="N2178" s="6">
        <f>K2178</f>
        <v>906189.88532386499</v>
      </c>
      <c r="O2178" s="6">
        <f>SUM(M2178:N2178)</f>
        <v>1131394.1912856845</v>
      </c>
      <c r="P2178" s="8">
        <f>VLOOKUP(F2178,'LEAID Match'!$A$2:$B$436,2,FALSE)</f>
        <v>1802220</v>
      </c>
      <c r="Q2178" s="6">
        <f>COUNTIF($P$2:$P$3691,P2178)</f>
        <v>9</v>
      </c>
    </row>
    <row r="2179" spans="1:17" x14ac:dyDescent="0.2">
      <c r="A2179" s="16">
        <f>P2179</f>
        <v>1802220</v>
      </c>
      <c r="B2179">
        <v>2017</v>
      </c>
      <c r="C2179" t="s">
        <v>904</v>
      </c>
      <c r="D2179" t="s">
        <v>906</v>
      </c>
      <c r="E2179" t="s">
        <v>3085</v>
      </c>
      <c r="F2179" t="s">
        <v>754</v>
      </c>
      <c r="G2179" t="s">
        <v>239</v>
      </c>
      <c r="H2179" s="6">
        <v>213517</v>
      </c>
      <c r="I2179" s="6">
        <v>9.4020669487564169E-4</v>
      </c>
      <c r="J2179" s="6">
        <v>4254.4352943122785</v>
      </c>
      <c r="K2179" s="6">
        <v>818920.03123668302</v>
      </c>
      <c r="M2179" s="6">
        <f>SUM(H2179,J2179)</f>
        <v>217771.43529431228</v>
      </c>
      <c r="N2179" s="6">
        <f>K2179</f>
        <v>818920.03123668302</v>
      </c>
      <c r="O2179" s="6">
        <f>SUM(M2179:N2179)</f>
        <v>1036691.4665309953</v>
      </c>
      <c r="P2179" s="8">
        <f>VLOOKUP(F2179,'LEAID Match'!$A$2:$B$436,2,FALSE)</f>
        <v>1802220</v>
      </c>
      <c r="Q2179" s="6">
        <f>COUNTIF($P$2:$P$3691,P2179)</f>
        <v>9</v>
      </c>
    </row>
    <row r="2180" spans="1:17" x14ac:dyDescent="0.2">
      <c r="A2180" s="16">
        <f>P2180</f>
        <v>1802220</v>
      </c>
      <c r="B2180">
        <v>2018</v>
      </c>
      <c r="C2180" t="s">
        <v>904</v>
      </c>
      <c r="D2180" t="s">
        <v>906</v>
      </c>
      <c r="E2180" t="s">
        <v>3086</v>
      </c>
      <c r="F2180" t="s">
        <v>754</v>
      </c>
      <c r="G2180" t="s">
        <v>239</v>
      </c>
      <c r="H2180" s="6">
        <v>214030</v>
      </c>
      <c r="I2180" s="6">
        <v>9.0799462647736431E-4</v>
      </c>
      <c r="J2180" s="6">
        <v>3784.5216031576542</v>
      </c>
      <c r="K2180" s="6">
        <v>1060266</v>
      </c>
      <c r="M2180" s="6">
        <f>SUM(H2180,J2180)</f>
        <v>217814.52160315766</v>
      </c>
      <c r="N2180" s="6">
        <f>K2180</f>
        <v>1060266</v>
      </c>
      <c r="O2180" s="6">
        <f>SUM(M2180:N2180)</f>
        <v>1278080.5216031577</v>
      </c>
      <c r="P2180" s="8">
        <f>VLOOKUP(F2180,'LEAID Match'!$A$2:$B$436,2,FALSE)</f>
        <v>1802220</v>
      </c>
      <c r="Q2180" s="6">
        <f>COUNTIF($P$2:$P$3691,P2180)</f>
        <v>9</v>
      </c>
    </row>
    <row r="2181" spans="1:17" x14ac:dyDescent="0.2">
      <c r="A2181" s="16">
        <f>P2181</f>
        <v>1802220</v>
      </c>
      <c r="B2181">
        <v>2019</v>
      </c>
      <c r="C2181" t="s">
        <v>904</v>
      </c>
      <c r="D2181" t="s">
        <v>906</v>
      </c>
      <c r="E2181" t="s">
        <v>3087</v>
      </c>
      <c r="F2181" t="s">
        <v>754</v>
      </c>
      <c r="G2181" t="s">
        <v>239</v>
      </c>
      <c r="H2181" s="6">
        <v>220022</v>
      </c>
      <c r="I2181" s="6">
        <v>5.5973477472606205E-4</v>
      </c>
      <c r="J2181" s="6">
        <v>1961.8703854148475</v>
      </c>
      <c r="K2181" s="6">
        <v>528333.65386392898</v>
      </c>
      <c r="M2181" s="6">
        <f>SUM(H2181,J2181)</f>
        <v>221983.87038541483</v>
      </c>
      <c r="N2181" s="6">
        <f>K2181</f>
        <v>528333.65386392898</v>
      </c>
      <c r="O2181" s="6">
        <f>SUM(M2181:N2181)</f>
        <v>750317.52424934378</v>
      </c>
      <c r="P2181" s="8">
        <f>VLOOKUP(F2181,'LEAID Match'!$A$2:$B$436,2,FALSE)</f>
        <v>1802220</v>
      </c>
      <c r="Q2181" s="6">
        <f>COUNTIF($P$2:$P$3691,P2181)</f>
        <v>9</v>
      </c>
    </row>
    <row r="2182" spans="1:17" x14ac:dyDescent="0.2">
      <c r="A2182" s="16">
        <f>P2182</f>
        <v>1802220</v>
      </c>
      <c r="B2182">
        <v>2020</v>
      </c>
      <c r="C2182" t="s">
        <v>904</v>
      </c>
      <c r="D2182" t="s">
        <v>906</v>
      </c>
      <c r="E2182" t="s">
        <v>3088</v>
      </c>
      <c r="F2182" t="s">
        <v>754</v>
      </c>
      <c r="G2182" t="s">
        <v>239</v>
      </c>
      <c r="H2182" s="6">
        <v>154053</v>
      </c>
      <c r="I2182" s="6">
        <v>8.1628181817016104E-4</v>
      </c>
      <c r="J2182" s="6">
        <v>1923.1599636088995</v>
      </c>
      <c r="K2182" s="6">
        <v>1142148</v>
      </c>
      <c r="M2182" s="6">
        <f>SUM(H2182,J2182)</f>
        <v>155976.15996360889</v>
      </c>
      <c r="N2182" s="6">
        <f>K2182</f>
        <v>1142148</v>
      </c>
      <c r="O2182" s="6">
        <f>SUM(M2182:N2182)</f>
        <v>1298124.159963609</v>
      </c>
      <c r="P2182" s="8">
        <f>VLOOKUP(F2182,'LEAID Match'!$A$2:$B$436,2,FALSE)</f>
        <v>1802220</v>
      </c>
      <c r="Q2182" s="6">
        <f>COUNTIF($P$2:$P$3691,P2182)</f>
        <v>9</v>
      </c>
    </row>
    <row r="2183" spans="1:17" x14ac:dyDescent="0.2">
      <c r="A2183" s="16">
        <f>P2183</f>
        <v>1802220</v>
      </c>
      <c r="B2183">
        <v>2021</v>
      </c>
      <c r="C2183" t="s">
        <v>904</v>
      </c>
      <c r="D2183" t="s">
        <v>906</v>
      </c>
      <c r="E2183" t="s">
        <v>3089</v>
      </c>
      <c r="F2183" t="s">
        <v>754</v>
      </c>
      <c r="G2183" t="s">
        <v>239</v>
      </c>
      <c r="H2183" s="6">
        <v>154673</v>
      </c>
      <c r="I2183" s="6">
        <v>7.6409900442355198E-4</v>
      </c>
      <c r="J2183" s="6">
        <v>1722.2791559706861</v>
      </c>
      <c r="K2183" s="6">
        <v>1973993</v>
      </c>
      <c r="M2183" s="6">
        <f>SUM(H2183,J2183)</f>
        <v>156395.2791559707</v>
      </c>
      <c r="N2183" s="6">
        <f>K2183</f>
        <v>1973993</v>
      </c>
      <c r="O2183" s="6">
        <f>SUM(M2183:N2183)</f>
        <v>2130388.2791559706</v>
      </c>
      <c r="P2183" s="8">
        <f>VLOOKUP(F2183,'LEAID Match'!$A$2:$B$436,2,FALSE)</f>
        <v>1802220</v>
      </c>
      <c r="Q2183" s="6">
        <f>COUNTIF($P$2:$P$3691,P2183)</f>
        <v>9</v>
      </c>
    </row>
    <row r="2184" spans="1:17" x14ac:dyDescent="0.2">
      <c r="A2184" s="16">
        <f>P2184</f>
        <v>1802220</v>
      </c>
      <c r="B2184">
        <v>2022</v>
      </c>
      <c r="C2184" t="s">
        <v>904</v>
      </c>
      <c r="D2184" t="s">
        <v>906</v>
      </c>
      <c r="E2184" t="s">
        <v>3090</v>
      </c>
      <c r="F2184" t="s">
        <v>754</v>
      </c>
      <c r="G2184" t="s">
        <v>239</v>
      </c>
      <c r="H2184" s="6">
        <v>165443</v>
      </c>
      <c r="I2184" s="6">
        <v>7.8555411176940801E-4</v>
      </c>
      <c r="J2184" s="6">
        <v>1732.1468164515447</v>
      </c>
      <c r="K2184" s="6">
        <v>1923749</v>
      </c>
      <c r="M2184" s="6">
        <f>SUM(H2184,J2184)</f>
        <v>167175.14681645154</v>
      </c>
      <c r="N2184" s="6">
        <f>K2184</f>
        <v>1923749</v>
      </c>
      <c r="O2184" s="6">
        <f>SUM(M2184:N2184)</f>
        <v>2090924.1468164516</v>
      </c>
      <c r="P2184" s="8">
        <f>VLOOKUP(F2184,'LEAID Match'!$A$2:$B$436,2,FALSE)</f>
        <v>1802220</v>
      </c>
      <c r="Q2184" s="6">
        <f>COUNTIF($P$2:$P$3691,P2184)</f>
        <v>9</v>
      </c>
    </row>
    <row r="2185" spans="1:17" x14ac:dyDescent="0.2">
      <c r="A2185" s="16">
        <f>P2185</f>
        <v>1802220</v>
      </c>
      <c r="B2185">
        <v>2023</v>
      </c>
      <c r="C2185" t="s">
        <v>904</v>
      </c>
      <c r="D2185" t="s">
        <v>906</v>
      </c>
      <c r="E2185" t="s">
        <v>3091</v>
      </c>
      <c r="F2185" t="s">
        <v>754</v>
      </c>
      <c r="G2185" t="s">
        <v>239</v>
      </c>
      <c r="H2185" s="6">
        <v>208263</v>
      </c>
      <c r="I2185" s="6">
        <v>8.516812393691666E-4</v>
      </c>
      <c r="J2185" s="6">
        <v>2101.0976175237338</v>
      </c>
      <c r="K2185" s="6">
        <v>6043769</v>
      </c>
      <c r="M2185" s="6">
        <f>SUM(H2185,J2185)</f>
        <v>210364.09761752374</v>
      </c>
      <c r="N2185" s="6">
        <f>K2185</f>
        <v>6043769</v>
      </c>
      <c r="O2185" s="6">
        <f>SUM(M2185:N2185)</f>
        <v>6254133.0976175237</v>
      </c>
      <c r="P2185" s="8">
        <f>VLOOKUP(F2185,'LEAID Match'!$A$2:$B$436,2,FALSE)</f>
        <v>1802220</v>
      </c>
      <c r="Q2185" s="6">
        <f>COUNTIF($P$2:$P$3691,P2185)</f>
        <v>9</v>
      </c>
    </row>
    <row r="2186" spans="1:17" x14ac:dyDescent="0.2">
      <c r="A2186" s="16">
        <f>P2186</f>
        <v>1803990</v>
      </c>
      <c r="B2186">
        <v>2015</v>
      </c>
      <c r="C2186" t="s">
        <v>904</v>
      </c>
      <c r="D2186" t="s">
        <v>906</v>
      </c>
      <c r="E2186" t="s">
        <v>3092</v>
      </c>
      <c r="F2186" t="s">
        <v>755</v>
      </c>
      <c r="G2186" t="s">
        <v>240</v>
      </c>
      <c r="H2186" s="6">
        <v>385171</v>
      </c>
      <c r="I2186" s="6">
        <v>1.8729737403607165E-3</v>
      </c>
      <c r="J2186" s="6">
        <v>10883.850405236124</v>
      </c>
      <c r="K2186" s="6">
        <v>1583816.56242886</v>
      </c>
      <c r="M2186" s="6">
        <f>SUM(H2186,J2186)</f>
        <v>396054.85040523612</v>
      </c>
      <c r="N2186" s="6">
        <f>K2186</f>
        <v>1583816.56242886</v>
      </c>
      <c r="O2186" s="6">
        <f>SUM(M2186:N2186)</f>
        <v>1979871.4128340962</v>
      </c>
      <c r="P2186" s="8">
        <f>VLOOKUP(F2186,'LEAID Match'!$A$2:$B$436,2,FALSE)</f>
        <v>1803990</v>
      </c>
      <c r="Q2186" s="6">
        <f>COUNTIF($P$2:$P$3691,P2186)</f>
        <v>9</v>
      </c>
    </row>
    <row r="2187" spans="1:17" x14ac:dyDescent="0.2">
      <c r="A2187" s="16">
        <f>P2187</f>
        <v>1803990</v>
      </c>
      <c r="B2187">
        <v>2016</v>
      </c>
      <c r="C2187" t="s">
        <v>904</v>
      </c>
      <c r="D2187" t="s">
        <v>906</v>
      </c>
      <c r="E2187" t="s">
        <v>3093</v>
      </c>
      <c r="F2187" t="s">
        <v>755</v>
      </c>
      <c r="G2187" t="s">
        <v>240</v>
      </c>
      <c r="H2187" s="6">
        <v>407815</v>
      </c>
      <c r="I2187" s="6">
        <v>1.8923116863112531E-3</v>
      </c>
      <c r="J2187" s="6">
        <v>9552.3893924992062</v>
      </c>
      <c r="K2187" s="6">
        <v>1679426.62160123</v>
      </c>
      <c r="M2187" s="6">
        <f>SUM(H2187,J2187)</f>
        <v>417367.38939249923</v>
      </c>
      <c r="N2187" s="6">
        <f>K2187</f>
        <v>1679426.62160123</v>
      </c>
      <c r="O2187" s="6">
        <f>SUM(M2187:N2187)</f>
        <v>2096794.0109937293</v>
      </c>
      <c r="P2187" s="8">
        <f>VLOOKUP(F2187,'LEAID Match'!$A$2:$B$436,2,FALSE)</f>
        <v>1803990</v>
      </c>
      <c r="Q2187" s="6">
        <f>COUNTIF($P$2:$P$3691,P2187)</f>
        <v>9</v>
      </c>
    </row>
    <row r="2188" spans="1:17" x14ac:dyDescent="0.2">
      <c r="A2188" s="16">
        <f>P2188</f>
        <v>1803990</v>
      </c>
      <c r="B2188">
        <v>2017</v>
      </c>
      <c r="C2188" t="s">
        <v>904</v>
      </c>
      <c r="D2188" t="s">
        <v>906</v>
      </c>
      <c r="E2188" t="s">
        <v>3094</v>
      </c>
      <c r="F2188" t="s">
        <v>755</v>
      </c>
      <c r="G2188" t="s">
        <v>240</v>
      </c>
      <c r="H2188" s="6">
        <v>437282</v>
      </c>
      <c r="I2188" s="6">
        <v>1.9255397179082244E-3</v>
      </c>
      <c r="J2188" s="6">
        <v>8713.0672235347156</v>
      </c>
      <c r="K2188" s="6">
        <v>1677145.0942980601</v>
      </c>
      <c r="M2188" s="6">
        <f>SUM(H2188,J2188)</f>
        <v>445995.06722353469</v>
      </c>
      <c r="N2188" s="6">
        <f>K2188</f>
        <v>1677145.0942980601</v>
      </c>
      <c r="O2188" s="6">
        <f>SUM(M2188:N2188)</f>
        <v>2123140.161521595</v>
      </c>
      <c r="P2188" s="8">
        <f>VLOOKUP(F2188,'LEAID Match'!$A$2:$B$436,2,FALSE)</f>
        <v>1803990</v>
      </c>
      <c r="Q2188" s="6">
        <f>COUNTIF($P$2:$P$3691,P2188)</f>
        <v>9</v>
      </c>
    </row>
    <row r="2189" spans="1:17" x14ac:dyDescent="0.2">
      <c r="A2189" s="16">
        <f>P2189</f>
        <v>1803990</v>
      </c>
      <c r="B2189">
        <v>2018</v>
      </c>
      <c r="C2189" t="s">
        <v>904</v>
      </c>
      <c r="D2189" t="s">
        <v>906</v>
      </c>
      <c r="E2189" t="s">
        <v>3095</v>
      </c>
      <c r="F2189" t="s">
        <v>755</v>
      </c>
      <c r="G2189" t="s">
        <v>240</v>
      </c>
      <c r="H2189" s="6">
        <v>464822</v>
      </c>
      <c r="I2189" s="6">
        <v>1.9719472890177142E-3</v>
      </c>
      <c r="J2189" s="6">
        <v>8219.076300625833</v>
      </c>
      <c r="K2189" s="6">
        <v>1519951</v>
      </c>
      <c r="M2189" s="6">
        <f>SUM(H2189,J2189)</f>
        <v>473041.07630062581</v>
      </c>
      <c r="N2189" s="6">
        <f>K2189</f>
        <v>1519951</v>
      </c>
      <c r="O2189" s="6">
        <f>SUM(M2189:N2189)</f>
        <v>1992992.0763006257</v>
      </c>
      <c r="P2189" s="8">
        <f>VLOOKUP(F2189,'LEAID Match'!$A$2:$B$436,2,FALSE)</f>
        <v>1803990</v>
      </c>
      <c r="Q2189" s="6">
        <f>COUNTIF($P$2:$P$3691,P2189)</f>
        <v>9</v>
      </c>
    </row>
    <row r="2190" spans="1:17" x14ac:dyDescent="0.2">
      <c r="A2190" s="16">
        <f>P2190</f>
        <v>1803990</v>
      </c>
      <c r="B2190">
        <v>2019</v>
      </c>
      <c r="C2190" t="s">
        <v>904</v>
      </c>
      <c r="D2190" t="s">
        <v>906</v>
      </c>
      <c r="E2190" t="s">
        <v>3096</v>
      </c>
      <c r="F2190" t="s">
        <v>755</v>
      </c>
      <c r="G2190" t="s">
        <v>240</v>
      </c>
      <c r="H2190" s="6">
        <v>499065</v>
      </c>
      <c r="I2190" s="6">
        <v>1.2696186533558561E-3</v>
      </c>
      <c r="J2190" s="6">
        <v>4450.0133800122758</v>
      </c>
      <c r="K2190" s="6">
        <v>1198393.04690259</v>
      </c>
      <c r="M2190" s="6">
        <f>SUM(H2190,J2190)</f>
        <v>503515.0133800123</v>
      </c>
      <c r="N2190" s="6">
        <f>K2190</f>
        <v>1198393.04690259</v>
      </c>
      <c r="O2190" s="6">
        <f>SUM(M2190:N2190)</f>
        <v>1701908.0602826022</v>
      </c>
      <c r="P2190" s="8">
        <f>VLOOKUP(F2190,'LEAID Match'!$A$2:$B$436,2,FALSE)</f>
        <v>1803990</v>
      </c>
      <c r="Q2190" s="6">
        <f>COUNTIF($P$2:$P$3691,P2190)</f>
        <v>9</v>
      </c>
    </row>
    <row r="2191" spans="1:17" x14ac:dyDescent="0.2">
      <c r="A2191" s="16">
        <f>P2191</f>
        <v>1803990</v>
      </c>
      <c r="B2191">
        <v>2020</v>
      </c>
      <c r="C2191" t="s">
        <v>904</v>
      </c>
      <c r="D2191" t="s">
        <v>906</v>
      </c>
      <c r="E2191" t="s">
        <v>3097</v>
      </c>
      <c r="F2191" t="s">
        <v>755</v>
      </c>
      <c r="G2191" t="s">
        <v>240</v>
      </c>
      <c r="H2191" s="6">
        <v>375529</v>
      </c>
      <c r="I2191" s="6">
        <v>1.9898184059747126E-3</v>
      </c>
      <c r="J2191" s="6">
        <v>4688.0121644764231</v>
      </c>
      <c r="K2191" s="6">
        <v>1573040</v>
      </c>
      <c r="M2191" s="6">
        <f>SUM(H2191,J2191)</f>
        <v>380217.01216447644</v>
      </c>
      <c r="N2191" s="6">
        <f>K2191</f>
        <v>1573040</v>
      </c>
      <c r="O2191" s="6">
        <f>SUM(M2191:N2191)</f>
        <v>1953257.0121644763</v>
      </c>
      <c r="P2191" s="8">
        <f>VLOOKUP(F2191,'LEAID Match'!$A$2:$B$436,2,FALSE)</f>
        <v>1803990</v>
      </c>
      <c r="Q2191" s="6">
        <f>COUNTIF($P$2:$P$3691,P2191)</f>
        <v>9</v>
      </c>
    </row>
    <row r="2192" spans="1:17" x14ac:dyDescent="0.2">
      <c r="A2192" s="16">
        <f>P2192</f>
        <v>1803990</v>
      </c>
      <c r="B2192">
        <v>2021</v>
      </c>
      <c r="C2192" t="s">
        <v>904</v>
      </c>
      <c r="D2192" t="s">
        <v>906</v>
      </c>
      <c r="E2192" t="s">
        <v>3098</v>
      </c>
      <c r="F2192" t="s">
        <v>755</v>
      </c>
      <c r="G2192" t="s">
        <v>240</v>
      </c>
      <c r="H2192" s="6">
        <v>369037</v>
      </c>
      <c r="I2192" s="6">
        <v>1.8230771000462547E-3</v>
      </c>
      <c r="J2192" s="6">
        <v>4109.2157835042581</v>
      </c>
      <c r="K2192" s="6">
        <v>2563474</v>
      </c>
      <c r="M2192" s="6">
        <f>SUM(H2192,J2192)</f>
        <v>373146.21578350425</v>
      </c>
      <c r="N2192" s="6">
        <f>K2192</f>
        <v>2563474</v>
      </c>
      <c r="O2192" s="6">
        <f>SUM(M2192:N2192)</f>
        <v>2936620.2157835043</v>
      </c>
      <c r="P2192" s="8">
        <f>VLOOKUP(F2192,'LEAID Match'!$A$2:$B$436,2,FALSE)</f>
        <v>1803990</v>
      </c>
      <c r="Q2192" s="6">
        <f>COUNTIF($P$2:$P$3691,P2192)</f>
        <v>9</v>
      </c>
    </row>
    <row r="2193" spans="1:17" x14ac:dyDescent="0.2">
      <c r="A2193" s="16">
        <f>P2193</f>
        <v>1803990</v>
      </c>
      <c r="B2193">
        <v>2022</v>
      </c>
      <c r="C2193" t="s">
        <v>904</v>
      </c>
      <c r="D2193" t="s">
        <v>906</v>
      </c>
      <c r="E2193" t="s">
        <v>3099</v>
      </c>
      <c r="F2193" t="s">
        <v>755</v>
      </c>
      <c r="G2193" t="s">
        <v>240</v>
      </c>
      <c r="H2193" s="6">
        <v>373834</v>
      </c>
      <c r="I2193" s="6">
        <v>1.775033309473383E-3</v>
      </c>
      <c r="J2193" s="6">
        <v>3913.9484473888097</v>
      </c>
      <c r="K2193" s="6">
        <v>2507634</v>
      </c>
      <c r="M2193" s="6">
        <f>SUM(H2193,J2193)</f>
        <v>377747.94844738883</v>
      </c>
      <c r="N2193" s="6">
        <f>K2193</f>
        <v>2507634</v>
      </c>
      <c r="O2193" s="6">
        <f>SUM(M2193:N2193)</f>
        <v>2885381.9484473886</v>
      </c>
      <c r="P2193" s="8">
        <f>VLOOKUP(F2193,'LEAID Match'!$A$2:$B$436,2,FALSE)</f>
        <v>1803990</v>
      </c>
      <c r="Q2193" s="6">
        <f>COUNTIF($P$2:$P$3691,P2193)</f>
        <v>9</v>
      </c>
    </row>
    <row r="2194" spans="1:17" x14ac:dyDescent="0.2">
      <c r="A2194" s="16">
        <f>P2194</f>
        <v>1803990</v>
      </c>
      <c r="B2194">
        <v>2023</v>
      </c>
      <c r="C2194" t="s">
        <v>904</v>
      </c>
      <c r="D2194" t="s">
        <v>906</v>
      </c>
      <c r="E2194" t="s">
        <v>3100</v>
      </c>
      <c r="F2194" t="s">
        <v>755</v>
      </c>
      <c r="G2194" t="s">
        <v>240</v>
      </c>
      <c r="H2194" s="6">
        <v>447451</v>
      </c>
      <c r="I2194" s="6">
        <v>1.8298287369190541E-3</v>
      </c>
      <c r="J2194" s="6">
        <v>4514.187493979307</v>
      </c>
      <c r="K2194" s="6">
        <v>6470233</v>
      </c>
      <c r="M2194" s="6">
        <f>SUM(H2194,J2194)</f>
        <v>451965.18749397929</v>
      </c>
      <c r="N2194" s="6">
        <f>K2194</f>
        <v>6470233</v>
      </c>
      <c r="O2194" s="6">
        <f>SUM(M2194:N2194)</f>
        <v>6922198.187493979</v>
      </c>
      <c r="P2194" s="8">
        <f>VLOOKUP(F2194,'LEAID Match'!$A$2:$B$436,2,FALSE)</f>
        <v>1803990</v>
      </c>
      <c r="Q2194" s="6">
        <f>COUNTIF($P$2:$P$3691,P2194)</f>
        <v>9</v>
      </c>
    </row>
    <row r="2195" spans="1:17" x14ac:dyDescent="0.2">
      <c r="A2195" s="16">
        <f>P2195</f>
        <v>1810500</v>
      </c>
      <c r="B2195">
        <v>2015</v>
      </c>
      <c r="C2195" t="s">
        <v>904</v>
      </c>
      <c r="D2195" t="s">
        <v>906</v>
      </c>
      <c r="E2195" t="s">
        <v>3101</v>
      </c>
      <c r="F2195" t="s">
        <v>756</v>
      </c>
      <c r="G2195" t="s">
        <v>241</v>
      </c>
      <c r="H2195" s="6">
        <v>199916</v>
      </c>
      <c r="I2195" s="6">
        <v>9.7213294427138342E-4</v>
      </c>
      <c r="J2195" s="6">
        <v>5649.0645391610087</v>
      </c>
      <c r="K2195" s="6">
        <v>822051.17180299002</v>
      </c>
      <c r="M2195" s="6">
        <f>SUM(H2195,J2195)</f>
        <v>205565.06453916102</v>
      </c>
      <c r="N2195" s="6">
        <f>K2195</f>
        <v>822051.17180299002</v>
      </c>
      <c r="O2195" s="6">
        <f>SUM(M2195:N2195)</f>
        <v>1027616.2363421511</v>
      </c>
      <c r="P2195" s="8">
        <f>VLOOKUP(F2195,'LEAID Match'!$A$2:$B$436,2,FALSE)</f>
        <v>1810500</v>
      </c>
      <c r="Q2195" s="6">
        <f>COUNTIF($P$2:$P$3691,P2195)</f>
        <v>9</v>
      </c>
    </row>
    <row r="2196" spans="1:17" x14ac:dyDescent="0.2">
      <c r="A2196" s="16">
        <f>P2196</f>
        <v>1810500</v>
      </c>
      <c r="B2196">
        <v>2016</v>
      </c>
      <c r="C2196" t="s">
        <v>904</v>
      </c>
      <c r="D2196" t="s">
        <v>906</v>
      </c>
      <c r="E2196" t="s">
        <v>3102</v>
      </c>
      <c r="F2196" t="s">
        <v>756</v>
      </c>
      <c r="G2196" t="s">
        <v>241</v>
      </c>
      <c r="H2196" s="6">
        <v>234813</v>
      </c>
      <c r="I2196" s="6">
        <v>1.0895611588534122E-3</v>
      </c>
      <c r="J2196" s="6">
        <v>5500.1047298920248</v>
      </c>
      <c r="K2196" s="6">
        <v>966985.52848240302</v>
      </c>
      <c r="M2196" s="6">
        <f>SUM(H2196,J2196)</f>
        <v>240313.10472989202</v>
      </c>
      <c r="N2196" s="6">
        <f>K2196</f>
        <v>966985.52848240302</v>
      </c>
      <c r="O2196" s="6">
        <f>SUM(M2196:N2196)</f>
        <v>1207298.6332122951</v>
      </c>
      <c r="P2196" s="8">
        <f>VLOOKUP(F2196,'LEAID Match'!$A$2:$B$436,2,FALSE)</f>
        <v>1810500</v>
      </c>
      <c r="Q2196" s="6">
        <f>COUNTIF($P$2:$P$3691,P2196)</f>
        <v>9</v>
      </c>
    </row>
    <row r="2197" spans="1:17" x14ac:dyDescent="0.2">
      <c r="A2197" s="16">
        <f>P2197</f>
        <v>1810500</v>
      </c>
      <c r="B2197">
        <v>2017</v>
      </c>
      <c r="C2197" t="s">
        <v>904</v>
      </c>
      <c r="D2197" t="s">
        <v>906</v>
      </c>
      <c r="E2197" t="s">
        <v>3103</v>
      </c>
      <c r="F2197" t="s">
        <v>756</v>
      </c>
      <c r="G2197" t="s">
        <v>241</v>
      </c>
      <c r="H2197" s="6">
        <v>247527</v>
      </c>
      <c r="I2197" s="6">
        <v>1.0899672745611963E-3</v>
      </c>
      <c r="J2197" s="6">
        <v>4932.1019173894138</v>
      </c>
      <c r="K2197" s="6">
        <v>949361.49614280101</v>
      </c>
      <c r="M2197" s="6">
        <f>SUM(H2197,J2197)</f>
        <v>252459.1019173894</v>
      </c>
      <c r="N2197" s="6">
        <f>K2197</f>
        <v>949361.49614280101</v>
      </c>
      <c r="O2197" s="6">
        <f>SUM(M2197:N2197)</f>
        <v>1201820.5980601904</v>
      </c>
      <c r="P2197" s="8">
        <f>VLOOKUP(F2197,'LEAID Match'!$A$2:$B$436,2,FALSE)</f>
        <v>1810500</v>
      </c>
      <c r="Q2197" s="6">
        <f>COUNTIF($P$2:$P$3691,P2197)</f>
        <v>9</v>
      </c>
    </row>
    <row r="2198" spans="1:17" x14ac:dyDescent="0.2">
      <c r="A2198" s="16">
        <f>P2198</f>
        <v>1810500</v>
      </c>
      <c r="B2198">
        <v>2018</v>
      </c>
      <c r="C2198" t="s">
        <v>904</v>
      </c>
      <c r="D2198" t="s">
        <v>906</v>
      </c>
      <c r="E2198" t="s">
        <v>3104</v>
      </c>
      <c r="F2198" t="s">
        <v>756</v>
      </c>
      <c r="G2198" t="s">
        <v>241</v>
      </c>
      <c r="H2198" s="6">
        <v>254989</v>
      </c>
      <c r="I2198" s="6">
        <v>1.0817578928693952E-3</v>
      </c>
      <c r="J2198" s="6">
        <v>4508.7668974796388</v>
      </c>
      <c r="K2198" s="6">
        <v>1182622</v>
      </c>
      <c r="M2198" s="6">
        <f>SUM(H2198,J2198)</f>
        <v>259497.76689747963</v>
      </c>
      <c r="N2198" s="6">
        <f>K2198</f>
        <v>1182622</v>
      </c>
      <c r="O2198" s="6">
        <f>SUM(M2198:N2198)</f>
        <v>1442119.7668974795</v>
      </c>
      <c r="P2198" s="8">
        <f>VLOOKUP(F2198,'LEAID Match'!$A$2:$B$436,2,FALSE)</f>
        <v>1810500</v>
      </c>
      <c r="Q2198" s="6">
        <f>COUNTIF($P$2:$P$3691,P2198)</f>
        <v>9</v>
      </c>
    </row>
    <row r="2199" spans="1:17" x14ac:dyDescent="0.2">
      <c r="A2199" s="16">
        <f>P2199</f>
        <v>1810500</v>
      </c>
      <c r="B2199">
        <v>2019</v>
      </c>
      <c r="C2199" t="s">
        <v>904</v>
      </c>
      <c r="D2199" t="s">
        <v>906</v>
      </c>
      <c r="E2199" t="s">
        <v>3105</v>
      </c>
      <c r="F2199" t="s">
        <v>756</v>
      </c>
      <c r="G2199" t="s">
        <v>241</v>
      </c>
      <c r="H2199" s="6">
        <v>248670</v>
      </c>
      <c r="I2199" s="6">
        <v>6.3261513135563655E-4</v>
      </c>
      <c r="J2199" s="6">
        <v>2217.3160354015063</v>
      </c>
      <c r="K2199" s="6">
        <v>597125.42248658498</v>
      </c>
      <c r="M2199" s="6">
        <f>SUM(H2199,J2199)</f>
        <v>250887.31603540151</v>
      </c>
      <c r="N2199" s="6">
        <f>K2199</f>
        <v>597125.42248658498</v>
      </c>
      <c r="O2199" s="6">
        <f>SUM(M2199:N2199)</f>
        <v>848012.73852198652</v>
      </c>
      <c r="P2199" s="8">
        <f>VLOOKUP(F2199,'LEAID Match'!$A$2:$B$436,2,FALSE)</f>
        <v>1810500</v>
      </c>
      <c r="Q2199" s="6">
        <f>COUNTIF($P$2:$P$3691,P2199)</f>
        <v>9</v>
      </c>
    </row>
    <row r="2200" spans="1:17" x14ac:dyDescent="0.2">
      <c r="A2200" s="16">
        <f>P2200</f>
        <v>1810500</v>
      </c>
      <c r="B2200">
        <v>2020</v>
      </c>
      <c r="C2200" t="s">
        <v>904</v>
      </c>
      <c r="D2200" t="s">
        <v>906</v>
      </c>
      <c r="E2200" t="s">
        <v>3106</v>
      </c>
      <c r="F2200" t="s">
        <v>756</v>
      </c>
      <c r="G2200" t="s">
        <v>241</v>
      </c>
      <c r="H2200" s="6">
        <v>174300</v>
      </c>
      <c r="I2200" s="6">
        <v>9.2356475308536066E-4</v>
      </c>
      <c r="J2200" s="6">
        <v>2175.9185582691098</v>
      </c>
      <c r="K2200" s="6">
        <v>1270144</v>
      </c>
      <c r="M2200" s="6">
        <f>SUM(H2200,J2200)</f>
        <v>176475.9185582691</v>
      </c>
      <c r="N2200" s="6">
        <f>K2200</f>
        <v>1270144</v>
      </c>
      <c r="O2200" s="6">
        <f>SUM(M2200:N2200)</f>
        <v>1446619.918558269</v>
      </c>
      <c r="P2200" s="8">
        <f>VLOOKUP(F2200,'LEAID Match'!$A$2:$B$436,2,FALSE)</f>
        <v>1810500</v>
      </c>
      <c r="Q2200" s="6">
        <f>COUNTIF($P$2:$P$3691,P2200)</f>
        <v>9</v>
      </c>
    </row>
    <row r="2201" spans="1:17" x14ac:dyDescent="0.2">
      <c r="A2201" s="16">
        <f>P2201</f>
        <v>1810500</v>
      </c>
      <c r="B2201">
        <v>2021</v>
      </c>
      <c r="C2201" t="s">
        <v>904</v>
      </c>
      <c r="D2201" t="s">
        <v>906</v>
      </c>
      <c r="E2201" t="s">
        <v>3107</v>
      </c>
      <c r="F2201" t="s">
        <v>756</v>
      </c>
      <c r="G2201" t="s">
        <v>241</v>
      </c>
      <c r="H2201" s="6">
        <v>180487</v>
      </c>
      <c r="I2201" s="6">
        <v>8.9162256509793959E-4</v>
      </c>
      <c r="J2201" s="6">
        <v>2009.7172617307558</v>
      </c>
      <c r="K2201" s="6">
        <v>2126478</v>
      </c>
      <c r="M2201" s="6">
        <f>SUM(H2201,J2201)</f>
        <v>182496.71726173075</v>
      </c>
      <c r="N2201" s="6">
        <f>K2201</f>
        <v>2126478</v>
      </c>
      <c r="O2201" s="6">
        <f>SUM(M2201:N2201)</f>
        <v>2308974.7172617307</v>
      </c>
      <c r="P2201" s="8">
        <f>VLOOKUP(F2201,'LEAID Match'!$A$2:$B$436,2,FALSE)</f>
        <v>1810500</v>
      </c>
      <c r="Q2201" s="6">
        <f>COUNTIF($P$2:$P$3691,P2201)</f>
        <v>9</v>
      </c>
    </row>
    <row r="2202" spans="1:17" x14ac:dyDescent="0.2">
      <c r="A2202" s="16">
        <f>P2202</f>
        <v>1810500</v>
      </c>
      <c r="B2202">
        <v>2022</v>
      </c>
      <c r="C2202" t="s">
        <v>904</v>
      </c>
      <c r="D2202" t="s">
        <v>906</v>
      </c>
      <c r="E2202" t="s">
        <v>3108</v>
      </c>
      <c r="F2202" t="s">
        <v>756</v>
      </c>
      <c r="G2202" t="s">
        <v>241</v>
      </c>
      <c r="H2202" s="6">
        <v>209373</v>
      </c>
      <c r="I2202" s="6">
        <v>9.9414191620978993E-4</v>
      </c>
      <c r="J2202" s="6">
        <v>2192.082925242587</v>
      </c>
      <c r="K2202" s="6">
        <v>2116465</v>
      </c>
      <c r="M2202" s="6">
        <f>SUM(H2202,J2202)</f>
        <v>211565.08292524258</v>
      </c>
      <c r="N2202" s="6">
        <f>K2202</f>
        <v>2116465</v>
      </c>
      <c r="O2202" s="6">
        <f>SUM(M2202:N2202)</f>
        <v>2328030.0829252424</v>
      </c>
      <c r="P2202" s="8">
        <f>VLOOKUP(F2202,'LEAID Match'!$A$2:$B$436,2,FALSE)</f>
        <v>1810500</v>
      </c>
      <c r="Q2202" s="6">
        <f>COUNTIF($P$2:$P$3691,P2202)</f>
        <v>9</v>
      </c>
    </row>
    <row r="2203" spans="1:17" x14ac:dyDescent="0.2">
      <c r="A2203" s="16">
        <f>P2203</f>
        <v>1810500</v>
      </c>
      <c r="B2203">
        <v>2023</v>
      </c>
      <c r="C2203" t="s">
        <v>904</v>
      </c>
      <c r="D2203" t="s">
        <v>906</v>
      </c>
      <c r="E2203" t="s">
        <v>3109</v>
      </c>
      <c r="F2203" t="s">
        <v>756</v>
      </c>
      <c r="G2203" t="s">
        <v>241</v>
      </c>
      <c r="H2203" s="6">
        <v>252686</v>
      </c>
      <c r="I2203" s="6">
        <v>1.0333469010397297E-3</v>
      </c>
      <c r="J2203" s="6">
        <v>2549.266804865013</v>
      </c>
      <c r="K2203" s="6">
        <v>5933235</v>
      </c>
      <c r="M2203" s="6">
        <f>SUM(H2203,J2203)</f>
        <v>255235.26680486501</v>
      </c>
      <c r="N2203" s="6">
        <f>K2203</f>
        <v>5933235</v>
      </c>
      <c r="O2203" s="6">
        <f>SUM(M2203:N2203)</f>
        <v>6188470.2668048646</v>
      </c>
      <c r="P2203" s="8">
        <f>VLOOKUP(F2203,'LEAID Match'!$A$2:$B$436,2,FALSE)</f>
        <v>1810500</v>
      </c>
      <c r="Q2203" s="6">
        <f>COUNTIF($P$2:$P$3691,P2203)</f>
        <v>9</v>
      </c>
    </row>
    <row r="2204" spans="1:17" x14ac:dyDescent="0.2">
      <c r="A2204" s="16">
        <f>P2204</f>
        <v>1807980</v>
      </c>
      <c r="B2204">
        <v>2015</v>
      </c>
      <c r="C2204" t="s">
        <v>904</v>
      </c>
      <c r="D2204" t="s">
        <v>906</v>
      </c>
      <c r="E2204" t="s">
        <v>3110</v>
      </c>
      <c r="F2204" t="s">
        <v>757</v>
      </c>
      <c r="G2204" t="s">
        <v>242</v>
      </c>
      <c r="H2204" s="6">
        <v>271418</v>
      </c>
      <c r="I2204" s="6">
        <v>1.3198262243554811E-3</v>
      </c>
      <c r="J2204" s="6">
        <v>7669.5101897297009</v>
      </c>
      <c r="K2204" s="6">
        <v>1116066.1725345801</v>
      </c>
      <c r="M2204" s="6">
        <f>SUM(H2204,J2204)</f>
        <v>279087.51018972968</v>
      </c>
      <c r="N2204" s="6">
        <f>K2204</f>
        <v>1116066.1725345801</v>
      </c>
      <c r="O2204" s="6">
        <f>SUM(M2204:N2204)</f>
        <v>1395153.6827243099</v>
      </c>
      <c r="P2204" s="8">
        <f>VLOOKUP(F2204,'LEAID Match'!$A$2:$B$436,2,FALSE)</f>
        <v>1807980</v>
      </c>
      <c r="Q2204" s="6">
        <f>COUNTIF($P$2:$P$3691,P2204)</f>
        <v>9</v>
      </c>
    </row>
    <row r="2205" spans="1:17" x14ac:dyDescent="0.2">
      <c r="A2205" s="16">
        <f>P2205</f>
        <v>1807980</v>
      </c>
      <c r="B2205">
        <v>2016</v>
      </c>
      <c r="C2205" t="s">
        <v>904</v>
      </c>
      <c r="D2205" t="s">
        <v>906</v>
      </c>
      <c r="E2205" t="s">
        <v>3111</v>
      </c>
      <c r="F2205" t="s">
        <v>757</v>
      </c>
      <c r="G2205" t="s">
        <v>242</v>
      </c>
      <c r="H2205" s="6">
        <v>274319</v>
      </c>
      <c r="I2205" s="6">
        <v>1.2728738508324035E-3</v>
      </c>
      <c r="J2205" s="6">
        <v>6425.4671990019733</v>
      </c>
      <c r="K2205" s="6">
        <v>1129675.5426137501</v>
      </c>
      <c r="M2205" s="6">
        <f>SUM(H2205,J2205)</f>
        <v>280744.46719900199</v>
      </c>
      <c r="N2205" s="6">
        <f>K2205</f>
        <v>1129675.5426137501</v>
      </c>
      <c r="O2205" s="6">
        <f>SUM(M2205:N2205)</f>
        <v>1410420.009812752</v>
      </c>
      <c r="P2205" s="8">
        <f>VLOOKUP(F2205,'LEAID Match'!$A$2:$B$436,2,FALSE)</f>
        <v>1807980</v>
      </c>
      <c r="Q2205" s="6">
        <f>COUNTIF($P$2:$P$3691,P2205)</f>
        <v>9</v>
      </c>
    </row>
    <row r="2206" spans="1:17" x14ac:dyDescent="0.2">
      <c r="A2206" s="16">
        <f>P2206</f>
        <v>1807980</v>
      </c>
      <c r="B2206">
        <v>2017</v>
      </c>
      <c r="C2206" t="s">
        <v>904</v>
      </c>
      <c r="D2206" t="s">
        <v>906</v>
      </c>
      <c r="E2206" t="s">
        <v>3112</v>
      </c>
      <c r="F2206" t="s">
        <v>757</v>
      </c>
      <c r="G2206" t="s">
        <v>242</v>
      </c>
      <c r="H2206" s="6">
        <v>279468</v>
      </c>
      <c r="I2206" s="6">
        <v>1.2306171621159245E-3</v>
      </c>
      <c r="J2206" s="6">
        <v>5568.5426585745581</v>
      </c>
      <c r="K2206" s="6">
        <v>1071867.5482029701</v>
      </c>
      <c r="M2206" s="6">
        <f>SUM(H2206,J2206)</f>
        <v>285036.54265857453</v>
      </c>
      <c r="N2206" s="6">
        <f>K2206</f>
        <v>1071867.5482029701</v>
      </c>
      <c r="O2206" s="6">
        <f>SUM(M2206:N2206)</f>
        <v>1356904.0908615445</v>
      </c>
      <c r="P2206" s="8">
        <f>VLOOKUP(F2206,'LEAID Match'!$A$2:$B$436,2,FALSE)</f>
        <v>1807980</v>
      </c>
      <c r="Q2206" s="6">
        <f>COUNTIF($P$2:$P$3691,P2206)</f>
        <v>9</v>
      </c>
    </row>
    <row r="2207" spans="1:17" x14ac:dyDescent="0.2">
      <c r="A2207" s="16">
        <f>P2207</f>
        <v>1807980</v>
      </c>
      <c r="B2207">
        <v>2018</v>
      </c>
      <c r="C2207" t="s">
        <v>904</v>
      </c>
      <c r="D2207" t="s">
        <v>906</v>
      </c>
      <c r="E2207" t="s">
        <v>3113</v>
      </c>
      <c r="F2207" t="s">
        <v>757</v>
      </c>
      <c r="G2207" t="s">
        <v>242</v>
      </c>
      <c r="H2207" s="6">
        <v>291814</v>
      </c>
      <c r="I2207" s="6">
        <v>1.2379831982940036E-3</v>
      </c>
      <c r="J2207" s="6">
        <v>5159.9139704894069</v>
      </c>
      <c r="K2207" s="6">
        <v>1339767</v>
      </c>
      <c r="M2207" s="6">
        <f>SUM(H2207,J2207)</f>
        <v>296973.9139704894</v>
      </c>
      <c r="N2207" s="6">
        <f>K2207</f>
        <v>1339767</v>
      </c>
      <c r="O2207" s="6">
        <f>SUM(M2207:N2207)</f>
        <v>1636740.9139704895</v>
      </c>
      <c r="P2207" s="8">
        <f>VLOOKUP(F2207,'LEAID Match'!$A$2:$B$436,2,FALSE)</f>
        <v>1807980</v>
      </c>
      <c r="Q2207" s="6">
        <f>COUNTIF($P$2:$P$3691,P2207)</f>
        <v>9</v>
      </c>
    </row>
    <row r="2208" spans="1:17" x14ac:dyDescent="0.2">
      <c r="A2208" s="16">
        <f>P2208</f>
        <v>1807980</v>
      </c>
      <c r="B2208">
        <v>2019</v>
      </c>
      <c r="C2208" t="s">
        <v>904</v>
      </c>
      <c r="D2208" t="s">
        <v>906</v>
      </c>
      <c r="E2208" t="s">
        <v>3114</v>
      </c>
      <c r="F2208" t="s">
        <v>757</v>
      </c>
      <c r="G2208" t="s">
        <v>242</v>
      </c>
      <c r="H2208" s="6">
        <v>290130</v>
      </c>
      <c r="I2208" s="6">
        <v>7.3808914650022454E-4</v>
      </c>
      <c r="J2208" s="6">
        <v>2587.0024584832868</v>
      </c>
      <c r="K2208" s="6">
        <v>696682.34538156097</v>
      </c>
      <c r="M2208" s="6">
        <f>SUM(H2208,J2208)</f>
        <v>292717.00245848327</v>
      </c>
      <c r="N2208" s="6">
        <f>K2208</f>
        <v>696682.34538156097</v>
      </c>
      <c r="O2208" s="6">
        <f>SUM(M2208:N2208)</f>
        <v>989399.34784004418</v>
      </c>
      <c r="P2208" s="8">
        <f>VLOOKUP(F2208,'LEAID Match'!$A$2:$B$436,2,FALSE)</f>
        <v>1807980</v>
      </c>
      <c r="Q2208" s="6">
        <f>COUNTIF($P$2:$P$3691,P2208)</f>
        <v>9</v>
      </c>
    </row>
    <row r="2209" spans="1:17" x14ac:dyDescent="0.2">
      <c r="A2209" s="16">
        <f>P2209</f>
        <v>1807980</v>
      </c>
      <c r="B2209">
        <v>2020</v>
      </c>
      <c r="C2209" t="s">
        <v>904</v>
      </c>
      <c r="D2209" t="s">
        <v>906</v>
      </c>
      <c r="E2209" t="s">
        <v>3115</v>
      </c>
      <c r="F2209" t="s">
        <v>757</v>
      </c>
      <c r="G2209" t="s">
        <v>242</v>
      </c>
      <c r="H2209" s="6">
        <v>213366</v>
      </c>
      <c r="I2209" s="6">
        <v>1.130564068312169E-3</v>
      </c>
      <c r="J2209" s="6">
        <v>2663.6089449434703</v>
      </c>
      <c r="K2209" s="6">
        <v>1423291</v>
      </c>
      <c r="M2209" s="6">
        <f>SUM(H2209,J2209)</f>
        <v>216029.60894494347</v>
      </c>
      <c r="N2209" s="6">
        <f>K2209</f>
        <v>1423291</v>
      </c>
      <c r="O2209" s="6">
        <f>SUM(M2209:N2209)</f>
        <v>1639320.6089449434</v>
      </c>
      <c r="P2209" s="8">
        <f>VLOOKUP(F2209,'LEAID Match'!$A$2:$B$436,2,FALSE)</f>
        <v>1807980</v>
      </c>
      <c r="Q2209" s="6">
        <f>COUNTIF($P$2:$P$3691,P2209)</f>
        <v>9</v>
      </c>
    </row>
    <row r="2210" spans="1:17" x14ac:dyDescent="0.2">
      <c r="A2210" s="16">
        <f>P2210</f>
        <v>1807980</v>
      </c>
      <c r="B2210">
        <v>2021</v>
      </c>
      <c r="C2210" t="s">
        <v>904</v>
      </c>
      <c r="D2210" t="s">
        <v>906</v>
      </c>
      <c r="E2210" t="s">
        <v>3116</v>
      </c>
      <c r="F2210" t="s">
        <v>757</v>
      </c>
      <c r="G2210" t="s">
        <v>242</v>
      </c>
      <c r="H2210" s="6">
        <v>212379</v>
      </c>
      <c r="I2210" s="6">
        <v>1.049172011019826E-3</v>
      </c>
      <c r="J2210" s="6">
        <v>2364.8337128386879</v>
      </c>
      <c r="K2210" s="6">
        <v>2434485</v>
      </c>
      <c r="M2210" s="6">
        <f>SUM(H2210,J2210)</f>
        <v>214743.83371283868</v>
      </c>
      <c r="N2210" s="6">
        <f>K2210</f>
        <v>2434485</v>
      </c>
      <c r="O2210" s="6">
        <f>SUM(M2210:N2210)</f>
        <v>2649228.8337128386</v>
      </c>
      <c r="P2210" s="8">
        <f>VLOOKUP(F2210,'LEAID Match'!$A$2:$B$436,2,FALSE)</f>
        <v>1807980</v>
      </c>
      <c r="Q2210" s="6">
        <f>COUNTIF($P$2:$P$3691,P2210)</f>
        <v>9</v>
      </c>
    </row>
    <row r="2211" spans="1:17" x14ac:dyDescent="0.2">
      <c r="A2211" s="16">
        <f>P2211</f>
        <v>1807980</v>
      </c>
      <c r="B2211">
        <v>2022</v>
      </c>
      <c r="C2211" t="s">
        <v>904</v>
      </c>
      <c r="D2211" t="s">
        <v>906</v>
      </c>
      <c r="E2211" t="s">
        <v>3117</v>
      </c>
      <c r="F2211" t="s">
        <v>757</v>
      </c>
      <c r="G2211" t="s">
        <v>242</v>
      </c>
      <c r="H2211" s="6">
        <v>252360</v>
      </c>
      <c r="I2211" s="6">
        <v>1.1982521813925511E-3</v>
      </c>
      <c r="J2211" s="6">
        <v>2642.1460599705752</v>
      </c>
      <c r="K2211" s="6">
        <v>2397089</v>
      </c>
      <c r="M2211" s="6">
        <f>SUM(H2211,J2211)</f>
        <v>255002.14605997058</v>
      </c>
      <c r="N2211" s="6">
        <f>K2211</f>
        <v>2397089</v>
      </c>
      <c r="O2211" s="6">
        <f>SUM(M2211:N2211)</f>
        <v>2652091.1460599704</v>
      </c>
      <c r="P2211" s="8">
        <f>VLOOKUP(F2211,'LEAID Match'!$A$2:$B$436,2,FALSE)</f>
        <v>1807980</v>
      </c>
      <c r="Q2211" s="6">
        <f>COUNTIF($P$2:$P$3691,P2211)</f>
        <v>9</v>
      </c>
    </row>
    <row r="2212" spans="1:17" x14ac:dyDescent="0.2">
      <c r="A2212" s="16">
        <f>P2212</f>
        <v>1807980</v>
      </c>
      <c r="B2212">
        <v>2023</v>
      </c>
      <c r="C2212" t="s">
        <v>904</v>
      </c>
      <c r="D2212" t="s">
        <v>906</v>
      </c>
      <c r="E2212" t="s">
        <v>3118</v>
      </c>
      <c r="F2212" t="s">
        <v>757</v>
      </c>
      <c r="G2212" t="s">
        <v>242</v>
      </c>
      <c r="H2212" s="6">
        <v>284411</v>
      </c>
      <c r="I2212" s="6">
        <v>1.163084719658432E-3</v>
      </c>
      <c r="J2212" s="6">
        <v>2869.3300033973519</v>
      </c>
      <c r="K2212" s="6">
        <v>6697229</v>
      </c>
      <c r="M2212" s="6">
        <f>SUM(H2212,J2212)</f>
        <v>287280.33000339736</v>
      </c>
      <c r="N2212" s="6">
        <f>K2212</f>
        <v>6697229</v>
      </c>
      <c r="O2212" s="6">
        <f>SUM(M2212:N2212)</f>
        <v>6984509.3300033975</v>
      </c>
      <c r="P2212" s="8">
        <f>VLOOKUP(F2212,'LEAID Match'!$A$2:$B$436,2,FALSE)</f>
        <v>1807980</v>
      </c>
      <c r="Q2212" s="6">
        <f>COUNTIF($P$2:$P$3691,P2212)</f>
        <v>9</v>
      </c>
    </row>
    <row r="2213" spans="1:17" x14ac:dyDescent="0.2">
      <c r="A2213" s="16">
        <f>P2213</f>
        <v>1800020</v>
      </c>
      <c r="B2213">
        <v>2015</v>
      </c>
      <c r="C2213" t="s">
        <v>904</v>
      </c>
      <c r="D2213" t="s">
        <v>906</v>
      </c>
      <c r="E2213" t="s">
        <v>3119</v>
      </c>
      <c r="F2213" t="s">
        <v>758</v>
      </c>
      <c r="G2213" t="s">
        <v>243</v>
      </c>
      <c r="H2213" s="6">
        <v>150</v>
      </c>
      <c r="I2213" s="6">
        <v>7.2940605874821185E-7</v>
      </c>
      <c r="J2213" s="6">
        <v>4.2385786073858593</v>
      </c>
      <c r="K2213" s="6">
        <v>616.79743377442696</v>
      </c>
      <c r="M2213" s="6">
        <f>SUM(H2213,J2213)</f>
        <v>154.23857860738585</v>
      </c>
      <c r="N2213" s="6">
        <f>K2213</f>
        <v>616.79743377442696</v>
      </c>
      <c r="O2213" s="6">
        <f>SUM(M2213:N2213)</f>
        <v>771.03601238181284</v>
      </c>
      <c r="P2213" s="8">
        <f>VLOOKUP(F2213,'LEAID Match'!$A$2:$B$436,2,FALSE)</f>
        <v>1800020</v>
      </c>
      <c r="Q2213" s="6">
        <f>COUNTIF($P$2:$P$3691,P2213)</f>
        <v>9</v>
      </c>
    </row>
    <row r="2214" spans="1:17" x14ac:dyDescent="0.2">
      <c r="A2214" s="16">
        <f>P2214</f>
        <v>1800020</v>
      </c>
      <c r="B2214">
        <v>2016</v>
      </c>
      <c r="C2214" t="s">
        <v>904</v>
      </c>
      <c r="D2214" t="s">
        <v>906</v>
      </c>
      <c r="E2214" t="s">
        <v>3120</v>
      </c>
      <c r="F2214" t="s">
        <v>758</v>
      </c>
      <c r="G2214" t="s">
        <v>243</v>
      </c>
      <c r="H2214" s="6" t="s">
        <v>187</v>
      </c>
      <c r="I2214" s="6">
        <v>0</v>
      </c>
      <c r="J2214" s="6">
        <v>0</v>
      </c>
      <c r="K2214" s="6">
        <v>0</v>
      </c>
      <c r="M2214" s="6">
        <f>SUM(H2214,J2214)</f>
        <v>0</v>
      </c>
      <c r="N2214" s="6">
        <f>K2214</f>
        <v>0</v>
      </c>
      <c r="O2214" s="6">
        <f>SUM(M2214:N2214)</f>
        <v>0</v>
      </c>
      <c r="P2214" s="8">
        <f>VLOOKUP(F2214,'LEAID Match'!$A$2:$B$436,2,FALSE)</f>
        <v>1800020</v>
      </c>
      <c r="Q2214" s="6">
        <f>COUNTIF($P$2:$P$3691,P2214)</f>
        <v>9</v>
      </c>
    </row>
    <row r="2215" spans="1:17" x14ac:dyDescent="0.2">
      <c r="A2215" s="16">
        <f>P2215</f>
        <v>1800020</v>
      </c>
      <c r="B2215">
        <v>2017</v>
      </c>
      <c r="C2215" t="s">
        <v>904</v>
      </c>
      <c r="D2215" t="s">
        <v>906</v>
      </c>
      <c r="E2215" t="s">
        <v>3121</v>
      </c>
      <c r="F2215" t="s">
        <v>758</v>
      </c>
      <c r="G2215" t="s">
        <v>243</v>
      </c>
      <c r="H2215" s="6" t="s">
        <v>187</v>
      </c>
      <c r="I2215" s="6">
        <v>0</v>
      </c>
      <c r="J2215" s="6">
        <v>0</v>
      </c>
      <c r="K2215" s="6">
        <v>0</v>
      </c>
      <c r="M2215" s="6">
        <f>SUM(H2215,J2215)</f>
        <v>0</v>
      </c>
      <c r="N2215" s="6">
        <f>K2215</f>
        <v>0</v>
      </c>
      <c r="O2215" s="6">
        <f>SUM(M2215:N2215)</f>
        <v>0</v>
      </c>
      <c r="P2215" s="8">
        <f>VLOOKUP(F2215,'LEAID Match'!$A$2:$B$436,2,FALSE)</f>
        <v>1800020</v>
      </c>
      <c r="Q2215" s="6">
        <f>COUNTIF($P$2:$P$3691,P2215)</f>
        <v>9</v>
      </c>
    </row>
    <row r="2216" spans="1:17" x14ac:dyDescent="0.2">
      <c r="A2216" s="16">
        <f>P2216</f>
        <v>1800020</v>
      </c>
      <c r="B2216">
        <v>2018</v>
      </c>
      <c r="C2216" t="s">
        <v>904</v>
      </c>
      <c r="D2216" t="s">
        <v>906</v>
      </c>
      <c r="E2216" t="s">
        <v>3122</v>
      </c>
      <c r="F2216" t="s">
        <v>758</v>
      </c>
      <c r="G2216" t="s">
        <v>243</v>
      </c>
      <c r="H2216" s="6" t="s">
        <v>187</v>
      </c>
      <c r="I2216" s="6">
        <v>0</v>
      </c>
      <c r="J2216" s="6">
        <v>0</v>
      </c>
      <c r="K2216" s="6">
        <v>45803</v>
      </c>
      <c r="M2216" s="6">
        <f>SUM(H2216,J2216)</f>
        <v>0</v>
      </c>
      <c r="N2216" s="6">
        <f>K2216</f>
        <v>45803</v>
      </c>
      <c r="O2216" s="6">
        <f>SUM(M2216:N2216)</f>
        <v>45803</v>
      </c>
      <c r="P2216" s="8">
        <f>VLOOKUP(F2216,'LEAID Match'!$A$2:$B$436,2,FALSE)</f>
        <v>1800020</v>
      </c>
      <c r="Q2216" s="6">
        <f>COUNTIF($P$2:$P$3691,P2216)</f>
        <v>9</v>
      </c>
    </row>
    <row r="2217" spans="1:17" x14ac:dyDescent="0.2">
      <c r="A2217" s="16">
        <f>P2217</f>
        <v>1800020</v>
      </c>
      <c r="B2217">
        <v>2019</v>
      </c>
      <c r="C2217" t="s">
        <v>904</v>
      </c>
      <c r="D2217" t="s">
        <v>906</v>
      </c>
      <c r="E2217" t="s">
        <v>3123</v>
      </c>
      <c r="F2217" t="s">
        <v>758</v>
      </c>
      <c r="G2217" t="s">
        <v>243</v>
      </c>
      <c r="H2217" s="6" t="s">
        <v>187</v>
      </c>
      <c r="I2217" s="6">
        <v>0</v>
      </c>
      <c r="J2217" s="6">
        <v>0</v>
      </c>
      <c r="K2217" s="6">
        <v>0</v>
      </c>
      <c r="M2217" s="6">
        <f>SUM(H2217,J2217)</f>
        <v>0</v>
      </c>
      <c r="N2217" s="6">
        <f>K2217</f>
        <v>0</v>
      </c>
      <c r="O2217" s="6">
        <f>SUM(M2217:N2217)</f>
        <v>0</v>
      </c>
      <c r="P2217" s="8">
        <f>VLOOKUP(F2217,'LEAID Match'!$A$2:$B$436,2,FALSE)</f>
        <v>1800020</v>
      </c>
      <c r="Q2217" s="6">
        <f>COUNTIF($P$2:$P$3691,P2217)</f>
        <v>9</v>
      </c>
    </row>
    <row r="2218" spans="1:17" x14ac:dyDescent="0.2">
      <c r="A2218" s="16">
        <f>P2218</f>
        <v>1800020</v>
      </c>
      <c r="B2218">
        <v>2020</v>
      </c>
      <c r="C2218" t="s">
        <v>904</v>
      </c>
      <c r="D2218" t="s">
        <v>906</v>
      </c>
      <c r="E2218" t="s">
        <v>3124</v>
      </c>
      <c r="F2218" t="s">
        <v>758</v>
      </c>
      <c r="G2218" t="s">
        <v>243</v>
      </c>
      <c r="H2218" s="6" t="s">
        <v>187</v>
      </c>
      <c r="I2218" s="6">
        <v>0</v>
      </c>
      <c r="J2218" s="6">
        <v>0</v>
      </c>
      <c r="K2218" s="6">
        <v>36320</v>
      </c>
      <c r="M2218" s="6">
        <f>SUM(H2218,J2218)</f>
        <v>0</v>
      </c>
      <c r="N2218" s="6">
        <f>K2218</f>
        <v>36320</v>
      </c>
      <c r="O2218" s="6">
        <f>SUM(M2218:N2218)</f>
        <v>36320</v>
      </c>
      <c r="P2218" s="8">
        <f>VLOOKUP(F2218,'LEAID Match'!$A$2:$B$436,2,FALSE)</f>
        <v>1800020</v>
      </c>
      <c r="Q2218" s="6">
        <f>COUNTIF($P$2:$P$3691,P2218)</f>
        <v>9</v>
      </c>
    </row>
    <row r="2219" spans="1:17" x14ac:dyDescent="0.2">
      <c r="A2219" s="16">
        <f>P2219</f>
        <v>1800020</v>
      </c>
      <c r="B2219">
        <v>2021</v>
      </c>
      <c r="C2219" t="s">
        <v>904</v>
      </c>
      <c r="D2219" t="s">
        <v>906</v>
      </c>
      <c r="E2219" t="s">
        <v>3125</v>
      </c>
      <c r="F2219" t="s">
        <v>758</v>
      </c>
      <c r="G2219" t="s">
        <v>243</v>
      </c>
      <c r="H2219" s="6" t="s">
        <v>187</v>
      </c>
      <c r="I2219" s="6">
        <v>0</v>
      </c>
      <c r="J2219" s="6">
        <v>0</v>
      </c>
      <c r="K2219" s="6">
        <v>57382</v>
      </c>
      <c r="M2219" s="6">
        <f>SUM(H2219,J2219)</f>
        <v>0</v>
      </c>
      <c r="N2219" s="6">
        <f>K2219</f>
        <v>57382</v>
      </c>
      <c r="O2219" s="6">
        <f>SUM(M2219:N2219)</f>
        <v>57382</v>
      </c>
      <c r="P2219" s="8">
        <f>VLOOKUP(F2219,'LEAID Match'!$A$2:$B$436,2,FALSE)</f>
        <v>1800020</v>
      </c>
      <c r="Q2219" s="6">
        <f>COUNTIF($P$2:$P$3691,P2219)</f>
        <v>9</v>
      </c>
    </row>
    <row r="2220" spans="1:17" x14ac:dyDescent="0.2">
      <c r="A2220" s="16">
        <f>P2220</f>
        <v>1800020</v>
      </c>
      <c r="B2220">
        <v>2022</v>
      </c>
      <c r="C2220" t="s">
        <v>904</v>
      </c>
      <c r="D2220" t="s">
        <v>906</v>
      </c>
      <c r="E2220" t="s">
        <v>3126</v>
      </c>
      <c r="F2220" t="s">
        <v>758</v>
      </c>
      <c r="G2220" t="s">
        <v>243</v>
      </c>
      <c r="H2220" s="6">
        <v>138</v>
      </c>
      <c r="I2220" s="6">
        <v>6.5524964745669696E-7</v>
      </c>
      <c r="J2220" s="6">
        <v>1.4448254726420169</v>
      </c>
      <c r="K2220" s="6">
        <v>56745</v>
      </c>
      <c r="M2220" s="6">
        <f>SUM(H2220,J2220)</f>
        <v>139.44482547264201</v>
      </c>
      <c r="N2220" s="6">
        <f>K2220</f>
        <v>56745</v>
      </c>
      <c r="O2220" s="6">
        <f>SUM(M2220:N2220)</f>
        <v>56884.444825472645</v>
      </c>
      <c r="P2220" s="8">
        <f>VLOOKUP(F2220,'LEAID Match'!$A$2:$B$436,2,FALSE)</f>
        <v>1800020</v>
      </c>
      <c r="Q2220" s="6">
        <f>COUNTIF($P$2:$P$3691,P2220)</f>
        <v>9</v>
      </c>
    </row>
    <row r="2221" spans="1:17" x14ac:dyDescent="0.2">
      <c r="A2221" s="16">
        <f>P2221</f>
        <v>1800020</v>
      </c>
      <c r="B2221">
        <v>2023</v>
      </c>
      <c r="C2221" t="s">
        <v>904</v>
      </c>
      <c r="D2221" t="s">
        <v>906</v>
      </c>
      <c r="E2221" t="s">
        <v>3127</v>
      </c>
      <c r="F2221" t="s">
        <v>758</v>
      </c>
      <c r="G2221" t="s">
        <v>243</v>
      </c>
      <c r="H2221" s="6">
        <v>3900</v>
      </c>
      <c r="I2221" s="6">
        <v>1.5948857135159629E-5</v>
      </c>
      <c r="J2221" s="6">
        <v>39.345830552438805</v>
      </c>
      <c r="K2221" s="6">
        <v>124086</v>
      </c>
      <c r="M2221" s="6">
        <f>SUM(H2221,J2221)</f>
        <v>3939.3458305524387</v>
      </c>
      <c r="N2221" s="6">
        <f>K2221</f>
        <v>124086</v>
      </c>
      <c r="O2221" s="6">
        <f>SUM(M2221:N2221)</f>
        <v>128025.34583055244</v>
      </c>
      <c r="P2221" s="8">
        <f>VLOOKUP(F2221,'LEAID Match'!$A$2:$B$436,2,FALSE)</f>
        <v>1800020</v>
      </c>
      <c r="Q2221" s="6">
        <f>COUNTIF($P$2:$P$3691,P2221)</f>
        <v>9</v>
      </c>
    </row>
    <row r="2222" spans="1:17" x14ac:dyDescent="0.2">
      <c r="A2222" s="16">
        <f>P2222</f>
        <v>1800078</v>
      </c>
      <c r="B2222">
        <v>2015</v>
      </c>
      <c r="C2222" t="s">
        <v>904</v>
      </c>
      <c r="D2222" t="s">
        <v>906</v>
      </c>
      <c r="E2222" t="s">
        <v>3128</v>
      </c>
      <c r="F2222" t="s">
        <v>569</v>
      </c>
      <c r="G2222" t="s">
        <v>244</v>
      </c>
      <c r="H2222" s="6">
        <v>72023</v>
      </c>
      <c r="I2222" s="6">
        <v>3.5022675046148308E-4</v>
      </c>
      <c r="J2222" s="6">
        <v>2035.1676469316783</v>
      </c>
      <c r="K2222" s="6">
        <v>296157.34381823702</v>
      </c>
      <c r="M2222" s="6">
        <f>SUM(H2222,J2222)</f>
        <v>74058.167646931674</v>
      </c>
      <c r="N2222" s="6">
        <f>K2222</f>
        <v>296157.34381823702</v>
      </c>
      <c r="O2222" s="6">
        <f>SUM(M2222:N2222)</f>
        <v>370215.51146516867</v>
      </c>
      <c r="P2222" s="8">
        <f>VLOOKUP(F2222,'LEAID Match'!$A$2:$B$436,2,FALSE)</f>
        <v>1800078</v>
      </c>
      <c r="Q2222" s="6">
        <f>COUNTIF($P$2:$P$3691,P2222)</f>
        <v>9</v>
      </c>
    </row>
    <row r="2223" spans="1:17" x14ac:dyDescent="0.2">
      <c r="A2223" s="16">
        <f>P2223</f>
        <v>1800078</v>
      </c>
      <c r="B2223">
        <v>2016</v>
      </c>
      <c r="C2223" t="s">
        <v>904</v>
      </c>
      <c r="D2223" t="s">
        <v>906</v>
      </c>
      <c r="E2223" t="s">
        <v>3129</v>
      </c>
      <c r="F2223" t="s">
        <v>569</v>
      </c>
      <c r="G2223" t="s">
        <v>244</v>
      </c>
      <c r="H2223" s="6">
        <v>72796</v>
      </c>
      <c r="I2223" s="6">
        <v>3.3778238053213831E-4</v>
      </c>
      <c r="J2223" s="6">
        <v>1705.1254569262342</v>
      </c>
      <c r="K2223" s="6">
        <v>299781.862722272</v>
      </c>
      <c r="M2223" s="6">
        <f>SUM(H2223,J2223)</f>
        <v>74501.125456926238</v>
      </c>
      <c r="N2223" s="6">
        <f>K2223</f>
        <v>299781.862722272</v>
      </c>
      <c r="O2223" s="6">
        <f>SUM(M2223:N2223)</f>
        <v>374282.98817919823</v>
      </c>
      <c r="P2223" s="8">
        <f>VLOOKUP(F2223,'LEAID Match'!$A$2:$B$436,2,FALSE)</f>
        <v>1800078</v>
      </c>
      <c r="Q2223" s="6">
        <f>COUNTIF($P$2:$P$3691,P2223)</f>
        <v>9</v>
      </c>
    </row>
    <row r="2224" spans="1:17" x14ac:dyDescent="0.2">
      <c r="A2224" s="16">
        <f>P2224</f>
        <v>1800078</v>
      </c>
      <c r="B2224">
        <v>2017</v>
      </c>
      <c r="C2224" t="s">
        <v>904</v>
      </c>
      <c r="D2224" t="s">
        <v>906</v>
      </c>
      <c r="E2224" t="s">
        <v>3130</v>
      </c>
      <c r="F2224" t="s">
        <v>569</v>
      </c>
      <c r="G2224" t="s">
        <v>244</v>
      </c>
      <c r="H2224" s="6">
        <v>55495</v>
      </c>
      <c r="I2224" s="6">
        <v>2.4436822609967231E-4</v>
      </c>
      <c r="J2224" s="6">
        <v>1105.7662231010172</v>
      </c>
      <c r="K2224" s="6">
        <v>212844.72493281399</v>
      </c>
      <c r="M2224" s="6">
        <f>SUM(H2224,J2224)</f>
        <v>56600.766223101018</v>
      </c>
      <c r="N2224" s="6">
        <f>K2224</f>
        <v>212844.72493281399</v>
      </c>
      <c r="O2224" s="6">
        <f>SUM(M2224:N2224)</f>
        <v>269445.49115591502</v>
      </c>
      <c r="P2224" s="8">
        <f>VLOOKUP(F2224,'LEAID Match'!$A$2:$B$436,2,FALSE)</f>
        <v>1800078</v>
      </c>
      <c r="Q2224" s="6">
        <f>COUNTIF($P$2:$P$3691,P2224)</f>
        <v>9</v>
      </c>
    </row>
    <row r="2225" spans="1:17" x14ac:dyDescent="0.2">
      <c r="A2225" s="16">
        <f>P2225</f>
        <v>1800078</v>
      </c>
      <c r="B2225">
        <v>2018</v>
      </c>
      <c r="C2225" t="s">
        <v>904</v>
      </c>
      <c r="D2225" t="s">
        <v>906</v>
      </c>
      <c r="E2225" t="s">
        <v>3131</v>
      </c>
      <c r="F2225" t="s">
        <v>569</v>
      </c>
      <c r="G2225" t="s">
        <v>244</v>
      </c>
      <c r="H2225" s="6">
        <v>54839</v>
      </c>
      <c r="I2225" s="6">
        <v>2.3264737336537952E-4</v>
      </c>
      <c r="J2225" s="6">
        <v>969.67425218690187</v>
      </c>
      <c r="K2225" s="6">
        <v>108220</v>
      </c>
      <c r="M2225" s="6">
        <f>SUM(H2225,J2225)</f>
        <v>55808.674252186902</v>
      </c>
      <c r="N2225" s="6">
        <f>K2225</f>
        <v>108220</v>
      </c>
      <c r="O2225" s="6">
        <f>SUM(M2225:N2225)</f>
        <v>164028.6742521869</v>
      </c>
      <c r="P2225" s="8">
        <f>VLOOKUP(F2225,'LEAID Match'!$A$2:$B$436,2,FALSE)</f>
        <v>1800078</v>
      </c>
      <c r="Q2225" s="6">
        <f>COUNTIF($P$2:$P$3691,P2225)</f>
        <v>9</v>
      </c>
    </row>
    <row r="2226" spans="1:17" x14ac:dyDescent="0.2">
      <c r="A2226" s="16">
        <f>P2226</f>
        <v>1800078</v>
      </c>
      <c r="B2226">
        <v>2019</v>
      </c>
      <c r="C2226" t="s">
        <v>904</v>
      </c>
      <c r="D2226" t="s">
        <v>906</v>
      </c>
      <c r="E2226" t="s">
        <v>3132</v>
      </c>
      <c r="F2226" t="s">
        <v>569</v>
      </c>
      <c r="G2226" t="s">
        <v>244</v>
      </c>
      <c r="H2226" s="6">
        <v>58571</v>
      </c>
      <c r="I2226" s="6">
        <v>1.4900430634427549E-4</v>
      </c>
      <c r="J2226" s="6">
        <v>522.26009373668558</v>
      </c>
      <c r="K2226" s="6">
        <v>140645.164758361</v>
      </c>
      <c r="M2226" s="6">
        <f>SUM(H2226,J2226)</f>
        <v>59093.260093736688</v>
      </c>
      <c r="N2226" s="6">
        <f>K2226</f>
        <v>140645.164758361</v>
      </c>
      <c r="O2226" s="6">
        <f>SUM(M2226:N2226)</f>
        <v>199738.4248520977</v>
      </c>
      <c r="P2226" s="8">
        <f>VLOOKUP(F2226,'LEAID Match'!$A$2:$B$436,2,FALSE)</f>
        <v>1800078</v>
      </c>
      <c r="Q2226" s="6">
        <f>COUNTIF($P$2:$P$3691,P2226)</f>
        <v>9</v>
      </c>
    </row>
    <row r="2227" spans="1:17" x14ac:dyDescent="0.2">
      <c r="A2227" s="16">
        <f>P2227</f>
        <v>1800078</v>
      </c>
      <c r="B2227">
        <v>2020</v>
      </c>
      <c r="C2227" t="s">
        <v>904</v>
      </c>
      <c r="D2227" t="s">
        <v>906</v>
      </c>
      <c r="E2227" t="s">
        <v>3133</v>
      </c>
      <c r="F2227" t="s">
        <v>569</v>
      </c>
      <c r="G2227" t="s">
        <v>244</v>
      </c>
      <c r="H2227" s="6">
        <v>45168</v>
      </c>
      <c r="I2227" s="6">
        <v>2.3933202964635439E-4</v>
      </c>
      <c r="J2227" s="6">
        <v>563.86626184681097</v>
      </c>
      <c r="K2227" s="6">
        <v>60307</v>
      </c>
      <c r="M2227" s="6">
        <f>SUM(H2227,J2227)</f>
        <v>45731.866261846808</v>
      </c>
      <c r="N2227" s="6">
        <f>K2227</f>
        <v>60307</v>
      </c>
      <c r="O2227" s="6">
        <f>SUM(M2227:N2227)</f>
        <v>106038.86626184681</v>
      </c>
      <c r="P2227" s="8">
        <f>VLOOKUP(F2227,'LEAID Match'!$A$2:$B$436,2,FALSE)</f>
        <v>1800078</v>
      </c>
      <c r="Q2227" s="6">
        <f>COUNTIF($P$2:$P$3691,P2227)</f>
        <v>9</v>
      </c>
    </row>
    <row r="2228" spans="1:17" x14ac:dyDescent="0.2">
      <c r="A2228" s="16">
        <f>P2228</f>
        <v>1800078</v>
      </c>
      <c r="B2228">
        <v>2021</v>
      </c>
      <c r="C2228" t="s">
        <v>904</v>
      </c>
      <c r="D2228" t="s">
        <v>906</v>
      </c>
      <c r="E2228" t="s">
        <v>3134</v>
      </c>
      <c r="F2228" t="s">
        <v>569</v>
      </c>
      <c r="G2228" t="s">
        <v>244</v>
      </c>
      <c r="H2228" s="6">
        <v>53002</v>
      </c>
      <c r="I2228" s="6">
        <v>2.6183480912930567E-4</v>
      </c>
      <c r="J2228" s="6">
        <v>590.17565977745494</v>
      </c>
      <c r="K2228" s="6">
        <v>116042</v>
      </c>
      <c r="M2228" s="6">
        <f>SUM(H2228,J2228)</f>
        <v>53592.175659777458</v>
      </c>
      <c r="N2228" s="6">
        <f>K2228</f>
        <v>116042</v>
      </c>
      <c r="O2228" s="6">
        <f>SUM(M2228:N2228)</f>
        <v>169634.17565977745</v>
      </c>
      <c r="P2228" s="8">
        <f>VLOOKUP(F2228,'LEAID Match'!$A$2:$B$436,2,FALSE)</f>
        <v>1800078</v>
      </c>
      <c r="Q2228" s="6">
        <f>COUNTIF($P$2:$P$3691,P2228)</f>
        <v>9</v>
      </c>
    </row>
    <row r="2229" spans="1:17" x14ac:dyDescent="0.2">
      <c r="A2229" s="16">
        <f>P2229</f>
        <v>1800078</v>
      </c>
      <c r="B2229">
        <v>2022</v>
      </c>
      <c r="C2229" t="s">
        <v>904</v>
      </c>
      <c r="D2229" t="s">
        <v>906</v>
      </c>
      <c r="E2229" t="s">
        <v>3135</v>
      </c>
      <c r="F2229" t="s">
        <v>569</v>
      </c>
      <c r="G2229" t="s">
        <v>244</v>
      </c>
      <c r="H2229" s="6">
        <v>62380</v>
      </c>
      <c r="I2229" s="6">
        <v>2.9619183339383155E-4</v>
      </c>
      <c r="J2229" s="6">
        <v>653.10299263339857</v>
      </c>
      <c r="K2229" s="6">
        <v>123258</v>
      </c>
      <c r="M2229" s="6">
        <f>SUM(H2229,J2229)</f>
        <v>63033.102992633401</v>
      </c>
      <c r="N2229" s="6">
        <f>K2229</f>
        <v>123258</v>
      </c>
      <c r="O2229" s="6">
        <f>SUM(M2229:N2229)</f>
        <v>186291.10299263342</v>
      </c>
      <c r="P2229" s="8">
        <f>VLOOKUP(F2229,'LEAID Match'!$A$2:$B$436,2,FALSE)</f>
        <v>1800078</v>
      </c>
      <c r="Q2229" s="6">
        <f>COUNTIF($P$2:$P$3691,P2229)</f>
        <v>9</v>
      </c>
    </row>
    <row r="2230" spans="1:17" x14ac:dyDescent="0.2">
      <c r="A2230" s="16">
        <f>P2230</f>
        <v>1800078</v>
      </c>
      <c r="B2230">
        <v>2023</v>
      </c>
      <c r="C2230" t="s">
        <v>904</v>
      </c>
      <c r="D2230" t="s">
        <v>906</v>
      </c>
      <c r="E2230" t="s">
        <v>3136</v>
      </c>
      <c r="F2230" t="s">
        <v>569</v>
      </c>
      <c r="G2230" t="s">
        <v>244</v>
      </c>
      <c r="H2230" s="6">
        <v>66439</v>
      </c>
      <c r="I2230" s="6">
        <v>2.7169900492381296E-4</v>
      </c>
      <c r="J2230" s="6">
        <v>670.28144514704661</v>
      </c>
      <c r="K2230" s="6">
        <v>872410</v>
      </c>
      <c r="M2230" s="6">
        <f>SUM(H2230,J2230)</f>
        <v>67109.281445147048</v>
      </c>
      <c r="N2230" s="6">
        <f>K2230</f>
        <v>872410</v>
      </c>
      <c r="O2230" s="6">
        <f>SUM(M2230:N2230)</f>
        <v>939519.281445147</v>
      </c>
      <c r="P2230" s="8">
        <f>VLOOKUP(F2230,'LEAID Match'!$A$2:$B$436,2,FALSE)</f>
        <v>1800078</v>
      </c>
      <c r="Q2230" s="6">
        <f>COUNTIF($P$2:$P$3691,P2230)</f>
        <v>9</v>
      </c>
    </row>
    <row r="2231" spans="1:17" x14ac:dyDescent="0.2">
      <c r="A2231" s="16">
        <f>P2231</f>
        <v>1811730</v>
      </c>
      <c r="B2231">
        <v>2015</v>
      </c>
      <c r="C2231" t="s">
        <v>904</v>
      </c>
      <c r="D2231" t="s">
        <v>906</v>
      </c>
      <c r="E2231" t="s">
        <v>3137</v>
      </c>
      <c r="F2231" t="s">
        <v>570</v>
      </c>
      <c r="G2231" t="s">
        <v>245</v>
      </c>
      <c r="H2231" s="6">
        <v>64121</v>
      </c>
      <c r="I2231" s="6">
        <v>3.1180163928662728E-4</v>
      </c>
      <c r="J2231" s="6">
        <v>1811.8793258945911</v>
      </c>
      <c r="K2231" s="6">
        <v>263664.45500700001</v>
      </c>
      <c r="M2231" s="6">
        <f>SUM(H2231,J2231)</f>
        <v>65932.879325894595</v>
      </c>
      <c r="N2231" s="6">
        <f>K2231</f>
        <v>263664.45500700001</v>
      </c>
      <c r="O2231" s="6">
        <f>SUM(M2231:N2231)</f>
        <v>329597.33433289459</v>
      </c>
      <c r="P2231" s="8">
        <f>VLOOKUP(F2231,'LEAID Match'!$A$2:$B$436,2,FALSE)</f>
        <v>1811730</v>
      </c>
      <c r="Q2231" s="6">
        <f>COUNTIF($P$2:$P$3691,P2231)</f>
        <v>9</v>
      </c>
    </row>
    <row r="2232" spans="1:17" x14ac:dyDescent="0.2">
      <c r="A2232" s="16">
        <f>P2232</f>
        <v>1811730</v>
      </c>
      <c r="B2232">
        <v>2016</v>
      </c>
      <c r="C2232" t="s">
        <v>904</v>
      </c>
      <c r="D2232" t="s">
        <v>906</v>
      </c>
      <c r="E2232" t="s">
        <v>3138</v>
      </c>
      <c r="F2232" t="s">
        <v>570</v>
      </c>
      <c r="G2232" t="s">
        <v>245</v>
      </c>
      <c r="H2232" s="6">
        <v>73713</v>
      </c>
      <c r="I2232" s="6">
        <v>3.4203737315464461E-4</v>
      </c>
      <c r="J2232" s="6">
        <v>1726.6046596846461</v>
      </c>
      <c r="K2232" s="6">
        <v>303558.16867474699</v>
      </c>
      <c r="M2232" s="6">
        <f>SUM(H2232,J2232)</f>
        <v>75439.604659684643</v>
      </c>
      <c r="N2232" s="6">
        <f>K2232</f>
        <v>303558.16867474699</v>
      </c>
      <c r="O2232" s="6">
        <f>SUM(M2232:N2232)</f>
        <v>378997.77333443164</v>
      </c>
      <c r="P2232" s="8">
        <f>VLOOKUP(F2232,'LEAID Match'!$A$2:$B$436,2,FALSE)</f>
        <v>1811730</v>
      </c>
      <c r="Q2232" s="6">
        <f>COUNTIF($P$2:$P$3691,P2232)</f>
        <v>9</v>
      </c>
    </row>
    <row r="2233" spans="1:17" x14ac:dyDescent="0.2">
      <c r="A2233" s="16">
        <f>P2233</f>
        <v>1811730</v>
      </c>
      <c r="B2233">
        <v>2017</v>
      </c>
      <c r="C2233" t="s">
        <v>904</v>
      </c>
      <c r="D2233" t="s">
        <v>906</v>
      </c>
      <c r="E2233" t="s">
        <v>3139</v>
      </c>
      <c r="F2233" t="s">
        <v>570</v>
      </c>
      <c r="G2233" t="s">
        <v>245</v>
      </c>
      <c r="H2233" s="6">
        <v>80551</v>
      </c>
      <c r="I2233" s="6">
        <v>3.5470051320938292E-4</v>
      </c>
      <c r="J2233" s="6">
        <v>1605.0198222724578</v>
      </c>
      <c r="K2233" s="6">
        <v>308944.14700537198</v>
      </c>
      <c r="M2233" s="6">
        <f>SUM(H2233,J2233)</f>
        <v>82156.019822272458</v>
      </c>
      <c r="N2233" s="6">
        <f>K2233</f>
        <v>308944.14700537198</v>
      </c>
      <c r="O2233" s="6">
        <f>SUM(M2233:N2233)</f>
        <v>391100.16682764445</v>
      </c>
      <c r="P2233" s="8">
        <f>VLOOKUP(F2233,'LEAID Match'!$A$2:$B$436,2,FALSE)</f>
        <v>1811730</v>
      </c>
      <c r="Q2233" s="6">
        <f>COUNTIF($P$2:$P$3691,P2233)</f>
        <v>9</v>
      </c>
    </row>
    <row r="2234" spans="1:17" x14ac:dyDescent="0.2">
      <c r="A2234" s="16">
        <f>P2234</f>
        <v>1811730</v>
      </c>
      <c r="B2234">
        <v>2018</v>
      </c>
      <c r="C2234" t="s">
        <v>904</v>
      </c>
      <c r="D2234" t="s">
        <v>906</v>
      </c>
      <c r="E2234" t="s">
        <v>3140</v>
      </c>
      <c r="F2234" t="s">
        <v>570</v>
      </c>
      <c r="G2234" t="s">
        <v>245</v>
      </c>
      <c r="H2234" s="6">
        <v>79117</v>
      </c>
      <c r="I2234" s="6">
        <v>3.3564365211890683E-4</v>
      </c>
      <c r="J2234" s="6">
        <v>1398.9627420316037</v>
      </c>
      <c r="K2234" s="6">
        <v>390658</v>
      </c>
      <c r="M2234" s="6">
        <f>SUM(H2234,J2234)</f>
        <v>80515.96274203161</v>
      </c>
      <c r="N2234" s="6">
        <f>K2234</f>
        <v>390658</v>
      </c>
      <c r="O2234" s="6">
        <f>SUM(M2234:N2234)</f>
        <v>471173.96274203161</v>
      </c>
      <c r="P2234" s="8">
        <f>VLOOKUP(F2234,'LEAID Match'!$A$2:$B$436,2,FALSE)</f>
        <v>1811730</v>
      </c>
      <c r="Q2234" s="6">
        <f>COUNTIF($P$2:$P$3691,P2234)</f>
        <v>9</v>
      </c>
    </row>
    <row r="2235" spans="1:17" x14ac:dyDescent="0.2">
      <c r="A2235" s="16">
        <f>P2235</f>
        <v>1811730</v>
      </c>
      <c r="B2235">
        <v>2019</v>
      </c>
      <c r="C2235" t="s">
        <v>904</v>
      </c>
      <c r="D2235" t="s">
        <v>906</v>
      </c>
      <c r="E2235" t="s">
        <v>3141</v>
      </c>
      <c r="F2235" t="s">
        <v>570</v>
      </c>
      <c r="G2235" t="s">
        <v>245</v>
      </c>
      <c r="H2235" s="6">
        <v>91763</v>
      </c>
      <c r="I2235" s="6">
        <v>2.3344457432978354E-4</v>
      </c>
      <c r="J2235" s="6">
        <v>818.22323302589132</v>
      </c>
      <c r="K2235" s="6">
        <v>220348.33370988199</v>
      </c>
      <c r="M2235" s="6">
        <f>SUM(H2235,J2235)</f>
        <v>92581.223233025885</v>
      </c>
      <c r="N2235" s="6">
        <f>K2235</f>
        <v>220348.33370988199</v>
      </c>
      <c r="O2235" s="6">
        <f>SUM(M2235:N2235)</f>
        <v>312929.55694290786</v>
      </c>
      <c r="P2235" s="8">
        <f>VLOOKUP(F2235,'LEAID Match'!$A$2:$B$436,2,FALSE)</f>
        <v>1811730</v>
      </c>
      <c r="Q2235" s="6">
        <f>COUNTIF($P$2:$P$3691,P2235)</f>
        <v>9</v>
      </c>
    </row>
    <row r="2236" spans="1:17" x14ac:dyDescent="0.2">
      <c r="A2236" s="16">
        <f>P2236</f>
        <v>1811730</v>
      </c>
      <c r="B2236">
        <v>2020</v>
      </c>
      <c r="C2236" t="s">
        <v>904</v>
      </c>
      <c r="D2236" t="s">
        <v>906</v>
      </c>
      <c r="E2236" t="s">
        <v>3142</v>
      </c>
      <c r="F2236" t="s">
        <v>570</v>
      </c>
      <c r="G2236" t="s">
        <v>245</v>
      </c>
      <c r="H2236" s="6">
        <v>75460</v>
      </c>
      <c r="I2236" s="6">
        <v>3.998404834642646E-4</v>
      </c>
      <c r="J2236" s="6">
        <v>942.02417904180743</v>
      </c>
      <c r="K2236" s="6">
        <v>409429</v>
      </c>
      <c r="M2236" s="6">
        <f>SUM(H2236,J2236)</f>
        <v>76402.024179041808</v>
      </c>
      <c r="N2236" s="6">
        <f>K2236</f>
        <v>409429</v>
      </c>
      <c r="O2236" s="6">
        <f>SUM(M2236:N2236)</f>
        <v>485831.02417904179</v>
      </c>
      <c r="P2236" s="8">
        <f>VLOOKUP(F2236,'LEAID Match'!$A$2:$B$436,2,FALSE)</f>
        <v>1811730</v>
      </c>
      <c r="Q2236" s="6">
        <f>COUNTIF($P$2:$P$3691,P2236)</f>
        <v>9</v>
      </c>
    </row>
    <row r="2237" spans="1:17" x14ac:dyDescent="0.2">
      <c r="A2237" s="16">
        <f>P2237</f>
        <v>1811730</v>
      </c>
      <c r="B2237">
        <v>2021</v>
      </c>
      <c r="C2237" t="s">
        <v>904</v>
      </c>
      <c r="D2237" t="s">
        <v>906</v>
      </c>
      <c r="E2237" t="s">
        <v>3143</v>
      </c>
      <c r="F2237" t="s">
        <v>570</v>
      </c>
      <c r="G2237" t="s">
        <v>245</v>
      </c>
      <c r="H2237" s="6">
        <v>85522</v>
      </c>
      <c r="I2237" s="6">
        <v>4.2248663345452025E-4</v>
      </c>
      <c r="J2237" s="6">
        <v>952.2848718064887</v>
      </c>
      <c r="K2237" s="6">
        <v>658690</v>
      </c>
      <c r="M2237" s="6">
        <f>SUM(H2237,J2237)</f>
        <v>86474.284871806492</v>
      </c>
      <c r="N2237" s="6">
        <f>K2237</f>
        <v>658690</v>
      </c>
      <c r="O2237" s="6">
        <f>SUM(M2237:N2237)</f>
        <v>745164.28487180651</v>
      </c>
      <c r="P2237" s="8">
        <f>VLOOKUP(F2237,'LEAID Match'!$A$2:$B$436,2,FALSE)</f>
        <v>1811730</v>
      </c>
      <c r="Q2237" s="6">
        <f>COUNTIF($P$2:$P$3691,P2237)</f>
        <v>9</v>
      </c>
    </row>
    <row r="2238" spans="1:17" x14ac:dyDescent="0.2">
      <c r="A2238" s="16">
        <f>P2238</f>
        <v>1811730</v>
      </c>
      <c r="B2238">
        <v>2022</v>
      </c>
      <c r="C2238" t="s">
        <v>904</v>
      </c>
      <c r="D2238" t="s">
        <v>906</v>
      </c>
      <c r="E2238" t="s">
        <v>3144</v>
      </c>
      <c r="F2238" t="s">
        <v>570</v>
      </c>
      <c r="G2238" t="s">
        <v>245</v>
      </c>
      <c r="H2238" s="6">
        <v>91014</v>
      </c>
      <c r="I2238" s="6">
        <v>4.3215138705524504E-4</v>
      </c>
      <c r="J2238" s="6">
        <v>952.89380845681535</v>
      </c>
      <c r="K2238" s="6">
        <v>667607</v>
      </c>
      <c r="M2238" s="6">
        <f>SUM(H2238,J2238)</f>
        <v>91966.893808456822</v>
      </c>
      <c r="N2238" s="6">
        <f>K2238</f>
        <v>667607</v>
      </c>
      <c r="O2238" s="6">
        <f>SUM(M2238:N2238)</f>
        <v>759573.89380845684</v>
      </c>
      <c r="P2238" s="8">
        <f>VLOOKUP(F2238,'LEAID Match'!$A$2:$B$436,2,FALSE)</f>
        <v>1811730</v>
      </c>
      <c r="Q2238" s="6">
        <f>COUNTIF($P$2:$P$3691,P2238)</f>
        <v>9</v>
      </c>
    </row>
    <row r="2239" spans="1:17" x14ac:dyDescent="0.2">
      <c r="A2239" s="16">
        <f>P2239</f>
        <v>1811730</v>
      </c>
      <c r="B2239">
        <v>2023</v>
      </c>
      <c r="C2239" t="s">
        <v>904</v>
      </c>
      <c r="D2239" t="s">
        <v>906</v>
      </c>
      <c r="E2239" t="s">
        <v>3145</v>
      </c>
      <c r="F2239" t="s">
        <v>570</v>
      </c>
      <c r="G2239" t="s">
        <v>245</v>
      </c>
      <c r="H2239" s="6">
        <v>105954</v>
      </c>
      <c r="I2239" s="6">
        <v>4.3329364330735982E-4</v>
      </c>
      <c r="J2239" s="6">
        <v>1068.9354180392568</v>
      </c>
      <c r="K2239" s="6">
        <v>1786747</v>
      </c>
      <c r="M2239" s="6">
        <f>SUM(H2239,J2239)</f>
        <v>107022.93541803925</v>
      </c>
      <c r="N2239" s="6">
        <f>K2239</f>
        <v>1786747</v>
      </c>
      <c r="O2239" s="6">
        <f>SUM(M2239:N2239)</f>
        <v>1893769.9354180393</v>
      </c>
      <c r="P2239" s="8">
        <f>VLOOKUP(F2239,'LEAID Match'!$A$2:$B$436,2,FALSE)</f>
        <v>1811730</v>
      </c>
      <c r="Q2239" s="6">
        <f>COUNTIF($P$2:$P$3691,P2239)</f>
        <v>9</v>
      </c>
    </row>
    <row r="2240" spans="1:17" x14ac:dyDescent="0.2">
      <c r="A2240" s="16">
        <f>P2240</f>
        <v>1807080</v>
      </c>
      <c r="B2240">
        <v>2015</v>
      </c>
      <c r="C2240" t="s">
        <v>904</v>
      </c>
      <c r="D2240" t="s">
        <v>906</v>
      </c>
      <c r="E2240" t="s">
        <v>3146</v>
      </c>
      <c r="F2240" t="s">
        <v>571</v>
      </c>
      <c r="G2240" t="s">
        <v>246</v>
      </c>
      <c r="H2240" s="6">
        <v>108777</v>
      </c>
      <c r="I2240" s="6">
        <v>5.2895068568302819E-4</v>
      </c>
      <c r="J2240" s="6">
        <v>3073.732434504077</v>
      </c>
      <c r="K2240" s="6">
        <v>447289.16302453901</v>
      </c>
      <c r="M2240" s="6">
        <f>SUM(H2240,J2240)</f>
        <v>111850.73243450408</v>
      </c>
      <c r="N2240" s="6">
        <f>K2240</f>
        <v>447289.16302453901</v>
      </c>
      <c r="O2240" s="6">
        <f>SUM(M2240:N2240)</f>
        <v>559139.89545904309</v>
      </c>
      <c r="P2240" s="8">
        <f>VLOOKUP(F2240,'LEAID Match'!$A$2:$B$436,2,FALSE)</f>
        <v>1807080</v>
      </c>
      <c r="Q2240" s="6">
        <f>COUNTIF($P$2:$P$3691,P2240)</f>
        <v>9</v>
      </c>
    </row>
    <row r="2241" spans="1:17" x14ac:dyDescent="0.2">
      <c r="A2241" s="16">
        <f>P2241</f>
        <v>1807080</v>
      </c>
      <c r="B2241">
        <v>2016</v>
      </c>
      <c r="C2241" t="s">
        <v>904</v>
      </c>
      <c r="D2241" t="s">
        <v>906</v>
      </c>
      <c r="E2241" t="s">
        <v>3147</v>
      </c>
      <c r="F2241" t="s">
        <v>571</v>
      </c>
      <c r="G2241" t="s">
        <v>246</v>
      </c>
      <c r="H2241" s="6">
        <v>193865</v>
      </c>
      <c r="I2241" s="6">
        <v>8.9955740977338021E-4</v>
      </c>
      <c r="J2241" s="6">
        <v>4540.9658045360229</v>
      </c>
      <c r="K2241" s="6">
        <v>798357.20117387397</v>
      </c>
      <c r="M2241" s="6">
        <f>SUM(H2241,J2241)</f>
        <v>198405.96580453601</v>
      </c>
      <c r="N2241" s="6">
        <f>K2241</f>
        <v>798357.20117387397</v>
      </c>
      <c r="O2241" s="6">
        <f>SUM(M2241:N2241)</f>
        <v>996763.16697840998</v>
      </c>
      <c r="P2241" s="8">
        <f>VLOOKUP(F2241,'LEAID Match'!$A$2:$B$436,2,FALSE)</f>
        <v>1807080</v>
      </c>
      <c r="Q2241" s="6">
        <f>COUNTIF($P$2:$P$3691,P2241)</f>
        <v>9</v>
      </c>
    </row>
    <row r="2242" spans="1:17" x14ac:dyDescent="0.2">
      <c r="A2242" s="16">
        <f>P2242</f>
        <v>1807080</v>
      </c>
      <c r="B2242">
        <v>2017</v>
      </c>
      <c r="C2242" t="s">
        <v>904</v>
      </c>
      <c r="D2242" t="s">
        <v>906</v>
      </c>
      <c r="E2242" t="s">
        <v>3148</v>
      </c>
      <c r="F2242" t="s">
        <v>571</v>
      </c>
      <c r="G2242" t="s">
        <v>246</v>
      </c>
      <c r="H2242" s="6">
        <v>211506</v>
      </c>
      <c r="I2242" s="6">
        <v>9.3135140155756906E-4</v>
      </c>
      <c r="J2242" s="6">
        <v>4214.3650920480004</v>
      </c>
      <c r="K2242" s="6">
        <v>811207.07075664203</v>
      </c>
      <c r="M2242" s="6">
        <f>SUM(H2242,J2242)</f>
        <v>215720.36509204801</v>
      </c>
      <c r="N2242" s="6">
        <f>K2242</f>
        <v>811207.07075664203</v>
      </c>
      <c r="O2242" s="6">
        <f>SUM(M2242:N2242)</f>
        <v>1026927.4358486901</v>
      </c>
      <c r="P2242" s="8">
        <f>VLOOKUP(F2242,'LEAID Match'!$A$2:$B$436,2,FALSE)</f>
        <v>1807080</v>
      </c>
      <c r="Q2242" s="6">
        <f>COUNTIF($P$2:$P$3691,P2242)</f>
        <v>9</v>
      </c>
    </row>
    <row r="2243" spans="1:17" x14ac:dyDescent="0.2">
      <c r="A2243" s="16">
        <f>P2243</f>
        <v>1807080</v>
      </c>
      <c r="B2243">
        <v>2018</v>
      </c>
      <c r="C2243" t="s">
        <v>904</v>
      </c>
      <c r="D2243" t="s">
        <v>906</v>
      </c>
      <c r="E2243" t="s">
        <v>3149</v>
      </c>
      <c r="F2243" t="s">
        <v>571</v>
      </c>
      <c r="G2243" t="s">
        <v>246</v>
      </c>
      <c r="H2243" s="6">
        <v>215076</v>
      </c>
      <c r="I2243" s="6">
        <v>9.1243214635446243E-4</v>
      </c>
      <c r="J2243" s="6">
        <v>3803.0171860053993</v>
      </c>
      <c r="K2243" s="6">
        <v>932311</v>
      </c>
      <c r="M2243" s="6">
        <f>SUM(H2243,J2243)</f>
        <v>218879.0171860054</v>
      </c>
      <c r="N2243" s="6">
        <f>K2243</f>
        <v>932311</v>
      </c>
      <c r="O2243" s="6">
        <f>SUM(M2243:N2243)</f>
        <v>1151190.0171860054</v>
      </c>
      <c r="P2243" s="8">
        <f>VLOOKUP(F2243,'LEAID Match'!$A$2:$B$436,2,FALSE)</f>
        <v>1807080</v>
      </c>
      <c r="Q2243" s="6">
        <f>COUNTIF($P$2:$P$3691,P2243)</f>
        <v>9</v>
      </c>
    </row>
    <row r="2244" spans="1:17" x14ac:dyDescent="0.2">
      <c r="A2244" s="16">
        <f>P2244</f>
        <v>1807080</v>
      </c>
      <c r="B2244">
        <v>2019</v>
      </c>
      <c r="C2244" t="s">
        <v>904</v>
      </c>
      <c r="D2244" t="s">
        <v>906</v>
      </c>
      <c r="E2244" t="s">
        <v>3150</v>
      </c>
      <c r="F2244" t="s">
        <v>571</v>
      </c>
      <c r="G2244" t="s">
        <v>246</v>
      </c>
      <c r="H2244" s="6">
        <v>228127</v>
      </c>
      <c r="I2244" s="6">
        <v>5.803538507691611E-4</v>
      </c>
      <c r="J2244" s="6">
        <v>2034.1402469459097</v>
      </c>
      <c r="K2244" s="6">
        <v>547795.99974101095</v>
      </c>
      <c r="M2244" s="6">
        <f>SUM(H2244,J2244)</f>
        <v>230161.1402469459</v>
      </c>
      <c r="N2244" s="6">
        <f>K2244</f>
        <v>547795.99974101095</v>
      </c>
      <c r="O2244" s="6">
        <f>SUM(M2244:N2244)</f>
        <v>777957.13998795685</v>
      </c>
      <c r="P2244" s="8">
        <f>VLOOKUP(F2244,'LEAID Match'!$A$2:$B$436,2,FALSE)</f>
        <v>1807080</v>
      </c>
      <c r="Q2244" s="6">
        <f>COUNTIF($P$2:$P$3691,P2244)</f>
        <v>9</v>
      </c>
    </row>
    <row r="2245" spans="1:17" x14ac:dyDescent="0.2">
      <c r="A2245" s="16">
        <f>P2245</f>
        <v>1807080</v>
      </c>
      <c r="B2245">
        <v>2020</v>
      </c>
      <c r="C2245" t="s">
        <v>904</v>
      </c>
      <c r="D2245" t="s">
        <v>906</v>
      </c>
      <c r="E2245" t="s">
        <v>3151</v>
      </c>
      <c r="F2245" t="s">
        <v>571</v>
      </c>
      <c r="G2245" t="s">
        <v>246</v>
      </c>
      <c r="H2245" s="6">
        <v>176044</v>
      </c>
      <c r="I2245" s="6">
        <v>9.3280569932391983E-4</v>
      </c>
      <c r="J2245" s="6">
        <v>2197.6902276071551</v>
      </c>
      <c r="K2245" s="6">
        <v>1001917</v>
      </c>
      <c r="M2245" s="6">
        <f>SUM(H2245,J2245)</f>
        <v>178241.69022760715</v>
      </c>
      <c r="N2245" s="6">
        <f>K2245</f>
        <v>1001917</v>
      </c>
      <c r="O2245" s="6">
        <f>SUM(M2245:N2245)</f>
        <v>1180158.6902276073</v>
      </c>
      <c r="P2245" s="8">
        <f>VLOOKUP(F2245,'LEAID Match'!$A$2:$B$436,2,FALSE)</f>
        <v>1807080</v>
      </c>
      <c r="Q2245" s="6">
        <f>COUNTIF($P$2:$P$3691,P2245)</f>
        <v>9</v>
      </c>
    </row>
    <row r="2246" spans="1:17" x14ac:dyDescent="0.2">
      <c r="A2246" s="16">
        <f>P2246</f>
        <v>1807080</v>
      </c>
      <c r="B2246">
        <v>2021</v>
      </c>
      <c r="C2246" t="s">
        <v>904</v>
      </c>
      <c r="D2246" t="s">
        <v>906</v>
      </c>
      <c r="E2246" t="s">
        <v>3152</v>
      </c>
      <c r="F2246" t="s">
        <v>571</v>
      </c>
      <c r="G2246" t="s">
        <v>246</v>
      </c>
      <c r="H2246" s="6">
        <v>177352</v>
      </c>
      <c r="I2246" s="6">
        <v>8.7613537354629307E-4</v>
      </c>
      <c r="J2246" s="6">
        <v>1974.8091319733446</v>
      </c>
      <c r="K2246" s="6">
        <v>1628424</v>
      </c>
      <c r="M2246" s="6">
        <f>SUM(H2246,J2246)</f>
        <v>179326.80913197334</v>
      </c>
      <c r="N2246" s="6">
        <f>K2246</f>
        <v>1628424</v>
      </c>
      <c r="O2246" s="6">
        <f>SUM(M2246:N2246)</f>
        <v>1807750.8091319734</v>
      </c>
      <c r="P2246" s="8">
        <f>VLOOKUP(F2246,'LEAID Match'!$A$2:$B$436,2,FALSE)</f>
        <v>1807080</v>
      </c>
      <c r="Q2246" s="6">
        <f>COUNTIF($P$2:$P$3691,P2246)</f>
        <v>9</v>
      </c>
    </row>
    <row r="2247" spans="1:17" x14ac:dyDescent="0.2">
      <c r="A2247" s="16">
        <f>P2247</f>
        <v>1807080</v>
      </c>
      <c r="B2247">
        <v>2022</v>
      </c>
      <c r="C2247" t="s">
        <v>904</v>
      </c>
      <c r="D2247" t="s">
        <v>906</v>
      </c>
      <c r="E2247" t="s">
        <v>3153</v>
      </c>
      <c r="F2247" t="s">
        <v>571</v>
      </c>
      <c r="G2247" t="s">
        <v>246</v>
      </c>
      <c r="H2247" s="6">
        <v>201162</v>
      </c>
      <c r="I2247" s="6">
        <v>9.551545621861164E-4</v>
      </c>
      <c r="J2247" s="6">
        <v>2106.1158096203867</v>
      </c>
      <c r="K2247" s="6">
        <v>1537542</v>
      </c>
      <c r="M2247" s="6">
        <f>SUM(H2247,J2247)</f>
        <v>203268.11580962039</v>
      </c>
      <c r="N2247" s="6">
        <f>K2247</f>
        <v>1537542</v>
      </c>
      <c r="O2247" s="6">
        <f>SUM(M2247:N2247)</f>
        <v>1740810.1158096204</v>
      </c>
      <c r="P2247" s="8">
        <f>VLOOKUP(F2247,'LEAID Match'!$A$2:$B$436,2,FALSE)</f>
        <v>1807080</v>
      </c>
      <c r="Q2247" s="6">
        <f>COUNTIF($P$2:$P$3691,P2247)</f>
        <v>9</v>
      </c>
    </row>
    <row r="2248" spans="1:17" x14ac:dyDescent="0.2">
      <c r="A2248" s="16">
        <f>P2248</f>
        <v>1807080</v>
      </c>
      <c r="B2248">
        <v>2023</v>
      </c>
      <c r="C2248" t="s">
        <v>904</v>
      </c>
      <c r="D2248" t="s">
        <v>906</v>
      </c>
      <c r="E2248" t="s">
        <v>3154</v>
      </c>
      <c r="F2248" t="s">
        <v>571</v>
      </c>
      <c r="G2248" t="s">
        <v>246</v>
      </c>
      <c r="H2248" s="6">
        <v>244989</v>
      </c>
      <c r="I2248" s="6">
        <v>1.0018704001758007E-3</v>
      </c>
      <c r="J2248" s="6">
        <v>2471.6142772337002</v>
      </c>
      <c r="K2248" s="6">
        <v>4111338</v>
      </c>
      <c r="M2248" s="6">
        <f>SUM(H2248,J2248)</f>
        <v>247460.61427723369</v>
      </c>
      <c r="N2248" s="6">
        <f>K2248</f>
        <v>4111338</v>
      </c>
      <c r="O2248" s="6">
        <f>SUM(M2248:N2248)</f>
        <v>4358798.6142772334</v>
      </c>
      <c r="P2248" s="8">
        <f>VLOOKUP(F2248,'LEAID Match'!$A$2:$B$436,2,FALSE)</f>
        <v>1807080</v>
      </c>
      <c r="Q2248" s="6">
        <f>COUNTIF($P$2:$P$3691,P2248)</f>
        <v>9</v>
      </c>
    </row>
    <row r="2249" spans="1:17" x14ac:dyDescent="0.2">
      <c r="A2249" s="16">
        <f>P2249</f>
        <v>1803180</v>
      </c>
      <c r="B2249">
        <v>2015</v>
      </c>
      <c r="C2249" t="s">
        <v>904</v>
      </c>
      <c r="D2249" t="s">
        <v>906</v>
      </c>
      <c r="E2249" t="s">
        <v>3155</v>
      </c>
      <c r="F2249" t="s">
        <v>572</v>
      </c>
      <c r="G2249" t="s">
        <v>247</v>
      </c>
      <c r="H2249" s="6">
        <v>179665</v>
      </c>
      <c r="I2249" s="6">
        <v>8.7365826363331649E-4</v>
      </c>
      <c r="J2249" s="6">
        <v>5076.8281699732024</v>
      </c>
      <c r="K2249" s="6">
        <v>738779.40626055002</v>
      </c>
      <c r="M2249" s="6">
        <f>SUM(H2249,J2249)</f>
        <v>184741.82816997319</v>
      </c>
      <c r="N2249" s="6">
        <f>K2249</f>
        <v>738779.40626055002</v>
      </c>
      <c r="O2249" s="6">
        <f>SUM(M2249:N2249)</f>
        <v>923521.23443052324</v>
      </c>
      <c r="P2249" s="8">
        <f>VLOOKUP(F2249,'LEAID Match'!$A$2:$B$436,2,FALSE)</f>
        <v>1803180</v>
      </c>
      <c r="Q2249" s="6">
        <f>COUNTIF($P$2:$P$3691,P2249)</f>
        <v>9</v>
      </c>
    </row>
    <row r="2250" spans="1:17" x14ac:dyDescent="0.2">
      <c r="A2250" s="16">
        <f>P2250</f>
        <v>1803180</v>
      </c>
      <c r="B2250">
        <v>2016</v>
      </c>
      <c r="C2250" t="s">
        <v>904</v>
      </c>
      <c r="D2250" t="s">
        <v>906</v>
      </c>
      <c r="E2250" t="s">
        <v>3156</v>
      </c>
      <c r="F2250" t="s">
        <v>572</v>
      </c>
      <c r="G2250" t="s">
        <v>247</v>
      </c>
      <c r="H2250" s="6">
        <v>194768</v>
      </c>
      <c r="I2250" s="6">
        <v>9.0374744067645897E-4</v>
      </c>
      <c r="J2250" s="6">
        <v>4562.1170805347647</v>
      </c>
      <c r="K2250" s="6">
        <v>802075.85360035696</v>
      </c>
      <c r="M2250" s="6">
        <f>SUM(H2250,J2250)</f>
        <v>199330.11708053475</v>
      </c>
      <c r="N2250" s="6">
        <f>K2250</f>
        <v>802075.85360035696</v>
      </c>
      <c r="O2250" s="6">
        <f>SUM(M2250:N2250)</f>
        <v>1001405.9706808918</v>
      </c>
      <c r="P2250" s="8">
        <f>VLOOKUP(F2250,'LEAID Match'!$A$2:$B$436,2,FALSE)</f>
        <v>1803180</v>
      </c>
      <c r="Q2250" s="6">
        <f>COUNTIF($P$2:$P$3691,P2250)</f>
        <v>9</v>
      </c>
    </row>
    <row r="2251" spans="1:17" x14ac:dyDescent="0.2">
      <c r="A2251" s="16">
        <f>P2251</f>
        <v>1803180</v>
      </c>
      <c r="B2251">
        <v>2017</v>
      </c>
      <c r="C2251" t="s">
        <v>904</v>
      </c>
      <c r="D2251" t="s">
        <v>906</v>
      </c>
      <c r="E2251" t="s">
        <v>3157</v>
      </c>
      <c r="F2251" t="s">
        <v>572</v>
      </c>
      <c r="G2251" t="s">
        <v>247</v>
      </c>
      <c r="H2251" s="6">
        <v>187838</v>
      </c>
      <c r="I2251" s="6">
        <v>8.271310722427291E-4</v>
      </c>
      <c r="J2251" s="6">
        <v>3742.768101898349</v>
      </c>
      <c r="K2251" s="6">
        <v>720431.16392341699</v>
      </c>
      <c r="M2251" s="6">
        <f>SUM(H2251,J2251)</f>
        <v>191580.76810189834</v>
      </c>
      <c r="N2251" s="6">
        <f>K2251</f>
        <v>720431.16392341699</v>
      </c>
      <c r="O2251" s="6">
        <f>SUM(M2251:N2251)</f>
        <v>912011.93202531536</v>
      </c>
      <c r="P2251" s="8">
        <f>VLOOKUP(F2251,'LEAID Match'!$A$2:$B$436,2,FALSE)</f>
        <v>1803180</v>
      </c>
      <c r="Q2251" s="6">
        <f>COUNTIF($P$2:$P$3691,P2251)</f>
        <v>9</v>
      </c>
    </row>
    <row r="2252" spans="1:17" x14ac:dyDescent="0.2">
      <c r="A2252" s="16">
        <f>P2252</f>
        <v>1803180</v>
      </c>
      <c r="B2252">
        <v>2018</v>
      </c>
      <c r="C2252" t="s">
        <v>904</v>
      </c>
      <c r="D2252" t="s">
        <v>906</v>
      </c>
      <c r="E2252" t="s">
        <v>3158</v>
      </c>
      <c r="F2252" t="s">
        <v>572</v>
      </c>
      <c r="G2252" t="s">
        <v>247</v>
      </c>
      <c r="H2252" s="6">
        <v>184163</v>
      </c>
      <c r="I2252" s="6">
        <v>7.8128773721417954E-4</v>
      </c>
      <c r="J2252" s="6">
        <v>3256.4072887087004</v>
      </c>
      <c r="K2252" s="6">
        <v>942500</v>
      </c>
      <c r="M2252" s="6">
        <f>SUM(H2252,J2252)</f>
        <v>187419.40728870869</v>
      </c>
      <c r="N2252" s="6">
        <f>K2252</f>
        <v>942500</v>
      </c>
      <c r="O2252" s="6">
        <f>SUM(M2252:N2252)</f>
        <v>1129919.4072887087</v>
      </c>
      <c r="P2252" s="8">
        <f>VLOOKUP(F2252,'LEAID Match'!$A$2:$B$436,2,FALSE)</f>
        <v>1803180</v>
      </c>
      <c r="Q2252" s="6">
        <f>COUNTIF($P$2:$P$3691,P2252)</f>
        <v>9</v>
      </c>
    </row>
    <row r="2253" spans="1:17" x14ac:dyDescent="0.2">
      <c r="A2253" s="16">
        <f>P2253</f>
        <v>1803180</v>
      </c>
      <c r="B2253">
        <v>2019</v>
      </c>
      <c r="C2253" t="s">
        <v>904</v>
      </c>
      <c r="D2253" t="s">
        <v>906</v>
      </c>
      <c r="E2253" t="s">
        <v>3159</v>
      </c>
      <c r="F2253" t="s">
        <v>572</v>
      </c>
      <c r="G2253" t="s">
        <v>247</v>
      </c>
      <c r="H2253" s="6">
        <v>194268</v>
      </c>
      <c r="I2253" s="6">
        <v>4.9421673840108096E-4</v>
      </c>
      <c r="J2253" s="6">
        <v>1732.2296680957888</v>
      </c>
      <c r="K2253" s="6">
        <v>466491.17937678</v>
      </c>
      <c r="M2253" s="6">
        <f>SUM(H2253,J2253)</f>
        <v>196000.2296680958</v>
      </c>
      <c r="N2253" s="6">
        <f>K2253</f>
        <v>466491.17937678</v>
      </c>
      <c r="O2253" s="6">
        <f>SUM(M2253:N2253)</f>
        <v>662491.40904487576</v>
      </c>
      <c r="P2253" s="8">
        <f>VLOOKUP(F2253,'LEAID Match'!$A$2:$B$436,2,FALSE)</f>
        <v>1803180</v>
      </c>
      <c r="Q2253" s="6">
        <f>COUNTIF($P$2:$P$3691,P2253)</f>
        <v>9</v>
      </c>
    </row>
    <row r="2254" spans="1:17" x14ac:dyDescent="0.2">
      <c r="A2254" s="16">
        <f>P2254</f>
        <v>1803180</v>
      </c>
      <c r="B2254">
        <v>2020</v>
      </c>
      <c r="C2254" t="s">
        <v>904</v>
      </c>
      <c r="D2254" t="s">
        <v>906</v>
      </c>
      <c r="E2254" t="s">
        <v>3160</v>
      </c>
      <c r="F2254" t="s">
        <v>572</v>
      </c>
      <c r="G2254" t="s">
        <v>247</v>
      </c>
      <c r="H2254" s="6">
        <v>151916</v>
      </c>
      <c r="I2254" s="6">
        <v>8.049584798033026E-4</v>
      </c>
      <c r="J2254" s="6">
        <v>1896.4821784165808</v>
      </c>
      <c r="K2254" s="6">
        <v>1009297</v>
      </c>
      <c r="M2254" s="6">
        <f>SUM(H2254,J2254)</f>
        <v>153812.48217841657</v>
      </c>
      <c r="N2254" s="6">
        <f>K2254</f>
        <v>1009297</v>
      </c>
      <c r="O2254" s="6">
        <f>SUM(M2254:N2254)</f>
        <v>1163109.4821784166</v>
      </c>
      <c r="P2254" s="8">
        <f>VLOOKUP(F2254,'LEAID Match'!$A$2:$B$436,2,FALSE)</f>
        <v>1803180</v>
      </c>
      <c r="Q2254" s="6">
        <f>COUNTIF($P$2:$P$3691,P2254)</f>
        <v>9</v>
      </c>
    </row>
    <row r="2255" spans="1:17" x14ac:dyDescent="0.2">
      <c r="A2255" s="16">
        <f>P2255</f>
        <v>1803180</v>
      </c>
      <c r="B2255">
        <v>2021</v>
      </c>
      <c r="C2255" t="s">
        <v>904</v>
      </c>
      <c r="D2255" t="s">
        <v>906</v>
      </c>
      <c r="E2255" t="s">
        <v>3161</v>
      </c>
      <c r="F2255" t="s">
        <v>572</v>
      </c>
      <c r="G2255" t="s">
        <v>247</v>
      </c>
      <c r="H2255" s="6">
        <v>155505</v>
      </c>
      <c r="I2255" s="6">
        <v>7.6820916179866198E-4</v>
      </c>
      <c r="J2255" s="6">
        <v>1731.543450694184</v>
      </c>
      <c r="K2255" s="6">
        <v>1700032</v>
      </c>
      <c r="M2255" s="6">
        <f>SUM(H2255,J2255)</f>
        <v>157236.54345069418</v>
      </c>
      <c r="N2255" s="6">
        <f>K2255</f>
        <v>1700032</v>
      </c>
      <c r="O2255" s="6">
        <f>SUM(M2255:N2255)</f>
        <v>1857268.5434506941</v>
      </c>
      <c r="P2255" s="8">
        <f>VLOOKUP(F2255,'LEAID Match'!$A$2:$B$436,2,FALSE)</f>
        <v>1803180</v>
      </c>
      <c r="Q2255" s="6">
        <f>COUNTIF($P$2:$P$3691,P2255)</f>
        <v>9</v>
      </c>
    </row>
    <row r="2256" spans="1:17" x14ac:dyDescent="0.2">
      <c r="A2256" s="16">
        <f>P2256</f>
        <v>1803180</v>
      </c>
      <c r="B2256">
        <v>2022</v>
      </c>
      <c r="C2256" t="s">
        <v>904</v>
      </c>
      <c r="D2256" t="s">
        <v>906</v>
      </c>
      <c r="E2256" t="s">
        <v>3162</v>
      </c>
      <c r="F2256" t="s">
        <v>572</v>
      </c>
      <c r="G2256" t="s">
        <v>247</v>
      </c>
      <c r="H2256" s="6">
        <v>161623</v>
      </c>
      <c r="I2256" s="6">
        <v>7.6741604181807053E-4</v>
      </c>
      <c r="J2256" s="6">
        <v>1692.1523722088455</v>
      </c>
      <c r="K2256" s="6">
        <v>1691343</v>
      </c>
      <c r="M2256" s="6">
        <f>SUM(H2256,J2256)</f>
        <v>163315.15237220883</v>
      </c>
      <c r="N2256" s="6">
        <f>K2256</f>
        <v>1691343</v>
      </c>
      <c r="O2256" s="6">
        <f>SUM(M2256:N2256)</f>
        <v>1854658.1523722089</v>
      </c>
      <c r="P2256" s="8">
        <f>VLOOKUP(F2256,'LEAID Match'!$A$2:$B$436,2,FALSE)</f>
        <v>1803180</v>
      </c>
      <c r="Q2256" s="6">
        <f>COUNTIF($P$2:$P$3691,P2256)</f>
        <v>9</v>
      </c>
    </row>
    <row r="2257" spans="1:17" x14ac:dyDescent="0.2">
      <c r="A2257" s="16">
        <f>P2257</f>
        <v>1803180</v>
      </c>
      <c r="B2257">
        <v>2023</v>
      </c>
      <c r="C2257" t="s">
        <v>904</v>
      </c>
      <c r="D2257" t="s">
        <v>906</v>
      </c>
      <c r="E2257" t="s">
        <v>3163</v>
      </c>
      <c r="F2257" t="s">
        <v>572</v>
      </c>
      <c r="G2257" t="s">
        <v>247</v>
      </c>
      <c r="H2257" s="6">
        <v>213514</v>
      </c>
      <c r="I2257" s="6">
        <v>8.7315494419396738E-4</v>
      </c>
      <c r="J2257" s="6">
        <v>2154.0732473265175</v>
      </c>
      <c r="K2257" s="6">
        <v>4939281</v>
      </c>
      <c r="M2257" s="6">
        <f>SUM(H2257,J2257)</f>
        <v>215668.07324732651</v>
      </c>
      <c r="N2257" s="6">
        <f>K2257</f>
        <v>4939281</v>
      </c>
      <c r="O2257" s="6">
        <f>SUM(M2257:N2257)</f>
        <v>5154949.0732473265</v>
      </c>
      <c r="P2257" s="8">
        <f>VLOOKUP(F2257,'LEAID Match'!$A$2:$B$436,2,FALSE)</f>
        <v>1803180</v>
      </c>
      <c r="Q2257" s="6">
        <f>COUNTIF($P$2:$P$3691,P2257)</f>
        <v>9</v>
      </c>
    </row>
    <row r="2258" spans="1:17" x14ac:dyDescent="0.2">
      <c r="A2258" s="16">
        <f>P2258</f>
        <v>1801770</v>
      </c>
      <c r="B2258">
        <v>2015</v>
      </c>
      <c r="C2258" t="s">
        <v>904</v>
      </c>
      <c r="D2258" t="s">
        <v>906</v>
      </c>
      <c r="E2258" t="s">
        <v>3164</v>
      </c>
      <c r="F2258" t="s">
        <v>573</v>
      </c>
      <c r="G2258" t="s">
        <v>248</v>
      </c>
      <c r="H2258" s="6">
        <v>307623</v>
      </c>
      <c r="I2258" s="6">
        <v>1.4958805334020077E-3</v>
      </c>
      <c r="J2258" s="6">
        <v>8692.5617795990674</v>
      </c>
      <c r="K2258" s="6">
        <v>1264940.51313327</v>
      </c>
      <c r="M2258" s="6">
        <f>SUM(H2258,J2258)</f>
        <v>316315.56177959905</v>
      </c>
      <c r="N2258" s="6">
        <f>K2258</f>
        <v>1264940.51313327</v>
      </c>
      <c r="O2258" s="6">
        <f>SUM(M2258:N2258)</f>
        <v>1581256.0749128689</v>
      </c>
      <c r="P2258" s="8">
        <f>VLOOKUP(F2258,'LEAID Match'!$A$2:$B$436,2,FALSE)</f>
        <v>1801770</v>
      </c>
      <c r="Q2258" s="6">
        <f>COUNTIF($P$2:$P$3691,P2258)</f>
        <v>9</v>
      </c>
    </row>
    <row r="2259" spans="1:17" x14ac:dyDescent="0.2">
      <c r="A2259" s="16">
        <f>P2259</f>
        <v>1801770</v>
      </c>
      <c r="B2259">
        <v>2016</v>
      </c>
      <c r="C2259" t="s">
        <v>904</v>
      </c>
      <c r="D2259" t="s">
        <v>906</v>
      </c>
      <c r="E2259" t="s">
        <v>3165</v>
      </c>
      <c r="F2259" t="s">
        <v>573</v>
      </c>
      <c r="G2259" t="s">
        <v>248</v>
      </c>
      <c r="H2259" s="6">
        <v>312136</v>
      </c>
      <c r="I2259" s="6">
        <v>1.4483493753747391E-3</v>
      </c>
      <c r="J2259" s="6">
        <v>7311.2676468916834</v>
      </c>
      <c r="K2259" s="6">
        <v>1285410.0706450799</v>
      </c>
      <c r="M2259" s="6">
        <f>SUM(H2259,J2259)</f>
        <v>319447.26764689171</v>
      </c>
      <c r="N2259" s="6">
        <f>K2259</f>
        <v>1285410.0706450799</v>
      </c>
      <c r="O2259" s="6">
        <f>SUM(M2259:N2259)</f>
        <v>1604857.3382919717</v>
      </c>
      <c r="P2259" s="8">
        <f>VLOOKUP(F2259,'LEAID Match'!$A$2:$B$436,2,FALSE)</f>
        <v>1801770</v>
      </c>
      <c r="Q2259" s="6">
        <f>COUNTIF($P$2:$P$3691,P2259)</f>
        <v>9</v>
      </c>
    </row>
    <row r="2260" spans="1:17" x14ac:dyDescent="0.2">
      <c r="A2260" s="16">
        <f>P2260</f>
        <v>1801770</v>
      </c>
      <c r="B2260">
        <v>2017</v>
      </c>
      <c r="C2260" t="s">
        <v>904</v>
      </c>
      <c r="D2260" t="s">
        <v>906</v>
      </c>
      <c r="E2260" t="s">
        <v>3166</v>
      </c>
      <c r="F2260" t="s">
        <v>573</v>
      </c>
      <c r="G2260" t="s">
        <v>248</v>
      </c>
      <c r="H2260" s="6">
        <v>315584</v>
      </c>
      <c r="I2260" s="6">
        <v>1.3896513607611315E-3</v>
      </c>
      <c r="J2260" s="6">
        <v>6288.1724074441199</v>
      </c>
      <c r="K2260" s="6">
        <v>1210386.33522294</v>
      </c>
      <c r="M2260" s="6">
        <f>SUM(H2260,J2260)</f>
        <v>321872.1724074441</v>
      </c>
      <c r="N2260" s="6">
        <f>K2260</f>
        <v>1210386.33522294</v>
      </c>
      <c r="O2260" s="6">
        <f>SUM(M2260:N2260)</f>
        <v>1532258.5076303841</v>
      </c>
      <c r="P2260" s="8">
        <f>VLOOKUP(F2260,'LEAID Match'!$A$2:$B$436,2,FALSE)</f>
        <v>1801770</v>
      </c>
      <c r="Q2260" s="6">
        <f>COUNTIF($P$2:$P$3691,P2260)</f>
        <v>9</v>
      </c>
    </row>
    <row r="2261" spans="1:17" x14ac:dyDescent="0.2">
      <c r="A2261" s="16">
        <f>P2261</f>
        <v>1801770</v>
      </c>
      <c r="B2261">
        <v>2018</v>
      </c>
      <c r="C2261" t="s">
        <v>904</v>
      </c>
      <c r="D2261" t="s">
        <v>906</v>
      </c>
      <c r="E2261" t="s">
        <v>3167</v>
      </c>
      <c r="F2261" t="s">
        <v>573</v>
      </c>
      <c r="G2261" t="s">
        <v>248</v>
      </c>
      <c r="H2261" s="6">
        <v>352510</v>
      </c>
      <c r="I2261" s="6">
        <v>1.4954781375486413E-3</v>
      </c>
      <c r="J2261" s="6">
        <v>6233.1528773027367</v>
      </c>
      <c r="K2261" s="6">
        <v>1500124</v>
      </c>
      <c r="M2261" s="6">
        <f>SUM(H2261,J2261)</f>
        <v>358743.15287730272</v>
      </c>
      <c r="N2261" s="6">
        <f>K2261</f>
        <v>1500124</v>
      </c>
      <c r="O2261" s="6">
        <f>SUM(M2261:N2261)</f>
        <v>1858867.1528773028</v>
      </c>
      <c r="P2261" s="8">
        <f>VLOOKUP(F2261,'LEAID Match'!$A$2:$B$436,2,FALSE)</f>
        <v>1801770</v>
      </c>
      <c r="Q2261" s="6">
        <f>COUNTIF($P$2:$P$3691,P2261)</f>
        <v>9</v>
      </c>
    </row>
    <row r="2262" spans="1:17" x14ac:dyDescent="0.2">
      <c r="A2262" s="16">
        <f>P2262</f>
        <v>1801770</v>
      </c>
      <c r="B2262">
        <v>2019</v>
      </c>
      <c r="C2262" t="s">
        <v>904</v>
      </c>
      <c r="D2262" t="s">
        <v>906</v>
      </c>
      <c r="E2262" t="s">
        <v>3168</v>
      </c>
      <c r="F2262" t="s">
        <v>573</v>
      </c>
      <c r="G2262" t="s">
        <v>248</v>
      </c>
      <c r="H2262" s="6">
        <v>357529</v>
      </c>
      <c r="I2262" s="6">
        <v>9.0955183696645901E-4</v>
      </c>
      <c r="J2262" s="6">
        <v>3187.979188567439</v>
      </c>
      <c r="K2262" s="6">
        <v>858525.97891264001</v>
      </c>
      <c r="M2262" s="6">
        <f>SUM(H2262,J2262)</f>
        <v>360716.97918856743</v>
      </c>
      <c r="N2262" s="6">
        <f>K2262</f>
        <v>858525.97891264001</v>
      </c>
      <c r="O2262" s="6">
        <f>SUM(M2262:N2262)</f>
        <v>1219242.9581012074</v>
      </c>
      <c r="P2262" s="8">
        <f>VLOOKUP(F2262,'LEAID Match'!$A$2:$B$436,2,FALSE)</f>
        <v>1801770</v>
      </c>
      <c r="Q2262" s="6">
        <f>COUNTIF($P$2:$P$3691,P2262)</f>
        <v>9</v>
      </c>
    </row>
    <row r="2263" spans="1:17" x14ac:dyDescent="0.2">
      <c r="A2263" s="16">
        <f>P2263</f>
        <v>1801770</v>
      </c>
      <c r="B2263">
        <v>2020</v>
      </c>
      <c r="C2263" t="s">
        <v>904</v>
      </c>
      <c r="D2263" t="s">
        <v>906</v>
      </c>
      <c r="E2263" t="s">
        <v>3169</v>
      </c>
      <c r="F2263" t="s">
        <v>573</v>
      </c>
      <c r="G2263" t="s">
        <v>248</v>
      </c>
      <c r="H2263" s="6">
        <v>262256</v>
      </c>
      <c r="I2263" s="6">
        <v>1.3896178880387514E-3</v>
      </c>
      <c r="J2263" s="6">
        <v>3273.9397442192981</v>
      </c>
      <c r="K2263" s="6">
        <v>1523123</v>
      </c>
      <c r="M2263" s="6">
        <f>SUM(H2263,J2263)</f>
        <v>265529.9397442193</v>
      </c>
      <c r="N2263" s="6">
        <f>K2263</f>
        <v>1523123</v>
      </c>
      <c r="O2263" s="6">
        <f>SUM(M2263:N2263)</f>
        <v>1788652.9397442192</v>
      </c>
      <c r="P2263" s="8">
        <f>VLOOKUP(F2263,'LEAID Match'!$A$2:$B$436,2,FALSE)</f>
        <v>1801770</v>
      </c>
      <c r="Q2263" s="6">
        <f>COUNTIF($P$2:$P$3691,P2263)</f>
        <v>9</v>
      </c>
    </row>
    <row r="2264" spans="1:17" x14ac:dyDescent="0.2">
      <c r="A2264" s="16">
        <f>P2264</f>
        <v>1801770</v>
      </c>
      <c r="B2264">
        <v>2021</v>
      </c>
      <c r="C2264" t="s">
        <v>904</v>
      </c>
      <c r="D2264" t="s">
        <v>906</v>
      </c>
      <c r="E2264" t="s">
        <v>3170</v>
      </c>
      <c r="F2264" t="s">
        <v>573</v>
      </c>
      <c r="G2264" t="s">
        <v>248</v>
      </c>
      <c r="H2264" s="6">
        <v>283999</v>
      </c>
      <c r="I2264" s="6">
        <v>1.4029814716032165E-3</v>
      </c>
      <c r="J2264" s="6">
        <v>3162.3202369936503</v>
      </c>
      <c r="K2264" s="6">
        <v>2434485</v>
      </c>
      <c r="M2264" s="6">
        <f>SUM(H2264,J2264)</f>
        <v>287161.32023699366</v>
      </c>
      <c r="N2264" s="6">
        <f>K2264</f>
        <v>2434485</v>
      </c>
      <c r="O2264" s="6">
        <f>SUM(M2264:N2264)</f>
        <v>2721646.3202369935</v>
      </c>
      <c r="P2264" s="8">
        <f>VLOOKUP(F2264,'LEAID Match'!$A$2:$B$436,2,FALSE)</f>
        <v>1801770</v>
      </c>
      <c r="Q2264" s="6">
        <f>COUNTIF($P$2:$P$3691,P2264)</f>
        <v>9</v>
      </c>
    </row>
    <row r="2265" spans="1:17" x14ac:dyDescent="0.2">
      <c r="A2265" s="16">
        <f>P2265</f>
        <v>1801770</v>
      </c>
      <c r="B2265">
        <v>2022</v>
      </c>
      <c r="C2265" t="s">
        <v>904</v>
      </c>
      <c r="D2265" t="s">
        <v>906</v>
      </c>
      <c r="E2265" t="s">
        <v>3171</v>
      </c>
      <c r="F2265" t="s">
        <v>573</v>
      </c>
      <c r="G2265" t="s">
        <v>248</v>
      </c>
      <c r="H2265" s="6">
        <v>294890</v>
      </c>
      <c r="I2265" s="6">
        <v>1.4001925256413431E-3</v>
      </c>
      <c r="J2265" s="6">
        <v>3087.4245190391616</v>
      </c>
      <c r="K2265" s="6">
        <v>2322515</v>
      </c>
      <c r="M2265" s="6">
        <f>SUM(H2265,J2265)</f>
        <v>297977.42451903917</v>
      </c>
      <c r="N2265" s="6">
        <f>K2265</f>
        <v>2322515</v>
      </c>
      <c r="O2265" s="6">
        <f>SUM(M2265:N2265)</f>
        <v>2620492.4245190392</v>
      </c>
      <c r="P2265" s="8">
        <f>VLOOKUP(F2265,'LEAID Match'!$A$2:$B$436,2,FALSE)</f>
        <v>1801770</v>
      </c>
      <c r="Q2265" s="6">
        <f>COUNTIF($P$2:$P$3691,P2265)</f>
        <v>9</v>
      </c>
    </row>
    <row r="2266" spans="1:17" x14ac:dyDescent="0.2">
      <c r="A2266" s="16">
        <f>P2266</f>
        <v>1801770</v>
      </c>
      <c r="B2266">
        <v>2023</v>
      </c>
      <c r="C2266" t="s">
        <v>904</v>
      </c>
      <c r="D2266" t="s">
        <v>906</v>
      </c>
      <c r="E2266" t="s">
        <v>3172</v>
      </c>
      <c r="F2266" t="s">
        <v>573</v>
      </c>
      <c r="G2266" t="s">
        <v>248</v>
      </c>
      <c r="H2266" s="6">
        <v>346298</v>
      </c>
      <c r="I2266" s="6">
        <v>1.4161685456901304E-3</v>
      </c>
      <c r="J2266" s="6">
        <v>3493.687802217552</v>
      </c>
      <c r="K2266" s="6">
        <v>5558014</v>
      </c>
      <c r="M2266" s="6">
        <f>SUM(H2266,J2266)</f>
        <v>349791.68780221755</v>
      </c>
      <c r="N2266" s="6">
        <f>K2266</f>
        <v>5558014</v>
      </c>
      <c r="O2266" s="6">
        <f>SUM(M2266:N2266)</f>
        <v>5907805.6878022179</v>
      </c>
      <c r="P2266" s="8">
        <f>VLOOKUP(F2266,'LEAID Match'!$A$2:$B$436,2,FALSE)</f>
        <v>1801770</v>
      </c>
      <c r="Q2266" s="6">
        <f>COUNTIF($P$2:$P$3691,P2266)</f>
        <v>9</v>
      </c>
    </row>
    <row r="2267" spans="1:17" x14ac:dyDescent="0.2">
      <c r="A2267" s="16">
        <f>P2267</f>
        <v>1810740</v>
      </c>
      <c r="B2267">
        <v>2015</v>
      </c>
      <c r="C2267" t="s">
        <v>904</v>
      </c>
      <c r="D2267" t="s">
        <v>906</v>
      </c>
      <c r="E2267" t="s">
        <v>3173</v>
      </c>
      <c r="F2267" t="s">
        <v>574</v>
      </c>
      <c r="G2267" t="s">
        <v>249</v>
      </c>
      <c r="H2267" s="6">
        <v>86921</v>
      </c>
      <c r="I2267" s="6">
        <v>4.2267136021635545E-4</v>
      </c>
      <c r="J2267" s="6">
        <v>2456.1432742172415</v>
      </c>
      <c r="K2267" s="6">
        <v>357417.66494071297</v>
      </c>
      <c r="M2267" s="6">
        <f>SUM(H2267,J2267)</f>
        <v>89377.143274217247</v>
      </c>
      <c r="N2267" s="6">
        <f>K2267</f>
        <v>357417.66494071297</v>
      </c>
      <c r="O2267" s="6">
        <f>SUM(M2267:N2267)</f>
        <v>446794.80821493024</v>
      </c>
      <c r="P2267" s="8">
        <f>VLOOKUP(F2267,'LEAID Match'!$A$2:$B$436,2,FALSE)</f>
        <v>1810740</v>
      </c>
      <c r="Q2267" s="6">
        <f>COUNTIF($P$2:$P$3691,P2267)</f>
        <v>9</v>
      </c>
    </row>
    <row r="2268" spans="1:17" x14ac:dyDescent="0.2">
      <c r="A2268" s="16">
        <f>P2268</f>
        <v>1810740</v>
      </c>
      <c r="B2268">
        <v>2016</v>
      </c>
      <c r="C2268" t="s">
        <v>904</v>
      </c>
      <c r="D2268" t="s">
        <v>906</v>
      </c>
      <c r="E2268" t="s">
        <v>3174</v>
      </c>
      <c r="F2268" t="s">
        <v>574</v>
      </c>
      <c r="G2268" t="s">
        <v>249</v>
      </c>
      <c r="H2268" s="6">
        <v>92081</v>
      </c>
      <c r="I2268" s="6">
        <v>4.272671490436264E-4</v>
      </c>
      <c r="J2268" s="6">
        <v>2156.8445683722261</v>
      </c>
      <c r="K2268" s="6">
        <v>379199.594776218</v>
      </c>
      <c r="M2268" s="6">
        <f>SUM(H2268,J2268)</f>
        <v>94237.844568372224</v>
      </c>
      <c r="N2268" s="6">
        <f>K2268</f>
        <v>379199.594776218</v>
      </c>
      <c r="O2268" s="6">
        <f>SUM(M2268:N2268)</f>
        <v>473437.43934459024</v>
      </c>
      <c r="P2268" s="8">
        <f>VLOOKUP(F2268,'LEAID Match'!$A$2:$B$436,2,FALSE)</f>
        <v>1810740</v>
      </c>
      <c r="Q2268" s="6">
        <f>COUNTIF($P$2:$P$3691,P2268)</f>
        <v>9</v>
      </c>
    </row>
    <row r="2269" spans="1:17" x14ac:dyDescent="0.2">
      <c r="A2269" s="16">
        <f>P2269</f>
        <v>1810740</v>
      </c>
      <c r="B2269">
        <v>2017</v>
      </c>
      <c r="C2269" t="s">
        <v>904</v>
      </c>
      <c r="D2269" t="s">
        <v>906</v>
      </c>
      <c r="E2269" t="s">
        <v>3175</v>
      </c>
      <c r="F2269" t="s">
        <v>574</v>
      </c>
      <c r="G2269" t="s">
        <v>249</v>
      </c>
      <c r="H2269" s="6">
        <v>96234</v>
      </c>
      <c r="I2269" s="6">
        <v>4.2375947149249241E-4</v>
      </c>
      <c r="J2269" s="6">
        <v>1917.5116085035281</v>
      </c>
      <c r="K2269" s="6">
        <v>369094.49966996</v>
      </c>
      <c r="M2269" s="6">
        <f>SUM(H2269,J2269)</f>
        <v>98151.511608503526</v>
      </c>
      <c r="N2269" s="6">
        <f>K2269</f>
        <v>369094.49966996</v>
      </c>
      <c r="O2269" s="6">
        <f>SUM(M2269:N2269)</f>
        <v>467246.01127846353</v>
      </c>
      <c r="P2269" s="8">
        <f>VLOOKUP(F2269,'LEAID Match'!$A$2:$B$436,2,FALSE)</f>
        <v>1810740</v>
      </c>
      <c r="Q2269" s="6">
        <f>COUNTIF($P$2:$P$3691,P2269)</f>
        <v>9</v>
      </c>
    </row>
    <row r="2270" spans="1:17" x14ac:dyDescent="0.2">
      <c r="A2270" s="16">
        <f>P2270</f>
        <v>1810740</v>
      </c>
      <c r="B2270">
        <v>2018</v>
      </c>
      <c r="C2270" t="s">
        <v>904</v>
      </c>
      <c r="D2270" t="s">
        <v>906</v>
      </c>
      <c r="E2270" t="s">
        <v>3176</v>
      </c>
      <c r="F2270" t="s">
        <v>574</v>
      </c>
      <c r="G2270" t="s">
        <v>249</v>
      </c>
      <c r="H2270" s="6">
        <v>105873</v>
      </c>
      <c r="I2270" s="6">
        <v>4.4915252576292102E-4</v>
      </c>
      <c r="J2270" s="6">
        <v>1872.0677273798549</v>
      </c>
      <c r="K2270" s="6">
        <v>523111</v>
      </c>
      <c r="M2270" s="6">
        <f>SUM(H2270,J2270)</f>
        <v>107745.06772737985</v>
      </c>
      <c r="N2270" s="6">
        <f>K2270</f>
        <v>523111</v>
      </c>
      <c r="O2270" s="6">
        <f>SUM(M2270:N2270)</f>
        <v>630856.06772737985</v>
      </c>
      <c r="P2270" s="8">
        <f>VLOOKUP(F2270,'LEAID Match'!$A$2:$B$436,2,FALSE)</f>
        <v>1810740</v>
      </c>
      <c r="Q2270" s="6">
        <f>COUNTIF($P$2:$P$3691,P2270)</f>
        <v>9</v>
      </c>
    </row>
    <row r="2271" spans="1:17" x14ac:dyDescent="0.2">
      <c r="A2271" s="16">
        <f>P2271</f>
        <v>1810740</v>
      </c>
      <c r="B2271">
        <v>2019</v>
      </c>
      <c r="C2271" t="s">
        <v>904</v>
      </c>
      <c r="D2271" t="s">
        <v>906</v>
      </c>
      <c r="E2271" t="s">
        <v>3177</v>
      </c>
      <c r="F2271" t="s">
        <v>574</v>
      </c>
      <c r="G2271" t="s">
        <v>249</v>
      </c>
      <c r="H2271" s="6">
        <v>115498</v>
      </c>
      <c r="I2271" s="6">
        <v>2.9382628560467008E-4</v>
      </c>
      <c r="J2271" s="6">
        <v>1029.8611310443687</v>
      </c>
      <c r="K2271" s="6">
        <v>277342.630982248</v>
      </c>
      <c r="M2271" s="6">
        <f>SUM(H2271,J2271)</f>
        <v>116527.86113104437</v>
      </c>
      <c r="N2271" s="6">
        <f>K2271</f>
        <v>277342.630982248</v>
      </c>
      <c r="O2271" s="6">
        <f>SUM(M2271:N2271)</f>
        <v>393870.49211329233</v>
      </c>
      <c r="P2271" s="8">
        <f>VLOOKUP(F2271,'LEAID Match'!$A$2:$B$436,2,FALSE)</f>
        <v>1810740</v>
      </c>
      <c r="Q2271" s="6">
        <f>COUNTIF($P$2:$P$3691,P2271)</f>
        <v>9</v>
      </c>
    </row>
    <row r="2272" spans="1:17" x14ac:dyDescent="0.2">
      <c r="A2272" s="16">
        <f>P2272</f>
        <v>1810740</v>
      </c>
      <c r="B2272">
        <v>2020</v>
      </c>
      <c r="C2272" t="s">
        <v>904</v>
      </c>
      <c r="D2272" t="s">
        <v>906</v>
      </c>
      <c r="E2272" t="s">
        <v>3178</v>
      </c>
      <c r="F2272" t="s">
        <v>574</v>
      </c>
      <c r="G2272" t="s">
        <v>249</v>
      </c>
      <c r="H2272" s="6">
        <v>84248</v>
      </c>
      <c r="I2272" s="6">
        <v>4.4640552678104113E-4</v>
      </c>
      <c r="J2272" s="6">
        <v>1051.7314210961329</v>
      </c>
      <c r="K2272" s="6">
        <v>553351</v>
      </c>
      <c r="M2272" s="6">
        <f>SUM(H2272,J2272)</f>
        <v>85299.731421096134</v>
      </c>
      <c r="N2272" s="6">
        <f>K2272</f>
        <v>553351</v>
      </c>
      <c r="O2272" s="6">
        <f>SUM(M2272:N2272)</f>
        <v>638650.73142109613</v>
      </c>
      <c r="P2272" s="8">
        <f>VLOOKUP(F2272,'LEAID Match'!$A$2:$B$436,2,FALSE)</f>
        <v>1810740</v>
      </c>
      <c r="Q2272" s="6">
        <f>COUNTIF($P$2:$P$3691,P2272)</f>
        <v>9</v>
      </c>
    </row>
    <row r="2273" spans="1:17" x14ac:dyDescent="0.2">
      <c r="A2273" s="16">
        <f>P2273</f>
        <v>1810740</v>
      </c>
      <c r="B2273">
        <v>2021</v>
      </c>
      <c r="C2273" t="s">
        <v>904</v>
      </c>
      <c r="D2273" t="s">
        <v>906</v>
      </c>
      <c r="E2273" t="s">
        <v>3179</v>
      </c>
      <c r="F2273" t="s">
        <v>574</v>
      </c>
      <c r="G2273" t="s">
        <v>249</v>
      </c>
      <c r="H2273" s="6">
        <v>82194</v>
      </c>
      <c r="I2273" s="6">
        <v>4.0604600395408009E-4</v>
      </c>
      <c r="J2273" s="6">
        <v>915.22769291249654</v>
      </c>
      <c r="K2273" s="6">
        <v>961742</v>
      </c>
      <c r="M2273" s="6">
        <f>SUM(H2273,J2273)</f>
        <v>83109.227692912493</v>
      </c>
      <c r="N2273" s="6">
        <f>K2273</f>
        <v>961742</v>
      </c>
      <c r="O2273" s="6">
        <f>SUM(M2273:N2273)</f>
        <v>1044851.2276929124</v>
      </c>
      <c r="P2273" s="8">
        <f>VLOOKUP(F2273,'LEAID Match'!$A$2:$B$436,2,FALSE)</f>
        <v>1810740</v>
      </c>
      <c r="Q2273" s="6">
        <f>COUNTIF($P$2:$P$3691,P2273)</f>
        <v>9</v>
      </c>
    </row>
    <row r="2274" spans="1:17" x14ac:dyDescent="0.2">
      <c r="A2274" s="16">
        <f>P2274</f>
        <v>1810740</v>
      </c>
      <c r="B2274">
        <v>2022</v>
      </c>
      <c r="C2274" t="s">
        <v>904</v>
      </c>
      <c r="D2274" t="s">
        <v>906</v>
      </c>
      <c r="E2274" t="s">
        <v>3180</v>
      </c>
      <c r="F2274" t="s">
        <v>574</v>
      </c>
      <c r="G2274" t="s">
        <v>249</v>
      </c>
      <c r="H2274" s="6">
        <v>88679</v>
      </c>
      <c r="I2274" s="6">
        <v>4.2106437309284369E-4</v>
      </c>
      <c r="J2274" s="6">
        <v>928.44694266972033</v>
      </c>
      <c r="K2274" s="6">
        <v>877222</v>
      </c>
      <c r="M2274" s="6">
        <f>SUM(H2274,J2274)</f>
        <v>89607.446942669718</v>
      </c>
      <c r="N2274" s="6">
        <f>K2274</f>
        <v>877222</v>
      </c>
      <c r="O2274" s="6">
        <f>SUM(M2274:N2274)</f>
        <v>966829.44694266969</v>
      </c>
      <c r="P2274" s="8">
        <f>VLOOKUP(F2274,'LEAID Match'!$A$2:$B$436,2,FALSE)</f>
        <v>1810740</v>
      </c>
      <c r="Q2274" s="6">
        <f>COUNTIF($P$2:$P$3691,P2274)</f>
        <v>9</v>
      </c>
    </row>
    <row r="2275" spans="1:17" x14ac:dyDescent="0.2">
      <c r="A2275" s="16">
        <f>P2275</f>
        <v>1810740</v>
      </c>
      <c r="B2275">
        <v>2023</v>
      </c>
      <c r="C2275" t="s">
        <v>904</v>
      </c>
      <c r="D2275" t="s">
        <v>906</v>
      </c>
      <c r="E2275" t="s">
        <v>3181</v>
      </c>
      <c r="F2275" t="s">
        <v>574</v>
      </c>
      <c r="G2275" t="s">
        <v>249</v>
      </c>
      <c r="H2275" s="6">
        <v>107196</v>
      </c>
      <c r="I2275" s="6">
        <v>4.3837274088732601E-4</v>
      </c>
      <c r="J2275" s="6">
        <v>1081.4655517690333</v>
      </c>
      <c r="K2275" s="6">
        <v>2204318</v>
      </c>
      <c r="M2275" s="6">
        <f>SUM(H2275,J2275)</f>
        <v>108277.46555176903</v>
      </c>
      <c r="N2275" s="6">
        <f>K2275</f>
        <v>2204318</v>
      </c>
      <c r="O2275" s="6">
        <f>SUM(M2275:N2275)</f>
        <v>2312595.4655517689</v>
      </c>
      <c r="P2275" s="8">
        <f>VLOOKUP(F2275,'LEAID Match'!$A$2:$B$436,2,FALSE)</f>
        <v>1810740</v>
      </c>
      <c r="Q2275" s="6">
        <f>COUNTIF($P$2:$P$3691,P2275)</f>
        <v>9</v>
      </c>
    </row>
    <row r="2276" spans="1:17" x14ac:dyDescent="0.2">
      <c r="A2276" s="16">
        <f>P2276</f>
        <v>1800010</v>
      </c>
      <c r="B2276">
        <v>2015</v>
      </c>
      <c r="C2276" t="s">
        <v>904</v>
      </c>
      <c r="D2276" t="s">
        <v>906</v>
      </c>
      <c r="E2276" t="s">
        <v>3182</v>
      </c>
      <c r="F2276" t="s">
        <v>575</v>
      </c>
      <c r="G2276" t="s">
        <v>250</v>
      </c>
      <c r="H2276" s="6">
        <v>31308</v>
      </c>
      <c r="I2276" s="6">
        <v>1.5224163258192676E-4</v>
      </c>
      <c r="J2276" s="6">
        <v>884.67612693357637</v>
      </c>
      <c r="K2276" s="6">
        <v>128737.96037739801</v>
      </c>
      <c r="M2276" s="6">
        <f>SUM(H2276,J2276)</f>
        <v>32192.676126933577</v>
      </c>
      <c r="N2276" s="6">
        <f>K2276</f>
        <v>128737.96037739801</v>
      </c>
      <c r="O2276" s="6">
        <f>SUM(M2276:N2276)</f>
        <v>160930.63650433157</v>
      </c>
      <c r="P2276" s="8">
        <f>VLOOKUP(F2276,'LEAID Match'!$A$2:$B$436,2,FALSE)</f>
        <v>1800010</v>
      </c>
      <c r="Q2276" s="6">
        <f>COUNTIF($P$2:$P$3691,P2276)</f>
        <v>9</v>
      </c>
    </row>
    <row r="2277" spans="1:17" x14ac:dyDescent="0.2">
      <c r="A2277" s="16">
        <f>P2277</f>
        <v>1800010</v>
      </c>
      <c r="B2277">
        <v>2016</v>
      </c>
      <c r="C2277" t="s">
        <v>904</v>
      </c>
      <c r="D2277" t="s">
        <v>906</v>
      </c>
      <c r="E2277" t="s">
        <v>3183</v>
      </c>
      <c r="F2277" t="s">
        <v>575</v>
      </c>
      <c r="G2277" t="s">
        <v>250</v>
      </c>
      <c r="H2277" s="6">
        <v>33178</v>
      </c>
      <c r="I2277" s="6">
        <v>1.539499947977263E-4</v>
      </c>
      <c r="J2277" s="6">
        <v>777.13957373892242</v>
      </c>
      <c r="K2277" s="6">
        <v>136630.62038298199</v>
      </c>
      <c r="M2277" s="6">
        <f>SUM(H2277,J2277)</f>
        <v>33955.139573738925</v>
      </c>
      <c r="N2277" s="6">
        <f>K2277</f>
        <v>136630.62038298199</v>
      </c>
      <c r="O2277" s="6">
        <f>SUM(M2277:N2277)</f>
        <v>170585.75995672093</v>
      </c>
      <c r="P2277" s="8">
        <f>VLOOKUP(F2277,'LEAID Match'!$A$2:$B$436,2,FALSE)</f>
        <v>1800010</v>
      </c>
      <c r="Q2277" s="6">
        <f>COUNTIF($P$2:$P$3691,P2277)</f>
        <v>9</v>
      </c>
    </row>
    <row r="2278" spans="1:17" x14ac:dyDescent="0.2">
      <c r="A2278" s="16">
        <f>P2278</f>
        <v>1800010</v>
      </c>
      <c r="B2278">
        <v>2017</v>
      </c>
      <c r="C2278" t="s">
        <v>904</v>
      </c>
      <c r="D2278" t="s">
        <v>906</v>
      </c>
      <c r="E2278" t="s">
        <v>3184</v>
      </c>
      <c r="F2278" t="s">
        <v>575</v>
      </c>
      <c r="G2278" t="s">
        <v>250</v>
      </c>
      <c r="H2278" s="6">
        <v>34405</v>
      </c>
      <c r="I2278" s="6">
        <v>1.5149993366896526E-4</v>
      </c>
      <c r="J2278" s="6">
        <v>685.53719985206783</v>
      </c>
      <c r="K2278" s="6">
        <v>131956.442225668</v>
      </c>
      <c r="M2278" s="6">
        <f>SUM(H2278,J2278)</f>
        <v>35090.537199852071</v>
      </c>
      <c r="N2278" s="6">
        <f>K2278</f>
        <v>131956.442225668</v>
      </c>
      <c r="O2278" s="6">
        <f>SUM(M2278:N2278)</f>
        <v>167046.97942552005</v>
      </c>
      <c r="P2278" s="8">
        <f>VLOOKUP(F2278,'LEAID Match'!$A$2:$B$436,2,FALSE)</f>
        <v>1800010</v>
      </c>
      <c r="Q2278" s="6">
        <f>COUNTIF($P$2:$P$3691,P2278)</f>
        <v>9</v>
      </c>
    </row>
    <row r="2279" spans="1:17" x14ac:dyDescent="0.2">
      <c r="A2279" s="16">
        <f>P2279</f>
        <v>1800010</v>
      </c>
      <c r="B2279">
        <v>2018</v>
      </c>
      <c r="C2279" t="s">
        <v>904</v>
      </c>
      <c r="D2279" t="s">
        <v>906</v>
      </c>
      <c r="E2279" t="s">
        <v>3185</v>
      </c>
      <c r="F2279" t="s">
        <v>575</v>
      </c>
      <c r="G2279" t="s">
        <v>250</v>
      </c>
      <c r="H2279" s="6">
        <v>32939</v>
      </c>
      <c r="I2279" s="6">
        <v>1.3973945242039856E-4</v>
      </c>
      <c r="J2279" s="6">
        <v>582.43403768822122</v>
      </c>
      <c r="K2279" s="6">
        <v>0</v>
      </c>
      <c r="M2279" s="6">
        <f>SUM(H2279,J2279)</f>
        <v>33521.434037688225</v>
      </c>
      <c r="N2279" s="6">
        <f>K2279</f>
        <v>0</v>
      </c>
      <c r="O2279" s="6">
        <f>SUM(M2279:N2279)</f>
        <v>33521.434037688225</v>
      </c>
      <c r="P2279" s="8">
        <f>VLOOKUP(F2279,'LEAID Match'!$A$2:$B$436,2,FALSE)</f>
        <v>1800010</v>
      </c>
      <c r="Q2279" s="6">
        <f>COUNTIF($P$2:$P$3691,P2279)</f>
        <v>9</v>
      </c>
    </row>
    <row r="2280" spans="1:17" x14ac:dyDescent="0.2">
      <c r="A2280" s="16">
        <f>P2280</f>
        <v>1800010</v>
      </c>
      <c r="B2280">
        <v>2019</v>
      </c>
      <c r="C2280" t="s">
        <v>904</v>
      </c>
      <c r="D2280" t="s">
        <v>906</v>
      </c>
      <c r="E2280" t="s">
        <v>3186</v>
      </c>
      <c r="F2280" t="s">
        <v>575</v>
      </c>
      <c r="G2280" t="s">
        <v>250</v>
      </c>
      <c r="H2280" s="6">
        <v>36336</v>
      </c>
      <c r="I2280" s="6">
        <v>9.2438586934243813E-5</v>
      </c>
      <c r="J2280" s="6">
        <v>323.99724720452457</v>
      </c>
      <c r="K2280" s="6">
        <v>87252.782207232696</v>
      </c>
      <c r="M2280" s="6">
        <f>SUM(H2280,J2280)</f>
        <v>36659.997247204527</v>
      </c>
      <c r="N2280" s="6">
        <f>K2280</f>
        <v>87252.782207232696</v>
      </c>
      <c r="O2280" s="6">
        <f>SUM(M2280:N2280)</f>
        <v>123912.77945443723</v>
      </c>
      <c r="P2280" s="8">
        <f>VLOOKUP(F2280,'LEAID Match'!$A$2:$B$436,2,FALSE)</f>
        <v>1800010</v>
      </c>
      <c r="Q2280" s="6">
        <f>COUNTIF($P$2:$P$3691,P2280)</f>
        <v>9</v>
      </c>
    </row>
    <row r="2281" spans="1:17" x14ac:dyDescent="0.2">
      <c r="A2281" s="16">
        <f>P2281</f>
        <v>1800010</v>
      </c>
      <c r="B2281">
        <v>2020</v>
      </c>
      <c r="C2281" t="s">
        <v>904</v>
      </c>
      <c r="D2281" t="s">
        <v>906</v>
      </c>
      <c r="E2281" t="s">
        <v>3187</v>
      </c>
      <c r="F2281" t="s">
        <v>575</v>
      </c>
      <c r="G2281" t="s">
        <v>250</v>
      </c>
      <c r="H2281" s="6">
        <v>35049</v>
      </c>
      <c r="I2281" s="6">
        <v>1.8571440637342974E-4</v>
      </c>
      <c r="J2281" s="6">
        <v>437.54314141580045</v>
      </c>
      <c r="K2281" s="6">
        <v>0</v>
      </c>
      <c r="M2281" s="6">
        <f>SUM(H2281,J2281)</f>
        <v>35486.543141415801</v>
      </c>
      <c r="N2281" s="6">
        <f>K2281</f>
        <v>0</v>
      </c>
      <c r="O2281" s="6">
        <f>SUM(M2281:N2281)</f>
        <v>35486.543141415801</v>
      </c>
      <c r="P2281" s="8">
        <f>VLOOKUP(F2281,'LEAID Match'!$A$2:$B$436,2,FALSE)</f>
        <v>1800010</v>
      </c>
      <c r="Q2281" s="6">
        <f>COUNTIF($P$2:$P$3691,P2281)</f>
        <v>9</v>
      </c>
    </row>
    <row r="2282" spans="1:17" x14ac:dyDescent="0.2">
      <c r="A2282" s="16">
        <f>P2282</f>
        <v>1800010</v>
      </c>
      <c r="B2282">
        <v>2021</v>
      </c>
      <c r="C2282" t="s">
        <v>904</v>
      </c>
      <c r="D2282" t="s">
        <v>906</v>
      </c>
      <c r="E2282" t="s">
        <v>3188</v>
      </c>
      <c r="F2282" t="s">
        <v>575</v>
      </c>
      <c r="G2282" t="s">
        <v>250</v>
      </c>
      <c r="H2282" s="6">
        <v>37178</v>
      </c>
      <c r="I2282" s="6">
        <v>1.8366277751423205E-4</v>
      </c>
      <c r="J2282" s="6">
        <v>413.97590051707903</v>
      </c>
      <c r="K2282" s="6">
        <v>0</v>
      </c>
      <c r="M2282" s="6">
        <f>SUM(H2282,J2282)</f>
        <v>37591.975900517078</v>
      </c>
      <c r="N2282" s="6">
        <f>K2282</f>
        <v>0</v>
      </c>
      <c r="O2282" s="6">
        <f>SUM(M2282:N2282)</f>
        <v>37591.975900517078</v>
      </c>
      <c r="P2282" s="8">
        <f>VLOOKUP(F2282,'LEAID Match'!$A$2:$B$436,2,FALSE)</f>
        <v>1800010</v>
      </c>
      <c r="Q2282" s="6">
        <f>COUNTIF($P$2:$P$3691,P2282)</f>
        <v>9</v>
      </c>
    </row>
    <row r="2283" spans="1:17" x14ac:dyDescent="0.2">
      <c r="A2283" s="16">
        <f>P2283</f>
        <v>1800010</v>
      </c>
      <c r="B2283">
        <v>2022</v>
      </c>
      <c r="C2283" t="s">
        <v>904</v>
      </c>
      <c r="D2283" t="s">
        <v>906</v>
      </c>
      <c r="E2283" t="s">
        <v>3189</v>
      </c>
      <c r="F2283" t="s">
        <v>575</v>
      </c>
      <c r="G2283" t="s">
        <v>250</v>
      </c>
      <c r="H2283" s="6">
        <v>44447</v>
      </c>
      <c r="I2283" s="6">
        <v>2.110426165254189E-4</v>
      </c>
      <c r="J2283" s="6">
        <v>465.34896943854869</v>
      </c>
      <c r="K2283" s="6">
        <v>0</v>
      </c>
      <c r="M2283" s="6">
        <f>SUM(H2283,J2283)</f>
        <v>44912.34896943855</v>
      </c>
      <c r="N2283" s="6">
        <f>K2283</f>
        <v>0</v>
      </c>
      <c r="O2283" s="6">
        <f>SUM(M2283:N2283)</f>
        <v>44912.34896943855</v>
      </c>
      <c r="P2283" s="8">
        <f>VLOOKUP(F2283,'LEAID Match'!$A$2:$B$436,2,FALSE)</f>
        <v>1800010</v>
      </c>
      <c r="Q2283" s="6">
        <f>COUNTIF($P$2:$P$3691,P2283)</f>
        <v>9</v>
      </c>
    </row>
    <row r="2284" spans="1:17" x14ac:dyDescent="0.2">
      <c r="A2284" s="16">
        <f>P2284</f>
        <v>1800010</v>
      </c>
      <c r="B2284">
        <v>2023</v>
      </c>
      <c r="C2284" t="s">
        <v>904</v>
      </c>
      <c r="D2284" t="s">
        <v>906</v>
      </c>
      <c r="E2284" t="s">
        <v>3190</v>
      </c>
      <c r="F2284" t="s">
        <v>575</v>
      </c>
      <c r="G2284" t="s">
        <v>250</v>
      </c>
      <c r="H2284" s="6">
        <v>57154</v>
      </c>
      <c r="I2284" s="6">
        <v>2.3372845659049062E-4</v>
      </c>
      <c r="J2284" s="6">
        <v>576.60810240874036</v>
      </c>
      <c r="K2284" s="6">
        <v>0</v>
      </c>
      <c r="M2284" s="6">
        <f>SUM(H2284,J2284)</f>
        <v>57730.60810240874</v>
      </c>
      <c r="N2284" s="6">
        <f>K2284</f>
        <v>0</v>
      </c>
      <c r="O2284" s="6">
        <f>SUM(M2284:N2284)</f>
        <v>57730.60810240874</v>
      </c>
      <c r="P2284" s="8">
        <f>VLOOKUP(F2284,'LEAID Match'!$A$2:$B$436,2,FALSE)</f>
        <v>1800010</v>
      </c>
      <c r="Q2284" s="6">
        <f>COUNTIF($P$2:$P$3691,P2284)</f>
        <v>9</v>
      </c>
    </row>
    <row r="2285" spans="1:17" x14ac:dyDescent="0.2">
      <c r="A2285" s="16">
        <f>P2285</f>
        <v>1800390</v>
      </c>
      <c r="B2285">
        <v>2015</v>
      </c>
      <c r="C2285" t="s">
        <v>904</v>
      </c>
      <c r="D2285" t="s">
        <v>906</v>
      </c>
      <c r="E2285" t="s">
        <v>3191</v>
      </c>
      <c r="F2285" t="s">
        <v>759</v>
      </c>
      <c r="G2285" t="s">
        <v>251</v>
      </c>
      <c r="H2285" s="6">
        <v>398294</v>
      </c>
      <c r="I2285" s="6">
        <v>1.9367870450870686E-3</v>
      </c>
      <c r="J2285" s="6">
        <v>11254.669519000956</v>
      </c>
      <c r="K2285" s="6">
        <v>1637778.1139183401</v>
      </c>
      <c r="M2285" s="6">
        <f>SUM(H2285,J2285)</f>
        <v>409548.66951900098</v>
      </c>
      <c r="N2285" s="6">
        <f>K2285</f>
        <v>1637778.1139183401</v>
      </c>
      <c r="O2285" s="6">
        <f>SUM(M2285:N2285)</f>
        <v>2047326.783437341</v>
      </c>
      <c r="P2285" s="8">
        <f>VLOOKUP(F2285,'LEAID Match'!$A$2:$B$436,2,FALSE)</f>
        <v>1800390</v>
      </c>
      <c r="Q2285" s="6">
        <f>COUNTIF($P$2:$P$3691,P2285)</f>
        <v>9</v>
      </c>
    </row>
    <row r="2286" spans="1:17" x14ac:dyDescent="0.2">
      <c r="A2286" s="16">
        <f>P2286</f>
        <v>1800390</v>
      </c>
      <c r="B2286">
        <v>2016</v>
      </c>
      <c r="C2286" t="s">
        <v>904</v>
      </c>
      <c r="D2286" t="s">
        <v>906</v>
      </c>
      <c r="E2286" t="s">
        <v>3192</v>
      </c>
      <c r="F2286" t="s">
        <v>759</v>
      </c>
      <c r="G2286" t="s">
        <v>251</v>
      </c>
      <c r="H2286" s="6">
        <v>422882</v>
      </c>
      <c r="I2286" s="6">
        <v>1.9622244167837753E-3</v>
      </c>
      <c r="J2286" s="6">
        <v>9905.308855924497</v>
      </c>
      <c r="K2286" s="6">
        <v>1741474.1698956001</v>
      </c>
      <c r="M2286" s="6">
        <f>SUM(H2286,J2286)</f>
        <v>432787.30885592452</v>
      </c>
      <c r="N2286" s="6">
        <f>K2286</f>
        <v>1741474.1698956001</v>
      </c>
      <c r="O2286" s="6">
        <f>SUM(M2286:N2286)</f>
        <v>2174261.4787515244</v>
      </c>
      <c r="P2286" s="8">
        <f>VLOOKUP(F2286,'LEAID Match'!$A$2:$B$436,2,FALSE)</f>
        <v>1800390</v>
      </c>
      <c r="Q2286" s="6">
        <f>COUNTIF($P$2:$P$3691,P2286)</f>
        <v>9</v>
      </c>
    </row>
    <row r="2287" spans="1:17" x14ac:dyDescent="0.2">
      <c r="A2287" s="16">
        <f>P2287</f>
        <v>1800390</v>
      </c>
      <c r="B2287">
        <v>2017</v>
      </c>
      <c r="C2287" t="s">
        <v>904</v>
      </c>
      <c r="D2287" t="s">
        <v>906</v>
      </c>
      <c r="E2287" t="s">
        <v>3193</v>
      </c>
      <c r="F2287" t="s">
        <v>759</v>
      </c>
      <c r="G2287" t="s">
        <v>251</v>
      </c>
      <c r="H2287" s="6">
        <v>466145</v>
      </c>
      <c r="I2287" s="6">
        <v>2.0526358546757682E-3</v>
      </c>
      <c r="J2287" s="6">
        <v>9288.1772424078517</v>
      </c>
      <c r="K2287" s="6">
        <v>1787845.8294225901</v>
      </c>
      <c r="M2287" s="6">
        <f>SUM(H2287,J2287)</f>
        <v>475433.17724240787</v>
      </c>
      <c r="N2287" s="6">
        <f>K2287</f>
        <v>1787845.8294225901</v>
      </c>
      <c r="O2287" s="6">
        <f>SUM(M2287:N2287)</f>
        <v>2263279.0066649979</v>
      </c>
      <c r="P2287" s="8">
        <f>VLOOKUP(F2287,'LEAID Match'!$A$2:$B$436,2,FALSE)</f>
        <v>1800390</v>
      </c>
      <c r="Q2287" s="6">
        <f>COUNTIF($P$2:$P$3691,P2287)</f>
        <v>9</v>
      </c>
    </row>
    <row r="2288" spans="1:17" x14ac:dyDescent="0.2">
      <c r="A2288" s="16">
        <f>P2288</f>
        <v>1800390</v>
      </c>
      <c r="B2288">
        <v>2018</v>
      </c>
      <c r="C2288" t="s">
        <v>904</v>
      </c>
      <c r="D2288" t="s">
        <v>906</v>
      </c>
      <c r="E2288" t="s">
        <v>3194</v>
      </c>
      <c r="F2288" t="s">
        <v>759</v>
      </c>
      <c r="G2288" t="s">
        <v>251</v>
      </c>
      <c r="H2288" s="6">
        <v>481367</v>
      </c>
      <c r="I2288" s="6">
        <v>2.0421373142247789E-3</v>
      </c>
      <c r="J2288" s="6">
        <v>8511.6283256888782</v>
      </c>
      <c r="K2288" s="6">
        <v>1583653</v>
      </c>
      <c r="M2288" s="6">
        <f>SUM(H2288,J2288)</f>
        <v>489878.62832568889</v>
      </c>
      <c r="N2288" s="6">
        <f>K2288</f>
        <v>1583653</v>
      </c>
      <c r="O2288" s="6">
        <f>SUM(M2288:N2288)</f>
        <v>2073531.6283256889</v>
      </c>
      <c r="P2288" s="8">
        <f>VLOOKUP(F2288,'LEAID Match'!$A$2:$B$436,2,FALSE)</f>
        <v>1800390</v>
      </c>
      <c r="Q2288" s="6">
        <f>COUNTIF($P$2:$P$3691,P2288)</f>
        <v>9</v>
      </c>
    </row>
    <row r="2289" spans="1:17" x14ac:dyDescent="0.2">
      <c r="A2289" s="16">
        <f>P2289</f>
        <v>1800390</v>
      </c>
      <c r="B2289">
        <v>2019</v>
      </c>
      <c r="C2289" t="s">
        <v>904</v>
      </c>
      <c r="D2289" t="s">
        <v>906</v>
      </c>
      <c r="E2289" t="s">
        <v>3195</v>
      </c>
      <c r="F2289" t="s">
        <v>759</v>
      </c>
      <c r="G2289" t="s">
        <v>251</v>
      </c>
      <c r="H2289" s="6">
        <v>499137</v>
      </c>
      <c r="I2289" s="6">
        <v>1.2698018209653691E-3</v>
      </c>
      <c r="J2289" s="6">
        <v>4450.6553824836192</v>
      </c>
      <c r="K2289" s="6">
        <v>1198565.93880921</v>
      </c>
      <c r="M2289" s="6">
        <f>SUM(H2289,J2289)</f>
        <v>503587.65538248362</v>
      </c>
      <c r="N2289" s="6">
        <f>K2289</f>
        <v>1198565.93880921</v>
      </c>
      <c r="O2289" s="6">
        <f>SUM(M2289:N2289)</f>
        <v>1702153.5941916937</v>
      </c>
      <c r="P2289" s="8">
        <f>VLOOKUP(F2289,'LEAID Match'!$A$2:$B$436,2,FALSE)</f>
        <v>1800390</v>
      </c>
      <c r="Q2289" s="6">
        <f>COUNTIF($P$2:$P$3691,P2289)</f>
        <v>9</v>
      </c>
    </row>
    <row r="2290" spans="1:17" x14ac:dyDescent="0.2">
      <c r="A2290" s="16">
        <f>P2290</f>
        <v>1800390</v>
      </c>
      <c r="B2290">
        <v>2020</v>
      </c>
      <c r="C2290" t="s">
        <v>904</v>
      </c>
      <c r="D2290" t="s">
        <v>906</v>
      </c>
      <c r="E2290" t="s">
        <v>3196</v>
      </c>
      <c r="F2290" t="s">
        <v>759</v>
      </c>
      <c r="G2290" t="s">
        <v>251</v>
      </c>
      <c r="H2290" s="6">
        <v>385399</v>
      </c>
      <c r="I2290" s="6">
        <v>2.0421166510289439E-3</v>
      </c>
      <c r="J2290" s="6">
        <v>4811.2268298241916</v>
      </c>
      <c r="K2290" s="6">
        <v>1710940</v>
      </c>
      <c r="M2290" s="6">
        <f>SUM(H2290,J2290)</f>
        <v>390210.22682982421</v>
      </c>
      <c r="N2290" s="6">
        <f>K2290</f>
        <v>1710940</v>
      </c>
      <c r="O2290" s="6">
        <f>SUM(M2290:N2290)</f>
        <v>2101150.226829824</v>
      </c>
      <c r="P2290" s="8">
        <f>VLOOKUP(F2290,'LEAID Match'!$A$2:$B$436,2,FALSE)</f>
        <v>1800390</v>
      </c>
      <c r="Q2290" s="6">
        <f>COUNTIF($P$2:$P$3691,P2290)</f>
        <v>9</v>
      </c>
    </row>
    <row r="2291" spans="1:17" x14ac:dyDescent="0.2">
      <c r="A2291" s="16">
        <f>P2291</f>
        <v>1800390</v>
      </c>
      <c r="B2291">
        <v>2021</v>
      </c>
      <c r="C2291" t="s">
        <v>904</v>
      </c>
      <c r="D2291" t="s">
        <v>906</v>
      </c>
      <c r="E2291" t="s">
        <v>3197</v>
      </c>
      <c r="F2291" t="s">
        <v>759</v>
      </c>
      <c r="G2291" t="s">
        <v>251</v>
      </c>
      <c r="H2291" s="6">
        <v>405741</v>
      </c>
      <c r="I2291" s="6">
        <v>2.0043982734789935E-3</v>
      </c>
      <c r="J2291" s="6">
        <v>4517.9137084216509</v>
      </c>
      <c r="K2291" s="6">
        <v>2906325</v>
      </c>
      <c r="M2291" s="6">
        <f>SUM(H2291,J2291)</f>
        <v>410258.91370842163</v>
      </c>
      <c r="N2291" s="6">
        <f>K2291</f>
        <v>2906325</v>
      </c>
      <c r="O2291" s="6">
        <f>SUM(M2291:N2291)</f>
        <v>3316583.9137084214</v>
      </c>
      <c r="P2291" s="8">
        <f>VLOOKUP(F2291,'LEAID Match'!$A$2:$B$436,2,FALSE)</f>
        <v>1800390</v>
      </c>
      <c r="Q2291" s="6">
        <f>COUNTIF($P$2:$P$3691,P2291)</f>
        <v>9</v>
      </c>
    </row>
    <row r="2292" spans="1:17" x14ac:dyDescent="0.2">
      <c r="A2292" s="16">
        <f>P2292</f>
        <v>1800390</v>
      </c>
      <c r="B2292">
        <v>2022</v>
      </c>
      <c r="C2292" t="s">
        <v>904</v>
      </c>
      <c r="D2292" t="s">
        <v>906</v>
      </c>
      <c r="E2292" t="s">
        <v>3198</v>
      </c>
      <c r="F2292" t="s">
        <v>759</v>
      </c>
      <c r="G2292" t="s">
        <v>251</v>
      </c>
      <c r="H2292" s="6">
        <v>434032</v>
      </c>
      <c r="I2292" s="6">
        <v>2.0608646013400367E-3</v>
      </c>
      <c r="J2292" s="6">
        <v>4544.206445954781</v>
      </c>
      <c r="K2292" s="6">
        <v>2893221</v>
      </c>
      <c r="M2292" s="6">
        <f>SUM(H2292,J2292)</f>
        <v>438576.2064459548</v>
      </c>
      <c r="N2292" s="6">
        <f>K2292</f>
        <v>2893221</v>
      </c>
      <c r="O2292" s="6">
        <f>SUM(M2292:N2292)</f>
        <v>3331797.2064459547</v>
      </c>
      <c r="P2292" s="8">
        <f>VLOOKUP(F2292,'LEAID Match'!$A$2:$B$436,2,FALSE)</f>
        <v>1800390</v>
      </c>
      <c r="Q2292" s="6">
        <f>COUNTIF($P$2:$P$3691,P2292)</f>
        <v>9</v>
      </c>
    </row>
    <row r="2293" spans="1:17" x14ac:dyDescent="0.2">
      <c r="A2293" s="16">
        <f>P2293</f>
        <v>1800390</v>
      </c>
      <c r="B2293">
        <v>2023</v>
      </c>
      <c r="C2293" t="s">
        <v>904</v>
      </c>
      <c r="D2293" t="s">
        <v>906</v>
      </c>
      <c r="E2293" t="s">
        <v>3199</v>
      </c>
      <c r="F2293" t="s">
        <v>759</v>
      </c>
      <c r="G2293" t="s">
        <v>251</v>
      </c>
      <c r="H2293" s="6">
        <v>486069</v>
      </c>
      <c r="I2293" s="6">
        <v>1.9877551381615143E-3</v>
      </c>
      <c r="J2293" s="6">
        <v>4903.7919258444554</v>
      </c>
      <c r="K2293" s="6">
        <v>8389112</v>
      </c>
      <c r="M2293" s="6">
        <f>SUM(H2293,J2293)</f>
        <v>490972.79192584445</v>
      </c>
      <c r="N2293" s="6">
        <f>K2293</f>
        <v>8389112</v>
      </c>
      <c r="O2293" s="6">
        <f>SUM(M2293:N2293)</f>
        <v>8880084.7919258438</v>
      </c>
      <c r="P2293" s="8">
        <f>VLOOKUP(F2293,'LEAID Match'!$A$2:$B$436,2,FALSE)</f>
        <v>1800390</v>
      </c>
      <c r="Q2293" s="6">
        <f>COUNTIF($P$2:$P$3691,P2293)</f>
        <v>9</v>
      </c>
    </row>
    <row r="2294" spans="1:17" x14ac:dyDescent="0.2">
      <c r="A2294" s="16">
        <f>P2294</f>
        <v>1806630</v>
      </c>
      <c r="B2294">
        <v>2015</v>
      </c>
      <c r="C2294" t="s">
        <v>904</v>
      </c>
      <c r="D2294" t="s">
        <v>906</v>
      </c>
      <c r="E2294" t="s">
        <v>3200</v>
      </c>
      <c r="F2294" t="s">
        <v>760</v>
      </c>
      <c r="G2294" t="s">
        <v>252</v>
      </c>
      <c r="H2294" s="6">
        <v>289268</v>
      </c>
      <c r="I2294" s="6">
        <v>1.4066255453465183E-3</v>
      </c>
      <c r="J2294" s="6">
        <v>8173.9010440086176</v>
      </c>
      <c r="K2294" s="6">
        <v>1189465.06715374</v>
      </c>
      <c r="M2294" s="6">
        <f>SUM(H2294,J2294)</f>
        <v>297441.90104400861</v>
      </c>
      <c r="N2294" s="6">
        <f>K2294</f>
        <v>1189465.06715374</v>
      </c>
      <c r="O2294" s="6">
        <f>SUM(M2294:N2294)</f>
        <v>1486906.9681977485</v>
      </c>
      <c r="P2294" s="8">
        <f>VLOOKUP(F2294,'LEAID Match'!$A$2:$B$436,2,FALSE)</f>
        <v>1806630</v>
      </c>
      <c r="Q2294" s="6">
        <f>COUNTIF($P$2:$P$3691,P2294)</f>
        <v>9</v>
      </c>
    </row>
    <row r="2295" spans="1:17" x14ac:dyDescent="0.2">
      <c r="A2295" s="16">
        <f>P2295</f>
        <v>1806630</v>
      </c>
      <c r="B2295">
        <v>2016</v>
      </c>
      <c r="C2295" t="s">
        <v>904</v>
      </c>
      <c r="D2295" t="s">
        <v>906</v>
      </c>
      <c r="E2295" t="s">
        <v>3201</v>
      </c>
      <c r="F2295" t="s">
        <v>760</v>
      </c>
      <c r="G2295" t="s">
        <v>252</v>
      </c>
      <c r="H2295" s="6">
        <v>262089</v>
      </c>
      <c r="I2295" s="6">
        <v>1.2161251487895982E-3</v>
      </c>
      <c r="J2295" s="6">
        <v>6138.999751089892</v>
      </c>
      <c r="K2295" s="6">
        <v>1079311.0695507601</v>
      </c>
      <c r="M2295" s="6">
        <f>SUM(H2295,J2295)</f>
        <v>268227.9997510899</v>
      </c>
      <c r="N2295" s="6">
        <f>K2295</f>
        <v>1079311.0695507601</v>
      </c>
      <c r="O2295" s="6">
        <f>SUM(M2295:N2295)</f>
        <v>1347539.0693018499</v>
      </c>
      <c r="P2295" s="8">
        <f>VLOOKUP(F2295,'LEAID Match'!$A$2:$B$436,2,FALSE)</f>
        <v>1806630</v>
      </c>
      <c r="Q2295" s="6">
        <f>COUNTIF($P$2:$P$3691,P2295)</f>
        <v>9</v>
      </c>
    </row>
    <row r="2296" spans="1:17" x14ac:dyDescent="0.2">
      <c r="A2296" s="16">
        <f>P2296</f>
        <v>1806630</v>
      </c>
      <c r="B2296">
        <v>2017</v>
      </c>
      <c r="C2296" t="s">
        <v>904</v>
      </c>
      <c r="D2296" t="s">
        <v>906</v>
      </c>
      <c r="E2296" t="s">
        <v>3202</v>
      </c>
      <c r="F2296" t="s">
        <v>760</v>
      </c>
      <c r="G2296" t="s">
        <v>252</v>
      </c>
      <c r="H2296" s="6">
        <v>271446</v>
      </c>
      <c r="I2296" s="6">
        <v>1.1952928642553682E-3</v>
      </c>
      <c r="J2296" s="6">
        <v>5408.7002107555409</v>
      </c>
      <c r="K2296" s="6">
        <v>1041100.08476642</v>
      </c>
      <c r="M2296" s="6">
        <f>SUM(H2296,J2296)</f>
        <v>276854.70021075552</v>
      </c>
      <c r="N2296" s="6">
        <f>K2296</f>
        <v>1041100.08476642</v>
      </c>
      <c r="O2296" s="6">
        <f>SUM(M2296:N2296)</f>
        <v>1317954.7849771755</v>
      </c>
      <c r="P2296" s="8">
        <f>VLOOKUP(F2296,'LEAID Match'!$A$2:$B$436,2,FALSE)</f>
        <v>1806630</v>
      </c>
      <c r="Q2296" s="6">
        <f>COUNTIF($P$2:$P$3691,P2296)</f>
        <v>9</v>
      </c>
    </row>
    <row r="2297" spans="1:17" x14ac:dyDescent="0.2">
      <c r="A2297" s="16">
        <f>P2297</f>
        <v>1806630</v>
      </c>
      <c r="B2297">
        <v>2018</v>
      </c>
      <c r="C2297" t="s">
        <v>904</v>
      </c>
      <c r="D2297" t="s">
        <v>906</v>
      </c>
      <c r="E2297" t="s">
        <v>3203</v>
      </c>
      <c r="F2297" t="s">
        <v>760</v>
      </c>
      <c r="G2297" t="s">
        <v>252</v>
      </c>
      <c r="H2297" s="6">
        <v>279007</v>
      </c>
      <c r="I2297" s="6">
        <v>1.183651155209877E-3</v>
      </c>
      <c r="J2297" s="6">
        <v>4933.4580149147678</v>
      </c>
      <c r="K2297" s="6">
        <v>861266</v>
      </c>
      <c r="M2297" s="6">
        <f>SUM(H2297,J2297)</f>
        <v>283940.45801491477</v>
      </c>
      <c r="N2297" s="6">
        <f>K2297</f>
        <v>861266</v>
      </c>
      <c r="O2297" s="6">
        <f>SUM(M2297:N2297)</f>
        <v>1145206.4580149148</v>
      </c>
      <c r="P2297" s="8">
        <f>VLOOKUP(F2297,'LEAID Match'!$A$2:$B$436,2,FALSE)</f>
        <v>1806630</v>
      </c>
      <c r="Q2297" s="6">
        <f>COUNTIF($P$2:$P$3691,P2297)</f>
        <v>9</v>
      </c>
    </row>
    <row r="2298" spans="1:17" x14ac:dyDescent="0.2">
      <c r="A2298" s="16">
        <f>P2298</f>
        <v>1806630</v>
      </c>
      <c r="B2298">
        <v>2019</v>
      </c>
      <c r="C2298" t="s">
        <v>904</v>
      </c>
      <c r="D2298" t="s">
        <v>906</v>
      </c>
      <c r="E2298" t="s">
        <v>3204</v>
      </c>
      <c r="F2298" t="s">
        <v>760</v>
      </c>
      <c r="G2298" t="s">
        <v>252</v>
      </c>
      <c r="H2298" s="6">
        <v>279750</v>
      </c>
      <c r="I2298" s="6">
        <v>7.1168248279542901E-4</v>
      </c>
      <c r="J2298" s="6">
        <v>2494.4471021979789</v>
      </c>
      <c r="K2298" s="6">
        <v>671757.09551060502</v>
      </c>
      <c r="M2298" s="6">
        <f>SUM(H2298,J2298)</f>
        <v>282244.44710219797</v>
      </c>
      <c r="N2298" s="6">
        <f>K2298</f>
        <v>671757.09551060502</v>
      </c>
      <c r="O2298" s="6">
        <f>SUM(M2298:N2298)</f>
        <v>954001.54261280294</v>
      </c>
      <c r="P2298" s="8">
        <f>VLOOKUP(F2298,'LEAID Match'!$A$2:$B$436,2,FALSE)</f>
        <v>1806630</v>
      </c>
      <c r="Q2298" s="6">
        <f>COUNTIF($P$2:$P$3691,P2298)</f>
        <v>9</v>
      </c>
    </row>
    <row r="2299" spans="1:17" x14ac:dyDescent="0.2">
      <c r="A2299" s="16">
        <f>P2299</f>
        <v>1806630</v>
      </c>
      <c r="B2299">
        <v>2020</v>
      </c>
      <c r="C2299" t="s">
        <v>904</v>
      </c>
      <c r="D2299" t="s">
        <v>906</v>
      </c>
      <c r="E2299" t="s">
        <v>3205</v>
      </c>
      <c r="F2299" t="s">
        <v>760</v>
      </c>
      <c r="G2299" t="s">
        <v>252</v>
      </c>
      <c r="H2299" s="6">
        <v>190693</v>
      </c>
      <c r="I2299" s="6">
        <v>1.0104264685031937E-3</v>
      </c>
      <c r="J2299" s="6">
        <v>2380.5647597935244</v>
      </c>
      <c r="K2299" s="6">
        <v>887712</v>
      </c>
      <c r="M2299" s="6">
        <f>SUM(H2299,J2299)</f>
        <v>193073.56475979352</v>
      </c>
      <c r="N2299" s="6">
        <f>K2299</f>
        <v>887712</v>
      </c>
      <c r="O2299" s="6">
        <f>SUM(M2299:N2299)</f>
        <v>1080785.5647597935</v>
      </c>
      <c r="P2299" s="8">
        <f>VLOOKUP(F2299,'LEAID Match'!$A$2:$B$436,2,FALSE)</f>
        <v>1806630</v>
      </c>
      <c r="Q2299" s="6">
        <f>COUNTIF($P$2:$P$3691,P2299)</f>
        <v>9</v>
      </c>
    </row>
    <row r="2300" spans="1:17" x14ac:dyDescent="0.2">
      <c r="A2300" s="16">
        <f>P2300</f>
        <v>1806630</v>
      </c>
      <c r="B2300">
        <v>2021</v>
      </c>
      <c r="C2300" t="s">
        <v>904</v>
      </c>
      <c r="D2300" t="s">
        <v>906</v>
      </c>
      <c r="E2300" t="s">
        <v>3206</v>
      </c>
      <c r="F2300" t="s">
        <v>760</v>
      </c>
      <c r="G2300" t="s">
        <v>252</v>
      </c>
      <c r="H2300" s="6">
        <v>194297</v>
      </c>
      <c r="I2300" s="6">
        <v>9.5984524941316761E-4</v>
      </c>
      <c r="J2300" s="6">
        <v>2163.4911921772796</v>
      </c>
      <c r="K2300" s="6">
        <v>1445411</v>
      </c>
      <c r="M2300" s="6">
        <f>SUM(H2300,J2300)</f>
        <v>196460.49119217729</v>
      </c>
      <c r="N2300" s="6">
        <f>K2300</f>
        <v>1445411</v>
      </c>
      <c r="O2300" s="6">
        <f>SUM(M2300:N2300)</f>
        <v>1641871.4911921774</v>
      </c>
      <c r="P2300" s="8">
        <f>VLOOKUP(F2300,'LEAID Match'!$A$2:$B$436,2,FALSE)</f>
        <v>1806630</v>
      </c>
      <c r="Q2300" s="6">
        <f>COUNTIF($P$2:$P$3691,P2300)</f>
        <v>9</v>
      </c>
    </row>
    <row r="2301" spans="1:17" x14ac:dyDescent="0.2">
      <c r="A2301" s="16">
        <f>P2301</f>
        <v>1806630</v>
      </c>
      <c r="B2301">
        <v>2022</v>
      </c>
      <c r="C2301" t="s">
        <v>904</v>
      </c>
      <c r="D2301" t="s">
        <v>906</v>
      </c>
      <c r="E2301" t="s">
        <v>3207</v>
      </c>
      <c r="F2301" t="s">
        <v>760</v>
      </c>
      <c r="G2301" t="s">
        <v>252</v>
      </c>
      <c r="H2301" s="6">
        <v>208033</v>
      </c>
      <c r="I2301" s="6">
        <v>9.8777934716926842E-4</v>
      </c>
      <c r="J2301" s="6">
        <v>2178.0534605082371</v>
      </c>
      <c r="K2301" s="6">
        <v>1418160</v>
      </c>
      <c r="M2301" s="6">
        <f>SUM(H2301,J2301)</f>
        <v>210211.05346050824</v>
      </c>
      <c r="N2301" s="6">
        <f>K2301</f>
        <v>1418160</v>
      </c>
      <c r="O2301" s="6">
        <f>SUM(M2301:N2301)</f>
        <v>1628371.0534605081</v>
      </c>
      <c r="P2301" s="8">
        <f>VLOOKUP(F2301,'LEAID Match'!$A$2:$B$436,2,FALSE)</f>
        <v>1806630</v>
      </c>
      <c r="Q2301" s="6">
        <f>COUNTIF($P$2:$P$3691,P2301)</f>
        <v>9</v>
      </c>
    </row>
    <row r="2302" spans="1:17" x14ac:dyDescent="0.2">
      <c r="A2302" s="16">
        <f>P2302</f>
        <v>1806630</v>
      </c>
      <c r="B2302">
        <v>2023</v>
      </c>
      <c r="C2302" t="s">
        <v>904</v>
      </c>
      <c r="D2302" t="s">
        <v>906</v>
      </c>
      <c r="E2302" t="s">
        <v>3208</v>
      </c>
      <c r="F2302" t="s">
        <v>760</v>
      </c>
      <c r="G2302" t="s">
        <v>252</v>
      </c>
      <c r="H2302" s="6">
        <v>245833</v>
      </c>
      <c r="I2302" s="6">
        <v>1.005321896437871E-3</v>
      </c>
      <c r="J2302" s="6">
        <v>2480.1291185122277</v>
      </c>
      <c r="K2302" s="6">
        <v>2974664</v>
      </c>
      <c r="M2302" s="6">
        <f>SUM(H2302,J2302)</f>
        <v>248313.12911851224</v>
      </c>
      <c r="N2302" s="6">
        <f>K2302</f>
        <v>2974664</v>
      </c>
      <c r="O2302" s="6">
        <f>SUM(M2302:N2302)</f>
        <v>3222977.1291185124</v>
      </c>
      <c r="P2302" s="8">
        <f>VLOOKUP(F2302,'LEAID Match'!$A$2:$B$436,2,FALSE)</f>
        <v>1806630</v>
      </c>
      <c r="Q2302" s="6">
        <f>COUNTIF($P$2:$P$3691,P2302)</f>
        <v>9</v>
      </c>
    </row>
    <row r="2303" spans="1:17" x14ac:dyDescent="0.2">
      <c r="A2303" s="16">
        <f>P2303</f>
        <v>1811190</v>
      </c>
      <c r="B2303">
        <v>2015</v>
      </c>
      <c r="C2303" t="s">
        <v>904</v>
      </c>
      <c r="D2303" t="s">
        <v>906</v>
      </c>
      <c r="E2303" t="s">
        <v>3209</v>
      </c>
      <c r="F2303" t="s">
        <v>761</v>
      </c>
      <c r="G2303" t="s">
        <v>253</v>
      </c>
      <c r="H2303" s="6">
        <v>602250</v>
      </c>
      <c r="I2303" s="6">
        <v>2.9285653258740705E-3</v>
      </c>
      <c r="J2303" s="6">
        <v>17017.893108654225</v>
      </c>
      <c r="K2303" s="6">
        <v>2476441.6966043198</v>
      </c>
      <c r="M2303" s="6">
        <f>SUM(H2303,J2303)</f>
        <v>619267.89310865419</v>
      </c>
      <c r="N2303" s="6">
        <f>K2303</f>
        <v>2476441.6966043198</v>
      </c>
      <c r="O2303" s="6">
        <f>SUM(M2303:N2303)</f>
        <v>3095709.5897129741</v>
      </c>
      <c r="P2303" s="8">
        <f>VLOOKUP(F2303,'LEAID Match'!$A$2:$B$436,2,FALSE)</f>
        <v>1811190</v>
      </c>
      <c r="Q2303" s="6">
        <f>COUNTIF($P$2:$P$3691,P2303)</f>
        <v>9</v>
      </c>
    </row>
    <row r="2304" spans="1:17" x14ac:dyDescent="0.2">
      <c r="A2304" s="16">
        <f>P2304</f>
        <v>1811190</v>
      </c>
      <c r="B2304">
        <v>2016</v>
      </c>
      <c r="C2304" t="s">
        <v>904</v>
      </c>
      <c r="D2304" t="s">
        <v>906</v>
      </c>
      <c r="E2304" t="s">
        <v>3210</v>
      </c>
      <c r="F2304" t="s">
        <v>761</v>
      </c>
      <c r="G2304" t="s">
        <v>253</v>
      </c>
      <c r="H2304" s="6">
        <v>615803</v>
      </c>
      <c r="I2304" s="6">
        <v>2.8574015506186105E-3</v>
      </c>
      <c r="J2304" s="6">
        <v>14424.163027522745</v>
      </c>
      <c r="K2304" s="6">
        <v>2535943.8761740099</v>
      </c>
      <c r="M2304" s="6">
        <f>SUM(H2304,J2304)</f>
        <v>630227.16302752274</v>
      </c>
      <c r="N2304" s="6">
        <f>K2304</f>
        <v>2535943.8761740099</v>
      </c>
      <c r="O2304" s="6">
        <f>SUM(M2304:N2304)</f>
        <v>3166171.0392015325</v>
      </c>
      <c r="P2304" s="8">
        <f>VLOOKUP(F2304,'LEAID Match'!$A$2:$B$436,2,FALSE)</f>
        <v>1811190</v>
      </c>
      <c r="Q2304" s="6">
        <f>COUNTIF($P$2:$P$3691,P2304)</f>
        <v>9</v>
      </c>
    </row>
    <row r="2305" spans="1:17" x14ac:dyDescent="0.2">
      <c r="A2305" s="16">
        <f>P2305</f>
        <v>1811190</v>
      </c>
      <c r="B2305">
        <v>2017</v>
      </c>
      <c r="C2305" t="s">
        <v>904</v>
      </c>
      <c r="D2305" t="s">
        <v>906</v>
      </c>
      <c r="E2305" t="s">
        <v>3211</v>
      </c>
      <c r="F2305" t="s">
        <v>761</v>
      </c>
      <c r="G2305" t="s">
        <v>253</v>
      </c>
      <c r="H2305" s="6">
        <v>635165</v>
      </c>
      <c r="I2305" s="6">
        <v>2.7969032224632556E-3</v>
      </c>
      <c r="J2305" s="6">
        <v>12655.987081646232</v>
      </c>
      <c r="K2305" s="6">
        <v>2436102.7067654901</v>
      </c>
      <c r="M2305" s="6">
        <f>SUM(H2305,J2305)</f>
        <v>647820.98708164622</v>
      </c>
      <c r="N2305" s="6">
        <f>K2305</f>
        <v>2436102.7067654901</v>
      </c>
      <c r="O2305" s="6">
        <f>SUM(M2305:N2305)</f>
        <v>3083923.6938471366</v>
      </c>
      <c r="P2305" s="8">
        <f>VLOOKUP(F2305,'LEAID Match'!$A$2:$B$436,2,FALSE)</f>
        <v>1811190</v>
      </c>
      <c r="Q2305" s="6">
        <f>COUNTIF($P$2:$P$3691,P2305)</f>
        <v>9</v>
      </c>
    </row>
    <row r="2306" spans="1:17" x14ac:dyDescent="0.2">
      <c r="A2306" s="16">
        <f>P2306</f>
        <v>1811190</v>
      </c>
      <c r="B2306">
        <v>2018</v>
      </c>
      <c r="C2306" t="s">
        <v>904</v>
      </c>
      <c r="D2306" t="s">
        <v>906</v>
      </c>
      <c r="E2306" t="s">
        <v>3212</v>
      </c>
      <c r="F2306" t="s">
        <v>761</v>
      </c>
      <c r="G2306" t="s">
        <v>253</v>
      </c>
      <c r="H2306" s="6">
        <v>708607</v>
      </c>
      <c r="I2306" s="6">
        <v>3.0061736592264902E-3</v>
      </c>
      <c r="J2306" s="6">
        <v>12529.731811656011</v>
      </c>
      <c r="K2306" s="6">
        <v>3437352</v>
      </c>
      <c r="M2306" s="6">
        <f>SUM(H2306,J2306)</f>
        <v>721136.73181165603</v>
      </c>
      <c r="N2306" s="6">
        <f>K2306</f>
        <v>3437352</v>
      </c>
      <c r="O2306" s="6">
        <f>SUM(M2306:N2306)</f>
        <v>4158488.7318116562</v>
      </c>
      <c r="P2306" s="8">
        <f>VLOOKUP(F2306,'LEAID Match'!$A$2:$B$436,2,FALSE)</f>
        <v>1811190</v>
      </c>
      <c r="Q2306" s="6">
        <f>COUNTIF($P$2:$P$3691,P2306)</f>
        <v>9</v>
      </c>
    </row>
    <row r="2307" spans="1:17" x14ac:dyDescent="0.2">
      <c r="A2307" s="16">
        <f>P2307</f>
        <v>1811190</v>
      </c>
      <c r="B2307">
        <v>2019</v>
      </c>
      <c r="C2307" t="s">
        <v>904</v>
      </c>
      <c r="D2307" t="s">
        <v>906</v>
      </c>
      <c r="E2307" t="s">
        <v>3213</v>
      </c>
      <c r="F2307" t="s">
        <v>761</v>
      </c>
      <c r="G2307" t="s">
        <v>253</v>
      </c>
      <c r="H2307" s="6">
        <v>763536</v>
      </c>
      <c r="I2307" s="6">
        <v>1.9424314430158737E-3</v>
      </c>
      <c r="J2307" s="6">
        <v>6808.2222077706374</v>
      </c>
      <c r="K2307" s="6">
        <v>1833461.03906268</v>
      </c>
      <c r="M2307" s="6">
        <f>SUM(H2307,J2307)</f>
        <v>770344.22220777068</v>
      </c>
      <c r="N2307" s="6">
        <f>K2307</f>
        <v>1833461.03906268</v>
      </c>
      <c r="O2307" s="6">
        <f>SUM(M2307:N2307)</f>
        <v>2603805.2612704504</v>
      </c>
      <c r="P2307" s="8">
        <f>VLOOKUP(F2307,'LEAID Match'!$A$2:$B$436,2,FALSE)</f>
        <v>1811190</v>
      </c>
      <c r="Q2307" s="6">
        <f>COUNTIF($P$2:$P$3691,P2307)</f>
        <v>9</v>
      </c>
    </row>
    <row r="2308" spans="1:17" x14ac:dyDescent="0.2">
      <c r="A2308" s="16">
        <f>P2308</f>
        <v>1811190</v>
      </c>
      <c r="B2308">
        <v>2020</v>
      </c>
      <c r="C2308" t="s">
        <v>904</v>
      </c>
      <c r="D2308" t="s">
        <v>906</v>
      </c>
      <c r="E2308" t="s">
        <v>3214</v>
      </c>
      <c r="F2308" t="s">
        <v>761</v>
      </c>
      <c r="G2308" t="s">
        <v>253</v>
      </c>
      <c r="H2308" s="6">
        <v>586157</v>
      </c>
      <c r="I2308" s="6">
        <v>3.1058746125889602E-3</v>
      </c>
      <c r="J2308" s="6">
        <v>7317.4405872595908</v>
      </c>
      <c r="K2308" s="6">
        <v>3784890</v>
      </c>
      <c r="M2308" s="6">
        <f>SUM(H2308,J2308)</f>
        <v>593474.4405872596</v>
      </c>
      <c r="N2308" s="6">
        <f>K2308</f>
        <v>3784890</v>
      </c>
      <c r="O2308" s="6">
        <f>SUM(M2308:N2308)</f>
        <v>4378364.4405872598</v>
      </c>
      <c r="P2308" s="8">
        <f>VLOOKUP(F2308,'LEAID Match'!$A$2:$B$436,2,FALSE)</f>
        <v>1811190</v>
      </c>
      <c r="Q2308" s="6">
        <f>COUNTIF($P$2:$P$3691,P2308)</f>
        <v>9</v>
      </c>
    </row>
    <row r="2309" spans="1:17" x14ac:dyDescent="0.2">
      <c r="A2309" s="16">
        <f>P2309</f>
        <v>1811190</v>
      </c>
      <c r="B2309">
        <v>2021</v>
      </c>
      <c r="C2309" t="s">
        <v>904</v>
      </c>
      <c r="D2309" t="s">
        <v>906</v>
      </c>
      <c r="E2309" t="s">
        <v>3215</v>
      </c>
      <c r="F2309" t="s">
        <v>761</v>
      </c>
      <c r="G2309" t="s">
        <v>253</v>
      </c>
      <c r="H2309" s="6">
        <v>643391</v>
      </c>
      <c r="I2309" s="6">
        <v>3.1784113746747881E-3</v>
      </c>
      <c r="J2309" s="6">
        <v>7164.139238516972</v>
      </c>
      <c r="K2309" s="6">
        <v>6609121</v>
      </c>
      <c r="M2309" s="6">
        <f>SUM(H2309,J2309)</f>
        <v>650555.13923851692</v>
      </c>
      <c r="N2309" s="6">
        <f>K2309</f>
        <v>6609121</v>
      </c>
      <c r="O2309" s="6">
        <f>SUM(M2309:N2309)</f>
        <v>7259676.1392385168</v>
      </c>
      <c r="P2309" s="8">
        <f>VLOOKUP(F2309,'LEAID Match'!$A$2:$B$436,2,FALSE)</f>
        <v>1811190</v>
      </c>
      <c r="Q2309" s="6">
        <f>COUNTIF($P$2:$P$3691,P2309)</f>
        <v>9</v>
      </c>
    </row>
    <row r="2310" spans="1:17" x14ac:dyDescent="0.2">
      <c r="A2310" s="16">
        <f>P2310</f>
        <v>1811190</v>
      </c>
      <c r="B2310">
        <v>2022</v>
      </c>
      <c r="C2310" t="s">
        <v>904</v>
      </c>
      <c r="D2310" t="s">
        <v>906</v>
      </c>
      <c r="E2310" t="s">
        <v>3216</v>
      </c>
      <c r="F2310" t="s">
        <v>761</v>
      </c>
      <c r="G2310" t="s">
        <v>253</v>
      </c>
      <c r="H2310" s="6">
        <v>680407</v>
      </c>
      <c r="I2310" s="6">
        <v>3.2306988904135421E-3</v>
      </c>
      <c r="J2310" s="6">
        <v>7123.6910533618602</v>
      </c>
      <c r="K2310" s="6">
        <v>6457924</v>
      </c>
      <c r="M2310" s="6">
        <f>SUM(H2310,J2310)</f>
        <v>687530.69105336186</v>
      </c>
      <c r="N2310" s="6">
        <f>K2310</f>
        <v>6457924</v>
      </c>
      <c r="O2310" s="6">
        <f>SUM(M2310:N2310)</f>
        <v>7145454.6910533616</v>
      </c>
      <c r="P2310" s="8">
        <f>VLOOKUP(F2310,'LEAID Match'!$A$2:$B$436,2,FALSE)</f>
        <v>1811190</v>
      </c>
      <c r="Q2310" s="6">
        <f>COUNTIF($P$2:$P$3691,P2310)</f>
        <v>9</v>
      </c>
    </row>
    <row r="2311" spans="1:17" x14ac:dyDescent="0.2">
      <c r="A2311" s="16">
        <f>P2311</f>
        <v>1811190</v>
      </c>
      <c r="B2311">
        <v>2023</v>
      </c>
      <c r="C2311" t="s">
        <v>904</v>
      </c>
      <c r="D2311" t="s">
        <v>906</v>
      </c>
      <c r="E2311" t="s">
        <v>3217</v>
      </c>
      <c r="F2311" t="s">
        <v>761</v>
      </c>
      <c r="G2311" t="s">
        <v>253</v>
      </c>
      <c r="H2311" s="6">
        <v>809616</v>
      </c>
      <c r="I2311" s="6">
        <v>3.3108845944459994E-3</v>
      </c>
      <c r="J2311" s="6">
        <v>8167.9522944982809</v>
      </c>
      <c r="K2311" s="6">
        <v>19541561</v>
      </c>
      <c r="M2311" s="6">
        <f>SUM(H2311,J2311)</f>
        <v>817783.95229449833</v>
      </c>
      <c r="N2311" s="6">
        <f>K2311</f>
        <v>19541561</v>
      </c>
      <c r="O2311" s="6">
        <f>SUM(M2311:N2311)</f>
        <v>20359344.952294499</v>
      </c>
      <c r="P2311" s="8">
        <f>VLOOKUP(F2311,'LEAID Match'!$A$2:$B$436,2,FALSE)</f>
        <v>1811190</v>
      </c>
      <c r="Q2311" s="6">
        <f>COUNTIF($P$2:$P$3691,P2311)</f>
        <v>9</v>
      </c>
    </row>
    <row r="2312" spans="1:17" x14ac:dyDescent="0.2">
      <c r="A2312" s="16">
        <f>P2312</f>
        <v>1810530</v>
      </c>
      <c r="B2312">
        <v>2015</v>
      </c>
      <c r="C2312" t="s">
        <v>904</v>
      </c>
      <c r="D2312" t="s">
        <v>906</v>
      </c>
      <c r="E2312" t="s">
        <v>3218</v>
      </c>
      <c r="F2312" t="s">
        <v>762</v>
      </c>
      <c r="G2312" t="s">
        <v>254</v>
      </c>
      <c r="H2312" s="6">
        <v>191718</v>
      </c>
      <c r="I2312" s="6">
        <v>9.3226847180726447E-4</v>
      </c>
      <c r="J2312" s="6">
        <v>5417.4120896720142</v>
      </c>
      <c r="K2312" s="6">
        <v>788341.13605577103</v>
      </c>
      <c r="M2312" s="6">
        <f>SUM(H2312,J2312)</f>
        <v>197135.41208967203</v>
      </c>
      <c r="N2312" s="6">
        <f>K2312</f>
        <v>788341.13605577103</v>
      </c>
      <c r="O2312" s="6">
        <f>SUM(M2312:N2312)</f>
        <v>985476.54814544308</v>
      </c>
      <c r="P2312" s="8">
        <f>VLOOKUP(F2312,'LEAID Match'!$A$2:$B$436,2,FALSE)</f>
        <v>1810530</v>
      </c>
      <c r="Q2312" s="6">
        <f>COUNTIF($P$2:$P$3691,P2312)</f>
        <v>9</v>
      </c>
    </row>
    <row r="2313" spans="1:17" x14ac:dyDescent="0.2">
      <c r="A2313" s="16">
        <f>P2313</f>
        <v>1810530</v>
      </c>
      <c r="B2313">
        <v>2016</v>
      </c>
      <c r="C2313" t="s">
        <v>904</v>
      </c>
      <c r="D2313" t="s">
        <v>906</v>
      </c>
      <c r="E2313" t="s">
        <v>3219</v>
      </c>
      <c r="F2313" t="s">
        <v>762</v>
      </c>
      <c r="G2313" t="s">
        <v>254</v>
      </c>
      <c r="H2313" s="6">
        <v>212953</v>
      </c>
      <c r="I2313" s="6">
        <v>9.8812807409006591E-4</v>
      </c>
      <c r="J2313" s="6">
        <v>4988.0705180066525</v>
      </c>
      <c r="K2313" s="6">
        <v>876963.66575493303</v>
      </c>
      <c r="M2313" s="6">
        <f>SUM(H2313,J2313)</f>
        <v>217941.07051800666</v>
      </c>
      <c r="N2313" s="6">
        <f>K2313</f>
        <v>876963.66575493303</v>
      </c>
      <c r="O2313" s="6">
        <f>SUM(M2313:N2313)</f>
        <v>1094904.7362729397</v>
      </c>
      <c r="P2313" s="8">
        <f>VLOOKUP(F2313,'LEAID Match'!$A$2:$B$436,2,FALSE)</f>
        <v>1810530</v>
      </c>
      <c r="Q2313" s="6">
        <f>COUNTIF($P$2:$P$3691,P2313)</f>
        <v>9</v>
      </c>
    </row>
    <row r="2314" spans="1:17" x14ac:dyDescent="0.2">
      <c r="A2314" s="16">
        <f>P2314</f>
        <v>1810530</v>
      </c>
      <c r="B2314">
        <v>2017</v>
      </c>
      <c r="C2314" t="s">
        <v>904</v>
      </c>
      <c r="D2314" t="s">
        <v>906</v>
      </c>
      <c r="E2314" t="s">
        <v>3220</v>
      </c>
      <c r="F2314" t="s">
        <v>762</v>
      </c>
      <c r="G2314" t="s">
        <v>254</v>
      </c>
      <c r="H2314" s="6">
        <v>221908</v>
      </c>
      <c r="I2314" s="6">
        <v>9.771558575966499E-4</v>
      </c>
      <c r="J2314" s="6">
        <v>4421.6302556248411</v>
      </c>
      <c r="K2314" s="6">
        <v>851102.75196668203</v>
      </c>
      <c r="M2314" s="6">
        <f>SUM(H2314,J2314)</f>
        <v>226329.63025562483</v>
      </c>
      <c r="N2314" s="6">
        <f>K2314</f>
        <v>851102.75196668203</v>
      </c>
      <c r="O2314" s="6">
        <f>SUM(M2314:N2314)</f>
        <v>1077432.3822223069</v>
      </c>
      <c r="P2314" s="8">
        <f>VLOOKUP(F2314,'LEAID Match'!$A$2:$B$436,2,FALSE)</f>
        <v>1810530</v>
      </c>
      <c r="Q2314" s="6">
        <f>COUNTIF($P$2:$P$3691,P2314)</f>
        <v>9</v>
      </c>
    </row>
    <row r="2315" spans="1:17" x14ac:dyDescent="0.2">
      <c r="A2315" s="16">
        <f>P2315</f>
        <v>1810530</v>
      </c>
      <c r="B2315">
        <v>2018</v>
      </c>
      <c r="C2315" t="s">
        <v>904</v>
      </c>
      <c r="D2315" t="s">
        <v>906</v>
      </c>
      <c r="E2315" t="s">
        <v>3221</v>
      </c>
      <c r="F2315" t="s">
        <v>762</v>
      </c>
      <c r="G2315" t="s">
        <v>254</v>
      </c>
      <c r="H2315" s="6">
        <v>235846</v>
      </c>
      <c r="I2315" s="6">
        <v>1.0005461882735152E-3</v>
      </c>
      <c r="J2315" s="6">
        <v>4170.2765127240118</v>
      </c>
      <c r="K2315" s="6">
        <v>1280195</v>
      </c>
      <c r="M2315" s="6">
        <f>SUM(H2315,J2315)</f>
        <v>240016.276512724</v>
      </c>
      <c r="N2315" s="6">
        <f>K2315</f>
        <v>1280195</v>
      </c>
      <c r="O2315" s="6">
        <f>SUM(M2315:N2315)</f>
        <v>1520211.2765127239</v>
      </c>
      <c r="P2315" s="8">
        <f>VLOOKUP(F2315,'LEAID Match'!$A$2:$B$436,2,FALSE)</f>
        <v>1810530</v>
      </c>
      <c r="Q2315" s="6">
        <f>COUNTIF($P$2:$P$3691,P2315)</f>
        <v>9</v>
      </c>
    </row>
    <row r="2316" spans="1:17" x14ac:dyDescent="0.2">
      <c r="A2316" s="16">
        <f>P2316</f>
        <v>1810530</v>
      </c>
      <c r="B2316">
        <v>2019</v>
      </c>
      <c r="C2316" t="s">
        <v>904</v>
      </c>
      <c r="D2316" t="s">
        <v>906</v>
      </c>
      <c r="E2316" t="s">
        <v>3222</v>
      </c>
      <c r="F2316" t="s">
        <v>762</v>
      </c>
      <c r="G2316" t="s">
        <v>254</v>
      </c>
      <c r="H2316" s="6">
        <v>232381</v>
      </c>
      <c r="I2316" s="6">
        <v>5.9117600369788944E-4</v>
      </c>
      <c r="J2316" s="6">
        <v>2072.0718929611025</v>
      </c>
      <c r="K2316" s="6">
        <v>558011.02989043703</v>
      </c>
      <c r="M2316" s="6">
        <f>SUM(H2316,J2316)</f>
        <v>234453.0718929611</v>
      </c>
      <c r="N2316" s="6">
        <f>K2316</f>
        <v>558011.02989043703</v>
      </c>
      <c r="O2316" s="6">
        <f>SUM(M2316:N2316)</f>
        <v>792464.10178339807</v>
      </c>
      <c r="P2316" s="8">
        <f>VLOOKUP(F2316,'LEAID Match'!$A$2:$B$436,2,FALSE)</f>
        <v>1810530</v>
      </c>
      <c r="Q2316" s="6">
        <f>COUNTIF($P$2:$P$3691,P2316)</f>
        <v>9</v>
      </c>
    </row>
    <row r="2317" spans="1:17" x14ac:dyDescent="0.2">
      <c r="A2317" s="16">
        <f>P2317</f>
        <v>1810530</v>
      </c>
      <c r="B2317">
        <v>2020</v>
      </c>
      <c r="C2317" t="s">
        <v>904</v>
      </c>
      <c r="D2317" t="s">
        <v>906</v>
      </c>
      <c r="E2317" t="s">
        <v>3223</v>
      </c>
      <c r="F2317" t="s">
        <v>762</v>
      </c>
      <c r="G2317" t="s">
        <v>254</v>
      </c>
      <c r="H2317" s="6">
        <v>173924</v>
      </c>
      <c r="I2317" s="6">
        <v>9.2157243898805658E-4</v>
      </c>
      <c r="J2317" s="6">
        <v>2171.2246662558614</v>
      </c>
      <c r="K2317" s="6">
        <v>1375317</v>
      </c>
      <c r="M2317" s="6">
        <f>SUM(H2317,J2317)</f>
        <v>176095.22466625588</v>
      </c>
      <c r="N2317" s="6">
        <f>K2317</f>
        <v>1375317</v>
      </c>
      <c r="O2317" s="6">
        <f>SUM(M2317:N2317)</f>
        <v>1551412.224666256</v>
      </c>
      <c r="P2317" s="8">
        <f>VLOOKUP(F2317,'LEAID Match'!$A$2:$B$436,2,FALSE)</f>
        <v>1810530</v>
      </c>
      <c r="Q2317" s="6">
        <f>COUNTIF($P$2:$P$3691,P2317)</f>
        <v>9</v>
      </c>
    </row>
    <row r="2318" spans="1:17" x14ac:dyDescent="0.2">
      <c r="A2318" s="16">
        <f>P2318</f>
        <v>1810530</v>
      </c>
      <c r="B2318">
        <v>2021</v>
      </c>
      <c r="C2318" t="s">
        <v>904</v>
      </c>
      <c r="D2318" t="s">
        <v>906</v>
      </c>
      <c r="E2318" t="s">
        <v>3224</v>
      </c>
      <c r="F2318" t="s">
        <v>762</v>
      </c>
      <c r="G2318" t="s">
        <v>254</v>
      </c>
      <c r="H2318" s="6">
        <v>186130</v>
      </c>
      <c r="I2318" s="6">
        <v>9.1949950989090353E-4</v>
      </c>
      <c r="J2318" s="6">
        <v>2072.5518952940965</v>
      </c>
      <c r="K2318" s="6">
        <v>2416263</v>
      </c>
      <c r="M2318" s="6">
        <f>SUM(H2318,J2318)</f>
        <v>188202.55189529411</v>
      </c>
      <c r="N2318" s="6">
        <f>K2318</f>
        <v>2416263</v>
      </c>
      <c r="O2318" s="6">
        <f>SUM(M2318:N2318)</f>
        <v>2604465.5518952943</v>
      </c>
      <c r="P2318" s="8">
        <f>VLOOKUP(F2318,'LEAID Match'!$A$2:$B$436,2,FALSE)</f>
        <v>1810530</v>
      </c>
      <c r="Q2318" s="6">
        <f>COUNTIF($P$2:$P$3691,P2318)</f>
        <v>9</v>
      </c>
    </row>
    <row r="2319" spans="1:17" x14ac:dyDescent="0.2">
      <c r="A2319" s="16">
        <f>P2319</f>
        <v>1810530</v>
      </c>
      <c r="B2319">
        <v>2022</v>
      </c>
      <c r="C2319" t="s">
        <v>904</v>
      </c>
      <c r="D2319" t="s">
        <v>906</v>
      </c>
      <c r="E2319" t="s">
        <v>3225</v>
      </c>
      <c r="F2319" t="s">
        <v>762</v>
      </c>
      <c r="G2319" t="s">
        <v>254</v>
      </c>
      <c r="H2319" s="6">
        <v>198628</v>
      </c>
      <c r="I2319" s="6">
        <v>9.4312265923933913E-4</v>
      </c>
      <c r="J2319" s="6">
        <v>2079.5854636227427</v>
      </c>
      <c r="K2319" s="6">
        <v>2373988</v>
      </c>
      <c r="M2319" s="6">
        <f>SUM(H2319,J2319)</f>
        <v>200707.58546362273</v>
      </c>
      <c r="N2319" s="6">
        <f>K2319</f>
        <v>2373988</v>
      </c>
      <c r="O2319" s="6">
        <f>SUM(M2319:N2319)</f>
        <v>2574695.5854636226</v>
      </c>
      <c r="P2319" s="8">
        <f>VLOOKUP(F2319,'LEAID Match'!$A$2:$B$436,2,FALSE)</f>
        <v>1810530</v>
      </c>
      <c r="Q2319" s="6">
        <f>COUNTIF($P$2:$P$3691,P2319)</f>
        <v>9</v>
      </c>
    </row>
    <row r="2320" spans="1:17" x14ac:dyDescent="0.2">
      <c r="A2320" s="16">
        <f>P2320</f>
        <v>1810530</v>
      </c>
      <c r="B2320">
        <v>2023</v>
      </c>
      <c r="C2320" t="s">
        <v>904</v>
      </c>
      <c r="D2320" t="s">
        <v>906</v>
      </c>
      <c r="E2320" t="s">
        <v>3226</v>
      </c>
      <c r="F2320" t="s">
        <v>762</v>
      </c>
      <c r="G2320" t="s">
        <v>254</v>
      </c>
      <c r="H2320" s="6">
        <v>237048</v>
      </c>
      <c r="I2320" s="6">
        <v>9.6939607337828703E-4</v>
      </c>
      <c r="J2320" s="6">
        <v>2391.500113024234</v>
      </c>
      <c r="K2320" s="6">
        <v>7315116</v>
      </c>
      <c r="M2320" s="6">
        <f>SUM(H2320,J2320)</f>
        <v>239439.50011302423</v>
      </c>
      <c r="N2320" s="6">
        <f>K2320</f>
        <v>7315116</v>
      </c>
      <c r="O2320" s="6">
        <f>SUM(M2320:N2320)</f>
        <v>7554555.5001130244</v>
      </c>
      <c r="P2320" s="8">
        <f>VLOOKUP(F2320,'LEAID Match'!$A$2:$B$436,2,FALSE)</f>
        <v>1810530</v>
      </c>
      <c r="Q2320" s="6">
        <f>COUNTIF($P$2:$P$3691,P2320)</f>
        <v>9</v>
      </c>
    </row>
    <row r="2321" spans="1:17" x14ac:dyDescent="0.2">
      <c r="A2321" s="16">
        <f>P2321</f>
        <v>1804800</v>
      </c>
      <c r="B2321">
        <v>2015</v>
      </c>
      <c r="C2321" t="s">
        <v>904</v>
      </c>
      <c r="D2321" t="s">
        <v>906</v>
      </c>
      <c r="E2321" t="s">
        <v>3227</v>
      </c>
      <c r="F2321" t="s">
        <v>576</v>
      </c>
      <c r="G2321" t="s">
        <v>255</v>
      </c>
      <c r="H2321" s="6">
        <v>150187</v>
      </c>
      <c r="I2321" s="6">
        <v>7.3031538496811787E-4</v>
      </c>
      <c r="J2321" s="6">
        <v>4243.8627020497333</v>
      </c>
      <c r="K2321" s="6">
        <v>617566.37457519898</v>
      </c>
      <c r="M2321" s="6">
        <f>SUM(H2321,J2321)</f>
        <v>154430.86270204972</v>
      </c>
      <c r="N2321" s="6">
        <f>K2321</f>
        <v>617566.37457519898</v>
      </c>
      <c r="O2321" s="6">
        <f>SUM(M2321:N2321)</f>
        <v>771997.23727724864</v>
      </c>
      <c r="P2321" s="8">
        <f>VLOOKUP(F2321,'LEAID Match'!$A$2:$B$436,2,FALSE)</f>
        <v>1804800</v>
      </c>
      <c r="Q2321" s="6">
        <f>COUNTIF($P$2:$P$3691,P2321)</f>
        <v>9</v>
      </c>
    </row>
    <row r="2322" spans="1:17" x14ac:dyDescent="0.2">
      <c r="A2322" s="16">
        <f>P2322</f>
        <v>1804800</v>
      </c>
      <c r="B2322">
        <v>2016</v>
      </c>
      <c r="C2322" t="s">
        <v>904</v>
      </c>
      <c r="D2322" t="s">
        <v>906</v>
      </c>
      <c r="E2322" t="s">
        <v>3228</v>
      </c>
      <c r="F2322" t="s">
        <v>576</v>
      </c>
      <c r="G2322" t="s">
        <v>255</v>
      </c>
      <c r="H2322" s="6">
        <v>159538</v>
      </c>
      <c r="I2322" s="6">
        <v>7.4027591385977635E-4</v>
      </c>
      <c r="J2322" s="6">
        <v>3736.912813164151</v>
      </c>
      <c r="K2322" s="6">
        <v>656994.87355055101</v>
      </c>
      <c r="M2322" s="6">
        <f>SUM(H2322,J2322)</f>
        <v>163274.91281316415</v>
      </c>
      <c r="N2322" s="6">
        <f>K2322</f>
        <v>656994.87355055101</v>
      </c>
      <c r="O2322" s="6">
        <f>SUM(M2322:N2322)</f>
        <v>820269.78636371519</v>
      </c>
      <c r="P2322" s="8">
        <f>VLOOKUP(F2322,'LEAID Match'!$A$2:$B$436,2,FALSE)</f>
        <v>1804800</v>
      </c>
      <c r="Q2322" s="6">
        <f>COUNTIF($P$2:$P$3691,P2322)</f>
        <v>9</v>
      </c>
    </row>
    <row r="2323" spans="1:17" x14ac:dyDescent="0.2">
      <c r="A2323" s="16">
        <f>P2323</f>
        <v>1804800</v>
      </c>
      <c r="B2323">
        <v>2017</v>
      </c>
      <c r="C2323" t="s">
        <v>904</v>
      </c>
      <c r="D2323" t="s">
        <v>906</v>
      </c>
      <c r="E2323" t="s">
        <v>3229</v>
      </c>
      <c r="F2323" t="s">
        <v>576</v>
      </c>
      <c r="G2323" t="s">
        <v>255</v>
      </c>
      <c r="H2323" s="6">
        <v>168565</v>
      </c>
      <c r="I2323" s="6">
        <v>7.4226380813571064E-4</v>
      </c>
      <c r="J2323" s="6">
        <v>3358.7437318140906</v>
      </c>
      <c r="K2323" s="6">
        <v>646511.77688620402</v>
      </c>
      <c r="M2323" s="6">
        <f>SUM(H2323,J2323)</f>
        <v>171923.74373181409</v>
      </c>
      <c r="N2323" s="6">
        <f>K2323</f>
        <v>646511.77688620402</v>
      </c>
      <c r="O2323" s="6">
        <f>SUM(M2323:N2323)</f>
        <v>818435.52061801811</v>
      </c>
      <c r="P2323" s="8">
        <f>VLOOKUP(F2323,'LEAID Match'!$A$2:$B$436,2,FALSE)</f>
        <v>1804800</v>
      </c>
      <c r="Q2323" s="6">
        <f>COUNTIF($P$2:$P$3691,P2323)</f>
        <v>9</v>
      </c>
    </row>
    <row r="2324" spans="1:17" x14ac:dyDescent="0.2">
      <c r="A2324" s="16">
        <f>P2324</f>
        <v>1804800</v>
      </c>
      <c r="B2324">
        <v>2018</v>
      </c>
      <c r="C2324" t="s">
        <v>904</v>
      </c>
      <c r="D2324" t="s">
        <v>906</v>
      </c>
      <c r="E2324" t="s">
        <v>3230</v>
      </c>
      <c r="F2324" t="s">
        <v>576</v>
      </c>
      <c r="G2324" t="s">
        <v>255</v>
      </c>
      <c r="H2324" s="6">
        <v>171830</v>
      </c>
      <c r="I2324" s="6">
        <v>7.2896657789845115E-4</v>
      </c>
      <c r="J2324" s="6">
        <v>3038.3326966807444</v>
      </c>
      <c r="K2324" s="6">
        <v>812892</v>
      </c>
      <c r="M2324" s="6">
        <f>SUM(H2324,J2324)</f>
        <v>174868.33269668074</v>
      </c>
      <c r="N2324" s="6">
        <f>K2324</f>
        <v>812892</v>
      </c>
      <c r="O2324" s="6">
        <f>SUM(M2324:N2324)</f>
        <v>987760.33269668068</v>
      </c>
      <c r="P2324" s="8">
        <f>VLOOKUP(F2324,'LEAID Match'!$A$2:$B$436,2,FALSE)</f>
        <v>1804800</v>
      </c>
      <c r="Q2324" s="6">
        <f>COUNTIF($P$2:$P$3691,P2324)</f>
        <v>9</v>
      </c>
    </row>
    <row r="2325" spans="1:17" x14ac:dyDescent="0.2">
      <c r="A2325" s="16">
        <f>P2325</f>
        <v>1804800</v>
      </c>
      <c r="B2325">
        <v>2019</v>
      </c>
      <c r="C2325" t="s">
        <v>904</v>
      </c>
      <c r="D2325" t="s">
        <v>906</v>
      </c>
      <c r="E2325" t="s">
        <v>3231</v>
      </c>
      <c r="F2325" t="s">
        <v>576</v>
      </c>
      <c r="G2325" t="s">
        <v>255</v>
      </c>
      <c r="H2325" s="6">
        <v>183487</v>
      </c>
      <c r="I2325" s="6">
        <v>4.6678993287108084E-4</v>
      </c>
      <c r="J2325" s="6">
        <v>1636.0987147131384</v>
      </c>
      <c r="K2325" s="6">
        <v>440603.01763701299</v>
      </c>
      <c r="M2325" s="6">
        <f>SUM(H2325,J2325)</f>
        <v>185123.09871471315</v>
      </c>
      <c r="N2325" s="6">
        <f>K2325</f>
        <v>440603.01763701299</v>
      </c>
      <c r="O2325" s="6">
        <f>SUM(M2325:N2325)</f>
        <v>625726.11635172612</v>
      </c>
      <c r="P2325" s="8">
        <f>VLOOKUP(F2325,'LEAID Match'!$A$2:$B$436,2,FALSE)</f>
        <v>1804800</v>
      </c>
      <c r="Q2325" s="6">
        <f>COUNTIF($P$2:$P$3691,P2325)</f>
        <v>9</v>
      </c>
    </row>
    <row r="2326" spans="1:17" x14ac:dyDescent="0.2">
      <c r="A2326" s="16">
        <f>P2326</f>
        <v>1804800</v>
      </c>
      <c r="B2326">
        <v>2020</v>
      </c>
      <c r="C2326" t="s">
        <v>904</v>
      </c>
      <c r="D2326" t="s">
        <v>906</v>
      </c>
      <c r="E2326" t="s">
        <v>3232</v>
      </c>
      <c r="F2326" t="s">
        <v>576</v>
      </c>
      <c r="G2326" t="s">
        <v>255</v>
      </c>
      <c r="H2326" s="6">
        <v>144883</v>
      </c>
      <c r="I2326" s="6">
        <v>7.6769266850984692E-4</v>
      </c>
      <c r="J2326" s="6">
        <v>1808.6839270091994</v>
      </c>
      <c r="K2326" s="6">
        <v>820315</v>
      </c>
      <c r="M2326" s="6">
        <f>SUM(H2326,J2326)</f>
        <v>146691.6839270092</v>
      </c>
      <c r="N2326" s="6">
        <f>K2326</f>
        <v>820315</v>
      </c>
      <c r="O2326" s="6">
        <f>SUM(M2326:N2326)</f>
        <v>967006.68392700923</v>
      </c>
      <c r="P2326" s="8">
        <f>VLOOKUP(F2326,'LEAID Match'!$A$2:$B$436,2,FALSE)</f>
        <v>1804800</v>
      </c>
      <c r="Q2326" s="6">
        <f>COUNTIF($P$2:$P$3691,P2326)</f>
        <v>9</v>
      </c>
    </row>
    <row r="2327" spans="1:17" x14ac:dyDescent="0.2">
      <c r="A2327" s="16">
        <f>P2327</f>
        <v>1804800</v>
      </c>
      <c r="B2327">
        <v>2021</v>
      </c>
      <c r="C2327" t="s">
        <v>904</v>
      </c>
      <c r="D2327" t="s">
        <v>906</v>
      </c>
      <c r="E2327" t="s">
        <v>3233</v>
      </c>
      <c r="F2327" t="s">
        <v>576</v>
      </c>
      <c r="G2327" t="s">
        <v>255</v>
      </c>
      <c r="H2327" s="6">
        <v>143754</v>
      </c>
      <c r="I2327" s="6">
        <v>7.1015812896823162E-4</v>
      </c>
      <c r="J2327" s="6">
        <v>1600.696422694394</v>
      </c>
      <c r="K2327" s="6">
        <v>1380357</v>
      </c>
      <c r="M2327" s="6">
        <f>SUM(H2327,J2327)</f>
        <v>145354.6964226944</v>
      </c>
      <c r="N2327" s="6">
        <f>K2327</f>
        <v>1380357</v>
      </c>
      <c r="O2327" s="6">
        <f>SUM(M2327:N2327)</f>
        <v>1525711.6964226945</v>
      </c>
      <c r="P2327" s="8">
        <f>VLOOKUP(F2327,'LEAID Match'!$A$2:$B$436,2,FALSE)</f>
        <v>1804800</v>
      </c>
      <c r="Q2327" s="6">
        <f>COUNTIF($P$2:$P$3691,P2327)</f>
        <v>9</v>
      </c>
    </row>
    <row r="2328" spans="1:17" x14ac:dyDescent="0.2">
      <c r="A2328" s="16">
        <f>P2328</f>
        <v>1804800</v>
      </c>
      <c r="B2328">
        <v>2022</v>
      </c>
      <c r="C2328" t="s">
        <v>904</v>
      </c>
      <c r="D2328" t="s">
        <v>906</v>
      </c>
      <c r="E2328" t="s">
        <v>3234</v>
      </c>
      <c r="F2328" t="s">
        <v>576</v>
      </c>
      <c r="G2328" t="s">
        <v>255</v>
      </c>
      <c r="H2328" s="6">
        <v>142182</v>
      </c>
      <c r="I2328" s="6">
        <v>6.7510656068614549E-4</v>
      </c>
      <c r="J2328" s="6">
        <v>1488.6099663129507</v>
      </c>
      <c r="K2328" s="6">
        <v>1359555</v>
      </c>
      <c r="M2328" s="6">
        <f>SUM(H2328,J2328)</f>
        <v>143670.60996631294</v>
      </c>
      <c r="N2328" s="6">
        <f>K2328</f>
        <v>1359555</v>
      </c>
      <c r="O2328" s="6">
        <f>SUM(M2328:N2328)</f>
        <v>1503225.609966313</v>
      </c>
      <c r="P2328" s="8">
        <f>VLOOKUP(F2328,'LEAID Match'!$A$2:$B$436,2,FALSE)</f>
        <v>1804800</v>
      </c>
      <c r="Q2328" s="6">
        <f>COUNTIF($P$2:$P$3691,P2328)</f>
        <v>9</v>
      </c>
    </row>
    <row r="2329" spans="1:17" x14ac:dyDescent="0.2">
      <c r="A2329" s="16">
        <f>P2329</f>
        <v>1804800</v>
      </c>
      <c r="B2329">
        <v>2023</v>
      </c>
      <c r="C2329" t="s">
        <v>904</v>
      </c>
      <c r="D2329" t="s">
        <v>906</v>
      </c>
      <c r="E2329" t="s">
        <v>3235</v>
      </c>
      <c r="F2329" t="s">
        <v>576</v>
      </c>
      <c r="G2329" t="s">
        <v>255</v>
      </c>
      <c r="H2329" s="6">
        <v>164841</v>
      </c>
      <c r="I2329" s="6">
        <v>6.7410911769662783E-4</v>
      </c>
      <c r="J2329" s="6">
        <v>1663.0271933575809</v>
      </c>
      <c r="K2329" s="6">
        <v>3790749</v>
      </c>
      <c r="M2329" s="6">
        <f>SUM(H2329,J2329)</f>
        <v>166504.02719335759</v>
      </c>
      <c r="N2329" s="6">
        <f>K2329</f>
        <v>3790749</v>
      </c>
      <c r="O2329" s="6">
        <f>SUM(M2329:N2329)</f>
        <v>3957253.0271933577</v>
      </c>
      <c r="P2329" s="8">
        <f>VLOOKUP(F2329,'LEAID Match'!$A$2:$B$436,2,FALSE)</f>
        <v>1804800</v>
      </c>
      <c r="Q2329" s="6">
        <f>COUNTIF($P$2:$P$3691,P2329)</f>
        <v>9</v>
      </c>
    </row>
    <row r="2330" spans="1:17" x14ac:dyDescent="0.2">
      <c r="A2330" s="16">
        <f>P2330</f>
        <v>1810660</v>
      </c>
      <c r="B2330">
        <v>2015</v>
      </c>
      <c r="C2330" t="s">
        <v>904</v>
      </c>
      <c r="D2330" t="s">
        <v>906</v>
      </c>
      <c r="E2330" t="s">
        <v>3236</v>
      </c>
      <c r="F2330" t="s">
        <v>577</v>
      </c>
      <c r="G2330" t="s">
        <v>256</v>
      </c>
      <c r="H2330" s="6">
        <v>97685</v>
      </c>
      <c r="I2330" s="6">
        <v>4.7501353899212712E-4</v>
      </c>
      <c r="J2330" s="6">
        <v>2760.3036750832507</v>
      </c>
      <c r="K2330" s="6">
        <v>401679.04878836602</v>
      </c>
      <c r="M2330" s="6">
        <f>SUM(H2330,J2330)</f>
        <v>100445.30367508325</v>
      </c>
      <c r="N2330" s="6">
        <f>K2330</f>
        <v>401679.04878836602</v>
      </c>
      <c r="O2330" s="6">
        <f>SUM(M2330:N2330)</f>
        <v>502124.35246344929</v>
      </c>
      <c r="P2330" s="8">
        <f>VLOOKUP(F2330,'LEAID Match'!$A$2:$B$436,2,FALSE)</f>
        <v>1810660</v>
      </c>
      <c r="Q2330" s="6">
        <f>COUNTIF($P$2:$P$3691,P2330)</f>
        <v>9</v>
      </c>
    </row>
    <row r="2331" spans="1:17" x14ac:dyDescent="0.2">
      <c r="A2331" s="16">
        <f>P2331</f>
        <v>1810660</v>
      </c>
      <c r="B2331">
        <v>2016</v>
      </c>
      <c r="C2331" t="s">
        <v>904</v>
      </c>
      <c r="D2331" t="s">
        <v>906</v>
      </c>
      <c r="E2331" t="s">
        <v>3237</v>
      </c>
      <c r="F2331" t="s">
        <v>577</v>
      </c>
      <c r="G2331" t="s">
        <v>256</v>
      </c>
      <c r="H2331" s="6">
        <v>96829</v>
      </c>
      <c r="I2331" s="6">
        <v>4.492984521752077E-4</v>
      </c>
      <c r="J2331" s="6">
        <v>2268.0585865804483</v>
      </c>
      <c r="K2331" s="6">
        <v>398752.37630549597</v>
      </c>
      <c r="M2331" s="6">
        <f>SUM(H2331,J2331)</f>
        <v>99097.058586580446</v>
      </c>
      <c r="N2331" s="6">
        <f>K2331</f>
        <v>398752.37630549597</v>
      </c>
      <c r="O2331" s="6">
        <f>SUM(M2331:N2331)</f>
        <v>497849.43489207642</v>
      </c>
      <c r="P2331" s="8">
        <f>VLOOKUP(F2331,'LEAID Match'!$A$2:$B$436,2,FALSE)</f>
        <v>1810660</v>
      </c>
      <c r="Q2331" s="6">
        <f>COUNTIF($P$2:$P$3691,P2331)</f>
        <v>9</v>
      </c>
    </row>
    <row r="2332" spans="1:17" x14ac:dyDescent="0.2">
      <c r="A2332" s="16">
        <f>P2332</f>
        <v>1810660</v>
      </c>
      <c r="B2332">
        <v>2017</v>
      </c>
      <c r="C2332" t="s">
        <v>904</v>
      </c>
      <c r="D2332" t="s">
        <v>906</v>
      </c>
      <c r="E2332" t="s">
        <v>3238</v>
      </c>
      <c r="F2332" t="s">
        <v>577</v>
      </c>
      <c r="G2332" t="s">
        <v>256</v>
      </c>
      <c r="H2332" s="6">
        <v>100987</v>
      </c>
      <c r="I2332" s="6">
        <v>4.4468896385489878E-4</v>
      </c>
      <c r="J2332" s="6">
        <v>2012.217561443417</v>
      </c>
      <c r="K2332" s="6">
        <v>387324.08751761599</v>
      </c>
      <c r="M2332" s="6">
        <f>SUM(H2332,J2332)</f>
        <v>102999.21756144342</v>
      </c>
      <c r="N2332" s="6">
        <f>K2332</f>
        <v>387324.08751761599</v>
      </c>
      <c r="O2332" s="6">
        <f>SUM(M2332:N2332)</f>
        <v>490323.30507905944</v>
      </c>
      <c r="P2332" s="8">
        <f>VLOOKUP(F2332,'LEAID Match'!$A$2:$B$436,2,FALSE)</f>
        <v>1810660</v>
      </c>
      <c r="Q2332" s="6">
        <f>COUNTIF($P$2:$P$3691,P2332)</f>
        <v>9</v>
      </c>
    </row>
    <row r="2333" spans="1:17" x14ac:dyDescent="0.2">
      <c r="A2333" s="16">
        <f>P2333</f>
        <v>1810660</v>
      </c>
      <c r="B2333">
        <v>2018</v>
      </c>
      <c r="C2333" t="s">
        <v>904</v>
      </c>
      <c r="D2333" t="s">
        <v>906</v>
      </c>
      <c r="E2333" t="s">
        <v>3239</v>
      </c>
      <c r="F2333" t="s">
        <v>577</v>
      </c>
      <c r="G2333" t="s">
        <v>256</v>
      </c>
      <c r="H2333" s="6">
        <v>97750</v>
      </c>
      <c r="I2333" s="6">
        <v>4.1469174759688996E-4</v>
      </c>
      <c r="J2333" s="6">
        <v>1728.4352039838373</v>
      </c>
      <c r="K2333" s="6">
        <v>233330</v>
      </c>
      <c r="M2333" s="6">
        <f>SUM(H2333,J2333)</f>
        <v>99478.435203983841</v>
      </c>
      <c r="N2333" s="6">
        <f>K2333</f>
        <v>233330</v>
      </c>
      <c r="O2333" s="6">
        <f>SUM(M2333:N2333)</f>
        <v>332808.43520398386</v>
      </c>
      <c r="P2333" s="8">
        <f>VLOOKUP(F2333,'LEAID Match'!$A$2:$B$436,2,FALSE)</f>
        <v>1810660</v>
      </c>
      <c r="Q2333" s="6">
        <f>COUNTIF($P$2:$P$3691,P2333)</f>
        <v>9</v>
      </c>
    </row>
    <row r="2334" spans="1:17" x14ac:dyDescent="0.2">
      <c r="A2334" s="16">
        <f>P2334</f>
        <v>1810660</v>
      </c>
      <c r="B2334">
        <v>2019</v>
      </c>
      <c r="C2334" t="s">
        <v>904</v>
      </c>
      <c r="D2334" t="s">
        <v>906</v>
      </c>
      <c r="E2334" t="s">
        <v>3240</v>
      </c>
      <c r="F2334" t="s">
        <v>577</v>
      </c>
      <c r="G2334" t="s">
        <v>256</v>
      </c>
      <c r="H2334" s="6">
        <v>94635</v>
      </c>
      <c r="I2334" s="6">
        <v>2.4075092675369229E-4</v>
      </c>
      <c r="J2334" s="6">
        <v>843.83199827169142</v>
      </c>
      <c r="K2334" s="6">
        <v>227244.79976281</v>
      </c>
      <c r="M2334" s="6">
        <f>SUM(H2334,J2334)</f>
        <v>95478.831998271693</v>
      </c>
      <c r="N2334" s="6">
        <f>K2334</f>
        <v>227244.79976281</v>
      </c>
      <c r="O2334" s="6">
        <f>SUM(M2334:N2334)</f>
        <v>322723.63176108169</v>
      </c>
      <c r="P2334" s="8">
        <f>VLOOKUP(F2334,'LEAID Match'!$A$2:$B$436,2,FALSE)</f>
        <v>1810660</v>
      </c>
      <c r="Q2334" s="6">
        <f>COUNTIF($P$2:$P$3691,P2334)</f>
        <v>9</v>
      </c>
    </row>
    <row r="2335" spans="1:17" x14ac:dyDescent="0.2">
      <c r="A2335" s="16">
        <f>P2335</f>
        <v>1810660</v>
      </c>
      <c r="B2335">
        <v>2020</v>
      </c>
      <c r="C2335" t="s">
        <v>904</v>
      </c>
      <c r="D2335" t="s">
        <v>906</v>
      </c>
      <c r="E2335" t="s">
        <v>3241</v>
      </c>
      <c r="F2335" t="s">
        <v>577</v>
      </c>
      <c r="G2335" t="s">
        <v>256</v>
      </c>
      <c r="H2335" s="6">
        <v>68068</v>
      </c>
      <c r="I2335" s="6">
        <v>3.6067243610449988E-4</v>
      </c>
      <c r="J2335" s="6">
        <v>849.74425946220174</v>
      </c>
      <c r="K2335" s="6">
        <v>252980</v>
      </c>
      <c r="M2335" s="6">
        <f>SUM(H2335,J2335)</f>
        <v>68917.744259462197</v>
      </c>
      <c r="N2335" s="6">
        <f>K2335</f>
        <v>252980</v>
      </c>
      <c r="O2335" s="6">
        <f>SUM(M2335:N2335)</f>
        <v>321897.74425946223</v>
      </c>
      <c r="P2335" s="8">
        <f>VLOOKUP(F2335,'LEAID Match'!$A$2:$B$436,2,FALSE)</f>
        <v>1810660</v>
      </c>
      <c r="Q2335" s="6">
        <f>COUNTIF($P$2:$P$3691,P2335)</f>
        <v>9</v>
      </c>
    </row>
    <row r="2336" spans="1:17" x14ac:dyDescent="0.2">
      <c r="A2336" s="16">
        <f>P2336</f>
        <v>1810660</v>
      </c>
      <c r="B2336">
        <v>2021</v>
      </c>
      <c r="C2336" t="s">
        <v>904</v>
      </c>
      <c r="D2336" t="s">
        <v>906</v>
      </c>
      <c r="E2336" t="s">
        <v>3242</v>
      </c>
      <c r="F2336" t="s">
        <v>577</v>
      </c>
      <c r="G2336" t="s">
        <v>256</v>
      </c>
      <c r="H2336" s="6">
        <v>69559</v>
      </c>
      <c r="I2336" s="6">
        <v>3.4362792891259528E-4</v>
      </c>
      <c r="J2336" s="6">
        <v>774.53735176898977</v>
      </c>
      <c r="K2336" s="6">
        <v>409823</v>
      </c>
      <c r="M2336" s="6">
        <f>SUM(H2336,J2336)</f>
        <v>70333.537351768988</v>
      </c>
      <c r="N2336" s="6">
        <f>K2336</f>
        <v>409823</v>
      </c>
      <c r="O2336" s="6">
        <f>SUM(M2336:N2336)</f>
        <v>480156.53735176899</v>
      </c>
      <c r="P2336" s="8">
        <f>VLOOKUP(F2336,'LEAID Match'!$A$2:$B$436,2,FALSE)</f>
        <v>1810660</v>
      </c>
      <c r="Q2336" s="6">
        <f>COUNTIF($P$2:$P$3691,P2336)</f>
        <v>9</v>
      </c>
    </row>
    <row r="2337" spans="1:17" x14ac:dyDescent="0.2">
      <c r="A2337" s="16">
        <f>P2337</f>
        <v>1810660</v>
      </c>
      <c r="B2337">
        <v>2022</v>
      </c>
      <c r="C2337" t="s">
        <v>904</v>
      </c>
      <c r="D2337" t="s">
        <v>906</v>
      </c>
      <c r="E2337" t="s">
        <v>3243</v>
      </c>
      <c r="F2337" t="s">
        <v>577</v>
      </c>
      <c r="G2337" t="s">
        <v>256</v>
      </c>
      <c r="H2337" s="6">
        <v>62310</v>
      </c>
      <c r="I2337" s="6">
        <v>2.9585946038425208E-4</v>
      </c>
      <c r="J2337" s="6">
        <v>652.3701101472758</v>
      </c>
      <c r="K2337" s="6">
        <v>390393</v>
      </c>
      <c r="M2337" s="6">
        <f>SUM(H2337,J2337)</f>
        <v>62962.370110147276</v>
      </c>
      <c r="N2337" s="6">
        <f>K2337</f>
        <v>390393</v>
      </c>
      <c r="O2337" s="6">
        <f>SUM(M2337:N2337)</f>
        <v>453355.37011014728</v>
      </c>
      <c r="P2337" s="8">
        <f>VLOOKUP(F2337,'LEAID Match'!$A$2:$B$436,2,FALSE)</f>
        <v>1810660</v>
      </c>
      <c r="Q2337" s="6">
        <f>COUNTIF($P$2:$P$3691,P2337)</f>
        <v>9</v>
      </c>
    </row>
    <row r="2338" spans="1:17" x14ac:dyDescent="0.2">
      <c r="A2338" s="16">
        <f>P2338</f>
        <v>1810660</v>
      </c>
      <c r="B2338">
        <v>2023</v>
      </c>
      <c r="C2338" t="s">
        <v>904</v>
      </c>
      <c r="D2338" t="s">
        <v>906</v>
      </c>
      <c r="E2338" t="s">
        <v>3244</v>
      </c>
      <c r="F2338" t="s">
        <v>577</v>
      </c>
      <c r="G2338" t="s">
        <v>256</v>
      </c>
      <c r="H2338" s="6">
        <v>68099</v>
      </c>
      <c r="I2338" s="6">
        <v>2.7848749283262449E-4</v>
      </c>
      <c r="J2338" s="6">
        <v>687.02864481808456</v>
      </c>
      <c r="K2338" s="6">
        <v>938053</v>
      </c>
      <c r="M2338" s="6">
        <f>SUM(H2338,J2338)</f>
        <v>68786.028644818085</v>
      </c>
      <c r="N2338" s="6">
        <f>K2338</f>
        <v>938053</v>
      </c>
      <c r="O2338" s="6">
        <f>SUM(M2338:N2338)</f>
        <v>1006839.0286448181</v>
      </c>
      <c r="P2338" s="8">
        <f>VLOOKUP(F2338,'LEAID Match'!$A$2:$B$436,2,FALSE)</f>
        <v>1810660</v>
      </c>
      <c r="Q2338" s="6">
        <f>COUNTIF($P$2:$P$3691,P2338)</f>
        <v>9</v>
      </c>
    </row>
    <row r="2339" spans="1:17" x14ac:dyDescent="0.2">
      <c r="A2339" s="16">
        <f>P2339</f>
        <v>1800106</v>
      </c>
      <c r="B2339">
        <v>2015</v>
      </c>
      <c r="C2339" t="s">
        <v>904</v>
      </c>
      <c r="D2339" t="s">
        <v>906</v>
      </c>
      <c r="E2339" t="s">
        <v>3245</v>
      </c>
      <c r="F2339" t="s">
        <v>763</v>
      </c>
      <c r="G2339" t="s">
        <v>257</v>
      </c>
      <c r="H2339" s="6">
        <v>7457</v>
      </c>
      <c r="I2339" s="6">
        <v>3.626120653390277E-5</v>
      </c>
      <c r="J2339" s="6">
        <v>210.713871168509</v>
      </c>
      <c r="K2339" s="6">
        <v>30663.056424372699</v>
      </c>
      <c r="M2339" s="6">
        <f>SUM(H2339,J2339)</f>
        <v>7667.7138711685093</v>
      </c>
      <c r="N2339" s="6">
        <f>K2339</f>
        <v>30663.056424372699</v>
      </c>
      <c r="O2339" s="6">
        <f>SUM(M2339:N2339)</f>
        <v>38330.77029554121</v>
      </c>
      <c r="P2339" s="8">
        <f>VLOOKUP(F2339,'LEAID Match'!$A$2:$B$436,2,FALSE)</f>
        <v>1800106</v>
      </c>
      <c r="Q2339" s="6">
        <f>COUNTIF($P$2:$P$3691,P2339)</f>
        <v>9</v>
      </c>
    </row>
    <row r="2340" spans="1:17" x14ac:dyDescent="0.2">
      <c r="A2340" s="16">
        <f>P2340</f>
        <v>1800106</v>
      </c>
      <c r="B2340">
        <v>2016</v>
      </c>
      <c r="C2340" t="s">
        <v>904</v>
      </c>
      <c r="D2340" t="s">
        <v>906</v>
      </c>
      <c r="E2340" t="s">
        <v>3246</v>
      </c>
      <c r="F2340" t="s">
        <v>763</v>
      </c>
      <c r="G2340" t="s">
        <v>257</v>
      </c>
      <c r="H2340" s="6">
        <v>6930</v>
      </c>
      <c r="I2340" s="6">
        <v>3.2156051116650892E-5</v>
      </c>
      <c r="J2340" s="6">
        <v>162.32374603685369</v>
      </c>
      <c r="K2340" s="6">
        <v>28538.495366027601</v>
      </c>
      <c r="M2340" s="6">
        <f>SUM(H2340,J2340)</f>
        <v>7092.3237460368537</v>
      </c>
      <c r="N2340" s="6">
        <f>K2340</f>
        <v>28538.495366027601</v>
      </c>
      <c r="O2340" s="6">
        <f>SUM(M2340:N2340)</f>
        <v>35630.819112064455</v>
      </c>
      <c r="P2340" s="8">
        <f>VLOOKUP(F2340,'LEAID Match'!$A$2:$B$436,2,FALSE)</f>
        <v>1800106</v>
      </c>
      <c r="Q2340" s="6">
        <f>COUNTIF($P$2:$P$3691,P2340)</f>
        <v>9</v>
      </c>
    </row>
    <row r="2341" spans="1:17" x14ac:dyDescent="0.2">
      <c r="A2341" s="16">
        <f>P2341</f>
        <v>1800106</v>
      </c>
      <c r="B2341">
        <v>2017</v>
      </c>
      <c r="C2341" t="s">
        <v>904</v>
      </c>
      <c r="D2341" t="s">
        <v>906</v>
      </c>
      <c r="E2341" t="s">
        <v>3247</v>
      </c>
      <c r="F2341" t="s">
        <v>763</v>
      </c>
      <c r="G2341" t="s">
        <v>257</v>
      </c>
      <c r="H2341" s="6">
        <v>7779</v>
      </c>
      <c r="I2341" s="6">
        <v>3.4254264903673319E-5</v>
      </c>
      <c r="J2341" s="6">
        <v>155.00054868912176</v>
      </c>
      <c r="K2341" s="6">
        <v>29835.464731099401</v>
      </c>
      <c r="M2341" s="6">
        <f>SUM(H2341,J2341)</f>
        <v>7934.0005486891214</v>
      </c>
      <c r="N2341" s="6">
        <f>K2341</f>
        <v>29835.464731099401</v>
      </c>
      <c r="O2341" s="6">
        <f>SUM(M2341:N2341)</f>
        <v>37769.465279788521</v>
      </c>
      <c r="P2341" s="8">
        <f>VLOOKUP(F2341,'LEAID Match'!$A$2:$B$436,2,FALSE)</f>
        <v>1800106</v>
      </c>
      <c r="Q2341" s="6">
        <f>COUNTIF($P$2:$P$3691,P2341)</f>
        <v>9</v>
      </c>
    </row>
    <row r="2342" spans="1:17" x14ac:dyDescent="0.2">
      <c r="A2342" s="16">
        <f>P2342</f>
        <v>1800106</v>
      </c>
      <c r="B2342">
        <v>2018</v>
      </c>
      <c r="C2342" t="s">
        <v>904</v>
      </c>
      <c r="D2342" t="s">
        <v>906</v>
      </c>
      <c r="E2342" t="s">
        <v>3248</v>
      </c>
      <c r="F2342" t="s">
        <v>763</v>
      </c>
      <c r="G2342" t="s">
        <v>257</v>
      </c>
      <c r="H2342" s="6">
        <v>2844</v>
      </c>
      <c r="I2342" s="6">
        <v>1.2065302610389309E-5</v>
      </c>
      <c r="J2342" s="6">
        <v>50.288181280102641</v>
      </c>
      <c r="K2342" s="6">
        <v>13218</v>
      </c>
      <c r="M2342" s="6">
        <f>SUM(H2342,J2342)</f>
        <v>2894.2881812801024</v>
      </c>
      <c r="N2342" s="6">
        <f>K2342</f>
        <v>13218</v>
      </c>
      <c r="O2342" s="6">
        <f>SUM(M2342:N2342)</f>
        <v>16112.288181280102</v>
      </c>
      <c r="P2342" s="8">
        <f>VLOOKUP(F2342,'LEAID Match'!$A$2:$B$436,2,FALSE)</f>
        <v>1800106</v>
      </c>
      <c r="Q2342" s="6">
        <f>COUNTIF($P$2:$P$3691,P2342)</f>
        <v>9</v>
      </c>
    </row>
    <row r="2343" spans="1:17" x14ac:dyDescent="0.2">
      <c r="A2343" s="16">
        <f>P2343</f>
        <v>1800106</v>
      </c>
      <c r="B2343">
        <v>2019</v>
      </c>
      <c r="C2343" t="s">
        <v>904</v>
      </c>
      <c r="D2343" t="s">
        <v>906</v>
      </c>
      <c r="E2343" t="s">
        <v>3249</v>
      </c>
      <c r="F2343" t="s">
        <v>763</v>
      </c>
      <c r="G2343" t="s">
        <v>257</v>
      </c>
      <c r="H2343" s="6">
        <v>4706</v>
      </c>
      <c r="I2343" s="6">
        <v>1.197203847733794E-5</v>
      </c>
      <c r="J2343" s="6">
        <v>41.961994863069478</v>
      </c>
      <c r="K2343" s="6">
        <v>11300.4071187592</v>
      </c>
      <c r="M2343" s="6">
        <f>SUM(H2343,J2343)</f>
        <v>4747.9619948630698</v>
      </c>
      <c r="N2343" s="6">
        <f>K2343</f>
        <v>11300.4071187592</v>
      </c>
      <c r="O2343" s="6">
        <f>SUM(M2343:N2343)</f>
        <v>16048.36911362227</v>
      </c>
      <c r="P2343" s="8">
        <f>VLOOKUP(F2343,'LEAID Match'!$A$2:$B$436,2,FALSE)</f>
        <v>1800106</v>
      </c>
      <c r="Q2343" s="6">
        <f>COUNTIF($P$2:$P$3691,P2343)</f>
        <v>9</v>
      </c>
    </row>
    <row r="2344" spans="1:17" x14ac:dyDescent="0.2">
      <c r="A2344" s="16">
        <f>P2344</f>
        <v>1800106</v>
      </c>
      <c r="B2344">
        <v>2020</v>
      </c>
      <c r="C2344" t="s">
        <v>904</v>
      </c>
      <c r="D2344" t="s">
        <v>906</v>
      </c>
      <c r="E2344" t="s">
        <v>3250</v>
      </c>
      <c r="F2344" t="s">
        <v>763</v>
      </c>
      <c r="G2344" t="s">
        <v>257</v>
      </c>
      <c r="H2344" s="6">
        <v>3518</v>
      </c>
      <c r="I2344" s="6">
        <v>1.8640853708286282E-5</v>
      </c>
      <c r="J2344" s="6">
        <v>43.917851336722478</v>
      </c>
      <c r="K2344" s="6">
        <v>10391</v>
      </c>
      <c r="M2344" s="6">
        <f>SUM(H2344,J2344)</f>
        <v>3561.9178513367224</v>
      </c>
      <c r="N2344" s="6">
        <f>K2344</f>
        <v>10391</v>
      </c>
      <c r="O2344" s="6">
        <f>SUM(M2344:N2344)</f>
        <v>13952.917851336722</v>
      </c>
      <c r="P2344" s="8">
        <f>VLOOKUP(F2344,'LEAID Match'!$A$2:$B$436,2,FALSE)</f>
        <v>1800106</v>
      </c>
      <c r="Q2344" s="6">
        <f>COUNTIF($P$2:$P$3691,P2344)</f>
        <v>9</v>
      </c>
    </row>
    <row r="2345" spans="1:17" x14ac:dyDescent="0.2">
      <c r="A2345" s="16">
        <f>P2345</f>
        <v>1800106</v>
      </c>
      <c r="B2345">
        <v>2021</v>
      </c>
      <c r="C2345" t="s">
        <v>904</v>
      </c>
      <c r="D2345" t="s">
        <v>906</v>
      </c>
      <c r="E2345" t="s">
        <v>3251</v>
      </c>
      <c r="F2345" t="s">
        <v>763</v>
      </c>
      <c r="G2345" t="s">
        <v>257</v>
      </c>
      <c r="H2345" s="6">
        <v>18910</v>
      </c>
      <c r="I2345" s="6">
        <v>9.3417158609772658E-5</v>
      </c>
      <c r="J2345" s="6">
        <v>210.56227550642757</v>
      </c>
      <c r="K2345" s="6">
        <v>58341</v>
      </c>
      <c r="M2345" s="6">
        <f>SUM(H2345,J2345)</f>
        <v>19120.562275506429</v>
      </c>
      <c r="N2345" s="6">
        <f>K2345</f>
        <v>58341</v>
      </c>
      <c r="O2345" s="6">
        <f>SUM(M2345:N2345)</f>
        <v>77461.562275506425</v>
      </c>
      <c r="P2345" s="8">
        <f>VLOOKUP(F2345,'LEAID Match'!$A$2:$B$436,2,FALSE)</f>
        <v>1800106</v>
      </c>
      <c r="Q2345" s="6">
        <f>COUNTIF($P$2:$P$3691,P2345)</f>
        <v>9</v>
      </c>
    </row>
    <row r="2346" spans="1:17" x14ac:dyDescent="0.2">
      <c r="A2346" s="16">
        <f>P2346</f>
        <v>1800106</v>
      </c>
      <c r="B2346">
        <v>2022</v>
      </c>
      <c r="C2346" t="s">
        <v>904</v>
      </c>
      <c r="D2346" t="s">
        <v>906</v>
      </c>
      <c r="E2346" t="s">
        <v>3252</v>
      </c>
      <c r="F2346" t="s">
        <v>763</v>
      </c>
      <c r="G2346" t="s">
        <v>257</v>
      </c>
      <c r="H2346" s="6">
        <v>2445</v>
      </c>
      <c r="I2346" s="6">
        <v>1.160931440602626E-5</v>
      </c>
      <c r="J2346" s="6">
        <v>25.598538265287903</v>
      </c>
      <c r="K2346" s="6">
        <v>13489</v>
      </c>
      <c r="M2346" s="6">
        <f>SUM(H2346,J2346)</f>
        <v>2470.598538265288</v>
      </c>
      <c r="N2346" s="6">
        <f>K2346</f>
        <v>13489</v>
      </c>
      <c r="O2346" s="6">
        <f>SUM(M2346:N2346)</f>
        <v>15959.598538265287</v>
      </c>
      <c r="P2346" s="8">
        <f>VLOOKUP(F2346,'LEAID Match'!$A$2:$B$436,2,FALSE)</f>
        <v>1800106</v>
      </c>
      <c r="Q2346" s="6">
        <f>COUNTIF($P$2:$P$3691,P2346)</f>
        <v>9</v>
      </c>
    </row>
    <row r="2347" spans="1:17" x14ac:dyDescent="0.2">
      <c r="A2347" s="16">
        <f>P2347</f>
        <v>1800106</v>
      </c>
      <c r="B2347">
        <v>2023</v>
      </c>
      <c r="C2347" t="s">
        <v>904</v>
      </c>
      <c r="D2347" t="s">
        <v>906</v>
      </c>
      <c r="E2347" t="s">
        <v>3253</v>
      </c>
      <c r="F2347" t="s">
        <v>763</v>
      </c>
      <c r="G2347" t="s">
        <v>257</v>
      </c>
      <c r="H2347" s="6" t="s">
        <v>187</v>
      </c>
      <c r="I2347" s="6">
        <v>0</v>
      </c>
      <c r="J2347" s="6">
        <v>0</v>
      </c>
      <c r="K2347" s="6">
        <v>25834</v>
      </c>
      <c r="M2347" s="6">
        <f>SUM(H2347,J2347)</f>
        <v>0</v>
      </c>
      <c r="N2347" s="6">
        <f>K2347</f>
        <v>25834</v>
      </c>
      <c r="O2347" s="6">
        <f>SUM(M2347:N2347)</f>
        <v>25834</v>
      </c>
      <c r="P2347" s="8">
        <f>VLOOKUP(F2347,'LEAID Match'!$A$2:$B$436,2,FALSE)</f>
        <v>1800106</v>
      </c>
      <c r="Q2347" s="6">
        <f>COUNTIF($P$2:$P$3691,P2347)</f>
        <v>9</v>
      </c>
    </row>
    <row r="2348" spans="1:17" x14ac:dyDescent="0.2">
      <c r="A2348" s="16">
        <f>P2348</f>
        <v>1800133</v>
      </c>
      <c r="B2348">
        <v>2015</v>
      </c>
      <c r="C2348" t="s">
        <v>904</v>
      </c>
      <c r="D2348" t="s">
        <v>906</v>
      </c>
      <c r="E2348" t="s">
        <v>3254</v>
      </c>
      <c r="F2348" t="s">
        <v>764</v>
      </c>
      <c r="G2348" t="s">
        <v>258</v>
      </c>
      <c r="H2348" s="6">
        <v>85273</v>
      </c>
      <c r="I2348" s="6">
        <v>4.1465761898424176E-4</v>
      </c>
      <c r="J2348" s="6">
        <v>2409.5754239174289</v>
      </c>
      <c r="K2348" s="6">
        <v>350641.11713497801</v>
      </c>
      <c r="M2348" s="6">
        <f>SUM(H2348,J2348)</f>
        <v>87682.575423917428</v>
      </c>
      <c r="N2348" s="6">
        <f>K2348</f>
        <v>350641.11713497801</v>
      </c>
      <c r="O2348" s="6">
        <f>SUM(M2348:N2348)</f>
        <v>438323.69255889545</v>
      </c>
      <c r="P2348" s="8">
        <f>VLOOKUP(F2348,'LEAID Match'!$A$2:$B$436,2,FALSE)</f>
        <v>1800133</v>
      </c>
      <c r="Q2348" s="6">
        <f>COUNTIF($P$2:$P$3691,P2348)</f>
        <v>9</v>
      </c>
    </row>
    <row r="2349" spans="1:17" x14ac:dyDescent="0.2">
      <c r="A2349" s="16">
        <f>P2349</f>
        <v>1800133</v>
      </c>
      <c r="B2349">
        <v>2016</v>
      </c>
      <c r="C2349" t="s">
        <v>904</v>
      </c>
      <c r="D2349" t="s">
        <v>906</v>
      </c>
      <c r="E2349" t="s">
        <v>3255</v>
      </c>
      <c r="F2349" t="s">
        <v>764</v>
      </c>
      <c r="G2349" t="s">
        <v>258</v>
      </c>
      <c r="H2349" s="6">
        <v>98797</v>
      </c>
      <c r="I2349" s="6">
        <v>4.5843021387759859E-4</v>
      </c>
      <c r="J2349" s="6">
        <v>2314.1557196541175</v>
      </c>
      <c r="K2349" s="6">
        <v>406856.81481636799</v>
      </c>
      <c r="M2349" s="6">
        <f>SUM(H2349,J2349)</f>
        <v>101111.15571965411</v>
      </c>
      <c r="N2349" s="6">
        <f>K2349</f>
        <v>406856.81481636799</v>
      </c>
      <c r="O2349" s="6">
        <f>SUM(M2349:N2349)</f>
        <v>507967.9705360221</v>
      </c>
      <c r="P2349" s="8">
        <f>VLOOKUP(F2349,'LEAID Match'!$A$2:$B$436,2,FALSE)</f>
        <v>1800133</v>
      </c>
      <c r="Q2349" s="6">
        <f>COUNTIF($P$2:$P$3691,P2349)</f>
        <v>9</v>
      </c>
    </row>
    <row r="2350" spans="1:17" x14ac:dyDescent="0.2">
      <c r="A2350" s="16">
        <f>P2350</f>
        <v>1800133</v>
      </c>
      <c r="B2350">
        <v>2017</v>
      </c>
      <c r="C2350" t="s">
        <v>904</v>
      </c>
      <c r="D2350" t="s">
        <v>906</v>
      </c>
      <c r="E2350" t="s">
        <v>3256</v>
      </c>
      <c r="F2350" t="s">
        <v>764</v>
      </c>
      <c r="G2350" t="s">
        <v>258</v>
      </c>
      <c r="H2350" s="6">
        <v>100729</v>
      </c>
      <c r="I2350" s="6">
        <v>4.4355287948092428E-4</v>
      </c>
      <c r="J2350" s="6">
        <v>2007.0767796511823</v>
      </c>
      <c r="K2350" s="6">
        <v>386334.55802788498</v>
      </c>
      <c r="M2350" s="6">
        <f>SUM(H2350,J2350)</f>
        <v>102736.07677965118</v>
      </c>
      <c r="N2350" s="6">
        <f>K2350</f>
        <v>386334.55802788498</v>
      </c>
      <c r="O2350" s="6">
        <f>SUM(M2350:N2350)</f>
        <v>489070.63480753615</v>
      </c>
      <c r="P2350" s="8">
        <f>VLOOKUP(F2350,'LEAID Match'!$A$2:$B$436,2,FALSE)</f>
        <v>1800133</v>
      </c>
      <c r="Q2350" s="6">
        <f>COUNTIF($P$2:$P$3691,P2350)</f>
        <v>9</v>
      </c>
    </row>
    <row r="2351" spans="1:17" x14ac:dyDescent="0.2">
      <c r="A2351" s="16">
        <f>P2351</f>
        <v>1800133</v>
      </c>
      <c r="B2351">
        <v>2018</v>
      </c>
      <c r="C2351" t="s">
        <v>904</v>
      </c>
      <c r="D2351" t="s">
        <v>906</v>
      </c>
      <c r="E2351" t="s">
        <v>3257</v>
      </c>
      <c r="F2351" t="s">
        <v>764</v>
      </c>
      <c r="G2351" t="s">
        <v>258</v>
      </c>
      <c r="H2351" s="6">
        <v>100143</v>
      </c>
      <c r="I2351" s="6">
        <v>4.2484374096772739E-4</v>
      </c>
      <c r="J2351" s="6">
        <v>1770.7487123534877</v>
      </c>
      <c r="K2351" s="6">
        <v>74625</v>
      </c>
      <c r="M2351" s="6">
        <f>SUM(H2351,J2351)</f>
        <v>101913.74871235348</v>
      </c>
      <c r="N2351" s="6">
        <f>K2351</f>
        <v>74625</v>
      </c>
      <c r="O2351" s="6">
        <f>SUM(M2351:N2351)</f>
        <v>176538.74871235347</v>
      </c>
      <c r="P2351" s="8">
        <f>VLOOKUP(F2351,'LEAID Match'!$A$2:$B$436,2,FALSE)</f>
        <v>1800133</v>
      </c>
      <c r="Q2351" s="6">
        <f>COUNTIF($P$2:$P$3691,P2351)</f>
        <v>9</v>
      </c>
    </row>
    <row r="2352" spans="1:17" x14ac:dyDescent="0.2">
      <c r="A2352" s="16">
        <f>P2352</f>
        <v>1800133</v>
      </c>
      <c r="B2352">
        <v>2019</v>
      </c>
      <c r="C2352" t="s">
        <v>904</v>
      </c>
      <c r="D2352" t="s">
        <v>906</v>
      </c>
      <c r="E2352" t="s">
        <v>3258</v>
      </c>
      <c r="F2352" t="s">
        <v>764</v>
      </c>
      <c r="G2352" t="s">
        <v>258</v>
      </c>
      <c r="H2352" s="6">
        <v>102926</v>
      </c>
      <c r="I2352" s="6">
        <v>2.6184318578803333E-4</v>
      </c>
      <c r="J2352" s="6">
        <v>917.76036618705689</v>
      </c>
      <c r="K2352" s="6">
        <v>247153.78306532401</v>
      </c>
      <c r="M2352" s="6">
        <f>SUM(H2352,J2352)</f>
        <v>103843.76036618705</v>
      </c>
      <c r="N2352" s="6">
        <f>K2352</f>
        <v>247153.78306532401</v>
      </c>
      <c r="O2352" s="6">
        <f>SUM(M2352:N2352)</f>
        <v>350997.54343151103</v>
      </c>
      <c r="P2352" s="8">
        <f>VLOOKUP(F2352,'LEAID Match'!$A$2:$B$436,2,FALSE)</f>
        <v>1800133</v>
      </c>
      <c r="Q2352" s="6">
        <f>COUNTIF($P$2:$P$3691,P2352)</f>
        <v>9</v>
      </c>
    </row>
    <row r="2353" spans="1:17" x14ac:dyDescent="0.2">
      <c r="A2353" s="16">
        <f>P2353</f>
        <v>1800133</v>
      </c>
      <c r="B2353">
        <v>2020</v>
      </c>
      <c r="C2353" t="s">
        <v>904</v>
      </c>
      <c r="D2353" t="s">
        <v>906</v>
      </c>
      <c r="E2353" t="s">
        <v>3259</v>
      </c>
      <c r="F2353" t="s">
        <v>764</v>
      </c>
      <c r="G2353" t="s">
        <v>258</v>
      </c>
      <c r="H2353" s="6">
        <v>78297</v>
      </c>
      <c r="I2353" s="6">
        <v>4.1487291722504006E-4</v>
      </c>
      <c r="J2353" s="6">
        <v>977.4405929821944</v>
      </c>
      <c r="K2353" s="6">
        <v>93714</v>
      </c>
      <c r="M2353" s="6">
        <f>SUM(H2353,J2353)</f>
        <v>79274.440592982195</v>
      </c>
      <c r="N2353" s="6">
        <f>K2353</f>
        <v>93714</v>
      </c>
      <c r="O2353" s="6">
        <f>SUM(M2353:N2353)</f>
        <v>172988.4405929822</v>
      </c>
      <c r="P2353" s="8">
        <f>VLOOKUP(F2353,'LEAID Match'!$A$2:$B$436,2,FALSE)</f>
        <v>1800133</v>
      </c>
      <c r="Q2353" s="6">
        <f>COUNTIF($P$2:$P$3691,P2353)</f>
        <v>9</v>
      </c>
    </row>
    <row r="2354" spans="1:17" x14ac:dyDescent="0.2">
      <c r="A2354" s="16">
        <f>P2354</f>
        <v>1800133</v>
      </c>
      <c r="B2354">
        <v>2021</v>
      </c>
      <c r="C2354" t="s">
        <v>904</v>
      </c>
      <c r="D2354" t="s">
        <v>906</v>
      </c>
      <c r="E2354" t="s">
        <v>3260</v>
      </c>
      <c r="F2354" t="s">
        <v>764</v>
      </c>
      <c r="G2354" t="s">
        <v>258</v>
      </c>
      <c r="H2354" s="6">
        <v>55143</v>
      </c>
      <c r="I2354" s="6">
        <v>2.7241154824001552E-4</v>
      </c>
      <c r="J2354" s="6">
        <v>614.01562973299497</v>
      </c>
      <c r="K2354" s="6">
        <v>15025</v>
      </c>
      <c r="M2354" s="6">
        <f>SUM(H2354,J2354)</f>
        <v>55757.015629732996</v>
      </c>
      <c r="N2354" s="6">
        <f>K2354</f>
        <v>15025</v>
      </c>
      <c r="O2354" s="6">
        <f>SUM(M2354:N2354)</f>
        <v>70782.015629732996</v>
      </c>
      <c r="P2354" s="8">
        <f>VLOOKUP(F2354,'LEAID Match'!$A$2:$B$436,2,FALSE)</f>
        <v>1800133</v>
      </c>
      <c r="Q2354" s="6">
        <f>COUNTIF($P$2:$P$3691,P2354)</f>
        <v>9</v>
      </c>
    </row>
    <row r="2355" spans="1:17" x14ac:dyDescent="0.2">
      <c r="A2355" s="16">
        <f>P2355</f>
        <v>1800133</v>
      </c>
      <c r="B2355">
        <v>2022</v>
      </c>
      <c r="C2355" t="s">
        <v>904</v>
      </c>
      <c r="D2355" t="s">
        <v>906</v>
      </c>
      <c r="E2355" t="s">
        <v>3261</v>
      </c>
      <c r="F2355" t="s">
        <v>764</v>
      </c>
      <c r="G2355" t="s">
        <v>258</v>
      </c>
      <c r="H2355" s="6">
        <v>58716</v>
      </c>
      <c r="I2355" s="6">
        <v>2.7879448043527112E-4</v>
      </c>
      <c r="J2355" s="6">
        <v>614.74182935977285</v>
      </c>
      <c r="K2355" s="6">
        <v>13954</v>
      </c>
      <c r="M2355" s="6">
        <f>SUM(H2355,J2355)</f>
        <v>59330.741829359773</v>
      </c>
      <c r="N2355" s="6">
        <f>K2355</f>
        <v>13954</v>
      </c>
      <c r="O2355" s="6">
        <f>SUM(M2355:N2355)</f>
        <v>73284.741829359773</v>
      </c>
      <c r="P2355" s="8">
        <f>VLOOKUP(F2355,'LEAID Match'!$A$2:$B$436,2,FALSE)</f>
        <v>1800133</v>
      </c>
      <c r="Q2355" s="6">
        <f>COUNTIF($P$2:$P$3691,P2355)</f>
        <v>9</v>
      </c>
    </row>
    <row r="2356" spans="1:17" x14ac:dyDescent="0.2">
      <c r="A2356" s="16">
        <f>P2356</f>
        <v>1800133</v>
      </c>
      <c r="B2356">
        <v>2023</v>
      </c>
      <c r="C2356" t="s">
        <v>904</v>
      </c>
      <c r="D2356" t="s">
        <v>906</v>
      </c>
      <c r="E2356" t="s">
        <v>3262</v>
      </c>
      <c r="F2356" t="s">
        <v>764</v>
      </c>
      <c r="G2356" t="s">
        <v>258</v>
      </c>
      <c r="H2356" s="6">
        <v>63936</v>
      </c>
      <c r="I2356" s="6">
        <v>2.6146311020347848E-4</v>
      </c>
      <c r="J2356" s="6">
        <v>645.02949287198146</v>
      </c>
      <c r="K2356" s="6">
        <v>30069</v>
      </c>
      <c r="M2356" s="6">
        <f>SUM(H2356,J2356)</f>
        <v>64581.029492871981</v>
      </c>
      <c r="N2356" s="6">
        <f>K2356</f>
        <v>30069</v>
      </c>
      <c r="O2356" s="6">
        <f>SUM(M2356:N2356)</f>
        <v>94650.029492871981</v>
      </c>
      <c r="P2356" s="8">
        <f>VLOOKUP(F2356,'LEAID Match'!$A$2:$B$436,2,FALSE)</f>
        <v>1800133</v>
      </c>
      <c r="Q2356" s="6">
        <f>COUNTIF($P$2:$P$3691,P2356)</f>
        <v>9</v>
      </c>
    </row>
    <row r="2357" spans="1:17" x14ac:dyDescent="0.2">
      <c r="A2357" s="16">
        <f>P2357</f>
        <v>1800960</v>
      </c>
      <c r="B2357">
        <v>2015</v>
      </c>
      <c r="C2357" t="s">
        <v>904</v>
      </c>
      <c r="D2357" t="s">
        <v>906</v>
      </c>
      <c r="E2357" t="s">
        <v>3263</v>
      </c>
      <c r="F2357" t="s">
        <v>629</v>
      </c>
      <c r="G2357" t="s">
        <v>15</v>
      </c>
      <c r="H2357" s="6">
        <v>457204</v>
      </c>
      <c r="I2357" s="6">
        <v>2.2232491178927828E-3</v>
      </c>
      <c r="J2357" s="6">
        <v>12919.300624074962</v>
      </c>
      <c r="K2357" s="6">
        <v>1880015.02607602</v>
      </c>
      <c r="M2357" s="6">
        <f>SUM(H2357,J2357)</f>
        <v>470123.30062407494</v>
      </c>
      <c r="N2357" s="6">
        <f>K2357</f>
        <v>1880015.02607602</v>
      </c>
      <c r="O2357" s="6">
        <f>SUM(M2357:N2357)</f>
        <v>2350138.3267000951</v>
      </c>
      <c r="P2357" s="8">
        <f>VLOOKUP(F2357,'LEAID Match'!$A$2:$B$436,2,FALSE)</f>
        <v>1800960</v>
      </c>
      <c r="Q2357" s="6">
        <f>COUNTIF($P$2:$P$3691,P2357)</f>
        <v>9</v>
      </c>
    </row>
    <row r="2358" spans="1:17" x14ac:dyDescent="0.2">
      <c r="A2358" s="16">
        <f>P2358</f>
        <v>1800960</v>
      </c>
      <c r="B2358">
        <v>2016</v>
      </c>
      <c r="C2358" t="s">
        <v>904</v>
      </c>
      <c r="D2358" t="s">
        <v>906</v>
      </c>
      <c r="E2358" t="s">
        <v>3264</v>
      </c>
      <c r="F2358" t="s">
        <v>629</v>
      </c>
      <c r="G2358" t="s">
        <v>15</v>
      </c>
      <c r="H2358" s="6">
        <v>477575</v>
      </c>
      <c r="I2358" s="6">
        <v>2.2160066539732397E-3</v>
      </c>
      <c r="J2358" s="6">
        <v>11186.401589256913</v>
      </c>
      <c r="K2358" s="6">
        <v>1966705.9054012501</v>
      </c>
      <c r="M2358" s="6">
        <f>SUM(H2358,J2358)</f>
        <v>488761.40158925689</v>
      </c>
      <c r="N2358" s="6">
        <f>K2358</f>
        <v>1966705.9054012501</v>
      </c>
      <c r="O2358" s="6">
        <f>SUM(M2358:N2358)</f>
        <v>2455467.3069905071</v>
      </c>
      <c r="P2358" s="8">
        <f>VLOOKUP(F2358,'LEAID Match'!$A$2:$B$436,2,FALSE)</f>
        <v>1800960</v>
      </c>
      <c r="Q2358" s="6">
        <f>COUNTIF($P$2:$P$3691,P2358)</f>
        <v>9</v>
      </c>
    </row>
    <row r="2359" spans="1:17" x14ac:dyDescent="0.2">
      <c r="A2359" s="16">
        <f>P2359</f>
        <v>1800960</v>
      </c>
      <c r="B2359">
        <v>2017</v>
      </c>
      <c r="C2359" t="s">
        <v>904</v>
      </c>
      <c r="D2359" t="s">
        <v>906</v>
      </c>
      <c r="E2359" t="s">
        <v>3265</v>
      </c>
      <c r="F2359" t="s">
        <v>629</v>
      </c>
      <c r="G2359" t="s">
        <v>15</v>
      </c>
      <c r="H2359" s="6">
        <v>522444</v>
      </c>
      <c r="I2359" s="6">
        <v>2.300544436731547E-3</v>
      </c>
      <c r="J2359" s="6">
        <v>10409.96357621025</v>
      </c>
      <c r="K2359" s="6">
        <v>2003774.2043931701</v>
      </c>
      <c r="M2359" s="6">
        <f>SUM(H2359,J2359)</f>
        <v>532853.9635762102</v>
      </c>
      <c r="N2359" s="6">
        <f>K2359</f>
        <v>2003774.2043931701</v>
      </c>
      <c r="O2359" s="6">
        <f>SUM(M2359:N2359)</f>
        <v>2536628.1679693805</v>
      </c>
      <c r="P2359" s="8">
        <f>VLOOKUP(F2359,'LEAID Match'!$A$2:$B$436,2,FALSE)</f>
        <v>1800960</v>
      </c>
      <c r="Q2359" s="6">
        <f>COUNTIF($P$2:$P$3691,P2359)</f>
        <v>9</v>
      </c>
    </row>
    <row r="2360" spans="1:17" x14ac:dyDescent="0.2">
      <c r="A2360" s="16">
        <f>P2360</f>
        <v>1800960</v>
      </c>
      <c r="B2360">
        <v>2018</v>
      </c>
      <c r="C2360" t="s">
        <v>904</v>
      </c>
      <c r="D2360" t="s">
        <v>906</v>
      </c>
      <c r="E2360" t="s">
        <v>3266</v>
      </c>
      <c r="F2360" t="s">
        <v>629</v>
      </c>
      <c r="G2360" t="s">
        <v>15</v>
      </c>
      <c r="H2360" s="6">
        <v>488995</v>
      </c>
      <c r="I2360" s="6">
        <v>2.074498118835204E-3</v>
      </c>
      <c r="J2360" s="6">
        <v>8646.5081593051309</v>
      </c>
      <c r="K2360" s="6">
        <v>1981012</v>
      </c>
      <c r="M2360" s="6">
        <f>SUM(H2360,J2360)</f>
        <v>497641.50815930514</v>
      </c>
      <c r="N2360" s="6">
        <f>K2360</f>
        <v>1981012</v>
      </c>
      <c r="O2360" s="6">
        <f>SUM(M2360:N2360)</f>
        <v>2478653.508159305</v>
      </c>
      <c r="P2360" s="8">
        <f>VLOOKUP(F2360,'LEAID Match'!$A$2:$B$436,2,FALSE)</f>
        <v>1800960</v>
      </c>
      <c r="Q2360" s="6">
        <f>COUNTIF($P$2:$P$3691,P2360)</f>
        <v>9</v>
      </c>
    </row>
    <row r="2361" spans="1:17" x14ac:dyDescent="0.2">
      <c r="A2361" s="16">
        <f>P2361</f>
        <v>1800960</v>
      </c>
      <c r="B2361">
        <v>2019</v>
      </c>
      <c r="C2361" t="s">
        <v>904</v>
      </c>
      <c r="D2361" t="s">
        <v>906</v>
      </c>
      <c r="E2361" t="s">
        <v>3267</v>
      </c>
      <c r="F2361" t="s">
        <v>629</v>
      </c>
      <c r="G2361" t="s">
        <v>15</v>
      </c>
      <c r="H2361" s="6">
        <v>481771</v>
      </c>
      <c r="I2361" s="6">
        <v>1.2256228111486563E-3</v>
      </c>
      <c r="J2361" s="6">
        <v>4295.8079530760406</v>
      </c>
      <c r="K2361" s="6">
        <v>1156865.3714432099</v>
      </c>
      <c r="M2361" s="6">
        <f>SUM(H2361,J2361)</f>
        <v>486066.80795307603</v>
      </c>
      <c r="N2361" s="6">
        <f>K2361</f>
        <v>1156865.3714432099</v>
      </c>
      <c r="O2361" s="6">
        <f>SUM(M2361:N2361)</f>
        <v>1642932.1793962859</v>
      </c>
      <c r="P2361" s="8">
        <f>VLOOKUP(F2361,'LEAID Match'!$A$2:$B$436,2,FALSE)</f>
        <v>1800960</v>
      </c>
      <c r="Q2361" s="6">
        <f>COUNTIF($P$2:$P$3691,P2361)</f>
        <v>9</v>
      </c>
    </row>
    <row r="2362" spans="1:17" x14ac:dyDescent="0.2">
      <c r="A2362" s="16">
        <f>P2362</f>
        <v>1800960</v>
      </c>
      <c r="B2362">
        <v>2020</v>
      </c>
      <c r="C2362" t="s">
        <v>904</v>
      </c>
      <c r="D2362" t="s">
        <v>906</v>
      </c>
      <c r="E2362" t="s">
        <v>3268</v>
      </c>
      <c r="F2362" t="s">
        <v>629</v>
      </c>
      <c r="G2362" t="s">
        <v>15</v>
      </c>
      <c r="H2362" s="6">
        <v>350743</v>
      </c>
      <c r="I2362" s="6">
        <v>1.8584846367838133E-3</v>
      </c>
      <c r="J2362" s="6">
        <v>4378.5898042626641</v>
      </c>
      <c r="K2362" s="6">
        <v>2133286</v>
      </c>
      <c r="M2362" s="6">
        <f>SUM(H2362,J2362)</f>
        <v>355121.58980426268</v>
      </c>
      <c r="N2362" s="6">
        <f>K2362</f>
        <v>2133286</v>
      </c>
      <c r="O2362" s="6">
        <f>SUM(M2362:N2362)</f>
        <v>2488407.5898042629</v>
      </c>
      <c r="P2362" s="8">
        <f>VLOOKUP(F2362,'LEAID Match'!$A$2:$B$436,2,FALSE)</f>
        <v>1800960</v>
      </c>
      <c r="Q2362" s="6">
        <f>COUNTIF($P$2:$P$3691,P2362)</f>
        <v>9</v>
      </c>
    </row>
    <row r="2363" spans="1:17" x14ac:dyDescent="0.2">
      <c r="A2363" s="16">
        <f>P2363</f>
        <v>1800960</v>
      </c>
      <c r="B2363">
        <v>2021</v>
      </c>
      <c r="C2363" t="s">
        <v>904</v>
      </c>
      <c r="D2363" t="s">
        <v>906</v>
      </c>
      <c r="E2363" t="s">
        <v>3269</v>
      </c>
      <c r="F2363" t="s">
        <v>629</v>
      </c>
      <c r="G2363" t="s">
        <v>15</v>
      </c>
      <c r="H2363" s="6">
        <v>386146</v>
      </c>
      <c r="I2363" s="6">
        <v>1.9075971511649536E-3</v>
      </c>
      <c r="J2363" s="6">
        <v>4299.7239787258059</v>
      </c>
      <c r="K2363" s="6">
        <v>3481580</v>
      </c>
      <c r="M2363" s="6">
        <f>SUM(H2363,J2363)</f>
        <v>390445.72397872579</v>
      </c>
      <c r="N2363" s="6">
        <f>K2363</f>
        <v>3481580</v>
      </c>
      <c r="O2363" s="6">
        <f>SUM(M2363:N2363)</f>
        <v>3872025.7239787257</v>
      </c>
      <c r="P2363" s="8">
        <f>VLOOKUP(F2363,'LEAID Match'!$A$2:$B$436,2,FALSE)</f>
        <v>1800960</v>
      </c>
      <c r="Q2363" s="6">
        <f>COUNTIF($P$2:$P$3691,P2363)</f>
        <v>9</v>
      </c>
    </row>
    <row r="2364" spans="1:17" x14ac:dyDescent="0.2">
      <c r="A2364" s="16">
        <f>P2364</f>
        <v>1800960</v>
      </c>
      <c r="B2364">
        <v>2022</v>
      </c>
      <c r="C2364" t="s">
        <v>904</v>
      </c>
      <c r="D2364" t="s">
        <v>906</v>
      </c>
      <c r="E2364" t="s">
        <v>3270</v>
      </c>
      <c r="F2364" t="s">
        <v>629</v>
      </c>
      <c r="G2364" t="s">
        <v>15</v>
      </c>
      <c r="H2364" s="6">
        <v>386172</v>
      </c>
      <c r="I2364" s="6">
        <v>1.8336164265046924E-3</v>
      </c>
      <c r="J2364" s="6">
        <v>4043.1242204428468</v>
      </c>
      <c r="K2364" s="6">
        <v>3276017</v>
      </c>
      <c r="M2364" s="6">
        <f>SUM(H2364,J2364)</f>
        <v>390215.12422044284</v>
      </c>
      <c r="N2364" s="6">
        <f>K2364</f>
        <v>3276017</v>
      </c>
      <c r="O2364" s="6">
        <f>SUM(M2364:N2364)</f>
        <v>3666232.124220443</v>
      </c>
      <c r="P2364" s="8">
        <f>VLOOKUP(F2364,'LEAID Match'!$A$2:$B$436,2,FALSE)</f>
        <v>1800960</v>
      </c>
      <c r="Q2364" s="6">
        <f>COUNTIF($P$2:$P$3691,P2364)</f>
        <v>9</v>
      </c>
    </row>
    <row r="2365" spans="1:17" x14ac:dyDescent="0.2">
      <c r="A2365" s="16">
        <f>P2365</f>
        <v>1800960</v>
      </c>
      <c r="B2365">
        <v>2023</v>
      </c>
      <c r="C2365" t="s">
        <v>904</v>
      </c>
      <c r="D2365" t="s">
        <v>906</v>
      </c>
      <c r="E2365" t="s">
        <v>3271</v>
      </c>
      <c r="F2365" t="s">
        <v>629</v>
      </c>
      <c r="G2365" t="s">
        <v>15</v>
      </c>
      <c r="H2365" s="6">
        <v>404407</v>
      </c>
      <c r="I2365" s="6">
        <v>1.6538024275534616E-3</v>
      </c>
      <c r="J2365" s="6">
        <v>4079.9305887743899</v>
      </c>
      <c r="K2365" s="6">
        <v>8294248</v>
      </c>
      <c r="M2365" s="6">
        <f>SUM(H2365,J2365)</f>
        <v>408486.93058877438</v>
      </c>
      <c r="N2365" s="6">
        <f>K2365</f>
        <v>8294248</v>
      </c>
      <c r="O2365" s="6">
        <f>SUM(M2365:N2365)</f>
        <v>8702734.9305887744</v>
      </c>
      <c r="P2365" s="8">
        <f>VLOOKUP(F2365,'LEAID Match'!$A$2:$B$436,2,FALSE)</f>
        <v>1800960</v>
      </c>
      <c r="Q2365" s="6">
        <f>COUNTIF($P$2:$P$3691,P2365)</f>
        <v>9</v>
      </c>
    </row>
    <row r="2366" spans="1:17" x14ac:dyDescent="0.2">
      <c r="A2366" s="16">
        <f>P2366</f>
        <v>0</v>
      </c>
      <c r="B2366">
        <v>2021</v>
      </c>
      <c r="C2366" t="s">
        <v>904</v>
      </c>
      <c r="D2366" t="s">
        <v>906</v>
      </c>
      <c r="E2366" t="s">
        <v>4396</v>
      </c>
      <c r="F2366" t="s">
        <v>858</v>
      </c>
      <c r="G2366" t="s">
        <v>379</v>
      </c>
      <c r="H2366" s="6">
        <v>27803</v>
      </c>
      <c r="I2366" s="6">
        <v>1.3734940564926016E-4</v>
      </c>
      <c r="J2366" s="6">
        <v>309.5855603334324</v>
      </c>
      <c r="K2366" s="6">
        <v>0</v>
      </c>
      <c r="M2366" s="6">
        <f>SUM(H2366,J2366)</f>
        <v>28112.585560333431</v>
      </c>
      <c r="N2366" s="6">
        <f>K2366</f>
        <v>0</v>
      </c>
      <c r="O2366" s="6">
        <f>SUM(M2366:N2366)</f>
        <v>28112.585560333431</v>
      </c>
      <c r="P2366" s="8">
        <f>VLOOKUP(F2366,'LEAID Match'!$A$2:$B$436,2,FALSE)</f>
        <v>0</v>
      </c>
      <c r="Q2366" s="6">
        <f>COUNTIF($P$2:$P$3691,P2366)</f>
        <v>371</v>
      </c>
    </row>
    <row r="2367" spans="1:17" x14ac:dyDescent="0.2">
      <c r="A2367" s="16">
        <f>P2367</f>
        <v>0</v>
      </c>
      <c r="B2367">
        <v>2022</v>
      </c>
      <c r="C2367" t="s">
        <v>904</v>
      </c>
      <c r="D2367" t="s">
        <v>906</v>
      </c>
      <c r="E2367" t="s">
        <v>4397</v>
      </c>
      <c r="F2367" t="s">
        <v>858</v>
      </c>
      <c r="G2367" t="s">
        <v>379</v>
      </c>
      <c r="H2367" s="6">
        <v>27684</v>
      </c>
      <c r="I2367" s="6">
        <v>1.3144877710283476E-4</v>
      </c>
      <c r="J2367" s="6">
        <v>289.84455351175063</v>
      </c>
      <c r="K2367" s="6">
        <v>0</v>
      </c>
      <c r="M2367" s="6">
        <f>SUM(H2367,J2367)</f>
        <v>27973.84455351175</v>
      </c>
      <c r="N2367" s="6">
        <f>K2367</f>
        <v>0</v>
      </c>
      <c r="O2367" s="6">
        <f>SUM(M2367:N2367)</f>
        <v>27973.84455351175</v>
      </c>
      <c r="P2367" s="8">
        <f>VLOOKUP(F2367,'LEAID Match'!$A$2:$B$436,2,FALSE)</f>
        <v>0</v>
      </c>
      <c r="Q2367" s="6">
        <f>COUNTIF($P$2:$P$3691,P2367)</f>
        <v>371</v>
      </c>
    </row>
    <row r="2368" spans="1:17" x14ac:dyDescent="0.2">
      <c r="A2368" s="16">
        <f>P2368</f>
        <v>0</v>
      </c>
      <c r="B2368">
        <v>2023</v>
      </c>
      <c r="C2368" t="s">
        <v>904</v>
      </c>
      <c r="D2368" t="s">
        <v>906</v>
      </c>
      <c r="E2368" t="s">
        <v>4398</v>
      </c>
      <c r="F2368" t="s">
        <v>858</v>
      </c>
      <c r="G2368" t="s">
        <v>379</v>
      </c>
      <c r="H2368" s="6">
        <v>18231</v>
      </c>
      <c r="I2368" s="6">
        <v>7.4554772931050047E-5</v>
      </c>
      <c r="J2368" s="6">
        <v>183.92662482090046</v>
      </c>
      <c r="K2368" s="6">
        <v>0</v>
      </c>
      <c r="M2368" s="6">
        <f>SUM(H2368,J2368)</f>
        <v>18414.926624820899</v>
      </c>
      <c r="N2368" s="6">
        <f>K2368</f>
        <v>0</v>
      </c>
      <c r="O2368" s="6">
        <f>SUM(M2368:N2368)</f>
        <v>18414.926624820899</v>
      </c>
      <c r="P2368" s="8">
        <f>VLOOKUP(F2368,'LEAID Match'!$A$2:$B$436,2,FALSE)</f>
        <v>0</v>
      </c>
      <c r="Q2368" s="6">
        <f>COUNTIF($P$2:$P$3691,P2368)</f>
        <v>371</v>
      </c>
    </row>
    <row r="2369" spans="1:17" x14ac:dyDescent="0.2">
      <c r="A2369" s="16">
        <f>P2369</f>
        <v>1810830</v>
      </c>
      <c r="B2369">
        <v>2015</v>
      </c>
      <c r="C2369" t="s">
        <v>904</v>
      </c>
      <c r="D2369" t="s">
        <v>906</v>
      </c>
      <c r="E2369" t="s">
        <v>3353</v>
      </c>
      <c r="F2369" t="s">
        <v>585</v>
      </c>
      <c r="G2369" t="s">
        <v>268</v>
      </c>
      <c r="H2369" s="6">
        <v>122848</v>
      </c>
      <c r="I2369" s="6">
        <v>5.9737383670066882E-4</v>
      </c>
      <c r="J2369" s="6">
        <v>3471.3393650675866</v>
      </c>
      <c r="K2369" s="6">
        <v>505148.87429547199</v>
      </c>
      <c r="M2369" s="6">
        <f>SUM(H2369,J2369)</f>
        <v>126319.33936506759</v>
      </c>
      <c r="N2369" s="6">
        <f>K2369</f>
        <v>505148.87429547199</v>
      </c>
      <c r="O2369" s="6">
        <f>SUM(M2369:N2369)</f>
        <v>631468.21366053959</v>
      </c>
      <c r="P2369" s="8">
        <f>VLOOKUP(F2369,'LEAID Match'!$A$2:$B$436,2,FALSE)</f>
        <v>1810830</v>
      </c>
      <c r="Q2369" s="6">
        <f>COUNTIF($P$2:$P$3691,P2369)</f>
        <v>9</v>
      </c>
    </row>
    <row r="2370" spans="1:17" x14ac:dyDescent="0.2">
      <c r="A2370" s="16">
        <f>P2370</f>
        <v>1810830</v>
      </c>
      <c r="B2370">
        <v>2016</v>
      </c>
      <c r="C2370" t="s">
        <v>904</v>
      </c>
      <c r="D2370" t="s">
        <v>906</v>
      </c>
      <c r="E2370" t="s">
        <v>3354</v>
      </c>
      <c r="F2370" t="s">
        <v>585</v>
      </c>
      <c r="G2370" t="s">
        <v>268</v>
      </c>
      <c r="H2370" s="6">
        <v>132536</v>
      </c>
      <c r="I2370" s="6">
        <v>6.1498331757524425E-4</v>
      </c>
      <c r="J2370" s="6">
        <v>3104.4357871198331</v>
      </c>
      <c r="K2370" s="6">
        <v>545797.69434802898</v>
      </c>
      <c r="M2370" s="6">
        <f>SUM(H2370,J2370)</f>
        <v>135640.43578711984</v>
      </c>
      <c r="N2370" s="6">
        <f>K2370</f>
        <v>545797.69434802898</v>
      </c>
      <c r="O2370" s="6">
        <f>SUM(M2370:N2370)</f>
        <v>681438.13013514876</v>
      </c>
      <c r="P2370" s="8">
        <f>VLOOKUP(F2370,'LEAID Match'!$A$2:$B$436,2,FALSE)</f>
        <v>1810830</v>
      </c>
      <c r="Q2370" s="6">
        <f>COUNTIF($P$2:$P$3691,P2370)</f>
        <v>9</v>
      </c>
    </row>
    <row r="2371" spans="1:17" x14ac:dyDescent="0.2">
      <c r="A2371" s="16">
        <f>P2371</f>
        <v>1810830</v>
      </c>
      <c r="B2371">
        <v>2017</v>
      </c>
      <c r="C2371" t="s">
        <v>904</v>
      </c>
      <c r="D2371" t="s">
        <v>906</v>
      </c>
      <c r="E2371" t="s">
        <v>3355</v>
      </c>
      <c r="F2371" t="s">
        <v>585</v>
      </c>
      <c r="G2371" t="s">
        <v>268</v>
      </c>
      <c r="H2371" s="6">
        <v>140197</v>
      </c>
      <c r="I2371" s="6">
        <v>6.1734736813218779E-4</v>
      </c>
      <c r="J2371" s="6">
        <v>2793.4968407981496</v>
      </c>
      <c r="K2371" s="6">
        <v>537709.55764313496</v>
      </c>
      <c r="M2371" s="6">
        <f>SUM(H2371,J2371)</f>
        <v>142990.49684079815</v>
      </c>
      <c r="N2371" s="6">
        <f>K2371</f>
        <v>537709.55764313496</v>
      </c>
      <c r="O2371" s="6">
        <f>SUM(M2371:N2371)</f>
        <v>680700.05448393314</v>
      </c>
      <c r="P2371" s="8">
        <f>VLOOKUP(F2371,'LEAID Match'!$A$2:$B$436,2,FALSE)</f>
        <v>1810830</v>
      </c>
      <c r="Q2371" s="6">
        <f>COUNTIF($P$2:$P$3691,P2371)</f>
        <v>9</v>
      </c>
    </row>
    <row r="2372" spans="1:17" x14ac:dyDescent="0.2">
      <c r="A2372" s="16">
        <f>P2372</f>
        <v>1810830</v>
      </c>
      <c r="B2372">
        <v>2018</v>
      </c>
      <c r="C2372" t="s">
        <v>904</v>
      </c>
      <c r="D2372" t="s">
        <v>906</v>
      </c>
      <c r="E2372" t="s">
        <v>3356</v>
      </c>
      <c r="F2372" t="s">
        <v>585</v>
      </c>
      <c r="G2372" t="s">
        <v>268</v>
      </c>
      <c r="H2372" s="6">
        <v>137638</v>
      </c>
      <c r="I2372" s="6">
        <v>5.8391143484133753E-4</v>
      </c>
      <c r="J2372" s="6">
        <v>2433.7428604186948</v>
      </c>
      <c r="K2372" s="6">
        <v>467578</v>
      </c>
      <c r="M2372" s="6">
        <f>SUM(H2372,J2372)</f>
        <v>140071.74286041869</v>
      </c>
      <c r="N2372" s="6">
        <f>K2372</f>
        <v>467578</v>
      </c>
      <c r="O2372" s="6">
        <f>SUM(M2372:N2372)</f>
        <v>607649.74286041874</v>
      </c>
      <c r="P2372" s="8">
        <f>VLOOKUP(F2372,'LEAID Match'!$A$2:$B$436,2,FALSE)</f>
        <v>1810830</v>
      </c>
      <c r="Q2372" s="6">
        <f>COUNTIF($P$2:$P$3691,P2372)</f>
        <v>9</v>
      </c>
    </row>
    <row r="2373" spans="1:17" x14ac:dyDescent="0.2">
      <c r="A2373" s="16">
        <f>P2373</f>
        <v>1810830</v>
      </c>
      <c r="B2373">
        <v>2019</v>
      </c>
      <c r="C2373" t="s">
        <v>904</v>
      </c>
      <c r="D2373" t="s">
        <v>906</v>
      </c>
      <c r="E2373" t="s">
        <v>3357</v>
      </c>
      <c r="F2373" t="s">
        <v>585</v>
      </c>
      <c r="G2373" t="s">
        <v>268</v>
      </c>
      <c r="H2373" s="6">
        <v>146050</v>
      </c>
      <c r="I2373" s="6">
        <v>3.7155040790803358E-4</v>
      </c>
      <c r="J2373" s="6">
        <v>1302.2841797176577</v>
      </c>
      <c r="K2373" s="6">
        <v>350706.43002439197</v>
      </c>
      <c r="M2373" s="6">
        <f>SUM(H2373,J2373)</f>
        <v>147352.28417971765</v>
      </c>
      <c r="N2373" s="6">
        <f>K2373</f>
        <v>350706.43002439197</v>
      </c>
      <c r="O2373" s="6">
        <f>SUM(M2373:N2373)</f>
        <v>498058.71420410962</v>
      </c>
      <c r="P2373" s="8">
        <f>VLOOKUP(F2373,'LEAID Match'!$A$2:$B$436,2,FALSE)</f>
        <v>1810830</v>
      </c>
      <c r="Q2373" s="6">
        <f>COUNTIF($P$2:$P$3691,P2373)</f>
        <v>9</v>
      </c>
    </row>
    <row r="2374" spans="1:17" x14ac:dyDescent="0.2">
      <c r="A2374" s="16">
        <f>P2374</f>
        <v>1810830</v>
      </c>
      <c r="B2374">
        <v>2020</v>
      </c>
      <c r="C2374" t="s">
        <v>904</v>
      </c>
      <c r="D2374" t="s">
        <v>906</v>
      </c>
      <c r="E2374" t="s">
        <v>3358</v>
      </c>
      <c r="F2374" t="s">
        <v>585</v>
      </c>
      <c r="G2374" t="s">
        <v>268</v>
      </c>
      <c r="H2374" s="6">
        <v>108489</v>
      </c>
      <c r="I2374" s="6">
        <v>5.7485150027239071E-4</v>
      </c>
      <c r="J2374" s="6">
        <v>1354.3501346417524</v>
      </c>
      <c r="K2374" s="6">
        <v>510621</v>
      </c>
      <c r="M2374" s="6">
        <f>SUM(H2374,J2374)</f>
        <v>109843.35013464175</v>
      </c>
      <c r="N2374" s="6">
        <f>K2374</f>
        <v>510621</v>
      </c>
      <c r="O2374" s="6">
        <f>SUM(M2374:N2374)</f>
        <v>620464.35013464175</v>
      </c>
      <c r="P2374" s="8">
        <f>VLOOKUP(F2374,'LEAID Match'!$A$2:$B$436,2,FALSE)</f>
        <v>1810830</v>
      </c>
      <c r="Q2374" s="6">
        <f>COUNTIF($P$2:$P$3691,P2374)</f>
        <v>9</v>
      </c>
    </row>
    <row r="2375" spans="1:17" x14ac:dyDescent="0.2">
      <c r="A2375" s="16">
        <f>P2375</f>
        <v>1806840</v>
      </c>
      <c r="B2375">
        <v>2015</v>
      </c>
      <c r="C2375" t="s">
        <v>904</v>
      </c>
      <c r="D2375" t="s">
        <v>906</v>
      </c>
      <c r="E2375" t="s">
        <v>3281</v>
      </c>
      <c r="F2375" t="s">
        <v>579</v>
      </c>
      <c r="G2375" t="s">
        <v>260</v>
      </c>
      <c r="H2375" s="6">
        <v>1120734</v>
      </c>
      <c r="I2375" s="6">
        <v>5.449801132300789E-3</v>
      </c>
      <c r="J2375" s="6">
        <v>31668.794379799885</v>
      </c>
      <c r="K2375" s="6">
        <v>4608439.0342916604</v>
      </c>
      <c r="M2375" s="6">
        <f>SUM(H2375,J2375)</f>
        <v>1152402.7943797999</v>
      </c>
      <c r="N2375" s="6">
        <f>K2375</f>
        <v>4608439.0342916604</v>
      </c>
      <c r="O2375" s="6">
        <f>SUM(M2375:N2375)</f>
        <v>5760841.82867146</v>
      </c>
      <c r="P2375" s="8">
        <f>VLOOKUP(F2375,'LEAID Match'!$A$2:$B$436,2,FALSE)</f>
        <v>1806840</v>
      </c>
      <c r="Q2375" s="6">
        <f>COUNTIF($P$2:$P$3691,P2375)</f>
        <v>9</v>
      </c>
    </row>
    <row r="2376" spans="1:17" x14ac:dyDescent="0.2">
      <c r="A2376" s="16">
        <f>P2376</f>
        <v>1806840</v>
      </c>
      <c r="B2376">
        <v>2016</v>
      </c>
      <c r="C2376" t="s">
        <v>904</v>
      </c>
      <c r="D2376" t="s">
        <v>906</v>
      </c>
      <c r="E2376" t="s">
        <v>3282</v>
      </c>
      <c r="F2376" t="s">
        <v>579</v>
      </c>
      <c r="G2376" t="s">
        <v>260</v>
      </c>
      <c r="H2376" s="6">
        <v>933052</v>
      </c>
      <c r="I2376" s="6">
        <v>4.3294758739528642E-3</v>
      </c>
      <c r="J2376" s="6">
        <v>21855.194211714057</v>
      </c>
      <c r="K2376" s="6">
        <v>3842409.83813316</v>
      </c>
      <c r="M2376" s="6">
        <f>SUM(H2376,J2376)</f>
        <v>954907.19421171409</v>
      </c>
      <c r="N2376" s="6">
        <f>K2376</f>
        <v>3842409.83813316</v>
      </c>
      <c r="O2376" s="6">
        <f>SUM(M2376:N2376)</f>
        <v>4797317.032344874</v>
      </c>
      <c r="P2376" s="8">
        <f>VLOOKUP(F2376,'LEAID Match'!$A$2:$B$436,2,FALSE)</f>
        <v>1806840</v>
      </c>
      <c r="Q2376" s="6">
        <f>COUNTIF($P$2:$P$3691,P2376)</f>
        <v>9</v>
      </c>
    </row>
    <row r="2377" spans="1:17" x14ac:dyDescent="0.2">
      <c r="A2377" s="16">
        <f>P2377</f>
        <v>1806840</v>
      </c>
      <c r="B2377">
        <v>2017</v>
      </c>
      <c r="C2377" t="s">
        <v>904</v>
      </c>
      <c r="D2377" t="s">
        <v>906</v>
      </c>
      <c r="E2377" t="s">
        <v>3283</v>
      </c>
      <c r="F2377" t="s">
        <v>579</v>
      </c>
      <c r="G2377" t="s">
        <v>260</v>
      </c>
      <c r="H2377" s="6">
        <v>1018109</v>
      </c>
      <c r="I2377" s="6">
        <v>4.4831694802434686E-3</v>
      </c>
      <c r="J2377" s="6">
        <v>20286.341898101695</v>
      </c>
      <c r="K2377" s="6">
        <v>3904840.6172920601</v>
      </c>
      <c r="M2377" s="6">
        <f>SUM(H2377,J2377)</f>
        <v>1038395.3418981017</v>
      </c>
      <c r="N2377" s="6">
        <f>K2377</f>
        <v>3904840.6172920601</v>
      </c>
      <c r="O2377" s="6">
        <f>SUM(M2377:N2377)</f>
        <v>4943235.9591901619</v>
      </c>
      <c r="P2377" s="8">
        <f>VLOOKUP(F2377,'LEAID Match'!$A$2:$B$436,2,FALSE)</f>
        <v>1806840</v>
      </c>
      <c r="Q2377" s="6">
        <f>COUNTIF($P$2:$P$3691,P2377)</f>
        <v>9</v>
      </c>
    </row>
    <row r="2378" spans="1:17" x14ac:dyDescent="0.2">
      <c r="A2378" s="16">
        <f>P2378</f>
        <v>1806840</v>
      </c>
      <c r="B2378">
        <v>2018</v>
      </c>
      <c r="C2378" t="s">
        <v>904</v>
      </c>
      <c r="D2378" t="s">
        <v>906</v>
      </c>
      <c r="E2378" t="s">
        <v>3284</v>
      </c>
      <c r="F2378" t="s">
        <v>579</v>
      </c>
      <c r="G2378" t="s">
        <v>260</v>
      </c>
      <c r="H2378" s="6">
        <v>1117727</v>
      </c>
      <c r="I2378" s="6">
        <v>4.7418124088616778E-3</v>
      </c>
      <c r="J2378" s="6">
        <v>19763.874120135471</v>
      </c>
      <c r="K2378" s="6">
        <v>4615568</v>
      </c>
      <c r="M2378" s="6">
        <f>SUM(H2378,J2378)</f>
        <v>1137490.8741201356</v>
      </c>
      <c r="N2378" s="6">
        <f>K2378</f>
        <v>4615568</v>
      </c>
      <c r="O2378" s="6">
        <f>SUM(M2378:N2378)</f>
        <v>5753058.8741201358</v>
      </c>
      <c r="P2378" s="8">
        <f>VLOOKUP(F2378,'LEAID Match'!$A$2:$B$436,2,FALSE)</f>
        <v>1806840</v>
      </c>
      <c r="Q2378" s="6">
        <f>COUNTIF($P$2:$P$3691,P2378)</f>
        <v>9</v>
      </c>
    </row>
    <row r="2379" spans="1:17" x14ac:dyDescent="0.2">
      <c r="A2379" s="16">
        <f>P2379</f>
        <v>1806840</v>
      </c>
      <c r="B2379">
        <v>2019</v>
      </c>
      <c r="C2379" t="s">
        <v>904</v>
      </c>
      <c r="D2379" t="s">
        <v>906</v>
      </c>
      <c r="E2379" t="s">
        <v>3285</v>
      </c>
      <c r="F2379" t="s">
        <v>579</v>
      </c>
      <c r="G2379" t="s">
        <v>260</v>
      </c>
      <c r="H2379" s="6">
        <v>1174274</v>
      </c>
      <c r="I2379" s="6">
        <v>2.9873466874070402E-3</v>
      </c>
      <c r="J2379" s="6">
        <v>10470.650139361676</v>
      </c>
      <c r="K2379" s="6">
        <v>2819756.5382435001</v>
      </c>
      <c r="M2379" s="6">
        <f>SUM(H2379,J2379)</f>
        <v>1184744.6501393616</v>
      </c>
      <c r="N2379" s="6">
        <f>K2379</f>
        <v>2819756.5382435001</v>
      </c>
      <c r="O2379" s="6">
        <f>SUM(M2379:N2379)</f>
        <v>4004501.1883828617</v>
      </c>
      <c r="P2379" s="8">
        <f>VLOOKUP(F2379,'LEAID Match'!$A$2:$B$436,2,FALSE)</f>
        <v>1806840</v>
      </c>
      <c r="Q2379" s="6">
        <f>COUNTIF($P$2:$P$3691,P2379)</f>
        <v>9</v>
      </c>
    </row>
    <row r="2380" spans="1:17" x14ac:dyDescent="0.2">
      <c r="A2380" s="16">
        <f>P2380</f>
        <v>1806840</v>
      </c>
      <c r="B2380">
        <v>2020</v>
      </c>
      <c r="C2380" t="s">
        <v>904</v>
      </c>
      <c r="D2380" t="s">
        <v>906</v>
      </c>
      <c r="E2380" t="s">
        <v>3286</v>
      </c>
      <c r="F2380" t="s">
        <v>579</v>
      </c>
      <c r="G2380" t="s">
        <v>260</v>
      </c>
      <c r="H2380" s="6">
        <v>917433</v>
      </c>
      <c r="I2380" s="6">
        <v>4.8612093064679387E-3</v>
      </c>
      <c r="J2380" s="6">
        <v>11453.009126038463</v>
      </c>
      <c r="K2380" s="6">
        <v>5017451</v>
      </c>
      <c r="M2380" s="6">
        <f>SUM(H2380,J2380)</f>
        <v>928886.00912603841</v>
      </c>
      <c r="N2380" s="6">
        <f>K2380</f>
        <v>5017451</v>
      </c>
      <c r="O2380" s="6">
        <f>SUM(M2380:N2380)</f>
        <v>5946337.0091260383</v>
      </c>
      <c r="P2380" s="8">
        <f>VLOOKUP(F2380,'LEAID Match'!$A$2:$B$436,2,FALSE)</f>
        <v>1806840</v>
      </c>
      <c r="Q2380" s="6">
        <f>COUNTIF($P$2:$P$3691,P2380)</f>
        <v>9</v>
      </c>
    </row>
    <row r="2381" spans="1:17" x14ac:dyDescent="0.2">
      <c r="A2381" s="16">
        <f>P2381</f>
        <v>1806840</v>
      </c>
      <c r="B2381">
        <v>2021</v>
      </c>
      <c r="C2381" t="s">
        <v>904</v>
      </c>
      <c r="D2381" t="s">
        <v>906</v>
      </c>
      <c r="E2381" t="s">
        <v>3287</v>
      </c>
      <c r="F2381" t="s">
        <v>579</v>
      </c>
      <c r="G2381" t="s">
        <v>260</v>
      </c>
      <c r="H2381" s="6">
        <v>943098</v>
      </c>
      <c r="I2381" s="6">
        <v>4.6589918271052024E-3</v>
      </c>
      <c r="J2381" s="6">
        <v>10501.367578295127</v>
      </c>
      <c r="K2381" s="6">
        <v>8353108</v>
      </c>
      <c r="M2381" s="6">
        <f>SUM(H2381,J2381)</f>
        <v>953599.36757829518</v>
      </c>
      <c r="N2381" s="6">
        <f>K2381</f>
        <v>8353108</v>
      </c>
      <c r="O2381" s="6">
        <f>SUM(M2381:N2381)</f>
        <v>9306707.367578296</v>
      </c>
      <c r="P2381" s="8">
        <f>VLOOKUP(F2381,'LEAID Match'!$A$2:$B$436,2,FALSE)</f>
        <v>1806840</v>
      </c>
      <c r="Q2381" s="6">
        <f>COUNTIF($P$2:$P$3691,P2381)</f>
        <v>9</v>
      </c>
    </row>
    <row r="2382" spans="1:17" x14ac:dyDescent="0.2">
      <c r="A2382" s="16">
        <f>P2382</f>
        <v>1806840</v>
      </c>
      <c r="B2382">
        <v>2022</v>
      </c>
      <c r="C2382" t="s">
        <v>904</v>
      </c>
      <c r="D2382" t="s">
        <v>906</v>
      </c>
      <c r="E2382" t="s">
        <v>3288</v>
      </c>
      <c r="F2382" t="s">
        <v>579</v>
      </c>
      <c r="G2382" t="s">
        <v>260</v>
      </c>
      <c r="H2382" s="6">
        <v>1038203</v>
      </c>
      <c r="I2382" s="6">
        <v>4.929580795206414E-3</v>
      </c>
      <c r="J2382" s="6">
        <v>10869.725653430143</v>
      </c>
      <c r="K2382" s="6">
        <v>8138724</v>
      </c>
      <c r="M2382" s="6">
        <f>SUM(H2382,J2382)</f>
        <v>1049072.7256534302</v>
      </c>
      <c r="N2382" s="6">
        <f>K2382</f>
        <v>8138724</v>
      </c>
      <c r="O2382" s="6">
        <f>SUM(M2382:N2382)</f>
        <v>9187796.7256534304</v>
      </c>
      <c r="P2382" s="8">
        <f>VLOOKUP(F2382,'LEAID Match'!$A$2:$B$436,2,FALSE)</f>
        <v>1806840</v>
      </c>
      <c r="Q2382" s="6">
        <f>COUNTIF($P$2:$P$3691,P2382)</f>
        <v>9</v>
      </c>
    </row>
    <row r="2383" spans="1:17" x14ac:dyDescent="0.2">
      <c r="A2383" s="16">
        <f>P2383</f>
        <v>1806840</v>
      </c>
      <c r="B2383">
        <v>2023</v>
      </c>
      <c r="C2383" t="s">
        <v>904</v>
      </c>
      <c r="D2383" t="s">
        <v>906</v>
      </c>
      <c r="E2383" t="s">
        <v>3289</v>
      </c>
      <c r="F2383" t="s">
        <v>579</v>
      </c>
      <c r="G2383" t="s">
        <v>260</v>
      </c>
      <c r="H2383" s="6">
        <v>1204847</v>
      </c>
      <c r="I2383" s="6">
        <v>4.9271622237758135E-3</v>
      </c>
      <c r="J2383" s="6">
        <v>12155.309206054932</v>
      </c>
      <c r="K2383" s="6">
        <v>21050491</v>
      </c>
      <c r="M2383" s="6">
        <f>SUM(H2383,J2383)</f>
        <v>1217002.309206055</v>
      </c>
      <c r="N2383" s="6">
        <f>K2383</f>
        <v>21050491</v>
      </c>
      <c r="O2383" s="6">
        <f>SUM(M2383:N2383)</f>
        <v>22267493.309206054</v>
      </c>
      <c r="P2383" s="8">
        <f>VLOOKUP(F2383,'LEAID Match'!$A$2:$B$436,2,FALSE)</f>
        <v>1806840</v>
      </c>
      <c r="Q2383" s="6">
        <f>COUNTIF($P$2:$P$3691,P2383)</f>
        <v>9</v>
      </c>
    </row>
    <row r="2384" spans="1:17" x14ac:dyDescent="0.2">
      <c r="A2384" s="16">
        <f>P2384</f>
        <v>1808760</v>
      </c>
      <c r="B2384">
        <v>2015</v>
      </c>
      <c r="C2384" t="s">
        <v>904</v>
      </c>
      <c r="D2384" t="s">
        <v>906</v>
      </c>
      <c r="E2384" t="s">
        <v>3290</v>
      </c>
      <c r="F2384" t="s">
        <v>580</v>
      </c>
      <c r="G2384" t="s">
        <v>261</v>
      </c>
      <c r="H2384" s="6">
        <v>1376704</v>
      </c>
      <c r="I2384" s="6">
        <v>6.6945082580193212E-3</v>
      </c>
      <c r="J2384" s="6">
        <v>38901.787487350273</v>
      </c>
      <c r="K2384" s="6">
        <v>5660983.2951132599</v>
      </c>
      <c r="M2384" s="6">
        <f>SUM(H2384,J2384)</f>
        <v>1415605.7874873502</v>
      </c>
      <c r="N2384" s="6">
        <f>K2384</f>
        <v>5660983.2951132599</v>
      </c>
      <c r="O2384" s="6">
        <f>SUM(M2384:N2384)</f>
        <v>7076589.0826006103</v>
      </c>
      <c r="P2384" s="8">
        <f>VLOOKUP(F2384,'LEAID Match'!$A$2:$B$436,2,FALSE)</f>
        <v>1808760</v>
      </c>
      <c r="Q2384" s="6">
        <f>COUNTIF($P$2:$P$3691,P2384)</f>
        <v>9</v>
      </c>
    </row>
    <row r="2385" spans="1:17" x14ac:dyDescent="0.2">
      <c r="A2385" s="16">
        <f>P2385</f>
        <v>1808760</v>
      </c>
      <c r="B2385">
        <v>2016</v>
      </c>
      <c r="C2385" t="s">
        <v>904</v>
      </c>
      <c r="D2385" t="s">
        <v>906</v>
      </c>
      <c r="E2385" t="s">
        <v>3291</v>
      </c>
      <c r="F2385" t="s">
        <v>580</v>
      </c>
      <c r="G2385" t="s">
        <v>261</v>
      </c>
      <c r="H2385" s="6">
        <v>1678433</v>
      </c>
      <c r="I2385" s="6">
        <v>7.7881352588562349E-3</v>
      </c>
      <c r="J2385" s="6">
        <v>39314.506786706275</v>
      </c>
      <c r="K2385" s="6">
        <v>6911970.0422349004</v>
      </c>
      <c r="M2385" s="6">
        <f>SUM(H2385,J2385)</f>
        <v>1717747.5067867064</v>
      </c>
      <c r="N2385" s="6">
        <f>K2385</f>
        <v>6911970.0422349004</v>
      </c>
      <c r="O2385" s="6">
        <f>SUM(M2385:N2385)</f>
        <v>8629717.5490216073</v>
      </c>
      <c r="P2385" s="8">
        <f>VLOOKUP(F2385,'LEAID Match'!$A$2:$B$436,2,FALSE)</f>
        <v>1808760</v>
      </c>
      <c r="Q2385" s="6">
        <f>COUNTIF($P$2:$P$3691,P2385)</f>
        <v>9</v>
      </c>
    </row>
    <row r="2386" spans="1:17" x14ac:dyDescent="0.2">
      <c r="A2386" s="16">
        <f>P2386</f>
        <v>1808760</v>
      </c>
      <c r="B2386">
        <v>2017</v>
      </c>
      <c r="C2386" t="s">
        <v>904</v>
      </c>
      <c r="D2386" t="s">
        <v>906</v>
      </c>
      <c r="E2386" t="s">
        <v>3292</v>
      </c>
      <c r="F2386" t="s">
        <v>580</v>
      </c>
      <c r="G2386" t="s">
        <v>261</v>
      </c>
      <c r="H2386" s="6">
        <v>1815101</v>
      </c>
      <c r="I2386" s="6">
        <v>7.9926662142849152E-3</v>
      </c>
      <c r="J2386" s="6">
        <v>36166.814619639241</v>
      </c>
      <c r="K2386" s="6">
        <v>6961612.2726421598</v>
      </c>
      <c r="M2386" s="6">
        <f>SUM(H2386,J2386)</f>
        <v>1851267.8146196392</v>
      </c>
      <c r="N2386" s="6">
        <f>K2386</f>
        <v>6961612.2726421598</v>
      </c>
      <c r="O2386" s="6">
        <f>SUM(M2386:N2386)</f>
        <v>8812880.0872617997</v>
      </c>
      <c r="P2386" s="8">
        <f>VLOOKUP(F2386,'LEAID Match'!$A$2:$B$436,2,FALSE)</f>
        <v>1808760</v>
      </c>
      <c r="Q2386" s="6">
        <f>COUNTIF($P$2:$P$3691,P2386)</f>
        <v>9</v>
      </c>
    </row>
    <row r="2387" spans="1:17" x14ac:dyDescent="0.2">
      <c r="A2387" s="16">
        <f>P2387</f>
        <v>1808760</v>
      </c>
      <c r="B2387">
        <v>2018</v>
      </c>
      <c r="C2387" t="s">
        <v>904</v>
      </c>
      <c r="D2387" t="s">
        <v>906</v>
      </c>
      <c r="E2387" t="s">
        <v>3293</v>
      </c>
      <c r="F2387" t="s">
        <v>580</v>
      </c>
      <c r="G2387" t="s">
        <v>261</v>
      </c>
      <c r="H2387" s="6">
        <v>1867087</v>
      </c>
      <c r="I2387" s="6">
        <v>7.9208754060914009E-3</v>
      </c>
      <c r="J2387" s="6">
        <v>33014.20869258896</v>
      </c>
      <c r="K2387" s="6">
        <v>7543486</v>
      </c>
      <c r="M2387" s="6">
        <f>SUM(H2387,J2387)</f>
        <v>1900101.2086925888</v>
      </c>
      <c r="N2387" s="6">
        <f>K2387</f>
        <v>7543486</v>
      </c>
      <c r="O2387" s="6">
        <f>SUM(M2387:N2387)</f>
        <v>9443587.2086925879</v>
      </c>
      <c r="P2387" s="8">
        <f>VLOOKUP(F2387,'LEAID Match'!$A$2:$B$436,2,FALSE)</f>
        <v>1808760</v>
      </c>
      <c r="Q2387" s="6">
        <f>COUNTIF($P$2:$P$3691,P2387)</f>
        <v>9</v>
      </c>
    </row>
    <row r="2388" spans="1:17" x14ac:dyDescent="0.2">
      <c r="A2388" s="16">
        <f>P2388</f>
        <v>1808760</v>
      </c>
      <c r="B2388">
        <v>2019</v>
      </c>
      <c r="C2388" t="s">
        <v>904</v>
      </c>
      <c r="D2388" t="s">
        <v>906</v>
      </c>
      <c r="E2388" t="s">
        <v>3294</v>
      </c>
      <c r="F2388" t="s">
        <v>580</v>
      </c>
      <c r="G2388" t="s">
        <v>261</v>
      </c>
      <c r="H2388" s="6">
        <v>2024166</v>
      </c>
      <c r="I2388" s="6">
        <v>5.1494673260771839E-3</v>
      </c>
      <c r="J2388" s="6">
        <v>18048.882977900528</v>
      </c>
      <c r="K2388" s="6">
        <v>4860582.20908425</v>
      </c>
      <c r="M2388" s="6">
        <f>SUM(H2388,J2388)</f>
        <v>2042214.8829779006</v>
      </c>
      <c r="N2388" s="6">
        <f>K2388</f>
        <v>4860582.20908425</v>
      </c>
      <c r="O2388" s="6">
        <f>SUM(M2388:N2388)</f>
        <v>6902797.0920621511</v>
      </c>
      <c r="P2388" s="8">
        <f>VLOOKUP(F2388,'LEAID Match'!$A$2:$B$436,2,FALSE)</f>
        <v>1808760</v>
      </c>
      <c r="Q2388" s="6">
        <f>COUNTIF($P$2:$P$3691,P2388)</f>
        <v>9</v>
      </c>
    </row>
    <row r="2389" spans="1:17" x14ac:dyDescent="0.2">
      <c r="A2389" s="16">
        <f>P2389</f>
        <v>1808760</v>
      </c>
      <c r="B2389">
        <v>2020</v>
      </c>
      <c r="C2389" t="s">
        <v>904</v>
      </c>
      <c r="D2389" t="s">
        <v>906</v>
      </c>
      <c r="E2389" t="s">
        <v>3295</v>
      </c>
      <c r="F2389" t="s">
        <v>580</v>
      </c>
      <c r="G2389" t="s">
        <v>261</v>
      </c>
      <c r="H2389" s="6">
        <v>1579600</v>
      </c>
      <c r="I2389" s="6">
        <v>8.3698386917592411E-3</v>
      </c>
      <c r="J2389" s="6">
        <v>19719.33995778477</v>
      </c>
      <c r="K2389" s="6">
        <v>8073894</v>
      </c>
      <c r="M2389" s="6">
        <f>SUM(H2389,J2389)</f>
        <v>1599319.3399577849</v>
      </c>
      <c r="N2389" s="6">
        <f>K2389</f>
        <v>8073894</v>
      </c>
      <c r="O2389" s="6">
        <f>SUM(M2389:N2389)</f>
        <v>9673213.3399577849</v>
      </c>
      <c r="P2389" s="8">
        <f>VLOOKUP(F2389,'LEAID Match'!$A$2:$B$436,2,FALSE)</f>
        <v>1808760</v>
      </c>
      <c r="Q2389" s="6">
        <f>COUNTIF($P$2:$P$3691,P2389)</f>
        <v>9</v>
      </c>
    </row>
    <row r="2390" spans="1:17" x14ac:dyDescent="0.2">
      <c r="A2390" s="16">
        <f>P2390</f>
        <v>1808760</v>
      </c>
      <c r="B2390">
        <v>2021</v>
      </c>
      <c r="C2390" t="s">
        <v>904</v>
      </c>
      <c r="D2390" t="s">
        <v>906</v>
      </c>
      <c r="E2390" t="s">
        <v>3296</v>
      </c>
      <c r="F2390" t="s">
        <v>580</v>
      </c>
      <c r="G2390" t="s">
        <v>261</v>
      </c>
      <c r="H2390" s="6">
        <v>1649002</v>
      </c>
      <c r="I2390" s="6">
        <v>8.1462232354221221E-3</v>
      </c>
      <c r="J2390" s="6">
        <v>18361.587172641463</v>
      </c>
      <c r="K2390" s="6">
        <v>13963564</v>
      </c>
      <c r="M2390" s="6">
        <f>SUM(H2390,J2390)</f>
        <v>1667363.5871726414</v>
      </c>
      <c r="N2390" s="6">
        <f>K2390</f>
        <v>13963564</v>
      </c>
      <c r="O2390" s="6">
        <f>SUM(M2390:N2390)</f>
        <v>15630927.587172642</v>
      </c>
      <c r="P2390" s="8">
        <f>VLOOKUP(F2390,'LEAID Match'!$A$2:$B$436,2,FALSE)</f>
        <v>1808760</v>
      </c>
      <c r="Q2390" s="6">
        <f>COUNTIF($P$2:$P$3691,P2390)</f>
        <v>9</v>
      </c>
    </row>
    <row r="2391" spans="1:17" x14ac:dyDescent="0.2">
      <c r="A2391" s="16">
        <f>P2391</f>
        <v>1808760</v>
      </c>
      <c r="B2391">
        <v>2022</v>
      </c>
      <c r="C2391" t="s">
        <v>904</v>
      </c>
      <c r="D2391" t="s">
        <v>906</v>
      </c>
      <c r="E2391" t="s">
        <v>3297</v>
      </c>
      <c r="F2391" t="s">
        <v>580</v>
      </c>
      <c r="G2391" t="s">
        <v>261</v>
      </c>
      <c r="H2391" s="6">
        <v>1706317</v>
      </c>
      <c r="I2391" s="6">
        <v>8.101910236951948E-3</v>
      </c>
      <c r="J2391" s="6">
        <v>17864.712072479044</v>
      </c>
      <c r="K2391" s="6">
        <v>13565780</v>
      </c>
      <c r="M2391" s="6">
        <f>SUM(H2391,J2391)</f>
        <v>1724181.7120724791</v>
      </c>
      <c r="N2391" s="6">
        <f>K2391</f>
        <v>13565780</v>
      </c>
      <c r="O2391" s="6">
        <f>SUM(M2391:N2391)</f>
        <v>15289961.712072479</v>
      </c>
      <c r="P2391" s="8">
        <f>VLOOKUP(F2391,'LEAID Match'!$A$2:$B$436,2,FALSE)</f>
        <v>1808760</v>
      </c>
      <c r="Q2391" s="6">
        <f>COUNTIF($P$2:$P$3691,P2391)</f>
        <v>9</v>
      </c>
    </row>
    <row r="2392" spans="1:17" x14ac:dyDescent="0.2">
      <c r="A2392" s="16">
        <f>P2392</f>
        <v>1808760</v>
      </c>
      <c r="B2392">
        <v>2023</v>
      </c>
      <c r="C2392" t="s">
        <v>904</v>
      </c>
      <c r="D2392" t="s">
        <v>906</v>
      </c>
      <c r="E2392" t="s">
        <v>3298</v>
      </c>
      <c r="F2392" t="s">
        <v>580</v>
      </c>
      <c r="G2392" t="s">
        <v>261</v>
      </c>
      <c r="H2392" s="6">
        <v>2014531</v>
      </c>
      <c r="I2392" s="6">
        <v>8.2383249008590419E-3</v>
      </c>
      <c r="J2392" s="6">
        <v>20323.947530419257</v>
      </c>
      <c r="K2392" s="6">
        <v>43598478</v>
      </c>
      <c r="M2392" s="6">
        <f>SUM(H2392,J2392)</f>
        <v>2034854.9475304193</v>
      </c>
      <c r="N2392" s="6">
        <f>K2392</f>
        <v>43598478</v>
      </c>
      <c r="O2392" s="6">
        <f>SUM(M2392:N2392)</f>
        <v>45633332.947530419</v>
      </c>
      <c r="P2392" s="8">
        <f>VLOOKUP(F2392,'LEAID Match'!$A$2:$B$436,2,FALSE)</f>
        <v>1808760</v>
      </c>
      <c r="Q2392" s="6">
        <f>COUNTIF($P$2:$P$3691,P2392)</f>
        <v>9</v>
      </c>
    </row>
    <row r="2393" spans="1:17" x14ac:dyDescent="0.2">
      <c r="A2393" s="16">
        <f>P2393</f>
        <v>1811910</v>
      </c>
      <c r="B2393">
        <v>2015</v>
      </c>
      <c r="C2393" t="s">
        <v>904</v>
      </c>
      <c r="D2393" t="s">
        <v>906</v>
      </c>
      <c r="E2393" t="s">
        <v>3299</v>
      </c>
      <c r="F2393" t="s">
        <v>581</v>
      </c>
      <c r="G2393" t="s">
        <v>262</v>
      </c>
      <c r="H2393" s="6">
        <v>206113</v>
      </c>
      <c r="I2393" s="6">
        <v>1.0022671399118012E-3</v>
      </c>
      <c r="J2393" s="6">
        <v>5824.174350027477</v>
      </c>
      <c r="K2393" s="6">
        <v>847533.12978365703</v>
      </c>
      <c r="M2393" s="6">
        <f>SUM(H2393,J2393)</f>
        <v>211937.17435002749</v>
      </c>
      <c r="N2393" s="6">
        <f>K2393</f>
        <v>847533.12978365703</v>
      </c>
      <c r="O2393" s="6">
        <f>SUM(M2393:N2393)</f>
        <v>1059470.3041336846</v>
      </c>
      <c r="P2393" s="8">
        <f>VLOOKUP(F2393,'LEAID Match'!$A$2:$B$436,2,FALSE)</f>
        <v>1811910</v>
      </c>
      <c r="Q2393" s="6">
        <f>COUNTIF($P$2:$P$3691,P2393)</f>
        <v>9</v>
      </c>
    </row>
    <row r="2394" spans="1:17" x14ac:dyDescent="0.2">
      <c r="A2394" s="16">
        <f>P2394</f>
        <v>1811910</v>
      </c>
      <c r="B2394">
        <v>2016</v>
      </c>
      <c r="C2394" t="s">
        <v>904</v>
      </c>
      <c r="D2394" t="s">
        <v>906</v>
      </c>
      <c r="E2394" t="s">
        <v>3300</v>
      </c>
      <c r="F2394" t="s">
        <v>581</v>
      </c>
      <c r="G2394" t="s">
        <v>262</v>
      </c>
      <c r="H2394" s="6">
        <v>232685</v>
      </c>
      <c r="I2394" s="6">
        <v>1.0796869775004203E-3</v>
      </c>
      <c r="J2394" s="6">
        <v>5450.2598624221218</v>
      </c>
      <c r="K2394" s="6">
        <v>958222.19253162295</v>
      </c>
      <c r="M2394" s="6">
        <f>SUM(H2394,J2394)</f>
        <v>238135.25986242213</v>
      </c>
      <c r="N2394" s="6">
        <f>K2394</f>
        <v>958222.19253162295</v>
      </c>
      <c r="O2394" s="6">
        <f>SUM(M2394:N2394)</f>
        <v>1196357.452394045</v>
      </c>
      <c r="P2394" s="8">
        <f>VLOOKUP(F2394,'LEAID Match'!$A$2:$B$436,2,FALSE)</f>
        <v>1811910</v>
      </c>
      <c r="Q2394" s="6">
        <f>COUNTIF($P$2:$P$3691,P2394)</f>
        <v>9</v>
      </c>
    </row>
    <row r="2395" spans="1:17" x14ac:dyDescent="0.2">
      <c r="A2395" s="16">
        <f>P2395</f>
        <v>1811910</v>
      </c>
      <c r="B2395">
        <v>2017</v>
      </c>
      <c r="C2395" t="s">
        <v>904</v>
      </c>
      <c r="D2395" t="s">
        <v>906</v>
      </c>
      <c r="E2395" t="s">
        <v>3301</v>
      </c>
      <c r="F2395" t="s">
        <v>581</v>
      </c>
      <c r="G2395" t="s">
        <v>262</v>
      </c>
      <c r="H2395" s="6">
        <v>241591</v>
      </c>
      <c r="I2395" s="6">
        <v>1.0638285271041704E-3</v>
      </c>
      <c r="J2395" s="6">
        <v>4813.8240851463706</v>
      </c>
      <c r="K2395" s="6">
        <v>926594.64710773202</v>
      </c>
      <c r="M2395" s="6">
        <f>SUM(H2395,J2395)</f>
        <v>246404.82408514636</v>
      </c>
      <c r="N2395" s="6">
        <f>K2395</f>
        <v>926594.64710773202</v>
      </c>
      <c r="O2395" s="6">
        <f>SUM(M2395:N2395)</f>
        <v>1172999.4711928784</v>
      </c>
      <c r="P2395" s="8">
        <f>VLOOKUP(F2395,'LEAID Match'!$A$2:$B$436,2,FALSE)</f>
        <v>1811910</v>
      </c>
      <c r="Q2395" s="6">
        <f>COUNTIF($P$2:$P$3691,P2395)</f>
        <v>9</v>
      </c>
    </row>
    <row r="2396" spans="1:17" x14ac:dyDescent="0.2">
      <c r="A2396" s="16">
        <f>P2396</f>
        <v>1811910</v>
      </c>
      <c r="B2396">
        <v>2018</v>
      </c>
      <c r="C2396" t="s">
        <v>904</v>
      </c>
      <c r="D2396" t="s">
        <v>906</v>
      </c>
      <c r="E2396" t="s">
        <v>3302</v>
      </c>
      <c r="F2396" t="s">
        <v>581</v>
      </c>
      <c r="G2396" t="s">
        <v>262</v>
      </c>
      <c r="H2396" s="6">
        <v>259298</v>
      </c>
      <c r="I2396" s="6">
        <v>1.1000382687302134E-3</v>
      </c>
      <c r="J2396" s="6">
        <v>4584.9595040675295</v>
      </c>
      <c r="K2396" s="6">
        <v>1091842</v>
      </c>
      <c r="M2396" s="6">
        <f>SUM(H2396,J2396)</f>
        <v>263882.95950406755</v>
      </c>
      <c r="N2396" s="6">
        <f>K2396</f>
        <v>1091842</v>
      </c>
      <c r="O2396" s="6">
        <f>SUM(M2396:N2396)</f>
        <v>1355724.9595040674</v>
      </c>
      <c r="P2396" s="8">
        <f>VLOOKUP(F2396,'LEAID Match'!$A$2:$B$436,2,FALSE)</f>
        <v>1811910</v>
      </c>
      <c r="Q2396" s="6">
        <f>COUNTIF($P$2:$P$3691,P2396)</f>
        <v>9</v>
      </c>
    </row>
    <row r="2397" spans="1:17" x14ac:dyDescent="0.2">
      <c r="A2397" s="16">
        <f>P2397</f>
        <v>1811910</v>
      </c>
      <c r="B2397">
        <v>2019</v>
      </c>
      <c r="C2397" t="s">
        <v>904</v>
      </c>
      <c r="D2397" t="s">
        <v>906</v>
      </c>
      <c r="E2397" t="s">
        <v>3303</v>
      </c>
      <c r="F2397" t="s">
        <v>581</v>
      </c>
      <c r="G2397" t="s">
        <v>262</v>
      </c>
      <c r="H2397" s="6">
        <v>293057</v>
      </c>
      <c r="I2397" s="6">
        <v>7.4553541862584457E-4</v>
      </c>
      <c r="J2397" s="6">
        <v>2613.1016422835851</v>
      </c>
      <c r="K2397" s="6">
        <v>703710.88164093404</v>
      </c>
      <c r="M2397" s="6">
        <f>SUM(H2397,J2397)</f>
        <v>295670.10164228361</v>
      </c>
      <c r="N2397" s="6">
        <f>K2397</f>
        <v>703710.88164093404</v>
      </c>
      <c r="O2397" s="6">
        <f>SUM(M2397:N2397)</f>
        <v>999380.98328321765</v>
      </c>
      <c r="P2397" s="8">
        <f>VLOOKUP(F2397,'LEAID Match'!$A$2:$B$436,2,FALSE)</f>
        <v>1811910</v>
      </c>
      <c r="Q2397" s="6">
        <f>COUNTIF($P$2:$P$3691,P2397)</f>
        <v>9</v>
      </c>
    </row>
    <row r="2398" spans="1:17" x14ac:dyDescent="0.2">
      <c r="A2398" s="16">
        <f>P2398</f>
        <v>1811910</v>
      </c>
      <c r="B2398">
        <v>2020</v>
      </c>
      <c r="C2398" t="s">
        <v>904</v>
      </c>
      <c r="D2398" t="s">
        <v>906</v>
      </c>
      <c r="E2398" t="s">
        <v>3304</v>
      </c>
      <c r="F2398" t="s">
        <v>581</v>
      </c>
      <c r="G2398" t="s">
        <v>262</v>
      </c>
      <c r="H2398" s="6">
        <v>225905</v>
      </c>
      <c r="I2398" s="6">
        <v>1.1970045642326357E-3</v>
      </c>
      <c r="J2398" s="6">
        <v>2820.1427533320898</v>
      </c>
      <c r="K2398" s="6">
        <v>1157686</v>
      </c>
      <c r="M2398" s="6">
        <f>SUM(H2398,J2398)</f>
        <v>228725.1427533321</v>
      </c>
      <c r="N2398" s="6">
        <f>K2398</f>
        <v>1157686</v>
      </c>
      <c r="O2398" s="6">
        <f>SUM(M2398:N2398)</f>
        <v>1386411.1427533322</v>
      </c>
      <c r="P2398" s="8">
        <f>VLOOKUP(F2398,'LEAID Match'!$A$2:$B$436,2,FALSE)</f>
        <v>1811910</v>
      </c>
      <c r="Q2398" s="6">
        <f>COUNTIF($P$2:$P$3691,P2398)</f>
        <v>9</v>
      </c>
    </row>
    <row r="2399" spans="1:17" x14ac:dyDescent="0.2">
      <c r="A2399" s="16">
        <f>P2399</f>
        <v>1811910</v>
      </c>
      <c r="B2399">
        <v>2021</v>
      </c>
      <c r="C2399" t="s">
        <v>904</v>
      </c>
      <c r="D2399" t="s">
        <v>906</v>
      </c>
      <c r="E2399" t="s">
        <v>3305</v>
      </c>
      <c r="F2399" t="s">
        <v>581</v>
      </c>
      <c r="G2399" t="s">
        <v>262</v>
      </c>
      <c r="H2399" s="6">
        <v>230502</v>
      </c>
      <c r="I2399" s="6">
        <v>1.1387013164394404E-3</v>
      </c>
      <c r="J2399" s="6">
        <v>2566.6327672544985</v>
      </c>
      <c r="K2399" s="6">
        <v>1891037</v>
      </c>
      <c r="M2399" s="6">
        <f>SUM(H2399,J2399)</f>
        <v>233068.63276725449</v>
      </c>
      <c r="N2399" s="6">
        <f>K2399</f>
        <v>1891037</v>
      </c>
      <c r="O2399" s="6">
        <f>SUM(M2399:N2399)</f>
        <v>2124105.6327672545</v>
      </c>
      <c r="P2399" s="8">
        <f>VLOOKUP(F2399,'LEAID Match'!$A$2:$B$436,2,FALSE)</f>
        <v>1811910</v>
      </c>
      <c r="Q2399" s="6">
        <f>COUNTIF($P$2:$P$3691,P2399)</f>
        <v>9</v>
      </c>
    </row>
    <row r="2400" spans="1:17" x14ac:dyDescent="0.2">
      <c r="A2400" s="16">
        <f>P2400</f>
        <v>1811910</v>
      </c>
      <c r="B2400">
        <v>2022</v>
      </c>
      <c r="C2400" t="s">
        <v>904</v>
      </c>
      <c r="D2400" t="s">
        <v>906</v>
      </c>
      <c r="E2400" t="s">
        <v>3306</v>
      </c>
      <c r="F2400" t="s">
        <v>581</v>
      </c>
      <c r="G2400" t="s">
        <v>262</v>
      </c>
      <c r="H2400" s="6">
        <v>271062</v>
      </c>
      <c r="I2400" s="6">
        <v>1.2870527531804868E-3</v>
      </c>
      <c r="J2400" s="6">
        <v>2837.9513207629734</v>
      </c>
      <c r="K2400" s="6">
        <v>1859872</v>
      </c>
      <c r="M2400" s="6">
        <f>SUM(H2400,J2400)</f>
        <v>273899.95132076298</v>
      </c>
      <c r="N2400" s="6">
        <f>K2400</f>
        <v>1859872</v>
      </c>
      <c r="O2400" s="6">
        <f>SUM(M2400:N2400)</f>
        <v>2133771.9513207627</v>
      </c>
      <c r="P2400" s="8">
        <f>VLOOKUP(F2400,'LEAID Match'!$A$2:$B$436,2,FALSE)</f>
        <v>1811910</v>
      </c>
      <c r="Q2400" s="6">
        <f>COUNTIF($P$2:$P$3691,P2400)</f>
        <v>9</v>
      </c>
    </row>
    <row r="2401" spans="1:17" x14ac:dyDescent="0.2">
      <c r="A2401" s="16">
        <f>P2401</f>
        <v>1811910</v>
      </c>
      <c r="B2401">
        <v>2023</v>
      </c>
      <c r="C2401" t="s">
        <v>904</v>
      </c>
      <c r="D2401" t="s">
        <v>906</v>
      </c>
      <c r="E2401" t="s">
        <v>3307</v>
      </c>
      <c r="F2401" t="s">
        <v>581</v>
      </c>
      <c r="G2401" t="s">
        <v>262</v>
      </c>
      <c r="H2401" s="6">
        <v>298112</v>
      </c>
      <c r="I2401" s="6">
        <v>1.2191142816094121E-3</v>
      </c>
      <c r="J2401" s="6">
        <v>3007.5549327304198</v>
      </c>
      <c r="K2401" s="6">
        <v>4486559</v>
      </c>
      <c r="M2401" s="6">
        <f>SUM(H2401,J2401)</f>
        <v>301119.55493273045</v>
      </c>
      <c r="N2401" s="6">
        <f>K2401</f>
        <v>4486559</v>
      </c>
      <c r="O2401" s="6">
        <f>SUM(M2401:N2401)</f>
        <v>4787678.5549327303</v>
      </c>
      <c r="P2401" s="8">
        <f>VLOOKUP(F2401,'LEAID Match'!$A$2:$B$436,2,FALSE)</f>
        <v>1811910</v>
      </c>
      <c r="Q2401" s="6">
        <f>COUNTIF($P$2:$P$3691,P2401)</f>
        <v>9</v>
      </c>
    </row>
    <row r="2402" spans="1:17" x14ac:dyDescent="0.2">
      <c r="A2402" s="16">
        <f>P2402</f>
        <v>1809120</v>
      </c>
      <c r="B2402">
        <v>2015</v>
      </c>
      <c r="C2402" t="s">
        <v>904</v>
      </c>
      <c r="D2402" t="s">
        <v>906</v>
      </c>
      <c r="E2402" t="s">
        <v>3308</v>
      </c>
      <c r="F2402" t="s">
        <v>582</v>
      </c>
      <c r="G2402" t="s">
        <v>263</v>
      </c>
      <c r="H2402" s="6">
        <v>305146</v>
      </c>
      <c r="I2402" s="6">
        <v>1.4838356080185456E-3</v>
      </c>
      <c r="J2402" s="6">
        <v>8622.5687181957692</v>
      </c>
      <c r="K2402" s="6">
        <v>1254755.13151021</v>
      </c>
      <c r="M2402" s="6">
        <f>SUM(H2402,J2402)</f>
        <v>313768.56871819578</v>
      </c>
      <c r="N2402" s="6">
        <f>K2402</f>
        <v>1254755.13151021</v>
      </c>
      <c r="O2402" s="6">
        <f>SUM(M2402:N2402)</f>
        <v>1568523.7002284057</v>
      </c>
      <c r="P2402" s="8">
        <f>VLOOKUP(F2402,'LEAID Match'!$A$2:$B$436,2,FALSE)</f>
        <v>1809120</v>
      </c>
      <c r="Q2402" s="6">
        <f>COUNTIF($P$2:$P$3691,P2402)</f>
        <v>9</v>
      </c>
    </row>
    <row r="2403" spans="1:17" x14ac:dyDescent="0.2">
      <c r="A2403" s="16">
        <f>P2403</f>
        <v>1809120</v>
      </c>
      <c r="B2403">
        <v>2016</v>
      </c>
      <c r="C2403" t="s">
        <v>904</v>
      </c>
      <c r="D2403" t="s">
        <v>906</v>
      </c>
      <c r="E2403" t="s">
        <v>3309</v>
      </c>
      <c r="F2403" t="s">
        <v>582</v>
      </c>
      <c r="G2403" t="s">
        <v>263</v>
      </c>
      <c r="H2403" s="6">
        <v>317941</v>
      </c>
      <c r="I2403" s="6">
        <v>1.4752852883231026E-3</v>
      </c>
      <c r="J2403" s="6">
        <v>7447.240135455022</v>
      </c>
      <c r="K2403" s="6">
        <v>1309315.6933867501</v>
      </c>
      <c r="M2403" s="6">
        <f>SUM(H2403,J2403)</f>
        <v>325388.24013545504</v>
      </c>
      <c r="N2403" s="6">
        <f>K2403</f>
        <v>1309315.6933867501</v>
      </c>
      <c r="O2403" s="6">
        <f>SUM(M2403:N2403)</f>
        <v>1634703.9335222051</v>
      </c>
      <c r="P2403" s="8">
        <f>VLOOKUP(F2403,'LEAID Match'!$A$2:$B$436,2,FALSE)</f>
        <v>1809120</v>
      </c>
      <c r="Q2403" s="6">
        <f>COUNTIF($P$2:$P$3691,P2403)</f>
        <v>9</v>
      </c>
    </row>
    <row r="2404" spans="1:17" x14ac:dyDescent="0.2">
      <c r="A2404" s="16">
        <f>P2404</f>
        <v>1809120</v>
      </c>
      <c r="B2404">
        <v>2017</v>
      </c>
      <c r="C2404" t="s">
        <v>904</v>
      </c>
      <c r="D2404" t="s">
        <v>906</v>
      </c>
      <c r="E2404" t="s">
        <v>3310</v>
      </c>
      <c r="F2404" t="s">
        <v>582</v>
      </c>
      <c r="G2404" t="s">
        <v>263</v>
      </c>
      <c r="H2404" s="6">
        <v>338397</v>
      </c>
      <c r="I2404" s="6">
        <v>1.4901067593017536E-3</v>
      </c>
      <c r="J2404" s="6">
        <v>6742.7330858404348</v>
      </c>
      <c r="K2404" s="6">
        <v>1297882.9873518201</v>
      </c>
      <c r="M2404" s="6">
        <f>SUM(H2404,J2404)</f>
        <v>345139.73308584042</v>
      </c>
      <c r="N2404" s="6">
        <f>K2404</f>
        <v>1297882.9873518201</v>
      </c>
      <c r="O2404" s="6">
        <f>SUM(M2404:N2404)</f>
        <v>1643022.7204376606</v>
      </c>
      <c r="P2404" s="8">
        <f>VLOOKUP(F2404,'LEAID Match'!$A$2:$B$436,2,FALSE)</f>
        <v>1809120</v>
      </c>
      <c r="Q2404" s="6">
        <f>COUNTIF($P$2:$P$3691,P2404)</f>
        <v>9</v>
      </c>
    </row>
    <row r="2405" spans="1:17" x14ac:dyDescent="0.2">
      <c r="A2405" s="16">
        <f>P2405</f>
        <v>1809120</v>
      </c>
      <c r="B2405">
        <v>2018</v>
      </c>
      <c r="C2405" t="s">
        <v>904</v>
      </c>
      <c r="D2405" t="s">
        <v>906</v>
      </c>
      <c r="E2405" t="s">
        <v>3311</v>
      </c>
      <c r="F2405" t="s">
        <v>582</v>
      </c>
      <c r="G2405" t="s">
        <v>263</v>
      </c>
      <c r="H2405" s="6">
        <v>355132</v>
      </c>
      <c r="I2405" s="6">
        <v>1.5066016338371225E-3</v>
      </c>
      <c r="J2405" s="6">
        <v>6279.5156098331263</v>
      </c>
      <c r="K2405" s="6">
        <v>1671129</v>
      </c>
      <c r="M2405" s="6">
        <f>SUM(H2405,J2405)</f>
        <v>361411.51560983312</v>
      </c>
      <c r="N2405" s="6">
        <f>K2405</f>
        <v>1671129</v>
      </c>
      <c r="O2405" s="6">
        <f>SUM(M2405:N2405)</f>
        <v>2032540.5156098332</v>
      </c>
      <c r="P2405" s="8">
        <f>VLOOKUP(F2405,'LEAID Match'!$A$2:$B$436,2,FALSE)</f>
        <v>1809120</v>
      </c>
      <c r="Q2405" s="6">
        <f>COUNTIF($P$2:$P$3691,P2405)</f>
        <v>9</v>
      </c>
    </row>
    <row r="2406" spans="1:17" x14ac:dyDescent="0.2">
      <c r="A2406" s="16">
        <f>P2406</f>
        <v>1809120</v>
      </c>
      <c r="B2406">
        <v>2019</v>
      </c>
      <c r="C2406" t="s">
        <v>904</v>
      </c>
      <c r="D2406" t="s">
        <v>906</v>
      </c>
      <c r="E2406" t="s">
        <v>3312</v>
      </c>
      <c r="F2406" t="s">
        <v>582</v>
      </c>
      <c r="G2406" t="s">
        <v>263</v>
      </c>
      <c r="H2406" s="6">
        <v>372117</v>
      </c>
      <c r="I2406" s="6">
        <v>9.4666362984946071E-4</v>
      </c>
      <c r="J2406" s="6">
        <v>3318.0560226223597</v>
      </c>
      <c r="K2406" s="6">
        <v>893555.80021490599</v>
      </c>
      <c r="M2406" s="6">
        <f>SUM(H2406,J2406)</f>
        <v>375435.05602262233</v>
      </c>
      <c r="N2406" s="6">
        <f>K2406</f>
        <v>893555.80021490599</v>
      </c>
      <c r="O2406" s="6">
        <f>SUM(M2406:N2406)</f>
        <v>1268990.8562375284</v>
      </c>
      <c r="P2406" s="8">
        <f>VLOOKUP(F2406,'LEAID Match'!$A$2:$B$436,2,FALSE)</f>
        <v>1809120</v>
      </c>
      <c r="Q2406" s="6">
        <f>COUNTIF($P$2:$P$3691,P2406)</f>
        <v>9</v>
      </c>
    </row>
    <row r="2407" spans="1:17" x14ac:dyDescent="0.2">
      <c r="A2407" s="16">
        <f>P2407</f>
        <v>1809120</v>
      </c>
      <c r="B2407">
        <v>2020</v>
      </c>
      <c r="C2407" t="s">
        <v>904</v>
      </c>
      <c r="D2407" t="s">
        <v>906</v>
      </c>
      <c r="E2407" t="s">
        <v>3313</v>
      </c>
      <c r="F2407" t="s">
        <v>582</v>
      </c>
      <c r="G2407" t="s">
        <v>263</v>
      </c>
      <c r="H2407" s="6">
        <v>290618</v>
      </c>
      <c r="I2407" s="6">
        <v>1.5398998359848614E-3</v>
      </c>
      <c r="J2407" s="6">
        <v>3628.0040135803333</v>
      </c>
      <c r="K2407" s="6">
        <v>1731820</v>
      </c>
      <c r="M2407" s="6">
        <f>SUM(H2407,J2407)</f>
        <v>294246.00401358033</v>
      </c>
      <c r="N2407" s="6">
        <f>K2407</f>
        <v>1731820</v>
      </c>
      <c r="O2407" s="6">
        <f>SUM(M2407:N2407)</f>
        <v>2026066.0040135803</v>
      </c>
      <c r="P2407" s="8">
        <f>VLOOKUP(F2407,'LEAID Match'!$A$2:$B$436,2,FALSE)</f>
        <v>1809120</v>
      </c>
      <c r="Q2407" s="6">
        <f>COUNTIF($P$2:$P$3691,P2407)</f>
        <v>9</v>
      </c>
    </row>
    <row r="2408" spans="1:17" x14ac:dyDescent="0.2">
      <c r="A2408" s="16">
        <f>P2408</f>
        <v>1809120</v>
      </c>
      <c r="B2408">
        <v>2021</v>
      </c>
      <c r="C2408" t="s">
        <v>904</v>
      </c>
      <c r="D2408" t="s">
        <v>906</v>
      </c>
      <c r="E2408" t="s">
        <v>3314</v>
      </c>
      <c r="F2408" t="s">
        <v>582</v>
      </c>
      <c r="G2408" t="s">
        <v>263</v>
      </c>
      <c r="H2408" s="6">
        <v>310116</v>
      </c>
      <c r="I2408" s="6">
        <v>1.5320018804562802E-3</v>
      </c>
      <c r="J2408" s="6">
        <v>3453.1322385484555</v>
      </c>
      <c r="K2408" s="6">
        <v>2751603</v>
      </c>
      <c r="M2408" s="6">
        <f>SUM(H2408,J2408)</f>
        <v>313569.13223854848</v>
      </c>
      <c r="N2408" s="6">
        <f>K2408</f>
        <v>2751603</v>
      </c>
      <c r="O2408" s="6">
        <f>SUM(M2408:N2408)</f>
        <v>3065172.1322385482</v>
      </c>
      <c r="P2408" s="8">
        <f>VLOOKUP(F2408,'LEAID Match'!$A$2:$B$436,2,FALSE)</f>
        <v>1809120</v>
      </c>
      <c r="Q2408" s="6">
        <f>COUNTIF($P$2:$P$3691,P2408)</f>
        <v>9</v>
      </c>
    </row>
    <row r="2409" spans="1:17" x14ac:dyDescent="0.2">
      <c r="A2409" s="16">
        <f>P2409</f>
        <v>1809120</v>
      </c>
      <c r="B2409">
        <v>2022</v>
      </c>
      <c r="C2409" t="s">
        <v>904</v>
      </c>
      <c r="D2409" t="s">
        <v>906</v>
      </c>
      <c r="E2409" t="s">
        <v>3315</v>
      </c>
      <c r="F2409" t="s">
        <v>582</v>
      </c>
      <c r="G2409" t="s">
        <v>263</v>
      </c>
      <c r="H2409" s="6">
        <v>352525</v>
      </c>
      <c r="I2409" s="6">
        <v>1.6738542171715368E-3</v>
      </c>
      <c r="J2409" s="6">
        <v>3690.8485488632386</v>
      </c>
      <c r="K2409" s="6">
        <v>2693218</v>
      </c>
      <c r="M2409" s="6">
        <f>SUM(H2409,J2409)</f>
        <v>356215.84854886326</v>
      </c>
      <c r="N2409" s="6">
        <f>K2409</f>
        <v>2693218</v>
      </c>
      <c r="O2409" s="6">
        <f>SUM(M2409:N2409)</f>
        <v>3049433.8485488631</v>
      </c>
      <c r="P2409" s="8">
        <f>VLOOKUP(F2409,'LEAID Match'!$A$2:$B$436,2,FALSE)</f>
        <v>1809120</v>
      </c>
      <c r="Q2409" s="6">
        <f>COUNTIF($P$2:$P$3691,P2409)</f>
        <v>9</v>
      </c>
    </row>
    <row r="2410" spans="1:17" x14ac:dyDescent="0.2">
      <c r="A2410" s="16">
        <f>P2410</f>
        <v>1809120</v>
      </c>
      <c r="B2410">
        <v>2023</v>
      </c>
      <c r="C2410" t="s">
        <v>904</v>
      </c>
      <c r="D2410" t="s">
        <v>906</v>
      </c>
      <c r="E2410" t="s">
        <v>3316</v>
      </c>
      <c r="F2410" t="s">
        <v>582</v>
      </c>
      <c r="G2410" t="s">
        <v>263</v>
      </c>
      <c r="H2410" s="6">
        <v>394883</v>
      </c>
      <c r="I2410" s="6">
        <v>1.6148545005392923E-3</v>
      </c>
      <c r="J2410" s="6">
        <v>3983.846052830434</v>
      </c>
      <c r="K2410" s="6">
        <v>7854655</v>
      </c>
      <c r="M2410" s="6">
        <f>SUM(H2410,J2410)</f>
        <v>398866.84605283046</v>
      </c>
      <c r="N2410" s="6">
        <f>K2410</f>
        <v>7854655</v>
      </c>
      <c r="O2410" s="6">
        <f>SUM(M2410:N2410)</f>
        <v>8253521.8460528301</v>
      </c>
      <c r="P2410" s="8">
        <f>VLOOKUP(F2410,'LEAID Match'!$A$2:$B$436,2,FALSE)</f>
        <v>1809120</v>
      </c>
      <c r="Q2410" s="6">
        <f>COUNTIF($P$2:$P$3691,P2410)</f>
        <v>9</v>
      </c>
    </row>
    <row r="2411" spans="1:17" x14ac:dyDescent="0.2">
      <c r="A2411" s="16">
        <f>P2411</f>
        <v>1810290</v>
      </c>
      <c r="B2411">
        <v>2015</v>
      </c>
      <c r="C2411" t="s">
        <v>904</v>
      </c>
      <c r="D2411" t="s">
        <v>906</v>
      </c>
      <c r="E2411" t="s">
        <v>3317</v>
      </c>
      <c r="F2411" t="s">
        <v>765</v>
      </c>
      <c r="G2411" t="s">
        <v>264</v>
      </c>
      <c r="H2411" s="6">
        <v>3768852</v>
      </c>
      <c r="I2411" s="6">
        <v>1.8326823222168772E-2</v>
      </c>
      <c r="J2411" s="6">
        <v>106497.16974402273</v>
      </c>
      <c r="K2411" s="6">
        <v>15497454.945837401</v>
      </c>
      <c r="M2411" s="6">
        <f>SUM(H2411,J2411)</f>
        <v>3875349.1697440227</v>
      </c>
      <c r="N2411" s="6">
        <f>K2411</f>
        <v>15497454.945837401</v>
      </c>
      <c r="O2411" s="6">
        <f>SUM(M2411:N2411)</f>
        <v>19372804.115581423</v>
      </c>
      <c r="P2411" s="8">
        <f>VLOOKUP(F2411,'LEAID Match'!$A$2:$B$436,2,FALSE)</f>
        <v>1810290</v>
      </c>
      <c r="Q2411" s="6">
        <f>COUNTIF($P$2:$P$3691,P2411)</f>
        <v>9</v>
      </c>
    </row>
    <row r="2412" spans="1:17" x14ac:dyDescent="0.2">
      <c r="A2412" s="16">
        <f>P2412</f>
        <v>1810290</v>
      </c>
      <c r="B2412">
        <v>2016</v>
      </c>
      <c r="C2412" t="s">
        <v>904</v>
      </c>
      <c r="D2412" t="s">
        <v>906</v>
      </c>
      <c r="E2412" t="s">
        <v>3318</v>
      </c>
      <c r="F2412" t="s">
        <v>765</v>
      </c>
      <c r="G2412" t="s">
        <v>264</v>
      </c>
      <c r="H2412" s="6">
        <v>3868438</v>
      </c>
      <c r="I2412" s="6">
        <v>1.7950027427069949E-2</v>
      </c>
      <c r="J2412" s="6">
        <v>90611.738451849102</v>
      </c>
      <c r="K2412" s="6">
        <v>15930649.3415245</v>
      </c>
      <c r="M2412" s="6">
        <f>SUM(H2412,J2412)</f>
        <v>3959049.7384518492</v>
      </c>
      <c r="N2412" s="6">
        <f>K2412</f>
        <v>15930649.3415245</v>
      </c>
      <c r="O2412" s="6">
        <f>SUM(M2412:N2412)</f>
        <v>19889699.07997635</v>
      </c>
      <c r="P2412" s="8">
        <f>VLOOKUP(F2412,'LEAID Match'!$A$2:$B$436,2,FALSE)</f>
        <v>1810290</v>
      </c>
      <c r="Q2412" s="6">
        <f>COUNTIF($P$2:$P$3691,P2412)</f>
        <v>9</v>
      </c>
    </row>
    <row r="2413" spans="1:17" x14ac:dyDescent="0.2">
      <c r="A2413" s="16">
        <f>P2413</f>
        <v>1810290</v>
      </c>
      <c r="B2413">
        <v>2017</v>
      </c>
      <c r="C2413" t="s">
        <v>904</v>
      </c>
      <c r="D2413" t="s">
        <v>906</v>
      </c>
      <c r="E2413" t="s">
        <v>3319</v>
      </c>
      <c r="F2413" t="s">
        <v>765</v>
      </c>
      <c r="G2413" t="s">
        <v>264</v>
      </c>
      <c r="H2413" s="6">
        <v>3877622</v>
      </c>
      <c r="I2413" s="6">
        <v>1.7074828536355773E-2</v>
      </c>
      <c r="J2413" s="6">
        <v>77263.599127009875</v>
      </c>
      <c r="K2413" s="6">
        <v>14872175.655165801</v>
      </c>
      <c r="M2413" s="6">
        <f>SUM(H2413,J2413)</f>
        <v>3954885.59912701</v>
      </c>
      <c r="N2413" s="6">
        <f>K2413</f>
        <v>14872175.655165801</v>
      </c>
      <c r="O2413" s="6">
        <f>SUM(M2413:N2413)</f>
        <v>18827061.254292812</v>
      </c>
      <c r="P2413" s="8">
        <f>VLOOKUP(F2413,'LEAID Match'!$A$2:$B$436,2,FALSE)</f>
        <v>1810290</v>
      </c>
      <c r="Q2413" s="6">
        <f>COUNTIF($P$2:$P$3691,P2413)</f>
        <v>9</v>
      </c>
    </row>
    <row r="2414" spans="1:17" x14ac:dyDescent="0.2">
      <c r="A2414" s="16">
        <f>P2414</f>
        <v>1810290</v>
      </c>
      <c r="B2414">
        <v>2018</v>
      </c>
      <c r="C2414" t="s">
        <v>904</v>
      </c>
      <c r="D2414" t="s">
        <v>906</v>
      </c>
      <c r="E2414" t="s">
        <v>3320</v>
      </c>
      <c r="F2414" t="s">
        <v>765</v>
      </c>
      <c r="G2414" t="s">
        <v>264</v>
      </c>
      <c r="H2414" s="6">
        <v>4123162</v>
      </c>
      <c r="I2414" s="6">
        <v>1.7491982152481718E-2</v>
      </c>
      <c r="J2414" s="6">
        <v>72906.581611543807</v>
      </c>
      <c r="K2414" s="6">
        <v>20553984</v>
      </c>
      <c r="M2414" s="6">
        <f>SUM(H2414,J2414)</f>
        <v>4196068.5816115439</v>
      </c>
      <c r="N2414" s="6">
        <f>K2414</f>
        <v>20553984</v>
      </c>
      <c r="O2414" s="6">
        <f>SUM(M2414:N2414)</f>
        <v>24750052.581611544</v>
      </c>
      <c r="P2414" s="8">
        <f>VLOOKUP(F2414,'LEAID Match'!$A$2:$B$436,2,FALSE)</f>
        <v>1810290</v>
      </c>
      <c r="Q2414" s="6">
        <f>COUNTIF($P$2:$P$3691,P2414)</f>
        <v>9</v>
      </c>
    </row>
    <row r="2415" spans="1:17" x14ac:dyDescent="0.2">
      <c r="A2415" s="16">
        <f>P2415</f>
        <v>1810290</v>
      </c>
      <c r="B2415">
        <v>2019</v>
      </c>
      <c r="C2415" t="s">
        <v>904</v>
      </c>
      <c r="D2415" t="s">
        <v>906</v>
      </c>
      <c r="E2415" t="s">
        <v>3321</v>
      </c>
      <c r="F2415" t="s">
        <v>765</v>
      </c>
      <c r="G2415" t="s">
        <v>264</v>
      </c>
      <c r="H2415" s="6">
        <v>3590921</v>
      </c>
      <c r="I2415" s="6">
        <v>9.1352835488909545E-3</v>
      </c>
      <c r="J2415" s="6">
        <v>32019.168838862795</v>
      </c>
      <c r="K2415" s="6">
        <v>8622794.1417981703</v>
      </c>
      <c r="M2415" s="6">
        <f>SUM(H2415,J2415)</f>
        <v>3622940.1688388628</v>
      </c>
      <c r="N2415" s="6">
        <f>K2415</f>
        <v>8622794.1417981703</v>
      </c>
      <c r="O2415" s="6">
        <f>SUM(M2415:N2415)</f>
        <v>12245734.310637033</v>
      </c>
      <c r="P2415" s="8">
        <f>VLOOKUP(F2415,'LEAID Match'!$A$2:$B$436,2,FALSE)</f>
        <v>1810290</v>
      </c>
      <c r="Q2415" s="6">
        <f>COUNTIF($P$2:$P$3691,P2415)</f>
        <v>9</v>
      </c>
    </row>
    <row r="2416" spans="1:17" x14ac:dyDescent="0.2">
      <c r="A2416" s="16">
        <f>P2416</f>
        <v>1810290</v>
      </c>
      <c r="B2416">
        <v>2020</v>
      </c>
      <c r="C2416" t="s">
        <v>904</v>
      </c>
      <c r="D2416" t="s">
        <v>906</v>
      </c>
      <c r="E2416" t="s">
        <v>3322</v>
      </c>
      <c r="F2416" t="s">
        <v>765</v>
      </c>
      <c r="G2416" t="s">
        <v>264</v>
      </c>
      <c r="H2416" s="6">
        <v>3291062</v>
      </c>
      <c r="I2416" s="6">
        <v>1.7438375578993765E-2</v>
      </c>
      <c r="J2416" s="6">
        <v>41084.812864109314</v>
      </c>
      <c r="K2416" s="6">
        <v>21917769</v>
      </c>
      <c r="M2416" s="6">
        <f>SUM(H2416,J2416)</f>
        <v>3332146.8128641094</v>
      </c>
      <c r="N2416" s="6">
        <f>K2416</f>
        <v>21917769</v>
      </c>
      <c r="O2416" s="6">
        <f>SUM(M2416:N2416)</f>
        <v>25249915.81286411</v>
      </c>
      <c r="P2416" s="8">
        <f>VLOOKUP(F2416,'LEAID Match'!$A$2:$B$436,2,FALSE)</f>
        <v>1810290</v>
      </c>
      <c r="Q2416" s="6">
        <f>COUNTIF($P$2:$P$3691,P2416)</f>
        <v>9</v>
      </c>
    </row>
    <row r="2417" spans="1:17" x14ac:dyDescent="0.2">
      <c r="A2417" s="16">
        <f>P2417</f>
        <v>1810290</v>
      </c>
      <c r="B2417">
        <v>2021</v>
      </c>
      <c r="C2417" t="s">
        <v>904</v>
      </c>
      <c r="D2417" t="s">
        <v>906</v>
      </c>
      <c r="E2417" t="s">
        <v>3323</v>
      </c>
      <c r="F2417" t="s">
        <v>765</v>
      </c>
      <c r="G2417" t="s">
        <v>264</v>
      </c>
      <c r="H2417" s="6">
        <v>3304227</v>
      </c>
      <c r="I2417" s="6">
        <v>1.6323188669576588E-2</v>
      </c>
      <c r="J2417" s="6">
        <v>36792.467261225625</v>
      </c>
      <c r="K2417" s="6">
        <v>34997539</v>
      </c>
      <c r="M2417" s="6">
        <f>SUM(H2417,J2417)</f>
        <v>3341019.4672612255</v>
      </c>
      <c r="N2417" s="6">
        <f>K2417</f>
        <v>34997539</v>
      </c>
      <c r="O2417" s="6">
        <f>SUM(M2417:N2417)</f>
        <v>38338558.467261225</v>
      </c>
      <c r="P2417" s="8">
        <f>VLOOKUP(F2417,'LEAID Match'!$A$2:$B$436,2,FALSE)</f>
        <v>1810290</v>
      </c>
      <c r="Q2417" s="6">
        <f>COUNTIF($P$2:$P$3691,P2417)</f>
        <v>9</v>
      </c>
    </row>
    <row r="2418" spans="1:17" x14ac:dyDescent="0.2">
      <c r="A2418" s="16">
        <f>P2418</f>
        <v>1810290</v>
      </c>
      <c r="B2418">
        <v>2022</v>
      </c>
      <c r="C2418" t="s">
        <v>904</v>
      </c>
      <c r="D2418" t="s">
        <v>906</v>
      </c>
      <c r="E2418" t="s">
        <v>3324</v>
      </c>
      <c r="F2418" t="s">
        <v>765</v>
      </c>
      <c r="G2418" t="s">
        <v>264</v>
      </c>
      <c r="H2418" s="6">
        <v>3704277</v>
      </c>
      <c r="I2418" s="6">
        <v>1.75885956400866E-2</v>
      </c>
      <c r="J2418" s="6">
        <v>38782.853386390954</v>
      </c>
      <c r="K2418" s="6">
        <v>33084671</v>
      </c>
      <c r="M2418" s="6">
        <f>SUM(H2418,J2418)</f>
        <v>3743059.853386391</v>
      </c>
      <c r="N2418" s="6">
        <f>K2418</f>
        <v>33084671</v>
      </c>
      <c r="O2418" s="6">
        <f>SUM(M2418:N2418)</f>
        <v>36827730.853386387</v>
      </c>
      <c r="P2418" s="8">
        <f>VLOOKUP(F2418,'LEAID Match'!$A$2:$B$436,2,FALSE)</f>
        <v>1810290</v>
      </c>
      <c r="Q2418" s="6">
        <f>COUNTIF($P$2:$P$3691,P2418)</f>
        <v>9</v>
      </c>
    </row>
    <row r="2419" spans="1:17" x14ac:dyDescent="0.2">
      <c r="A2419" s="16">
        <f>P2419</f>
        <v>1810290</v>
      </c>
      <c r="B2419">
        <v>2023</v>
      </c>
      <c r="C2419" t="s">
        <v>904</v>
      </c>
      <c r="D2419" t="s">
        <v>906</v>
      </c>
      <c r="E2419" t="s">
        <v>3325</v>
      </c>
      <c r="F2419" t="s">
        <v>765</v>
      </c>
      <c r="G2419" t="s">
        <v>264</v>
      </c>
      <c r="H2419" s="6">
        <v>4534390</v>
      </c>
      <c r="I2419" s="6">
        <v>1.8543163667973452E-2</v>
      </c>
      <c r="J2419" s="6">
        <v>45745.984768890507</v>
      </c>
      <c r="K2419" s="6">
        <v>96052341</v>
      </c>
      <c r="M2419" s="6">
        <f>SUM(H2419,J2419)</f>
        <v>4580135.9847688908</v>
      </c>
      <c r="N2419" s="6">
        <f>K2419</f>
        <v>96052341</v>
      </c>
      <c r="O2419" s="6">
        <f>SUM(M2419:N2419)</f>
        <v>100632476.9847689</v>
      </c>
      <c r="P2419" s="8">
        <f>VLOOKUP(F2419,'LEAID Match'!$A$2:$B$436,2,FALSE)</f>
        <v>1810290</v>
      </c>
      <c r="Q2419" s="6">
        <f>COUNTIF($P$2:$P$3691,P2419)</f>
        <v>9</v>
      </c>
    </row>
    <row r="2420" spans="1:17" x14ac:dyDescent="0.2">
      <c r="A2420" s="16">
        <f>P2420</f>
        <v>1809990</v>
      </c>
      <c r="B2420">
        <v>2015</v>
      </c>
      <c r="C2420" t="s">
        <v>904</v>
      </c>
      <c r="D2420" t="s">
        <v>906</v>
      </c>
      <c r="E2420" t="s">
        <v>3326</v>
      </c>
      <c r="F2420" t="s">
        <v>766</v>
      </c>
      <c r="G2420" t="s">
        <v>265</v>
      </c>
      <c r="H2420" s="6">
        <v>240460</v>
      </c>
      <c r="I2420" s="6">
        <v>1.1692865392439668E-3</v>
      </c>
      <c r="J2420" s="6">
        <v>6794.7240795466914</v>
      </c>
      <c r="K2420" s="6">
        <v>988767.40616932604</v>
      </c>
      <c r="M2420" s="6">
        <f>SUM(H2420,J2420)</f>
        <v>247254.72407954669</v>
      </c>
      <c r="N2420" s="6">
        <f>K2420</f>
        <v>988767.40616932604</v>
      </c>
      <c r="O2420" s="6">
        <f>SUM(M2420:N2420)</f>
        <v>1236022.1302488728</v>
      </c>
      <c r="P2420" s="8">
        <f>VLOOKUP(F2420,'LEAID Match'!$A$2:$B$436,2,FALSE)</f>
        <v>1809990</v>
      </c>
      <c r="Q2420" s="6">
        <f>COUNTIF($P$2:$P$3691,P2420)</f>
        <v>9</v>
      </c>
    </row>
    <row r="2421" spans="1:17" x14ac:dyDescent="0.2">
      <c r="A2421" s="16">
        <f>P2421</f>
        <v>1809990</v>
      </c>
      <c r="B2421">
        <v>2016</v>
      </c>
      <c r="C2421" t="s">
        <v>904</v>
      </c>
      <c r="D2421" t="s">
        <v>906</v>
      </c>
      <c r="E2421" t="s">
        <v>3327</v>
      </c>
      <c r="F2421" t="s">
        <v>766</v>
      </c>
      <c r="G2421" t="s">
        <v>265</v>
      </c>
      <c r="H2421" s="6">
        <v>237271</v>
      </c>
      <c r="I2421" s="6">
        <v>1.1009665807357682E-3</v>
      </c>
      <c r="J2421" s="6">
        <v>5557.6792995541573</v>
      </c>
      <c r="K2421" s="6">
        <v>977107.84040299396</v>
      </c>
      <c r="M2421" s="6">
        <f>SUM(H2421,J2421)</f>
        <v>242828.67929955415</v>
      </c>
      <c r="N2421" s="6">
        <f>K2421</f>
        <v>977107.84040299396</v>
      </c>
      <c r="O2421" s="6">
        <f>SUM(M2421:N2421)</f>
        <v>1219936.5197025482</v>
      </c>
      <c r="P2421" s="8">
        <f>VLOOKUP(F2421,'LEAID Match'!$A$2:$B$436,2,FALSE)</f>
        <v>1809990</v>
      </c>
      <c r="Q2421" s="6">
        <f>COUNTIF($P$2:$P$3691,P2421)</f>
        <v>9</v>
      </c>
    </row>
    <row r="2422" spans="1:17" x14ac:dyDescent="0.2">
      <c r="A2422" s="16">
        <f>P2422</f>
        <v>1809990</v>
      </c>
      <c r="B2422">
        <v>2017</v>
      </c>
      <c r="C2422" t="s">
        <v>904</v>
      </c>
      <c r="D2422" t="s">
        <v>906</v>
      </c>
      <c r="E2422" t="s">
        <v>3328</v>
      </c>
      <c r="F2422" t="s">
        <v>766</v>
      </c>
      <c r="G2422" t="s">
        <v>265</v>
      </c>
      <c r="H2422" s="6">
        <v>253977</v>
      </c>
      <c r="I2422" s="6">
        <v>1.1183693839105591E-3</v>
      </c>
      <c r="J2422" s="6">
        <v>5060.6214621952795</v>
      </c>
      <c r="K2422" s="6">
        <v>974099.73338609701</v>
      </c>
      <c r="M2422" s="6">
        <f>SUM(H2422,J2422)</f>
        <v>259037.62146219527</v>
      </c>
      <c r="N2422" s="6">
        <f>K2422</f>
        <v>974099.73338609701</v>
      </c>
      <c r="O2422" s="6">
        <f>SUM(M2422:N2422)</f>
        <v>1233137.3548482922</v>
      </c>
      <c r="P2422" s="8">
        <f>VLOOKUP(F2422,'LEAID Match'!$A$2:$B$436,2,FALSE)</f>
        <v>1809990</v>
      </c>
      <c r="Q2422" s="6">
        <f>COUNTIF($P$2:$P$3691,P2422)</f>
        <v>9</v>
      </c>
    </row>
    <row r="2423" spans="1:17" x14ac:dyDescent="0.2">
      <c r="A2423" s="16">
        <f>P2423</f>
        <v>1809990</v>
      </c>
      <c r="B2423">
        <v>2018</v>
      </c>
      <c r="C2423" t="s">
        <v>904</v>
      </c>
      <c r="D2423" t="s">
        <v>906</v>
      </c>
      <c r="E2423" t="s">
        <v>3329</v>
      </c>
      <c r="F2423" t="s">
        <v>766</v>
      </c>
      <c r="G2423" t="s">
        <v>265</v>
      </c>
      <c r="H2423" s="6">
        <v>244587</v>
      </c>
      <c r="I2423" s="6">
        <v>1.0376287516059388E-3</v>
      </c>
      <c r="J2423" s="6">
        <v>4324.8366366935534</v>
      </c>
      <c r="K2423" s="6">
        <v>1383918</v>
      </c>
      <c r="M2423" s="6">
        <f>SUM(H2423,J2423)</f>
        <v>248911.83663669357</v>
      </c>
      <c r="N2423" s="6">
        <f>K2423</f>
        <v>1383918</v>
      </c>
      <c r="O2423" s="6">
        <f>SUM(M2423:N2423)</f>
        <v>1632829.8366366937</v>
      </c>
      <c r="P2423" s="8">
        <f>VLOOKUP(F2423,'LEAID Match'!$A$2:$B$436,2,FALSE)</f>
        <v>1809990</v>
      </c>
      <c r="Q2423" s="6">
        <f>COUNTIF($P$2:$P$3691,P2423)</f>
        <v>9</v>
      </c>
    </row>
    <row r="2424" spans="1:17" x14ac:dyDescent="0.2">
      <c r="A2424" s="16">
        <f>P2424</f>
        <v>1809990</v>
      </c>
      <c r="B2424">
        <v>2019</v>
      </c>
      <c r="C2424" t="s">
        <v>904</v>
      </c>
      <c r="D2424" t="s">
        <v>906</v>
      </c>
      <c r="E2424" t="s">
        <v>3330</v>
      </c>
      <c r="F2424" t="s">
        <v>766</v>
      </c>
      <c r="G2424" t="s">
        <v>265</v>
      </c>
      <c r="H2424" s="6">
        <v>257758</v>
      </c>
      <c r="I2424" s="6">
        <v>6.5573495406750376E-4</v>
      </c>
      <c r="J2424" s="6">
        <v>2298.3510140066005</v>
      </c>
      <c r="K2424" s="6">
        <v>618948.223144316</v>
      </c>
      <c r="M2424" s="6">
        <f>SUM(H2424,J2424)</f>
        <v>260056.35101400659</v>
      </c>
      <c r="N2424" s="6">
        <f>K2424</f>
        <v>618948.223144316</v>
      </c>
      <c r="O2424" s="6">
        <f>SUM(M2424:N2424)</f>
        <v>879004.57415832253</v>
      </c>
      <c r="P2424" s="8">
        <f>VLOOKUP(F2424,'LEAID Match'!$A$2:$B$436,2,FALSE)</f>
        <v>1809990</v>
      </c>
      <c r="Q2424" s="6">
        <f>COUNTIF($P$2:$P$3691,P2424)</f>
        <v>9</v>
      </c>
    </row>
    <row r="2425" spans="1:17" x14ac:dyDescent="0.2">
      <c r="A2425" s="16">
        <f>P2425</f>
        <v>1809990</v>
      </c>
      <c r="B2425">
        <v>2020</v>
      </c>
      <c r="C2425" t="s">
        <v>904</v>
      </c>
      <c r="D2425" t="s">
        <v>906</v>
      </c>
      <c r="E2425" t="s">
        <v>3331</v>
      </c>
      <c r="F2425" t="s">
        <v>766</v>
      </c>
      <c r="G2425" t="s">
        <v>265</v>
      </c>
      <c r="H2425" s="6">
        <v>209561</v>
      </c>
      <c r="I2425" s="6">
        <v>1.1104024854923767E-3</v>
      </c>
      <c r="J2425" s="6">
        <v>2616.1082558200396</v>
      </c>
      <c r="K2425" s="6">
        <v>1476898</v>
      </c>
      <c r="M2425" s="6">
        <f>SUM(H2425,J2425)</f>
        <v>212177.10825582003</v>
      </c>
      <c r="N2425" s="6">
        <f>K2425</f>
        <v>1476898</v>
      </c>
      <c r="O2425" s="6">
        <f>SUM(M2425:N2425)</f>
        <v>1689075.1082558201</v>
      </c>
      <c r="P2425" s="8">
        <f>VLOOKUP(F2425,'LEAID Match'!$A$2:$B$436,2,FALSE)</f>
        <v>1809990</v>
      </c>
      <c r="Q2425" s="6">
        <f>COUNTIF($P$2:$P$3691,P2425)</f>
        <v>9</v>
      </c>
    </row>
    <row r="2426" spans="1:17" x14ac:dyDescent="0.2">
      <c r="A2426" s="16">
        <f>P2426</f>
        <v>1809990</v>
      </c>
      <c r="B2426">
        <v>2021</v>
      </c>
      <c r="C2426" t="s">
        <v>904</v>
      </c>
      <c r="D2426" t="s">
        <v>906</v>
      </c>
      <c r="E2426" t="s">
        <v>3332</v>
      </c>
      <c r="F2426" t="s">
        <v>766</v>
      </c>
      <c r="G2426" t="s">
        <v>265</v>
      </c>
      <c r="H2426" s="6">
        <v>207883</v>
      </c>
      <c r="I2426" s="6">
        <v>1.0269613528966352E-3</v>
      </c>
      <c r="J2426" s="6">
        <v>2314.7708894290158</v>
      </c>
      <c r="K2426" s="6">
        <v>2444874</v>
      </c>
      <c r="M2426" s="6">
        <f>SUM(H2426,J2426)</f>
        <v>210197.77088942903</v>
      </c>
      <c r="N2426" s="6">
        <f>K2426</f>
        <v>2444874</v>
      </c>
      <c r="O2426" s="6">
        <f>SUM(M2426:N2426)</f>
        <v>2655071.7708894289</v>
      </c>
      <c r="P2426" s="8">
        <f>VLOOKUP(F2426,'LEAID Match'!$A$2:$B$436,2,FALSE)</f>
        <v>1809990</v>
      </c>
      <c r="Q2426" s="6">
        <f>COUNTIF($P$2:$P$3691,P2426)</f>
        <v>9</v>
      </c>
    </row>
    <row r="2427" spans="1:17" x14ac:dyDescent="0.2">
      <c r="A2427" s="16">
        <f>P2427</f>
        <v>1809990</v>
      </c>
      <c r="B2427">
        <v>2022</v>
      </c>
      <c r="C2427" t="s">
        <v>904</v>
      </c>
      <c r="D2427" t="s">
        <v>906</v>
      </c>
      <c r="E2427" t="s">
        <v>3333</v>
      </c>
      <c r="F2427" t="s">
        <v>766</v>
      </c>
      <c r="G2427" t="s">
        <v>265</v>
      </c>
      <c r="H2427" s="6">
        <v>245170</v>
      </c>
      <c r="I2427" s="6">
        <v>1.1641127251228868E-3</v>
      </c>
      <c r="J2427" s="6">
        <v>2566.8685588959652</v>
      </c>
      <c r="K2427" s="6">
        <v>2339104</v>
      </c>
      <c r="M2427" s="6">
        <f>SUM(H2427,J2427)</f>
        <v>247736.86855889598</v>
      </c>
      <c r="N2427" s="6">
        <f>K2427</f>
        <v>2339104</v>
      </c>
      <c r="O2427" s="6">
        <f>SUM(M2427:N2427)</f>
        <v>2586840.8685588958</v>
      </c>
      <c r="P2427" s="8">
        <f>VLOOKUP(F2427,'LEAID Match'!$A$2:$B$436,2,FALSE)</f>
        <v>1809990</v>
      </c>
      <c r="Q2427" s="6">
        <f>COUNTIF($P$2:$P$3691,P2427)</f>
        <v>9</v>
      </c>
    </row>
    <row r="2428" spans="1:17" x14ac:dyDescent="0.2">
      <c r="A2428" s="16">
        <f>P2428</f>
        <v>1809990</v>
      </c>
      <c r="B2428">
        <v>2023</v>
      </c>
      <c r="C2428" t="s">
        <v>904</v>
      </c>
      <c r="D2428" t="s">
        <v>906</v>
      </c>
      <c r="E2428" t="s">
        <v>3334</v>
      </c>
      <c r="F2428" t="s">
        <v>766</v>
      </c>
      <c r="G2428" t="s">
        <v>265</v>
      </c>
      <c r="H2428" s="6">
        <v>269364</v>
      </c>
      <c r="I2428" s="6">
        <v>1.1015507572705483E-3</v>
      </c>
      <c r="J2428" s="6">
        <v>2717.5257181864426</v>
      </c>
      <c r="K2428" s="6">
        <v>6114493</v>
      </c>
      <c r="M2428" s="6">
        <f>SUM(H2428,J2428)</f>
        <v>272081.52571818646</v>
      </c>
      <c r="N2428" s="6">
        <f>K2428</f>
        <v>6114493</v>
      </c>
      <c r="O2428" s="6">
        <f>SUM(M2428:N2428)</f>
        <v>6386574.5257181861</v>
      </c>
      <c r="P2428" s="8">
        <f>VLOOKUP(F2428,'LEAID Match'!$A$2:$B$436,2,FALSE)</f>
        <v>1809990</v>
      </c>
      <c r="Q2428" s="6">
        <f>COUNTIF($P$2:$P$3691,P2428)</f>
        <v>9</v>
      </c>
    </row>
    <row r="2429" spans="1:17" x14ac:dyDescent="0.2">
      <c r="A2429" s="16">
        <f>P2429</f>
        <v>1810020</v>
      </c>
      <c r="B2429">
        <v>2015</v>
      </c>
      <c r="C2429" t="s">
        <v>904</v>
      </c>
      <c r="D2429" t="s">
        <v>906</v>
      </c>
      <c r="E2429" t="s">
        <v>3335</v>
      </c>
      <c r="F2429" t="s">
        <v>583</v>
      </c>
      <c r="G2429" t="s">
        <v>266</v>
      </c>
      <c r="H2429" s="6">
        <v>490145</v>
      </c>
      <c r="I2429" s="6">
        <v>2.3834315511009484E-3</v>
      </c>
      <c r="J2429" s="6">
        <v>13850.120743447611</v>
      </c>
      <c r="K2429" s="6">
        <v>2015467.85451578</v>
      </c>
      <c r="M2429" s="6">
        <f>SUM(H2429,J2429)</f>
        <v>503995.12074344762</v>
      </c>
      <c r="N2429" s="6">
        <f>K2429</f>
        <v>2015467.85451578</v>
      </c>
      <c r="O2429" s="6">
        <f>SUM(M2429:N2429)</f>
        <v>2519462.9752592277</v>
      </c>
      <c r="P2429" s="8">
        <f>VLOOKUP(F2429,'LEAID Match'!$A$2:$B$436,2,FALSE)</f>
        <v>1810020</v>
      </c>
      <c r="Q2429" s="6">
        <f>COUNTIF($P$2:$P$3691,P2429)</f>
        <v>9</v>
      </c>
    </row>
    <row r="2430" spans="1:17" x14ac:dyDescent="0.2">
      <c r="A2430" s="16">
        <f>P2430</f>
        <v>1810020</v>
      </c>
      <c r="B2430">
        <v>2016</v>
      </c>
      <c r="C2430" t="s">
        <v>904</v>
      </c>
      <c r="D2430" t="s">
        <v>906</v>
      </c>
      <c r="E2430" t="s">
        <v>3336</v>
      </c>
      <c r="F2430" t="s">
        <v>583</v>
      </c>
      <c r="G2430" t="s">
        <v>266</v>
      </c>
      <c r="H2430" s="6">
        <v>528433</v>
      </c>
      <c r="I2430" s="6">
        <v>2.4519940201623638E-3</v>
      </c>
      <c r="J2430" s="6">
        <v>12377.665813779613</v>
      </c>
      <c r="K2430" s="6">
        <v>2176144.69289409</v>
      </c>
      <c r="M2430" s="6">
        <f>SUM(H2430,J2430)</f>
        <v>540810.66581377957</v>
      </c>
      <c r="N2430" s="6">
        <f>K2430</f>
        <v>2176144.69289409</v>
      </c>
      <c r="O2430" s="6">
        <f>SUM(M2430:N2430)</f>
        <v>2716955.3587078694</v>
      </c>
      <c r="P2430" s="8">
        <f>VLOOKUP(F2430,'LEAID Match'!$A$2:$B$436,2,FALSE)</f>
        <v>1810020</v>
      </c>
      <c r="Q2430" s="6">
        <f>COUNTIF($P$2:$P$3691,P2430)</f>
        <v>9</v>
      </c>
    </row>
    <row r="2431" spans="1:17" x14ac:dyDescent="0.2">
      <c r="A2431" s="16">
        <f>P2431</f>
        <v>1810020</v>
      </c>
      <c r="B2431">
        <v>2017</v>
      </c>
      <c r="C2431" t="s">
        <v>904</v>
      </c>
      <c r="D2431" t="s">
        <v>906</v>
      </c>
      <c r="E2431" t="s">
        <v>3337</v>
      </c>
      <c r="F2431" t="s">
        <v>583</v>
      </c>
      <c r="G2431" t="s">
        <v>266</v>
      </c>
      <c r="H2431" s="6">
        <v>560343</v>
      </c>
      <c r="I2431" s="6">
        <v>2.4674299471550355E-3</v>
      </c>
      <c r="J2431" s="6">
        <v>11165.120510876535</v>
      </c>
      <c r="K2431" s="6">
        <v>2149131.4839720302</v>
      </c>
      <c r="M2431" s="6">
        <f>SUM(H2431,J2431)</f>
        <v>571508.12051087653</v>
      </c>
      <c r="N2431" s="6">
        <f>K2431</f>
        <v>2149131.4839720302</v>
      </c>
      <c r="O2431" s="6">
        <f>SUM(M2431:N2431)</f>
        <v>2720639.6044829069</v>
      </c>
      <c r="P2431" s="8">
        <f>VLOOKUP(F2431,'LEAID Match'!$A$2:$B$436,2,FALSE)</f>
        <v>1810020</v>
      </c>
      <c r="Q2431" s="6">
        <f>COUNTIF($P$2:$P$3691,P2431)</f>
        <v>9</v>
      </c>
    </row>
    <row r="2432" spans="1:17" x14ac:dyDescent="0.2">
      <c r="A2432" s="16">
        <f>P2432</f>
        <v>1810020</v>
      </c>
      <c r="B2432">
        <v>2018</v>
      </c>
      <c r="C2432" t="s">
        <v>904</v>
      </c>
      <c r="D2432" t="s">
        <v>906</v>
      </c>
      <c r="E2432" t="s">
        <v>3338</v>
      </c>
      <c r="F2432" t="s">
        <v>583</v>
      </c>
      <c r="G2432" t="s">
        <v>266</v>
      </c>
      <c r="H2432" s="6">
        <v>586144</v>
      </c>
      <c r="I2432" s="6">
        <v>2.4866402015696312E-3</v>
      </c>
      <c r="J2432" s="6">
        <v>10364.316360142224</v>
      </c>
      <c r="K2432" s="6">
        <v>2218748</v>
      </c>
      <c r="M2432" s="6">
        <f>SUM(H2432,J2432)</f>
        <v>596508.3163601422</v>
      </c>
      <c r="N2432" s="6">
        <f>K2432</f>
        <v>2218748</v>
      </c>
      <c r="O2432" s="6">
        <f>SUM(M2432:N2432)</f>
        <v>2815256.3163601421</v>
      </c>
      <c r="P2432" s="8">
        <f>VLOOKUP(F2432,'LEAID Match'!$A$2:$B$436,2,FALSE)</f>
        <v>1810020</v>
      </c>
      <c r="Q2432" s="6">
        <f>COUNTIF($P$2:$P$3691,P2432)</f>
        <v>9</v>
      </c>
    </row>
    <row r="2433" spans="1:17" x14ac:dyDescent="0.2">
      <c r="A2433" s="16">
        <f>P2433</f>
        <v>1810020</v>
      </c>
      <c r="B2433">
        <v>2019</v>
      </c>
      <c r="C2433" t="s">
        <v>904</v>
      </c>
      <c r="D2433" t="s">
        <v>906</v>
      </c>
      <c r="E2433" t="s">
        <v>3339</v>
      </c>
      <c r="F2433" t="s">
        <v>583</v>
      </c>
      <c r="G2433" t="s">
        <v>266</v>
      </c>
      <c r="H2433" s="6">
        <v>651263</v>
      </c>
      <c r="I2433" s="6">
        <v>1.6568095399206414E-3</v>
      </c>
      <c r="J2433" s="6">
        <v>5807.1174374218481</v>
      </c>
      <c r="K2433" s="6">
        <v>1563862.5247310901</v>
      </c>
      <c r="M2433" s="6">
        <f>SUM(H2433,J2433)</f>
        <v>657070.11743742181</v>
      </c>
      <c r="N2433" s="6">
        <f>K2433</f>
        <v>1563862.5247310901</v>
      </c>
      <c r="O2433" s="6">
        <f>SUM(M2433:N2433)</f>
        <v>2220932.6421685116</v>
      </c>
      <c r="P2433" s="8">
        <f>VLOOKUP(F2433,'LEAID Match'!$A$2:$B$436,2,FALSE)</f>
        <v>1810020</v>
      </c>
      <c r="Q2433" s="6">
        <f>COUNTIF($P$2:$P$3691,P2433)</f>
        <v>9</v>
      </c>
    </row>
    <row r="2434" spans="1:17" x14ac:dyDescent="0.2">
      <c r="A2434" s="16">
        <f>P2434</f>
        <v>1810020</v>
      </c>
      <c r="B2434">
        <v>2020</v>
      </c>
      <c r="C2434" t="s">
        <v>904</v>
      </c>
      <c r="D2434" t="s">
        <v>906</v>
      </c>
      <c r="E2434" t="s">
        <v>3340</v>
      </c>
      <c r="F2434" t="s">
        <v>583</v>
      </c>
      <c r="G2434" t="s">
        <v>266</v>
      </c>
      <c r="H2434" s="6">
        <v>509997</v>
      </c>
      <c r="I2434" s="6">
        <v>2.7023250337307784E-3</v>
      </c>
      <c r="J2434" s="6">
        <v>6366.6777794697136</v>
      </c>
      <c r="K2434" s="6">
        <v>2243412</v>
      </c>
      <c r="M2434" s="6">
        <f>SUM(H2434,J2434)</f>
        <v>516363.6777794697</v>
      </c>
      <c r="N2434" s="6">
        <f>K2434</f>
        <v>2243412</v>
      </c>
      <c r="O2434" s="6">
        <f>SUM(M2434:N2434)</f>
        <v>2759775.6777794696</v>
      </c>
      <c r="P2434" s="8">
        <f>VLOOKUP(F2434,'LEAID Match'!$A$2:$B$436,2,FALSE)</f>
        <v>1810020</v>
      </c>
      <c r="Q2434" s="6">
        <f>COUNTIF($P$2:$P$3691,P2434)</f>
        <v>9</v>
      </c>
    </row>
    <row r="2435" spans="1:17" x14ac:dyDescent="0.2">
      <c r="A2435" s="16">
        <f>P2435</f>
        <v>1810020</v>
      </c>
      <c r="B2435">
        <v>2021</v>
      </c>
      <c r="C2435" t="s">
        <v>904</v>
      </c>
      <c r="D2435" t="s">
        <v>906</v>
      </c>
      <c r="E2435" t="s">
        <v>3341</v>
      </c>
      <c r="F2435" t="s">
        <v>583</v>
      </c>
      <c r="G2435" t="s">
        <v>266</v>
      </c>
      <c r="H2435" s="6">
        <v>526570</v>
      </c>
      <c r="I2435" s="6">
        <v>2.6013047704467472E-3</v>
      </c>
      <c r="J2435" s="6">
        <v>5863.3409525869683</v>
      </c>
      <c r="K2435" s="6">
        <v>3562458</v>
      </c>
      <c r="M2435" s="6">
        <f>SUM(H2435,J2435)</f>
        <v>532433.34095258696</v>
      </c>
      <c r="N2435" s="6">
        <f>K2435</f>
        <v>3562458</v>
      </c>
      <c r="O2435" s="6">
        <f>SUM(M2435:N2435)</f>
        <v>4094891.3409525868</v>
      </c>
      <c r="P2435" s="8">
        <f>VLOOKUP(F2435,'LEAID Match'!$A$2:$B$436,2,FALSE)</f>
        <v>1810020</v>
      </c>
      <c r="Q2435" s="6">
        <f>COUNTIF($P$2:$P$3691,P2435)</f>
        <v>9</v>
      </c>
    </row>
    <row r="2436" spans="1:17" x14ac:dyDescent="0.2">
      <c r="A2436" s="16">
        <f>P2436</f>
        <v>1810020</v>
      </c>
      <c r="B2436">
        <v>2022</v>
      </c>
      <c r="C2436" t="s">
        <v>904</v>
      </c>
      <c r="D2436" t="s">
        <v>906</v>
      </c>
      <c r="E2436" t="s">
        <v>3342</v>
      </c>
      <c r="F2436" t="s">
        <v>583</v>
      </c>
      <c r="G2436" t="s">
        <v>266</v>
      </c>
      <c r="H2436" s="6">
        <v>587982</v>
      </c>
      <c r="I2436" s="6">
        <v>2.7918478131223447E-3</v>
      </c>
      <c r="J2436" s="6">
        <v>6156.0244279347698</v>
      </c>
      <c r="K2436" s="6">
        <v>3505323</v>
      </c>
      <c r="M2436" s="6">
        <f>SUM(H2436,J2436)</f>
        <v>594138.02442793478</v>
      </c>
      <c r="N2436" s="6">
        <f>K2436</f>
        <v>3505323</v>
      </c>
      <c r="O2436" s="6">
        <f>SUM(M2436:N2436)</f>
        <v>4099461.0244279345</v>
      </c>
      <c r="P2436" s="8">
        <f>VLOOKUP(F2436,'LEAID Match'!$A$2:$B$436,2,FALSE)</f>
        <v>1810020</v>
      </c>
      <c r="Q2436" s="6">
        <f>COUNTIF($P$2:$P$3691,P2436)</f>
        <v>9</v>
      </c>
    </row>
    <row r="2437" spans="1:17" x14ac:dyDescent="0.2">
      <c r="A2437" s="16">
        <f>P2437</f>
        <v>1810020</v>
      </c>
      <c r="B2437">
        <v>2023</v>
      </c>
      <c r="C2437" t="s">
        <v>904</v>
      </c>
      <c r="D2437" t="s">
        <v>906</v>
      </c>
      <c r="E2437" t="s">
        <v>3343</v>
      </c>
      <c r="F2437" t="s">
        <v>583</v>
      </c>
      <c r="G2437" t="s">
        <v>266</v>
      </c>
      <c r="H2437" s="6">
        <v>624789</v>
      </c>
      <c r="I2437" s="6">
        <v>2.5550437181074996E-3</v>
      </c>
      <c r="J2437" s="6">
        <v>6303.2928525712014</v>
      </c>
      <c r="K2437" s="6">
        <v>8813035</v>
      </c>
      <c r="M2437" s="6">
        <f>SUM(H2437,J2437)</f>
        <v>631092.29285257123</v>
      </c>
      <c r="N2437" s="6">
        <f>K2437</f>
        <v>8813035</v>
      </c>
      <c r="O2437" s="6">
        <f>SUM(M2437:N2437)</f>
        <v>9444127.2928525712</v>
      </c>
      <c r="P2437" s="8">
        <f>VLOOKUP(F2437,'LEAID Match'!$A$2:$B$436,2,FALSE)</f>
        <v>1810020</v>
      </c>
      <c r="Q2437" s="6">
        <f>COUNTIF($P$2:$P$3691,P2437)</f>
        <v>9</v>
      </c>
    </row>
    <row r="2438" spans="1:17" x14ac:dyDescent="0.2">
      <c r="A2438" s="16">
        <f>P2438</f>
        <v>1808310</v>
      </c>
      <c r="B2438">
        <v>2015</v>
      </c>
      <c r="C2438" t="s">
        <v>904</v>
      </c>
      <c r="D2438" t="s">
        <v>906</v>
      </c>
      <c r="E2438" t="s">
        <v>3344</v>
      </c>
      <c r="F2438" t="s">
        <v>584</v>
      </c>
      <c r="G2438" t="s">
        <v>267</v>
      </c>
      <c r="H2438" s="6">
        <v>214315</v>
      </c>
      <c r="I2438" s="6">
        <v>1.0421510632041533E-3</v>
      </c>
      <c r="J2438" s="6">
        <v>6055.9398282793354</v>
      </c>
      <c r="K2438" s="6">
        <v>881259.613462443</v>
      </c>
      <c r="M2438" s="6">
        <f>SUM(H2438,J2438)</f>
        <v>220370.93982827934</v>
      </c>
      <c r="N2438" s="6">
        <f>K2438</f>
        <v>881259.613462443</v>
      </c>
      <c r="O2438" s="6">
        <f>SUM(M2438:N2438)</f>
        <v>1101630.5532907224</v>
      </c>
      <c r="P2438" s="8">
        <f>VLOOKUP(F2438,'LEAID Match'!$A$2:$B$436,2,FALSE)</f>
        <v>1808310</v>
      </c>
      <c r="Q2438" s="6">
        <f>COUNTIF($P$2:$P$3691,P2438)</f>
        <v>9</v>
      </c>
    </row>
    <row r="2439" spans="1:17" x14ac:dyDescent="0.2">
      <c r="A2439" s="16">
        <f>P2439</f>
        <v>1808310</v>
      </c>
      <c r="B2439">
        <v>2016</v>
      </c>
      <c r="C2439" t="s">
        <v>904</v>
      </c>
      <c r="D2439" t="s">
        <v>906</v>
      </c>
      <c r="E2439" t="s">
        <v>3345</v>
      </c>
      <c r="F2439" t="s">
        <v>584</v>
      </c>
      <c r="G2439" t="s">
        <v>267</v>
      </c>
      <c r="H2439" s="6">
        <v>229967</v>
      </c>
      <c r="I2439" s="6">
        <v>1.0670751236858378E-3</v>
      </c>
      <c r="J2439" s="6">
        <v>5386.5952243661095</v>
      </c>
      <c r="K2439" s="6">
        <v>947029.17227118101</v>
      </c>
      <c r="M2439" s="6">
        <f>SUM(H2439,J2439)</f>
        <v>235353.59522436612</v>
      </c>
      <c r="N2439" s="6">
        <f>K2439</f>
        <v>947029.17227118101</v>
      </c>
      <c r="O2439" s="6">
        <f>SUM(M2439:N2439)</f>
        <v>1182382.7674955472</v>
      </c>
      <c r="P2439" s="8">
        <f>VLOOKUP(F2439,'LEAID Match'!$A$2:$B$436,2,FALSE)</f>
        <v>1808310</v>
      </c>
      <c r="Q2439" s="6">
        <f>COUNTIF($P$2:$P$3691,P2439)</f>
        <v>9</v>
      </c>
    </row>
    <row r="2440" spans="1:17" x14ac:dyDescent="0.2">
      <c r="A2440" s="16">
        <f>P2440</f>
        <v>1808310</v>
      </c>
      <c r="B2440">
        <v>2017</v>
      </c>
      <c r="C2440" t="s">
        <v>904</v>
      </c>
      <c r="D2440" t="s">
        <v>906</v>
      </c>
      <c r="E2440" t="s">
        <v>3346</v>
      </c>
      <c r="F2440" t="s">
        <v>584</v>
      </c>
      <c r="G2440" t="s">
        <v>267</v>
      </c>
      <c r="H2440" s="6">
        <v>263652</v>
      </c>
      <c r="I2440" s="6">
        <v>1.1609725479346032E-3</v>
      </c>
      <c r="J2440" s="6">
        <v>5253.4007794040799</v>
      </c>
      <c r="K2440" s="6">
        <v>1011207.08925103</v>
      </c>
      <c r="M2440" s="6">
        <f>SUM(H2440,J2440)</f>
        <v>268905.4007794041</v>
      </c>
      <c r="N2440" s="6">
        <f>K2440</f>
        <v>1011207.08925103</v>
      </c>
      <c r="O2440" s="6">
        <f>SUM(M2440:N2440)</f>
        <v>1280112.490030434</v>
      </c>
      <c r="P2440" s="8">
        <f>VLOOKUP(F2440,'LEAID Match'!$A$2:$B$436,2,FALSE)</f>
        <v>1808310</v>
      </c>
      <c r="Q2440" s="6">
        <f>COUNTIF($P$2:$P$3691,P2440)</f>
        <v>9</v>
      </c>
    </row>
    <row r="2441" spans="1:17" x14ac:dyDescent="0.2">
      <c r="A2441" s="16">
        <f>P2441</f>
        <v>1808310</v>
      </c>
      <c r="B2441">
        <v>2018</v>
      </c>
      <c r="C2441" t="s">
        <v>904</v>
      </c>
      <c r="D2441" t="s">
        <v>906</v>
      </c>
      <c r="E2441" t="s">
        <v>3347</v>
      </c>
      <c r="F2441" t="s">
        <v>584</v>
      </c>
      <c r="G2441" t="s">
        <v>267</v>
      </c>
      <c r="H2441" s="6">
        <v>279783</v>
      </c>
      <c r="I2441" s="6">
        <v>1.1869432349657357E-3</v>
      </c>
      <c r="J2441" s="6">
        <v>4947.1794033371862</v>
      </c>
      <c r="K2441" s="6">
        <v>1256238</v>
      </c>
      <c r="M2441" s="6">
        <f>SUM(H2441,J2441)</f>
        <v>284730.17940333718</v>
      </c>
      <c r="N2441" s="6">
        <f>K2441</f>
        <v>1256238</v>
      </c>
      <c r="O2441" s="6">
        <f>SUM(M2441:N2441)</f>
        <v>1540968.1794033372</v>
      </c>
      <c r="P2441" s="8">
        <f>VLOOKUP(F2441,'LEAID Match'!$A$2:$B$436,2,FALSE)</f>
        <v>1808310</v>
      </c>
      <c r="Q2441" s="6">
        <f>COUNTIF($P$2:$P$3691,P2441)</f>
        <v>9</v>
      </c>
    </row>
    <row r="2442" spans="1:17" x14ac:dyDescent="0.2">
      <c r="A2442" s="16">
        <f>P2442</f>
        <v>1808310</v>
      </c>
      <c r="B2442">
        <v>2019</v>
      </c>
      <c r="C2442" t="s">
        <v>904</v>
      </c>
      <c r="D2442" t="s">
        <v>906</v>
      </c>
      <c r="E2442" t="s">
        <v>3348</v>
      </c>
      <c r="F2442" t="s">
        <v>584</v>
      </c>
      <c r="G2442" t="s">
        <v>267</v>
      </c>
      <c r="H2442" s="6">
        <v>291861</v>
      </c>
      <c r="I2442" s="6">
        <v>7.42492801112267E-4</v>
      </c>
      <c r="J2442" s="6">
        <v>2602.437267898496</v>
      </c>
      <c r="K2442" s="6">
        <v>700838.95496986795</v>
      </c>
      <c r="M2442" s="6">
        <f>SUM(H2442,J2442)</f>
        <v>294463.43726789852</v>
      </c>
      <c r="N2442" s="6">
        <f>K2442</f>
        <v>700838.95496986795</v>
      </c>
      <c r="O2442" s="6">
        <f>SUM(M2442:N2442)</f>
        <v>995302.39223776641</v>
      </c>
      <c r="P2442" s="8">
        <f>VLOOKUP(F2442,'LEAID Match'!$A$2:$B$436,2,FALSE)</f>
        <v>1808310</v>
      </c>
      <c r="Q2442" s="6">
        <f>COUNTIF($P$2:$P$3691,P2442)</f>
        <v>9</v>
      </c>
    </row>
    <row r="2443" spans="1:17" x14ac:dyDescent="0.2">
      <c r="A2443" s="16">
        <f>P2443</f>
        <v>1808310</v>
      </c>
      <c r="B2443">
        <v>2020</v>
      </c>
      <c r="C2443" t="s">
        <v>904</v>
      </c>
      <c r="D2443" t="s">
        <v>906</v>
      </c>
      <c r="E2443" t="s">
        <v>3349</v>
      </c>
      <c r="F2443" t="s">
        <v>584</v>
      </c>
      <c r="G2443" t="s">
        <v>267</v>
      </c>
      <c r="H2443" s="6">
        <v>232961</v>
      </c>
      <c r="I2443" s="6">
        <v>1.2343922458033201E-3</v>
      </c>
      <c r="J2443" s="6">
        <v>2908.2281311126221</v>
      </c>
      <c r="K2443" s="6">
        <v>1290829</v>
      </c>
      <c r="M2443" s="6">
        <f>SUM(H2443,J2443)</f>
        <v>235869.22813111261</v>
      </c>
      <c r="N2443" s="6">
        <f>K2443</f>
        <v>1290829</v>
      </c>
      <c r="O2443" s="6">
        <f>SUM(M2443:N2443)</f>
        <v>1526698.2281311126</v>
      </c>
      <c r="P2443" s="8">
        <f>VLOOKUP(F2443,'LEAID Match'!$A$2:$B$436,2,FALSE)</f>
        <v>1808310</v>
      </c>
      <c r="Q2443" s="6">
        <f>COUNTIF($P$2:$P$3691,P2443)</f>
        <v>9</v>
      </c>
    </row>
    <row r="2444" spans="1:17" x14ac:dyDescent="0.2">
      <c r="A2444" s="16">
        <f>P2444</f>
        <v>1808310</v>
      </c>
      <c r="B2444">
        <v>2021</v>
      </c>
      <c r="C2444" t="s">
        <v>904</v>
      </c>
      <c r="D2444" t="s">
        <v>906</v>
      </c>
      <c r="E2444" t="s">
        <v>3350</v>
      </c>
      <c r="F2444" t="s">
        <v>584</v>
      </c>
      <c r="G2444" t="s">
        <v>267</v>
      </c>
      <c r="H2444" s="6">
        <v>247137</v>
      </c>
      <c r="I2444" s="6">
        <v>1.2208797634766465E-3</v>
      </c>
      <c r="J2444" s="6">
        <v>2751.8629868763614</v>
      </c>
      <c r="K2444" s="6">
        <v>2150454</v>
      </c>
      <c r="M2444" s="6">
        <f>SUM(H2444,J2444)</f>
        <v>249888.86298687637</v>
      </c>
      <c r="N2444" s="6">
        <f>K2444</f>
        <v>2150454</v>
      </c>
      <c r="O2444" s="6">
        <f>SUM(M2444:N2444)</f>
        <v>2400342.8629868762</v>
      </c>
      <c r="P2444" s="8">
        <f>VLOOKUP(F2444,'LEAID Match'!$A$2:$B$436,2,FALSE)</f>
        <v>1808310</v>
      </c>
      <c r="Q2444" s="6">
        <f>COUNTIF($P$2:$P$3691,P2444)</f>
        <v>9</v>
      </c>
    </row>
    <row r="2445" spans="1:17" x14ac:dyDescent="0.2">
      <c r="A2445" s="16">
        <f>P2445</f>
        <v>1808310</v>
      </c>
      <c r="B2445">
        <v>2022</v>
      </c>
      <c r="C2445" t="s">
        <v>904</v>
      </c>
      <c r="D2445" t="s">
        <v>906</v>
      </c>
      <c r="E2445" t="s">
        <v>3351</v>
      </c>
      <c r="F2445" t="s">
        <v>584</v>
      </c>
      <c r="G2445" t="s">
        <v>267</v>
      </c>
      <c r="H2445" s="6">
        <v>252090</v>
      </c>
      <c r="I2445" s="6">
        <v>1.1969701712127444E-3</v>
      </c>
      <c r="J2445" s="6">
        <v>2639.3192275241013</v>
      </c>
      <c r="K2445" s="6">
        <v>2165768</v>
      </c>
      <c r="M2445" s="6">
        <f>SUM(H2445,J2445)</f>
        <v>254729.3192275241</v>
      </c>
      <c r="N2445" s="6">
        <f>K2445</f>
        <v>2165768</v>
      </c>
      <c r="O2445" s="6">
        <f>SUM(M2445:N2445)</f>
        <v>2420497.3192275241</v>
      </c>
      <c r="P2445" s="8">
        <f>VLOOKUP(F2445,'LEAID Match'!$A$2:$B$436,2,FALSE)</f>
        <v>1808310</v>
      </c>
      <c r="Q2445" s="6">
        <f>COUNTIF($P$2:$P$3691,P2445)</f>
        <v>9</v>
      </c>
    </row>
    <row r="2446" spans="1:17" x14ac:dyDescent="0.2">
      <c r="A2446" s="16">
        <f>P2446</f>
        <v>1808310</v>
      </c>
      <c r="B2446">
        <v>2023</v>
      </c>
      <c r="C2446" t="s">
        <v>904</v>
      </c>
      <c r="D2446" t="s">
        <v>906</v>
      </c>
      <c r="E2446" t="s">
        <v>3352</v>
      </c>
      <c r="F2446" t="s">
        <v>584</v>
      </c>
      <c r="G2446" t="s">
        <v>267</v>
      </c>
      <c r="H2446" s="6">
        <v>277703</v>
      </c>
      <c r="I2446" s="6">
        <v>1.1356526853859574E-3</v>
      </c>
      <c r="J2446" s="6">
        <v>2801.655174847157</v>
      </c>
      <c r="K2446" s="6">
        <v>5841336</v>
      </c>
      <c r="M2446" s="6">
        <f>SUM(H2446,J2446)</f>
        <v>280504.65517484717</v>
      </c>
      <c r="N2446" s="6">
        <f>K2446</f>
        <v>5841336</v>
      </c>
      <c r="O2446" s="6">
        <f>SUM(M2446:N2446)</f>
        <v>6121840.6551748468</v>
      </c>
      <c r="P2446" s="8">
        <f>VLOOKUP(F2446,'LEAID Match'!$A$2:$B$436,2,FALSE)</f>
        <v>1808310</v>
      </c>
      <c r="Q2446" s="6">
        <f>COUNTIF($P$2:$P$3691,P2446)</f>
        <v>9</v>
      </c>
    </row>
    <row r="2447" spans="1:17" x14ac:dyDescent="0.2">
      <c r="A2447" s="16">
        <f>P2447</f>
        <v>1810830</v>
      </c>
      <c r="B2447">
        <v>2021</v>
      </c>
      <c r="C2447" t="s">
        <v>904</v>
      </c>
      <c r="D2447" t="s">
        <v>906</v>
      </c>
      <c r="E2447" t="s">
        <v>3359</v>
      </c>
      <c r="F2447" t="s">
        <v>585</v>
      </c>
      <c r="G2447" t="s">
        <v>268</v>
      </c>
      <c r="H2447" s="6">
        <v>114694</v>
      </c>
      <c r="I2447" s="6">
        <v>5.6659902641931605E-4</v>
      </c>
      <c r="J2447" s="6">
        <v>1277.1142055491384</v>
      </c>
      <c r="K2447" s="6">
        <v>738130</v>
      </c>
      <c r="M2447" s="6">
        <f>SUM(H2447,J2447)</f>
        <v>115971.11420554914</v>
      </c>
      <c r="N2447" s="6">
        <f>K2447</f>
        <v>738130</v>
      </c>
      <c r="O2447" s="6">
        <f>SUM(M2447:N2447)</f>
        <v>854101.11420554912</v>
      </c>
      <c r="P2447" s="8">
        <f>VLOOKUP(F2447,'LEAID Match'!$A$2:$B$436,2,FALSE)</f>
        <v>1810830</v>
      </c>
      <c r="Q2447" s="6">
        <f>COUNTIF($P$2:$P$3691,P2447)</f>
        <v>9</v>
      </c>
    </row>
    <row r="2448" spans="1:17" x14ac:dyDescent="0.2">
      <c r="A2448" s="16">
        <f>P2448</f>
        <v>1810830</v>
      </c>
      <c r="B2448">
        <v>2022</v>
      </c>
      <c r="C2448" t="s">
        <v>904</v>
      </c>
      <c r="D2448" t="s">
        <v>906</v>
      </c>
      <c r="E2448" t="s">
        <v>3360</v>
      </c>
      <c r="F2448" t="s">
        <v>585</v>
      </c>
      <c r="G2448" t="s">
        <v>268</v>
      </c>
      <c r="H2448" s="6">
        <v>109305</v>
      </c>
      <c r="I2448" s="6">
        <v>5.1900045445836421E-4</v>
      </c>
      <c r="J2448" s="6">
        <v>1144.3960020806931</v>
      </c>
      <c r="K2448" s="6">
        <v>731329</v>
      </c>
      <c r="M2448" s="6">
        <f>SUM(H2448,J2448)</f>
        <v>110449.3960020807</v>
      </c>
      <c r="N2448" s="6">
        <f>K2448</f>
        <v>731329</v>
      </c>
      <c r="O2448" s="6">
        <f>SUM(M2448:N2448)</f>
        <v>841778.39600208076</v>
      </c>
      <c r="P2448" s="8">
        <f>VLOOKUP(F2448,'LEAID Match'!$A$2:$B$436,2,FALSE)</f>
        <v>1810830</v>
      </c>
      <c r="Q2448" s="6">
        <f>COUNTIF($P$2:$P$3691,P2448)</f>
        <v>9</v>
      </c>
    </row>
    <row r="2449" spans="1:17" x14ac:dyDescent="0.2">
      <c r="A2449" s="16">
        <f>P2449</f>
        <v>1810830</v>
      </c>
      <c r="B2449">
        <v>2023</v>
      </c>
      <c r="C2449" t="s">
        <v>904</v>
      </c>
      <c r="D2449" t="s">
        <v>906</v>
      </c>
      <c r="E2449" t="s">
        <v>3361</v>
      </c>
      <c r="F2449" t="s">
        <v>585</v>
      </c>
      <c r="G2449" t="s">
        <v>268</v>
      </c>
      <c r="H2449" s="6">
        <v>125256</v>
      </c>
      <c r="I2449" s="6">
        <v>5.1222821777475753E-4</v>
      </c>
      <c r="J2449" s="6">
        <v>1263.6670132503268</v>
      </c>
      <c r="K2449" s="6">
        <v>1602524</v>
      </c>
      <c r="M2449" s="6">
        <f>SUM(H2449,J2449)</f>
        <v>126519.66701325032</v>
      </c>
      <c r="N2449" s="6">
        <f>K2449</f>
        <v>1602524</v>
      </c>
      <c r="O2449" s="6">
        <f>SUM(M2449:N2449)</f>
        <v>1729043.6670132503</v>
      </c>
      <c r="P2449" s="8">
        <f>VLOOKUP(F2449,'LEAID Match'!$A$2:$B$436,2,FALSE)</f>
        <v>1810830</v>
      </c>
      <c r="Q2449" s="6">
        <f>COUNTIF($P$2:$P$3691,P2449)</f>
        <v>9</v>
      </c>
    </row>
    <row r="2450" spans="1:17" x14ac:dyDescent="0.2">
      <c r="A2450" s="16">
        <f>P2450</f>
        <v>1810860</v>
      </c>
      <c r="B2450">
        <v>2015</v>
      </c>
      <c r="C2450" t="s">
        <v>904</v>
      </c>
      <c r="D2450" t="s">
        <v>906</v>
      </c>
      <c r="E2450" t="s">
        <v>3466</v>
      </c>
      <c r="F2450" t="s">
        <v>594</v>
      </c>
      <c r="G2450" t="s">
        <v>280</v>
      </c>
      <c r="H2450" s="6">
        <v>302462</v>
      </c>
      <c r="I2450" s="6">
        <v>1.4707841022740108E-3</v>
      </c>
      <c r="J2450" s="6">
        <v>8546.7264183142761</v>
      </c>
      <c r="K2450" s="6">
        <v>1243718.5694285401</v>
      </c>
      <c r="M2450" s="6">
        <f>SUM(H2450,J2450)</f>
        <v>311008.72641831427</v>
      </c>
      <c r="N2450" s="6">
        <f>K2450</f>
        <v>1243718.5694285401</v>
      </c>
      <c r="O2450" s="6">
        <f>SUM(M2450:N2450)</f>
        <v>1554727.2958468543</v>
      </c>
      <c r="P2450" s="8">
        <f>VLOOKUP(F2450,'LEAID Match'!$A$2:$B$436,2,FALSE)</f>
        <v>1810860</v>
      </c>
      <c r="Q2450" s="6">
        <f>COUNTIF($P$2:$P$3691,P2450)</f>
        <v>9</v>
      </c>
    </row>
    <row r="2451" spans="1:17" x14ac:dyDescent="0.2">
      <c r="A2451" s="16">
        <f>P2451</f>
        <v>1810860</v>
      </c>
      <c r="B2451">
        <v>2016</v>
      </c>
      <c r="C2451" t="s">
        <v>904</v>
      </c>
      <c r="D2451" t="s">
        <v>906</v>
      </c>
      <c r="E2451" t="s">
        <v>3467</v>
      </c>
      <c r="F2451" t="s">
        <v>594</v>
      </c>
      <c r="G2451" t="s">
        <v>280</v>
      </c>
      <c r="H2451" s="6">
        <v>328797</v>
      </c>
      <c r="I2451" s="6">
        <v>1.5256584616163728E-3</v>
      </c>
      <c r="J2451" s="6">
        <v>7701.5239142394494</v>
      </c>
      <c r="K2451" s="6">
        <v>1354021.8846845301</v>
      </c>
      <c r="M2451" s="6">
        <f>SUM(H2451,J2451)</f>
        <v>336498.52391423943</v>
      </c>
      <c r="N2451" s="6">
        <f>K2451</f>
        <v>1354021.8846845301</v>
      </c>
      <c r="O2451" s="6">
        <f>SUM(M2451:N2451)</f>
        <v>1690520.4085987695</v>
      </c>
      <c r="P2451" s="8">
        <f>VLOOKUP(F2451,'LEAID Match'!$A$2:$B$436,2,FALSE)</f>
        <v>1810860</v>
      </c>
      <c r="Q2451" s="6">
        <f>COUNTIF($P$2:$P$3691,P2451)</f>
        <v>9</v>
      </c>
    </row>
    <row r="2452" spans="1:17" x14ac:dyDescent="0.2">
      <c r="A2452" s="16">
        <f>P2452</f>
        <v>1810860</v>
      </c>
      <c r="B2452">
        <v>2017</v>
      </c>
      <c r="C2452" t="s">
        <v>904</v>
      </c>
      <c r="D2452" t="s">
        <v>906</v>
      </c>
      <c r="E2452" t="s">
        <v>3468</v>
      </c>
      <c r="F2452" t="s">
        <v>594</v>
      </c>
      <c r="G2452" t="s">
        <v>280</v>
      </c>
      <c r="H2452" s="6">
        <v>347047</v>
      </c>
      <c r="I2452" s="6">
        <v>1.5281964098245425E-3</v>
      </c>
      <c r="J2452" s="6">
        <v>6915.0887544560546</v>
      </c>
      <c r="K2452" s="6">
        <v>1331059.07295717</v>
      </c>
      <c r="M2452" s="6">
        <f>SUM(H2452,J2452)</f>
        <v>353962.08875445608</v>
      </c>
      <c r="N2452" s="6">
        <f>K2452</f>
        <v>1331059.07295717</v>
      </c>
      <c r="O2452" s="6">
        <f>SUM(M2452:N2452)</f>
        <v>1685021.161711626</v>
      </c>
      <c r="P2452" s="8">
        <f>VLOOKUP(F2452,'LEAID Match'!$A$2:$B$436,2,FALSE)</f>
        <v>1810860</v>
      </c>
      <c r="Q2452" s="6">
        <f>COUNTIF($P$2:$P$3691,P2452)</f>
        <v>9</v>
      </c>
    </row>
    <row r="2453" spans="1:17" x14ac:dyDescent="0.2">
      <c r="A2453" s="16">
        <f>P2453</f>
        <v>1810860</v>
      </c>
      <c r="B2453">
        <v>2018</v>
      </c>
      <c r="C2453" t="s">
        <v>904</v>
      </c>
      <c r="D2453" t="s">
        <v>906</v>
      </c>
      <c r="E2453" t="s">
        <v>3469</v>
      </c>
      <c r="F2453" t="s">
        <v>594</v>
      </c>
      <c r="G2453" t="s">
        <v>280</v>
      </c>
      <c r="H2453" s="6">
        <v>349072</v>
      </c>
      <c r="I2453" s="6">
        <v>1.4808928666715251E-3</v>
      </c>
      <c r="J2453" s="6">
        <v>6172.3614682869165</v>
      </c>
      <c r="K2453" s="6">
        <v>1880685</v>
      </c>
      <c r="M2453" s="6">
        <f>SUM(H2453,J2453)</f>
        <v>355244.36146828689</v>
      </c>
      <c r="N2453" s="6">
        <f>K2453</f>
        <v>1880685</v>
      </c>
      <c r="O2453" s="6">
        <f>SUM(M2453:N2453)</f>
        <v>2235929.3614682867</v>
      </c>
      <c r="P2453" s="8">
        <f>VLOOKUP(F2453,'LEAID Match'!$A$2:$B$436,2,FALSE)</f>
        <v>1810860</v>
      </c>
      <c r="Q2453" s="6">
        <f>COUNTIF($P$2:$P$3691,P2453)</f>
        <v>9</v>
      </c>
    </row>
    <row r="2454" spans="1:17" x14ac:dyDescent="0.2">
      <c r="A2454" s="16">
        <f>P2454</f>
        <v>1810860</v>
      </c>
      <c r="B2454">
        <v>2019</v>
      </c>
      <c r="C2454" t="s">
        <v>904</v>
      </c>
      <c r="D2454" t="s">
        <v>906</v>
      </c>
      <c r="E2454" t="s">
        <v>3470</v>
      </c>
      <c r="F2454" t="s">
        <v>594</v>
      </c>
      <c r="G2454" t="s">
        <v>280</v>
      </c>
      <c r="H2454" s="6">
        <v>375801</v>
      </c>
      <c r="I2454" s="6">
        <v>9.5603570586954417E-4</v>
      </c>
      <c r="J2454" s="6">
        <v>3350.9051490727525</v>
      </c>
      <c r="K2454" s="6">
        <v>902402.10277026205</v>
      </c>
      <c r="M2454" s="6">
        <f>SUM(H2454,J2454)</f>
        <v>379151.90514907276</v>
      </c>
      <c r="N2454" s="6">
        <f>K2454</f>
        <v>902402.10277026205</v>
      </c>
      <c r="O2454" s="6">
        <f>SUM(M2454:N2454)</f>
        <v>1281554.0079193348</v>
      </c>
      <c r="P2454" s="8">
        <f>VLOOKUP(F2454,'LEAID Match'!$A$2:$B$436,2,FALSE)</f>
        <v>1810860</v>
      </c>
      <c r="Q2454" s="6">
        <f>COUNTIF($P$2:$P$3691,P2454)</f>
        <v>9</v>
      </c>
    </row>
    <row r="2455" spans="1:17" x14ac:dyDescent="0.2">
      <c r="A2455" s="16">
        <f>P2455</f>
        <v>1810860</v>
      </c>
      <c r="B2455">
        <v>2020</v>
      </c>
      <c r="C2455" t="s">
        <v>904</v>
      </c>
      <c r="D2455" t="s">
        <v>906</v>
      </c>
      <c r="E2455" t="s">
        <v>3471</v>
      </c>
      <c r="F2455" t="s">
        <v>594</v>
      </c>
      <c r="G2455" t="s">
        <v>280</v>
      </c>
      <c r="H2455" s="6">
        <v>296121</v>
      </c>
      <c r="I2455" s="6">
        <v>1.5690586244887555E-3</v>
      </c>
      <c r="J2455" s="6">
        <v>3696.7021192955081</v>
      </c>
      <c r="K2455" s="6">
        <v>2075018</v>
      </c>
      <c r="M2455" s="6">
        <f>SUM(H2455,J2455)</f>
        <v>299817.70211929549</v>
      </c>
      <c r="N2455" s="6">
        <f>K2455</f>
        <v>2075018</v>
      </c>
      <c r="O2455" s="6">
        <f>SUM(M2455:N2455)</f>
        <v>2374835.7021192955</v>
      </c>
      <c r="P2455" s="8">
        <f>VLOOKUP(F2455,'LEAID Match'!$A$2:$B$436,2,FALSE)</f>
        <v>1810860</v>
      </c>
      <c r="Q2455" s="6">
        <f>COUNTIF($P$2:$P$3691,P2455)</f>
        <v>9</v>
      </c>
    </row>
    <row r="2456" spans="1:17" x14ac:dyDescent="0.2">
      <c r="A2456" s="16">
        <f>P2456</f>
        <v>1810140</v>
      </c>
      <c r="B2456">
        <v>2015</v>
      </c>
      <c r="C2456" t="s">
        <v>904</v>
      </c>
      <c r="D2456" t="s">
        <v>906</v>
      </c>
      <c r="E2456" t="s">
        <v>3362</v>
      </c>
      <c r="F2456" t="s">
        <v>586</v>
      </c>
      <c r="G2456" t="s">
        <v>269</v>
      </c>
      <c r="H2456" s="6">
        <v>725360</v>
      </c>
      <c r="I2456" s="6">
        <v>3.5272131918240193E-3</v>
      </c>
      <c r="J2456" s="6">
        <v>20496.635857689376</v>
      </c>
      <c r="K2456" s="6">
        <v>2982667.9104174599</v>
      </c>
      <c r="M2456" s="6">
        <f>SUM(H2456,J2456)</f>
        <v>745856.63585768943</v>
      </c>
      <c r="N2456" s="6">
        <f>K2456</f>
        <v>2982667.9104174599</v>
      </c>
      <c r="O2456" s="6">
        <f>SUM(M2456:N2456)</f>
        <v>3728524.5462751491</v>
      </c>
      <c r="P2456" s="8">
        <f>VLOOKUP(F2456,'LEAID Match'!$A$2:$B$436,2,FALSE)</f>
        <v>1810140</v>
      </c>
      <c r="Q2456" s="6">
        <f>COUNTIF($P$2:$P$3691,P2456)</f>
        <v>9</v>
      </c>
    </row>
    <row r="2457" spans="1:17" x14ac:dyDescent="0.2">
      <c r="A2457" s="16">
        <f>P2457</f>
        <v>1810140</v>
      </c>
      <c r="B2457">
        <v>2016</v>
      </c>
      <c r="C2457" t="s">
        <v>904</v>
      </c>
      <c r="D2457" t="s">
        <v>906</v>
      </c>
      <c r="E2457" t="s">
        <v>3363</v>
      </c>
      <c r="F2457" t="s">
        <v>586</v>
      </c>
      <c r="G2457" t="s">
        <v>269</v>
      </c>
      <c r="H2457" s="6">
        <v>761458</v>
      </c>
      <c r="I2457" s="6">
        <v>3.533258639420311E-3</v>
      </c>
      <c r="J2457" s="6">
        <v>17835.889611793729</v>
      </c>
      <c r="K2457" s="6">
        <v>3135767.0424855198</v>
      </c>
      <c r="M2457" s="6">
        <f>SUM(H2457,J2457)</f>
        <v>779293.88961179368</v>
      </c>
      <c r="N2457" s="6">
        <f>K2457</f>
        <v>3135767.0424855198</v>
      </c>
      <c r="O2457" s="6">
        <f>SUM(M2457:N2457)</f>
        <v>3915060.9320973135</v>
      </c>
      <c r="P2457" s="8">
        <f>VLOOKUP(F2457,'LEAID Match'!$A$2:$B$436,2,FALSE)</f>
        <v>1810140</v>
      </c>
      <c r="Q2457" s="6">
        <f>COUNTIF($P$2:$P$3691,P2457)</f>
        <v>9</v>
      </c>
    </row>
    <row r="2458" spans="1:17" x14ac:dyDescent="0.2">
      <c r="A2458" s="16">
        <f>P2458</f>
        <v>1810140</v>
      </c>
      <c r="B2458">
        <v>2017</v>
      </c>
      <c r="C2458" t="s">
        <v>904</v>
      </c>
      <c r="D2458" t="s">
        <v>906</v>
      </c>
      <c r="E2458" t="s">
        <v>3364</v>
      </c>
      <c r="F2458" t="s">
        <v>586</v>
      </c>
      <c r="G2458" t="s">
        <v>269</v>
      </c>
      <c r="H2458" s="6">
        <v>783834</v>
      </c>
      <c r="I2458" s="6">
        <v>3.4515564309687461E-3</v>
      </c>
      <c r="J2458" s="6">
        <v>15618.292850133575</v>
      </c>
      <c r="K2458" s="6">
        <v>3006305.6513737701</v>
      </c>
      <c r="M2458" s="6">
        <f>SUM(H2458,J2458)</f>
        <v>799452.29285013361</v>
      </c>
      <c r="N2458" s="6">
        <f>K2458</f>
        <v>3006305.6513737701</v>
      </c>
      <c r="O2458" s="6">
        <f>SUM(M2458:N2458)</f>
        <v>3805757.9442239036</v>
      </c>
      <c r="P2458" s="8">
        <f>VLOOKUP(F2458,'LEAID Match'!$A$2:$B$436,2,FALSE)</f>
        <v>1810140</v>
      </c>
      <c r="Q2458" s="6">
        <f>COUNTIF($P$2:$P$3691,P2458)</f>
        <v>9</v>
      </c>
    </row>
    <row r="2459" spans="1:17" x14ac:dyDescent="0.2">
      <c r="A2459" s="16">
        <f>P2459</f>
        <v>1810140</v>
      </c>
      <c r="B2459">
        <v>2018</v>
      </c>
      <c r="C2459" t="s">
        <v>904</v>
      </c>
      <c r="D2459" t="s">
        <v>906</v>
      </c>
      <c r="E2459" t="s">
        <v>3365</v>
      </c>
      <c r="F2459" t="s">
        <v>586</v>
      </c>
      <c r="G2459" t="s">
        <v>269</v>
      </c>
      <c r="H2459" s="6">
        <v>862263</v>
      </c>
      <c r="I2459" s="6">
        <v>3.6580393898530653E-3</v>
      </c>
      <c r="J2459" s="6">
        <v>15246.708176907576</v>
      </c>
      <c r="K2459" s="6">
        <v>3019616</v>
      </c>
      <c r="M2459" s="6">
        <f>SUM(H2459,J2459)</f>
        <v>877509.70817690762</v>
      </c>
      <c r="N2459" s="6">
        <f>K2459</f>
        <v>3019616</v>
      </c>
      <c r="O2459" s="6">
        <f>SUM(M2459:N2459)</f>
        <v>3897125.7081769076</v>
      </c>
      <c r="P2459" s="8">
        <f>VLOOKUP(F2459,'LEAID Match'!$A$2:$B$436,2,FALSE)</f>
        <v>1810140</v>
      </c>
      <c r="Q2459" s="6">
        <f>COUNTIF($P$2:$P$3691,P2459)</f>
        <v>9</v>
      </c>
    </row>
    <row r="2460" spans="1:17" x14ac:dyDescent="0.2">
      <c r="A2460" s="16">
        <f>P2460</f>
        <v>1810140</v>
      </c>
      <c r="B2460">
        <v>2019</v>
      </c>
      <c r="C2460" t="s">
        <v>904</v>
      </c>
      <c r="D2460" t="s">
        <v>906</v>
      </c>
      <c r="E2460" t="s">
        <v>3366</v>
      </c>
      <c r="F2460" t="s">
        <v>586</v>
      </c>
      <c r="G2460" t="s">
        <v>269</v>
      </c>
      <c r="H2460" s="6">
        <v>903326</v>
      </c>
      <c r="I2460" s="6">
        <v>2.2980564448745796E-3</v>
      </c>
      <c r="J2460" s="6">
        <v>8054.6878392854014</v>
      </c>
      <c r="K2460" s="6">
        <v>2169135.4783171099</v>
      </c>
      <c r="M2460" s="6">
        <f>SUM(H2460,J2460)</f>
        <v>911380.68783928535</v>
      </c>
      <c r="N2460" s="6">
        <f>K2460</f>
        <v>2169135.4783171099</v>
      </c>
      <c r="O2460" s="6">
        <f>SUM(M2460:N2460)</f>
        <v>3080516.1661563953</v>
      </c>
      <c r="P2460" s="8">
        <f>VLOOKUP(F2460,'LEAID Match'!$A$2:$B$436,2,FALSE)</f>
        <v>1810140</v>
      </c>
      <c r="Q2460" s="6">
        <f>COUNTIF($P$2:$P$3691,P2460)</f>
        <v>9</v>
      </c>
    </row>
    <row r="2461" spans="1:17" x14ac:dyDescent="0.2">
      <c r="A2461" s="16">
        <f>P2461</f>
        <v>1810140</v>
      </c>
      <c r="B2461">
        <v>2020</v>
      </c>
      <c r="C2461" t="s">
        <v>904</v>
      </c>
      <c r="D2461" t="s">
        <v>906</v>
      </c>
      <c r="E2461" t="s">
        <v>3367</v>
      </c>
      <c r="F2461" t="s">
        <v>586</v>
      </c>
      <c r="G2461" t="s">
        <v>269</v>
      </c>
      <c r="H2461" s="6">
        <v>692730</v>
      </c>
      <c r="I2461" s="6">
        <v>3.670573788897429E-3</v>
      </c>
      <c r="J2461" s="6">
        <v>8647.8718466423434</v>
      </c>
      <c r="K2461" s="6">
        <v>3075769</v>
      </c>
      <c r="M2461" s="6">
        <f>SUM(H2461,J2461)</f>
        <v>701377.87184664235</v>
      </c>
      <c r="N2461" s="6">
        <f>K2461</f>
        <v>3075769</v>
      </c>
      <c r="O2461" s="6">
        <f>SUM(M2461:N2461)</f>
        <v>3777146.8718466423</v>
      </c>
      <c r="P2461" s="8">
        <f>VLOOKUP(F2461,'LEAID Match'!$A$2:$B$436,2,FALSE)</f>
        <v>1810140</v>
      </c>
      <c r="Q2461" s="6">
        <f>COUNTIF($P$2:$P$3691,P2461)</f>
        <v>9</v>
      </c>
    </row>
    <row r="2462" spans="1:17" x14ac:dyDescent="0.2">
      <c r="A2462" s="16">
        <f>P2462</f>
        <v>1810140</v>
      </c>
      <c r="B2462">
        <v>2021</v>
      </c>
      <c r="C2462" t="s">
        <v>904</v>
      </c>
      <c r="D2462" t="s">
        <v>906</v>
      </c>
      <c r="E2462" t="s">
        <v>3368</v>
      </c>
      <c r="F2462" t="s">
        <v>586</v>
      </c>
      <c r="G2462" t="s">
        <v>269</v>
      </c>
      <c r="H2462" s="6">
        <v>719571</v>
      </c>
      <c r="I2462" s="6">
        <v>3.5547476593333011E-3</v>
      </c>
      <c r="J2462" s="6">
        <v>8012.4012241372602</v>
      </c>
      <c r="K2462" s="6">
        <v>5106329</v>
      </c>
      <c r="M2462" s="6">
        <f>SUM(H2462,J2462)</f>
        <v>727583.40122413728</v>
      </c>
      <c r="N2462" s="6">
        <f>K2462</f>
        <v>5106329</v>
      </c>
      <c r="O2462" s="6">
        <f>SUM(M2462:N2462)</f>
        <v>5833912.4012241373</v>
      </c>
      <c r="P2462" s="8">
        <f>VLOOKUP(F2462,'LEAID Match'!$A$2:$B$436,2,FALSE)</f>
        <v>1810140</v>
      </c>
      <c r="Q2462" s="6">
        <f>COUNTIF($P$2:$P$3691,P2462)</f>
        <v>9</v>
      </c>
    </row>
    <row r="2463" spans="1:17" x14ac:dyDescent="0.2">
      <c r="A2463" s="16">
        <f>P2463</f>
        <v>1810140</v>
      </c>
      <c r="B2463">
        <v>2022</v>
      </c>
      <c r="C2463" t="s">
        <v>904</v>
      </c>
      <c r="D2463" t="s">
        <v>906</v>
      </c>
      <c r="E2463" t="s">
        <v>3369</v>
      </c>
      <c r="F2463" t="s">
        <v>586</v>
      </c>
      <c r="G2463" t="s">
        <v>269</v>
      </c>
      <c r="H2463" s="6">
        <v>773107</v>
      </c>
      <c r="I2463" s="6">
        <v>3.6708557188138012E-3</v>
      </c>
      <c r="J2463" s="6">
        <v>8094.2368599844322</v>
      </c>
      <c r="K2463" s="6">
        <v>4987515</v>
      </c>
      <c r="M2463" s="6">
        <f>SUM(H2463,J2463)</f>
        <v>781201.23685998446</v>
      </c>
      <c r="N2463" s="6">
        <f>K2463</f>
        <v>4987515</v>
      </c>
      <c r="O2463" s="6">
        <f>SUM(M2463:N2463)</f>
        <v>5768716.2368599847</v>
      </c>
      <c r="P2463" s="8">
        <f>VLOOKUP(F2463,'LEAID Match'!$A$2:$B$436,2,FALSE)</f>
        <v>1810140</v>
      </c>
      <c r="Q2463" s="6">
        <f>COUNTIF($P$2:$P$3691,P2463)</f>
        <v>9</v>
      </c>
    </row>
    <row r="2464" spans="1:17" x14ac:dyDescent="0.2">
      <c r="A2464" s="16">
        <f>P2464</f>
        <v>1810140</v>
      </c>
      <c r="B2464">
        <v>2023</v>
      </c>
      <c r="C2464" t="s">
        <v>904</v>
      </c>
      <c r="D2464" t="s">
        <v>906</v>
      </c>
      <c r="E2464" t="s">
        <v>3370</v>
      </c>
      <c r="F2464" t="s">
        <v>586</v>
      </c>
      <c r="G2464" t="s">
        <v>269</v>
      </c>
      <c r="H2464" s="6">
        <v>886874</v>
      </c>
      <c r="I2464" s="6">
        <v>3.626827364842964E-3</v>
      </c>
      <c r="J2464" s="6">
        <v>8947.3831090675922</v>
      </c>
      <c r="K2464" s="6">
        <v>13266985</v>
      </c>
      <c r="M2464" s="6">
        <f>SUM(H2464,J2464)</f>
        <v>895821.38310906757</v>
      </c>
      <c r="N2464" s="6">
        <f>K2464</f>
        <v>13266985</v>
      </c>
      <c r="O2464" s="6">
        <f>SUM(M2464:N2464)</f>
        <v>14162806.383109067</v>
      </c>
      <c r="P2464" s="8">
        <f>VLOOKUP(F2464,'LEAID Match'!$A$2:$B$436,2,FALSE)</f>
        <v>1810140</v>
      </c>
      <c r="Q2464" s="6">
        <f>COUNTIF($P$2:$P$3691,P2464)</f>
        <v>9</v>
      </c>
    </row>
    <row r="2465" spans="1:17" x14ac:dyDescent="0.2">
      <c r="A2465" s="16">
        <f>P2465</f>
        <v>1803210</v>
      </c>
      <c r="B2465">
        <v>2015</v>
      </c>
      <c r="C2465" t="s">
        <v>904</v>
      </c>
      <c r="D2465" t="s">
        <v>906</v>
      </c>
      <c r="E2465" t="s">
        <v>3371</v>
      </c>
      <c r="F2465" t="s">
        <v>587</v>
      </c>
      <c r="G2465" t="s">
        <v>270</v>
      </c>
      <c r="H2465" s="6">
        <v>213765</v>
      </c>
      <c r="I2465" s="6">
        <v>1.0394765743220766E-3</v>
      </c>
      <c r="J2465" s="6">
        <v>6040.3983733855866</v>
      </c>
      <c r="K2465" s="6">
        <v>878998.02287193702</v>
      </c>
      <c r="M2465" s="6">
        <f>SUM(H2465,J2465)</f>
        <v>219805.3983733856</v>
      </c>
      <c r="N2465" s="6">
        <f>K2465</f>
        <v>878998.02287193702</v>
      </c>
      <c r="O2465" s="6">
        <f>SUM(M2465:N2465)</f>
        <v>1098803.4212453226</v>
      </c>
      <c r="P2465" s="8">
        <f>VLOOKUP(F2465,'LEAID Match'!$A$2:$B$436,2,FALSE)</f>
        <v>1803210</v>
      </c>
      <c r="Q2465" s="6">
        <f>COUNTIF($P$2:$P$3691,P2465)</f>
        <v>9</v>
      </c>
    </row>
    <row r="2466" spans="1:17" x14ac:dyDescent="0.2">
      <c r="A2466" s="16">
        <f>P2466</f>
        <v>1803210</v>
      </c>
      <c r="B2466">
        <v>2016</v>
      </c>
      <c r="C2466" t="s">
        <v>904</v>
      </c>
      <c r="D2466" t="s">
        <v>906</v>
      </c>
      <c r="E2466" t="s">
        <v>3372</v>
      </c>
      <c r="F2466" t="s">
        <v>587</v>
      </c>
      <c r="G2466" t="s">
        <v>270</v>
      </c>
      <c r="H2466" s="6">
        <v>221596</v>
      </c>
      <c r="I2466" s="6">
        <v>1.0282326555909626E-3</v>
      </c>
      <c r="J2466" s="6">
        <v>5190.5184454231794</v>
      </c>
      <c r="K2466" s="6">
        <v>912556.48183697904</v>
      </c>
      <c r="M2466" s="6">
        <f>SUM(H2466,J2466)</f>
        <v>226786.51844542319</v>
      </c>
      <c r="N2466" s="6">
        <f>K2466</f>
        <v>912556.48183697904</v>
      </c>
      <c r="O2466" s="6">
        <f>SUM(M2466:N2466)</f>
        <v>1139343.0002824022</v>
      </c>
      <c r="P2466" s="8">
        <f>VLOOKUP(F2466,'LEAID Match'!$A$2:$B$436,2,FALSE)</f>
        <v>1803210</v>
      </c>
      <c r="Q2466" s="6">
        <f>COUNTIF($P$2:$P$3691,P2466)</f>
        <v>9</v>
      </c>
    </row>
    <row r="2467" spans="1:17" x14ac:dyDescent="0.2">
      <c r="A2467" s="16">
        <f>P2467</f>
        <v>1803210</v>
      </c>
      <c r="B2467">
        <v>2017</v>
      </c>
      <c r="C2467" t="s">
        <v>904</v>
      </c>
      <c r="D2467" t="s">
        <v>906</v>
      </c>
      <c r="E2467" t="s">
        <v>3373</v>
      </c>
      <c r="F2467" t="s">
        <v>587</v>
      </c>
      <c r="G2467" t="s">
        <v>270</v>
      </c>
      <c r="H2467" s="6">
        <v>230153</v>
      </c>
      <c r="I2467" s="6">
        <v>1.013462119857967E-3</v>
      </c>
      <c r="J2467" s="6">
        <v>4585.9160923573008</v>
      </c>
      <c r="K2467" s="6">
        <v>882725.50639628898</v>
      </c>
      <c r="M2467" s="6">
        <f>SUM(H2467,J2467)</f>
        <v>234738.91609235731</v>
      </c>
      <c r="N2467" s="6">
        <f>K2467</f>
        <v>882725.50639628898</v>
      </c>
      <c r="O2467" s="6">
        <f>SUM(M2467:N2467)</f>
        <v>1117464.4224886463</v>
      </c>
      <c r="P2467" s="8">
        <f>VLOOKUP(F2467,'LEAID Match'!$A$2:$B$436,2,FALSE)</f>
        <v>1803210</v>
      </c>
      <c r="Q2467" s="6">
        <f>COUNTIF($P$2:$P$3691,P2467)</f>
        <v>9</v>
      </c>
    </row>
    <row r="2468" spans="1:17" x14ac:dyDescent="0.2">
      <c r="A2468" s="16">
        <f>P2468</f>
        <v>1803210</v>
      </c>
      <c r="B2468">
        <v>2018</v>
      </c>
      <c r="C2468" t="s">
        <v>904</v>
      </c>
      <c r="D2468" t="s">
        <v>906</v>
      </c>
      <c r="E2468" t="s">
        <v>3374</v>
      </c>
      <c r="F2468" t="s">
        <v>587</v>
      </c>
      <c r="G2468" t="s">
        <v>270</v>
      </c>
      <c r="H2468" s="6">
        <v>227590</v>
      </c>
      <c r="I2468" s="6">
        <v>9.6552117478850322E-4</v>
      </c>
      <c r="J2468" s="6">
        <v>4024.2922565184813</v>
      </c>
      <c r="K2468" s="6">
        <v>1314984</v>
      </c>
      <c r="M2468" s="6">
        <f>SUM(H2468,J2468)</f>
        <v>231614.29225651847</v>
      </c>
      <c r="N2468" s="6">
        <f>K2468</f>
        <v>1314984</v>
      </c>
      <c r="O2468" s="6">
        <f>SUM(M2468:N2468)</f>
        <v>1546598.2922565185</v>
      </c>
      <c r="P2468" s="8">
        <f>VLOOKUP(F2468,'LEAID Match'!$A$2:$B$436,2,FALSE)</f>
        <v>1803210</v>
      </c>
      <c r="Q2468" s="6">
        <f>COUNTIF($P$2:$P$3691,P2468)</f>
        <v>9</v>
      </c>
    </row>
    <row r="2469" spans="1:17" x14ac:dyDescent="0.2">
      <c r="A2469" s="16">
        <f>P2469</f>
        <v>1803210</v>
      </c>
      <c r="B2469">
        <v>2019</v>
      </c>
      <c r="C2469" t="s">
        <v>904</v>
      </c>
      <c r="D2469" t="s">
        <v>906</v>
      </c>
      <c r="E2469" t="s">
        <v>3375</v>
      </c>
      <c r="F2469" t="s">
        <v>587</v>
      </c>
      <c r="G2469" t="s">
        <v>270</v>
      </c>
      <c r="H2469" s="6">
        <v>238753</v>
      </c>
      <c r="I2469" s="6">
        <v>6.0738633713979288E-4</v>
      </c>
      <c r="J2469" s="6">
        <v>2128.8891116749742</v>
      </c>
      <c r="K2469" s="6">
        <v>573311.96362625004</v>
      </c>
      <c r="M2469" s="6">
        <f>SUM(H2469,J2469)</f>
        <v>240881.88911167497</v>
      </c>
      <c r="N2469" s="6">
        <f>K2469</f>
        <v>573311.96362625004</v>
      </c>
      <c r="O2469" s="6">
        <f>SUM(M2469:N2469)</f>
        <v>814193.85273792502</v>
      </c>
      <c r="P2469" s="8">
        <f>VLOOKUP(F2469,'LEAID Match'!$A$2:$B$436,2,FALSE)</f>
        <v>1803210</v>
      </c>
      <c r="Q2469" s="6">
        <f>COUNTIF($P$2:$P$3691,P2469)</f>
        <v>9</v>
      </c>
    </row>
    <row r="2470" spans="1:17" x14ac:dyDescent="0.2">
      <c r="A2470" s="16">
        <f>P2470</f>
        <v>1803210</v>
      </c>
      <c r="B2470">
        <v>2020</v>
      </c>
      <c r="C2470" t="s">
        <v>904</v>
      </c>
      <c r="D2470" t="s">
        <v>906</v>
      </c>
      <c r="E2470" t="s">
        <v>3376</v>
      </c>
      <c r="F2470" t="s">
        <v>587</v>
      </c>
      <c r="G2470" t="s">
        <v>270</v>
      </c>
      <c r="H2470" s="6">
        <v>184134</v>
      </c>
      <c r="I2470" s="6">
        <v>9.7567224466219048E-4</v>
      </c>
      <c r="J2470" s="6">
        <v>2298.6838084241208</v>
      </c>
      <c r="K2470" s="6">
        <v>1360265</v>
      </c>
      <c r="M2470" s="6">
        <f>SUM(H2470,J2470)</f>
        <v>186432.68380842413</v>
      </c>
      <c r="N2470" s="6">
        <f>K2470</f>
        <v>1360265</v>
      </c>
      <c r="O2470" s="6">
        <f>SUM(M2470:N2470)</f>
        <v>1546697.683808424</v>
      </c>
      <c r="P2470" s="8">
        <f>VLOOKUP(F2470,'LEAID Match'!$A$2:$B$436,2,FALSE)</f>
        <v>1803210</v>
      </c>
      <c r="Q2470" s="6">
        <f>COUNTIF($P$2:$P$3691,P2470)</f>
        <v>9</v>
      </c>
    </row>
    <row r="2471" spans="1:17" x14ac:dyDescent="0.2">
      <c r="A2471" s="16">
        <f>P2471</f>
        <v>1803210</v>
      </c>
      <c r="B2471">
        <v>2021</v>
      </c>
      <c r="C2471" t="s">
        <v>904</v>
      </c>
      <c r="D2471" t="s">
        <v>906</v>
      </c>
      <c r="E2471" t="s">
        <v>3377</v>
      </c>
      <c r="F2471" t="s">
        <v>587</v>
      </c>
      <c r="G2471" t="s">
        <v>270</v>
      </c>
      <c r="H2471" s="6">
        <v>207944</v>
      </c>
      <c r="I2471" s="6">
        <v>1.02726269856957E-3</v>
      </c>
      <c r="J2471" s="6">
        <v>2315.4501225758108</v>
      </c>
      <c r="K2471" s="6">
        <v>2212950</v>
      </c>
      <c r="M2471" s="6">
        <f>SUM(H2471,J2471)</f>
        <v>210259.4501225758</v>
      </c>
      <c r="N2471" s="6">
        <f>K2471</f>
        <v>2212950</v>
      </c>
      <c r="O2471" s="6">
        <f>SUM(M2471:N2471)</f>
        <v>2423209.4501225757</v>
      </c>
      <c r="P2471" s="8">
        <f>VLOOKUP(F2471,'LEAID Match'!$A$2:$B$436,2,FALSE)</f>
        <v>1803210</v>
      </c>
      <c r="Q2471" s="6">
        <f>COUNTIF($P$2:$P$3691,P2471)</f>
        <v>9</v>
      </c>
    </row>
    <row r="2472" spans="1:17" x14ac:dyDescent="0.2">
      <c r="A2472" s="16">
        <f>P2472</f>
        <v>1803210</v>
      </c>
      <c r="B2472">
        <v>2022</v>
      </c>
      <c r="C2472" t="s">
        <v>904</v>
      </c>
      <c r="D2472" t="s">
        <v>906</v>
      </c>
      <c r="E2472" t="s">
        <v>3378</v>
      </c>
      <c r="F2472" t="s">
        <v>587</v>
      </c>
      <c r="G2472" t="s">
        <v>270</v>
      </c>
      <c r="H2472" s="6">
        <v>228084</v>
      </c>
      <c r="I2472" s="6">
        <v>1.0829852216703859E-3</v>
      </c>
      <c r="J2472" s="6">
        <v>2387.9824137832011</v>
      </c>
      <c r="K2472" s="6">
        <v>2163132</v>
      </c>
      <c r="M2472" s="6">
        <f>SUM(H2472,J2472)</f>
        <v>230471.9824137832</v>
      </c>
      <c r="N2472" s="6">
        <f>K2472</f>
        <v>2163132</v>
      </c>
      <c r="O2472" s="6">
        <f>SUM(M2472:N2472)</f>
        <v>2393603.9824137832</v>
      </c>
      <c r="P2472" s="8">
        <f>VLOOKUP(F2472,'LEAID Match'!$A$2:$B$436,2,FALSE)</f>
        <v>1803210</v>
      </c>
      <c r="Q2472" s="6">
        <f>COUNTIF($P$2:$P$3691,P2472)</f>
        <v>9</v>
      </c>
    </row>
    <row r="2473" spans="1:17" x14ac:dyDescent="0.2">
      <c r="A2473" s="16">
        <f>P2473</f>
        <v>1803210</v>
      </c>
      <c r="B2473">
        <v>2023</v>
      </c>
      <c r="C2473" t="s">
        <v>904</v>
      </c>
      <c r="D2473" t="s">
        <v>906</v>
      </c>
      <c r="E2473" t="s">
        <v>3379</v>
      </c>
      <c r="F2473" t="s">
        <v>587</v>
      </c>
      <c r="G2473" t="s">
        <v>270</v>
      </c>
      <c r="H2473" s="6">
        <v>263097</v>
      </c>
      <c r="I2473" s="6">
        <v>1.0759221706895109E-3</v>
      </c>
      <c r="J2473" s="6">
        <v>2654.2999950910234</v>
      </c>
      <c r="K2473" s="6">
        <v>5543192</v>
      </c>
      <c r="M2473" s="6">
        <f>SUM(H2473,J2473)</f>
        <v>265751.29999509105</v>
      </c>
      <c r="N2473" s="6">
        <f>K2473</f>
        <v>5543192</v>
      </c>
      <c r="O2473" s="6">
        <f>SUM(M2473:N2473)</f>
        <v>5808943.2999950908</v>
      </c>
      <c r="P2473" s="8">
        <f>VLOOKUP(F2473,'LEAID Match'!$A$2:$B$436,2,FALSE)</f>
        <v>1803210</v>
      </c>
      <c r="Q2473" s="6">
        <f>COUNTIF($P$2:$P$3691,P2473)</f>
        <v>9</v>
      </c>
    </row>
    <row r="2474" spans="1:17" x14ac:dyDescent="0.2">
      <c r="A2474" s="16">
        <f>P2474</f>
        <v>1800009</v>
      </c>
      <c r="B2474">
        <v>2015</v>
      </c>
      <c r="C2474" t="s">
        <v>904</v>
      </c>
      <c r="D2474" t="s">
        <v>906</v>
      </c>
      <c r="E2474" t="s">
        <v>3380</v>
      </c>
      <c r="F2474" t="s">
        <v>588</v>
      </c>
      <c r="G2474" t="s">
        <v>271</v>
      </c>
      <c r="H2474" s="6">
        <v>51152</v>
      </c>
      <c r="I2474" s="6">
        <v>2.4873719144725688E-4</v>
      </c>
      <c r="J2474" s="6">
        <v>1445.4118195000096</v>
      </c>
      <c r="K2474" s="6">
        <v>210336.148882863</v>
      </c>
      <c r="M2474" s="6">
        <f>SUM(H2474,J2474)</f>
        <v>52597.411819500012</v>
      </c>
      <c r="N2474" s="6">
        <f>K2474</f>
        <v>210336.148882863</v>
      </c>
      <c r="O2474" s="6">
        <f>SUM(M2474:N2474)</f>
        <v>262933.56070236303</v>
      </c>
      <c r="P2474" s="8">
        <f>VLOOKUP(F2474,'LEAID Match'!$A$2:$B$436,2,FALSE)</f>
        <v>1800009</v>
      </c>
      <c r="Q2474" s="6">
        <f>COUNTIF($P$2:$P$3691,P2474)</f>
        <v>9</v>
      </c>
    </row>
    <row r="2475" spans="1:17" x14ac:dyDescent="0.2">
      <c r="A2475" s="16">
        <f>P2475</f>
        <v>1800009</v>
      </c>
      <c r="B2475">
        <v>2016</v>
      </c>
      <c r="C2475" t="s">
        <v>904</v>
      </c>
      <c r="D2475" t="s">
        <v>906</v>
      </c>
      <c r="E2475" t="s">
        <v>3381</v>
      </c>
      <c r="F2475" t="s">
        <v>588</v>
      </c>
      <c r="G2475" t="s">
        <v>271</v>
      </c>
      <c r="H2475" s="6">
        <v>52032</v>
      </c>
      <c r="I2475" s="6">
        <v>2.4143487037540825E-4</v>
      </c>
      <c r="J2475" s="6">
        <v>1218.763225655061</v>
      </c>
      <c r="K2475" s="6">
        <v>214273.44745817399</v>
      </c>
      <c r="M2475" s="6">
        <f>SUM(H2475,J2475)</f>
        <v>53250.763225655064</v>
      </c>
      <c r="N2475" s="6">
        <f>K2475</f>
        <v>214273.44745817399</v>
      </c>
      <c r="O2475" s="6">
        <f>SUM(M2475:N2475)</f>
        <v>267524.21068382903</v>
      </c>
      <c r="P2475" s="8">
        <f>VLOOKUP(F2475,'LEAID Match'!$A$2:$B$436,2,FALSE)</f>
        <v>1800009</v>
      </c>
      <c r="Q2475" s="6">
        <f>COUNTIF($P$2:$P$3691,P2475)</f>
        <v>9</v>
      </c>
    </row>
    <row r="2476" spans="1:17" x14ac:dyDescent="0.2">
      <c r="A2476" s="16">
        <f>P2476</f>
        <v>1800009</v>
      </c>
      <c r="B2476">
        <v>2017</v>
      </c>
      <c r="C2476" t="s">
        <v>904</v>
      </c>
      <c r="D2476" t="s">
        <v>906</v>
      </c>
      <c r="E2476" t="s">
        <v>3382</v>
      </c>
      <c r="F2476" t="s">
        <v>588</v>
      </c>
      <c r="G2476" t="s">
        <v>271</v>
      </c>
      <c r="H2476" s="6">
        <v>54656</v>
      </c>
      <c r="I2476" s="6">
        <v>2.4067375017035211E-4</v>
      </c>
      <c r="J2476" s="6">
        <v>1089.0487195208434</v>
      </c>
      <c r="K2476" s="6">
        <v>209626.83639837601</v>
      </c>
      <c r="M2476" s="6">
        <f>SUM(H2476,J2476)</f>
        <v>55745.048719520841</v>
      </c>
      <c r="N2476" s="6">
        <f>K2476</f>
        <v>209626.83639837601</v>
      </c>
      <c r="O2476" s="6">
        <f>SUM(M2476:N2476)</f>
        <v>265371.88511789683</v>
      </c>
      <c r="P2476" s="8">
        <f>VLOOKUP(F2476,'LEAID Match'!$A$2:$B$436,2,FALSE)</f>
        <v>1800009</v>
      </c>
      <c r="Q2476" s="6">
        <f>COUNTIF($P$2:$P$3691,P2476)</f>
        <v>9</v>
      </c>
    </row>
    <row r="2477" spans="1:17" x14ac:dyDescent="0.2">
      <c r="A2477" s="16">
        <f>P2477</f>
        <v>1800009</v>
      </c>
      <c r="B2477">
        <v>2018</v>
      </c>
      <c r="C2477" t="s">
        <v>904</v>
      </c>
      <c r="D2477" t="s">
        <v>906</v>
      </c>
      <c r="E2477" t="s">
        <v>3383</v>
      </c>
      <c r="F2477" t="s">
        <v>588</v>
      </c>
      <c r="G2477" t="s">
        <v>271</v>
      </c>
      <c r="H2477" s="6">
        <v>52577</v>
      </c>
      <c r="I2477" s="6">
        <v>2.2305113057188424E-4</v>
      </c>
      <c r="J2477" s="6">
        <v>929.67711222361356</v>
      </c>
      <c r="K2477" s="6">
        <v>145028</v>
      </c>
      <c r="M2477" s="6">
        <f>SUM(H2477,J2477)</f>
        <v>53506.677112223617</v>
      </c>
      <c r="N2477" s="6">
        <f>K2477</f>
        <v>145028</v>
      </c>
      <c r="O2477" s="6">
        <f>SUM(M2477:N2477)</f>
        <v>198534.67711222361</v>
      </c>
      <c r="P2477" s="8">
        <f>VLOOKUP(F2477,'LEAID Match'!$A$2:$B$436,2,FALSE)</f>
        <v>1800009</v>
      </c>
      <c r="Q2477" s="6">
        <f>COUNTIF($P$2:$P$3691,P2477)</f>
        <v>9</v>
      </c>
    </row>
    <row r="2478" spans="1:17" x14ac:dyDescent="0.2">
      <c r="A2478" s="16">
        <f>P2478</f>
        <v>1800009</v>
      </c>
      <c r="B2478">
        <v>2019</v>
      </c>
      <c r="C2478" t="s">
        <v>904</v>
      </c>
      <c r="D2478" t="s">
        <v>906</v>
      </c>
      <c r="E2478" t="s">
        <v>3384</v>
      </c>
      <c r="F2478" t="s">
        <v>588</v>
      </c>
      <c r="G2478" t="s">
        <v>271</v>
      </c>
      <c r="H2478" s="6">
        <v>56140</v>
      </c>
      <c r="I2478" s="6">
        <v>1.4281985552863408E-4</v>
      </c>
      <c r="J2478" s="6">
        <v>500.58359362786246</v>
      </c>
      <c r="K2478" s="6">
        <v>134807.66163347699</v>
      </c>
      <c r="M2478" s="6">
        <f>SUM(H2478,J2478)</f>
        <v>56640.58359362786</v>
      </c>
      <c r="N2478" s="6">
        <f>K2478</f>
        <v>134807.66163347699</v>
      </c>
      <c r="O2478" s="6">
        <f>SUM(M2478:N2478)</f>
        <v>191448.24522710487</v>
      </c>
      <c r="P2478" s="8">
        <f>VLOOKUP(F2478,'LEAID Match'!$A$2:$B$436,2,FALSE)</f>
        <v>1800009</v>
      </c>
      <c r="Q2478" s="6">
        <f>COUNTIF($P$2:$P$3691,P2478)</f>
        <v>9</v>
      </c>
    </row>
    <row r="2479" spans="1:17" x14ac:dyDescent="0.2">
      <c r="A2479" s="16">
        <f>P2479</f>
        <v>1800009</v>
      </c>
      <c r="B2479">
        <v>2020</v>
      </c>
      <c r="C2479" t="s">
        <v>904</v>
      </c>
      <c r="D2479" t="s">
        <v>906</v>
      </c>
      <c r="E2479" t="s">
        <v>3385</v>
      </c>
      <c r="F2479" t="s">
        <v>588</v>
      </c>
      <c r="G2479" t="s">
        <v>271</v>
      </c>
      <c r="H2479" s="6">
        <v>39106</v>
      </c>
      <c r="I2479" s="6">
        <v>2.0721126353503221E-4</v>
      </c>
      <c r="J2479" s="6">
        <v>488.18973688853589</v>
      </c>
      <c r="K2479" s="6">
        <v>148583</v>
      </c>
      <c r="M2479" s="6">
        <f>SUM(H2479,J2479)</f>
        <v>39594.189736888533</v>
      </c>
      <c r="N2479" s="6">
        <f>K2479</f>
        <v>148583</v>
      </c>
      <c r="O2479" s="6">
        <f>SUM(M2479:N2479)</f>
        <v>188177.18973688854</v>
      </c>
      <c r="P2479" s="8">
        <f>VLOOKUP(F2479,'LEAID Match'!$A$2:$B$436,2,FALSE)</f>
        <v>1800009</v>
      </c>
      <c r="Q2479" s="6">
        <f>COUNTIF($P$2:$P$3691,P2479)</f>
        <v>9</v>
      </c>
    </row>
    <row r="2480" spans="1:17" x14ac:dyDescent="0.2">
      <c r="A2480" s="16">
        <f>P2480</f>
        <v>1800009</v>
      </c>
      <c r="B2480">
        <v>2021</v>
      </c>
      <c r="C2480" t="s">
        <v>904</v>
      </c>
      <c r="D2480" t="s">
        <v>906</v>
      </c>
      <c r="E2480" t="s">
        <v>3386</v>
      </c>
      <c r="F2480" t="s">
        <v>588</v>
      </c>
      <c r="G2480" t="s">
        <v>271</v>
      </c>
      <c r="H2480" s="6">
        <v>39512</v>
      </c>
      <c r="I2480" s="6">
        <v>1.9519295457373544E-4</v>
      </c>
      <c r="J2480" s="6">
        <v>439.96491960919968</v>
      </c>
      <c r="K2480" s="6">
        <v>257179</v>
      </c>
      <c r="M2480" s="6">
        <f>SUM(H2480,J2480)</f>
        <v>39951.9649196092</v>
      </c>
      <c r="N2480" s="6">
        <f>K2480</f>
        <v>257179</v>
      </c>
      <c r="O2480" s="6">
        <f>SUM(M2480:N2480)</f>
        <v>297130.96491960919</v>
      </c>
      <c r="P2480" s="8">
        <f>VLOOKUP(F2480,'LEAID Match'!$A$2:$B$436,2,FALSE)</f>
        <v>1800009</v>
      </c>
      <c r="Q2480" s="6">
        <f>COUNTIF($P$2:$P$3691,P2480)</f>
        <v>9</v>
      </c>
    </row>
    <row r="2481" spans="1:17" x14ac:dyDescent="0.2">
      <c r="A2481" s="16">
        <f>P2481</f>
        <v>1800009</v>
      </c>
      <c r="B2481">
        <v>2022</v>
      </c>
      <c r="C2481" t="s">
        <v>904</v>
      </c>
      <c r="D2481" t="s">
        <v>906</v>
      </c>
      <c r="E2481" t="s">
        <v>3387</v>
      </c>
      <c r="F2481" t="s">
        <v>588</v>
      </c>
      <c r="G2481" t="s">
        <v>271</v>
      </c>
      <c r="H2481" s="6">
        <v>42072</v>
      </c>
      <c r="I2481" s="6">
        <v>1.9976567512897212E-4</v>
      </c>
      <c r="J2481" s="6">
        <v>440.4833136593835</v>
      </c>
      <c r="K2481" s="6">
        <v>254732</v>
      </c>
      <c r="M2481" s="6">
        <f>SUM(H2481,J2481)</f>
        <v>42512.483313659381</v>
      </c>
      <c r="N2481" s="6">
        <f>K2481</f>
        <v>254732</v>
      </c>
      <c r="O2481" s="6">
        <f>SUM(M2481:N2481)</f>
        <v>297244.48331365938</v>
      </c>
      <c r="P2481" s="8">
        <f>VLOOKUP(F2481,'LEAID Match'!$A$2:$B$436,2,FALSE)</f>
        <v>1800009</v>
      </c>
      <c r="Q2481" s="6">
        <f>COUNTIF($P$2:$P$3691,P2481)</f>
        <v>9</v>
      </c>
    </row>
    <row r="2482" spans="1:17" x14ac:dyDescent="0.2">
      <c r="A2482" s="16">
        <f>P2482</f>
        <v>1800009</v>
      </c>
      <c r="B2482">
        <v>2023</v>
      </c>
      <c r="C2482" t="s">
        <v>904</v>
      </c>
      <c r="D2482" t="s">
        <v>906</v>
      </c>
      <c r="E2482" t="s">
        <v>3388</v>
      </c>
      <c r="F2482" t="s">
        <v>588</v>
      </c>
      <c r="G2482" t="s">
        <v>271</v>
      </c>
      <c r="H2482" s="6">
        <v>47988</v>
      </c>
      <c r="I2482" s="6">
        <v>1.9624455287231801E-4</v>
      </c>
      <c r="J2482" s="6">
        <v>484.13531193600852</v>
      </c>
      <c r="K2482" s="6">
        <v>680141</v>
      </c>
      <c r="M2482" s="6">
        <f>SUM(H2482,J2482)</f>
        <v>48472.135311936006</v>
      </c>
      <c r="N2482" s="6">
        <f>K2482</f>
        <v>680141</v>
      </c>
      <c r="O2482" s="6">
        <f>SUM(M2482:N2482)</f>
        <v>728613.13531193603</v>
      </c>
      <c r="P2482" s="8">
        <f>VLOOKUP(F2482,'LEAID Match'!$A$2:$B$436,2,FALSE)</f>
        <v>1800009</v>
      </c>
      <c r="Q2482" s="6">
        <f>COUNTIF($P$2:$P$3691,P2482)</f>
        <v>9</v>
      </c>
    </row>
    <row r="2483" spans="1:17" x14ac:dyDescent="0.2">
      <c r="A2483" s="16">
        <f>P2483</f>
        <v>0</v>
      </c>
      <c r="B2483">
        <v>2018</v>
      </c>
      <c r="C2483" t="s">
        <v>904</v>
      </c>
      <c r="D2483" t="s">
        <v>906</v>
      </c>
      <c r="E2483" t="s">
        <v>3389</v>
      </c>
      <c r="F2483" t="s">
        <v>767</v>
      </c>
      <c r="G2483" t="s">
        <v>436</v>
      </c>
      <c r="H2483" s="6">
        <v>0</v>
      </c>
      <c r="I2483" s="6">
        <v>0</v>
      </c>
      <c r="J2483" s="6">
        <v>0</v>
      </c>
      <c r="K2483" s="6">
        <v>358165</v>
      </c>
      <c r="M2483" s="6">
        <f>SUM(H2483,J2483)</f>
        <v>0</v>
      </c>
      <c r="N2483" s="6">
        <f>K2483</f>
        <v>358165</v>
      </c>
      <c r="O2483" s="6">
        <f>SUM(M2483:N2483)</f>
        <v>358165</v>
      </c>
      <c r="P2483" s="8">
        <f>VLOOKUP(F2483,'LEAID Match'!$A$2:$B$436,2,FALSE)</f>
        <v>0</v>
      </c>
      <c r="Q2483" s="6">
        <f>COUNTIF($P$2:$P$3691,P2483)</f>
        <v>371</v>
      </c>
    </row>
    <row r="2484" spans="1:17" x14ac:dyDescent="0.2">
      <c r="A2484" s="16">
        <f>P2484</f>
        <v>0</v>
      </c>
      <c r="B2484">
        <v>2020</v>
      </c>
      <c r="C2484" t="s">
        <v>904</v>
      </c>
      <c r="D2484" t="s">
        <v>906</v>
      </c>
      <c r="E2484" t="s">
        <v>3390</v>
      </c>
      <c r="F2484" t="s">
        <v>767</v>
      </c>
      <c r="G2484" t="s">
        <v>436</v>
      </c>
      <c r="H2484" s="6">
        <v>0</v>
      </c>
      <c r="I2484" s="6">
        <v>0</v>
      </c>
      <c r="J2484" s="6">
        <v>0</v>
      </c>
      <c r="K2484" s="6">
        <v>435261</v>
      </c>
      <c r="M2484" s="6">
        <f>SUM(H2484,J2484)</f>
        <v>0</v>
      </c>
      <c r="N2484" s="6">
        <f>K2484</f>
        <v>435261</v>
      </c>
      <c r="O2484" s="6">
        <f>SUM(M2484:N2484)</f>
        <v>435261</v>
      </c>
      <c r="P2484" s="8">
        <f>VLOOKUP(F2484,'LEAID Match'!$A$2:$B$436,2,FALSE)</f>
        <v>0</v>
      </c>
      <c r="Q2484" s="6">
        <f>COUNTIF($P$2:$P$3691,P2484)</f>
        <v>371</v>
      </c>
    </row>
    <row r="2485" spans="1:17" x14ac:dyDescent="0.2">
      <c r="A2485" s="16">
        <f>P2485</f>
        <v>0</v>
      </c>
      <c r="B2485">
        <v>2021</v>
      </c>
      <c r="C2485" t="s">
        <v>904</v>
      </c>
      <c r="D2485" t="s">
        <v>906</v>
      </c>
      <c r="E2485" t="s">
        <v>3391</v>
      </c>
      <c r="F2485" t="s">
        <v>767</v>
      </c>
      <c r="G2485" t="s">
        <v>436</v>
      </c>
      <c r="H2485" s="6" t="s">
        <v>893</v>
      </c>
      <c r="K2485" s="6">
        <v>721506</v>
      </c>
      <c r="M2485" s="6">
        <f>SUM(H2485,J2485)</f>
        <v>0</v>
      </c>
      <c r="N2485" s="6">
        <f>K2485</f>
        <v>721506</v>
      </c>
      <c r="O2485" s="6">
        <f>SUM(M2485:N2485)</f>
        <v>721506</v>
      </c>
      <c r="P2485" s="8">
        <f>VLOOKUP(F2485,'LEAID Match'!$A$2:$B$436,2,FALSE)</f>
        <v>0</v>
      </c>
      <c r="Q2485" s="6">
        <f>COUNTIF($P$2:$P$3691,P2485)</f>
        <v>371</v>
      </c>
    </row>
    <row r="2486" spans="1:17" x14ac:dyDescent="0.2">
      <c r="A2486" s="16">
        <f>P2486</f>
        <v>0</v>
      </c>
      <c r="B2486">
        <v>2022</v>
      </c>
      <c r="C2486" t="s">
        <v>904</v>
      </c>
      <c r="D2486" t="s">
        <v>906</v>
      </c>
      <c r="E2486" t="s">
        <v>3392</v>
      </c>
      <c r="F2486" t="s">
        <v>767</v>
      </c>
      <c r="G2486" t="s">
        <v>436</v>
      </c>
      <c r="H2486" s="6" t="s">
        <v>893</v>
      </c>
      <c r="K2486" s="6">
        <v>711328</v>
      </c>
      <c r="M2486" s="6">
        <f>SUM(H2486,J2486)</f>
        <v>0</v>
      </c>
      <c r="N2486" s="6">
        <f>K2486</f>
        <v>711328</v>
      </c>
      <c r="O2486" s="6">
        <f>SUM(M2486:N2486)</f>
        <v>711328</v>
      </c>
      <c r="P2486" s="8">
        <f>VLOOKUP(F2486,'LEAID Match'!$A$2:$B$436,2,FALSE)</f>
        <v>0</v>
      </c>
      <c r="Q2486" s="6">
        <f>COUNTIF($P$2:$P$3691,P2486)</f>
        <v>371</v>
      </c>
    </row>
    <row r="2487" spans="1:17" x14ac:dyDescent="0.2">
      <c r="A2487" s="16">
        <f>P2487</f>
        <v>0</v>
      </c>
      <c r="B2487">
        <v>2023</v>
      </c>
      <c r="C2487" t="s">
        <v>904</v>
      </c>
      <c r="D2487" t="s">
        <v>906</v>
      </c>
      <c r="E2487" t="s">
        <v>3393</v>
      </c>
      <c r="F2487" t="s">
        <v>767</v>
      </c>
      <c r="G2487" t="s">
        <v>436</v>
      </c>
      <c r="H2487" s="6" t="s">
        <v>893</v>
      </c>
      <c r="K2487" s="6">
        <v>1546199</v>
      </c>
      <c r="M2487" s="6">
        <f>SUM(H2487,J2487)</f>
        <v>0</v>
      </c>
      <c r="N2487" s="6">
        <f>K2487</f>
        <v>1546199</v>
      </c>
      <c r="O2487" s="6">
        <f>SUM(M2487:N2487)</f>
        <v>1546199</v>
      </c>
      <c r="P2487" s="8">
        <f>VLOOKUP(F2487,'LEAID Match'!$A$2:$B$436,2,FALSE)</f>
        <v>0</v>
      </c>
      <c r="Q2487" s="6">
        <f>COUNTIF($P$2:$P$3691,P2487)</f>
        <v>371</v>
      </c>
    </row>
    <row r="2488" spans="1:17" x14ac:dyDescent="0.2">
      <c r="A2488" s="16">
        <f>P2488</f>
        <v>1810560</v>
      </c>
      <c r="B2488">
        <v>2015</v>
      </c>
      <c r="C2488" t="s">
        <v>904</v>
      </c>
      <c r="D2488" t="s">
        <v>906</v>
      </c>
      <c r="E2488" t="s">
        <v>3394</v>
      </c>
      <c r="F2488" t="s">
        <v>768</v>
      </c>
      <c r="G2488" t="s">
        <v>272</v>
      </c>
      <c r="H2488" s="6">
        <v>259032</v>
      </c>
      <c r="I2488" s="6">
        <v>1.2595967347311121E-3</v>
      </c>
      <c r="J2488" s="6">
        <v>7319.5166255224922</v>
      </c>
      <c r="K2488" s="6">
        <v>1065135.15243638</v>
      </c>
      <c r="M2488" s="6">
        <f>SUM(H2488,J2488)</f>
        <v>266351.51662552252</v>
      </c>
      <c r="N2488" s="6">
        <f>K2488</f>
        <v>1065135.15243638</v>
      </c>
      <c r="O2488" s="6">
        <f>SUM(M2488:N2488)</f>
        <v>1331486.6690619024</v>
      </c>
      <c r="P2488" s="8">
        <f>VLOOKUP(F2488,'LEAID Match'!$A$2:$B$436,2,FALSE)</f>
        <v>1810560</v>
      </c>
      <c r="Q2488" s="6">
        <f>COUNTIF($P$2:$P$3691,P2488)</f>
        <v>9</v>
      </c>
    </row>
    <row r="2489" spans="1:17" x14ac:dyDescent="0.2">
      <c r="A2489" s="16">
        <f>P2489</f>
        <v>1810560</v>
      </c>
      <c r="B2489">
        <v>2016</v>
      </c>
      <c r="C2489" t="s">
        <v>904</v>
      </c>
      <c r="D2489" t="s">
        <v>906</v>
      </c>
      <c r="E2489" t="s">
        <v>3395</v>
      </c>
      <c r="F2489" t="s">
        <v>768</v>
      </c>
      <c r="G2489" t="s">
        <v>272</v>
      </c>
      <c r="H2489" s="6">
        <v>262445</v>
      </c>
      <c r="I2489" s="6">
        <v>1.2177770325121852E-3</v>
      </c>
      <c r="J2489" s="6">
        <v>6147.3384601215112</v>
      </c>
      <c r="K2489" s="6">
        <v>1080777.11635456</v>
      </c>
      <c r="M2489" s="6">
        <f>SUM(H2489,J2489)</f>
        <v>268592.33846012154</v>
      </c>
      <c r="N2489" s="6">
        <f>K2489</f>
        <v>1080777.11635456</v>
      </c>
      <c r="O2489" s="6">
        <f>SUM(M2489:N2489)</f>
        <v>1349369.4548146816</v>
      </c>
      <c r="P2489" s="8">
        <f>VLOOKUP(F2489,'LEAID Match'!$A$2:$B$436,2,FALSE)</f>
        <v>1810560</v>
      </c>
      <c r="Q2489" s="6">
        <f>COUNTIF($P$2:$P$3691,P2489)</f>
        <v>9</v>
      </c>
    </row>
    <row r="2490" spans="1:17" x14ac:dyDescent="0.2">
      <c r="A2490" s="16">
        <f>P2490</f>
        <v>1810560</v>
      </c>
      <c r="B2490">
        <v>2017</v>
      </c>
      <c r="C2490" t="s">
        <v>904</v>
      </c>
      <c r="D2490" t="s">
        <v>906</v>
      </c>
      <c r="E2490" t="s">
        <v>3396</v>
      </c>
      <c r="F2490" t="s">
        <v>768</v>
      </c>
      <c r="G2490" t="s">
        <v>272</v>
      </c>
      <c r="H2490" s="6">
        <v>256477</v>
      </c>
      <c r="I2490" s="6">
        <v>1.1293779534258159E-3</v>
      </c>
      <c r="J2490" s="6">
        <v>5110.4352392518167</v>
      </c>
      <c r="K2490" s="6">
        <v>983688.19743388495</v>
      </c>
      <c r="M2490" s="6">
        <f>SUM(H2490,J2490)</f>
        <v>261587.43523925182</v>
      </c>
      <c r="N2490" s="6">
        <f>K2490</f>
        <v>983688.19743388495</v>
      </c>
      <c r="O2490" s="6">
        <f>SUM(M2490:N2490)</f>
        <v>1245275.6326731369</v>
      </c>
      <c r="P2490" s="8">
        <f>VLOOKUP(F2490,'LEAID Match'!$A$2:$B$436,2,FALSE)</f>
        <v>1810560</v>
      </c>
      <c r="Q2490" s="6">
        <f>COUNTIF($P$2:$P$3691,P2490)</f>
        <v>9</v>
      </c>
    </row>
    <row r="2491" spans="1:17" x14ac:dyDescent="0.2">
      <c r="A2491" s="16">
        <f>P2491</f>
        <v>1810560</v>
      </c>
      <c r="B2491">
        <v>2018</v>
      </c>
      <c r="C2491" t="s">
        <v>904</v>
      </c>
      <c r="D2491" t="s">
        <v>906</v>
      </c>
      <c r="E2491" t="s">
        <v>3397</v>
      </c>
      <c r="F2491" t="s">
        <v>768</v>
      </c>
      <c r="G2491" t="s">
        <v>272</v>
      </c>
      <c r="H2491" s="6">
        <v>254427</v>
      </c>
      <c r="I2491" s="6">
        <v>1.0793736804688891E-3</v>
      </c>
      <c r="J2491" s="6">
        <v>4498.8295001943297</v>
      </c>
      <c r="K2491" s="6">
        <v>1540328</v>
      </c>
      <c r="M2491" s="6">
        <f>SUM(H2491,J2491)</f>
        <v>258925.82950019432</v>
      </c>
      <c r="N2491" s="6">
        <f>K2491</f>
        <v>1540328</v>
      </c>
      <c r="O2491" s="6">
        <f>SUM(M2491:N2491)</f>
        <v>1799253.8295001944</v>
      </c>
      <c r="P2491" s="8">
        <f>VLOOKUP(F2491,'LEAID Match'!$A$2:$B$436,2,FALSE)</f>
        <v>1810560</v>
      </c>
      <c r="Q2491" s="6">
        <f>COUNTIF($P$2:$P$3691,P2491)</f>
        <v>9</v>
      </c>
    </row>
    <row r="2492" spans="1:17" x14ac:dyDescent="0.2">
      <c r="A2492" s="16">
        <f>P2492</f>
        <v>1810560</v>
      </c>
      <c r="B2492">
        <v>2019</v>
      </c>
      <c r="C2492" t="s">
        <v>904</v>
      </c>
      <c r="D2492" t="s">
        <v>906</v>
      </c>
      <c r="E2492" t="s">
        <v>3398</v>
      </c>
      <c r="F2492" t="s">
        <v>768</v>
      </c>
      <c r="G2492" t="s">
        <v>272</v>
      </c>
      <c r="H2492" s="6">
        <v>273436</v>
      </c>
      <c r="I2492" s="6">
        <v>6.9561970103896665E-4</v>
      </c>
      <c r="J2492" s="6">
        <v>2438.1470521415781</v>
      </c>
      <c r="K2492" s="6">
        <v>656595.43581068004</v>
      </c>
      <c r="M2492" s="6">
        <f>SUM(H2492,J2492)</f>
        <v>275874.1470521416</v>
      </c>
      <c r="N2492" s="6">
        <f>K2492</f>
        <v>656595.43581068004</v>
      </c>
      <c r="O2492" s="6">
        <f>SUM(M2492:N2492)</f>
        <v>932469.58286282164</v>
      </c>
      <c r="P2492" s="8">
        <f>VLOOKUP(F2492,'LEAID Match'!$A$2:$B$436,2,FALSE)</f>
        <v>1810560</v>
      </c>
      <c r="Q2492" s="6">
        <f>COUNTIF($P$2:$P$3691,P2492)</f>
        <v>9</v>
      </c>
    </row>
    <row r="2493" spans="1:17" x14ac:dyDescent="0.2">
      <c r="A2493" s="16">
        <f>P2493</f>
        <v>1810560</v>
      </c>
      <c r="B2493">
        <v>2020</v>
      </c>
      <c r="C2493" t="s">
        <v>904</v>
      </c>
      <c r="D2493" t="s">
        <v>906</v>
      </c>
      <c r="E2493" t="s">
        <v>3399</v>
      </c>
      <c r="F2493" t="s">
        <v>768</v>
      </c>
      <c r="G2493" t="s">
        <v>272</v>
      </c>
      <c r="H2493" s="6">
        <v>214543</v>
      </c>
      <c r="I2493" s="6">
        <v>1.1368006472816555E-3</v>
      </c>
      <c r="J2493" s="6">
        <v>2678.3023249955804</v>
      </c>
      <c r="K2493" s="6">
        <v>1540410</v>
      </c>
      <c r="M2493" s="6">
        <f>SUM(H2493,J2493)</f>
        <v>217221.30232499557</v>
      </c>
      <c r="N2493" s="6">
        <f>K2493</f>
        <v>1540410</v>
      </c>
      <c r="O2493" s="6">
        <f>SUM(M2493:N2493)</f>
        <v>1757631.3023249956</v>
      </c>
      <c r="P2493" s="8">
        <f>VLOOKUP(F2493,'LEAID Match'!$A$2:$B$436,2,FALSE)</f>
        <v>1810560</v>
      </c>
      <c r="Q2493" s="6">
        <f>COUNTIF($P$2:$P$3691,P2493)</f>
        <v>9</v>
      </c>
    </row>
    <row r="2494" spans="1:17" x14ac:dyDescent="0.2">
      <c r="A2494" s="16">
        <f>P2494</f>
        <v>1810560</v>
      </c>
      <c r="B2494">
        <v>2021</v>
      </c>
      <c r="C2494" t="s">
        <v>904</v>
      </c>
      <c r="D2494" t="s">
        <v>906</v>
      </c>
      <c r="E2494" t="s">
        <v>3400</v>
      </c>
      <c r="F2494" t="s">
        <v>768</v>
      </c>
      <c r="G2494" t="s">
        <v>272</v>
      </c>
      <c r="H2494" s="6">
        <v>221937</v>
      </c>
      <c r="I2494" s="6">
        <v>1.096389419903602E-3</v>
      </c>
      <c r="J2494" s="6">
        <v>2471.261752462719</v>
      </c>
      <c r="K2494" s="6">
        <v>2480358</v>
      </c>
      <c r="M2494" s="6">
        <f>SUM(H2494,J2494)</f>
        <v>224408.26175246271</v>
      </c>
      <c r="N2494" s="6">
        <f>K2494</f>
        <v>2480358</v>
      </c>
      <c r="O2494" s="6">
        <f>SUM(M2494:N2494)</f>
        <v>2704766.2617524629</v>
      </c>
      <c r="P2494" s="8">
        <f>VLOOKUP(F2494,'LEAID Match'!$A$2:$B$436,2,FALSE)</f>
        <v>1810560</v>
      </c>
      <c r="Q2494" s="6">
        <f>COUNTIF($P$2:$P$3691,P2494)</f>
        <v>9</v>
      </c>
    </row>
    <row r="2495" spans="1:17" x14ac:dyDescent="0.2">
      <c r="A2495" s="16">
        <f>P2495</f>
        <v>1810560</v>
      </c>
      <c r="B2495">
        <v>2022</v>
      </c>
      <c r="C2495" t="s">
        <v>904</v>
      </c>
      <c r="D2495" t="s">
        <v>906</v>
      </c>
      <c r="E2495" t="s">
        <v>3401</v>
      </c>
      <c r="F2495" t="s">
        <v>768</v>
      </c>
      <c r="G2495" t="s">
        <v>272</v>
      </c>
      <c r="H2495" s="6">
        <v>232838</v>
      </c>
      <c r="I2495" s="6">
        <v>1.1055580972066841E-3</v>
      </c>
      <c r="J2495" s="6">
        <v>2437.7556043407385</v>
      </c>
      <c r="K2495" s="6">
        <v>2311197</v>
      </c>
      <c r="M2495" s="6">
        <f>SUM(H2495,J2495)</f>
        <v>235275.75560434075</v>
      </c>
      <c r="N2495" s="6">
        <f>K2495</f>
        <v>2311197</v>
      </c>
      <c r="O2495" s="6">
        <f>SUM(M2495:N2495)</f>
        <v>2546472.7556043407</v>
      </c>
      <c r="P2495" s="8">
        <f>VLOOKUP(F2495,'LEAID Match'!$A$2:$B$436,2,FALSE)</f>
        <v>1810560</v>
      </c>
      <c r="Q2495" s="6">
        <f>COUNTIF($P$2:$P$3691,P2495)</f>
        <v>9</v>
      </c>
    </row>
    <row r="2496" spans="1:17" x14ac:dyDescent="0.2">
      <c r="A2496" s="16">
        <f>P2496</f>
        <v>1810560</v>
      </c>
      <c r="B2496">
        <v>2023</v>
      </c>
      <c r="C2496" t="s">
        <v>904</v>
      </c>
      <c r="D2496" t="s">
        <v>906</v>
      </c>
      <c r="E2496" t="s">
        <v>3402</v>
      </c>
      <c r="F2496" t="s">
        <v>768</v>
      </c>
      <c r="G2496" t="s">
        <v>272</v>
      </c>
      <c r="H2496" s="6">
        <v>260489</v>
      </c>
      <c r="I2496" s="6">
        <v>1.0652568836616914E-3</v>
      </c>
      <c r="J2496" s="6">
        <v>2627.9887319933928</v>
      </c>
      <c r="K2496" s="6">
        <v>5723179</v>
      </c>
      <c r="M2496" s="6">
        <f>SUM(H2496,J2496)</f>
        <v>263116.98873199342</v>
      </c>
      <c r="N2496" s="6">
        <f>K2496</f>
        <v>5723179</v>
      </c>
      <c r="O2496" s="6">
        <f>SUM(M2496:N2496)</f>
        <v>5986295.9887319934</v>
      </c>
      <c r="P2496" s="8">
        <f>VLOOKUP(F2496,'LEAID Match'!$A$2:$B$436,2,FALSE)</f>
        <v>1810560</v>
      </c>
      <c r="Q2496" s="6">
        <f>COUNTIF($P$2:$P$3691,P2496)</f>
        <v>9</v>
      </c>
    </row>
    <row r="2497" spans="1:17" x14ac:dyDescent="0.2">
      <c r="A2497" s="16">
        <f>P2497</f>
        <v>1808010</v>
      </c>
      <c r="B2497">
        <v>2015</v>
      </c>
      <c r="C2497" t="s">
        <v>904</v>
      </c>
      <c r="D2497" t="s">
        <v>906</v>
      </c>
      <c r="E2497" t="s">
        <v>3403</v>
      </c>
      <c r="F2497" t="s">
        <v>589</v>
      </c>
      <c r="G2497" t="s">
        <v>273</v>
      </c>
      <c r="H2497" s="6">
        <v>393144</v>
      </c>
      <c r="I2497" s="6">
        <v>1.9117441037367132E-3</v>
      </c>
      <c r="J2497" s="6">
        <v>11109.144986814041</v>
      </c>
      <c r="K2497" s="6">
        <v>1616601.40202542</v>
      </c>
      <c r="M2497" s="6">
        <f>SUM(H2497,J2497)</f>
        <v>404253.14498681406</v>
      </c>
      <c r="N2497" s="6">
        <f>K2497</f>
        <v>1616601.40202542</v>
      </c>
      <c r="O2497" s="6">
        <f>SUM(M2497:N2497)</f>
        <v>2020854.5470122341</v>
      </c>
      <c r="P2497" s="8">
        <f>VLOOKUP(F2497,'LEAID Match'!$A$2:$B$436,2,FALSE)</f>
        <v>1808010</v>
      </c>
      <c r="Q2497" s="6">
        <f>COUNTIF($P$2:$P$3691,P2497)</f>
        <v>9</v>
      </c>
    </row>
    <row r="2498" spans="1:17" x14ac:dyDescent="0.2">
      <c r="A2498" s="16">
        <f>P2498</f>
        <v>1808010</v>
      </c>
      <c r="B2498">
        <v>2016</v>
      </c>
      <c r="C2498" t="s">
        <v>904</v>
      </c>
      <c r="D2498" t="s">
        <v>906</v>
      </c>
      <c r="E2498" t="s">
        <v>3404</v>
      </c>
      <c r="F2498" t="s">
        <v>589</v>
      </c>
      <c r="G2498" t="s">
        <v>273</v>
      </c>
      <c r="H2498" s="6">
        <v>415129</v>
      </c>
      <c r="I2498" s="6">
        <v>1.9262495445893459E-3</v>
      </c>
      <c r="J2498" s="6">
        <v>9723.707701087018</v>
      </c>
      <c r="K2498" s="6">
        <v>1709546.47082304</v>
      </c>
      <c r="M2498" s="6">
        <f>SUM(H2498,J2498)</f>
        <v>424852.707701087</v>
      </c>
      <c r="N2498" s="6">
        <f>K2498</f>
        <v>1709546.47082304</v>
      </c>
      <c r="O2498" s="6">
        <f>SUM(M2498:N2498)</f>
        <v>2134399.1785241272</v>
      </c>
      <c r="P2498" s="8">
        <f>VLOOKUP(F2498,'LEAID Match'!$A$2:$B$436,2,FALSE)</f>
        <v>1808010</v>
      </c>
      <c r="Q2498" s="6">
        <f>COUNTIF($P$2:$P$3691,P2498)</f>
        <v>9</v>
      </c>
    </row>
    <row r="2499" spans="1:17" x14ac:dyDescent="0.2">
      <c r="A2499" s="16">
        <f>P2499</f>
        <v>1808010</v>
      </c>
      <c r="B2499">
        <v>2017</v>
      </c>
      <c r="C2499" t="s">
        <v>904</v>
      </c>
      <c r="D2499" t="s">
        <v>906</v>
      </c>
      <c r="E2499" t="s">
        <v>3405</v>
      </c>
      <c r="F2499" t="s">
        <v>589</v>
      </c>
      <c r="G2499" t="s">
        <v>273</v>
      </c>
      <c r="H2499" s="6">
        <v>436724</v>
      </c>
      <c r="I2499" s="6">
        <v>1.923082605192419E-3</v>
      </c>
      <c r="J2499" s="6">
        <v>8701.9487884956961</v>
      </c>
      <c r="K2499" s="6">
        <v>1675004.94912259</v>
      </c>
      <c r="M2499" s="6">
        <f>SUM(H2499,J2499)</f>
        <v>445425.94878849568</v>
      </c>
      <c r="N2499" s="6">
        <f>K2499</f>
        <v>1675004.94912259</v>
      </c>
      <c r="O2499" s="6">
        <f>SUM(M2499:N2499)</f>
        <v>2120430.8979110857</v>
      </c>
      <c r="P2499" s="8">
        <f>VLOOKUP(F2499,'LEAID Match'!$A$2:$B$436,2,FALSE)</f>
        <v>1808010</v>
      </c>
      <c r="Q2499" s="6">
        <f>COUNTIF($P$2:$P$3691,P2499)</f>
        <v>9</v>
      </c>
    </row>
    <row r="2500" spans="1:17" x14ac:dyDescent="0.2">
      <c r="A2500" s="16">
        <f>P2500</f>
        <v>1808010</v>
      </c>
      <c r="B2500">
        <v>2018</v>
      </c>
      <c r="C2500" t="s">
        <v>904</v>
      </c>
      <c r="D2500" t="s">
        <v>906</v>
      </c>
      <c r="E2500" t="s">
        <v>3406</v>
      </c>
      <c r="F2500" t="s">
        <v>589</v>
      </c>
      <c r="G2500" t="s">
        <v>273</v>
      </c>
      <c r="H2500" s="6">
        <v>449387</v>
      </c>
      <c r="I2500" s="6">
        <v>1.9064662954201902E-3</v>
      </c>
      <c r="J2500" s="6">
        <v>7946.1515193113528</v>
      </c>
      <c r="K2500" s="6">
        <v>1620828</v>
      </c>
      <c r="M2500" s="6">
        <f>SUM(H2500,J2500)</f>
        <v>457333.15151931136</v>
      </c>
      <c r="N2500" s="6">
        <f>K2500</f>
        <v>1620828</v>
      </c>
      <c r="O2500" s="6">
        <f>SUM(M2500:N2500)</f>
        <v>2078161.1515193114</v>
      </c>
      <c r="P2500" s="8">
        <f>VLOOKUP(F2500,'LEAID Match'!$A$2:$B$436,2,FALSE)</f>
        <v>1808010</v>
      </c>
      <c r="Q2500" s="6">
        <f>COUNTIF($P$2:$P$3691,P2500)</f>
        <v>9</v>
      </c>
    </row>
    <row r="2501" spans="1:17" x14ac:dyDescent="0.2">
      <c r="A2501" s="16">
        <f>P2501</f>
        <v>1808010</v>
      </c>
      <c r="B2501">
        <v>2019</v>
      </c>
      <c r="C2501" t="s">
        <v>904</v>
      </c>
      <c r="D2501" t="s">
        <v>906</v>
      </c>
      <c r="E2501" t="s">
        <v>3407</v>
      </c>
      <c r="F2501" t="s">
        <v>589</v>
      </c>
      <c r="G2501" t="s">
        <v>273</v>
      </c>
      <c r="H2501" s="6">
        <v>460704</v>
      </c>
      <c r="I2501" s="6">
        <v>1.1720284774040582E-3</v>
      </c>
      <c r="J2501" s="6">
        <v>4107.9598133012241</v>
      </c>
      <c r="K2501" s="6">
        <v>1106277.6798216901</v>
      </c>
      <c r="M2501" s="6">
        <f>SUM(H2501,J2501)</f>
        <v>464811.95981330122</v>
      </c>
      <c r="N2501" s="6">
        <f>K2501</f>
        <v>1106277.6798216901</v>
      </c>
      <c r="O2501" s="6">
        <f>SUM(M2501:N2501)</f>
        <v>1571089.6396349913</v>
      </c>
      <c r="P2501" s="8">
        <f>VLOOKUP(F2501,'LEAID Match'!$A$2:$B$436,2,FALSE)</f>
        <v>1808010</v>
      </c>
      <c r="Q2501" s="6">
        <f>COUNTIF($P$2:$P$3691,P2501)</f>
        <v>9</v>
      </c>
    </row>
    <row r="2502" spans="1:17" x14ac:dyDescent="0.2">
      <c r="A2502" s="16">
        <f>P2502</f>
        <v>1808010</v>
      </c>
      <c r="B2502">
        <v>2020</v>
      </c>
      <c r="C2502" t="s">
        <v>904</v>
      </c>
      <c r="D2502" t="s">
        <v>906</v>
      </c>
      <c r="E2502" t="s">
        <v>3408</v>
      </c>
      <c r="F2502" t="s">
        <v>589</v>
      </c>
      <c r="G2502" t="s">
        <v>273</v>
      </c>
      <c r="H2502" s="6">
        <v>356701</v>
      </c>
      <c r="I2502" s="6">
        <v>1.8900543372937534E-3</v>
      </c>
      <c r="J2502" s="6">
        <v>4452.9680186640835</v>
      </c>
      <c r="K2502" s="6">
        <v>1635581</v>
      </c>
      <c r="M2502" s="6">
        <f>SUM(H2502,J2502)</f>
        <v>361153.96801866411</v>
      </c>
      <c r="N2502" s="6">
        <f>K2502</f>
        <v>1635581</v>
      </c>
      <c r="O2502" s="6">
        <f>SUM(M2502:N2502)</f>
        <v>1996734.968018664</v>
      </c>
      <c r="P2502" s="8">
        <f>VLOOKUP(F2502,'LEAID Match'!$A$2:$B$436,2,FALSE)</f>
        <v>1808010</v>
      </c>
      <c r="Q2502" s="6">
        <f>COUNTIF($P$2:$P$3691,P2502)</f>
        <v>9</v>
      </c>
    </row>
    <row r="2503" spans="1:17" x14ac:dyDescent="0.2">
      <c r="A2503" s="16">
        <f>P2503</f>
        <v>1808010</v>
      </c>
      <c r="B2503">
        <v>2021</v>
      </c>
      <c r="C2503" t="s">
        <v>904</v>
      </c>
      <c r="D2503" t="s">
        <v>906</v>
      </c>
      <c r="E2503" t="s">
        <v>3409</v>
      </c>
      <c r="F2503" t="s">
        <v>589</v>
      </c>
      <c r="G2503" t="s">
        <v>273</v>
      </c>
      <c r="H2503" s="6">
        <v>376234</v>
      </c>
      <c r="I2503" s="6">
        <v>1.8586309493595563E-3</v>
      </c>
      <c r="J2503" s="6">
        <v>4189.3541598564398</v>
      </c>
      <c r="K2503" s="6">
        <v>2573544</v>
      </c>
      <c r="M2503" s="6">
        <f>SUM(H2503,J2503)</f>
        <v>380423.35415985645</v>
      </c>
      <c r="N2503" s="6">
        <f>K2503</f>
        <v>2573544</v>
      </c>
      <c r="O2503" s="6">
        <f>SUM(M2503:N2503)</f>
        <v>2953967.3541598562</v>
      </c>
      <c r="P2503" s="8">
        <f>VLOOKUP(F2503,'LEAID Match'!$A$2:$B$436,2,FALSE)</f>
        <v>1808010</v>
      </c>
      <c r="Q2503" s="6">
        <f>COUNTIF($P$2:$P$3691,P2503)</f>
        <v>9</v>
      </c>
    </row>
    <row r="2504" spans="1:17" x14ac:dyDescent="0.2">
      <c r="A2504" s="16">
        <f>P2504</f>
        <v>1808010</v>
      </c>
      <c r="B2504">
        <v>2022</v>
      </c>
      <c r="C2504" t="s">
        <v>904</v>
      </c>
      <c r="D2504" t="s">
        <v>906</v>
      </c>
      <c r="E2504" t="s">
        <v>3410</v>
      </c>
      <c r="F2504" t="s">
        <v>589</v>
      </c>
      <c r="G2504" t="s">
        <v>273</v>
      </c>
      <c r="H2504" s="6">
        <v>404298</v>
      </c>
      <c r="I2504" s="6">
        <v>1.9196820432423743E-3</v>
      </c>
      <c r="J2504" s="6">
        <v>4232.8989053494352</v>
      </c>
      <c r="K2504" s="6">
        <v>2568565</v>
      </c>
      <c r="M2504" s="6">
        <f>SUM(H2504,J2504)</f>
        <v>408530.89890534943</v>
      </c>
      <c r="N2504" s="6">
        <f>K2504</f>
        <v>2568565</v>
      </c>
      <c r="O2504" s="6">
        <f>SUM(M2504:N2504)</f>
        <v>2977095.8989053494</v>
      </c>
      <c r="P2504" s="8">
        <f>VLOOKUP(F2504,'LEAID Match'!$A$2:$B$436,2,FALSE)</f>
        <v>1808010</v>
      </c>
      <c r="Q2504" s="6">
        <f>COUNTIF($P$2:$P$3691,P2504)</f>
        <v>9</v>
      </c>
    </row>
    <row r="2505" spans="1:17" x14ac:dyDescent="0.2">
      <c r="A2505" s="16">
        <f>P2505</f>
        <v>1808010</v>
      </c>
      <c r="B2505">
        <v>2023</v>
      </c>
      <c r="C2505" t="s">
        <v>904</v>
      </c>
      <c r="D2505" t="s">
        <v>906</v>
      </c>
      <c r="E2505" t="s">
        <v>3411</v>
      </c>
      <c r="F2505" t="s">
        <v>589</v>
      </c>
      <c r="G2505" t="s">
        <v>273</v>
      </c>
      <c r="H2505" s="6">
        <v>463733</v>
      </c>
      <c r="I2505" s="6">
        <v>1.8964131707330718E-3</v>
      </c>
      <c r="J2505" s="6">
        <v>4678.4512921984879</v>
      </c>
      <c r="K2505" s="6">
        <v>6627775</v>
      </c>
      <c r="M2505" s="6">
        <f>SUM(H2505,J2505)</f>
        <v>468411.4512921985</v>
      </c>
      <c r="N2505" s="6">
        <f>K2505</f>
        <v>6627775</v>
      </c>
      <c r="O2505" s="6">
        <f>SUM(M2505:N2505)</f>
        <v>7096186.4512921982</v>
      </c>
      <c r="P2505" s="8">
        <f>VLOOKUP(F2505,'LEAID Match'!$A$2:$B$436,2,FALSE)</f>
        <v>1808010</v>
      </c>
      <c r="Q2505" s="6">
        <f>COUNTIF($P$2:$P$3691,P2505)</f>
        <v>9</v>
      </c>
    </row>
    <row r="2506" spans="1:17" x14ac:dyDescent="0.2">
      <c r="A2506" s="16">
        <f>P2506</f>
        <v>1808460</v>
      </c>
      <c r="B2506">
        <v>2015</v>
      </c>
      <c r="C2506" t="s">
        <v>904</v>
      </c>
      <c r="D2506" t="s">
        <v>906</v>
      </c>
      <c r="E2506" t="s">
        <v>3412</v>
      </c>
      <c r="F2506" t="s">
        <v>590</v>
      </c>
      <c r="G2506" t="s">
        <v>274</v>
      </c>
      <c r="H2506" s="6">
        <v>135037</v>
      </c>
      <c r="I2506" s="6">
        <v>6.5664537303454854E-4</v>
      </c>
      <c r="J2506" s="6">
        <v>3815.7662627037616</v>
      </c>
      <c r="K2506" s="6">
        <v>555269.83376398205</v>
      </c>
      <c r="M2506" s="6">
        <f>SUM(H2506,J2506)</f>
        <v>138852.76626270375</v>
      </c>
      <c r="N2506" s="6">
        <f>K2506</f>
        <v>555269.83376398205</v>
      </c>
      <c r="O2506" s="6">
        <f>SUM(M2506:N2506)</f>
        <v>694122.60002668574</v>
      </c>
      <c r="P2506" s="8">
        <f>VLOOKUP(F2506,'LEAID Match'!$A$2:$B$436,2,FALSE)</f>
        <v>1808460</v>
      </c>
      <c r="Q2506" s="6">
        <f>COUNTIF($P$2:$P$3691,P2506)</f>
        <v>9</v>
      </c>
    </row>
    <row r="2507" spans="1:17" x14ac:dyDescent="0.2">
      <c r="A2507" s="16">
        <f>P2507</f>
        <v>1808460</v>
      </c>
      <c r="B2507">
        <v>2016</v>
      </c>
      <c r="C2507" t="s">
        <v>904</v>
      </c>
      <c r="D2507" t="s">
        <v>906</v>
      </c>
      <c r="E2507" t="s">
        <v>3413</v>
      </c>
      <c r="F2507" t="s">
        <v>590</v>
      </c>
      <c r="G2507" t="s">
        <v>274</v>
      </c>
      <c r="H2507" s="6">
        <v>137997</v>
      </c>
      <c r="I2507" s="6">
        <v>6.403230282748158E-4</v>
      </c>
      <c r="J2507" s="6">
        <v>3232.35064673127</v>
      </c>
      <c r="K2507" s="6">
        <v>568286.68759389897</v>
      </c>
      <c r="M2507" s="6">
        <f>SUM(H2507,J2507)</f>
        <v>141229.35064673127</v>
      </c>
      <c r="N2507" s="6">
        <f>K2507</f>
        <v>568286.68759389897</v>
      </c>
      <c r="O2507" s="6">
        <f>SUM(M2507:N2507)</f>
        <v>709516.03824063018</v>
      </c>
      <c r="P2507" s="8">
        <f>VLOOKUP(F2507,'LEAID Match'!$A$2:$B$436,2,FALSE)</f>
        <v>1808460</v>
      </c>
      <c r="Q2507" s="6">
        <f>COUNTIF($P$2:$P$3691,P2507)</f>
        <v>9</v>
      </c>
    </row>
    <row r="2508" spans="1:17" x14ac:dyDescent="0.2">
      <c r="A2508" s="16">
        <f>P2508</f>
        <v>1808460</v>
      </c>
      <c r="B2508">
        <v>2017</v>
      </c>
      <c r="C2508" t="s">
        <v>904</v>
      </c>
      <c r="D2508" t="s">
        <v>906</v>
      </c>
      <c r="E2508" t="s">
        <v>3414</v>
      </c>
      <c r="F2508" t="s">
        <v>590</v>
      </c>
      <c r="G2508" t="s">
        <v>274</v>
      </c>
      <c r="H2508" s="6">
        <v>121672</v>
      </c>
      <c r="I2508" s="6">
        <v>5.3577386802413425E-4</v>
      </c>
      <c r="J2508" s="6">
        <v>2424.3767528092076</v>
      </c>
      <c r="K2508" s="6">
        <v>466659.03904901998</v>
      </c>
      <c r="M2508" s="6">
        <f>SUM(H2508,J2508)</f>
        <v>124096.37675280921</v>
      </c>
      <c r="N2508" s="6">
        <f>K2508</f>
        <v>466659.03904901998</v>
      </c>
      <c r="O2508" s="6">
        <f>SUM(M2508:N2508)</f>
        <v>590755.41580182919</v>
      </c>
      <c r="P2508" s="8">
        <f>VLOOKUP(F2508,'LEAID Match'!$A$2:$B$436,2,FALSE)</f>
        <v>1808460</v>
      </c>
      <c r="Q2508" s="6">
        <f>COUNTIF($P$2:$P$3691,P2508)</f>
        <v>9</v>
      </c>
    </row>
    <row r="2509" spans="1:17" x14ac:dyDescent="0.2">
      <c r="A2509" s="16">
        <f>P2509</f>
        <v>1808460</v>
      </c>
      <c r="B2509">
        <v>2018</v>
      </c>
      <c r="C2509" t="s">
        <v>904</v>
      </c>
      <c r="D2509" t="s">
        <v>906</v>
      </c>
      <c r="E2509" t="s">
        <v>3415</v>
      </c>
      <c r="F2509" t="s">
        <v>590</v>
      </c>
      <c r="G2509" t="s">
        <v>274</v>
      </c>
      <c r="H2509" s="6">
        <v>113952</v>
      </c>
      <c r="I2509" s="6">
        <v>4.8342663961289825E-4</v>
      </c>
      <c r="J2509" s="6">
        <v>2014.92223390656</v>
      </c>
      <c r="K2509" s="6">
        <v>543397</v>
      </c>
      <c r="M2509" s="6">
        <f>SUM(H2509,J2509)</f>
        <v>115966.92223390656</v>
      </c>
      <c r="N2509" s="6">
        <f>K2509</f>
        <v>543397</v>
      </c>
      <c r="O2509" s="6">
        <f>SUM(M2509:N2509)</f>
        <v>659363.92223390657</v>
      </c>
      <c r="P2509" s="8">
        <f>VLOOKUP(F2509,'LEAID Match'!$A$2:$B$436,2,FALSE)</f>
        <v>1808460</v>
      </c>
      <c r="Q2509" s="6">
        <f>COUNTIF($P$2:$P$3691,P2509)</f>
        <v>9</v>
      </c>
    </row>
    <row r="2510" spans="1:17" x14ac:dyDescent="0.2">
      <c r="A2510" s="16">
        <f>P2510</f>
        <v>1808460</v>
      </c>
      <c r="B2510">
        <v>2019</v>
      </c>
      <c r="C2510" t="s">
        <v>904</v>
      </c>
      <c r="D2510" t="s">
        <v>906</v>
      </c>
      <c r="E2510" t="s">
        <v>3416</v>
      </c>
      <c r="F2510" t="s">
        <v>590</v>
      </c>
      <c r="G2510" t="s">
        <v>274</v>
      </c>
      <c r="H2510" s="6">
        <v>106112</v>
      </c>
      <c r="I2510" s="6">
        <v>2.69948352508985E-4</v>
      </c>
      <c r="J2510" s="6">
        <v>946.16897554399247</v>
      </c>
      <c r="K2510" s="6">
        <v>254804.24993323101</v>
      </c>
      <c r="M2510" s="6">
        <f>SUM(H2510,J2510)</f>
        <v>107058.16897554399</v>
      </c>
      <c r="N2510" s="6">
        <f>K2510</f>
        <v>254804.24993323101</v>
      </c>
      <c r="O2510" s="6">
        <f>SUM(M2510:N2510)</f>
        <v>361862.41890877497</v>
      </c>
      <c r="P2510" s="8">
        <f>VLOOKUP(F2510,'LEAID Match'!$A$2:$B$436,2,FALSE)</f>
        <v>1808460</v>
      </c>
      <c r="Q2510" s="6">
        <f>COUNTIF($P$2:$P$3691,P2510)</f>
        <v>9</v>
      </c>
    </row>
    <row r="2511" spans="1:17" x14ac:dyDescent="0.2">
      <c r="A2511" s="16">
        <f>P2511</f>
        <v>1808460</v>
      </c>
      <c r="B2511">
        <v>2020</v>
      </c>
      <c r="C2511" t="s">
        <v>904</v>
      </c>
      <c r="D2511" t="s">
        <v>906</v>
      </c>
      <c r="E2511" t="s">
        <v>3417</v>
      </c>
      <c r="F2511" t="s">
        <v>590</v>
      </c>
      <c r="G2511" t="s">
        <v>274</v>
      </c>
      <c r="H2511" s="6">
        <v>78308</v>
      </c>
      <c r="I2511" s="6">
        <v>4.1493120300980163E-4</v>
      </c>
      <c r="J2511" s="6">
        <v>977.57791429109261</v>
      </c>
      <c r="K2511" s="6">
        <v>581514</v>
      </c>
      <c r="M2511" s="6">
        <f>SUM(H2511,J2511)</f>
        <v>79285.577914291091</v>
      </c>
      <c r="N2511" s="6">
        <f>K2511</f>
        <v>581514</v>
      </c>
      <c r="O2511" s="6">
        <f>SUM(M2511:N2511)</f>
        <v>660799.57791429106</v>
      </c>
      <c r="P2511" s="8">
        <f>VLOOKUP(F2511,'LEAID Match'!$A$2:$B$436,2,FALSE)</f>
        <v>1808460</v>
      </c>
      <c r="Q2511" s="6">
        <f>COUNTIF($P$2:$P$3691,P2511)</f>
        <v>9</v>
      </c>
    </row>
    <row r="2512" spans="1:17" x14ac:dyDescent="0.2">
      <c r="A2512" s="16">
        <f>P2512</f>
        <v>1808460</v>
      </c>
      <c r="B2512">
        <v>2021</v>
      </c>
      <c r="C2512" t="s">
        <v>904</v>
      </c>
      <c r="D2512" t="s">
        <v>906</v>
      </c>
      <c r="E2512" t="s">
        <v>3418</v>
      </c>
      <c r="F2512" t="s">
        <v>590</v>
      </c>
      <c r="G2512" t="s">
        <v>274</v>
      </c>
      <c r="H2512" s="6">
        <v>85947</v>
      </c>
      <c r="I2512" s="6">
        <v>4.245861729790656E-4</v>
      </c>
      <c r="J2512" s="6">
        <v>957.0172338948139</v>
      </c>
      <c r="K2512" s="6">
        <v>910594</v>
      </c>
      <c r="M2512" s="6">
        <f>SUM(H2512,J2512)</f>
        <v>86904.017233894818</v>
      </c>
      <c r="N2512" s="6">
        <f>K2512</f>
        <v>910594</v>
      </c>
      <c r="O2512" s="6">
        <f>SUM(M2512:N2512)</f>
        <v>997498.01723389479</v>
      </c>
      <c r="P2512" s="8">
        <f>VLOOKUP(F2512,'LEAID Match'!$A$2:$B$436,2,FALSE)</f>
        <v>1808460</v>
      </c>
      <c r="Q2512" s="6">
        <f>COUNTIF($P$2:$P$3691,P2512)</f>
        <v>9</v>
      </c>
    </row>
    <row r="2513" spans="1:17" x14ac:dyDescent="0.2">
      <c r="A2513" s="16">
        <f>P2513</f>
        <v>1808460</v>
      </c>
      <c r="B2513">
        <v>2022</v>
      </c>
      <c r="C2513" t="s">
        <v>904</v>
      </c>
      <c r="D2513" t="s">
        <v>906</v>
      </c>
      <c r="E2513" t="s">
        <v>3419</v>
      </c>
      <c r="F2513" t="s">
        <v>590</v>
      </c>
      <c r="G2513" t="s">
        <v>274</v>
      </c>
      <c r="H2513" s="6">
        <v>98772</v>
      </c>
      <c r="I2513" s="6">
        <v>4.689878128883541E-4</v>
      </c>
      <c r="J2513" s="6">
        <v>1034.1181274188207</v>
      </c>
      <c r="K2513" s="6">
        <v>920634</v>
      </c>
      <c r="M2513" s="6">
        <f>SUM(H2513,J2513)</f>
        <v>99806.118127418827</v>
      </c>
      <c r="N2513" s="6">
        <f>K2513</f>
        <v>920634</v>
      </c>
      <c r="O2513" s="6">
        <f>SUM(M2513:N2513)</f>
        <v>1020440.1181274188</v>
      </c>
      <c r="P2513" s="8">
        <f>VLOOKUP(F2513,'LEAID Match'!$A$2:$B$436,2,FALSE)</f>
        <v>1808460</v>
      </c>
      <c r="Q2513" s="6">
        <f>COUNTIF($P$2:$P$3691,P2513)</f>
        <v>9</v>
      </c>
    </row>
    <row r="2514" spans="1:17" x14ac:dyDescent="0.2">
      <c r="A2514" s="16">
        <f>P2514</f>
        <v>1808460</v>
      </c>
      <c r="B2514">
        <v>2023</v>
      </c>
      <c r="C2514" t="s">
        <v>904</v>
      </c>
      <c r="D2514" t="s">
        <v>906</v>
      </c>
      <c r="E2514" t="s">
        <v>3420</v>
      </c>
      <c r="F2514" t="s">
        <v>590</v>
      </c>
      <c r="G2514" t="s">
        <v>274</v>
      </c>
      <c r="H2514" s="6">
        <v>123132</v>
      </c>
      <c r="I2514" s="6">
        <v>5.0354222481191675E-4</v>
      </c>
      <c r="J2514" s="6">
        <v>1242.2386686109987</v>
      </c>
      <c r="K2514" s="6">
        <v>2436396</v>
      </c>
      <c r="M2514" s="6">
        <f>SUM(H2514,J2514)</f>
        <v>124374.238668611</v>
      </c>
      <c r="N2514" s="6">
        <f>K2514</f>
        <v>2436396</v>
      </c>
      <c r="O2514" s="6">
        <f>SUM(M2514:N2514)</f>
        <v>2560770.2386686108</v>
      </c>
      <c r="P2514" s="8">
        <f>VLOOKUP(F2514,'LEAID Match'!$A$2:$B$436,2,FALSE)</f>
        <v>1808460</v>
      </c>
      <c r="Q2514" s="6">
        <f>COUNTIF($P$2:$P$3691,P2514)</f>
        <v>9</v>
      </c>
    </row>
    <row r="2515" spans="1:17" x14ac:dyDescent="0.2">
      <c r="A2515" s="16">
        <f>P2515</f>
        <v>1805340</v>
      </c>
      <c r="B2515">
        <v>2015</v>
      </c>
      <c r="C2515" t="s">
        <v>904</v>
      </c>
      <c r="D2515" t="s">
        <v>906</v>
      </c>
      <c r="E2515" t="s">
        <v>3421</v>
      </c>
      <c r="F2515" t="s">
        <v>769</v>
      </c>
      <c r="G2515" t="s">
        <v>275</v>
      </c>
      <c r="H2515" s="6">
        <v>345665</v>
      </c>
      <c r="I2515" s="6">
        <v>1.6808676353146708E-3</v>
      </c>
      <c r="J2515" s="6">
        <v>9767.5218288135529</v>
      </c>
      <c r="K2515" s="6">
        <v>1421368.5663042499</v>
      </c>
      <c r="M2515" s="6">
        <f>SUM(H2515,J2515)</f>
        <v>355432.52182881354</v>
      </c>
      <c r="N2515" s="6">
        <f>K2515</f>
        <v>1421368.5663042499</v>
      </c>
      <c r="O2515" s="6">
        <f>SUM(M2515:N2515)</f>
        <v>1776801.0881330634</v>
      </c>
      <c r="P2515" s="8">
        <f>VLOOKUP(F2515,'LEAID Match'!$A$2:$B$436,2,FALSE)</f>
        <v>1805340</v>
      </c>
      <c r="Q2515" s="6">
        <f>COUNTIF($P$2:$P$3691,P2515)</f>
        <v>9</v>
      </c>
    </row>
    <row r="2516" spans="1:17" x14ac:dyDescent="0.2">
      <c r="A2516" s="16">
        <f>P2516</f>
        <v>1805340</v>
      </c>
      <c r="B2516">
        <v>2016</v>
      </c>
      <c r="C2516" t="s">
        <v>904</v>
      </c>
      <c r="D2516" t="s">
        <v>906</v>
      </c>
      <c r="E2516" t="s">
        <v>3422</v>
      </c>
      <c r="F2516" t="s">
        <v>769</v>
      </c>
      <c r="G2516" t="s">
        <v>275</v>
      </c>
      <c r="H2516" s="6">
        <v>340151</v>
      </c>
      <c r="I2516" s="6">
        <v>1.5783424160721383E-3</v>
      </c>
      <c r="J2516" s="6">
        <v>7967.4725163321536</v>
      </c>
      <c r="K2516" s="6">
        <v>1400778.89426402</v>
      </c>
      <c r="M2516" s="6">
        <f>SUM(H2516,J2516)</f>
        <v>348118.47251633217</v>
      </c>
      <c r="N2516" s="6">
        <f>K2516</f>
        <v>1400778.89426402</v>
      </c>
      <c r="O2516" s="6">
        <f>SUM(M2516:N2516)</f>
        <v>1748897.3667803523</v>
      </c>
      <c r="P2516" s="8">
        <f>VLOOKUP(F2516,'LEAID Match'!$A$2:$B$436,2,FALSE)</f>
        <v>1805340</v>
      </c>
      <c r="Q2516" s="6">
        <f>COUNTIF($P$2:$P$3691,P2516)</f>
        <v>9</v>
      </c>
    </row>
    <row r="2517" spans="1:17" x14ac:dyDescent="0.2">
      <c r="A2517" s="16">
        <f>P2517</f>
        <v>1805340</v>
      </c>
      <c r="B2517">
        <v>2017</v>
      </c>
      <c r="C2517" t="s">
        <v>904</v>
      </c>
      <c r="D2517" t="s">
        <v>906</v>
      </c>
      <c r="E2517" t="s">
        <v>3423</v>
      </c>
      <c r="F2517" t="s">
        <v>769</v>
      </c>
      <c r="G2517" t="s">
        <v>275</v>
      </c>
      <c r="H2517" s="6">
        <v>337139</v>
      </c>
      <c r="I2517" s="6">
        <v>1.4845672471216762E-3</v>
      </c>
      <c r="J2517" s="6">
        <v>6717.666793225585</v>
      </c>
      <c r="K2517" s="6">
        <v>1293058.0722429799</v>
      </c>
      <c r="M2517" s="6">
        <f>SUM(H2517,J2517)</f>
        <v>343856.66679322557</v>
      </c>
      <c r="N2517" s="6">
        <f>K2517</f>
        <v>1293058.0722429799</v>
      </c>
      <c r="O2517" s="6">
        <f>SUM(M2517:N2517)</f>
        <v>1636914.7390362055</v>
      </c>
      <c r="P2517" s="8">
        <f>VLOOKUP(F2517,'LEAID Match'!$A$2:$B$436,2,FALSE)</f>
        <v>1805340</v>
      </c>
      <c r="Q2517" s="6">
        <f>COUNTIF($P$2:$P$3691,P2517)</f>
        <v>9</v>
      </c>
    </row>
    <row r="2518" spans="1:17" x14ac:dyDescent="0.2">
      <c r="A2518" s="16">
        <f>P2518</f>
        <v>1805340</v>
      </c>
      <c r="B2518">
        <v>2018</v>
      </c>
      <c r="C2518" t="s">
        <v>904</v>
      </c>
      <c r="D2518" t="s">
        <v>906</v>
      </c>
      <c r="E2518" t="s">
        <v>3424</v>
      </c>
      <c r="F2518" t="s">
        <v>769</v>
      </c>
      <c r="G2518" t="s">
        <v>275</v>
      </c>
      <c r="H2518" s="6">
        <v>344267</v>
      </c>
      <c r="I2518" s="6">
        <v>1.4605082748842815E-3</v>
      </c>
      <c r="J2518" s="6">
        <v>6087.3984897176852</v>
      </c>
      <c r="K2518" s="6">
        <v>1491037</v>
      </c>
      <c r="M2518" s="6">
        <f>SUM(H2518,J2518)</f>
        <v>350354.39848971769</v>
      </c>
      <c r="N2518" s="6">
        <f>K2518</f>
        <v>1491037</v>
      </c>
      <c r="O2518" s="6">
        <f>SUM(M2518:N2518)</f>
        <v>1841391.3984897176</v>
      </c>
      <c r="P2518" s="8">
        <f>VLOOKUP(F2518,'LEAID Match'!$A$2:$B$436,2,FALSE)</f>
        <v>1805340</v>
      </c>
      <c r="Q2518" s="6">
        <f>COUNTIF($P$2:$P$3691,P2518)</f>
        <v>9</v>
      </c>
    </row>
    <row r="2519" spans="1:17" x14ac:dyDescent="0.2">
      <c r="A2519" s="16">
        <f>P2519</f>
        <v>1805340</v>
      </c>
      <c r="B2519">
        <v>2019</v>
      </c>
      <c r="C2519" t="s">
        <v>904</v>
      </c>
      <c r="D2519" t="s">
        <v>906</v>
      </c>
      <c r="E2519" t="s">
        <v>3425</v>
      </c>
      <c r="F2519" t="s">
        <v>769</v>
      </c>
      <c r="G2519" t="s">
        <v>275</v>
      </c>
      <c r="H2519" s="6">
        <v>352862</v>
      </c>
      <c r="I2519" s="6">
        <v>8.9767901427760738E-4</v>
      </c>
      <c r="J2519" s="6">
        <v>3146.3649450430139</v>
      </c>
      <c r="K2519" s="6">
        <v>847319.22157663305</v>
      </c>
      <c r="M2519" s="6">
        <f>SUM(H2519,J2519)</f>
        <v>356008.36494504299</v>
      </c>
      <c r="N2519" s="6">
        <f>K2519</f>
        <v>847319.22157663305</v>
      </c>
      <c r="O2519" s="6">
        <f>SUM(M2519:N2519)</f>
        <v>1203327.586521676</v>
      </c>
      <c r="P2519" s="8">
        <f>VLOOKUP(F2519,'LEAID Match'!$A$2:$B$436,2,FALSE)</f>
        <v>1805340</v>
      </c>
      <c r="Q2519" s="6">
        <f>COUNTIF($P$2:$P$3691,P2519)</f>
        <v>9</v>
      </c>
    </row>
    <row r="2520" spans="1:17" x14ac:dyDescent="0.2">
      <c r="A2520" s="16">
        <f>P2520</f>
        <v>1805340</v>
      </c>
      <c r="B2520">
        <v>2020</v>
      </c>
      <c r="C2520" t="s">
        <v>904</v>
      </c>
      <c r="D2520" t="s">
        <v>906</v>
      </c>
      <c r="E2520" t="s">
        <v>3426</v>
      </c>
      <c r="F2520" t="s">
        <v>769</v>
      </c>
      <c r="G2520" t="s">
        <v>275</v>
      </c>
      <c r="H2520" s="6">
        <v>268447</v>
      </c>
      <c r="I2520" s="6">
        <v>1.4224221874440954E-3</v>
      </c>
      <c r="J2520" s="6">
        <v>3351.2266736182887</v>
      </c>
      <c r="K2520" s="6">
        <v>1429409</v>
      </c>
      <c r="M2520" s="6">
        <f>SUM(H2520,J2520)</f>
        <v>271798.22667361831</v>
      </c>
      <c r="N2520" s="6">
        <f>K2520</f>
        <v>1429409</v>
      </c>
      <c r="O2520" s="6">
        <f>SUM(M2520:N2520)</f>
        <v>1701207.2266736184</v>
      </c>
      <c r="P2520" s="8">
        <f>VLOOKUP(F2520,'LEAID Match'!$A$2:$B$436,2,FALSE)</f>
        <v>1805340</v>
      </c>
      <c r="Q2520" s="6">
        <f>COUNTIF($P$2:$P$3691,P2520)</f>
        <v>9</v>
      </c>
    </row>
    <row r="2521" spans="1:17" x14ac:dyDescent="0.2">
      <c r="A2521" s="16">
        <f>P2521</f>
        <v>1805340</v>
      </c>
      <c r="B2521">
        <v>2021</v>
      </c>
      <c r="C2521" t="s">
        <v>904</v>
      </c>
      <c r="D2521" t="s">
        <v>906</v>
      </c>
      <c r="E2521" t="s">
        <v>3427</v>
      </c>
      <c r="F2521" t="s">
        <v>769</v>
      </c>
      <c r="G2521" t="s">
        <v>275</v>
      </c>
      <c r="H2521" s="6">
        <v>269801</v>
      </c>
      <c r="I2521" s="6">
        <v>1.3328420312044037E-3</v>
      </c>
      <c r="J2521" s="6">
        <v>3004.2259383347259</v>
      </c>
      <c r="K2521" s="6">
        <v>2285516</v>
      </c>
      <c r="M2521" s="6">
        <f>SUM(H2521,J2521)</f>
        <v>272805.22593833471</v>
      </c>
      <c r="N2521" s="6">
        <f>K2521</f>
        <v>2285516</v>
      </c>
      <c r="O2521" s="6">
        <f>SUM(M2521:N2521)</f>
        <v>2558321.2259383346</v>
      </c>
      <c r="P2521" s="8">
        <f>VLOOKUP(F2521,'LEAID Match'!$A$2:$B$436,2,FALSE)</f>
        <v>1805340</v>
      </c>
      <c r="Q2521" s="6">
        <f>COUNTIF($P$2:$P$3691,P2521)</f>
        <v>9</v>
      </c>
    </row>
    <row r="2522" spans="1:17" x14ac:dyDescent="0.2">
      <c r="A2522" s="16">
        <f>P2522</f>
        <v>1805340</v>
      </c>
      <c r="B2522">
        <v>2022</v>
      </c>
      <c r="C2522" t="s">
        <v>904</v>
      </c>
      <c r="D2522" t="s">
        <v>906</v>
      </c>
      <c r="E2522" t="s">
        <v>3428</v>
      </c>
      <c r="F2522" t="s">
        <v>769</v>
      </c>
      <c r="G2522" t="s">
        <v>275</v>
      </c>
      <c r="H2522" s="6">
        <v>275587</v>
      </c>
      <c r="I2522" s="6">
        <v>1.3085382941568748E-3</v>
      </c>
      <c r="J2522" s="6">
        <v>2885.3269386159091</v>
      </c>
      <c r="K2522" s="6">
        <v>2222668</v>
      </c>
      <c r="M2522" s="6">
        <f>SUM(H2522,J2522)</f>
        <v>278472.32693861594</v>
      </c>
      <c r="N2522" s="6">
        <f>K2522</f>
        <v>2222668</v>
      </c>
      <c r="O2522" s="6">
        <f>SUM(M2522:N2522)</f>
        <v>2501140.3269386161</v>
      </c>
      <c r="P2522" s="8">
        <f>VLOOKUP(F2522,'LEAID Match'!$A$2:$B$436,2,FALSE)</f>
        <v>1805340</v>
      </c>
      <c r="Q2522" s="6">
        <f>COUNTIF($P$2:$P$3691,P2522)</f>
        <v>9</v>
      </c>
    </row>
    <row r="2523" spans="1:17" x14ac:dyDescent="0.2">
      <c r="A2523" s="16">
        <f>P2523</f>
        <v>1805340</v>
      </c>
      <c r="B2523">
        <v>2023</v>
      </c>
      <c r="C2523" t="s">
        <v>904</v>
      </c>
      <c r="D2523" t="s">
        <v>906</v>
      </c>
      <c r="E2523" t="s">
        <v>3429</v>
      </c>
      <c r="F2523" t="s">
        <v>769</v>
      </c>
      <c r="G2523" t="s">
        <v>275</v>
      </c>
      <c r="H2523" s="6">
        <v>313169</v>
      </c>
      <c r="I2523" s="6">
        <v>1.2806891385027707E-3</v>
      </c>
      <c r="J2523" s="6">
        <v>3159.4601046863354</v>
      </c>
      <c r="K2523" s="6">
        <v>6163619</v>
      </c>
      <c r="M2523" s="6">
        <f>SUM(H2523,J2523)</f>
        <v>316328.46010468632</v>
      </c>
      <c r="N2523" s="6">
        <f>K2523</f>
        <v>6163619</v>
      </c>
      <c r="O2523" s="6">
        <f>SUM(M2523:N2523)</f>
        <v>6479947.4601046862</v>
      </c>
      <c r="P2523" s="8">
        <f>VLOOKUP(F2523,'LEAID Match'!$A$2:$B$436,2,FALSE)</f>
        <v>1805340</v>
      </c>
      <c r="Q2523" s="6">
        <f>COUNTIF($P$2:$P$3691,P2523)</f>
        <v>9</v>
      </c>
    </row>
    <row r="2524" spans="1:17" x14ac:dyDescent="0.2">
      <c r="A2524" s="16">
        <f>P2524</f>
        <v>1807800</v>
      </c>
      <c r="B2524">
        <v>2015</v>
      </c>
      <c r="C2524" t="s">
        <v>904</v>
      </c>
      <c r="D2524" t="s">
        <v>906</v>
      </c>
      <c r="E2524" t="s">
        <v>3430</v>
      </c>
      <c r="F2524" t="s">
        <v>591</v>
      </c>
      <c r="G2524" t="s">
        <v>276</v>
      </c>
      <c r="H2524" s="6">
        <v>218992</v>
      </c>
      <c r="I2524" s="6">
        <v>1.0648939441159227E-3</v>
      </c>
      <c r="J2524" s="6">
        <v>6188.098709257627</v>
      </c>
      <c r="K2524" s="6">
        <v>900491.35744753003</v>
      </c>
      <c r="M2524" s="6">
        <f>SUM(H2524,J2524)</f>
        <v>225180.09870925764</v>
      </c>
      <c r="N2524" s="6">
        <f>K2524</f>
        <v>900491.35744753003</v>
      </c>
      <c r="O2524" s="6">
        <f>SUM(M2524:N2524)</f>
        <v>1125671.4561567877</v>
      </c>
      <c r="P2524" s="8">
        <f>VLOOKUP(F2524,'LEAID Match'!$A$2:$B$436,2,FALSE)</f>
        <v>1807800</v>
      </c>
      <c r="Q2524" s="6">
        <f>COUNTIF($P$2:$P$3691,P2524)</f>
        <v>9</v>
      </c>
    </row>
    <row r="2525" spans="1:17" x14ac:dyDescent="0.2">
      <c r="A2525" s="16">
        <f>P2525</f>
        <v>1807800</v>
      </c>
      <c r="B2525">
        <v>2016</v>
      </c>
      <c r="C2525" t="s">
        <v>904</v>
      </c>
      <c r="D2525" t="s">
        <v>906</v>
      </c>
      <c r="E2525" t="s">
        <v>3431</v>
      </c>
      <c r="F2525" t="s">
        <v>591</v>
      </c>
      <c r="G2525" t="s">
        <v>276</v>
      </c>
      <c r="H2525" s="6">
        <v>193206</v>
      </c>
      <c r="I2525" s="6">
        <v>8.9649956883746783E-4</v>
      </c>
      <c r="J2525" s="6">
        <v>4525.5298234915381</v>
      </c>
      <c r="K2525" s="6">
        <v>795643.36734325194</v>
      </c>
      <c r="M2525" s="6">
        <f>SUM(H2525,J2525)</f>
        <v>197731.52982349152</v>
      </c>
      <c r="N2525" s="6">
        <f>K2525</f>
        <v>795643.36734325194</v>
      </c>
      <c r="O2525" s="6">
        <f>SUM(M2525:N2525)</f>
        <v>993374.89716674341</v>
      </c>
      <c r="P2525" s="8">
        <f>VLOOKUP(F2525,'LEAID Match'!$A$2:$B$436,2,FALSE)</f>
        <v>1807800</v>
      </c>
      <c r="Q2525" s="6">
        <f>COUNTIF($P$2:$P$3691,P2525)</f>
        <v>9</v>
      </c>
    </row>
    <row r="2526" spans="1:17" x14ac:dyDescent="0.2">
      <c r="A2526" s="16">
        <f>P2526</f>
        <v>1807800</v>
      </c>
      <c r="B2526">
        <v>2017</v>
      </c>
      <c r="C2526" t="s">
        <v>904</v>
      </c>
      <c r="D2526" t="s">
        <v>906</v>
      </c>
      <c r="E2526" t="s">
        <v>3432</v>
      </c>
      <c r="F2526" t="s">
        <v>591</v>
      </c>
      <c r="G2526" t="s">
        <v>276</v>
      </c>
      <c r="H2526" s="6">
        <v>168023</v>
      </c>
      <c r="I2526" s="6">
        <v>7.3987715026480299E-4</v>
      </c>
      <c r="J2526" s="6">
        <v>3347.9441049482334</v>
      </c>
      <c r="K2526" s="6">
        <v>644432.997880643</v>
      </c>
      <c r="M2526" s="6">
        <f>SUM(H2526,J2526)</f>
        <v>171370.94410494823</v>
      </c>
      <c r="N2526" s="6">
        <f>K2526</f>
        <v>644432.997880643</v>
      </c>
      <c r="O2526" s="6">
        <f>SUM(M2526:N2526)</f>
        <v>815803.9419855912</v>
      </c>
      <c r="P2526" s="8">
        <f>VLOOKUP(F2526,'LEAID Match'!$A$2:$B$436,2,FALSE)</f>
        <v>1807800</v>
      </c>
      <c r="Q2526" s="6">
        <f>COUNTIF($P$2:$P$3691,P2526)</f>
        <v>9</v>
      </c>
    </row>
    <row r="2527" spans="1:17" x14ac:dyDescent="0.2">
      <c r="A2527" s="16">
        <f>P2527</f>
        <v>1807800</v>
      </c>
      <c r="B2527">
        <v>2018</v>
      </c>
      <c r="C2527" t="s">
        <v>904</v>
      </c>
      <c r="D2527" t="s">
        <v>906</v>
      </c>
      <c r="E2527" t="s">
        <v>3433</v>
      </c>
      <c r="F2527" t="s">
        <v>591</v>
      </c>
      <c r="G2527" t="s">
        <v>276</v>
      </c>
      <c r="H2527" s="6">
        <v>176435</v>
      </c>
      <c r="I2527" s="6">
        <v>7.485026955218136E-4</v>
      </c>
      <c r="J2527" s="6">
        <v>3119.7592349349193</v>
      </c>
      <c r="K2527" s="6">
        <v>1335177</v>
      </c>
      <c r="M2527" s="6">
        <f>SUM(H2527,J2527)</f>
        <v>179554.75923493493</v>
      </c>
      <c r="N2527" s="6">
        <f>K2527</f>
        <v>1335177</v>
      </c>
      <c r="O2527" s="6">
        <f>SUM(M2527:N2527)</f>
        <v>1514731.759234935</v>
      </c>
      <c r="P2527" s="8">
        <f>VLOOKUP(F2527,'LEAID Match'!$A$2:$B$436,2,FALSE)</f>
        <v>1807800</v>
      </c>
      <c r="Q2527" s="6">
        <f>COUNTIF($P$2:$P$3691,P2527)</f>
        <v>9</v>
      </c>
    </row>
    <row r="2528" spans="1:17" x14ac:dyDescent="0.2">
      <c r="A2528" s="16">
        <f>P2528</f>
        <v>1807800</v>
      </c>
      <c r="B2528">
        <v>2019</v>
      </c>
      <c r="C2528" t="s">
        <v>904</v>
      </c>
      <c r="D2528" t="s">
        <v>906</v>
      </c>
      <c r="E2528" t="s">
        <v>3434</v>
      </c>
      <c r="F2528" t="s">
        <v>591</v>
      </c>
      <c r="G2528" t="s">
        <v>276</v>
      </c>
      <c r="H2528" s="6">
        <v>194466</v>
      </c>
      <c r="I2528" s="6">
        <v>4.9472044932724179E-4</v>
      </c>
      <c r="J2528" s="6">
        <v>1733.9951748919825</v>
      </c>
      <c r="K2528" s="6">
        <v>466966.63211998303</v>
      </c>
      <c r="M2528" s="6">
        <f>SUM(H2528,J2528)</f>
        <v>196199.99517489198</v>
      </c>
      <c r="N2528" s="6">
        <f>K2528</f>
        <v>466966.63211998303</v>
      </c>
      <c r="O2528" s="6">
        <f>SUM(M2528:N2528)</f>
        <v>663166.62729487498</v>
      </c>
      <c r="P2528" s="8">
        <f>VLOOKUP(F2528,'LEAID Match'!$A$2:$B$436,2,FALSE)</f>
        <v>1807800</v>
      </c>
      <c r="Q2528" s="6">
        <f>COUNTIF($P$2:$P$3691,P2528)</f>
        <v>9</v>
      </c>
    </row>
    <row r="2529" spans="1:17" x14ac:dyDescent="0.2">
      <c r="A2529" s="16">
        <f>P2529</f>
        <v>1807800</v>
      </c>
      <c r="B2529">
        <v>2020</v>
      </c>
      <c r="C2529" t="s">
        <v>904</v>
      </c>
      <c r="D2529" t="s">
        <v>906</v>
      </c>
      <c r="E2529" t="s">
        <v>3435</v>
      </c>
      <c r="F2529" t="s">
        <v>591</v>
      </c>
      <c r="G2529" t="s">
        <v>276</v>
      </c>
      <c r="H2529" s="6">
        <v>146812</v>
      </c>
      <c r="I2529" s="6">
        <v>7.7791387567394132E-4</v>
      </c>
      <c r="J2529" s="6">
        <v>1832.7650910878058</v>
      </c>
      <c r="K2529" s="6">
        <v>1452328</v>
      </c>
      <c r="M2529" s="6">
        <f>SUM(H2529,J2529)</f>
        <v>148644.76509108781</v>
      </c>
      <c r="N2529" s="6">
        <f>K2529</f>
        <v>1452328</v>
      </c>
      <c r="O2529" s="6">
        <f>SUM(M2529:N2529)</f>
        <v>1600972.7650910879</v>
      </c>
      <c r="P2529" s="8">
        <f>VLOOKUP(F2529,'LEAID Match'!$A$2:$B$436,2,FALSE)</f>
        <v>1807800</v>
      </c>
      <c r="Q2529" s="6">
        <f>COUNTIF($P$2:$P$3691,P2529)</f>
        <v>9</v>
      </c>
    </row>
    <row r="2530" spans="1:17" x14ac:dyDescent="0.2">
      <c r="A2530" s="16">
        <f>P2530</f>
        <v>1807800</v>
      </c>
      <c r="B2530">
        <v>2021</v>
      </c>
      <c r="C2530" t="s">
        <v>904</v>
      </c>
      <c r="D2530" t="s">
        <v>906</v>
      </c>
      <c r="E2530" t="s">
        <v>3436</v>
      </c>
      <c r="F2530" t="s">
        <v>591</v>
      </c>
      <c r="G2530" t="s">
        <v>276</v>
      </c>
      <c r="H2530" s="6">
        <v>149263</v>
      </c>
      <c r="I2530" s="6">
        <v>7.3737310129933886E-4</v>
      </c>
      <c r="J2530" s="6">
        <v>1662.0389703287099</v>
      </c>
      <c r="K2530" s="6">
        <v>2422337</v>
      </c>
      <c r="M2530" s="6">
        <f>SUM(H2530,J2530)</f>
        <v>150925.03897032872</v>
      </c>
      <c r="N2530" s="6">
        <f>K2530</f>
        <v>2422337</v>
      </c>
      <c r="O2530" s="6">
        <f>SUM(M2530:N2530)</f>
        <v>2573262.0389703289</v>
      </c>
      <c r="P2530" s="8">
        <f>VLOOKUP(F2530,'LEAID Match'!$A$2:$B$436,2,FALSE)</f>
        <v>1807800</v>
      </c>
      <c r="Q2530" s="6">
        <f>COUNTIF($P$2:$P$3691,P2530)</f>
        <v>9</v>
      </c>
    </row>
    <row r="2531" spans="1:17" x14ac:dyDescent="0.2">
      <c r="A2531" s="16">
        <f>P2531</f>
        <v>1807800</v>
      </c>
      <c r="B2531">
        <v>2022</v>
      </c>
      <c r="C2531" t="s">
        <v>904</v>
      </c>
      <c r="D2531" t="s">
        <v>906</v>
      </c>
      <c r="E2531" t="s">
        <v>3437</v>
      </c>
      <c r="F2531" t="s">
        <v>591</v>
      </c>
      <c r="G2531" t="s">
        <v>276</v>
      </c>
      <c r="H2531" s="6">
        <v>156409</v>
      </c>
      <c r="I2531" s="6">
        <v>7.4265900079025003E-4</v>
      </c>
      <c r="J2531" s="6">
        <v>1637.5630967425013</v>
      </c>
      <c r="K2531" s="6">
        <v>2358639</v>
      </c>
      <c r="M2531" s="6">
        <f>SUM(H2531,J2531)</f>
        <v>158046.56309674249</v>
      </c>
      <c r="N2531" s="6">
        <f>K2531</f>
        <v>2358639</v>
      </c>
      <c r="O2531" s="6">
        <f>SUM(M2531:N2531)</f>
        <v>2516685.5630967426</v>
      </c>
      <c r="P2531" s="8">
        <f>VLOOKUP(F2531,'LEAID Match'!$A$2:$B$436,2,FALSE)</f>
        <v>1807800</v>
      </c>
      <c r="Q2531" s="6">
        <f>COUNTIF($P$2:$P$3691,P2531)</f>
        <v>9</v>
      </c>
    </row>
    <row r="2532" spans="1:17" x14ac:dyDescent="0.2">
      <c r="A2532" s="16">
        <f>P2532</f>
        <v>1807800</v>
      </c>
      <c r="B2532">
        <v>2023</v>
      </c>
      <c r="C2532" t="s">
        <v>904</v>
      </c>
      <c r="D2532" t="s">
        <v>906</v>
      </c>
      <c r="E2532" t="s">
        <v>3438</v>
      </c>
      <c r="F2532" t="s">
        <v>591</v>
      </c>
      <c r="G2532" t="s">
        <v>276</v>
      </c>
      <c r="H2532" s="6">
        <v>183014</v>
      </c>
      <c r="I2532" s="6">
        <v>7.4842670249592412E-4</v>
      </c>
      <c r="J2532" s="6">
        <v>1846.3686750574448</v>
      </c>
      <c r="K2532" s="6">
        <v>6512583</v>
      </c>
      <c r="M2532" s="6">
        <f>SUM(H2532,J2532)</f>
        <v>184860.36867505746</v>
      </c>
      <c r="N2532" s="6">
        <f>K2532</f>
        <v>6512583</v>
      </c>
      <c r="O2532" s="6">
        <f>SUM(M2532:N2532)</f>
        <v>6697443.3686750578</v>
      </c>
      <c r="P2532" s="8">
        <f>VLOOKUP(F2532,'LEAID Match'!$A$2:$B$436,2,FALSE)</f>
        <v>1807800</v>
      </c>
      <c r="Q2532" s="6">
        <f>COUNTIF($P$2:$P$3691,P2532)</f>
        <v>9</v>
      </c>
    </row>
    <row r="2533" spans="1:17" x14ac:dyDescent="0.2">
      <c r="A2533" s="16">
        <f>P2533</f>
        <v>1804230</v>
      </c>
      <c r="B2533">
        <v>2015</v>
      </c>
      <c r="C2533" t="s">
        <v>904</v>
      </c>
      <c r="D2533" t="s">
        <v>906</v>
      </c>
      <c r="E2533" t="s">
        <v>3439</v>
      </c>
      <c r="F2533" t="s">
        <v>770</v>
      </c>
      <c r="G2533" t="s">
        <v>277</v>
      </c>
      <c r="H2533" s="6">
        <v>121930</v>
      </c>
      <c r="I2533" s="6">
        <v>5.9290987162112974E-4</v>
      </c>
      <c r="J2533" s="6">
        <v>3445.399263990385</v>
      </c>
      <c r="K2533" s="6">
        <v>501374.07400077302</v>
      </c>
      <c r="M2533" s="6">
        <f>SUM(H2533,J2533)</f>
        <v>125375.39926399039</v>
      </c>
      <c r="N2533" s="6">
        <f>K2533</f>
        <v>501374.07400077302</v>
      </c>
      <c r="O2533" s="6">
        <f>SUM(M2533:N2533)</f>
        <v>626749.47326476336</v>
      </c>
      <c r="P2533" s="8">
        <f>VLOOKUP(F2533,'LEAID Match'!$A$2:$B$436,2,FALSE)</f>
        <v>1804230</v>
      </c>
      <c r="Q2533" s="6">
        <f>COUNTIF($P$2:$P$3691,P2533)</f>
        <v>9</v>
      </c>
    </row>
    <row r="2534" spans="1:17" x14ac:dyDescent="0.2">
      <c r="A2534" s="16">
        <f>P2534</f>
        <v>1804230</v>
      </c>
      <c r="B2534">
        <v>2016</v>
      </c>
      <c r="C2534" t="s">
        <v>904</v>
      </c>
      <c r="D2534" t="s">
        <v>906</v>
      </c>
      <c r="E2534" t="s">
        <v>3440</v>
      </c>
      <c r="F2534" t="s">
        <v>770</v>
      </c>
      <c r="G2534" t="s">
        <v>277</v>
      </c>
      <c r="H2534" s="6">
        <v>135038</v>
      </c>
      <c r="I2534" s="6">
        <v>6.2659290486151561E-4</v>
      </c>
      <c r="J2534" s="6">
        <v>3163.0409837409306</v>
      </c>
      <c r="K2534" s="6">
        <v>556101.203064595</v>
      </c>
      <c r="M2534" s="6">
        <f>SUM(H2534,J2534)</f>
        <v>138201.04098374094</v>
      </c>
      <c r="N2534" s="6">
        <f>K2534</f>
        <v>556101.203064595</v>
      </c>
      <c r="O2534" s="6">
        <f>SUM(M2534:N2534)</f>
        <v>694302.24404833594</v>
      </c>
      <c r="P2534" s="8">
        <f>VLOOKUP(F2534,'LEAID Match'!$A$2:$B$436,2,FALSE)</f>
        <v>1804230</v>
      </c>
      <c r="Q2534" s="6">
        <f>COUNTIF($P$2:$P$3691,P2534)</f>
        <v>9</v>
      </c>
    </row>
    <row r="2535" spans="1:17" x14ac:dyDescent="0.2">
      <c r="A2535" s="16">
        <f>P2535</f>
        <v>1804230</v>
      </c>
      <c r="B2535">
        <v>2017</v>
      </c>
      <c r="C2535" t="s">
        <v>904</v>
      </c>
      <c r="D2535" t="s">
        <v>906</v>
      </c>
      <c r="E2535" t="s">
        <v>3441</v>
      </c>
      <c r="F2535" t="s">
        <v>770</v>
      </c>
      <c r="G2535" t="s">
        <v>277</v>
      </c>
      <c r="H2535" s="6">
        <v>120240</v>
      </c>
      <c r="I2535" s="6">
        <v>5.2946815940579516E-4</v>
      </c>
      <c r="J2535" s="6">
        <v>2395.8434213112232</v>
      </c>
      <c r="K2535" s="6">
        <v>461166.76684244699</v>
      </c>
      <c r="M2535" s="6">
        <f>SUM(H2535,J2535)</f>
        <v>122635.84342131122</v>
      </c>
      <c r="N2535" s="6">
        <f>K2535</f>
        <v>461166.76684244699</v>
      </c>
      <c r="O2535" s="6">
        <f>SUM(M2535:N2535)</f>
        <v>583802.61026375822</v>
      </c>
      <c r="P2535" s="8">
        <f>VLOOKUP(F2535,'LEAID Match'!$A$2:$B$436,2,FALSE)</f>
        <v>1804230</v>
      </c>
      <c r="Q2535" s="6">
        <f>COUNTIF($P$2:$P$3691,P2535)</f>
        <v>9</v>
      </c>
    </row>
    <row r="2536" spans="1:17" x14ac:dyDescent="0.2">
      <c r="A2536" s="16">
        <f>P2536</f>
        <v>1804230</v>
      </c>
      <c r="B2536">
        <v>2018</v>
      </c>
      <c r="C2536" t="s">
        <v>904</v>
      </c>
      <c r="D2536" t="s">
        <v>906</v>
      </c>
      <c r="E2536" t="s">
        <v>3442</v>
      </c>
      <c r="F2536" t="s">
        <v>770</v>
      </c>
      <c r="G2536" t="s">
        <v>277</v>
      </c>
      <c r="H2536" s="6">
        <v>113484</v>
      </c>
      <c r="I2536" s="6">
        <v>4.8144121006941649E-4</v>
      </c>
      <c r="J2536" s="6">
        <v>2006.6469635693279</v>
      </c>
      <c r="K2536" s="6">
        <v>467762</v>
      </c>
      <c r="M2536" s="6">
        <f>SUM(H2536,J2536)</f>
        <v>115490.64696356932</v>
      </c>
      <c r="N2536" s="6">
        <f>K2536</f>
        <v>467762</v>
      </c>
      <c r="O2536" s="6">
        <f>SUM(M2536:N2536)</f>
        <v>583252.64696356934</v>
      </c>
      <c r="P2536" s="8">
        <f>VLOOKUP(F2536,'LEAID Match'!$A$2:$B$436,2,FALSE)</f>
        <v>1804230</v>
      </c>
      <c r="Q2536" s="6">
        <f>COUNTIF($P$2:$P$3691,P2536)</f>
        <v>9</v>
      </c>
    </row>
    <row r="2537" spans="1:17" x14ac:dyDescent="0.2">
      <c r="A2537" s="16">
        <f>P2537</f>
        <v>1804230</v>
      </c>
      <c r="B2537">
        <v>2019</v>
      </c>
      <c r="C2537" t="s">
        <v>904</v>
      </c>
      <c r="D2537" t="s">
        <v>906</v>
      </c>
      <c r="E2537" t="s">
        <v>3443</v>
      </c>
      <c r="F2537" t="s">
        <v>770</v>
      </c>
      <c r="G2537" t="s">
        <v>277</v>
      </c>
      <c r="H2537" s="6">
        <v>98818</v>
      </c>
      <c r="I2537" s="6">
        <v>2.513924560674842E-4</v>
      </c>
      <c r="J2537" s="6">
        <v>881.13055851653212</v>
      </c>
      <c r="K2537" s="6">
        <v>237289.33928209799</v>
      </c>
      <c r="M2537" s="6">
        <f>SUM(H2537,J2537)</f>
        <v>99699.130558516539</v>
      </c>
      <c r="N2537" s="6">
        <f>K2537</f>
        <v>237289.33928209799</v>
      </c>
      <c r="O2537" s="6">
        <f>SUM(M2537:N2537)</f>
        <v>336988.46984061453</v>
      </c>
      <c r="P2537" s="8">
        <f>VLOOKUP(F2537,'LEAID Match'!$A$2:$B$436,2,FALSE)</f>
        <v>1804230</v>
      </c>
      <c r="Q2537" s="6">
        <f>COUNTIF($P$2:$P$3691,P2537)</f>
        <v>9</v>
      </c>
    </row>
    <row r="2538" spans="1:17" x14ac:dyDescent="0.2">
      <c r="A2538" s="16">
        <f>P2538</f>
        <v>1804230</v>
      </c>
      <c r="B2538">
        <v>2020</v>
      </c>
      <c r="C2538" t="s">
        <v>904</v>
      </c>
      <c r="D2538" t="s">
        <v>906</v>
      </c>
      <c r="E2538" t="s">
        <v>3444</v>
      </c>
      <c r="F2538" t="s">
        <v>770</v>
      </c>
      <c r="G2538" t="s">
        <v>277</v>
      </c>
      <c r="H2538" s="6">
        <v>64105</v>
      </c>
      <c r="I2538" s="6">
        <v>3.3967365746722343E-4</v>
      </c>
      <c r="J2538" s="6">
        <v>800.27113699277845</v>
      </c>
      <c r="K2538" s="6">
        <v>527907</v>
      </c>
      <c r="M2538" s="6">
        <f>SUM(H2538,J2538)</f>
        <v>64905.271136992778</v>
      </c>
      <c r="N2538" s="6">
        <f>K2538</f>
        <v>527907</v>
      </c>
      <c r="O2538" s="6">
        <f>SUM(M2538:N2538)</f>
        <v>592812.27113699273</v>
      </c>
      <c r="P2538" s="8">
        <f>VLOOKUP(F2538,'LEAID Match'!$A$2:$B$436,2,FALSE)</f>
        <v>1804230</v>
      </c>
      <c r="Q2538" s="6">
        <f>COUNTIF($P$2:$P$3691,P2538)</f>
        <v>9</v>
      </c>
    </row>
    <row r="2539" spans="1:17" x14ac:dyDescent="0.2">
      <c r="A2539" s="16">
        <f>P2539</f>
        <v>1804230</v>
      </c>
      <c r="B2539">
        <v>2021</v>
      </c>
      <c r="C2539" t="s">
        <v>904</v>
      </c>
      <c r="D2539" t="s">
        <v>906</v>
      </c>
      <c r="E2539" t="s">
        <v>3445</v>
      </c>
      <c r="F2539" t="s">
        <v>770</v>
      </c>
      <c r="G2539" t="s">
        <v>277</v>
      </c>
      <c r="H2539" s="6">
        <v>71727</v>
      </c>
      <c r="I2539" s="6">
        <v>3.5433805053427625E-4</v>
      </c>
      <c r="J2539" s="6">
        <v>798.67796590425871</v>
      </c>
      <c r="K2539" s="6">
        <v>869836</v>
      </c>
      <c r="M2539" s="6">
        <f>SUM(H2539,J2539)</f>
        <v>72525.677965904266</v>
      </c>
      <c r="N2539" s="6">
        <f>K2539</f>
        <v>869836</v>
      </c>
      <c r="O2539" s="6">
        <f>SUM(M2539:N2539)</f>
        <v>942361.67796590424</v>
      </c>
      <c r="P2539" s="8">
        <f>VLOOKUP(F2539,'LEAID Match'!$A$2:$B$436,2,FALSE)</f>
        <v>1804230</v>
      </c>
      <c r="Q2539" s="6">
        <f>COUNTIF($P$2:$P$3691,P2539)</f>
        <v>9</v>
      </c>
    </row>
    <row r="2540" spans="1:17" x14ac:dyDescent="0.2">
      <c r="A2540" s="16">
        <f>P2540</f>
        <v>1804230</v>
      </c>
      <c r="B2540">
        <v>2022</v>
      </c>
      <c r="C2540" t="s">
        <v>904</v>
      </c>
      <c r="D2540" t="s">
        <v>906</v>
      </c>
      <c r="E2540" t="s">
        <v>3446</v>
      </c>
      <c r="F2540" t="s">
        <v>770</v>
      </c>
      <c r="G2540" t="s">
        <v>277</v>
      </c>
      <c r="H2540" s="6">
        <v>80700</v>
      </c>
      <c r="I2540" s="6">
        <v>3.8317859818663366E-4</v>
      </c>
      <c r="J2540" s="6">
        <v>844.90880900152717</v>
      </c>
      <c r="K2540" s="6">
        <v>901874</v>
      </c>
      <c r="M2540" s="6">
        <f>SUM(H2540,J2540)</f>
        <v>81544.908809001528</v>
      </c>
      <c r="N2540" s="6">
        <f>K2540</f>
        <v>901874</v>
      </c>
      <c r="O2540" s="6">
        <f>SUM(M2540:N2540)</f>
        <v>983418.90880900156</v>
      </c>
      <c r="P2540" s="8">
        <f>VLOOKUP(F2540,'LEAID Match'!$A$2:$B$436,2,FALSE)</f>
        <v>1804230</v>
      </c>
      <c r="Q2540" s="6">
        <f>COUNTIF($P$2:$P$3691,P2540)</f>
        <v>9</v>
      </c>
    </row>
    <row r="2541" spans="1:17" x14ac:dyDescent="0.2">
      <c r="A2541" s="16">
        <f>P2541</f>
        <v>1804230</v>
      </c>
      <c r="B2541">
        <v>2023</v>
      </c>
      <c r="C2541" t="s">
        <v>904</v>
      </c>
      <c r="D2541" t="s">
        <v>906</v>
      </c>
      <c r="E2541" t="s">
        <v>3447</v>
      </c>
      <c r="F2541" t="s">
        <v>770</v>
      </c>
      <c r="G2541" t="s">
        <v>277</v>
      </c>
      <c r="H2541" s="6">
        <v>99454</v>
      </c>
      <c r="I2541" s="6">
        <v>4.0671221474876043E-4</v>
      </c>
      <c r="J2541" s="6">
        <v>1003.359033785192</v>
      </c>
      <c r="K2541" s="6">
        <v>2342379</v>
      </c>
      <c r="M2541" s="6">
        <f>SUM(H2541,J2541)</f>
        <v>100457.35903378519</v>
      </c>
      <c r="N2541" s="6">
        <f>K2541</f>
        <v>2342379</v>
      </c>
      <c r="O2541" s="6">
        <f>SUM(M2541:N2541)</f>
        <v>2442836.3590337853</v>
      </c>
      <c r="P2541" s="8">
        <f>VLOOKUP(F2541,'LEAID Match'!$A$2:$B$436,2,FALSE)</f>
        <v>1804230</v>
      </c>
      <c r="Q2541" s="6">
        <f>COUNTIF($P$2:$P$3691,P2541)</f>
        <v>9</v>
      </c>
    </row>
    <row r="2542" spans="1:17" x14ac:dyDescent="0.2">
      <c r="A2542" s="16">
        <f>P2542</f>
        <v>1811100</v>
      </c>
      <c r="B2542">
        <v>2015</v>
      </c>
      <c r="C2542" t="s">
        <v>904</v>
      </c>
      <c r="D2542" t="s">
        <v>906</v>
      </c>
      <c r="E2542" t="s">
        <v>3448</v>
      </c>
      <c r="F2542" t="s">
        <v>592</v>
      </c>
      <c r="G2542" t="s">
        <v>278</v>
      </c>
      <c r="H2542" s="6">
        <v>437915</v>
      </c>
      <c r="I2542" s="6">
        <v>2.1294523614448211E-3</v>
      </c>
      <c r="J2542" s="6">
        <v>12374.247672355856</v>
      </c>
      <c r="K2542" s="6">
        <v>1800698.9880755199</v>
      </c>
      <c r="M2542" s="6">
        <f>SUM(H2542,J2542)</f>
        <v>450289.24767235585</v>
      </c>
      <c r="N2542" s="6">
        <f>K2542</f>
        <v>1800698.9880755199</v>
      </c>
      <c r="O2542" s="6">
        <f>SUM(M2542:N2542)</f>
        <v>2250988.2357478756</v>
      </c>
      <c r="P2542" s="8">
        <f>VLOOKUP(F2542,'LEAID Match'!$A$2:$B$436,2,FALSE)</f>
        <v>1811100</v>
      </c>
      <c r="Q2542" s="6">
        <f>COUNTIF($P$2:$P$3691,P2542)</f>
        <v>9</v>
      </c>
    </row>
    <row r="2543" spans="1:17" x14ac:dyDescent="0.2">
      <c r="A2543" s="16">
        <f>P2543</f>
        <v>1811100</v>
      </c>
      <c r="B2543">
        <v>2016</v>
      </c>
      <c r="C2543" t="s">
        <v>904</v>
      </c>
      <c r="D2543" t="s">
        <v>906</v>
      </c>
      <c r="E2543" t="s">
        <v>3449</v>
      </c>
      <c r="F2543" t="s">
        <v>592</v>
      </c>
      <c r="G2543" t="s">
        <v>278</v>
      </c>
      <c r="H2543" s="6">
        <v>446615</v>
      </c>
      <c r="I2543" s="6">
        <v>2.0723484515819679E-3</v>
      </c>
      <c r="J2543" s="6">
        <v>10461.214983585774</v>
      </c>
      <c r="K2543" s="6">
        <v>1839209.2507789901</v>
      </c>
      <c r="M2543" s="6">
        <f>SUM(H2543,J2543)</f>
        <v>457076.21498358576</v>
      </c>
      <c r="N2543" s="6">
        <f>K2543</f>
        <v>1839209.2507789901</v>
      </c>
      <c r="O2543" s="6">
        <f>SUM(M2543:N2543)</f>
        <v>2296285.4657625761</v>
      </c>
      <c r="P2543" s="8">
        <f>VLOOKUP(F2543,'LEAID Match'!$A$2:$B$436,2,FALSE)</f>
        <v>1811100</v>
      </c>
      <c r="Q2543" s="6">
        <f>COUNTIF($P$2:$P$3691,P2543)</f>
        <v>9</v>
      </c>
    </row>
    <row r="2544" spans="1:17" x14ac:dyDescent="0.2">
      <c r="A2544" s="16">
        <f>P2544</f>
        <v>1811100</v>
      </c>
      <c r="B2544">
        <v>2017</v>
      </c>
      <c r="C2544" t="s">
        <v>904</v>
      </c>
      <c r="D2544" t="s">
        <v>906</v>
      </c>
      <c r="E2544" t="s">
        <v>3450</v>
      </c>
      <c r="F2544" t="s">
        <v>592</v>
      </c>
      <c r="G2544" t="s">
        <v>278</v>
      </c>
      <c r="H2544" s="6">
        <v>464227</v>
      </c>
      <c r="I2544" s="6">
        <v>2.044190080143663E-3</v>
      </c>
      <c r="J2544" s="6">
        <v>9249.9601126500747</v>
      </c>
      <c r="K2544" s="6">
        <v>1780489.5598051299</v>
      </c>
      <c r="M2544" s="6">
        <f>SUM(H2544,J2544)</f>
        <v>473476.96011265006</v>
      </c>
      <c r="N2544" s="6">
        <f>K2544</f>
        <v>1780489.5598051299</v>
      </c>
      <c r="O2544" s="6">
        <f>SUM(M2544:N2544)</f>
        <v>2253966.5199177801</v>
      </c>
      <c r="P2544" s="8">
        <f>VLOOKUP(F2544,'LEAID Match'!$A$2:$B$436,2,FALSE)</f>
        <v>1811100</v>
      </c>
      <c r="Q2544" s="6">
        <f>COUNTIF($P$2:$P$3691,P2544)</f>
        <v>9</v>
      </c>
    </row>
    <row r="2545" spans="1:17" x14ac:dyDescent="0.2">
      <c r="A2545" s="16">
        <f>P2545</f>
        <v>1811100</v>
      </c>
      <c r="B2545">
        <v>2018</v>
      </c>
      <c r="C2545" t="s">
        <v>904</v>
      </c>
      <c r="D2545" t="s">
        <v>906</v>
      </c>
      <c r="E2545" t="s">
        <v>3451</v>
      </c>
      <c r="F2545" t="s">
        <v>592</v>
      </c>
      <c r="G2545" t="s">
        <v>278</v>
      </c>
      <c r="H2545" s="6">
        <v>494891</v>
      </c>
      <c r="I2545" s="6">
        <v>2.099511137186419E-3</v>
      </c>
      <c r="J2545" s="6">
        <v>8750.7624197929945</v>
      </c>
      <c r="K2545" s="6">
        <v>2722950</v>
      </c>
      <c r="M2545" s="6">
        <f>SUM(H2545,J2545)</f>
        <v>503641.762419793</v>
      </c>
      <c r="N2545" s="6">
        <f>K2545</f>
        <v>2722950</v>
      </c>
      <c r="O2545" s="6">
        <f>SUM(M2545:N2545)</f>
        <v>3226591.7624197928</v>
      </c>
      <c r="P2545" s="8">
        <f>VLOOKUP(F2545,'LEAID Match'!$A$2:$B$436,2,FALSE)</f>
        <v>1811100</v>
      </c>
      <c r="Q2545" s="6">
        <f>COUNTIF($P$2:$P$3691,P2545)</f>
        <v>9</v>
      </c>
    </row>
    <row r="2546" spans="1:17" x14ac:dyDescent="0.2">
      <c r="A2546" s="16">
        <f>P2546</f>
        <v>1811100</v>
      </c>
      <c r="B2546">
        <v>2019</v>
      </c>
      <c r="C2546" t="s">
        <v>904</v>
      </c>
      <c r="D2546" t="s">
        <v>906</v>
      </c>
      <c r="E2546" t="s">
        <v>3452</v>
      </c>
      <c r="F2546" t="s">
        <v>592</v>
      </c>
      <c r="G2546" t="s">
        <v>278</v>
      </c>
      <c r="H2546" s="6">
        <v>542632</v>
      </c>
      <c r="I2546" s="6">
        <v>1.3804528650732768E-3</v>
      </c>
      <c r="J2546" s="6">
        <v>4838.4872920818352</v>
      </c>
      <c r="K2546" s="6">
        <v>1303009.4593426599</v>
      </c>
      <c r="M2546" s="6">
        <f>SUM(H2546,J2546)</f>
        <v>547470.48729208182</v>
      </c>
      <c r="N2546" s="6">
        <f>K2546</f>
        <v>1303009.4593426599</v>
      </c>
      <c r="O2546" s="6">
        <f>SUM(M2546:N2546)</f>
        <v>1850479.9466347417</v>
      </c>
      <c r="P2546" s="8">
        <f>VLOOKUP(F2546,'LEAID Match'!$A$2:$B$436,2,FALSE)</f>
        <v>1811100</v>
      </c>
      <c r="Q2546" s="6">
        <f>COUNTIF($P$2:$P$3691,P2546)</f>
        <v>9</v>
      </c>
    </row>
    <row r="2547" spans="1:17" x14ac:dyDescent="0.2">
      <c r="A2547" s="16">
        <f>P2547</f>
        <v>1811100</v>
      </c>
      <c r="B2547">
        <v>2020</v>
      </c>
      <c r="C2547" t="s">
        <v>904</v>
      </c>
      <c r="D2547" t="s">
        <v>906</v>
      </c>
      <c r="E2547" t="s">
        <v>3453</v>
      </c>
      <c r="F2547" t="s">
        <v>592</v>
      </c>
      <c r="G2547" t="s">
        <v>278</v>
      </c>
      <c r="H2547" s="6">
        <v>416705</v>
      </c>
      <c r="I2547" s="6">
        <v>2.2079979944603281E-3</v>
      </c>
      <c r="J2547" s="6">
        <v>5202.0432749485326</v>
      </c>
      <c r="K2547" s="6">
        <v>2933984</v>
      </c>
      <c r="M2547" s="6">
        <f>SUM(H2547,J2547)</f>
        <v>421907.04327494855</v>
      </c>
      <c r="N2547" s="6">
        <f>K2547</f>
        <v>2933984</v>
      </c>
      <c r="O2547" s="6">
        <f>SUM(M2547:N2547)</f>
        <v>3355891.0432749484</v>
      </c>
      <c r="P2547" s="8">
        <f>VLOOKUP(F2547,'LEAID Match'!$A$2:$B$436,2,FALSE)</f>
        <v>1811100</v>
      </c>
      <c r="Q2547" s="6">
        <f>COUNTIF($P$2:$P$3691,P2547)</f>
        <v>9</v>
      </c>
    </row>
    <row r="2548" spans="1:17" x14ac:dyDescent="0.2">
      <c r="A2548" s="16">
        <f>P2548</f>
        <v>1811100</v>
      </c>
      <c r="B2548">
        <v>2021</v>
      </c>
      <c r="C2548" t="s">
        <v>904</v>
      </c>
      <c r="D2548" t="s">
        <v>906</v>
      </c>
      <c r="E2548" t="s">
        <v>3454</v>
      </c>
      <c r="F2548" t="s">
        <v>592</v>
      </c>
      <c r="G2548" t="s">
        <v>278</v>
      </c>
      <c r="H2548" s="6">
        <v>453410</v>
      </c>
      <c r="I2548" s="6">
        <v>2.2398875666450038E-3</v>
      </c>
      <c r="J2548" s="6">
        <v>5048.7065752178387</v>
      </c>
      <c r="K2548" s="6">
        <v>5001156</v>
      </c>
      <c r="M2548" s="6">
        <f>SUM(H2548,J2548)</f>
        <v>458458.70657521783</v>
      </c>
      <c r="N2548" s="6">
        <f>K2548</f>
        <v>5001156</v>
      </c>
      <c r="O2548" s="6">
        <f>SUM(M2548:N2548)</f>
        <v>5459614.7065752177</v>
      </c>
      <c r="P2548" s="8">
        <f>VLOOKUP(F2548,'LEAID Match'!$A$2:$B$436,2,FALSE)</f>
        <v>1811100</v>
      </c>
      <c r="Q2548" s="6">
        <f>COUNTIF($P$2:$P$3691,P2548)</f>
        <v>9</v>
      </c>
    </row>
    <row r="2549" spans="1:17" x14ac:dyDescent="0.2">
      <c r="A2549" s="16">
        <f>P2549</f>
        <v>1811100</v>
      </c>
      <c r="B2549">
        <v>2022</v>
      </c>
      <c r="C2549" t="s">
        <v>904</v>
      </c>
      <c r="D2549" t="s">
        <v>906</v>
      </c>
      <c r="E2549" t="s">
        <v>3455</v>
      </c>
      <c r="F2549" t="s">
        <v>592</v>
      </c>
      <c r="G2549" t="s">
        <v>278</v>
      </c>
      <c r="H2549" s="6">
        <v>479178</v>
      </c>
      <c r="I2549" s="6">
        <v>2.2752261997753993E-3</v>
      </c>
      <c r="J2549" s="6">
        <v>5016.8737705047552</v>
      </c>
      <c r="K2549" s="6">
        <v>4823171</v>
      </c>
      <c r="M2549" s="6">
        <f>SUM(H2549,J2549)</f>
        <v>484194.87377050478</v>
      </c>
      <c r="N2549" s="6">
        <f>K2549</f>
        <v>4823171</v>
      </c>
      <c r="O2549" s="6">
        <f>SUM(M2549:N2549)</f>
        <v>5307365.8737705052</v>
      </c>
      <c r="P2549" s="8">
        <f>VLOOKUP(F2549,'LEAID Match'!$A$2:$B$436,2,FALSE)</f>
        <v>1811100</v>
      </c>
      <c r="Q2549" s="6">
        <f>COUNTIF($P$2:$P$3691,P2549)</f>
        <v>9</v>
      </c>
    </row>
    <row r="2550" spans="1:17" x14ac:dyDescent="0.2">
      <c r="A2550" s="16">
        <f>P2550</f>
        <v>1811100</v>
      </c>
      <c r="B2550">
        <v>2023</v>
      </c>
      <c r="C2550" t="s">
        <v>904</v>
      </c>
      <c r="D2550" t="s">
        <v>906</v>
      </c>
      <c r="E2550" t="s">
        <v>3456</v>
      </c>
      <c r="F2550" t="s">
        <v>592</v>
      </c>
      <c r="G2550" t="s">
        <v>278</v>
      </c>
      <c r="H2550" s="6">
        <v>510481</v>
      </c>
      <c r="I2550" s="6">
        <v>2.0875868049265184E-3</v>
      </c>
      <c r="J2550" s="6">
        <v>5150.0766477537209</v>
      </c>
      <c r="K2550" s="6">
        <v>12930726</v>
      </c>
      <c r="M2550" s="6">
        <f>SUM(H2550,J2550)</f>
        <v>515631.07664775371</v>
      </c>
      <c r="N2550" s="6">
        <f>K2550</f>
        <v>12930726</v>
      </c>
      <c r="O2550" s="6">
        <f>SUM(M2550:N2550)</f>
        <v>13446357.076647753</v>
      </c>
      <c r="P2550" s="8">
        <f>VLOOKUP(F2550,'LEAID Match'!$A$2:$B$436,2,FALSE)</f>
        <v>1811100</v>
      </c>
      <c r="Q2550" s="6">
        <f>COUNTIF($P$2:$P$3691,P2550)</f>
        <v>9</v>
      </c>
    </row>
    <row r="2551" spans="1:17" x14ac:dyDescent="0.2">
      <c r="A2551" s="16">
        <f>P2551</f>
        <v>1803780</v>
      </c>
      <c r="B2551">
        <v>2015</v>
      </c>
      <c r="C2551" t="s">
        <v>904</v>
      </c>
      <c r="D2551" t="s">
        <v>906</v>
      </c>
      <c r="E2551" t="s">
        <v>3457</v>
      </c>
      <c r="F2551" t="s">
        <v>593</v>
      </c>
      <c r="G2551" t="s">
        <v>279</v>
      </c>
      <c r="H2551" s="6">
        <v>148951</v>
      </c>
      <c r="I2551" s="6">
        <v>7.2430507904403267E-4</v>
      </c>
      <c r="J2551" s="6">
        <v>4208.9368143248739</v>
      </c>
      <c r="K2551" s="6">
        <v>612483.96372089803</v>
      </c>
      <c r="M2551" s="6">
        <f>SUM(H2551,J2551)</f>
        <v>153159.93681432487</v>
      </c>
      <c r="N2551" s="6">
        <f>K2551</f>
        <v>612483.96372089803</v>
      </c>
      <c r="O2551" s="6">
        <f>SUM(M2551:N2551)</f>
        <v>765643.90053522284</v>
      </c>
      <c r="P2551" s="8">
        <f>VLOOKUP(F2551,'LEAID Match'!$A$2:$B$436,2,FALSE)</f>
        <v>1803780</v>
      </c>
      <c r="Q2551" s="6">
        <f>COUNTIF($P$2:$P$3691,P2551)</f>
        <v>9</v>
      </c>
    </row>
    <row r="2552" spans="1:17" x14ac:dyDescent="0.2">
      <c r="A2552" s="16">
        <f>P2552</f>
        <v>1803780</v>
      </c>
      <c r="B2552">
        <v>2016</v>
      </c>
      <c r="C2552" t="s">
        <v>904</v>
      </c>
      <c r="D2552" t="s">
        <v>906</v>
      </c>
      <c r="E2552" t="s">
        <v>3458</v>
      </c>
      <c r="F2552" t="s">
        <v>593</v>
      </c>
      <c r="G2552" t="s">
        <v>279</v>
      </c>
      <c r="H2552" s="6">
        <v>139553</v>
      </c>
      <c r="I2552" s="6">
        <v>6.4754305937690941E-4</v>
      </c>
      <c r="J2552" s="6">
        <v>3268.7973637346386</v>
      </c>
      <c r="K2552" s="6">
        <v>574694.46519700706</v>
      </c>
      <c r="M2552" s="6">
        <f>SUM(H2552,J2552)</f>
        <v>142821.79736373463</v>
      </c>
      <c r="N2552" s="6">
        <f>K2552</f>
        <v>574694.46519700706</v>
      </c>
      <c r="O2552" s="6">
        <f>SUM(M2552:N2552)</f>
        <v>717516.26256074174</v>
      </c>
      <c r="P2552" s="8">
        <f>VLOOKUP(F2552,'LEAID Match'!$A$2:$B$436,2,FALSE)</f>
        <v>1803780</v>
      </c>
      <c r="Q2552" s="6">
        <f>COUNTIF($P$2:$P$3691,P2552)</f>
        <v>9</v>
      </c>
    </row>
    <row r="2553" spans="1:17" x14ac:dyDescent="0.2">
      <c r="A2553" s="16">
        <f>P2553</f>
        <v>1803780</v>
      </c>
      <c r="B2553">
        <v>2017</v>
      </c>
      <c r="C2553" t="s">
        <v>904</v>
      </c>
      <c r="D2553" t="s">
        <v>906</v>
      </c>
      <c r="E2553" t="s">
        <v>3459</v>
      </c>
      <c r="F2553" t="s">
        <v>593</v>
      </c>
      <c r="G2553" t="s">
        <v>279</v>
      </c>
      <c r="H2553" s="6">
        <v>149453</v>
      </c>
      <c r="I2553" s="6">
        <v>6.5810549590547486E-4</v>
      </c>
      <c r="J2553" s="6">
        <v>2977.9273689722736</v>
      </c>
      <c r="K2553" s="6">
        <v>573209.88693366805</v>
      </c>
      <c r="M2553" s="6">
        <f>SUM(H2553,J2553)</f>
        <v>152430.92736897228</v>
      </c>
      <c r="N2553" s="6">
        <f>K2553</f>
        <v>573209.88693366805</v>
      </c>
      <c r="O2553" s="6">
        <f>SUM(M2553:N2553)</f>
        <v>725640.81430264027</v>
      </c>
      <c r="P2553" s="8">
        <f>VLOOKUP(F2553,'LEAID Match'!$A$2:$B$436,2,FALSE)</f>
        <v>1803780</v>
      </c>
      <c r="Q2553" s="6">
        <f>COUNTIF($P$2:$P$3691,P2553)</f>
        <v>9</v>
      </c>
    </row>
    <row r="2554" spans="1:17" x14ac:dyDescent="0.2">
      <c r="A2554" s="16">
        <f>P2554</f>
        <v>1803780</v>
      </c>
      <c r="B2554">
        <v>2018</v>
      </c>
      <c r="C2554" t="s">
        <v>904</v>
      </c>
      <c r="D2554" t="s">
        <v>906</v>
      </c>
      <c r="E2554" t="s">
        <v>3460</v>
      </c>
      <c r="F2554" t="s">
        <v>593</v>
      </c>
      <c r="G2554" t="s">
        <v>279</v>
      </c>
      <c r="H2554" s="6">
        <v>168118</v>
      </c>
      <c r="I2554" s="6">
        <v>7.1321889741681789E-4</v>
      </c>
      <c r="J2554" s="6">
        <v>2972.6963644332968</v>
      </c>
      <c r="K2554" s="6">
        <v>1007120</v>
      </c>
      <c r="M2554" s="6">
        <f>SUM(H2554,J2554)</f>
        <v>171090.6963644333</v>
      </c>
      <c r="N2554" s="6">
        <f>K2554</f>
        <v>1007120</v>
      </c>
      <c r="O2554" s="6">
        <f>SUM(M2554:N2554)</f>
        <v>1178210.6963644333</v>
      </c>
      <c r="P2554" s="8">
        <f>VLOOKUP(F2554,'LEAID Match'!$A$2:$B$436,2,FALSE)</f>
        <v>1803780</v>
      </c>
      <c r="Q2554" s="6">
        <f>COUNTIF($P$2:$P$3691,P2554)</f>
        <v>9</v>
      </c>
    </row>
    <row r="2555" spans="1:17" x14ac:dyDescent="0.2">
      <c r="A2555" s="16">
        <f>P2555</f>
        <v>1803780</v>
      </c>
      <c r="B2555">
        <v>2019</v>
      </c>
      <c r="C2555" t="s">
        <v>904</v>
      </c>
      <c r="D2555" t="s">
        <v>906</v>
      </c>
      <c r="E2555" t="s">
        <v>3461</v>
      </c>
      <c r="F2555" t="s">
        <v>593</v>
      </c>
      <c r="G2555" t="s">
        <v>279</v>
      </c>
      <c r="H2555" s="6">
        <v>189331</v>
      </c>
      <c r="I2555" s="6">
        <v>4.8165703717655537E-4</v>
      </c>
      <c r="J2555" s="6">
        <v>1688.2079153038267</v>
      </c>
      <c r="K2555" s="6">
        <v>454636.07739095</v>
      </c>
      <c r="M2555" s="6">
        <f>SUM(H2555,J2555)</f>
        <v>191019.20791530382</v>
      </c>
      <c r="N2555" s="6">
        <f>K2555</f>
        <v>454636.07739095</v>
      </c>
      <c r="O2555" s="6">
        <f>SUM(M2555:N2555)</f>
        <v>645655.28530625382</v>
      </c>
      <c r="P2555" s="8">
        <f>VLOOKUP(F2555,'LEAID Match'!$A$2:$B$436,2,FALSE)</f>
        <v>1803780</v>
      </c>
      <c r="Q2555" s="6">
        <f>COUNTIF($P$2:$P$3691,P2555)</f>
        <v>9</v>
      </c>
    </row>
    <row r="2556" spans="1:17" x14ac:dyDescent="0.2">
      <c r="A2556" s="16">
        <f>P2556</f>
        <v>1803780</v>
      </c>
      <c r="B2556">
        <v>2020</v>
      </c>
      <c r="C2556" t="s">
        <v>904</v>
      </c>
      <c r="D2556" t="s">
        <v>906</v>
      </c>
      <c r="E2556" t="s">
        <v>3462</v>
      </c>
      <c r="F2556" t="s">
        <v>593</v>
      </c>
      <c r="G2556" t="s">
        <v>279</v>
      </c>
      <c r="H2556" s="6">
        <v>150731</v>
      </c>
      <c r="I2556" s="6">
        <v>7.9867951117217149E-4</v>
      </c>
      <c r="J2556" s="6">
        <v>1881.688928321636</v>
      </c>
      <c r="K2556" s="6">
        <v>1160697</v>
      </c>
      <c r="M2556" s="6">
        <f>SUM(H2556,J2556)</f>
        <v>152612.68892832164</v>
      </c>
      <c r="N2556" s="6">
        <f>K2556</f>
        <v>1160697</v>
      </c>
      <c r="O2556" s="6">
        <f>SUM(M2556:N2556)</f>
        <v>1313309.6889283217</v>
      </c>
      <c r="P2556" s="8">
        <f>VLOOKUP(F2556,'LEAID Match'!$A$2:$B$436,2,FALSE)</f>
        <v>1803780</v>
      </c>
      <c r="Q2556" s="6">
        <f>COUNTIF($P$2:$P$3691,P2556)</f>
        <v>9</v>
      </c>
    </row>
    <row r="2557" spans="1:17" x14ac:dyDescent="0.2">
      <c r="A2557" s="16">
        <f>P2557</f>
        <v>1803780</v>
      </c>
      <c r="B2557">
        <v>2021</v>
      </c>
      <c r="C2557" t="s">
        <v>904</v>
      </c>
      <c r="D2557" t="s">
        <v>906</v>
      </c>
      <c r="E2557" t="s">
        <v>3463</v>
      </c>
      <c r="F2557" t="s">
        <v>593</v>
      </c>
      <c r="G2557" t="s">
        <v>279</v>
      </c>
      <c r="H2557" s="6">
        <v>161753</v>
      </c>
      <c r="I2557" s="6">
        <v>7.9907486285597871E-4</v>
      </c>
      <c r="J2557" s="6">
        <v>1801.1147408773761</v>
      </c>
      <c r="K2557" s="6">
        <v>2096908</v>
      </c>
      <c r="M2557" s="6">
        <f>SUM(H2557,J2557)</f>
        <v>163554.11474087738</v>
      </c>
      <c r="N2557" s="6">
        <f>K2557</f>
        <v>2096908</v>
      </c>
      <c r="O2557" s="6">
        <f>SUM(M2557:N2557)</f>
        <v>2260462.1147408774</v>
      </c>
      <c r="P2557" s="8">
        <f>VLOOKUP(F2557,'LEAID Match'!$A$2:$B$436,2,FALSE)</f>
        <v>1803780</v>
      </c>
      <c r="Q2557" s="6">
        <f>COUNTIF($P$2:$P$3691,P2557)</f>
        <v>9</v>
      </c>
    </row>
    <row r="2558" spans="1:17" x14ac:dyDescent="0.2">
      <c r="A2558" s="16">
        <f>P2558</f>
        <v>1803780</v>
      </c>
      <c r="B2558">
        <v>2022</v>
      </c>
      <c r="C2558" t="s">
        <v>904</v>
      </c>
      <c r="D2558" t="s">
        <v>906</v>
      </c>
      <c r="E2558" t="s">
        <v>3464</v>
      </c>
      <c r="F2558" t="s">
        <v>593</v>
      </c>
      <c r="G2558" t="s">
        <v>279</v>
      </c>
      <c r="H2558" s="6">
        <v>179325</v>
      </c>
      <c r="I2558" s="6">
        <v>8.5146842775487089E-4</v>
      </c>
      <c r="J2558" s="6">
        <v>1877.4878831994904</v>
      </c>
      <c r="K2558" s="6">
        <v>2080961</v>
      </c>
      <c r="M2558" s="6">
        <f>SUM(H2558,J2558)</f>
        <v>181202.4878831995</v>
      </c>
      <c r="N2558" s="6">
        <f>K2558</f>
        <v>2080961</v>
      </c>
      <c r="O2558" s="6">
        <f>SUM(M2558:N2558)</f>
        <v>2262163.4878831995</v>
      </c>
      <c r="P2558" s="8">
        <f>VLOOKUP(F2558,'LEAID Match'!$A$2:$B$436,2,FALSE)</f>
        <v>1803780</v>
      </c>
      <c r="Q2558" s="6">
        <f>COUNTIF($P$2:$P$3691,P2558)</f>
        <v>9</v>
      </c>
    </row>
    <row r="2559" spans="1:17" x14ac:dyDescent="0.2">
      <c r="A2559" s="16">
        <f>P2559</f>
        <v>1803780</v>
      </c>
      <c r="B2559">
        <v>2023</v>
      </c>
      <c r="C2559" t="s">
        <v>904</v>
      </c>
      <c r="D2559" t="s">
        <v>906</v>
      </c>
      <c r="E2559" t="s">
        <v>3465</v>
      </c>
      <c r="F2559" t="s">
        <v>593</v>
      </c>
      <c r="G2559" t="s">
        <v>279</v>
      </c>
      <c r="H2559" s="6">
        <v>232153</v>
      </c>
      <c r="I2559" s="6">
        <v>9.4937821294838805E-4</v>
      </c>
      <c r="J2559" s="6">
        <v>2342.1160513436735</v>
      </c>
      <c r="K2559" s="6">
        <v>7664503</v>
      </c>
      <c r="M2559" s="6">
        <f>SUM(H2559,J2559)</f>
        <v>234495.11605134368</v>
      </c>
      <c r="N2559" s="6">
        <f>K2559</f>
        <v>7664503</v>
      </c>
      <c r="O2559" s="6">
        <f>SUM(M2559:N2559)</f>
        <v>7898998.1160513433</v>
      </c>
      <c r="P2559" s="8">
        <f>VLOOKUP(F2559,'LEAID Match'!$A$2:$B$436,2,FALSE)</f>
        <v>1803780</v>
      </c>
      <c r="Q2559" s="6">
        <f>COUNTIF($P$2:$P$3691,P2559)</f>
        <v>9</v>
      </c>
    </row>
    <row r="2560" spans="1:17" x14ac:dyDescent="0.2">
      <c r="A2560" s="16">
        <f>P2560</f>
        <v>1810860</v>
      </c>
      <c r="B2560">
        <v>2021</v>
      </c>
      <c r="C2560" t="s">
        <v>904</v>
      </c>
      <c r="D2560" t="s">
        <v>906</v>
      </c>
      <c r="E2560" t="s">
        <v>3472</v>
      </c>
      <c r="F2560" t="s">
        <v>594</v>
      </c>
      <c r="G2560" t="s">
        <v>280</v>
      </c>
      <c r="H2560" s="6">
        <v>323309</v>
      </c>
      <c r="I2560" s="6">
        <v>1.5971765273911681E-3</v>
      </c>
      <c r="J2560" s="6">
        <v>3600.0358927396928</v>
      </c>
      <c r="K2560" s="6">
        <v>3441781</v>
      </c>
      <c r="M2560" s="6">
        <f>SUM(H2560,J2560)</f>
        <v>326909.03589273972</v>
      </c>
      <c r="N2560" s="6">
        <f>K2560</f>
        <v>3441781</v>
      </c>
      <c r="O2560" s="6">
        <f>SUM(M2560:N2560)</f>
        <v>3768690.0358927399</v>
      </c>
      <c r="P2560" s="8">
        <f>VLOOKUP(F2560,'LEAID Match'!$A$2:$B$436,2,FALSE)</f>
        <v>1810860</v>
      </c>
      <c r="Q2560" s="6">
        <f>COUNTIF($P$2:$P$3691,P2560)</f>
        <v>9</v>
      </c>
    </row>
    <row r="2561" spans="1:17" x14ac:dyDescent="0.2">
      <c r="A2561" s="16">
        <f>P2561</f>
        <v>1810860</v>
      </c>
      <c r="B2561">
        <v>2022</v>
      </c>
      <c r="C2561" t="s">
        <v>904</v>
      </c>
      <c r="D2561" t="s">
        <v>906</v>
      </c>
      <c r="E2561" t="s">
        <v>3473</v>
      </c>
      <c r="F2561" t="s">
        <v>594</v>
      </c>
      <c r="G2561" t="s">
        <v>280</v>
      </c>
      <c r="H2561" s="6">
        <v>319600</v>
      </c>
      <c r="I2561" s="6">
        <v>1.5175201980229011E-3</v>
      </c>
      <c r="J2561" s="6">
        <v>3346.1320366404971</v>
      </c>
      <c r="K2561" s="6">
        <v>3366871</v>
      </c>
      <c r="M2561" s="6">
        <f>SUM(H2561,J2561)</f>
        <v>322946.13203664048</v>
      </c>
      <c r="N2561" s="6">
        <f>K2561</f>
        <v>3366871</v>
      </c>
      <c r="O2561" s="6">
        <f>SUM(M2561:N2561)</f>
        <v>3689817.1320366403</v>
      </c>
      <c r="P2561" s="8">
        <f>VLOOKUP(F2561,'LEAID Match'!$A$2:$B$436,2,FALSE)</f>
        <v>1810860</v>
      </c>
      <c r="Q2561" s="6">
        <f>COUNTIF($P$2:$P$3691,P2561)</f>
        <v>9</v>
      </c>
    </row>
    <row r="2562" spans="1:17" x14ac:dyDescent="0.2">
      <c r="A2562" s="16">
        <f>P2562</f>
        <v>1810860</v>
      </c>
      <c r="B2562">
        <v>2023</v>
      </c>
      <c r="C2562" t="s">
        <v>904</v>
      </c>
      <c r="D2562" t="s">
        <v>906</v>
      </c>
      <c r="E2562" t="s">
        <v>3474</v>
      </c>
      <c r="F2562" t="s">
        <v>594</v>
      </c>
      <c r="G2562" t="s">
        <v>280</v>
      </c>
      <c r="H2562" s="6">
        <v>373982</v>
      </c>
      <c r="I2562" s="6">
        <v>1.529380894646479E-3</v>
      </c>
      <c r="J2562" s="6">
        <v>3772.9826670928637</v>
      </c>
      <c r="K2562" s="6">
        <v>9913288</v>
      </c>
      <c r="M2562" s="6">
        <f>SUM(H2562,J2562)</f>
        <v>377754.98266709287</v>
      </c>
      <c r="N2562" s="6">
        <f>K2562</f>
        <v>9913288</v>
      </c>
      <c r="O2562" s="6">
        <f>SUM(M2562:N2562)</f>
        <v>10291042.982667092</v>
      </c>
      <c r="P2562" s="8">
        <f>VLOOKUP(F2562,'LEAID Match'!$A$2:$B$436,2,FALSE)</f>
        <v>1810860</v>
      </c>
      <c r="Q2562" s="6">
        <f>COUNTIF($P$2:$P$3691,P2562)</f>
        <v>9</v>
      </c>
    </row>
    <row r="2563" spans="1:17" x14ac:dyDescent="0.2">
      <c r="A2563" s="16">
        <f>P2563</f>
        <v>1812720</v>
      </c>
      <c r="B2563">
        <v>2015</v>
      </c>
      <c r="C2563" t="s">
        <v>904</v>
      </c>
      <c r="D2563" t="s">
        <v>906</v>
      </c>
      <c r="E2563" t="s">
        <v>2470</v>
      </c>
      <c r="F2563" t="s">
        <v>538</v>
      </c>
      <c r="G2563" t="s">
        <v>180</v>
      </c>
      <c r="H2563" s="6">
        <v>2974666</v>
      </c>
      <c r="I2563" s="6">
        <v>1.4464929354348722E-2</v>
      </c>
      <c r="J2563" s="6">
        <v>84055.704478120417</v>
      </c>
      <c r="K2563" s="6">
        <v>12231775.700906901</v>
      </c>
      <c r="M2563" s="6">
        <f>SUM(H2563,J2563)</f>
        <v>3058721.7044781204</v>
      </c>
      <c r="N2563" s="6">
        <f>K2563</f>
        <v>12231775.700906901</v>
      </c>
      <c r="O2563" s="6">
        <f>SUM(M2563:N2563)</f>
        <v>15290497.405385021</v>
      </c>
      <c r="P2563" s="8">
        <f>VLOOKUP(F2563,'LEAID Match'!$A$2:$B$436,2,FALSE)</f>
        <v>1812720</v>
      </c>
      <c r="Q2563" s="6">
        <f>COUNTIF($P$2:$P$3691,P2563)</f>
        <v>9</v>
      </c>
    </row>
    <row r="2564" spans="1:17" x14ac:dyDescent="0.2">
      <c r="A2564" s="16">
        <f>P2564</f>
        <v>1812720</v>
      </c>
      <c r="B2564">
        <v>2016</v>
      </c>
      <c r="C2564" t="s">
        <v>904</v>
      </c>
      <c r="D2564" t="s">
        <v>906</v>
      </c>
      <c r="E2564" t="s">
        <v>2471</v>
      </c>
      <c r="F2564" t="s">
        <v>538</v>
      </c>
      <c r="G2564" t="s">
        <v>180</v>
      </c>
      <c r="H2564" s="6">
        <v>3126949</v>
      </c>
      <c r="I2564" s="6">
        <v>1.4509427400167444E-2</v>
      </c>
      <c r="J2564" s="6">
        <v>73243.589516045264</v>
      </c>
      <c r="K2564" s="6">
        <v>12877116.817648601</v>
      </c>
      <c r="M2564" s="6">
        <f>SUM(H2564,J2564)</f>
        <v>3200192.5895160451</v>
      </c>
      <c r="N2564" s="6">
        <f>K2564</f>
        <v>12877116.817648601</v>
      </c>
      <c r="O2564" s="6">
        <f>SUM(M2564:N2564)</f>
        <v>16077309.407164646</v>
      </c>
      <c r="P2564" s="8">
        <f>VLOOKUP(F2564,'LEAID Match'!$A$2:$B$436,2,FALSE)</f>
        <v>1812720</v>
      </c>
      <c r="Q2564" s="6">
        <f>COUNTIF($P$2:$P$3691,P2564)</f>
        <v>9</v>
      </c>
    </row>
    <row r="2565" spans="1:17" x14ac:dyDescent="0.2">
      <c r="A2565" s="16">
        <f>P2565</f>
        <v>1812720</v>
      </c>
      <c r="B2565">
        <v>2017</v>
      </c>
      <c r="C2565" t="s">
        <v>904</v>
      </c>
      <c r="D2565" t="s">
        <v>906</v>
      </c>
      <c r="E2565" t="s">
        <v>2472</v>
      </c>
      <c r="F2565" t="s">
        <v>538</v>
      </c>
      <c r="G2565" t="s">
        <v>180</v>
      </c>
      <c r="H2565" s="6">
        <v>3150891</v>
      </c>
      <c r="I2565" s="6">
        <v>1.3874721043398913E-2</v>
      </c>
      <c r="J2565" s="6">
        <v>62783.112721380079</v>
      </c>
      <c r="K2565" s="6">
        <v>12084882.0288004</v>
      </c>
      <c r="M2565" s="6">
        <f>SUM(H2565,J2565)</f>
        <v>3213674.1127213798</v>
      </c>
      <c r="N2565" s="6">
        <f>K2565</f>
        <v>12084882.0288004</v>
      </c>
      <c r="O2565" s="6">
        <f>SUM(M2565:N2565)</f>
        <v>15298556.14152178</v>
      </c>
      <c r="P2565" s="8">
        <f>VLOOKUP(F2565,'LEAID Match'!$A$2:$B$436,2,FALSE)</f>
        <v>1812720</v>
      </c>
      <c r="Q2565" s="6">
        <f>COUNTIF($P$2:$P$3691,P2565)</f>
        <v>9</v>
      </c>
    </row>
    <row r="2566" spans="1:17" x14ac:dyDescent="0.2">
      <c r="A2566" s="16">
        <f>P2566</f>
        <v>1812720</v>
      </c>
      <c r="B2566">
        <v>2018</v>
      </c>
      <c r="C2566" t="s">
        <v>904</v>
      </c>
      <c r="D2566" t="s">
        <v>906</v>
      </c>
      <c r="E2566" t="s">
        <v>2473</v>
      </c>
      <c r="F2566" t="s">
        <v>538</v>
      </c>
      <c r="G2566" t="s">
        <v>180</v>
      </c>
      <c r="H2566" s="6">
        <v>3260998</v>
      </c>
      <c r="I2566" s="6">
        <v>1.3834362757339775E-2</v>
      </c>
      <c r="J2566" s="6">
        <v>57661.623972592184</v>
      </c>
      <c r="K2566" s="6">
        <v>9806660</v>
      </c>
      <c r="M2566" s="6">
        <f>SUM(H2566,J2566)</f>
        <v>3318659.6239725924</v>
      </c>
      <c r="N2566" s="6">
        <f>K2566</f>
        <v>9806660</v>
      </c>
      <c r="O2566" s="6">
        <f>SUM(M2566:N2566)</f>
        <v>13125319.623972593</v>
      </c>
      <c r="P2566" s="8">
        <f>VLOOKUP(F2566,'LEAID Match'!$A$2:$B$436,2,FALSE)</f>
        <v>1812720</v>
      </c>
      <c r="Q2566" s="6">
        <f>COUNTIF($P$2:$P$3691,P2566)</f>
        <v>9</v>
      </c>
    </row>
    <row r="2567" spans="1:17" x14ac:dyDescent="0.2">
      <c r="A2567" s="16">
        <f>P2567</f>
        <v>1812720</v>
      </c>
      <c r="B2567">
        <v>2019</v>
      </c>
      <c r="C2567" t="s">
        <v>904</v>
      </c>
      <c r="D2567" t="s">
        <v>906</v>
      </c>
      <c r="E2567" t="s">
        <v>2474</v>
      </c>
      <c r="F2567" t="s">
        <v>538</v>
      </c>
      <c r="G2567" t="s">
        <v>180</v>
      </c>
      <c r="H2567" s="6">
        <v>3388986</v>
      </c>
      <c r="I2567" s="6">
        <v>8.621562004071312E-3</v>
      </c>
      <c r="J2567" s="6">
        <v>30218.574824269948</v>
      </c>
      <c r="K2567" s="6">
        <v>8137892.3756429097</v>
      </c>
      <c r="M2567" s="6">
        <f>SUM(H2567,J2567)</f>
        <v>3419204.5748242699</v>
      </c>
      <c r="N2567" s="6">
        <f>K2567</f>
        <v>8137892.3756429097</v>
      </c>
      <c r="O2567" s="6">
        <f>SUM(M2567:N2567)</f>
        <v>11557096.95046718</v>
      </c>
      <c r="P2567" s="8">
        <f>VLOOKUP(F2567,'LEAID Match'!$A$2:$B$436,2,FALSE)</f>
        <v>1812720</v>
      </c>
      <c r="Q2567" s="6">
        <f>COUNTIF($P$2:$P$3691,P2567)</f>
        <v>9</v>
      </c>
    </row>
    <row r="2568" spans="1:17" x14ac:dyDescent="0.2">
      <c r="A2568" s="16">
        <f>P2568</f>
        <v>1812720</v>
      </c>
      <c r="B2568">
        <v>2020</v>
      </c>
      <c r="C2568" t="s">
        <v>904</v>
      </c>
      <c r="D2568" t="s">
        <v>906</v>
      </c>
      <c r="E2568" t="s">
        <v>2475</v>
      </c>
      <c r="F2568" t="s">
        <v>538</v>
      </c>
      <c r="G2568" t="s">
        <v>180</v>
      </c>
      <c r="H2568" s="6">
        <v>2562241</v>
      </c>
      <c r="I2568" s="6">
        <v>1.3576566130293675E-2</v>
      </c>
      <c r="J2568" s="6">
        <v>31986.389802971898</v>
      </c>
      <c r="K2568" s="6">
        <v>10327406</v>
      </c>
      <c r="M2568" s="6">
        <f>SUM(H2568,J2568)</f>
        <v>2594227.3898029719</v>
      </c>
      <c r="N2568" s="6">
        <f>K2568</f>
        <v>10327406</v>
      </c>
      <c r="O2568" s="6">
        <f>SUM(M2568:N2568)</f>
        <v>12921633.389802972</v>
      </c>
      <c r="P2568" s="8">
        <f>VLOOKUP(F2568,'LEAID Match'!$A$2:$B$436,2,FALSE)</f>
        <v>1812720</v>
      </c>
      <c r="Q2568" s="6">
        <f>COUNTIF($P$2:$P$3691,P2568)</f>
        <v>9</v>
      </c>
    </row>
    <row r="2569" spans="1:17" x14ac:dyDescent="0.2">
      <c r="A2569" s="16">
        <f>P2569</f>
        <v>1808160</v>
      </c>
      <c r="B2569">
        <v>2015</v>
      </c>
      <c r="C2569" t="s">
        <v>904</v>
      </c>
      <c r="D2569" t="s">
        <v>906</v>
      </c>
      <c r="E2569" t="s">
        <v>3475</v>
      </c>
      <c r="F2569" t="s">
        <v>595</v>
      </c>
      <c r="G2569" t="s">
        <v>281</v>
      </c>
      <c r="H2569" s="6">
        <v>183107</v>
      </c>
      <c r="I2569" s="6">
        <v>8.9039570132805877E-4</v>
      </c>
      <c r="J2569" s="6">
        <v>5174.0894204173492</v>
      </c>
      <c r="K2569" s="6">
        <v>752932.85137422697</v>
      </c>
      <c r="M2569" s="6">
        <f>SUM(H2569,J2569)</f>
        <v>188281.08942041735</v>
      </c>
      <c r="N2569" s="6">
        <f>K2569</f>
        <v>752932.85137422697</v>
      </c>
      <c r="O2569" s="6">
        <f>SUM(M2569:N2569)</f>
        <v>941213.9407946443</v>
      </c>
      <c r="P2569" s="8">
        <f>VLOOKUP(F2569,'LEAID Match'!$A$2:$B$436,2,FALSE)</f>
        <v>1808160</v>
      </c>
      <c r="Q2569" s="6">
        <f>COUNTIF($P$2:$P$3691,P2569)</f>
        <v>9</v>
      </c>
    </row>
    <row r="2570" spans="1:17" x14ac:dyDescent="0.2">
      <c r="A2570" s="16">
        <f>P2570</f>
        <v>1808160</v>
      </c>
      <c r="B2570">
        <v>2016</v>
      </c>
      <c r="C2570" t="s">
        <v>904</v>
      </c>
      <c r="D2570" t="s">
        <v>906</v>
      </c>
      <c r="E2570" t="s">
        <v>3476</v>
      </c>
      <c r="F2570" t="s">
        <v>595</v>
      </c>
      <c r="G2570" t="s">
        <v>281</v>
      </c>
      <c r="H2570" s="6">
        <v>158250</v>
      </c>
      <c r="I2570" s="6">
        <v>7.342994356724392E-4</v>
      </c>
      <c r="J2570" s="6">
        <v>3706.7435512744732</v>
      </c>
      <c r="K2570" s="6">
        <v>651690.74915928894</v>
      </c>
      <c r="M2570" s="6">
        <f>SUM(H2570,J2570)</f>
        <v>161956.74355127447</v>
      </c>
      <c r="N2570" s="6">
        <f>K2570</f>
        <v>651690.74915928894</v>
      </c>
      <c r="O2570" s="6">
        <f>SUM(M2570:N2570)</f>
        <v>813647.49271056335</v>
      </c>
      <c r="P2570" s="8">
        <f>VLOOKUP(F2570,'LEAID Match'!$A$2:$B$436,2,FALSE)</f>
        <v>1808160</v>
      </c>
      <c r="Q2570" s="6">
        <f>COUNTIF($P$2:$P$3691,P2570)</f>
        <v>9</v>
      </c>
    </row>
    <row r="2571" spans="1:17" x14ac:dyDescent="0.2">
      <c r="A2571" s="16">
        <f>P2571</f>
        <v>1808160</v>
      </c>
      <c r="B2571">
        <v>2017</v>
      </c>
      <c r="C2571" t="s">
        <v>904</v>
      </c>
      <c r="D2571" t="s">
        <v>906</v>
      </c>
      <c r="E2571" t="s">
        <v>3477</v>
      </c>
      <c r="F2571" t="s">
        <v>595</v>
      </c>
      <c r="G2571" t="s">
        <v>281</v>
      </c>
      <c r="H2571" s="6">
        <v>172344</v>
      </c>
      <c r="I2571" s="6">
        <v>7.5890436181497297E-4</v>
      </c>
      <c r="J2571" s="6">
        <v>3434.0422372127528</v>
      </c>
      <c r="K2571" s="6">
        <v>661005.69914084102</v>
      </c>
      <c r="M2571" s="6">
        <f>SUM(H2571,J2571)</f>
        <v>175778.04223721277</v>
      </c>
      <c r="N2571" s="6">
        <f>K2571</f>
        <v>661005.69914084102</v>
      </c>
      <c r="O2571" s="6">
        <f>SUM(M2571:N2571)</f>
        <v>836783.74137805379</v>
      </c>
      <c r="P2571" s="8">
        <f>VLOOKUP(F2571,'LEAID Match'!$A$2:$B$436,2,FALSE)</f>
        <v>1808160</v>
      </c>
      <c r="Q2571" s="6">
        <f>COUNTIF($P$2:$P$3691,P2571)</f>
        <v>9</v>
      </c>
    </row>
    <row r="2572" spans="1:17" x14ac:dyDescent="0.2">
      <c r="A2572" s="16">
        <f>P2572</f>
        <v>1808160</v>
      </c>
      <c r="B2572">
        <v>2018</v>
      </c>
      <c r="C2572" t="s">
        <v>904</v>
      </c>
      <c r="D2572" t="s">
        <v>906</v>
      </c>
      <c r="E2572" t="s">
        <v>3478</v>
      </c>
      <c r="F2572" t="s">
        <v>595</v>
      </c>
      <c r="G2572" t="s">
        <v>281</v>
      </c>
      <c r="H2572" s="6">
        <v>172595</v>
      </c>
      <c r="I2572" s="6">
        <v>7.3221199157529635E-4</v>
      </c>
      <c r="J2572" s="6">
        <v>3051.8595808858354</v>
      </c>
      <c r="K2572" s="6">
        <v>1490211</v>
      </c>
      <c r="M2572" s="6">
        <f>SUM(H2572,J2572)</f>
        <v>175646.85958088582</v>
      </c>
      <c r="N2572" s="6">
        <f>K2572</f>
        <v>1490211</v>
      </c>
      <c r="O2572" s="6">
        <f>SUM(M2572:N2572)</f>
        <v>1665857.8595808859</v>
      </c>
      <c r="P2572" s="8">
        <f>VLOOKUP(F2572,'LEAID Match'!$A$2:$B$436,2,FALSE)</f>
        <v>1808160</v>
      </c>
      <c r="Q2572" s="6">
        <f>COUNTIF($P$2:$P$3691,P2572)</f>
        <v>9</v>
      </c>
    </row>
    <row r="2573" spans="1:17" x14ac:dyDescent="0.2">
      <c r="A2573" s="16">
        <f>P2573</f>
        <v>1808160</v>
      </c>
      <c r="B2573">
        <v>2019</v>
      </c>
      <c r="C2573" t="s">
        <v>904</v>
      </c>
      <c r="D2573" t="s">
        <v>906</v>
      </c>
      <c r="E2573" t="s">
        <v>3479</v>
      </c>
      <c r="F2573" t="s">
        <v>595</v>
      </c>
      <c r="G2573" t="s">
        <v>281</v>
      </c>
      <c r="H2573" s="6">
        <v>176909</v>
      </c>
      <c r="I2573" s="6">
        <v>4.5005553654640408E-4</v>
      </c>
      <c r="J2573" s="6">
        <v>1577.4446555951463</v>
      </c>
      <c r="K2573" s="6">
        <v>424807.42094615003</v>
      </c>
      <c r="M2573" s="6">
        <f>SUM(H2573,J2573)</f>
        <v>178486.44465559514</v>
      </c>
      <c r="N2573" s="6">
        <f>K2573</f>
        <v>424807.42094615003</v>
      </c>
      <c r="O2573" s="6">
        <f>SUM(M2573:N2573)</f>
        <v>603293.8656017452</v>
      </c>
      <c r="P2573" s="8">
        <f>VLOOKUP(F2573,'LEAID Match'!$A$2:$B$436,2,FALSE)</f>
        <v>1808160</v>
      </c>
      <c r="Q2573" s="6">
        <f>COUNTIF($P$2:$P$3691,P2573)</f>
        <v>9</v>
      </c>
    </row>
    <row r="2574" spans="1:17" x14ac:dyDescent="0.2">
      <c r="A2574" s="16">
        <f>P2574</f>
        <v>1808160</v>
      </c>
      <c r="B2574">
        <v>2020</v>
      </c>
      <c r="C2574" t="s">
        <v>904</v>
      </c>
      <c r="D2574" t="s">
        <v>906</v>
      </c>
      <c r="E2574" t="s">
        <v>3480</v>
      </c>
      <c r="F2574" t="s">
        <v>595</v>
      </c>
      <c r="G2574" t="s">
        <v>281</v>
      </c>
      <c r="H2574" s="6">
        <v>131173</v>
      </c>
      <c r="I2574" s="6">
        <v>6.9504738586612742E-4</v>
      </c>
      <c r="J2574" s="6">
        <v>1637.5316411005963</v>
      </c>
      <c r="K2574" s="6">
        <v>1548858</v>
      </c>
      <c r="M2574" s="6">
        <f>SUM(H2574,J2574)</f>
        <v>132810.53164110059</v>
      </c>
      <c r="N2574" s="6">
        <f>K2574</f>
        <v>1548858</v>
      </c>
      <c r="O2574" s="6">
        <f>SUM(M2574:N2574)</f>
        <v>1681668.5316411005</v>
      </c>
      <c r="P2574" s="8">
        <f>VLOOKUP(F2574,'LEAID Match'!$A$2:$B$436,2,FALSE)</f>
        <v>1808160</v>
      </c>
      <c r="Q2574" s="6">
        <f>COUNTIF($P$2:$P$3691,P2574)</f>
        <v>9</v>
      </c>
    </row>
    <row r="2575" spans="1:17" x14ac:dyDescent="0.2">
      <c r="A2575" s="16">
        <f>P2575</f>
        <v>1808160</v>
      </c>
      <c r="B2575">
        <v>2021</v>
      </c>
      <c r="C2575" t="s">
        <v>904</v>
      </c>
      <c r="D2575" t="s">
        <v>906</v>
      </c>
      <c r="E2575" t="s">
        <v>3481</v>
      </c>
      <c r="F2575" t="s">
        <v>595</v>
      </c>
      <c r="G2575" t="s">
        <v>281</v>
      </c>
      <c r="H2575" s="6">
        <v>145550</v>
      </c>
      <c r="I2575" s="6">
        <v>7.1903053599431052E-4</v>
      </c>
      <c r="J2575" s="6">
        <v>1620.6948281311759</v>
      </c>
      <c r="K2575" s="6">
        <v>2483395</v>
      </c>
      <c r="M2575" s="6">
        <f>SUM(H2575,J2575)</f>
        <v>147170.69482813118</v>
      </c>
      <c r="N2575" s="6">
        <f>K2575</f>
        <v>2483395</v>
      </c>
      <c r="O2575" s="6">
        <f>SUM(M2575:N2575)</f>
        <v>2630565.6948281312</v>
      </c>
      <c r="P2575" s="8">
        <f>VLOOKUP(F2575,'LEAID Match'!$A$2:$B$436,2,FALSE)</f>
        <v>1808160</v>
      </c>
      <c r="Q2575" s="6">
        <f>COUNTIF($P$2:$P$3691,P2575)</f>
        <v>9</v>
      </c>
    </row>
    <row r="2576" spans="1:17" x14ac:dyDescent="0.2">
      <c r="A2576" s="16">
        <f>P2576</f>
        <v>1808160</v>
      </c>
      <c r="B2576">
        <v>2022</v>
      </c>
      <c r="C2576" t="s">
        <v>904</v>
      </c>
      <c r="D2576" t="s">
        <v>906</v>
      </c>
      <c r="E2576" t="s">
        <v>3482</v>
      </c>
      <c r="F2576" t="s">
        <v>595</v>
      </c>
      <c r="G2576" t="s">
        <v>281</v>
      </c>
      <c r="H2576" s="6">
        <v>151669</v>
      </c>
      <c r="I2576" s="6">
        <v>7.2015259985586783E-4</v>
      </c>
      <c r="J2576" s="6">
        <v>1587.9364826821886</v>
      </c>
      <c r="K2576" s="6">
        <v>2349957</v>
      </c>
      <c r="M2576" s="6">
        <f>SUM(H2576,J2576)</f>
        <v>153256.93648268218</v>
      </c>
      <c r="N2576" s="6">
        <f>K2576</f>
        <v>2349957</v>
      </c>
      <c r="O2576" s="6">
        <f>SUM(M2576:N2576)</f>
        <v>2503213.9364826824</v>
      </c>
      <c r="P2576" s="8">
        <f>VLOOKUP(F2576,'LEAID Match'!$A$2:$B$436,2,FALSE)</f>
        <v>1808160</v>
      </c>
      <c r="Q2576" s="6">
        <f>COUNTIF($P$2:$P$3691,P2576)</f>
        <v>9</v>
      </c>
    </row>
    <row r="2577" spans="1:17" x14ac:dyDescent="0.2">
      <c r="A2577" s="16">
        <f>P2577</f>
        <v>1808160</v>
      </c>
      <c r="B2577">
        <v>2023</v>
      </c>
      <c r="C2577" t="s">
        <v>904</v>
      </c>
      <c r="D2577" t="s">
        <v>906</v>
      </c>
      <c r="E2577" t="s">
        <v>3483</v>
      </c>
      <c r="F2577" t="s">
        <v>595</v>
      </c>
      <c r="G2577" t="s">
        <v>281</v>
      </c>
      <c r="H2577" s="6">
        <v>166755</v>
      </c>
      <c r="I2577" s="6">
        <v>6.8193632604449843E-4</v>
      </c>
      <c r="J2577" s="6">
        <v>1682.3369163517775</v>
      </c>
      <c r="K2577" s="6">
        <v>6059862</v>
      </c>
      <c r="M2577" s="6">
        <f>SUM(H2577,J2577)</f>
        <v>168437.33691635178</v>
      </c>
      <c r="N2577" s="6">
        <f>K2577</f>
        <v>6059862</v>
      </c>
      <c r="O2577" s="6">
        <f>SUM(M2577:N2577)</f>
        <v>6228299.3369163517</v>
      </c>
      <c r="P2577" s="8">
        <f>VLOOKUP(F2577,'LEAID Match'!$A$2:$B$436,2,FALSE)</f>
        <v>1808160</v>
      </c>
      <c r="Q2577" s="6">
        <f>COUNTIF($P$2:$P$3691,P2577)</f>
        <v>9</v>
      </c>
    </row>
    <row r="2578" spans="1:17" x14ac:dyDescent="0.2">
      <c r="A2578" s="16">
        <f>P2578</f>
        <v>1811220</v>
      </c>
      <c r="B2578">
        <v>2015</v>
      </c>
      <c r="C2578" t="s">
        <v>904</v>
      </c>
      <c r="D2578" t="s">
        <v>906</v>
      </c>
      <c r="E2578" t="s">
        <v>3484</v>
      </c>
      <c r="F2578" t="s">
        <v>771</v>
      </c>
      <c r="G2578" t="s">
        <v>282</v>
      </c>
      <c r="H2578" s="6">
        <v>256954</v>
      </c>
      <c r="I2578" s="6">
        <v>1.2494920294639201E-3</v>
      </c>
      <c r="J2578" s="6">
        <v>7260.7981832148398</v>
      </c>
      <c r="K2578" s="6">
        <v>1056590.4519871599</v>
      </c>
      <c r="M2578" s="6">
        <f>SUM(H2578,J2578)</f>
        <v>264214.79818321485</v>
      </c>
      <c r="N2578" s="6">
        <f>K2578</f>
        <v>1056590.4519871599</v>
      </c>
      <c r="O2578" s="6">
        <f>SUM(M2578:N2578)</f>
        <v>1320805.2501703748</v>
      </c>
      <c r="P2578" s="8">
        <f>VLOOKUP(F2578,'LEAID Match'!$A$2:$B$436,2,FALSE)</f>
        <v>1811220</v>
      </c>
      <c r="Q2578" s="6">
        <f>COUNTIF($P$2:$P$3691,P2578)</f>
        <v>9</v>
      </c>
    </row>
    <row r="2579" spans="1:17" x14ac:dyDescent="0.2">
      <c r="A2579" s="16">
        <f>P2579</f>
        <v>1811220</v>
      </c>
      <c r="B2579">
        <v>2016</v>
      </c>
      <c r="C2579" t="s">
        <v>904</v>
      </c>
      <c r="D2579" t="s">
        <v>906</v>
      </c>
      <c r="E2579" t="s">
        <v>3485</v>
      </c>
      <c r="F2579" t="s">
        <v>771</v>
      </c>
      <c r="G2579" t="s">
        <v>282</v>
      </c>
      <c r="H2579" s="6">
        <v>281231</v>
      </c>
      <c r="I2579" s="6">
        <v>1.3049463797383618E-3</v>
      </c>
      <c r="J2579" s="6">
        <v>6587.3693249192502</v>
      </c>
      <c r="K2579" s="6">
        <v>1158139.9120177899</v>
      </c>
      <c r="M2579" s="6">
        <f>SUM(H2579,J2579)</f>
        <v>287818.36932491924</v>
      </c>
      <c r="N2579" s="6">
        <f>K2579</f>
        <v>1158139.9120177899</v>
      </c>
      <c r="O2579" s="6">
        <f>SUM(M2579:N2579)</f>
        <v>1445958.2813427092</v>
      </c>
      <c r="P2579" s="8">
        <f>VLOOKUP(F2579,'LEAID Match'!$A$2:$B$436,2,FALSE)</f>
        <v>1811220</v>
      </c>
      <c r="Q2579" s="6">
        <f>COUNTIF($P$2:$P$3691,P2579)</f>
        <v>9</v>
      </c>
    </row>
    <row r="2580" spans="1:17" x14ac:dyDescent="0.2">
      <c r="A2580" s="16">
        <f>P2580</f>
        <v>1811220</v>
      </c>
      <c r="B2580">
        <v>2017</v>
      </c>
      <c r="C2580" t="s">
        <v>904</v>
      </c>
      <c r="D2580" t="s">
        <v>906</v>
      </c>
      <c r="E2580" t="s">
        <v>3486</v>
      </c>
      <c r="F2580" t="s">
        <v>771</v>
      </c>
      <c r="G2580" t="s">
        <v>282</v>
      </c>
      <c r="H2580" s="6">
        <v>293807</v>
      </c>
      <c r="I2580" s="6">
        <v>1.2937579134276317E-3</v>
      </c>
      <c r="J2580" s="6">
        <v>5854.2545582600333</v>
      </c>
      <c r="K2580" s="6">
        <v>1126863.1425954599</v>
      </c>
      <c r="M2580" s="6">
        <f>SUM(H2580,J2580)</f>
        <v>299661.25455826003</v>
      </c>
      <c r="N2580" s="6">
        <f>K2580</f>
        <v>1126863.1425954599</v>
      </c>
      <c r="O2580" s="6">
        <f>SUM(M2580:N2580)</f>
        <v>1426524.39715372</v>
      </c>
      <c r="P2580" s="8">
        <f>VLOOKUP(F2580,'LEAID Match'!$A$2:$B$436,2,FALSE)</f>
        <v>1811220</v>
      </c>
      <c r="Q2580" s="6">
        <f>COUNTIF($P$2:$P$3691,P2580)</f>
        <v>9</v>
      </c>
    </row>
    <row r="2581" spans="1:17" x14ac:dyDescent="0.2">
      <c r="A2581" s="16">
        <f>P2581</f>
        <v>1811220</v>
      </c>
      <c r="B2581">
        <v>2018</v>
      </c>
      <c r="C2581" t="s">
        <v>904</v>
      </c>
      <c r="D2581" t="s">
        <v>906</v>
      </c>
      <c r="E2581" t="s">
        <v>3487</v>
      </c>
      <c r="F2581" t="s">
        <v>771</v>
      </c>
      <c r="G2581" t="s">
        <v>282</v>
      </c>
      <c r="H2581" s="6">
        <v>307405</v>
      </c>
      <c r="I2581" s="6">
        <v>1.304126001739355E-3</v>
      </c>
      <c r="J2581" s="6">
        <v>5435.5971752496316</v>
      </c>
      <c r="K2581" s="6">
        <v>1173627</v>
      </c>
      <c r="M2581" s="6">
        <f>SUM(H2581,J2581)</f>
        <v>312840.59717524966</v>
      </c>
      <c r="N2581" s="6">
        <f>K2581</f>
        <v>1173627</v>
      </c>
      <c r="O2581" s="6">
        <f>SUM(M2581:N2581)</f>
        <v>1486467.5971752496</v>
      </c>
      <c r="P2581" s="8">
        <f>VLOOKUP(F2581,'LEAID Match'!$A$2:$B$436,2,FALSE)</f>
        <v>1811220</v>
      </c>
      <c r="Q2581" s="6">
        <f>COUNTIF($P$2:$P$3691,P2581)</f>
        <v>9</v>
      </c>
    </row>
    <row r="2582" spans="1:17" x14ac:dyDescent="0.2">
      <c r="A2582" s="16">
        <f>P2582</f>
        <v>1811220</v>
      </c>
      <c r="B2582">
        <v>2019</v>
      </c>
      <c r="C2582" t="s">
        <v>904</v>
      </c>
      <c r="D2582" t="s">
        <v>906</v>
      </c>
      <c r="E2582" t="s">
        <v>3488</v>
      </c>
      <c r="F2582" t="s">
        <v>771</v>
      </c>
      <c r="G2582" t="s">
        <v>282</v>
      </c>
      <c r="H2582" s="6">
        <v>304467</v>
      </c>
      <c r="I2582" s="6">
        <v>7.7456239674450716E-4</v>
      </c>
      <c r="J2582" s="6">
        <v>2714.8412005894975</v>
      </c>
      <c r="K2582" s="6">
        <v>731109.44628714002</v>
      </c>
      <c r="M2582" s="6">
        <f>SUM(H2582,J2582)</f>
        <v>307181.84120058949</v>
      </c>
      <c r="N2582" s="6">
        <f>K2582</f>
        <v>731109.44628714002</v>
      </c>
      <c r="O2582" s="6">
        <f>SUM(M2582:N2582)</f>
        <v>1038291.2874877295</v>
      </c>
      <c r="P2582" s="8">
        <f>VLOOKUP(F2582,'LEAID Match'!$A$2:$B$436,2,FALSE)</f>
        <v>1811220</v>
      </c>
      <c r="Q2582" s="6">
        <f>COUNTIF($P$2:$P$3691,P2582)</f>
        <v>9</v>
      </c>
    </row>
    <row r="2583" spans="1:17" x14ac:dyDescent="0.2">
      <c r="A2583" s="16">
        <f>P2583</f>
        <v>1811220</v>
      </c>
      <c r="B2583">
        <v>2020</v>
      </c>
      <c r="C2583" t="s">
        <v>904</v>
      </c>
      <c r="D2583" t="s">
        <v>906</v>
      </c>
      <c r="E2583" t="s">
        <v>3489</v>
      </c>
      <c r="F2583" t="s">
        <v>771</v>
      </c>
      <c r="G2583" t="s">
        <v>282</v>
      </c>
      <c r="H2583" s="6">
        <v>233142</v>
      </c>
      <c r="I2583" s="6">
        <v>1.235351311898033E-3</v>
      </c>
      <c r="J2583" s="6">
        <v>2910.4876908317656</v>
      </c>
      <c r="K2583" s="6">
        <v>1228968</v>
      </c>
      <c r="M2583" s="6">
        <f>SUM(H2583,J2583)</f>
        <v>236052.48769083177</v>
      </c>
      <c r="N2583" s="6">
        <f>K2583</f>
        <v>1228968</v>
      </c>
      <c r="O2583" s="6">
        <f>SUM(M2583:N2583)</f>
        <v>1465020.4876908318</v>
      </c>
      <c r="P2583" s="8">
        <f>VLOOKUP(F2583,'LEAID Match'!$A$2:$B$436,2,FALSE)</f>
        <v>1811220</v>
      </c>
      <c r="Q2583" s="6">
        <f>COUNTIF($P$2:$P$3691,P2583)</f>
        <v>9</v>
      </c>
    </row>
    <row r="2584" spans="1:17" x14ac:dyDescent="0.2">
      <c r="A2584" s="16">
        <f>P2584</f>
        <v>1811220</v>
      </c>
      <c r="B2584">
        <v>2021</v>
      </c>
      <c r="C2584" t="s">
        <v>904</v>
      </c>
      <c r="D2584" t="s">
        <v>906</v>
      </c>
      <c r="E2584" t="s">
        <v>3490</v>
      </c>
      <c r="F2584" t="s">
        <v>771</v>
      </c>
      <c r="G2584" t="s">
        <v>282</v>
      </c>
      <c r="H2584" s="6">
        <v>234663</v>
      </c>
      <c r="I2584" s="6">
        <v>1.1592570434079896E-3</v>
      </c>
      <c r="J2584" s="6">
        <v>2612.9653758416084</v>
      </c>
      <c r="K2584" s="6">
        <v>1980546</v>
      </c>
      <c r="M2584" s="6">
        <f>SUM(H2584,J2584)</f>
        <v>237275.9653758416</v>
      </c>
      <c r="N2584" s="6">
        <f>K2584</f>
        <v>1980546</v>
      </c>
      <c r="O2584" s="6">
        <f>SUM(M2584:N2584)</f>
        <v>2217821.9653758416</v>
      </c>
      <c r="P2584" s="8">
        <f>VLOOKUP(F2584,'LEAID Match'!$A$2:$B$436,2,FALSE)</f>
        <v>1811220</v>
      </c>
      <c r="Q2584" s="6">
        <f>COUNTIF($P$2:$P$3691,P2584)</f>
        <v>9</v>
      </c>
    </row>
    <row r="2585" spans="1:17" x14ac:dyDescent="0.2">
      <c r="A2585" s="16">
        <f>P2585</f>
        <v>1811220</v>
      </c>
      <c r="B2585">
        <v>2022</v>
      </c>
      <c r="C2585" t="s">
        <v>904</v>
      </c>
      <c r="D2585" t="s">
        <v>906</v>
      </c>
      <c r="E2585" t="s">
        <v>3491</v>
      </c>
      <c r="F2585" t="s">
        <v>771</v>
      </c>
      <c r="G2585" t="s">
        <v>282</v>
      </c>
      <c r="H2585" s="6">
        <v>270646</v>
      </c>
      <c r="I2585" s="6">
        <v>1.2850775078664144E-3</v>
      </c>
      <c r="J2585" s="6">
        <v>2833.5959048454438</v>
      </c>
      <c r="K2585" s="6">
        <v>1974293</v>
      </c>
      <c r="M2585" s="6">
        <f>SUM(H2585,J2585)</f>
        <v>273479.59590484545</v>
      </c>
      <c r="N2585" s="6">
        <f>K2585</f>
        <v>1974293</v>
      </c>
      <c r="O2585" s="6">
        <f>SUM(M2585:N2585)</f>
        <v>2247772.5959048453</v>
      </c>
      <c r="P2585" s="8">
        <f>VLOOKUP(F2585,'LEAID Match'!$A$2:$B$436,2,FALSE)</f>
        <v>1811220</v>
      </c>
      <c r="Q2585" s="6">
        <f>COUNTIF($P$2:$P$3691,P2585)</f>
        <v>9</v>
      </c>
    </row>
    <row r="2586" spans="1:17" x14ac:dyDescent="0.2">
      <c r="A2586" s="16">
        <f>P2586</f>
        <v>1811220</v>
      </c>
      <c r="B2586">
        <v>2023</v>
      </c>
      <c r="C2586" t="s">
        <v>904</v>
      </c>
      <c r="D2586" t="s">
        <v>906</v>
      </c>
      <c r="E2586" t="s">
        <v>3492</v>
      </c>
      <c r="F2586" t="s">
        <v>771</v>
      </c>
      <c r="G2586" t="s">
        <v>282</v>
      </c>
      <c r="H2586" s="6">
        <v>292286</v>
      </c>
      <c r="I2586" s="6">
        <v>1.1952891427198121E-3</v>
      </c>
      <c r="J2586" s="6">
        <v>2948.7783150897762</v>
      </c>
      <c r="K2586" s="6">
        <v>5353040</v>
      </c>
      <c r="M2586" s="6">
        <f>SUM(H2586,J2586)</f>
        <v>295234.77831508976</v>
      </c>
      <c r="N2586" s="6">
        <f>K2586</f>
        <v>5353040</v>
      </c>
      <c r="O2586" s="6">
        <f>SUM(M2586:N2586)</f>
        <v>5648274.7783150896</v>
      </c>
      <c r="P2586" s="8">
        <f>VLOOKUP(F2586,'LEAID Match'!$A$2:$B$436,2,FALSE)</f>
        <v>1811220</v>
      </c>
      <c r="Q2586" s="6">
        <f>COUNTIF($P$2:$P$3691,P2586)</f>
        <v>9</v>
      </c>
    </row>
    <row r="2587" spans="1:17" x14ac:dyDescent="0.2">
      <c r="A2587" s="16">
        <f>P2587</f>
        <v>1811340</v>
      </c>
      <c r="B2587">
        <v>2015</v>
      </c>
      <c r="C2587" t="s">
        <v>904</v>
      </c>
      <c r="D2587" t="s">
        <v>906</v>
      </c>
      <c r="E2587" t="s">
        <v>3493</v>
      </c>
      <c r="F2587" t="s">
        <v>596</v>
      </c>
      <c r="G2587" t="s">
        <v>283</v>
      </c>
      <c r="H2587" s="6">
        <v>2177148</v>
      </c>
      <c r="I2587" s="6">
        <v>1.0586832946610345E-2</v>
      </c>
      <c r="J2587" s="6">
        <v>61520.086252752713</v>
      </c>
      <c r="K2587" s="6">
        <v>8952395.3289808501</v>
      </c>
      <c r="M2587" s="6">
        <f>SUM(H2587,J2587)</f>
        <v>2238668.0862527527</v>
      </c>
      <c r="N2587" s="6">
        <f>K2587</f>
        <v>8952395.3289808501</v>
      </c>
      <c r="O2587" s="6">
        <f>SUM(M2587:N2587)</f>
        <v>11191063.415233603</v>
      </c>
      <c r="P2587" s="8">
        <f>VLOOKUP(F2587,'LEAID Match'!$A$2:$B$436,2,FALSE)</f>
        <v>1811340</v>
      </c>
      <c r="Q2587" s="6">
        <f>COUNTIF($P$2:$P$3691,P2587)</f>
        <v>9</v>
      </c>
    </row>
    <row r="2588" spans="1:17" x14ac:dyDescent="0.2">
      <c r="A2588" s="16">
        <f>P2588</f>
        <v>1811340</v>
      </c>
      <c r="B2588">
        <v>2016</v>
      </c>
      <c r="C2588" t="s">
        <v>904</v>
      </c>
      <c r="D2588" t="s">
        <v>906</v>
      </c>
      <c r="E2588" t="s">
        <v>3494</v>
      </c>
      <c r="F2588" t="s">
        <v>596</v>
      </c>
      <c r="G2588" t="s">
        <v>283</v>
      </c>
      <c r="H2588" s="6">
        <v>2338698</v>
      </c>
      <c r="I2588" s="6">
        <v>1.0851845950131198E-2</v>
      </c>
      <c r="J2588" s="6">
        <v>54780.11835626229</v>
      </c>
      <c r="K2588" s="6">
        <v>9631013.2807414308</v>
      </c>
      <c r="M2588" s="6">
        <f>SUM(H2588,J2588)</f>
        <v>2393478.1183562623</v>
      </c>
      <c r="N2588" s="6">
        <f>K2588</f>
        <v>9631013.2807414308</v>
      </c>
      <c r="O2588" s="6">
        <f>SUM(M2588:N2588)</f>
        <v>12024491.399097692</v>
      </c>
      <c r="P2588" s="8">
        <f>VLOOKUP(F2588,'LEAID Match'!$A$2:$B$436,2,FALSE)</f>
        <v>1811340</v>
      </c>
      <c r="Q2588" s="6">
        <f>COUNTIF($P$2:$P$3691,P2588)</f>
        <v>9</v>
      </c>
    </row>
    <row r="2589" spans="1:17" x14ac:dyDescent="0.2">
      <c r="A2589" s="16">
        <f>P2589</f>
        <v>1811340</v>
      </c>
      <c r="B2589">
        <v>2017</v>
      </c>
      <c r="C2589" t="s">
        <v>904</v>
      </c>
      <c r="D2589" t="s">
        <v>906</v>
      </c>
      <c r="E2589" t="s">
        <v>3495</v>
      </c>
      <c r="F2589" t="s">
        <v>596</v>
      </c>
      <c r="G2589" t="s">
        <v>283</v>
      </c>
      <c r="H2589" s="6">
        <v>2501016</v>
      </c>
      <c r="I2589" s="6">
        <v>1.1013043397907886E-2</v>
      </c>
      <c r="J2589" s="6">
        <v>49834.021375533179</v>
      </c>
      <c r="K2589" s="6">
        <v>9592360.7995777596</v>
      </c>
      <c r="M2589" s="6">
        <f>SUM(H2589,J2589)</f>
        <v>2550850.0213755332</v>
      </c>
      <c r="N2589" s="6">
        <f>K2589</f>
        <v>9592360.7995777596</v>
      </c>
      <c r="O2589" s="6">
        <f>SUM(M2589:N2589)</f>
        <v>12143210.820953293</v>
      </c>
      <c r="P2589" s="8">
        <f>VLOOKUP(F2589,'LEAID Match'!$A$2:$B$436,2,FALSE)</f>
        <v>1811340</v>
      </c>
      <c r="Q2589" s="6">
        <f>COUNTIF($P$2:$P$3691,P2589)</f>
        <v>9</v>
      </c>
    </row>
    <row r="2590" spans="1:17" x14ac:dyDescent="0.2">
      <c r="A2590" s="16">
        <f>P2590</f>
        <v>1811340</v>
      </c>
      <c r="B2590">
        <v>2018</v>
      </c>
      <c r="C2590" t="s">
        <v>904</v>
      </c>
      <c r="D2590" t="s">
        <v>906</v>
      </c>
      <c r="E2590" t="s">
        <v>3496</v>
      </c>
      <c r="F2590" t="s">
        <v>596</v>
      </c>
      <c r="G2590" t="s">
        <v>283</v>
      </c>
      <c r="H2590" s="6">
        <v>2658058</v>
      </c>
      <c r="I2590" s="6">
        <v>1.1276467695487407E-2</v>
      </c>
      <c r="J2590" s="6">
        <v>47000.317354791514</v>
      </c>
      <c r="K2590" s="6">
        <v>7435082</v>
      </c>
      <c r="M2590" s="6">
        <f>SUM(H2590,J2590)</f>
        <v>2705058.3173547913</v>
      </c>
      <c r="N2590" s="6">
        <f>K2590</f>
        <v>7435082</v>
      </c>
      <c r="O2590" s="6">
        <f>SUM(M2590:N2590)</f>
        <v>10140140.317354791</v>
      </c>
      <c r="P2590" s="8">
        <f>VLOOKUP(F2590,'LEAID Match'!$A$2:$B$436,2,FALSE)</f>
        <v>1811340</v>
      </c>
      <c r="Q2590" s="6">
        <f>COUNTIF($P$2:$P$3691,P2590)</f>
        <v>9</v>
      </c>
    </row>
    <row r="2591" spans="1:17" x14ac:dyDescent="0.2">
      <c r="A2591" s="16">
        <f>P2591</f>
        <v>1811340</v>
      </c>
      <c r="B2591">
        <v>2019</v>
      </c>
      <c r="C2591" t="s">
        <v>904</v>
      </c>
      <c r="D2591" t="s">
        <v>906</v>
      </c>
      <c r="E2591" t="s">
        <v>3497</v>
      </c>
      <c r="F2591" t="s">
        <v>596</v>
      </c>
      <c r="G2591" t="s">
        <v>283</v>
      </c>
      <c r="H2591" s="6">
        <v>2798685</v>
      </c>
      <c r="I2591" s="6">
        <v>7.1198394615275247E-3</v>
      </c>
      <c r="J2591" s="6">
        <v>24955.037312653974</v>
      </c>
      <c r="K2591" s="6">
        <v>6720416.4677358298</v>
      </c>
      <c r="M2591" s="6">
        <f>SUM(H2591,J2591)</f>
        <v>2823640.0373126538</v>
      </c>
      <c r="N2591" s="6">
        <f>K2591</f>
        <v>6720416.4677358298</v>
      </c>
      <c r="O2591" s="6">
        <f>SUM(M2591:N2591)</f>
        <v>9544056.5050484836</v>
      </c>
      <c r="P2591" s="8">
        <f>VLOOKUP(F2591,'LEAID Match'!$A$2:$B$436,2,FALSE)</f>
        <v>1811340</v>
      </c>
      <c r="Q2591" s="6">
        <f>COUNTIF($P$2:$P$3691,P2591)</f>
        <v>9</v>
      </c>
    </row>
    <row r="2592" spans="1:17" x14ac:dyDescent="0.2">
      <c r="A2592" s="16">
        <f>P2592</f>
        <v>1811340</v>
      </c>
      <c r="B2592">
        <v>2020</v>
      </c>
      <c r="C2592" t="s">
        <v>904</v>
      </c>
      <c r="D2592" t="s">
        <v>906</v>
      </c>
      <c r="E2592" t="s">
        <v>3498</v>
      </c>
      <c r="F2592" t="s">
        <v>596</v>
      </c>
      <c r="G2592" t="s">
        <v>283</v>
      </c>
      <c r="H2592" s="6">
        <v>2152459</v>
      </c>
      <c r="I2592" s="6">
        <v>1.1405251089279186E-2</v>
      </c>
      <c r="J2592" s="6">
        <v>26870.771566341762</v>
      </c>
      <c r="K2592" s="6">
        <v>8036894</v>
      </c>
      <c r="M2592" s="6">
        <f>SUM(H2592,J2592)</f>
        <v>2179329.7715663416</v>
      </c>
      <c r="N2592" s="6">
        <f>K2592</f>
        <v>8036894</v>
      </c>
      <c r="O2592" s="6">
        <f>SUM(M2592:N2592)</f>
        <v>10216223.771566343</v>
      </c>
      <c r="P2592" s="8">
        <f>VLOOKUP(F2592,'LEAID Match'!$A$2:$B$436,2,FALSE)</f>
        <v>1811340</v>
      </c>
      <c r="Q2592" s="6">
        <f>COUNTIF($P$2:$P$3691,P2592)</f>
        <v>9</v>
      </c>
    </row>
    <row r="2593" spans="1:17" x14ac:dyDescent="0.2">
      <c r="A2593" s="16">
        <f>P2593</f>
        <v>1811340</v>
      </c>
      <c r="B2593">
        <v>2021</v>
      </c>
      <c r="C2593" t="s">
        <v>904</v>
      </c>
      <c r="D2593" t="s">
        <v>906</v>
      </c>
      <c r="E2593" t="s">
        <v>3499</v>
      </c>
      <c r="F2593" t="s">
        <v>596</v>
      </c>
      <c r="G2593" t="s">
        <v>283</v>
      </c>
      <c r="H2593" s="6">
        <v>2314066</v>
      </c>
      <c r="I2593" s="6">
        <v>1.1431701245662729E-2</v>
      </c>
      <c r="J2593" s="6">
        <v>25767.054607723792</v>
      </c>
      <c r="K2593" s="6">
        <v>13464231</v>
      </c>
      <c r="M2593" s="6">
        <f>SUM(H2593,J2593)</f>
        <v>2339833.0546077238</v>
      </c>
      <c r="N2593" s="6">
        <f>K2593</f>
        <v>13464231</v>
      </c>
      <c r="O2593" s="6">
        <f>SUM(M2593:N2593)</f>
        <v>15804064.054607723</v>
      </c>
      <c r="P2593" s="8">
        <f>VLOOKUP(F2593,'LEAID Match'!$A$2:$B$436,2,FALSE)</f>
        <v>1811340</v>
      </c>
      <c r="Q2593" s="6">
        <f>COUNTIF($P$2:$P$3691,P2593)</f>
        <v>9</v>
      </c>
    </row>
    <row r="2594" spans="1:17" x14ac:dyDescent="0.2">
      <c r="A2594" s="16">
        <f>P2594</f>
        <v>1811340</v>
      </c>
      <c r="B2594">
        <v>2022</v>
      </c>
      <c r="C2594" t="s">
        <v>904</v>
      </c>
      <c r="D2594" t="s">
        <v>906</v>
      </c>
      <c r="E2594" t="s">
        <v>3500</v>
      </c>
      <c r="F2594" t="s">
        <v>596</v>
      </c>
      <c r="G2594" t="s">
        <v>283</v>
      </c>
      <c r="H2594" s="6">
        <v>2510626</v>
      </c>
      <c r="I2594" s="6">
        <v>1.1920918850692878E-2</v>
      </c>
      <c r="J2594" s="6">
        <v>26285.626065777797</v>
      </c>
      <c r="K2594" s="6">
        <v>13278644</v>
      </c>
      <c r="M2594" s="6">
        <f>SUM(H2594,J2594)</f>
        <v>2536911.6260657776</v>
      </c>
      <c r="N2594" s="6">
        <f>K2594</f>
        <v>13278644</v>
      </c>
      <c r="O2594" s="6">
        <f>SUM(M2594:N2594)</f>
        <v>15815555.626065778</v>
      </c>
      <c r="P2594" s="8">
        <f>VLOOKUP(F2594,'LEAID Match'!$A$2:$B$436,2,FALSE)</f>
        <v>1811340</v>
      </c>
      <c r="Q2594" s="6">
        <f>COUNTIF($P$2:$P$3691,P2594)</f>
        <v>9</v>
      </c>
    </row>
    <row r="2595" spans="1:17" x14ac:dyDescent="0.2">
      <c r="A2595" s="16">
        <f>P2595</f>
        <v>1811340</v>
      </c>
      <c r="B2595">
        <v>2023</v>
      </c>
      <c r="C2595" t="s">
        <v>904</v>
      </c>
      <c r="D2595" t="s">
        <v>906</v>
      </c>
      <c r="E2595" t="s">
        <v>3501</v>
      </c>
      <c r="F2595" t="s">
        <v>596</v>
      </c>
      <c r="G2595" t="s">
        <v>283</v>
      </c>
      <c r="H2595" s="6">
        <v>2887662</v>
      </c>
      <c r="I2595" s="6">
        <v>1.1808950946828031E-2</v>
      </c>
      <c r="J2595" s="6">
        <v>29132.681985824755</v>
      </c>
      <c r="K2595" s="6">
        <v>37821091</v>
      </c>
      <c r="M2595" s="6">
        <f>SUM(H2595,J2595)</f>
        <v>2916794.6819858248</v>
      </c>
      <c r="N2595" s="6">
        <f>K2595</f>
        <v>37821091</v>
      </c>
      <c r="O2595" s="6">
        <f>SUM(M2595:N2595)</f>
        <v>40737885.681985825</v>
      </c>
      <c r="P2595" s="8">
        <f>VLOOKUP(F2595,'LEAID Match'!$A$2:$B$436,2,FALSE)</f>
        <v>1811340</v>
      </c>
      <c r="Q2595" s="6">
        <f>COUNTIF($P$2:$P$3691,P2595)</f>
        <v>9</v>
      </c>
    </row>
    <row r="2596" spans="1:17" x14ac:dyDescent="0.2">
      <c r="A2596" s="16">
        <f>P2596</f>
        <v>1805400</v>
      </c>
      <c r="B2596">
        <v>2015</v>
      </c>
      <c r="C2596" t="s">
        <v>904</v>
      </c>
      <c r="D2596" t="s">
        <v>906</v>
      </c>
      <c r="E2596" t="s">
        <v>3502</v>
      </c>
      <c r="F2596" t="s">
        <v>597</v>
      </c>
      <c r="G2596" t="s">
        <v>284</v>
      </c>
      <c r="H2596" s="6">
        <v>1726262</v>
      </c>
      <c r="I2596" s="6">
        <v>8.3943064119120381E-3</v>
      </c>
      <c r="J2596" s="6">
        <v>48779.314559620856</v>
      </c>
      <c r="K2596" s="6">
        <v>7098359.8108154098</v>
      </c>
      <c r="M2596" s="6">
        <f>SUM(H2596,J2596)</f>
        <v>1775041.3145596208</v>
      </c>
      <c r="N2596" s="6">
        <f>K2596</f>
        <v>7098359.8108154098</v>
      </c>
      <c r="O2596" s="6">
        <f>SUM(M2596:N2596)</f>
        <v>8873401.1253750306</v>
      </c>
      <c r="P2596" s="8">
        <f>VLOOKUP(F2596,'LEAID Match'!$A$2:$B$436,2,FALSE)</f>
        <v>1805400</v>
      </c>
      <c r="Q2596" s="6">
        <f>COUNTIF($P$2:$P$3691,P2596)</f>
        <v>9</v>
      </c>
    </row>
    <row r="2597" spans="1:17" x14ac:dyDescent="0.2">
      <c r="A2597" s="16">
        <f>P2597</f>
        <v>1805400</v>
      </c>
      <c r="B2597">
        <v>2016</v>
      </c>
      <c r="C2597" t="s">
        <v>904</v>
      </c>
      <c r="D2597" t="s">
        <v>906</v>
      </c>
      <c r="E2597" t="s">
        <v>3503</v>
      </c>
      <c r="F2597" t="s">
        <v>597</v>
      </c>
      <c r="G2597" t="s">
        <v>284</v>
      </c>
      <c r="H2597" s="6">
        <v>1875118</v>
      </c>
      <c r="I2597" s="6">
        <v>8.7007778149714547E-3</v>
      </c>
      <c r="J2597" s="6">
        <v>43921.526409975901</v>
      </c>
      <c r="K2597" s="6">
        <v>7721940.3107871599</v>
      </c>
      <c r="M2597" s="6">
        <f>SUM(H2597,J2597)</f>
        <v>1919039.526409976</v>
      </c>
      <c r="N2597" s="6">
        <f>K2597</f>
        <v>7721940.3107871599</v>
      </c>
      <c r="O2597" s="6">
        <f>SUM(M2597:N2597)</f>
        <v>9640979.8371971361</v>
      </c>
      <c r="P2597" s="8">
        <f>VLOOKUP(F2597,'LEAID Match'!$A$2:$B$436,2,FALSE)</f>
        <v>1805400</v>
      </c>
      <c r="Q2597" s="6">
        <f>COUNTIF($P$2:$P$3691,P2597)</f>
        <v>9</v>
      </c>
    </row>
    <row r="2598" spans="1:17" x14ac:dyDescent="0.2">
      <c r="A2598" s="16">
        <f>P2598</f>
        <v>1805400</v>
      </c>
      <c r="B2598">
        <v>2017</v>
      </c>
      <c r="C2598" t="s">
        <v>904</v>
      </c>
      <c r="D2598" t="s">
        <v>906</v>
      </c>
      <c r="E2598" t="s">
        <v>3504</v>
      </c>
      <c r="F2598" t="s">
        <v>597</v>
      </c>
      <c r="G2598" t="s">
        <v>284</v>
      </c>
      <c r="H2598" s="6">
        <v>1990593</v>
      </c>
      <c r="I2598" s="6">
        <v>8.7654325668334986E-3</v>
      </c>
      <c r="J2598" s="6">
        <v>39663.582364921582</v>
      </c>
      <c r="K2598" s="6">
        <v>7634691.7657119697</v>
      </c>
      <c r="M2598" s="6">
        <f>SUM(H2598,J2598)</f>
        <v>2030256.5823649217</v>
      </c>
      <c r="N2598" s="6">
        <f>K2598</f>
        <v>7634691.7657119697</v>
      </c>
      <c r="O2598" s="6">
        <f>SUM(M2598:N2598)</f>
        <v>9664948.3480768912</v>
      </c>
      <c r="P2598" s="8">
        <f>VLOOKUP(F2598,'LEAID Match'!$A$2:$B$436,2,FALSE)</f>
        <v>1805400</v>
      </c>
      <c r="Q2598" s="6">
        <f>COUNTIF($P$2:$P$3691,P2598)</f>
        <v>9</v>
      </c>
    </row>
    <row r="2599" spans="1:17" x14ac:dyDescent="0.2">
      <c r="A2599" s="16">
        <f>P2599</f>
        <v>1805400</v>
      </c>
      <c r="B2599">
        <v>2018</v>
      </c>
      <c r="C2599" t="s">
        <v>904</v>
      </c>
      <c r="D2599" t="s">
        <v>906</v>
      </c>
      <c r="E2599" t="s">
        <v>3505</v>
      </c>
      <c r="F2599" t="s">
        <v>597</v>
      </c>
      <c r="G2599" t="s">
        <v>284</v>
      </c>
      <c r="H2599" s="6">
        <v>2075080</v>
      </c>
      <c r="I2599" s="6">
        <v>8.8032588399320141E-3</v>
      </c>
      <c r="J2599" s="6">
        <v>36691.982844836632</v>
      </c>
      <c r="K2599" s="6">
        <v>9034798</v>
      </c>
      <c r="M2599" s="6">
        <f>SUM(H2599,J2599)</f>
        <v>2111771.9828448365</v>
      </c>
      <c r="N2599" s="6">
        <f>K2599</f>
        <v>9034798</v>
      </c>
      <c r="O2599" s="6">
        <f>SUM(M2599:N2599)</f>
        <v>11146569.982844837</v>
      </c>
      <c r="P2599" s="8">
        <f>VLOOKUP(F2599,'LEAID Match'!$A$2:$B$436,2,FALSE)</f>
        <v>1805400</v>
      </c>
      <c r="Q2599" s="6">
        <f>COUNTIF($P$2:$P$3691,P2599)</f>
        <v>9</v>
      </c>
    </row>
    <row r="2600" spans="1:17" x14ac:dyDescent="0.2">
      <c r="A2600" s="16">
        <f>P2600</f>
        <v>1805400</v>
      </c>
      <c r="B2600">
        <v>2019</v>
      </c>
      <c r="C2600" t="s">
        <v>904</v>
      </c>
      <c r="D2600" t="s">
        <v>906</v>
      </c>
      <c r="E2600" t="s">
        <v>3506</v>
      </c>
      <c r="F2600" t="s">
        <v>597</v>
      </c>
      <c r="G2600" t="s">
        <v>284</v>
      </c>
      <c r="H2600" s="6">
        <v>2120636</v>
      </c>
      <c r="I2600" s="6">
        <v>5.3948864828788825E-3</v>
      </c>
      <c r="J2600" s="6">
        <v>18909.077122490482</v>
      </c>
      <c r="K2600" s="6">
        <v>5092233.3511893703</v>
      </c>
      <c r="M2600" s="6">
        <f>SUM(H2600,J2600)</f>
        <v>2139545.0771224904</v>
      </c>
      <c r="N2600" s="6">
        <f>K2600</f>
        <v>5092233.3511893703</v>
      </c>
      <c r="O2600" s="6">
        <f>SUM(M2600:N2600)</f>
        <v>7231778.4283118602</v>
      </c>
      <c r="P2600" s="8">
        <f>VLOOKUP(F2600,'LEAID Match'!$A$2:$B$436,2,FALSE)</f>
        <v>1805400</v>
      </c>
      <c r="Q2600" s="6">
        <f>COUNTIF($P$2:$P$3691,P2600)</f>
        <v>9</v>
      </c>
    </row>
    <row r="2601" spans="1:17" x14ac:dyDescent="0.2">
      <c r="A2601" s="16">
        <f>P2601</f>
        <v>1805400</v>
      </c>
      <c r="B2601">
        <v>2020</v>
      </c>
      <c r="C2601" t="s">
        <v>904</v>
      </c>
      <c r="D2601" t="s">
        <v>906</v>
      </c>
      <c r="E2601" t="s">
        <v>3507</v>
      </c>
      <c r="F2601" t="s">
        <v>597</v>
      </c>
      <c r="G2601" t="s">
        <v>284</v>
      </c>
      <c r="H2601" s="6">
        <v>1639421</v>
      </c>
      <c r="I2601" s="6">
        <v>8.6868126854156916E-3</v>
      </c>
      <c r="J2601" s="6">
        <v>20466.130686839369</v>
      </c>
      <c r="K2601" s="6">
        <v>9486600</v>
      </c>
      <c r="M2601" s="6">
        <f>SUM(H2601,J2601)</f>
        <v>1659887.1306868393</v>
      </c>
      <c r="N2601" s="6">
        <f>K2601</f>
        <v>9486600</v>
      </c>
      <c r="O2601" s="6">
        <f>SUM(M2601:N2601)</f>
        <v>11146487.13068684</v>
      </c>
      <c r="P2601" s="8">
        <f>VLOOKUP(F2601,'LEAID Match'!$A$2:$B$436,2,FALSE)</f>
        <v>1805400</v>
      </c>
      <c r="Q2601" s="6">
        <f>COUNTIF($P$2:$P$3691,P2601)</f>
        <v>9</v>
      </c>
    </row>
    <row r="2602" spans="1:17" x14ac:dyDescent="0.2">
      <c r="A2602" s="16">
        <f>P2602</f>
        <v>1805400</v>
      </c>
      <c r="B2602">
        <v>2021</v>
      </c>
      <c r="C2602" t="s">
        <v>904</v>
      </c>
      <c r="D2602" t="s">
        <v>906</v>
      </c>
      <c r="E2602" t="s">
        <v>3508</v>
      </c>
      <c r="F2602" t="s">
        <v>597</v>
      </c>
      <c r="G2602" t="s">
        <v>284</v>
      </c>
      <c r="H2602" s="6">
        <v>1652410</v>
      </c>
      <c r="I2602" s="6">
        <v>8.1630590723624774E-3</v>
      </c>
      <c r="J2602" s="6">
        <v>18399.535149105024</v>
      </c>
      <c r="K2602" s="6">
        <v>15495287</v>
      </c>
      <c r="M2602" s="6">
        <f>SUM(H2602,J2602)</f>
        <v>1670809.5351491051</v>
      </c>
      <c r="N2602" s="6">
        <f>K2602</f>
        <v>15495287</v>
      </c>
      <c r="O2602" s="6">
        <f>SUM(M2602:N2602)</f>
        <v>17166096.535149105</v>
      </c>
      <c r="P2602" s="8">
        <f>VLOOKUP(F2602,'LEAID Match'!$A$2:$B$436,2,FALSE)</f>
        <v>1805400</v>
      </c>
      <c r="Q2602" s="6">
        <f>COUNTIF($P$2:$P$3691,P2602)</f>
        <v>9</v>
      </c>
    </row>
    <row r="2603" spans="1:17" x14ac:dyDescent="0.2">
      <c r="A2603" s="16">
        <f>P2603</f>
        <v>1805400</v>
      </c>
      <c r="B2603">
        <v>2022</v>
      </c>
      <c r="C2603" t="s">
        <v>904</v>
      </c>
      <c r="D2603" t="s">
        <v>906</v>
      </c>
      <c r="E2603" t="s">
        <v>3509</v>
      </c>
      <c r="F2603" t="s">
        <v>597</v>
      </c>
      <c r="G2603" t="s">
        <v>284</v>
      </c>
      <c r="H2603" s="6">
        <v>1640613</v>
      </c>
      <c r="I2603" s="6">
        <v>7.789935433788941E-3</v>
      </c>
      <c r="J2603" s="6">
        <v>17176.807631504616</v>
      </c>
      <c r="K2603" s="6">
        <v>14903784</v>
      </c>
      <c r="M2603" s="6">
        <f>SUM(H2603,J2603)</f>
        <v>1657789.8076315047</v>
      </c>
      <c r="N2603" s="6">
        <f>K2603</f>
        <v>14903784</v>
      </c>
      <c r="O2603" s="6">
        <f>SUM(M2603:N2603)</f>
        <v>16561573.807631504</v>
      </c>
      <c r="P2603" s="8">
        <f>VLOOKUP(F2603,'LEAID Match'!$A$2:$B$436,2,FALSE)</f>
        <v>1805400</v>
      </c>
      <c r="Q2603" s="6">
        <f>COUNTIF($P$2:$P$3691,P2603)</f>
        <v>9</v>
      </c>
    </row>
    <row r="2604" spans="1:17" x14ac:dyDescent="0.2">
      <c r="A2604" s="16">
        <f>P2604</f>
        <v>1805400</v>
      </c>
      <c r="B2604">
        <v>2023</v>
      </c>
      <c r="C2604" t="s">
        <v>904</v>
      </c>
      <c r="D2604" t="s">
        <v>906</v>
      </c>
      <c r="E2604" t="s">
        <v>3510</v>
      </c>
      <c r="F2604" t="s">
        <v>597</v>
      </c>
      <c r="G2604" t="s">
        <v>284</v>
      </c>
      <c r="H2604" s="6">
        <v>1863613</v>
      </c>
      <c r="I2604" s="6">
        <v>7.6211532031349337E-3</v>
      </c>
      <c r="J2604" s="6">
        <v>18801.384952133882</v>
      </c>
      <c r="K2604" s="6">
        <v>39968660</v>
      </c>
      <c r="M2604" s="6">
        <f>SUM(H2604,J2604)</f>
        <v>1882414.384952134</v>
      </c>
      <c r="N2604" s="6">
        <f>K2604</f>
        <v>39968660</v>
      </c>
      <c r="O2604" s="6">
        <f>SUM(M2604:N2604)</f>
        <v>41851074.384952135</v>
      </c>
      <c r="P2604" s="8">
        <f>VLOOKUP(F2604,'LEAID Match'!$A$2:$B$436,2,FALSE)</f>
        <v>1805400</v>
      </c>
      <c r="Q2604" s="6">
        <f>COUNTIF($P$2:$P$3691,P2604)</f>
        <v>9</v>
      </c>
    </row>
    <row r="2605" spans="1:17" x14ac:dyDescent="0.2">
      <c r="A2605" s="16">
        <f>P2605</f>
        <v>1812870</v>
      </c>
      <c r="B2605">
        <v>2015</v>
      </c>
      <c r="C2605" t="s">
        <v>904</v>
      </c>
      <c r="D2605" t="s">
        <v>906</v>
      </c>
      <c r="E2605" t="s">
        <v>3511</v>
      </c>
      <c r="F2605" t="s">
        <v>772</v>
      </c>
      <c r="G2605" t="s">
        <v>285</v>
      </c>
      <c r="H2605" s="6">
        <v>464234</v>
      </c>
      <c r="I2605" s="6">
        <v>2.2574339485127823E-3</v>
      </c>
      <c r="J2605" s="6">
        <v>13117.948674807778</v>
      </c>
      <c r="K2605" s="6">
        <v>1908922.26580558</v>
      </c>
      <c r="M2605" s="6">
        <f>SUM(H2605,J2605)</f>
        <v>477351.94867480779</v>
      </c>
      <c r="N2605" s="6">
        <f>K2605</f>
        <v>1908922.26580558</v>
      </c>
      <c r="O2605" s="6">
        <f>SUM(M2605:N2605)</f>
        <v>2386274.214480388</v>
      </c>
      <c r="P2605" s="8">
        <f>VLOOKUP(F2605,'LEAID Match'!$A$2:$B$436,2,FALSE)</f>
        <v>1812870</v>
      </c>
      <c r="Q2605" s="6">
        <f>COUNTIF($P$2:$P$3691,P2605)</f>
        <v>9</v>
      </c>
    </row>
    <row r="2606" spans="1:17" x14ac:dyDescent="0.2">
      <c r="A2606" s="16">
        <f>P2606</f>
        <v>1812870</v>
      </c>
      <c r="B2606">
        <v>2016</v>
      </c>
      <c r="C2606" t="s">
        <v>904</v>
      </c>
      <c r="D2606" t="s">
        <v>906</v>
      </c>
      <c r="E2606" t="s">
        <v>3512</v>
      </c>
      <c r="F2606" t="s">
        <v>772</v>
      </c>
      <c r="G2606" t="s">
        <v>285</v>
      </c>
      <c r="H2606" s="6">
        <v>487866</v>
      </c>
      <c r="I2606" s="6">
        <v>2.2637581578753251E-3</v>
      </c>
      <c r="J2606" s="6">
        <v>11427.45118095464</v>
      </c>
      <c r="K2606" s="6">
        <v>2009085.3651143501</v>
      </c>
      <c r="M2606" s="6">
        <f>SUM(H2606,J2606)</f>
        <v>499293.45118095464</v>
      </c>
      <c r="N2606" s="6">
        <f>K2606</f>
        <v>2009085.3651143501</v>
      </c>
      <c r="O2606" s="6">
        <f>SUM(M2606:N2606)</f>
        <v>2508378.8162953048</v>
      </c>
      <c r="P2606" s="8">
        <f>VLOOKUP(F2606,'LEAID Match'!$A$2:$B$436,2,FALSE)</f>
        <v>1812870</v>
      </c>
      <c r="Q2606" s="6">
        <f>COUNTIF($P$2:$P$3691,P2606)</f>
        <v>9</v>
      </c>
    </row>
    <row r="2607" spans="1:17" x14ac:dyDescent="0.2">
      <c r="A2607" s="16">
        <f>P2607</f>
        <v>1812870</v>
      </c>
      <c r="B2607">
        <v>2017</v>
      </c>
      <c r="C2607" t="s">
        <v>904</v>
      </c>
      <c r="D2607" t="s">
        <v>906</v>
      </c>
      <c r="E2607" t="s">
        <v>3513</v>
      </c>
      <c r="F2607" t="s">
        <v>772</v>
      </c>
      <c r="G2607" t="s">
        <v>285</v>
      </c>
      <c r="H2607" s="6">
        <v>542531</v>
      </c>
      <c r="I2607" s="6">
        <v>2.3889960910727331E-3</v>
      </c>
      <c r="J2607" s="6">
        <v>10810.207312104118</v>
      </c>
      <c r="K2607" s="6">
        <v>2080815.5953243501</v>
      </c>
      <c r="M2607" s="6">
        <f>SUM(H2607,J2607)</f>
        <v>553341.20731210406</v>
      </c>
      <c r="N2607" s="6">
        <f>K2607</f>
        <v>2080815.5953243501</v>
      </c>
      <c r="O2607" s="6">
        <f>SUM(M2607:N2607)</f>
        <v>2634156.8026364539</v>
      </c>
      <c r="P2607" s="8">
        <f>VLOOKUP(F2607,'LEAID Match'!$A$2:$B$436,2,FALSE)</f>
        <v>1812870</v>
      </c>
      <c r="Q2607" s="6">
        <f>COUNTIF($P$2:$P$3691,P2607)</f>
        <v>9</v>
      </c>
    </row>
    <row r="2608" spans="1:17" x14ac:dyDescent="0.2">
      <c r="A2608" s="16">
        <f>P2608</f>
        <v>1812870</v>
      </c>
      <c r="B2608">
        <v>2018</v>
      </c>
      <c r="C2608" t="s">
        <v>904</v>
      </c>
      <c r="D2608" t="s">
        <v>906</v>
      </c>
      <c r="E2608" t="s">
        <v>3514</v>
      </c>
      <c r="F2608" t="s">
        <v>772</v>
      </c>
      <c r="G2608" t="s">
        <v>285</v>
      </c>
      <c r="H2608" s="6">
        <v>606645</v>
      </c>
      <c r="I2608" s="6">
        <v>2.5736130457382641E-3</v>
      </c>
      <c r="J2608" s="6">
        <v>10726.819174637085</v>
      </c>
      <c r="K2608" s="6">
        <v>2734791</v>
      </c>
      <c r="M2608" s="6">
        <f>SUM(H2608,J2608)</f>
        <v>617371.81917463709</v>
      </c>
      <c r="N2608" s="6">
        <f>K2608</f>
        <v>2734791</v>
      </c>
      <c r="O2608" s="6">
        <f>SUM(M2608:N2608)</f>
        <v>3352162.8191746371</v>
      </c>
      <c r="P2608" s="8">
        <f>VLOOKUP(F2608,'LEAID Match'!$A$2:$B$436,2,FALSE)</f>
        <v>1812870</v>
      </c>
      <c r="Q2608" s="6">
        <f>COUNTIF($P$2:$P$3691,P2608)</f>
        <v>9</v>
      </c>
    </row>
    <row r="2609" spans="1:17" x14ac:dyDescent="0.2">
      <c r="A2609" s="16">
        <f>P2609</f>
        <v>1812870</v>
      </c>
      <c r="B2609">
        <v>2019</v>
      </c>
      <c r="C2609" t="s">
        <v>904</v>
      </c>
      <c r="D2609" t="s">
        <v>906</v>
      </c>
      <c r="E2609" t="s">
        <v>3515</v>
      </c>
      <c r="F2609" t="s">
        <v>772</v>
      </c>
      <c r="G2609" t="s">
        <v>285</v>
      </c>
      <c r="H2609" s="6">
        <v>629028</v>
      </c>
      <c r="I2609" s="6">
        <v>1.6002438205106099E-3</v>
      </c>
      <c r="J2609" s="6">
        <v>5608.8545908896876</v>
      </c>
      <c r="K2609" s="6">
        <v>1510470.1421799599</v>
      </c>
      <c r="M2609" s="6">
        <f>SUM(H2609,J2609)</f>
        <v>634636.85459088965</v>
      </c>
      <c r="N2609" s="6">
        <f>K2609</f>
        <v>1510470.1421799599</v>
      </c>
      <c r="O2609" s="6">
        <f>SUM(M2609:N2609)</f>
        <v>2145106.9967708495</v>
      </c>
      <c r="P2609" s="8">
        <f>VLOOKUP(F2609,'LEAID Match'!$A$2:$B$436,2,FALSE)</f>
        <v>1812870</v>
      </c>
      <c r="Q2609" s="6">
        <f>COUNTIF($P$2:$P$3691,P2609)</f>
        <v>9</v>
      </c>
    </row>
    <row r="2610" spans="1:17" x14ac:dyDescent="0.2">
      <c r="A2610" s="16">
        <f>P2610</f>
        <v>1812870</v>
      </c>
      <c r="B2610">
        <v>2020</v>
      </c>
      <c r="C2610" t="s">
        <v>904</v>
      </c>
      <c r="D2610" t="s">
        <v>906</v>
      </c>
      <c r="E2610" t="s">
        <v>3516</v>
      </c>
      <c r="F2610" t="s">
        <v>772</v>
      </c>
      <c r="G2610" t="s">
        <v>285</v>
      </c>
      <c r="H2610" s="6">
        <v>480651</v>
      </c>
      <c r="I2610" s="6">
        <v>2.546829157402362E-3</v>
      </c>
      <c r="J2610" s="6">
        <v>6000.3294948399653</v>
      </c>
      <c r="K2610" s="6">
        <v>2863868</v>
      </c>
      <c r="M2610" s="6">
        <f>SUM(H2610,J2610)</f>
        <v>486651.32949483994</v>
      </c>
      <c r="N2610" s="6">
        <f>K2610</f>
        <v>2863868</v>
      </c>
      <c r="O2610" s="6">
        <f>SUM(M2610:N2610)</f>
        <v>3350519.32949484</v>
      </c>
      <c r="P2610" s="8">
        <f>VLOOKUP(F2610,'LEAID Match'!$A$2:$B$436,2,FALSE)</f>
        <v>1812870</v>
      </c>
      <c r="Q2610" s="6">
        <f>COUNTIF($P$2:$P$3691,P2610)</f>
        <v>9</v>
      </c>
    </row>
    <row r="2611" spans="1:17" x14ac:dyDescent="0.2">
      <c r="A2611" s="16">
        <f>P2611</f>
        <v>1812870</v>
      </c>
      <c r="B2611">
        <v>2021</v>
      </c>
      <c r="C2611" t="s">
        <v>904</v>
      </c>
      <c r="D2611" t="s">
        <v>906</v>
      </c>
      <c r="E2611" t="s">
        <v>3517</v>
      </c>
      <c r="F2611" t="s">
        <v>772</v>
      </c>
      <c r="G2611" t="s">
        <v>285</v>
      </c>
      <c r="H2611" s="6">
        <v>495988</v>
      </c>
      <c r="I2611" s="6">
        <v>2.4502268463534598E-3</v>
      </c>
      <c r="J2611" s="6">
        <v>5522.8113116806981</v>
      </c>
      <c r="K2611" s="6">
        <v>4798641</v>
      </c>
      <c r="M2611" s="6">
        <f>SUM(H2611,J2611)</f>
        <v>501510.81131168071</v>
      </c>
      <c r="N2611" s="6">
        <f>K2611</f>
        <v>4798641</v>
      </c>
      <c r="O2611" s="6">
        <f>SUM(M2611:N2611)</f>
        <v>5300151.8113116808</v>
      </c>
      <c r="P2611" s="8">
        <f>VLOOKUP(F2611,'LEAID Match'!$A$2:$B$436,2,FALSE)</f>
        <v>1812870</v>
      </c>
      <c r="Q2611" s="6">
        <f>COUNTIF($P$2:$P$3691,P2611)</f>
        <v>9</v>
      </c>
    </row>
    <row r="2612" spans="1:17" x14ac:dyDescent="0.2">
      <c r="A2612" s="16">
        <f>P2612</f>
        <v>1812870</v>
      </c>
      <c r="B2612">
        <v>2022</v>
      </c>
      <c r="C2612" t="s">
        <v>904</v>
      </c>
      <c r="D2612" t="s">
        <v>906</v>
      </c>
      <c r="E2612" t="s">
        <v>3518</v>
      </c>
      <c r="F2612" t="s">
        <v>772</v>
      </c>
      <c r="G2612" t="s">
        <v>285</v>
      </c>
      <c r="H2612" s="6">
        <v>535374</v>
      </c>
      <c r="I2612" s="6">
        <v>2.5420552518658091E-3</v>
      </c>
      <c r="J2612" s="6">
        <v>5605.2318303641096</v>
      </c>
      <c r="K2612" s="6">
        <v>4454639</v>
      </c>
      <c r="M2612" s="6">
        <f>SUM(H2612,J2612)</f>
        <v>540979.23183036409</v>
      </c>
      <c r="N2612" s="6">
        <f>K2612</f>
        <v>4454639</v>
      </c>
      <c r="O2612" s="6">
        <f>SUM(M2612:N2612)</f>
        <v>4995618.2318303641</v>
      </c>
      <c r="P2612" s="8">
        <f>VLOOKUP(F2612,'LEAID Match'!$A$2:$B$436,2,FALSE)</f>
        <v>1812870</v>
      </c>
      <c r="Q2612" s="6">
        <f>COUNTIF($P$2:$P$3691,P2612)</f>
        <v>9</v>
      </c>
    </row>
    <row r="2613" spans="1:17" x14ac:dyDescent="0.2">
      <c r="A2613" s="16">
        <f>P2613</f>
        <v>1812870</v>
      </c>
      <c r="B2613">
        <v>2023</v>
      </c>
      <c r="C2613" t="s">
        <v>904</v>
      </c>
      <c r="D2613" t="s">
        <v>906</v>
      </c>
      <c r="E2613" t="s">
        <v>3519</v>
      </c>
      <c r="F2613" t="s">
        <v>772</v>
      </c>
      <c r="G2613" t="s">
        <v>285</v>
      </c>
      <c r="H2613" s="6">
        <v>629789</v>
      </c>
      <c r="I2613" s="6">
        <v>2.5754909708448838E-3</v>
      </c>
      <c r="J2613" s="6">
        <v>6353.7362250743281</v>
      </c>
      <c r="K2613" s="6">
        <v>13738340</v>
      </c>
      <c r="M2613" s="6">
        <f>SUM(H2613,J2613)</f>
        <v>636142.73622507427</v>
      </c>
      <c r="N2613" s="6">
        <f>K2613</f>
        <v>13738340</v>
      </c>
      <c r="O2613" s="6">
        <f>SUM(M2613:N2613)</f>
        <v>14374482.736225074</v>
      </c>
      <c r="P2613" s="8">
        <f>VLOOKUP(F2613,'LEAID Match'!$A$2:$B$436,2,FALSE)</f>
        <v>1812870</v>
      </c>
      <c r="Q2613" s="6">
        <f>COUNTIF($P$2:$P$3691,P2613)</f>
        <v>9</v>
      </c>
    </row>
    <row r="2614" spans="1:17" x14ac:dyDescent="0.2">
      <c r="A2614" s="16">
        <f>P2614</f>
        <v>1808040</v>
      </c>
      <c r="B2614">
        <v>2015</v>
      </c>
      <c r="C2614" t="s">
        <v>904</v>
      </c>
      <c r="D2614" t="s">
        <v>906</v>
      </c>
      <c r="E2614" t="s">
        <v>3520</v>
      </c>
      <c r="F2614" t="s">
        <v>598</v>
      </c>
      <c r="G2614" t="s">
        <v>286</v>
      </c>
      <c r="H2614" s="6">
        <v>150805</v>
      </c>
      <c r="I2614" s="6">
        <v>7.3332053793016057E-4</v>
      </c>
      <c r="J2614" s="6">
        <v>4261.3256459121631</v>
      </c>
      <c r="K2614" s="6">
        <v>620107.58000235003</v>
      </c>
      <c r="M2614" s="6">
        <f>SUM(H2614,J2614)</f>
        <v>155066.32564591218</v>
      </c>
      <c r="N2614" s="6">
        <f>K2614</f>
        <v>620107.58000235003</v>
      </c>
      <c r="O2614" s="6">
        <f>SUM(M2614:N2614)</f>
        <v>775173.90564826224</v>
      </c>
      <c r="P2614" s="8">
        <f>VLOOKUP(F2614,'LEAID Match'!$A$2:$B$436,2,FALSE)</f>
        <v>1808040</v>
      </c>
      <c r="Q2614" s="6">
        <f>COUNTIF($P$2:$P$3691,P2614)</f>
        <v>9</v>
      </c>
    </row>
    <row r="2615" spans="1:17" x14ac:dyDescent="0.2">
      <c r="A2615" s="16">
        <f>P2615</f>
        <v>1808040</v>
      </c>
      <c r="B2615">
        <v>2016</v>
      </c>
      <c r="C2615" t="s">
        <v>904</v>
      </c>
      <c r="D2615" t="s">
        <v>906</v>
      </c>
      <c r="E2615" t="s">
        <v>3521</v>
      </c>
      <c r="F2615" t="s">
        <v>598</v>
      </c>
      <c r="G2615" t="s">
        <v>286</v>
      </c>
      <c r="H2615" s="6">
        <v>147978</v>
      </c>
      <c r="I2615" s="6">
        <v>6.8663609410386231E-4</v>
      </c>
      <c r="J2615" s="6">
        <v>3466.1390030362968</v>
      </c>
      <c r="K2615" s="6">
        <v>609389.53351717698</v>
      </c>
      <c r="M2615" s="6">
        <f>SUM(H2615,J2615)</f>
        <v>151444.13900303631</v>
      </c>
      <c r="N2615" s="6">
        <f>K2615</f>
        <v>609389.53351717698</v>
      </c>
      <c r="O2615" s="6">
        <f>SUM(M2615:N2615)</f>
        <v>760833.67252021329</v>
      </c>
      <c r="P2615" s="8">
        <f>VLOOKUP(F2615,'LEAID Match'!$A$2:$B$436,2,FALSE)</f>
        <v>1808040</v>
      </c>
      <c r="Q2615" s="6">
        <f>COUNTIF($P$2:$P$3691,P2615)</f>
        <v>9</v>
      </c>
    </row>
    <row r="2616" spans="1:17" x14ac:dyDescent="0.2">
      <c r="A2616" s="16">
        <f>P2616</f>
        <v>1808040</v>
      </c>
      <c r="B2616">
        <v>2017</v>
      </c>
      <c r="C2616" t="s">
        <v>904</v>
      </c>
      <c r="D2616" t="s">
        <v>906</v>
      </c>
      <c r="E2616" t="s">
        <v>3522</v>
      </c>
      <c r="F2616" t="s">
        <v>598</v>
      </c>
      <c r="G2616" t="s">
        <v>286</v>
      </c>
      <c r="H2616" s="6">
        <v>158402</v>
      </c>
      <c r="I2616" s="6">
        <v>6.9751177134228838E-4</v>
      </c>
      <c r="J2616" s="6">
        <v>3156.2407653238547</v>
      </c>
      <c r="K2616" s="6">
        <v>607532.75283913303</v>
      </c>
      <c r="M2616" s="6">
        <f>SUM(H2616,J2616)</f>
        <v>161558.24076532386</v>
      </c>
      <c r="N2616" s="6">
        <f>K2616</f>
        <v>607532.75283913303</v>
      </c>
      <c r="O2616" s="6">
        <f>SUM(M2616:N2616)</f>
        <v>769090.99360445689</v>
      </c>
      <c r="P2616" s="8">
        <f>VLOOKUP(F2616,'LEAID Match'!$A$2:$B$436,2,FALSE)</f>
        <v>1808040</v>
      </c>
      <c r="Q2616" s="6">
        <f>COUNTIF($P$2:$P$3691,P2616)</f>
        <v>9</v>
      </c>
    </row>
    <row r="2617" spans="1:17" x14ac:dyDescent="0.2">
      <c r="A2617" s="16">
        <f>P2617</f>
        <v>1808040</v>
      </c>
      <c r="B2617">
        <v>2018</v>
      </c>
      <c r="C2617" t="s">
        <v>904</v>
      </c>
      <c r="D2617" t="s">
        <v>906</v>
      </c>
      <c r="E2617" t="s">
        <v>3523</v>
      </c>
      <c r="F2617" t="s">
        <v>598</v>
      </c>
      <c r="G2617" t="s">
        <v>286</v>
      </c>
      <c r="H2617" s="6">
        <v>159540</v>
      </c>
      <c r="I2617" s="6">
        <v>6.7682784052795731E-4</v>
      </c>
      <c r="J2617" s="6">
        <v>2821.0184393205259</v>
      </c>
      <c r="K2617" s="6">
        <v>836758</v>
      </c>
      <c r="M2617" s="6">
        <f>SUM(H2617,J2617)</f>
        <v>162361.01843932053</v>
      </c>
      <c r="N2617" s="6">
        <f>K2617</f>
        <v>836758</v>
      </c>
      <c r="O2617" s="6">
        <f>SUM(M2617:N2617)</f>
        <v>999119.0184393205</v>
      </c>
      <c r="P2617" s="8">
        <f>VLOOKUP(F2617,'LEAID Match'!$A$2:$B$436,2,FALSE)</f>
        <v>1808040</v>
      </c>
      <c r="Q2617" s="6">
        <f>COUNTIF($P$2:$P$3691,P2617)</f>
        <v>9</v>
      </c>
    </row>
    <row r="2618" spans="1:17" x14ac:dyDescent="0.2">
      <c r="A2618" s="16">
        <f>P2618</f>
        <v>1808040</v>
      </c>
      <c r="B2618">
        <v>2019</v>
      </c>
      <c r="C2618" t="s">
        <v>904</v>
      </c>
      <c r="D2618" t="s">
        <v>906</v>
      </c>
      <c r="E2618" t="s">
        <v>3524</v>
      </c>
      <c r="F2618" t="s">
        <v>598</v>
      </c>
      <c r="G2618" t="s">
        <v>286</v>
      </c>
      <c r="H2618" s="6">
        <v>154173</v>
      </c>
      <c r="I2618" s="6">
        <v>3.9221527585351089E-4</v>
      </c>
      <c r="J2618" s="6">
        <v>1374.7145418665557</v>
      </c>
      <c r="K2618" s="6">
        <v>370211.99887812801</v>
      </c>
      <c r="M2618" s="6">
        <f>SUM(H2618,J2618)</f>
        <v>155547.71454186656</v>
      </c>
      <c r="N2618" s="6">
        <f>K2618</f>
        <v>370211.99887812801</v>
      </c>
      <c r="O2618" s="6">
        <f>SUM(M2618:N2618)</f>
        <v>525759.71341999457</v>
      </c>
      <c r="P2618" s="8">
        <f>VLOOKUP(F2618,'LEAID Match'!$A$2:$B$436,2,FALSE)</f>
        <v>1808040</v>
      </c>
      <c r="Q2618" s="6">
        <f>COUNTIF($P$2:$P$3691,P2618)</f>
        <v>9</v>
      </c>
    </row>
    <row r="2619" spans="1:17" x14ac:dyDescent="0.2">
      <c r="A2619" s="16">
        <f>P2619</f>
        <v>1808040</v>
      </c>
      <c r="B2619">
        <v>2020</v>
      </c>
      <c r="C2619" t="s">
        <v>904</v>
      </c>
      <c r="D2619" t="s">
        <v>906</v>
      </c>
      <c r="E2619" t="s">
        <v>3525</v>
      </c>
      <c r="F2619" t="s">
        <v>598</v>
      </c>
      <c r="G2619" t="s">
        <v>286</v>
      </c>
      <c r="H2619" s="6">
        <v>113495</v>
      </c>
      <c r="I2619" s="6">
        <v>6.0137683104660364E-4</v>
      </c>
      <c r="J2619" s="6">
        <v>1416.8438139457983</v>
      </c>
      <c r="K2619" s="6">
        <v>909562</v>
      </c>
      <c r="M2619" s="6">
        <f>SUM(H2619,J2619)</f>
        <v>114911.8438139458</v>
      </c>
      <c r="N2619" s="6">
        <f>K2619</f>
        <v>909562</v>
      </c>
      <c r="O2619" s="6">
        <f>SUM(M2619:N2619)</f>
        <v>1024473.8438139458</v>
      </c>
      <c r="P2619" s="8">
        <f>VLOOKUP(F2619,'LEAID Match'!$A$2:$B$436,2,FALSE)</f>
        <v>1808040</v>
      </c>
      <c r="Q2619" s="6">
        <f>COUNTIF($P$2:$P$3691,P2619)</f>
        <v>9</v>
      </c>
    </row>
    <row r="2620" spans="1:17" x14ac:dyDescent="0.2">
      <c r="A2620" s="16">
        <f>P2620</f>
        <v>1808040</v>
      </c>
      <c r="B2620">
        <v>2021</v>
      </c>
      <c r="C2620" t="s">
        <v>904</v>
      </c>
      <c r="D2620" t="s">
        <v>906</v>
      </c>
      <c r="E2620" t="s">
        <v>3526</v>
      </c>
      <c r="F2620" t="s">
        <v>598</v>
      </c>
      <c r="G2620" t="s">
        <v>286</v>
      </c>
      <c r="H2620" s="6">
        <v>117612</v>
      </c>
      <c r="I2620" s="6">
        <v>5.8101421779019476E-4</v>
      </c>
      <c r="J2620" s="6">
        <v>1309.6060468990991</v>
      </c>
      <c r="K2620" s="6">
        <v>1452284</v>
      </c>
      <c r="M2620" s="6">
        <f>SUM(H2620,J2620)</f>
        <v>118921.60604689911</v>
      </c>
      <c r="N2620" s="6">
        <f>K2620</f>
        <v>1452284</v>
      </c>
      <c r="O2620" s="6">
        <f>SUM(M2620:N2620)</f>
        <v>1571205.6060468992</v>
      </c>
      <c r="P2620" s="8">
        <f>VLOOKUP(F2620,'LEAID Match'!$A$2:$B$436,2,FALSE)</f>
        <v>1808040</v>
      </c>
      <c r="Q2620" s="6">
        <f>COUNTIF($P$2:$P$3691,P2620)</f>
        <v>9</v>
      </c>
    </row>
    <row r="2621" spans="1:17" x14ac:dyDescent="0.2">
      <c r="A2621" s="16">
        <f>P2621</f>
        <v>1808040</v>
      </c>
      <c r="B2621">
        <v>2022</v>
      </c>
      <c r="C2621" t="s">
        <v>904</v>
      </c>
      <c r="D2621" t="s">
        <v>906</v>
      </c>
      <c r="E2621" t="s">
        <v>3527</v>
      </c>
      <c r="F2621" t="s">
        <v>598</v>
      </c>
      <c r="G2621" t="s">
        <v>286</v>
      </c>
      <c r="H2621" s="6">
        <v>133610</v>
      </c>
      <c r="I2621" s="6">
        <v>6.3440511157021216E-4</v>
      </c>
      <c r="J2621" s="6">
        <v>1398.8632710123179</v>
      </c>
      <c r="K2621" s="6">
        <v>1375989</v>
      </c>
      <c r="M2621" s="6">
        <f>SUM(H2621,J2621)</f>
        <v>135008.86327101232</v>
      </c>
      <c r="N2621" s="6">
        <f>K2621</f>
        <v>1375989</v>
      </c>
      <c r="O2621" s="6">
        <f>SUM(M2621:N2621)</f>
        <v>1510997.8632710124</v>
      </c>
      <c r="P2621" s="8">
        <f>VLOOKUP(F2621,'LEAID Match'!$A$2:$B$436,2,FALSE)</f>
        <v>1808040</v>
      </c>
      <c r="Q2621" s="6">
        <f>COUNTIF($P$2:$P$3691,P2621)</f>
        <v>9</v>
      </c>
    </row>
    <row r="2622" spans="1:17" x14ac:dyDescent="0.2">
      <c r="A2622" s="16">
        <f>P2622</f>
        <v>1808040</v>
      </c>
      <c r="B2622">
        <v>2023</v>
      </c>
      <c r="C2622" t="s">
        <v>904</v>
      </c>
      <c r="D2622" t="s">
        <v>906</v>
      </c>
      <c r="E2622" t="s">
        <v>3528</v>
      </c>
      <c r="F2622" t="s">
        <v>598</v>
      </c>
      <c r="G2622" t="s">
        <v>286</v>
      </c>
      <c r="H2622" s="6">
        <v>154035</v>
      </c>
      <c r="I2622" s="6">
        <v>6.2991851508059312E-4</v>
      </c>
      <c r="J2622" s="6">
        <v>1554.0089767038232</v>
      </c>
      <c r="K2622" s="6">
        <v>4000805</v>
      </c>
      <c r="M2622" s="6">
        <f>SUM(H2622,J2622)</f>
        <v>155589.00897670383</v>
      </c>
      <c r="N2622" s="6">
        <f>K2622</f>
        <v>4000805</v>
      </c>
      <c r="O2622" s="6">
        <f>SUM(M2622:N2622)</f>
        <v>4156394.008976704</v>
      </c>
      <c r="P2622" s="8">
        <f>VLOOKUP(F2622,'LEAID Match'!$A$2:$B$436,2,FALSE)</f>
        <v>1808040</v>
      </c>
      <c r="Q2622" s="6">
        <f>COUNTIF($P$2:$P$3691,P2622)</f>
        <v>9</v>
      </c>
    </row>
    <row r="2623" spans="1:17" x14ac:dyDescent="0.2">
      <c r="A2623" s="16">
        <f>P2623</f>
        <v>1811400</v>
      </c>
      <c r="B2623">
        <v>2015</v>
      </c>
      <c r="C2623" t="s">
        <v>904</v>
      </c>
      <c r="D2623" t="s">
        <v>906</v>
      </c>
      <c r="E2623" t="s">
        <v>3529</v>
      </c>
      <c r="F2623" t="s">
        <v>773</v>
      </c>
      <c r="G2623" t="s">
        <v>287</v>
      </c>
      <c r="H2623" s="6">
        <v>263292</v>
      </c>
      <c r="I2623" s="6">
        <v>1.2803118667995613E-3</v>
      </c>
      <c r="J2623" s="6">
        <v>7439.8922579722503</v>
      </c>
      <c r="K2623" s="6">
        <v>1082652.19955557</v>
      </c>
      <c r="M2623" s="6">
        <f>SUM(H2623,J2623)</f>
        <v>270731.89225797227</v>
      </c>
      <c r="N2623" s="6">
        <f>K2623</f>
        <v>1082652.19955557</v>
      </c>
      <c r="O2623" s="6">
        <f>SUM(M2623:N2623)</f>
        <v>1353384.0918135424</v>
      </c>
      <c r="P2623" s="8">
        <f>VLOOKUP(F2623,'LEAID Match'!$A$2:$B$436,2,FALSE)</f>
        <v>1811400</v>
      </c>
      <c r="Q2623" s="6">
        <f>COUNTIF($P$2:$P$3691,P2623)</f>
        <v>9</v>
      </c>
    </row>
    <row r="2624" spans="1:17" x14ac:dyDescent="0.2">
      <c r="A2624" s="16">
        <f>P2624</f>
        <v>1811400</v>
      </c>
      <c r="B2624">
        <v>2016</v>
      </c>
      <c r="C2624" t="s">
        <v>904</v>
      </c>
      <c r="D2624" t="s">
        <v>906</v>
      </c>
      <c r="E2624" t="s">
        <v>3530</v>
      </c>
      <c r="F2624" t="s">
        <v>773</v>
      </c>
      <c r="G2624" t="s">
        <v>287</v>
      </c>
      <c r="H2624" s="6">
        <v>288113</v>
      </c>
      <c r="I2624" s="6">
        <v>1.3368797049598323E-3</v>
      </c>
      <c r="J2624" s="6">
        <v>6748.5687506372333</v>
      </c>
      <c r="K2624" s="6">
        <v>1186480.7381518499</v>
      </c>
      <c r="M2624" s="6">
        <f>SUM(H2624,J2624)</f>
        <v>294861.56875063723</v>
      </c>
      <c r="N2624" s="6">
        <f>K2624</f>
        <v>1186480.7381518499</v>
      </c>
      <c r="O2624" s="6">
        <f>SUM(M2624:N2624)</f>
        <v>1481342.3069024873</v>
      </c>
      <c r="P2624" s="8">
        <f>VLOOKUP(F2624,'LEAID Match'!$A$2:$B$436,2,FALSE)</f>
        <v>1811400</v>
      </c>
      <c r="Q2624" s="6">
        <f>COUNTIF($P$2:$P$3691,P2624)</f>
        <v>9</v>
      </c>
    </row>
    <row r="2625" spans="1:17" x14ac:dyDescent="0.2">
      <c r="A2625" s="16">
        <f>P2625</f>
        <v>1811400</v>
      </c>
      <c r="B2625">
        <v>2017</v>
      </c>
      <c r="C2625" t="s">
        <v>904</v>
      </c>
      <c r="D2625" t="s">
        <v>906</v>
      </c>
      <c r="E2625" t="s">
        <v>3531</v>
      </c>
      <c r="F2625" t="s">
        <v>773</v>
      </c>
      <c r="G2625" t="s">
        <v>287</v>
      </c>
      <c r="H2625" s="6">
        <v>292363</v>
      </c>
      <c r="I2625" s="6">
        <v>1.2873993636756194E-3</v>
      </c>
      <c r="J2625" s="6">
        <v>5825.4821206321776</v>
      </c>
      <c r="K2625" s="6">
        <v>1121324.84576146</v>
      </c>
      <c r="M2625" s="6">
        <f>SUM(H2625,J2625)</f>
        <v>298188.48212063219</v>
      </c>
      <c r="N2625" s="6">
        <f>K2625</f>
        <v>1121324.84576146</v>
      </c>
      <c r="O2625" s="6">
        <f>SUM(M2625:N2625)</f>
        <v>1419513.3278820922</v>
      </c>
      <c r="P2625" s="8">
        <f>VLOOKUP(F2625,'LEAID Match'!$A$2:$B$436,2,FALSE)</f>
        <v>1811400</v>
      </c>
      <c r="Q2625" s="6">
        <f>COUNTIF($P$2:$P$3691,P2625)</f>
        <v>9</v>
      </c>
    </row>
    <row r="2626" spans="1:17" x14ac:dyDescent="0.2">
      <c r="A2626" s="16">
        <f>P2626</f>
        <v>1811400</v>
      </c>
      <c r="B2626">
        <v>2018</v>
      </c>
      <c r="C2626" t="s">
        <v>904</v>
      </c>
      <c r="D2626" t="s">
        <v>906</v>
      </c>
      <c r="E2626" t="s">
        <v>3532</v>
      </c>
      <c r="F2626" t="s">
        <v>773</v>
      </c>
      <c r="G2626" t="s">
        <v>287</v>
      </c>
      <c r="H2626" s="6">
        <v>292631</v>
      </c>
      <c r="I2626" s="6">
        <v>1.2414492152534578E-3</v>
      </c>
      <c r="J2626" s="6">
        <v>5174.3603291764121</v>
      </c>
      <c r="K2626" s="6">
        <v>1963296</v>
      </c>
      <c r="M2626" s="6">
        <f>SUM(H2626,J2626)</f>
        <v>297805.36032917642</v>
      </c>
      <c r="N2626" s="6">
        <f>K2626</f>
        <v>1963296</v>
      </c>
      <c r="O2626" s="6">
        <f>SUM(M2626:N2626)</f>
        <v>2261101.3603291763</v>
      </c>
      <c r="P2626" s="8">
        <f>VLOOKUP(F2626,'LEAID Match'!$A$2:$B$436,2,FALSE)</f>
        <v>1811400</v>
      </c>
      <c r="Q2626" s="6">
        <f>COUNTIF($P$2:$P$3691,P2626)</f>
        <v>9</v>
      </c>
    </row>
    <row r="2627" spans="1:17" x14ac:dyDescent="0.2">
      <c r="A2627" s="16">
        <f>P2627</f>
        <v>1811400</v>
      </c>
      <c r="B2627">
        <v>2019</v>
      </c>
      <c r="C2627" t="s">
        <v>904</v>
      </c>
      <c r="D2627" t="s">
        <v>906</v>
      </c>
      <c r="E2627" t="s">
        <v>3533</v>
      </c>
      <c r="F2627" t="s">
        <v>773</v>
      </c>
      <c r="G2627" t="s">
        <v>287</v>
      </c>
      <c r="H2627" s="6">
        <v>312859</v>
      </c>
      <c r="I2627" s="6">
        <v>7.959115992310817E-4</v>
      </c>
      <c r="J2627" s="6">
        <v>2789.6701553049415</v>
      </c>
      <c r="K2627" s="6">
        <v>751260.95851421799</v>
      </c>
      <c r="M2627" s="6">
        <f>SUM(H2627,J2627)</f>
        <v>315648.67015530495</v>
      </c>
      <c r="N2627" s="6">
        <f>K2627</f>
        <v>751260.95851421799</v>
      </c>
      <c r="O2627" s="6">
        <f>SUM(M2627:N2627)</f>
        <v>1066909.6286695229</v>
      </c>
      <c r="P2627" s="8">
        <f>VLOOKUP(F2627,'LEAID Match'!$A$2:$B$436,2,FALSE)</f>
        <v>1811400</v>
      </c>
      <c r="Q2627" s="6">
        <f>COUNTIF($P$2:$P$3691,P2627)</f>
        <v>9</v>
      </c>
    </row>
    <row r="2628" spans="1:17" x14ac:dyDescent="0.2">
      <c r="A2628" s="16">
        <f>P2628</f>
        <v>1811400</v>
      </c>
      <c r="B2628">
        <v>2020</v>
      </c>
      <c r="C2628" t="s">
        <v>904</v>
      </c>
      <c r="D2628" t="s">
        <v>906</v>
      </c>
      <c r="E2628" t="s">
        <v>3534</v>
      </c>
      <c r="F2628" t="s">
        <v>773</v>
      </c>
      <c r="G2628" t="s">
        <v>287</v>
      </c>
      <c r="H2628" s="6">
        <v>247912</v>
      </c>
      <c r="I2628" s="6">
        <v>1.3136132247096842E-3</v>
      </c>
      <c r="J2628" s="6">
        <v>3094.8727574160157</v>
      </c>
      <c r="K2628" s="6">
        <v>2093081</v>
      </c>
      <c r="M2628" s="6">
        <f>SUM(H2628,J2628)</f>
        <v>251006.87275741601</v>
      </c>
      <c r="N2628" s="6">
        <f>K2628</f>
        <v>2093081</v>
      </c>
      <c r="O2628" s="6">
        <f>SUM(M2628:N2628)</f>
        <v>2344087.8727574162</v>
      </c>
      <c r="P2628" s="8">
        <f>VLOOKUP(F2628,'LEAID Match'!$A$2:$B$436,2,FALSE)</f>
        <v>1811400</v>
      </c>
      <c r="Q2628" s="6">
        <f>COUNTIF($P$2:$P$3691,P2628)</f>
        <v>9</v>
      </c>
    </row>
    <row r="2629" spans="1:17" x14ac:dyDescent="0.2">
      <c r="A2629" s="16">
        <f>P2629</f>
        <v>1811400</v>
      </c>
      <c r="B2629">
        <v>2021</v>
      </c>
      <c r="C2629" t="s">
        <v>904</v>
      </c>
      <c r="D2629" t="s">
        <v>906</v>
      </c>
      <c r="E2629" t="s">
        <v>3535</v>
      </c>
      <c r="F2629" t="s">
        <v>773</v>
      </c>
      <c r="G2629" t="s">
        <v>287</v>
      </c>
      <c r="H2629" s="6">
        <v>272641</v>
      </c>
      <c r="I2629" s="6">
        <v>1.3468718953213658E-3</v>
      </c>
      <c r="J2629" s="6">
        <v>3035.8492520543587</v>
      </c>
      <c r="K2629" s="6">
        <v>3441461</v>
      </c>
      <c r="M2629" s="6">
        <f>SUM(H2629,J2629)</f>
        <v>275676.84925205435</v>
      </c>
      <c r="N2629" s="6">
        <f>K2629</f>
        <v>3441461</v>
      </c>
      <c r="O2629" s="6">
        <f>SUM(M2629:N2629)</f>
        <v>3717137.8492520545</v>
      </c>
      <c r="P2629" s="8">
        <f>VLOOKUP(F2629,'LEAID Match'!$A$2:$B$436,2,FALSE)</f>
        <v>1811400</v>
      </c>
      <c r="Q2629" s="6">
        <f>COUNTIF($P$2:$P$3691,P2629)</f>
        <v>9</v>
      </c>
    </row>
    <row r="2630" spans="1:17" x14ac:dyDescent="0.2">
      <c r="A2630" s="16">
        <f>P2630</f>
        <v>1811400</v>
      </c>
      <c r="B2630">
        <v>2022</v>
      </c>
      <c r="C2630" t="s">
        <v>904</v>
      </c>
      <c r="D2630" t="s">
        <v>906</v>
      </c>
      <c r="E2630" t="s">
        <v>3536</v>
      </c>
      <c r="F2630" t="s">
        <v>773</v>
      </c>
      <c r="G2630" t="s">
        <v>287</v>
      </c>
      <c r="H2630" s="6">
        <v>285978</v>
      </c>
      <c r="I2630" s="6">
        <v>1.3578766933360236E-3</v>
      </c>
      <c r="J2630" s="6">
        <v>2994.118108805932</v>
      </c>
      <c r="K2630" s="6">
        <v>3322374</v>
      </c>
      <c r="M2630" s="6">
        <f>SUM(H2630,J2630)</f>
        <v>288972.11810880591</v>
      </c>
      <c r="N2630" s="6">
        <f>K2630</f>
        <v>3322374</v>
      </c>
      <c r="O2630" s="6">
        <f>SUM(M2630:N2630)</f>
        <v>3611346.1181088057</v>
      </c>
      <c r="P2630" s="8">
        <f>VLOOKUP(F2630,'LEAID Match'!$A$2:$B$436,2,FALSE)</f>
        <v>1811400</v>
      </c>
      <c r="Q2630" s="6">
        <f>COUNTIF($P$2:$P$3691,P2630)</f>
        <v>9</v>
      </c>
    </row>
    <row r="2631" spans="1:17" x14ac:dyDescent="0.2">
      <c r="A2631" s="16">
        <f>P2631</f>
        <v>1811400</v>
      </c>
      <c r="B2631">
        <v>2023</v>
      </c>
      <c r="C2631" t="s">
        <v>904</v>
      </c>
      <c r="D2631" t="s">
        <v>906</v>
      </c>
      <c r="E2631" t="s">
        <v>3537</v>
      </c>
      <c r="F2631" t="s">
        <v>773</v>
      </c>
      <c r="G2631" t="s">
        <v>287</v>
      </c>
      <c r="H2631" s="6">
        <v>333995</v>
      </c>
      <c r="I2631" s="6">
        <v>1.3658560356045232E-3</v>
      </c>
      <c r="J2631" s="6">
        <v>3369.5668398363587</v>
      </c>
      <c r="K2631" s="6">
        <v>9532138</v>
      </c>
      <c r="M2631" s="6">
        <f>SUM(H2631,J2631)</f>
        <v>337364.56683983636</v>
      </c>
      <c r="N2631" s="6">
        <f>K2631</f>
        <v>9532138</v>
      </c>
      <c r="O2631" s="6">
        <f>SUM(M2631:N2631)</f>
        <v>9869502.5668398365</v>
      </c>
      <c r="P2631" s="8">
        <f>VLOOKUP(F2631,'LEAID Match'!$A$2:$B$436,2,FALSE)</f>
        <v>1811400</v>
      </c>
      <c r="Q2631" s="6">
        <f>COUNTIF($P$2:$P$3691,P2631)</f>
        <v>9</v>
      </c>
    </row>
    <row r="2632" spans="1:17" x14ac:dyDescent="0.2">
      <c r="A2632" s="16">
        <f>P2632</f>
        <v>1801290</v>
      </c>
      <c r="B2632">
        <v>2015</v>
      </c>
      <c r="C2632" t="s">
        <v>904</v>
      </c>
      <c r="D2632" t="s">
        <v>906</v>
      </c>
      <c r="E2632" t="s">
        <v>3538</v>
      </c>
      <c r="F2632" t="s">
        <v>630</v>
      </c>
      <c r="G2632" t="s">
        <v>16</v>
      </c>
      <c r="H2632" s="6">
        <v>211043</v>
      </c>
      <c r="I2632" s="6">
        <v>1.0262402857093257E-3</v>
      </c>
      <c r="J2632" s="6">
        <v>5963.482300256891</v>
      </c>
      <c r="K2632" s="6">
        <v>867805.205440377</v>
      </c>
      <c r="M2632" s="6">
        <f>SUM(H2632,J2632)</f>
        <v>217006.4823002569</v>
      </c>
      <c r="N2632" s="6">
        <f>K2632</f>
        <v>867805.205440377</v>
      </c>
      <c r="O2632" s="6">
        <f>SUM(M2632:N2632)</f>
        <v>1084811.687740634</v>
      </c>
      <c r="P2632" s="8">
        <f>VLOOKUP(F2632,'LEAID Match'!$A$2:$B$436,2,FALSE)</f>
        <v>1801290</v>
      </c>
      <c r="Q2632" s="6">
        <f>COUNTIF($P$2:$P$3691,P2632)</f>
        <v>9</v>
      </c>
    </row>
    <row r="2633" spans="1:17" x14ac:dyDescent="0.2">
      <c r="A2633" s="16">
        <f>P2633</f>
        <v>1801290</v>
      </c>
      <c r="B2633">
        <v>2016</v>
      </c>
      <c r="C2633" t="s">
        <v>904</v>
      </c>
      <c r="D2633" t="s">
        <v>906</v>
      </c>
      <c r="E2633" t="s">
        <v>3539</v>
      </c>
      <c r="F2633" t="s">
        <v>630</v>
      </c>
      <c r="G2633" t="s">
        <v>16</v>
      </c>
      <c r="H2633" s="6">
        <v>215402</v>
      </c>
      <c r="I2633" s="6">
        <v>9.9949173486707575E-4</v>
      </c>
      <c r="J2633" s="6">
        <v>5045.4342776089979</v>
      </c>
      <c r="K2633" s="6">
        <v>887048.91469452903</v>
      </c>
      <c r="M2633" s="6">
        <f>SUM(H2633,J2633)</f>
        <v>220447.43427760899</v>
      </c>
      <c r="N2633" s="6">
        <f>K2633</f>
        <v>887048.91469452903</v>
      </c>
      <c r="O2633" s="6">
        <f>SUM(M2633:N2633)</f>
        <v>1107496.348972138</v>
      </c>
      <c r="P2633" s="8">
        <f>VLOOKUP(F2633,'LEAID Match'!$A$2:$B$436,2,FALSE)</f>
        <v>1801290</v>
      </c>
      <c r="Q2633" s="6">
        <f>COUNTIF($P$2:$P$3691,P2633)</f>
        <v>9</v>
      </c>
    </row>
    <row r="2634" spans="1:17" x14ac:dyDescent="0.2">
      <c r="A2634" s="16">
        <f>P2634</f>
        <v>1801290</v>
      </c>
      <c r="B2634">
        <v>2017</v>
      </c>
      <c r="C2634" t="s">
        <v>904</v>
      </c>
      <c r="D2634" t="s">
        <v>906</v>
      </c>
      <c r="E2634" t="s">
        <v>3540</v>
      </c>
      <c r="F2634" t="s">
        <v>630</v>
      </c>
      <c r="G2634" t="s">
        <v>16</v>
      </c>
      <c r="H2634" s="6">
        <v>237127</v>
      </c>
      <c r="I2634" s="6">
        <v>1.0441716253777277E-3</v>
      </c>
      <c r="J2634" s="6">
        <v>4724.8766048342177</v>
      </c>
      <c r="K2634" s="6">
        <v>909473.48570399999</v>
      </c>
      <c r="M2634" s="6">
        <f>SUM(H2634,J2634)</f>
        <v>241851.87660483422</v>
      </c>
      <c r="N2634" s="6">
        <f>K2634</f>
        <v>909473.48570399999</v>
      </c>
      <c r="O2634" s="6">
        <f>SUM(M2634:N2634)</f>
        <v>1151325.3623088342</v>
      </c>
      <c r="P2634" s="8">
        <f>VLOOKUP(F2634,'LEAID Match'!$A$2:$B$436,2,FALSE)</f>
        <v>1801290</v>
      </c>
      <c r="Q2634" s="6">
        <f>COUNTIF($P$2:$P$3691,P2634)</f>
        <v>9</v>
      </c>
    </row>
    <row r="2635" spans="1:17" x14ac:dyDescent="0.2">
      <c r="A2635" s="16">
        <f>P2635</f>
        <v>1801290</v>
      </c>
      <c r="B2635">
        <v>2018</v>
      </c>
      <c r="C2635" t="s">
        <v>904</v>
      </c>
      <c r="D2635" t="s">
        <v>906</v>
      </c>
      <c r="E2635" t="s">
        <v>3541</v>
      </c>
      <c r="F2635" t="s">
        <v>630</v>
      </c>
      <c r="G2635" t="s">
        <v>16</v>
      </c>
      <c r="H2635" s="6">
        <v>240379</v>
      </c>
      <c r="I2635" s="6">
        <v>1.0197768551978804E-3</v>
      </c>
      <c r="J2635" s="6">
        <v>4250.4299324647654</v>
      </c>
      <c r="K2635" s="6">
        <v>856860</v>
      </c>
      <c r="M2635" s="6">
        <f>SUM(H2635,J2635)</f>
        <v>244629.42993246476</v>
      </c>
      <c r="N2635" s="6">
        <f>K2635</f>
        <v>856860</v>
      </c>
      <c r="O2635" s="6">
        <f>SUM(M2635:N2635)</f>
        <v>1101489.4299324648</v>
      </c>
      <c r="P2635" s="8">
        <f>VLOOKUP(F2635,'LEAID Match'!$A$2:$B$436,2,FALSE)</f>
        <v>1801290</v>
      </c>
      <c r="Q2635" s="6">
        <f>COUNTIF($P$2:$P$3691,P2635)</f>
        <v>9</v>
      </c>
    </row>
    <row r="2636" spans="1:17" x14ac:dyDescent="0.2">
      <c r="A2636" s="16">
        <f>P2636</f>
        <v>1801290</v>
      </c>
      <c r="B2636">
        <v>2019</v>
      </c>
      <c r="C2636" t="s">
        <v>904</v>
      </c>
      <c r="D2636" t="s">
        <v>906</v>
      </c>
      <c r="E2636" t="s">
        <v>3542</v>
      </c>
      <c r="F2636" t="s">
        <v>630</v>
      </c>
      <c r="G2636" t="s">
        <v>16</v>
      </c>
      <c r="H2636" s="6">
        <v>253647</v>
      </c>
      <c r="I2636" s="6">
        <v>6.4527659236322495E-4</v>
      </c>
      <c r="J2636" s="6">
        <v>2261.6944562331037</v>
      </c>
      <c r="K2636" s="6">
        <v>609076.57553164801</v>
      </c>
      <c r="M2636" s="6">
        <f>SUM(H2636,J2636)</f>
        <v>255908.69445623309</v>
      </c>
      <c r="N2636" s="6">
        <f>K2636</f>
        <v>609076.57553164801</v>
      </c>
      <c r="O2636" s="6">
        <f>SUM(M2636:N2636)</f>
        <v>864985.26998788107</v>
      </c>
      <c r="P2636" s="8">
        <f>VLOOKUP(F2636,'LEAID Match'!$A$2:$B$436,2,FALSE)</f>
        <v>1801290</v>
      </c>
      <c r="Q2636" s="6">
        <f>COUNTIF($P$2:$P$3691,P2636)</f>
        <v>9</v>
      </c>
    </row>
    <row r="2637" spans="1:17" x14ac:dyDescent="0.2">
      <c r="A2637" s="16">
        <f>P2637</f>
        <v>1801290</v>
      </c>
      <c r="B2637">
        <v>2020</v>
      </c>
      <c r="C2637" t="s">
        <v>904</v>
      </c>
      <c r="D2637" t="s">
        <v>906</v>
      </c>
      <c r="E2637" t="s">
        <v>3543</v>
      </c>
      <c r="F2637" t="s">
        <v>630</v>
      </c>
      <c r="G2637" t="s">
        <v>16</v>
      </c>
      <c r="H2637" s="6">
        <v>192843</v>
      </c>
      <c r="I2637" s="6">
        <v>1.021818690070225E-3</v>
      </c>
      <c r="J2637" s="6">
        <v>2407.4048338054499</v>
      </c>
      <c r="K2637" s="6">
        <v>899268</v>
      </c>
      <c r="M2637" s="6">
        <f>SUM(H2637,J2637)</f>
        <v>195250.40483380546</v>
      </c>
      <c r="N2637" s="6">
        <f>K2637</f>
        <v>899268</v>
      </c>
      <c r="O2637" s="6">
        <f>SUM(M2637:N2637)</f>
        <v>1094518.4048338055</v>
      </c>
      <c r="P2637" s="8">
        <f>VLOOKUP(F2637,'LEAID Match'!$A$2:$B$436,2,FALSE)</f>
        <v>1801290</v>
      </c>
      <c r="Q2637" s="6">
        <f>COUNTIF($P$2:$P$3691,P2637)</f>
        <v>9</v>
      </c>
    </row>
    <row r="2638" spans="1:17" x14ac:dyDescent="0.2">
      <c r="A2638" s="16">
        <f>P2638</f>
        <v>1801290</v>
      </c>
      <c r="B2638">
        <v>2021</v>
      </c>
      <c r="C2638" t="s">
        <v>904</v>
      </c>
      <c r="D2638" t="s">
        <v>906</v>
      </c>
      <c r="E2638" t="s">
        <v>3544</v>
      </c>
      <c r="F2638" t="s">
        <v>630</v>
      </c>
      <c r="G2638" t="s">
        <v>16</v>
      </c>
      <c r="H2638" s="6">
        <v>198750</v>
      </c>
      <c r="I2638" s="6">
        <v>9.8184348353740438E-4</v>
      </c>
      <c r="J2638" s="6">
        <v>2213.0752118933096</v>
      </c>
      <c r="K2638" s="6">
        <v>1525489</v>
      </c>
      <c r="M2638" s="6">
        <f>SUM(H2638,J2638)</f>
        <v>200963.0752118933</v>
      </c>
      <c r="N2638" s="6">
        <f>K2638</f>
        <v>1525489</v>
      </c>
      <c r="O2638" s="6">
        <f>SUM(M2638:N2638)</f>
        <v>1726452.0752118933</v>
      </c>
      <c r="P2638" s="8">
        <f>VLOOKUP(F2638,'LEAID Match'!$A$2:$B$436,2,FALSE)</f>
        <v>1801290</v>
      </c>
      <c r="Q2638" s="6">
        <f>COUNTIF($P$2:$P$3691,P2638)</f>
        <v>9</v>
      </c>
    </row>
    <row r="2639" spans="1:17" x14ac:dyDescent="0.2">
      <c r="A2639" s="16">
        <f>P2639</f>
        <v>1801290</v>
      </c>
      <c r="B2639">
        <v>2022</v>
      </c>
      <c r="C2639" t="s">
        <v>904</v>
      </c>
      <c r="D2639" t="s">
        <v>906</v>
      </c>
      <c r="E2639" t="s">
        <v>3545</v>
      </c>
      <c r="F2639" t="s">
        <v>630</v>
      </c>
      <c r="G2639" t="s">
        <v>16</v>
      </c>
      <c r="H2639" s="6">
        <v>203308</v>
      </c>
      <c r="I2639" s="6">
        <v>9.6534416902265322E-4</v>
      </c>
      <c r="J2639" s="6">
        <v>2128.5838926949505</v>
      </c>
      <c r="K2639" s="6">
        <v>1620644</v>
      </c>
      <c r="M2639" s="6">
        <f>SUM(H2639,J2639)</f>
        <v>205436.58389269494</v>
      </c>
      <c r="N2639" s="6">
        <f>K2639</f>
        <v>1620644</v>
      </c>
      <c r="O2639" s="6">
        <f>SUM(M2639:N2639)</f>
        <v>1826080.5838926949</v>
      </c>
      <c r="P2639" s="8">
        <f>VLOOKUP(F2639,'LEAID Match'!$A$2:$B$436,2,FALSE)</f>
        <v>1801290</v>
      </c>
      <c r="Q2639" s="6">
        <f>COUNTIF($P$2:$P$3691,P2639)</f>
        <v>9</v>
      </c>
    </row>
    <row r="2640" spans="1:17" x14ac:dyDescent="0.2">
      <c r="A2640" s="16">
        <f>P2640</f>
        <v>1801290</v>
      </c>
      <c r="B2640">
        <v>2023</v>
      </c>
      <c r="C2640" t="s">
        <v>904</v>
      </c>
      <c r="D2640" t="s">
        <v>906</v>
      </c>
      <c r="E2640" t="s">
        <v>3546</v>
      </c>
      <c r="F2640" t="s">
        <v>630</v>
      </c>
      <c r="G2640" t="s">
        <v>16</v>
      </c>
      <c r="H2640" s="6">
        <v>240675</v>
      </c>
      <c r="I2640" s="6">
        <v>9.8422851051398544E-4</v>
      </c>
      <c r="J2640" s="6">
        <v>2428.0917354380022</v>
      </c>
      <c r="K2640" s="6">
        <v>4531874</v>
      </c>
      <c r="M2640" s="6">
        <f>SUM(H2640,J2640)</f>
        <v>243103.09173543801</v>
      </c>
      <c r="N2640" s="6">
        <f>K2640</f>
        <v>4531874</v>
      </c>
      <c r="O2640" s="6">
        <f>SUM(M2640:N2640)</f>
        <v>4774977.0917354384</v>
      </c>
      <c r="P2640" s="8">
        <f>VLOOKUP(F2640,'LEAID Match'!$A$2:$B$436,2,FALSE)</f>
        <v>1801290</v>
      </c>
      <c r="Q2640" s="6">
        <f>COUNTIF($P$2:$P$3691,P2640)</f>
        <v>9</v>
      </c>
    </row>
    <row r="2641" spans="1:17" x14ac:dyDescent="0.2">
      <c r="A2641" s="16">
        <f>P2641</f>
        <v>1802700</v>
      </c>
      <c r="B2641">
        <v>2015</v>
      </c>
      <c r="C2641" t="s">
        <v>904</v>
      </c>
      <c r="D2641" t="s">
        <v>906</v>
      </c>
      <c r="E2641" t="s">
        <v>3547</v>
      </c>
      <c r="F2641" t="s">
        <v>631</v>
      </c>
      <c r="G2641" t="s">
        <v>17</v>
      </c>
      <c r="H2641" s="6">
        <v>243900</v>
      </c>
      <c r="I2641" s="6">
        <v>1.1860142515245924E-3</v>
      </c>
      <c r="J2641" s="6">
        <v>6891.9288156094062</v>
      </c>
      <c r="K2641" s="6">
        <v>1002912.62731722</v>
      </c>
      <c r="M2641" s="6">
        <f>SUM(H2641,J2641)</f>
        <v>250791.9288156094</v>
      </c>
      <c r="N2641" s="6">
        <f>K2641</f>
        <v>1002912.62731722</v>
      </c>
      <c r="O2641" s="6">
        <f>SUM(M2641:N2641)</f>
        <v>1253704.5561328293</v>
      </c>
      <c r="P2641" s="8">
        <f>VLOOKUP(F2641,'LEAID Match'!$A$2:$B$436,2,FALSE)</f>
        <v>1802700</v>
      </c>
      <c r="Q2641" s="6">
        <f>COUNTIF($P$2:$P$3691,P2641)</f>
        <v>9</v>
      </c>
    </row>
    <row r="2642" spans="1:17" x14ac:dyDescent="0.2">
      <c r="A2642" s="16">
        <f>P2642</f>
        <v>1802700</v>
      </c>
      <c r="B2642">
        <v>2016</v>
      </c>
      <c r="C2642" t="s">
        <v>904</v>
      </c>
      <c r="D2642" t="s">
        <v>906</v>
      </c>
      <c r="E2642" t="s">
        <v>3548</v>
      </c>
      <c r="F2642" t="s">
        <v>631</v>
      </c>
      <c r="G2642" t="s">
        <v>17</v>
      </c>
      <c r="H2642" s="6">
        <v>258198</v>
      </c>
      <c r="I2642" s="6">
        <v>1.1980704309115478E-3</v>
      </c>
      <c r="J2642" s="6">
        <v>6047.8595352414932</v>
      </c>
      <c r="K2642" s="6">
        <v>1063287.50743399</v>
      </c>
      <c r="M2642" s="6">
        <f>SUM(H2642,J2642)</f>
        <v>264245.8595352415</v>
      </c>
      <c r="N2642" s="6">
        <f>K2642</f>
        <v>1063287.50743399</v>
      </c>
      <c r="O2642" s="6">
        <f>SUM(M2642:N2642)</f>
        <v>1327533.3669692315</v>
      </c>
      <c r="P2642" s="8">
        <f>VLOOKUP(F2642,'LEAID Match'!$A$2:$B$436,2,FALSE)</f>
        <v>1802700</v>
      </c>
      <c r="Q2642" s="6">
        <f>COUNTIF($P$2:$P$3691,P2642)</f>
        <v>9</v>
      </c>
    </row>
    <row r="2643" spans="1:17" x14ac:dyDescent="0.2">
      <c r="A2643" s="16">
        <f>P2643</f>
        <v>1802700</v>
      </c>
      <c r="B2643">
        <v>2017</v>
      </c>
      <c r="C2643" t="s">
        <v>904</v>
      </c>
      <c r="D2643" t="s">
        <v>906</v>
      </c>
      <c r="E2643" t="s">
        <v>3549</v>
      </c>
      <c r="F2643" t="s">
        <v>631</v>
      </c>
      <c r="G2643" t="s">
        <v>17</v>
      </c>
      <c r="H2643" s="6">
        <v>278706</v>
      </c>
      <c r="I2643" s="6">
        <v>1.2272617501276741E-3</v>
      </c>
      <c r="J2643" s="6">
        <v>5553.3594193277249</v>
      </c>
      <c r="K2643" s="6">
        <v>1068944.9843611999</v>
      </c>
      <c r="M2643" s="6">
        <f>SUM(H2643,J2643)</f>
        <v>284259.35941932775</v>
      </c>
      <c r="N2643" s="6">
        <f>K2643</f>
        <v>1068944.9843611999</v>
      </c>
      <c r="O2643" s="6">
        <f>SUM(M2643:N2643)</f>
        <v>1353204.3437805276</v>
      </c>
      <c r="P2643" s="8">
        <f>VLOOKUP(F2643,'LEAID Match'!$A$2:$B$436,2,FALSE)</f>
        <v>1802700</v>
      </c>
      <c r="Q2643" s="6">
        <f>COUNTIF($P$2:$P$3691,P2643)</f>
        <v>9</v>
      </c>
    </row>
    <row r="2644" spans="1:17" x14ac:dyDescent="0.2">
      <c r="A2644" s="16">
        <f>P2644</f>
        <v>1802700</v>
      </c>
      <c r="B2644">
        <v>2018</v>
      </c>
      <c r="C2644" t="s">
        <v>904</v>
      </c>
      <c r="D2644" t="s">
        <v>906</v>
      </c>
      <c r="E2644" t="s">
        <v>3550</v>
      </c>
      <c r="F2644" t="s">
        <v>631</v>
      </c>
      <c r="G2644" t="s">
        <v>17</v>
      </c>
      <c r="H2644" s="6">
        <v>296112</v>
      </c>
      <c r="I2644" s="6">
        <v>1.2562169080758084E-3</v>
      </c>
      <c r="J2644" s="6">
        <v>5235.9120728599692</v>
      </c>
      <c r="K2644" s="6">
        <v>1439175</v>
      </c>
      <c r="M2644" s="6">
        <f>SUM(H2644,J2644)</f>
        <v>301347.91207286</v>
      </c>
      <c r="N2644" s="6">
        <f>K2644</f>
        <v>1439175</v>
      </c>
      <c r="O2644" s="6">
        <f>SUM(M2644:N2644)</f>
        <v>1740522.9120728599</v>
      </c>
      <c r="P2644" s="8">
        <f>VLOOKUP(F2644,'LEAID Match'!$A$2:$B$436,2,FALSE)</f>
        <v>1802700</v>
      </c>
      <c r="Q2644" s="6">
        <f>COUNTIF($P$2:$P$3691,P2644)</f>
        <v>9</v>
      </c>
    </row>
    <row r="2645" spans="1:17" x14ac:dyDescent="0.2">
      <c r="A2645" s="16">
        <f>P2645</f>
        <v>1802700</v>
      </c>
      <c r="B2645">
        <v>2019</v>
      </c>
      <c r="C2645" t="s">
        <v>904</v>
      </c>
      <c r="D2645" t="s">
        <v>906</v>
      </c>
      <c r="E2645" t="s">
        <v>3551</v>
      </c>
      <c r="F2645" t="s">
        <v>631</v>
      </c>
      <c r="G2645" t="s">
        <v>17</v>
      </c>
      <c r="H2645" s="6">
        <v>301984</v>
      </c>
      <c r="I2645" s="6">
        <v>7.682456582108841E-4</v>
      </c>
      <c r="J2645" s="6">
        <v>2692.7010320291488</v>
      </c>
      <c r="K2645" s="6">
        <v>725147.07678525301</v>
      </c>
      <c r="M2645" s="6">
        <f>SUM(H2645,J2645)</f>
        <v>304676.70103202917</v>
      </c>
      <c r="N2645" s="6">
        <f>K2645</f>
        <v>725147.07678525301</v>
      </c>
      <c r="O2645" s="6">
        <f>SUM(M2645:N2645)</f>
        <v>1029823.7778172821</v>
      </c>
      <c r="P2645" s="8">
        <f>VLOOKUP(F2645,'LEAID Match'!$A$2:$B$436,2,FALSE)</f>
        <v>1802700</v>
      </c>
      <c r="Q2645" s="6">
        <f>COUNTIF($P$2:$P$3691,P2645)</f>
        <v>9</v>
      </c>
    </row>
    <row r="2646" spans="1:17" x14ac:dyDescent="0.2">
      <c r="A2646" s="16">
        <f>P2646</f>
        <v>1802700</v>
      </c>
      <c r="B2646">
        <v>2020</v>
      </c>
      <c r="C2646" t="s">
        <v>904</v>
      </c>
      <c r="D2646" t="s">
        <v>906</v>
      </c>
      <c r="E2646" t="s">
        <v>3552</v>
      </c>
      <c r="F2646" t="s">
        <v>631</v>
      </c>
      <c r="G2646" t="s">
        <v>17</v>
      </c>
      <c r="H2646" s="6">
        <v>224061</v>
      </c>
      <c r="I2646" s="6">
        <v>1.187233747223517E-3</v>
      </c>
      <c r="J2646" s="6">
        <v>2797.1227084586062</v>
      </c>
      <c r="K2646" s="6">
        <v>1490785</v>
      </c>
      <c r="M2646" s="6">
        <f>SUM(H2646,J2646)</f>
        <v>226858.1227084586</v>
      </c>
      <c r="N2646" s="6">
        <f>K2646</f>
        <v>1490785</v>
      </c>
      <c r="O2646" s="6">
        <f>SUM(M2646:N2646)</f>
        <v>1717643.1227084587</v>
      </c>
      <c r="P2646" s="8">
        <f>VLOOKUP(F2646,'LEAID Match'!$A$2:$B$436,2,FALSE)</f>
        <v>1802700</v>
      </c>
      <c r="Q2646" s="6">
        <f>COUNTIF($P$2:$P$3691,P2646)</f>
        <v>9</v>
      </c>
    </row>
    <row r="2647" spans="1:17" x14ac:dyDescent="0.2">
      <c r="A2647" s="16">
        <f>P2647</f>
        <v>1802700</v>
      </c>
      <c r="B2647">
        <v>2021</v>
      </c>
      <c r="C2647" t="s">
        <v>904</v>
      </c>
      <c r="D2647" t="s">
        <v>906</v>
      </c>
      <c r="E2647" t="s">
        <v>3553</v>
      </c>
      <c r="F2647" t="s">
        <v>631</v>
      </c>
      <c r="G2647" t="s">
        <v>17</v>
      </c>
      <c r="H2647" s="6">
        <v>231689</v>
      </c>
      <c r="I2647" s="6">
        <v>1.1445652068291707E-3</v>
      </c>
      <c r="J2647" s="6">
        <v>2579.8499761929506</v>
      </c>
      <c r="K2647" s="6">
        <v>2453985</v>
      </c>
      <c r="M2647" s="6">
        <f>SUM(H2647,J2647)</f>
        <v>234268.84997619296</v>
      </c>
      <c r="N2647" s="6">
        <f>K2647</f>
        <v>2453985</v>
      </c>
      <c r="O2647" s="6">
        <f>SUM(M2647:N2647)</f>
        <v>2688253.8499761932</v>
      </c>
      <c r="P2647" s="8">
        <f>VLOOKUP(F2647,'LEAID Match'!$A$2:$B$436,2,FALSE)</f>
        <v>1802700</v>
      </c>
      <c r="Q2647" s="6">
        <f>COUNTIF($P$2:$P$3691,P2647)</f>
        <v>9</v>
      </c>
    </row>
    <row r="2648" spans="1:17" x14ac:dyDescent="0.2">
      <c r="A2648" s="16">
        <f>P2648</f>
        <v>1802700</v>
      </c>
      <c r="B2648">
        <v>2022</v>
      </c>
      <c r="C2648" t="s">
        <v>904</v>
      </c>
      <c r="D2648" t="s">
        <v>906</v>
      </c>
      <c r="E2648" t="s">
        <v>3554</v>
      </c>
      <c r="F2648" t="s">
        <v>631</v>
      </c>
      <c r="G2648" t="s">
        <v>17</v>
      </c>
      <c r="H2648" s="6">
        <v>255633</v>
      </c>
      <c r="I2648" s="6">
        <v>1.2137929936833175E-3</v>
      </c>
      <c r="J2648" s="6">
        <v>2676.4135510717151</v>
      </c>
      <c r="K2648" s="6">
        <v>2439726</v>
      </c>
      <c r="M2648" s="6">
        <f>SUM(H2648,J2648)</f>
        <v>258309.41355107172</v>
      </c>
      <c r="N2648" s="6">
        <f>K2648</f>
        <v>2439726</v>
      </c>
      <c r="O2648" s="6">
        <f>SUM(M2648:N2648)</f>
        <v>2698035.4135510717</v>
      </c>
      <c r="P2648" s="8">
        <f>VLOOKUP(F2648,'LEAID Match'!$A$2:$B$436,2,FALSE)</f>
        <v>1802700</v>
      </c>
      <c r="Q2648" s="6">
        <f>COUNTIF($P$2:$P$3691,P2648)</f>
        <v>9</v>
      </c>
    </row>
    <row r="2649" spans="1:17" x14ac:dyDescent="0.2">
      <c r="A2649" s="16">
        <f>P2649</f>
        <v>1802700</v>
      </c>
      <c r="B2649">
        <v>2023</v>
      </c>
      <c r="C2649" t="s">
        <v>904</v>
      </c>
      <c r="D2649" t="s">
        <v>906</v>
      </c>
      <c r="E2649" t="s">
        <v>3555</v>
      </c>
      <c r="F2649" t="s">
        <v>631</v>
      </c>
      <c r="G2649" t="s">
        <v>17</v>
      </c>
      <c r="H2649" s="6">
        <v>278666</v>
      </c>
      <c r="I2649" s="6">
        <v>1.1395908262631777E-3</v>
      </c>
      <c r="J2649" s="6">
        <v>2811.3705683912594</v>
      </c>
      <c r="K2649" s="6">
        <v>6840372</v>
      </c>
      <c r="M2649" s="6">
        <f>SUM(H2649,J2649)</f>
        <v>281477.37056839128</v>
      </c>
      <c r="N2649" s="6">
        <f>K2649</f>
        <v>6840372</v>
      </c>
      <c r="O2649" s="6">
        <f>SUM(M2649:N2649)</f>
        <v>7121849.3705683909</v>
      </c>
      <c r="P2649" s="8">
        <f>VLOOKUP(F2649,'LEAID Match'!$A$2:$B$436,2,FALSE)</f>
        <v>1802700</v>
      </c>
      <c r="Q2649" s="6">
        <f>COUNTIF($P$2:$P$3691,P2649)</f>
        <v>9</v>
      </c>
    </row>
    <row r="2650" spans="1:17" x14ac:dyDescent="0.2">
      <c r="A2650" s="16">
        <f>P2650</f>
        <v>1811610</v>
      </c>
      <c r="B2650">
        <v>2015</v>
      </c>
      <c r="C2650" t="s">
        <v>904</v>
      </c>
      <c r="D2650" t="s">
        <v>906</v>
      </c>
      <c r="E2650" t="s">
        <v>3556</v>
      </c>
      <c r="F2650" t="s">
        <v>599</v>
      </c>
      <c r="G2650" t="s">
        <v>288</v>
      </c>
      <c r="H2650" s="6">
        <v>294829</v>
      </c>
      <c r="I2650" s="6">
        <v>1.4336670592978436E-3</v>
      </c>
      <c r="J2650" s="6">
        <v>8331.0392815797695</v>
      </c>
      <c r="K2650" s="6">
        <v>1212331.8040151999</v>
      </c>
      <c r="M2650" s="6">
        <f>SUM(H2650,J2650)</f>
        <v>303160.03928157978</v>
      </c>
      <c r="N2650" s="6">
        <f>K2650</f>
        <v>1212331.8040151999</v>
      </c>
      <c r="O2650" s="6">
        <f>SUM(M2650:N2650)</f>
        <v>1515491.8432967798</v>
      </c>
      <c r="P2650" s="8">
        <f>VLOOKUP(F2650,'LEAID Match'!$A$2:$B$436,2,FALSE)</f>
        <v>1811610</v>
      </c>
      <c r="Q2650" s="6">
        <f>COUNTIF($P$2:$P$3691,P2650)</f>
        <v>9</v>
      </c>
    </row>
    <row r="2651" spans="1:17" x14ac:dyDescent="0.2">
      <c r="A2651" s="16">
        <f>P2651</f>
        <v>1811610</v>
      </c>
      <c r="B2651">
        <v>2016</v>
      </c>
      <c r="C2651" t="s">
        <v>904</v>
      </c>
      <c r="D2651" t="s">
        <v>906</v>
      </c>
      <c r="E2651" t="s">
        <v>3557</v>
      </c>
      <c r="F2651" t="s">
        <v>599</v>
      </c>
      <c r="G2651" t="s">
        <v>288</v>
      </c>
      <c r="H2651" s="6">
        <v>301078</v>
      </c>
      <c r="I2651" s="6">
        <v>1.3970388972725854E-3</v>
      </c>
      <c r="J2651" s="6">
        <v>7052.2523534320108</v>
      </c>
      <c r="K2651" s="6">
        <v>1239872.0213294099</v>
      </c>
      <c r="M2651" s="6">
        <f>SUM(H2651,J2651)</f>
        <v>308130.25235343201</v>
      </c>
      <c r="N2651" s="6">
        <f>K2651</f>
        <v>1239872.0213294099</v>
      </c>
      <c r="O2651" s="6">
        <f>SUM(M2651:N2651)</f>
        <v>1548002.273682842</v>
      </c>
      <c r="P2651" s="8">
        <f>VLOOKUP(F2651,'LEAID Match'!$A$2:$B$436,2,FALSE)</f>
        <v>1811610</v>
      </c>
      <c r="Q2651" s="6">
        <f>COUNTIF($P$2:$P$3691,P2651)</f>
        <v>9</v>
      </c>
    </row>
    <row r="2652" spans="1:17" x14ac:dyDescent="0.2">
      <c r="A2652" s="16">
        <f>P2652</f>
        <v>1811610</v>
      </c>
      <c r="B2652">
        <v>2017</v>
      </c>
      <c r="C2652" t="s">
        <v>904</v>
      </c>
      <c r="D2652" t="s">
        <v>906</v>
      </c>
      <c r="E2652" t="s">
        <v>3558</v>
      </c>
      <c r="F2652" t="s">
        <v>599</v>
      </c>
      <c r="G2652" t="s">
        <v>288</v>
      </c>
      <c r="H2652" s="6">
        <v>324871</v>
      </c>
      <c r="I2652" s="6">
        <v>1.4305459947964077E-3</v>
      </c>
      <c r="J2652" s="6">
        <v>6473.2206264537444</v>
      </c>
      <c r="K2652" s="6">
        <v>1246005.5614676699</v>
      </c>
      <c r="M2652" s="6">
        <f>SUM(H2652,J2652)</f>
        <v>331344.22062645375</v>
      </c>
      <c r="N2652" s="6">
        <f>K2652</f>
        <v>1246005.5614676699</v>
      </c>
      <c r="O2652" s="6">
        <f>SUM(M2652:N2652)</f>
        <v>1577349.7820941238</v>
      </c>
      <c r="P2652" s="8">
        <f>VLOOKUP(F2652,'LEAID Match'!$A$2:$B$436,2,FALSE)</f>
        <v>1811610</v>
      </c>
      <c r="Q2652" s="6">
        <f>COUNTIF($P$2:$P$3691,P2652)</f>
        <v>9</v>
      </c>
    </row>
    <row r="2653" spans="1:17" x14ac:dyDescent="0.2">
      <c r="A2653" s="16">
        <f>P2653</f>
        <v>1811610</v>
      </c>
      <c r="B2653">
        <v>2018</v>
      </c>
      <c r="C2653" t="s">
        <v>904</v>
      </c>
      <c r="D2653" t="s">
        <v>906</v>
      </c>
      <c r="E2653" t="s">
        <v>3559</v>
      </c>
      <c r="F2653" t="s">
        <v>599</v>
      </c>
      <c r="G2653" t="s">
        <v>288</v>
      </c>
      <c r="H2653" s="6">
        <v>317655</v>
      </c>
      <c r="I2653" s="6">
        <v>1.3476103026382616E-3</v>
      </c>
      <c r="J2653" s="6">
        <v>5616.8397413962748</v>
      </c>
      <c r="K2653" s="6">
        <v>1042826</v>
      </c>
      <c r="M2653" s="6">
        <f>SUM(H2653,J2653)</f>
        <v>323271.83974139625</v>
      </c>
      <c r="N2653" s="6">
        <f>K2653</f>
        <v>1042826</v>
      </c>
      <c r="O2653" s="6">
        <f>SUM(M2653:N2653)</f>
        <v>1366097.8397413963</v>
      </c>
      <c r="P2653" s="8">
        <f>VLOOKUP(F2653,'LEAID Match'!$A$2:$B$436,2,FALSE)</f>
        <v>1811610</v>
      </c>
      <c r="Q2653" s="6">
        <f>COUNTIF($P$2:$P$3691,P2653)</f>
        <v>9</v>
      </c>
    </row>
    <row r="2654" spans="1:17" x14ac:dyDescent="0.2">
      <c r="A2654" s="16">
        <f>P2654</f>
        <v>1811610</v>
      </c>
      <c r="B2654">
        <v>2019</v>
      </c>
      <c r="C2654" t="s">
        <v>904</v>
      </c>
      <c r="D2654" t="s">
        <v>906</v>
      </c>
      <c r="E2654" t="s">
        <v>3560</v>
      </c>
      <c r="F2654" t="s">
        <v>599</v>
      </c>
      <c r="G2654" t="s">
        <v>288</v>
      </c>
      <c r="H2654" s="6">
        <v>324080</v>
      </c>
      <c r="I2654" s="6">
        <v>8.2445776237477248E-4</v>
      </c>
      <c r="J2654" s="6">
        <v>2889.7244571235774</v>
      </c>
      <c r="K2654" s="6">
        <v>778205.68190554704</v>
      </c>
      <c r="M2654" s="6">
        <f>SUM(H2654,J2654)</f>
        <v>326969.72445712355</v>
      </c>
      <c r="N2654" s="6">
        <f>K2654</f>
        <v>778205.68190554704</v>
      </c>
      <c r="O2654" s="6">
        <f>SUM(M2654:N2654)</f>
        <v>1105175.4063626705</v>
      </c>
      <c r="P2654" s="8">
        <f>VLOOKUP(F2654,'LEAID Match'!$A$2:$B$436,2,FALSE)</f>
        <v>1811610</v>
      </c>
      <c r="Q2654" s="6">
        <f>COUNTIF($P$2:$P$3691,P2654)</f>
        <v>9</v>
      </c>
    </row>
    <row r="2655" spans="1:17" x14ac:dyDescent="0.2">
      <c r="A2655" s="16">
        <f>P2655</f>
        <v>1811610</v>
      </c>
      <c r="B2655">
        <v>2020</v>
      </c>
      <c r="C2655" t="s">
        <v>904</v>
      </c>
      <c r="D2655" t="s">
        <v>906</v>
      </c>
      <c r="E2655" t="s">
        <v>3561</v>
      </c>
      <c r="F2655" t="s">
        <v>599</v>
      </c>
      <c r="G2655" t="s">
        <v>288</v>
      </c>
      <c r="H2655" s="6">
        <v>235783</v>
      </c>
      <c r="I2655" s="6">
        <v>1.2493451989485118E-3</v>
      </c>
      <c r="J2655" s="6">
        <v>2943.4572887226936</v>
      </c>
      <c r="K2655" s="6">
        <v>1120783</v>
      </c>
      <c r="M2655" s="6">
        <f>SUM(H2655,J2655)</f>
        <v>238726.45728872268</v>
      </c>
      <c r="N2655" s="6">
        <f>K2655</f>
        <v>1120783</v>
      </c>
      <c r="O2655" s="6">
        <f>SUM(M2655:N2655)</f>
        <v>1359509.4572887227</v>
      </c>
      <c r="P2655" s="8">
        <f>VLOOKUP(F2655,'LEAID Match'!$A$2:$B$436,2,FALSE)</f>
        <v>1811610</v>
      </c>
      <c r="Q2655" s="6">
        <f>COUNTIF($P$2:$P$3691,P2655)</f>
        <v>9</v>
      </c>
    </row>
    <row r="2656" spans="1:17" x14ac:dyDescent="0.2">
      <c r="A2656" s="16">
        <f>P2656</f>
        <v>1811610</v>
      </c>
      <c r="B2656">
        <v>2021</v>
      </c>
      <c r="C2656" t="s">
        <v>904</v>
      </c>
      <c r="D2656" t="s">
        <v>906</v>
      </c>
      <c r="E2656" t="s">
        <v>3562</v>
      </c>
      <c r="F2656" t="s">
        <v>599</v>
      </c>
      <c r="G2656" t="s">
        <v>288</v>
      </c>
      <c r="H2656" s="6">
        <v>249670</v>
      </c>
      <c r="I2656" s="6">
        <v>1.2333930190429371E-3</v>
      </c>
      <c r="J2656" s="6">
        <v>2780.0678649227802</v>
      </c>
      <c r="K2656" s="6">
        <v>1911816</v>
      </c>
      <c r="M2656" s="6">
        <f>SUM(H2656,J2656)</f>
        <v>252450.06786492278</v>
      </c>
      <c r="N2656" s="6">
        <f>K2656</f>
        <v>1911816</v>
      </c>
      <c r="O2656" s="6">
        <f>SUM(M2656:N2656)</f>
        <v>2164266.0678649228</v>
      </c>
      <c r="P2656" s="8">
        <f>VLOOKUP(F2656,'LEAID Match'!$A$2:$B$436,2,FALSE)</f>
        <v>1811610</v>
      </c>
      <c r="Q2656" s="6">
        <f>COUNTIF($P$2:$P$3691,P2656)</f>
        <v>9</v>
      </c>
    </row>
    <row r="2657" spans="1:17" x14ac:dyDescent="0.2">
      <c r="A2657" s="16">
        <f>P2657</f>
        <v>1811610</v>
      </c>
      <c r="B2657">
        <v>2022</v>
      </c>
      <c r="C2657" t="s">
        <v>904</v>
      </c>
      <c r="D2657" t="s">
        <v>906</v>
      </c>
      <c r="E2657" t="s">
        <v>3563</v>
      </c>
      <c r="F2657" t="s">
        <v>599</v>
      </c>
      <c r="G2657" t="s">
        <v>288</v>
      </c>
      <c r="H2657" s="6">
        <v>250923</v>
      </c>
      <c r="I2657" s="6">
        <v>1.1914290383244694E-3</v>
      </c>
      <c r="J2657" s="6">
        <v>2627.1010295054548</v>
      </c>
      <c r="K2657" s="6">
        <v>1891811</v>
      </c>
      <c r="M2657" s="6">
        <f>SUM(H2657,J2657)</f>
        <v>253550.10102950546</v>
      </c>
      <c r="N2657" s="6">
        <f>K2657</f>
        <v>1891811</v>
      </c>
      <c r="O2657" s="6">
        <f>SUM(M2657:N2657)</f>
        <v>2145361.1010295055</v>
      </c>
      <c r="P2657" s="8">
        <f>VLOOKUP(F2657,'LEAID Match'!$A$2:$B$436,2,FALSE)</f>
        <v>1811610</v>
      </c>
      <c r="Q2657" s="6">
        <f>COUNTIF($P$2:$P$3691,P2657)</f>
        <v>9</v>
      </c>
    </row>
    <row r="2658" spans="1:17" x14ac:dyDescent="0.2">
      <c r="A2658" s="16">
        <f>P2658</f>
        <v>1811610</v>
      </c>
      <c r="B2658">
        <v>2023</v>
      </c>
      <c r="C2658" t="s">
        <v>904</v>
      </c>
      <c r="D2658" t="s">
        <v>906</v>
      </c>
      <c r="E2658" t="s">
        <v>3564</v>
      </c>
      <c r="F2658" t="s">
        <v>599</v>
      </c>
      <c r="G2658" t="s">
        <v>288</v>
      </c>
      <c r="H2658" s="6">
        <v>273215</v>
      </c>
      <c r="I2658" s="6">
        <v>1.1172992313288816E-3</v>
      </c>
      <c r="J2658" s="6">
        <v>2756.3772036883511</v>
      </c>
      <c r="K2658" s="6">
        <v>5207780</v>
      </c>
      <c r="M2658" s="6">
        <f>SUM(H2658,J2658)</f>
        <v>275971.37720368837</v>
      </c>
      <c r="N2658" s="6">
        <f>K2658</f>
        <v>5207780</v>
      </c>
      <c r="O2658" s="6">
        <f>SUM(M2658:N2658)</f>
        <v>5483751.377203688</v>
      </c>
      <c r="P2658" s="8">
        <f>VLOOKUP(F2658,'LEAID Match'!$A$2:$B$436,2,FALSE)</f>
        <v>1811610</v>
      </c>
      <c r="Q2658" s="6">
        <f>COUNTIF($P$2:$P$3691,P2658)</f>
        <v>9</v>
      </c>
    </row>
    <row r="2659" spans="1:17" x14ac:dyDescent="0.2">
      <c r="A2659" s="16">
        <f>P2659</f>
        <v>1803450</v>
      </c>
      <c r="B2659">
        <v>2015</v>
      </c>
      <c r="C2659" t="s">
        <v>904</v>
      </c>
      <c r="D2659" t="s">
        <v>906</v>
      </c>
      <c r="E2659" t="s">
        <v>3565</v>
      </c>
      <c r="F2659" t="s">
        <v>600</v>
      </c>
      <c r="G2659" t="s">
        <v>289</v>
      </c>
      <c r="H2659" s="6">
        <v>4012668</v>
      </c>
      <c r="I2659" s="6">
        <v>1.9512429006300465E-2</v>
      </c>
      <c r="J2659" s="6">
        <v>113386.72495561201</v>
      </c>
      <c r="K2659" s="6">
        <v>16500022.1665917</v>
      </c>
      <c r="M2659" s="6">
        <f>SUM(H2659,J2659)</f>
        <v>4126054.7249556119</v>
      </c>
      <c r="N2659" s="6">
        <f>K2659</f>
        <v>16500022.1665917</v>
      </c>
      <c r="O2659" s="6">
        <f>SUM(M2659:N2659)</f>
        <v>20626076.891547311</v>
      </c>
      <c r="P2659" s="8">
        <f>VLOOKUP(F2659,'LEAID Match'!$A$2:$B$436,2,FALSE)</f>
        <v>1803450</v>
      </c>
      <c r="Q2659" s="6">
        <f>COUNTIF($P$2:$P$3691,P2659)</f>
        <v>9</v>
      </c>
    </row>
    <row r="2660" spans="1:17" x14ac:dyDescent="0.2">
      <c r="A2660" s="16">
        <f>P2660</f>
        <v>1803450</v>
      </c>
      <c r="B2660">
        <v>2016</v>
      </c>
      <c r="C2660" t="s">
        <v>904</v>
      </c>
      <c r="D2660" t="s">
        <v>906</v>
      </c>
      <c r="E2660" t="s">
        <v>3566</v>
      </c>
      <c r="F2660" t="s">
        <v>600</v>
      </c>
      <c r="G2660" t="s">
        <v>289</v>
      </c>
      <c r="H2660" s="6">
        <v>4363417</v>
      </c>
      <c r="I2660" s="6">
        <v>2.0246790778537298E-2</v>
      </c>
      <c r="J2660" s="6">
        <v>102205.79985005628</v>
      </c>
      <c r="K2660" s="6">
        <v>17969026.815951802</v>
      </c>
      <c r="M2660" s="6">
        <f>SUM(H2660,J2660)</f>
        <v>4465622.7998500559</v>
      </c>
      <c r="N2660" s="6">
        <f>K2660</f>
        <v>17969026.815951802</v>
      </c>
      <c r="O2660" s="6">
        <f>SUM(M2660:N2660)</f>
        <v>22434649.615801856</v>
      </c>
      <c r="P2660" s="8">
        <f>VLOOKUP(F2660,'LEAID Match'!$A$2:$B$436,2,FALSE)</f>
        <v>1803450</v>
      </c>
      <c r="Q2660" s="6">
        <f>COUNTIF($P$2:$P$3691,P2660)</f>
        <v>9</v>
      </c>
    </row>
    <row r="2661" spans="1:17" x14ac:dyDescent="0.2">
      <c r="A2661" s="16">
        <f>P2661</f>
        <v>1803450</v>
      </c>
      <c r="B2661">
        <v>2017</v>
      </c>
      <c r="C2661" t="s">
        <v>904</v>
      </c>
      <c r="D2661" t="s">
        <v>906</v>
      </c>
      <c r="E2661" t="s">
        <v>3567</v>
      </c>
      <c r="F2661" t="s">
        <v>600</v>
      </c>
      <c r="G2661" t="s">
        <v>289</v>
      </c>
      <c r="H2661" s="6">
        <v>4619718</v>
      </c>
      <c r="I2661" s="6">
        <v>2.0342594697553402E-2</v>
      </c>
      <c r="J2661" s="6">
        <v>92050.241006429147</v>
      </c>
      <c r="K2661" s="6">
        <v>17718399.981569</v>
      </c>
      <c r="M2661" s="6">
        <f>SUM(H2661,J2661)</f>
        <v>4711768.2410064293</v>
      </c>
      <c r="N2661" s="6">
        <f>K2661</f>
        <v>17718399.981569</v>
      </c>
      <c r="O2661" s="6">
        <f>SUM(M2661:N2661)</f>
        <v>22430168.22257543</v>
      </c>
      <c r="P2661" s="8">
        <f>VLOOKUP(F2661,'LEAID Match'!$A$2:$B$436,2,FALSE)</f>
        <v>1803450</v>
      </c>
      <c r="Q2661" s="6">
        <f>COUNTIF($P$2:$P$3691,P2661)</f>
        <v>9</v>
      </c>
    </row>
    <row r="2662" spans="1:17" x14ac:dyDescent="0.2">
      <c r="A2662" s="16">
        <f>P2662</f>
        <v>1803450</v>
      </c>
      <c r="B2662">
        <v>2018</v>
      </c>
      <c r="C2662" t="s">
        <v>904</v>
      </c>
      <c r="D2662" t="s">
        <v>906</v>
      </c>
      <c r="E2662" t="s">
        <v>3568</v>
      </c>
      <c r="F2662" t="s">
        <v>600</v>
      </c>
      <c r="G2662" t="s">
        <v>289</v>
      </c>
      <c r="H2662" s="6">
        <v>4995357</v>
      </c>
      <c r="I2662" s="6">
        <v>2.119215676931312E-2</v>
      </c>
      <c r="J2662" s="6">
        <v>88328.909414497088</v>
      </c>
      <c r="K2662" s="6">
        <v>25149267</v>
      </c>
      <c r="M2662" s="6">
        <f>SUM(H2662,J2662)</f>
        <v>5083685.9094144972</v>
      </c>
      <c r="N2662" s="6">
        <f>K2662</f>
        <v>25149267</v>
      </c>
      <c r="O2662" s="6">
        <f>SUM(M2662:N2662)</f>
        <v>30232952.909414496</v>
      </c>
      <c r="P2662" s="8">
        <f>VLOOKUP(F2662,'LEAID Match'!$A$2:$B$436,2,FALSE)</f>
        <v>1803450</v>
      </c>
      <c r="Q2662" s="6">
        <f>COUNTIF($P$2:$P$3691,P2662)</f>
        <v>9</v>
      </c>
    </row>
    <row r="2663" spans="1:17" x14ac:dyDescent="0.2">
      <c r="A2663" s="16">
        <f>P2663</f>
        <v>1803450</v>
      </c>
      <c r="B2663">
        <v>2019</v>
      </c>
      <c r="C2663" t="s">
        <v>904</v>
      </c>
      <c r="D2663" t="s">
        <v>906</v>
      </c>
      <c r="E2663" t="s">
        <v>3569</v>
      </c>
      <c r="F2663" t="s">
        <v>600</v>
      </c>
      <c r="G2663" t="s">
        <v>289</v>
      </c>
      <c r="H2663" s="6">
        <v>5367882</v>
      </c>
      <c r="I2663" s="6">
        <v>1.3655862695667178E-2</v>
      </c>
      <c r="J2663" s="6">
        <v>47863.798748313457</v>
      </c>
      <c r="K2663" s="6">
        <v>12889768.798440199</v>
      </c>
      <c r="M2663" s="6">
        <f>SUM(H2663,J2663)</f>
        <v>5415745.7987483134</v>
      </c>
      <c r="N2663" s="6">
        <f>K2663</f>
        <v>12889768.798440199</v>
      </c>
      <c r="O2663" s="6">
        <f>SUM(M2663:N2663)</f>
        <v>18305514.597188514</v>
      </c>
      <c r="P2663" s="8">
        <f>VLOOKUP(F2663,'LEAID Match'!$A$2:$B$436,2,FALSE)</f>
        <v>1803450</v>
      </c>
      <c r="Q2663" s="6">
        <f>COUNTIF($P$2:$P$3691,P2663)</f>
        <v>9</v>
      </c>
    </row>
    <row r="2664" spans="1:17" x14ac:dyDescent="0.2">
      <c r="A2664" s="16">
        <f>P2664</f>
        <v>1803450</v>
      </c>
      <c r="B2664">
        <v>2020</v>
      </c>
      <c r="C2664" t="s">
        <v>904</v>
      </c>
      <c r="D2664" t="s">
        <v>906</v>
      </c>
      <c r="E2664" t="s">
        <v>3570</v>
      </c>
      <c r="F2664" t="s">
        <v>600</v>
      </c>
      <c r="G2664" t="s">
        <v>289</v>
      </c>
      <c r="H2664" s="6">
        <v>3982284</v>
      </c>
      <c r="I2664" s="6">
        <v>2.1100958916671155E-2</v>
      </c>
      <c r="J2664" s="6">
        <v>49713.85920767724</v>
      </c>
      <c r="K2664" s="6">
        <v>26505591</v>
      </c>
      <c r="M2664" s="6">
        <f>SUM(H2664,J2664)</f>
        <v>4031997.8592076772</v>
      </c>
      <c r="N2664" s="6">
        <f>K2664</f>
        <v>26505591</v>
      </c>
      <c r="O2664" s="6">
        <f>SUM(M2664:N2664)</f>
        <v>30537588.859207679</v>
      </c>
      <c r="P2664" s="8">
        <f>VLOOKUP(F2664,'LEAID Match'!$A$2:$B$436,2,FALSE)</f>
        <v>1803450</v>
      </c>
      <c r="Q2664" s="6">
        <f>COUNTIF($P$2:$P$3691,P2664)</f>
        <v>9</v>
      </c>
    </row>
    <row r="2665" spans="1:17" x14ac:dyDescent="0.2">
      <c r="A2665" s="16">
        <f>P2665</f>
        <v>1803450</v>
      </c>
      <c r="B2665">
        <v>2021</v>
      </c>
      <c r="C2665" t="s">
        <v>904</v>
      </c>
      <c r="D2665" t="s">
        <v>906</v>
      </c>
      <c r="E2665" t="s">
        <v>3571</v>
      </c>
      <c r="F2665" t="s">
        <v>600</v>
      </c>
      <c r="G2665" t="s">
        <v>289</v>
      </c>
      <c r="H2665" s="6">
        <v>4066616</v>
      </c>
      <c r="I2665" s="6">
        <v>2.0089461230938088E-2</v>
      </c>
      <c r="J2665" s="6">
        <v>45281.645614534449</v>
      </c>
      <c r="K2665" s="6">
        <v>43446550</v>
      </c>
      <c r="M2665" s="6">
        <f>SUM(H2665,J2665)</f>
        <v>4111897.6456145346</v>
      </c>
      <c r="N2665" s="6">
        <f>K2665</f>
        <v>43446550</v>
      </c>
      <c r="O2665" s="6">
        <f>SUM(M2665:N2665)</f>
        <v>47558447.645614535</v>
      </c>
      <c r="P2665" s="8">
        <f>VLOOKUP(F2665,'LEAID Match'!$A$2:$B$436,2,FALSE)</f>
        <v>1803450</v>
      </c>
      <c r="Q2665" s="6">
        <f>COUNTIF($P$2:$P$3691,P2665)</f>
        <v>9</v>
      </c>
    </row>
    <row r="2666" spans="1:17" x14ac:dyDescent="0.2">
      <c r="A2666" s="16">
        <f>P2666</f>
        <v>1803450</v>
      </c>
      <c r="B2666">
        <v>2022</v>
      </c>
      <c r="C2666" t="s">
        <v>904</v>
      </c>
      <c r="D2666" t="s">
        <v>906</v>
      </c>
      <c r="E2666" t="s">
        <v>3572</v>
      </c>
      <c r="F2666" t="s">
        <v>600</v>
      </c>
      <c r="G2666" t="s">
        <v>289</v>
      </c>
      <c r="H2666" s="6">
        <v>4201076</v>
      </c>
      <c r="I2666" s="6">
        <v>1.9947489622744858E-2</v>
      </c>
      <c r="J2666" s="6">
        <v>43984.214618152415</v>
      </c>
      <c r="K2666" s="6">
        <v>41938754</v>
      </c>
      <c r="M2666" s="6">
        <f>SUM(H2666,J2666)</f>
        <v>4245060.214618152</v>
      </c>
      <c r="N2666" s="6">
        <f>K2666</f>
        <v>41938754</v>
      </c>
      <c r="O2666" s="6">
        <f>SUM(M2666:N2666)</f>
        <v>46183814.214618154</v>
      </c>
      <c r="P2666" s="8">
        <f>VLOOKUP(F2666,'LEAID Match'!$A$2:$B$436,2,FALSE)</f>
        <v>1803450</v>
      </c>
      <c r="Q2666" s="6">
        <f>COUNTIF($P$2:$P$3691,P2666)</f>
        <v>9</v>
      </c>
    </row>
    <row r="2667" spans="1:17" x14ac:dyDescent="0.2">
      <c r="A2667" s="16">
        <f>P2667</f>
        <v>1803450</v>
      </c>
      <c r="B2667">
        <v>2023</v>
      </c>
      <c r="C2667" t="s">
        <v>904</v>
      </c>
      <c r="D2667" t="s">
        <v>906</v>
      </c>
      <c r="E2667" t="s">
        <v>3573</v>
      </c>
      <c r="F2667" t="s">
        <v>600</v>
      </c>
      <c r="G2667" t="s">
        <v>289</v>
      </c>
      <c r="H2667" s="6">
        <v>4919567</v>
      </c>
      <c r="I2667" s="6">
        <v>2.0118325961498935E-2</v>
      </c>
      <c r="J2667" s="6">
        <v>49631.910147017872</v>
      </c>
      <c r="K2667" s="6">
        <v>117546237</v>
      </c>
      <c r="M2667" s="6">
        <f>SUM(H2667,J2667)</f>
        <v>4969198.9101470178</v>
      </c>
      <c r="N2667" s="6">
        <f>K2667</f>
        <v>117546237</v>
      </c>
      <c r="O2667" s="6">
        <f>SUM(M2667:N2667)</f>
        <v>122515435.91014701</v>
      </c>
      <c r="P2667" s="8">
        <f>VLOOKUP(F2667,'LEAID Match'!$A$2:$B$436,2,FALSE)</f>
        <v>1803450</v>
      </c>
      <c r="Q2667" s="6">
        <f>COUNTIF($P$2:$P$3691,P2667)</f>
        <v>9</v>
      </c>
    </row>
    <row r="2668" spans="1:17" x14ac:dyDescent="0.2">
      <c r="A2668" s="16">
        <f>P2668</f>
        <v>1808070</v>
      </c>
      <c r="B2668">
        <v>2015</v>
      </c>
      <c r="C2668" t="s">
        <v>904</v>
      </c>
      <c r="D2668" t="s">
        <v>906</v>
      </c>
      <c r="E2668" t="s">
        <v>3574</v>
      </c>
      <c r="F2668" t="s">
        <v>774</v>
      </c>
      <c r="G2668" t="s">
        <v>290</v>
      </c>
      <c r="H2668" s="6">
        <v>149403</v>
      </c>
      <c r="I2668" s="6">
        <v>7.265030226343939E-4</v>
      </c>
      <c r="J2668" s="6">
        <v>4221.7090645284634</v>
      </c>
      <c r="K2668" s="6">
        <v>614342.57998800499</v>
      </c>
      <c r="M2668" s="6">
        <f>SUM(H2668,J2668)</f>
        <v>153624.70906452846</v>
      </c>
      <c r="N2668" s="6">
        <f>K2668</f>
        <v>614342.57998800499</v>
      </c>
      <c r="O2668" s="6">
        <f>SUM(M2668:N2668)</f>
        <v>767967.28905253345</v>
      </c>
      <c r="P2668" s="8">
        <f>VLOOKUP(F2668,'LEAID Match'!$A$2:$B$436,2,FALSE)</f>
        <v>1808070</v>
      </c>
      <c r="Q2668" s="6">
        <f>COUNTIF($P$2:$P$3691,P2668)</f>
        <v>9</v>
      </c>
    </row>
    <row r="2669" spans="1:17" x14ac:dyDescent="0.2">
      <c r="A2669" s="16">
        <f>P2669</f>
        <v>1808070</v>
      </c>
      <c r="B2669">
        <v>2016</v>
      </c>
      <c r="C2669" t="s">
        <v>904</v>
      </c>
      <c r="D2669" t="s">
        <v>906</v>
      </c>
      <c r="E2669" t="s">
        <v>3575</v>
      </c>
      <c r="F2669" t="s">
        <v>774</v>
      </c>
      <c r="G2669" t="s">
        <v>290</v>
      </c>
      <c r="H2669" s="6">
        <v>125689</v>
      </c>
      <c r="I2669" s="6">
        <v>5.8321239665234254E-4</v>
      </c>
      <c r="J2669" s="6">
        <v>2944.0561783010253</v>
      </c>
      <c r="K2669" s="6">
        <v>517601.00202895398</v>
      </c>
      <c r="M2669" s="6">
        <f>SUM(H2669,J2669)</f>
        <v>128633.05617830102</v>
      </c>
      <c r="N2669" s="6">
        <f>K2669</f>
        <v>517601.00202895398</v>
      </c>
      <c r="O2669" s="6">
        <f>SUM(M2669:N2669)</f>
        <v>646234.05820725497</v>
      </c>
      <c r="P2669" s="8">
        <f>VLOOKUP(F2669,'LEAID Match'!$A$2:$B$436,2,FALSE)</f>
        <v>1808070</v>
      </c>
      <c r="Q2669" s="6">
        <f>COUNTIF($P$2:$P$3691,P2669)</f>
        <v>9</v>
      </c>
    </row>
    <row r="2670" spans="1:17" x14ac:dyDescent="0.2">
      <c r="A2670" s="16">
        <f>P2670</f>
        <v>1808070</v>
      </c>
      <c r="B2670">
        <v>2017</v>
      </c>
      <c r="C2670" t="s">
        <v>904</v>
      </c>
      <c r="D2670" t="s">
        <v>906</v>
      </c>
      <c r="E2670" t="s">
        <v>3576</v>
      </c>
      <c r="F2670" t="s">
        <v>774</v>
      </c>
      <c r="G2670" t="s">
        <v>290</v>
      </c>
      <c r="H2670" s="6">
        <v>135603</v>
      </c>
      <c r="I2670" s="6">
        <v>5.9711802079095175E-4</v>
      </c>
      <c r="J2670" s="6">
        <v>2701.9590440790566</v>
      </c>
      <c r="K2670" s="6">
        <v>520089.79610891902</v>
      </c>
      <c r="M2670" s="6">
        <f>SUM(H2670,J2670)</f>
        <v>138304.95904407906</v>
      </c>
      <c r="N2670" s="6">
        <f>K2670</f>
        <v>520089.79610891902</v>
      </c>
      <c r="O2670" s="6">
        <f>SUM(M2670:N2670)</f>
        <v>658394.75515299803</v>
      </c>
      <c r="P2670" s="8">
        <f>VLOOKUP(F2670,'LEAID Match'!$A$2:$B$436,2,FALSE)</f>
        <v>1808070</v>
      </c>
      <c r="Q2670" s="6">
        <f>COUNTIF($P$2:$P$3691,P2670)</f>
        <v>9</v>
      </c>
    </row>
    <row r="2671" spans="1:17" x14ac:dyDescent="0.2">
      <c r="A2671" s="16">
        <f>P2671</f>
        <v>1808070</v>
      </c>
      <c r="B2671">
        <v>2018</v>
      </c>
      <c r="C2671" t="s">
        <v>904</v>
      </c>
      <c r="D2671" t="s">
        <v>906</v>
      </c>
      <c r="E2671" t="s">
        <v>3577</v>
      </c>
      <c r="F2671" t="s">
        <v>774</v>
      </c>
      <c r="G2671" t="s">
        <v>290</v>
      </c>
      <c r="H2671" s="6">
        <v>150834</v>
      </c>
      <c r="I2671" s="6">
        <v>6.3989376017421274E-4</v>
      </c>
      <c r="J2671" s="6">
        <v>2667.0771924061187</v>
      </c>
      <c r="K2671" s="6">
        <v>838318</v>
      </c>
      <c r="M2671" s="6">
        <f>SUM(H2671,J2671)</f>
        <v>153501.07719240611</v>
      </c>
      <c r="N2671" s="6">
        <f>K2671</f>
        <v>838318</v>
      </c>
      <c r="O2671" s="6">
        <f>SUM(M2671:N2671)</f>
        <v>991819.07719240617</v>
      </c>
      <c r="P2671" s="8">
        <f>VLOOKUP(F2671,'LEAID Match'!$A$2:$B$436,2,FALSE)</f>
        <v>1808070</v>
      </c>
      <c r="Q2671" s="6">
        <f>COUNTIF($P$2:$P$3691,P2671)</f>
        <v>9</v>
      </c>
    </row>
    <row r="2672" spans="1:17" x14ac:dyDescent="0.2">
      <c r="A2672" s="16">
        <f>P2672</f>
        <v>1808070</v>
      </c>
      <c r="B2672">
        <v>2019</v>
      </c>
      <c r="C2672" t="s">
        <v>904</v>
      </c>
      <c r="D2672" t="s">
        <v>906</v>
      </c>
      <c r="E2672" t="s">
        <v>3578</v>
      </c>
      <c r="F2672" t="s">
        <v>774</v>
      </c>
      <c r="G2672" t="s">
        <v>290</v>
      </c>
      <c r="H2672" s="6">
        <v>167277</v>
      </c>
      <c r="I2672" s="6">
        <v>4.255517807848828E-4</v>
      </c>
      <c r="J2672" s="6">
        <v>1491.5589916510141</v>
      </c>
      <c r="K2672" s="6">
        <v>401678.32588284998</v>
      </c>
      <c r="M2672" s="6">
        <f>SUM(H2672,J2672)</f>
        <v>168768.55899165102</v>
      </c>
      <c r="N2672" s="6">
        <f>K2672</f>
        <v>401678.32588284998</v>
      </c>
      <c r="O2672" s="6">
        <f>SUM(M2672:N2672)</f>
        <v>570446.88487450103</v>
      </c>
      <c r="P2672" s="8">
        <f>VLOOKUP(F2672,'LEAID Match'!$A$2:$B$436,2,FALSE)</f>
        <v>1808070</v>
      </c>
      <c r="Q2672" s="6">
        <f>COUNTIF($P$2:$P$3691,P2672)</f>
        <v>9</v>
      </c>
    </row>
    <row r="2673" spans="1:17" x14ac:dyDescent="0.2">
      <c r="A2673" s="16">
        <f>P2673</f>
        <v>1808070</v>
      </c>
      <c r="B2673">
        <v>2020</v>
      </c>
      <c r="C2673" t="s">
        <v>904</v>
      </c>
      <c r="D2673" t="s">
        <v>906</v>
      </c>
      <c r="E2673" t="s">
        <v>3579</v>
      </c>
      <c r="F2673" t="s">
        <v>774</v>
      </c>
      <c r="G2673" t="s">
        <v>290</v>
      </c>
      <c r="H2673" s="6">
        <v>132508</v>
      </c>
      <c r="I2673" s="6">
        <v>7.0212116065309792E-4</v>
      </c>
      <c r="J2673" s="6">
        <v>1654.1974544986988</v>
      </c>
      <c r="K2673" s="6">
        <v>879748</v>
      </c>
      <c r="M2673" s="6">
        <f>SUM(H2673,J2673)</f>
        <v>134162.1974544987</v>
      </c>
      <c r="N2673" s="6">
        <f>K2673</f>
        <v>879748</v>
      </c>
      <c r="O2673" s="6">
        <f>SUM(M2673:N2673)</f>
        <v>1013910.1974544987</v>
      </c>
      <c r="P2673" s="8">
        <f>VLOOKUP(F2673,'LEAID Match'!$A$2:$B$436,2,FALSE)</f>
        <v>1808070</v>
      </c>
      <c r="Q2673" s="6">
        <f>COUNTIF($P$2:$P$3691,P2673)</f>
        <v>9</v>
      </c>
    </row>
    <row r="2674" spans="1:17" x14ac:dyDescent="0.2">
      <c r="A2674" s="16">
        <f>P2674</f>
        <v>1808070</v>
      </c>
      <c r="B2674">
        <v>2021</v>
      </c>
      <c r="C2674" t="s">
        <v>904</v>
      </c>
      <c r="D2674" t="s">
        <v>906</v>
      </c>
      <c r="E2674" t="s">
        <v>3580</v>
      </c>
      <c r="F2674" t="s">
        <v>774</v>
      </c>
      <c r="G2674" t="s">
        <v>290</v>
      </c>
      <c r="H2674" s="6">
        <v>135754</v>
      </c>
      <c r="I2674" s="6">
        <v>6.7063738497678891E-4</v>
      </c>
      <c r="J2674" s="6">
        <v>1511.6166657376823</v>
      </c>
      <c r="K2674" s="6">
        <v>1458997</v>
      </c>
      <c r="M2674" s="6">
        <f>SUM(H2674,J2674)</f>
        <v>137265.61666573767</v>
      </c>
      <c r="N2674" s="6">
        <f>K2674</f>
        <v>1458997</v>
      </c>
      <c r="O2674" s="6">
        <f>SUM(M2674:N2674)</f>
        <v>1596262.6166657377</v>
      </c>
      <c r="P2674" s="8">
        <f>VLOOKUP(F2674,'LEAID Match'!$A$2:$B$436,2,FALSE)</f>
        <v>1808070</v>
      </c>
      <c r="Q2674" s="6">
        <f>COUNTIF($P$2:$P$3691,P2674)</f>
        <v>9</v>
      </c>
    </row>
    <row r="2675" spans="1:17" x14ac:dyDescent="0.2">
      <c r="A2675" s="16">
        <f>P2675</f>
        <v>1808070</v>
      </c>
      <c r="B2675">
        <v>2022</v>
      </c>
      <c r="C2675" t="s">
        <v>904</v>
      </c>
      <c r="D2675" t="s">
        <v>906</v>
      </c>
      <c r="E2675" t="s">
        <v>3581</v>
      </c>
      <c r="F2675" t="s">
        <v>774</v>
      </c>
      <c r="G2675" t="s">
        <v>290</v>
      </c>
      <c r="H2675" s="6">
        <v>135609</v>
      </c>
      <c r="I2675" s="6">
        <v>6.43896735086632E-4</v>
      </c>
      <c r="J2675" s="6">
        <v>1419.7923008660237</v>
      </c>
      <c r="K2675" s="6">
        <v>1466533</v>
      </c>
      <c r="M2675" s="6">
        <f>SUM(H2675,J2675)</f>
        <v>137028.79230086601</v>
      </c>
      <c r="N2675" s="6">
        <f>K2675</f>
        <v>1466533</v>
      </c>
      <c r="O2675" s="6">
        <f>SUM(M2675:N2675)</f>
        <v>1603561.792300866</v>
      </c>
      <c r="P2675" s="8">
        <f>VLOOKUP(F2675,'LEAID Match'!$A$2:$B$436,2,FALSE)</f>
        <v>1808070</v>
      </c>
      <c r="Q2675" s="6">
        <f>COUNTIF($P$2:$P$3691,P2675)</f>
        <v>9</v>
      </c>
    </row>
    <row r="2676" spans="1:17" x14ac:dyDescent="0.2">
      <c r="A2676" s="16">
        <f>P2676</f>
        <v>1808070</v>
      </c>
      <c r="B2676">
        <v>2023</v>
      </c>
      <c r="C2676" t="s">
        <v>904</v>
      </c>
      <c r="D2676" t="s">
        <v>906</v>
      </c>
      <c r="E2676" t="s">
        <v>3582</v>
      </c>
      <c r="F2676" t="s">
        <v>774</v>
      </c>
      <c r="G2676" t="s">
        <v>290</v>
      </c>
      <c r="H2676" s="6">
        <v>138808</v>
      </c>
      <c r="I2676" s="6">
        <v>5.6764845159416356E-4</v>
      </c>
      <c r="J2676" s="6">
        <v>1400.3887300828014</v>
      </c>
      <c r="K2676" s="6">
        <v>3796254</v>
      </c>
      <c r="M2676" s="6">
        <f>SUM(H2676,J2676)</f>
        <v>140208.38873008281</v>
      </c>
      <c r="N2676" s="6">
        <f>K2676</f>
        <v>3796254</v>
      </c>
      <c r="O2676" s="6">
        <f>SUM(M2676:N2676)</f>
        <v>3936462.3887300827</v>
      </c>
      <c r="P2676" s="8">
        <f>VLOOKUP(F2676,'LEAID Match'!$A$2:$B$436,2,FALSE)</f>
        <v>1808070</v>
      </c>
      <c r="Q2676" s="6">
        <f>COUNTIF($P$2:$P$3691,P2676)</f>
        <v>9</v>
      </c>
    </row>
    <row r="2677" spans="1:17" x14ac:dyDescent="0.2">
      <c r="A2677" s="16">
        <f>P2677</f>
        <v>1810590</v>
      </c>
      <c r="B2677">
        <v>2015</v>
      </c>
      <c r="C2677" t="s">
        <v>904</v>
      </c>
      <c r="D2677" t="s">
        <v>906</v>
      </c>
      <c r="E2677" t="s">
        <v>3583</v>
      </c>
      <c r="F2677" t="s">
        <v>775</v>
      </c>
      <c r="G2677" t="s">
        <v>291</v>
      </c>
      <c r="H2677" s="6">
        <v>343398</v>
      </c>
      <c r="I2677" s="6">
        <v>1.6698438784134562E-3</v>
      </c>
      <c r="J2677" s="6">
        <v>9703.4627774605942</v>
      </c>
      <c r="K2677" s="6">
        <v>1412046.7010884699</v>
      </c>
      <c r="M2677" s="6">
        <f>SUM(H2677,J2677)</f>
        <v>353101.46277746058</v>
      </c>
      <c r="N2677" s="6">
        <f>K2677</f>
        <v>1412046.7010884699</v>
      </c>
      <c r="O2677" s="6">
        <f>SUM(M2677:N2677)</f>
        <v>1765148.1638659304</v>
      </c>
      <c r="P2677" s="8">
        <f>VLOOKUP(F2677,'LEAID Match'!$A$2:$B$436,2,FALSE)</f>
        <v>1810590</v>
      </c>
      <c r="Q2677" s="6">
        <f>COUNTIF($P$2:$P$3691,P2677)</f>
        <v>9</v>
      </c>
    </row>
    <row r="2678" spans="1:17" x14ac:dyDescent="0.2">
      <c r="A2678" s="16">
        <f>P2678</f>
        <v>1810590</v>
      </c>
      <c r="B2678">
        <v>2016</v>
      </c>
      <c r="C2678" t="s">
        <v>904</v>
      </c>
      <c r="D2678" t="s">
        <v>906</v>
      </c>
      <c r="E2678" t="s">
        <v>3584</v>
      </c>
      <c r="F2678" t="s">
        <v>775</v>
      </c>
      <c r="G2678" t="s">
        <v>291</v>
      </c>
      <c r="H2678" s="6">
        <v>331719</v>
      </c>
      <c r="I2678" s="6">
        <v>1.5392169004854715E-3</v>
      </c>
      <c r="J2678" s="6">
        <v>7769.96691365066</v>
      </c>
      <c r="K2678" s="6">
        <v>1366054.9991808501</v>
      </c>
      <c r="M2678" s="6">
        <f>SUM(H2678,J2678)</f>
        <v>339488.96691365069</v>
      </c>
      <c r="N2678" s="6">
        <f>K2678</f>
        <v>1366054.9991808501</v>
      </c>
      <c r="O2678" s="6">
        <f>SUM(M2678:N2678)</f>
        <v>1705543.9660945009</v>
      </c>
      <c r="P2678" s="8">
        <f>VLOOKUP(F2678,'LEAID Match'!$A$2:$B$436,2,FALSE)</f>
        <v>1810590</v>
      </c>
      <c r="Q2678" s="6">
        <f>COUNTIF($P$2:$P$3691,P2678)</f>
        <v>9</v>
      </c>
    </row>
    <row r="2679" spans="1:17" x14ac:dyDescent="0.2">
      <c r="A2679" s="16">
        <f>P2679</f>
        <v>1810590</v>
      </c>
      <c r="B2679">
        <v>2017</v>
      </c>
      <c r="C2679" t="s">
        <v>904</v>
      </c>
      <c r="D2679" t="s">
        <v>906</v>
      </c>
      <c r="E2679" t="s">
        <v>3585</v>
      </c>
      <c r="F2679" t="s">
        <v>775</v>
      </c>
      <c r="G2679" t="s">
        <v>291</v>
      </c>
      <c r="H2679" s="6">
        <v>339793</v>
      </c>
      <c r="I2679" s="6">
        <v>1.4962539445190731E-3</v>
      </c>
      <c r="J2679" s="6">
        <v>6770.5490989488062</v>
      </c>
      <c r="K2679" s="6">
        <v>1303237.18567611</v>
      </c>
      <c r="M2679" s="6">
        <f>SUM(H2679,J2679)</f>
        <v>346563.54909894883</v>
      </c>
      <c r="N2679" s="6">
        <f>K2679</f>
        <v>1303237.18567611</v>
      </c>
      <c r="O2679" s="6">
        <f>SUM(M2679:N2679)</f>
        <v>1649800.7347750589</v>
      </c>
      <c r="P2679" s="8">
        <f>VLOOKUP(F2679,'LEAID Match'!$A$2:$B$436,2,FALSE)</f>
        <v>1810590</v>
      </c>
      <c r="Q2679" s="6">
        <f>COUNTIF($P$2:$P$3691,P2679)</f>
        <v>9</v>
      </c>
    </row>
    <row r="2680" spans="1:17" x14ac:dyDescent="0.2">
      <c r="A2680" s="16">
        <f>P2680</f>
        <v>1810590</v>
      </c>
      <c r="B2680">
        <v>2018</v>
      </c>
      <c r="C2680" t="s">
        <v>904</v>
      </c>
      <c r="D2680" t="s">
        <v>906</v>
      </c>
      <c r="E2680" t="s">
        <v>3586</v>
      </c>
      <c r="F2680" t="s">
        <v>775</v>
      </c>
      <c r="G2680" t="s">
        <v>291</v>
      </c>
      <c r="H2680" s="6">
        <v>372631</v>
      </c>
      <c r="I2680" s="6">
        <v>1.5808388808058998E-3</v>
      </c>
      <c r="J2680" s="6">
        <v>6588.9364551989902</v>
      </c>
      <c r="K2680" s="6">
        <v>1739329</v>
      </c>
      <c r="M2680" s="6">
        <f>SUM(H2680,J2680)</f>
        <v>379219.93645519897</v>
      </c>
      <c r="N2680" s="6">
        <f>K2680</f>
        <v>1739329</v>
      </c>
      <c r="O2680" s="6">
        <f>SUM(M2680:N2680)</f>
        <v>2118548.936455199</v>
      </c>
      <c r="P2680" s="8">
        <f>VLOOKUP(F2680,'LEAID Match'!$A$2:$B$436,2,FALSE)</f>
        <v>1810590</v>
      </c>
      <c r="Q2680" s="6">
        <f>COUNTIF($P$2:$P$3691,P2680)</f>
        <v>9</v>
      </c>
    </row>
    <row r="2681" spans="1:17" x14ac:dyDescent="0.2">
      <c r="A2681" s="16">
        <f>P2681</f>
        <v>1810590</v>
      </c>
      <c r="B2681">
        <v>2019</v>
      </c>
      <c r="C2681" t="s">
        <v>904</v>
      </c>
      <c r="D2681" t="s">
        <v>906</v>
      </c>
      <c r="E2681" t="s">
        <v>3587</v>
      </c>
      <c r="F2681" t="s">
        <v>775</v>
      </c>
      <c r="G2681" t="s">
        <v>291</v>
      </c>
      <c r="H2681" s="6">
        <v>380475</v>
      </c>
      <c r="I2681" s="6">
        <v>9.6792633652043188E-4</v>
      </c>
      <c r="J2681" s="6">
        <v>3392.5818095041136</v>
      </c>
      <c r="K2681" s="6">
        <v>913625.669041635</v>
      </c>
      <c r="M2681" s="6">
        <f>SUM(H2681,J2681)</f>
        <v>383867.58180950413</v>
      </c>
      <c r="N2681" s="6">
        <f>K2681</f>
        <v>913625.669041635</v>
      </c>
      <c r="O2681" s="6">
        <f>SUM(M2681:N2681)</f>
        <v>1297493.2508511392</v>
      </c>
      <c r="P2681" s="8">
        <f>VLOOKUP(F2681,'LEAID Match'!$A$2:$B$436,2,FALSE)</f>
        <v>1810590</v>
      </c>
      <c r="Q2681" s="6">
        <f>COUNTIF($P$2:$P$3691,P2681)</f>
        <v>9</v>
      </c>
    </row>
    <row r="2682" spans="1:17" x14ac:dyDescent="0.2">
      <c r="A2682" s="16">
        <f>P2682</f>
        <v>1810590</v>
      </c>
      <c r="B2682">
        <v>2020</v>
      </c>
      <c r="C2682" t="s">
        <v>904</v>
      </c>
      <c r="D2682" t="s">
        <v>906</v>
      </c>
      <c r="E2682" t="s">
        <v>3588</v>
      </c>
      <c r="F2682" t="s">
        <v>775</v>
      </c>
      <c r="G2682" t="s">
        <v>291</v>
      </c>
      <c r="H2682" s="6">
        <v>290383</v>
      </c>
      <c r="I2682" s="6">
        <v>1.5386546396740463E-3</v>
      </c>
      <c r="J2682" s="6">
        <v>3625.0703310720532</v>
      </c>
      <c r="K2682" s="6">
        <v>1963046</v>
      </c>
      <c r="M2682" s="6">
        <f>SUM(H2682,J2682)</f>
        <v>294008.07033107203</v>
      </c>
      <c r="N2682" s="6">
        <f>K2682</f>
        <v>1963046</v>
      </c>
      <c r="O2682" s="6">
        <f>SUM(M2682:N2682)</f>
        <v>2257054.070331072</v>
      </c>
      <c r="P2682" s="8">
        <f>VLOOKUP(F2682,'LEAID Match'!$A$2:$B$436,2,FALSE)</f>
        <v>1810590</v>
      </c>
      <c r="Q2682" s="6">
        <f>COUNTIF($P$2:$P$3691,P2682)</f>
        <v>9</v>
      </c>
    </row>
    <row r="2683" spans="1:17" x14ac:dyDescent="0.2">
      <c r="A2683" s="16">
        <f>P2683</f>
        <v>1810590</v>
      </c>
      <c r="B2683">
        <v>2021</v>
      </c>
      <c r="C2683" t="s">
        <v>904</v>
      </c>
      <c r="D2683" t="s">
        <v>906</v>
      </c>
      <c r="E2683" t="s">
        <v>3589</v>
      </c>
      <c r="F2683" t="s">
        <v>775</v>
      </c>
      <c r="G2683" t="s">
        <v>291</v>
      </c>
      <c r="H2683" s="6">
        <v>312246</v>
      </c>
      <c r="I2683" s="6">
        <v>1.5425242785440019E-3</v>
      </c>
      <c r="J2683" s="6">
        <v>3476.8497238381801</v>
      </c>
      <c r="K2683" s="6">
        <v>3185242</v>
      </c>
      <c r="M2683" s="6">
        <f>SUM(H2683,J2683)</f>
        <v>315722.84972383815</v>
      </c>
      <c r="N2683" s="6">
        <f>K2683</f>
        <v>3185242</v>
      </c>
      <c r="O2683" s="6">
        <f>SUM(M2683:N2683)</f>
        <v>3500964.8497238383</v>
      </c>
      <c r="P2683" s="8">
        <f>VLOOKUP(F2683,'LEAID Match'!$A$2:$B$436,2,FALSE)</f>
        <v>1810590</v>
      </c>
      <c r="Q2683" s="6">
        <f>COUNTIF($P$2:$P$3691,P2683)</f>
        <v>9</v>
      </c>
    </row>
    <row r="2684" spans="1:17" x14ac:dyDescent="0.2">
      <c r="A2684" s="16">
        <f>P2684</f>
        <v>1810590</v>
      </c>
      <c r="B2684">
        <v>2022</v>
      </c>
      <c r="C2684" t="s">
        <v>904</v>
      </c>
      <c r="D2684" t="s">
        <v>906</v>
      </c>
      <c r="E2684" t="s">
        <v>3590</v>
      </c>
      <c r="F2684" t="s">
        <v>775</v>
      </c>
      <c r="G2684" t="s">
        <v>291</v>
      </c>
      <c r="H2684" s="6">
        <v>329288</v>
      </c>
      <c r="I2684" s="6">
        <v>1.5635206225487015E-3</v>
      </c>
      <c r="J2684" s="6">
        <v>3447.5629727198866</v>
      </c>
      <c r="K2684" s="6">
        <v>3149659</v>
      </c>
      <c r="M2684" s="6">
        <f>SUM(H2684,J2684)</f>
        <v>332735.5629727199</v>
      </c>
      <c r="N2684" s="6">
        <f>K2684</f>
        <v>3149659</v>
      </c>
      <c r="O2684" s="6">
        <f>SUM(M2684:N2684)</f>
        <v>3482394.5629727198</v>
      </c>
      <c r="P2684" s="8">
        <f>VLOOKUP(F2684,'LEAID Match'!$A$2:$B$436,2,FALSE)</f>
        <v>1810590</v>
      </c>
      <c r="Q2684" s="6">
        <f>COUNTIF($P$2:$P$3691,P2684)</f>
        <v>9</v>
      </c>
    </row>
    <row r="2685" spans="1:17" x14ac:dyDescent="0.2">
      <c r="A2685" s="16">
        <f>P2685</f>
        <v>1810590</v>
      </c>
      <c r="B2685">
        <v>2023</v>
      </c>
      <c r="C2685" t="s">
        <v>904</v>
      </c>
      <c r="D2685" t="s">
        <v>906</v>
      </c>
      <c r="E2685" t="s">
        <v>3591</v>
      </c>
      <c r="F2685" t="s">
        <v>775</v>
      </c>
      <c r="G2685" t="s">
        <v>291</v>
      </c>
      <c r="H2685" s="6">
        <v>357998</v>
      </c>
      <c r="I2685" s="6">
        <v>1.4640151170956094E-3</v>
      </c>
      <c r="J2685" s="6">
        <v>3611.7252938748684</v>
      </c>
      <c r="K2685" s="6">
        <v>8553430</v>
      </c>
      <c r="M2685" s="6">
        <f>SUM(H2685,J2685)</f>
        <v>361609.72529387486</v>
      </c>
      <c r="N2685" s="6">
        <f>K2685</f>
        <v>8553430</v>
      </c>
      <c r="O2685" s="6">
        <f>SUM(M2685:N2685)</f>
        <v>8915039.7252938747</v>
      </c>
      <c r="P2685" s="8">
        <f>VLOOKUP(F2685,'LEAID Match'!$A$2:$B$436,2,FALSE)</f>
        <v>1810590</v>
      </c>
      <c r="Q2685" s="6">
        <f>COUNTIF($P$2:$P$3691,P2685)</f>
        <v>9</v>
      </c>
    </row>
    <row r="2686" spans="1:17" x14ac:dyDescent="0.2">
      <c r="A2686" s="16">
        <f>P2686</f>
        <v>1812090</v>
      </c>
      <c r="B2686">
        <v>2015</v>
      </c>
      <c r="C2686" t="s">
        <v>904</v>
      </c>
      <c r="D2686" t="s">
        <v>906</v>
      </c>
      <c r="E2686" t="s">
        <v>3592</v>
      </c>
      <c r="F2686" t="s">
        <v>601</v>
      </c>
      <c r="G2686" t="s">
        <v>292</v>
      </c>
      <c r="H2686" s="6">
        <v>2780539</v>
      </c>
      <c r="I2686" s="6">
        <v>1.3520946621237961E-2</v>
      </c>
      <c r="J2686" s="6">
        <v>78570.220816013796</v>
      </c>
      <c r="K2686" s="6">
        <v>11433528.798064699</v>
      </c>
      <c r="M2686" s="6">
        <f>SUM(H2686,J2686)</f>
        <v>2859109.2208160139</v>
      </c>
      <c r="N2686" s="6">
        <f>K2686</f>
        <v>11433528.798064699</v>
      </c>
      <c r="O2686" s="6">
        <f>SUM(M2686:N2686)</f>
        <v>14292638.018880714</v>
      </c>
      <c r="P2686" s="8">
        <f>VLOOKUP(F2686,'LEAID Match'!$A$2:$B$436,2,FALSE)</f>
        <v>1812090</v>
      </c>
      <c r="Q2686" s="6">
        <f>COUNTIF($P$2:$P$3691,P2686)</f>
        <v>9</v>
      </c>
    </row>
    <row r="2687" spans="1:17" x14ac:dyDescent="0.2">
      <c r="A2687" s="16">
        <f>P2687</f>
        <v>1812090</v>
      </c>
      <c r="B2687">
        <v>2016</v>
      </c>
      <c r="C2687" t="s">
        <v>904</v>
      </c>
      <c r="D2687" t="s">
        <v>906</v>
      </c>
      <c r="E2687" t="s">
        <v>3593</v>
      </c>
      <c r="F2687" t="s">
        <v>601</v>
      </c>
      <c r="G2687" t="s">
        <v>292</v>
      </c>
      <c r="H2687" s="6">
        <v>2914992</v>
      </c>
      <c r="I2687" s="6">
        <v>1.3525920888402369E-2</v>
      </c>
      <c r="J2687" s="6">
        <v>68278.848644655154</v>
      </c>
      <c r="K2687" s="6">
        <v>12004254.788457099</v>
      </c>
      <c r="M2687" s="6">
        <f>SUM(H2687,J2687)</f>
        <v>2983270.8486446552</v>
      </c>
      <c r="N2687" s="6">
        <f>K2687</f>
        <v>12004254.788457099</v>
      </c>
      <c r="O2687" s="6">
        <f>SUM(M2687:N2687)</f>
        <v>14987525.637101755</v>
      </c>
      <c r="P2687" s="8">
        <f>VLOOKUP(F2687,'LEAID Match'!$A$2:$B$436,2,FALSE)</f>
        <v>1812090</v>
      </c>
      <c r="Q2687" s="6">
        <f>COUNTIF($P$2:$P$3691,P2687)</f>
        <v>9</v>
      </c>
    </row>
    <row r="2688" spans="1:17" x14ac:dyDescent="0.2">
      <c r="A2688" s="16">
        <f>P2688</f>
        <v>1812090</v>
      </c>
      <c r="B2688">
        <v>2017</v>
      </c>
      <c r="C2688" t="s">
        <v>904</v>
      </c>
      <c r="D2688" t="s">
        <v>906</v>
      </c>
      <c r="E2688" t="s">
        <v>3594</v>
      </c>
      <c r="F2688" t="s">
        <v>601</v>
      </c>
      <c r="G2688" t="s">
        <v>292</v>
      </c>
      <c r="H2688" s="6">
        <v>3061778</v>
      </c>
      <c r="I2688" s="6">
        <v>1.3482318381313677E-2</v>
      </c>
      <c r="J2688" s="6">
        <v>61007.490675444387</v>
      </c>
      <c r="K2688" s="6">
        <v>11743099.3101242</v>
      </c>
      <c r="M2688" s="6">
        <f>SUM(H2688,J2688)</f>
        <v>3122785.4906754442</v>
      </c>
      <c r="N2688" s="6">
        <f>K2688</f>
        <v>11743099.3101242</v>
      </c>
      <c r="O2688" s="6">
        <f>SUM(M2688:N2688)</f>
        <v>14865884.800799644</v>
      </c>
      <c r="P2688" s="8">
        <f>VLOOKUP(F2688,'LEAID Match'!$A$2:$B$436,2,FALSE)</f>
        <v>1812090</v>
      </c>
      <c r="Q2688" s="6">
        <f>COUNTIF($P$2:$P$3691,P2688)</f>
        <v>9</v>
      </c>
    </row>
    <row r="2689" spans="1:17" x14ac:dyDescent="0.2">
      <c r="A2689" s="16">
        <f>P2689</f>
        <v>1812090</v>
      </c>
      <c r="B2689">
        <v>2018</v>
      </c>
      <c r="C2689" t="s">
        <v>904</v>
      </c>
      <c r="D2689" t="s">
        <v>906</v>
      </c>
      <c r="E2689" t="s">
        <v>3595</v>
      </c>
      <c r="F2689" t="s">
        <v>601</v>
      </c>
      <c r="G2689" t="s">
        <v>292</v>
      </c>
      <c r="H2689" s="6">
        <v>3361090</v>
      </c>
      <c r="I2689" s="6">
        <v>1.4258990137395712E-2</v>
      </c>
      <c r="J2689" s="6">
        <v>59431.470892665326</v>
      </c>
      <c r="K2689" s="6">
        <v>17079641</v>
      </c>
      <c r="M2689" s="6">
        <f>SUM(H2689,J2689)</f>
        <v>3420521.4708926654</v>
      </c>
      <c r="N2689" s="6">
        <f>K2689</f>
        <v>17079641</v>
      </c>
      <c r="O2689" s="6">
        <f>SUM(M2689:N2689)</f>
        <v>20500162.470892664</v>
      </c>
      <c r="P2689" s="8">
        <f>VLOOKUP(F2689,'LEAID Match'!$A$2:$B$436,2,FALSE)</f>
        <v>1812090</v>
      </c>
      <c r="Q2689" s="6">
        <f>COUNTIF($P$2:$P$3691,P2689)</f>
        <v>9</v>
      </c>
    </row>
    <row r="2690" spans="1:17" x14ac:dyDescent="0.2">
      <c r="A2690" s="16">
        <f>P2690</f>
        <v>1812090</v>
      </c>
      <c r="B2690">
        <v>2019</v>
      </c>
      <c r="C2690" t="s">
        <v>904</v>
      </c>
      <c r="D2690" t="s">
        <v>906</v>
      </c>
      <c r="E2690" t="s">
        <v>3596</v>
      </c>
      <c r="F2690" t="s">
        <v>601</v>
      </c>
      <c r="G2690" t="s">
        <v>292</v>
      </c>
      <c r="H2690" s="6">
        <v>3500521</v>
      </c>
      <c r="I2690" s="6">
        <v>8.9053064391690362E-3</v>
      </c>
      <c r="J2690" s="6">
        <v>31213.099069287473</v>
      </c>
      <c r="K2690" s="6">
        <v>8405718.7479316499</v>
      </c>
      <c r="M2690" s="6">
        <f>SUM(H2690,J2690)</f>
        <v>3531734.0990692875</v>
      </c>
      <c r="N2690" s="6">
        <f>K2690</f>
        <v>8405718.7479316499</v>
      </c>
      <c r="O2690" s="6">
        <f>SUM(M2690:N2690)</f>
        <v>11937452.847000938</v>
      </c>
      <c r="P2690" s="8">
        <f>VLOOKUP(F2690,'LEAID Match'!$A$2:$B$436,2,FALSE)</f>
        <v>1812090</v>
      </c>
      <c r="Q2690" s="6">
        <f>COUNTIF($P$2:$P$3691,P2690)</f>
        <v>9</v>
      </c>
    </row>
    <row r="2691" spans="1:17" x14ac:dyDescent="0.2">
      <c r="A2691" s="16">
        <f>P2691</f>
        <v>1812090</v>
      </c>
      <c r="B2691">
        <v>2020</v>
      </c>
      <c r="C2691" t="s">
        <v>904</v>
      </c>
      <c r="D2691" t="s">
        <v>906</v>
      </c>
      <c r="E2691" t="s">
        <v>3597</v>
      </c>
      <c r="F2691" t="s">
        <v>601</v>
      </c>
      <c r="G2691" t="s">
        <v>292</v>
      </c>
      <c r="H2691" s="6">
        <v>2720185</v>
      </c>
      <c r="I2691" s="6">
        <v>1.4413465220146309E-2</v>
      </c>
      <c r="J2691" s="6">
        <v>33958.124058664704</v>
      </c>
      <c r="K2691" s="6">
        <v>18116662</v>
      </c>
      <c r="M2691" s="6">
        <f>SUM(H2691,J2691)</f>
        <v>2754143.1240586648</v>
      </c>
      <c r="N2691" s="6">
        <f>K2691</f>
        <v>18116662</v>
      </c>
      <c r="O2691" s="6">
        <f>SUM(M2691:N2691)</f>
        <v>20870805.124058664</v>
      </c>
      <c r="P2691" s="8">
        <f>VLOOKUP(F2691,'LEAID Match'!$A$2:$B$436,2,FALSE)</f>
        <v>1812090</v>
      </c>
      <c r="Q2691" s="6">
        <f>COUNTIF($P$2:$P$3691,P2691)</f>
        <v>9</v>
      </c>
    </row>
    <row r="2692" spans="1:17" x14ac:dyDescent="0.2">
      <c r="A2692" s="16">
        <f>P2692</f>
        <v>1812090</v>
      </c>
      <c r="B2692">
        <v>2021</v>
      </c>
      <c r="C2692" t="s">
        <v>904</v>
      </c>
      <c r="D2692" t="s">
        <v>906</v>
      </c>
      <c r="E2692" t="s">
        <v>3598</v>
      </c>
      <c r="F2692" t="s">
        <v>601</v>
      </c>
      <c r="G2692" t="s">
        <v>292</v>
      </c>
      <c r="H2692" s="6">
        <v>2858335</v>
      </c>
      <c r="I2692" s="6">
        <v>1.4120440722097543E-2</v>
      </c>
      <c r="J2692" s="6">
        <v>31827.473387607861</v>
      </c>
      <c r="K2692" s="6">
        <v>30103155</v>
      </c>
      <c r="M2692" s="6">
        <f>SUM(H2692,J2692)</f>
        <v>2890162.4733876078</v>
      </c>
      <c r="N2692" s="6">
        <f>K2692</f>
        <v>30103155</v>
      </c>
      <c r="O2692" s="6">
        <f>SUM(M2692:N2692)</f>
        <v>32993317.473387606</v>
      </c>
      <c r="P2692" s="8">
        <f>VLOOKUP(F2692,'LEAID Match'!$A$2:$B$436,2,FALSE)</f>
        <v>1812090</v>
      </c>
      <c r="Q2692" s="6">
        <f>COUNTIF($P$2:$P$3691,P2692)</f>
        <v>9</v>
      </c>
    </row>
    <row r="2693" spans="1:17" x14ac:dyDescent="0.2">
      <c r="A2693" s="16">
        <f>P2693</f>
        <v>1812090</v>
      </c>
      <c r="B2693">
        <v>2022</v>
      </c>
      <c r="C2693" t="s">
        <v>904</v>
      </c>
      <c r="D2693" t="s">
        <v>906</v>
      </c>
      <c r="E2693" t="s">
        <v>3599</v>
      </c>
      <c r="F2693" t="s">
        <v>601</v>
      </c>
      <c r="G2693" t="s">
        <v>292</v>
      </c>
      <c r="H2693" s="6">
        <v>2840686</v>
      </c>
      <c r="I2693" s="6">
        <v>1.3488105072718656E-2</v>
      </c>
      <c r="J2693" s="6">
        <v>29741.271685344636</v>
      </c>
      <c r="K2693" s="6">
        <v>28986316</v>
      </c>
      <c r="M2693" s="6">
        <f>SUM(H2693,J2693)</f>
        <v>2870427.2716853446</v>
      </c>
      <c r="N2693" s="6">
        <f>K2693</f>
        <v>28986316</v>
      </c>
      <c r="O2693" s="6">
        <f>SUM(M2693:N2693)</f>
        <v>31856743.271685343</v>
      </c>
      <c r="P2693" s="8">
        <f>VLOOKUP(F2693,'LEAID Match'!$A$2:$B$436,2,FALSE)</f>
        <v>1812090</v>
      </c>
      <c r="Q2693" s="6">
        <f>COUNTIF($P$2:$P$3691,P2693)</f>
        <v>9</v>
      </c>
    </row>
    <row r="2694" spans="1:17" x14ac:dyDescent="0.2">
      <c r="A2694" s="16">
        <f>P2694</f>
        <v>1812090</v>
      </c>
      <c r="B2694">
        <v>2023</v>
      </c>
      <c r="C2694" t="s">
        <v>904</v>
      </c>
      <c r="D2694" t="s">
        <v>906</v>
      </c>
      <c r="E2694" t="s">
        <v>3600</v>
      </c>
      <c r="F2694" t="s">
        <v>601</v>
      </c>
      <c r="G2694" t="s">
        <v>292</v>
      </c>
      <c r="H2694" s="6">
        <v>3078993</v>
      </c>
      <c r="I2694" s="6">
        <v>1.2591389609527321E-2</v>
      </c>
      <c r="J2694" s="6">
        <v>31062.958166703898</v>
      </c>
      <c r="K2694" s="6">
        <v>75375377</v>
      </c>
      <c r="M2694" s="6">
        <f>SUM(H2694,J2694)</f>
        <v>3110055.958166704</v>
      </c>
      <c r="N2694" s="6">
        <f>K2694</f>
        <v>75375377</v>
      </c>
      <c r="O2694" s="6">
        <f>SUM(M2694:N2694)</f>
        <v>78485432.958166704</v>
      </c>
      <c r="P2694" s="8">
        <f>VLOOKUP(F2694,'LEAID Match'!$A$2:$B$436,2,FALSE)</f>
        <v>1812090</v>
      </c>
      <c r="Q2694" s="6">
        <f>COUNTIF($P$2:$P$3691,P2694)</f>
        <v>9</v>
      </c>
    </row>
    <row r="2695" spans="1:17" x14ac:dyDescent="0.2">
      <c r="A2695" s="16">
        <f>P2695</f>
        <v>1802420</v>
      </c>
      <c r="B2695">
        <v>2015</v>
      </c>
      <c r="C2695" t="s">
        <v>904</v>
      </c>
      <c r="D2695" t="s">
        <v>906</v>
      </c>
      <c r="E2695" t="s">
        <v>3601</v>
      </c>
      <c r="F2695" t="s">
        <v>602</v>
      </c>
      <c r="G2695" t="s">
        <v>293</v>
      </c>
      <c r="H2695" s="6">
        <v>141260</v>
      </c>
      <c r="I2695" s="6">
        <v>6.8690599905848267E-4</v>
      </c>
      <c r="J2695" s="6">
        <v>3991.610760528843</v>
      </c>
      <c r="K2695" s="6">
        <v>580858.70329983695</v>
      </c>
      <c r="M2695" s="6">
        <f>SUM(H2695,J2695)</f>
        <v>145251.61076052886</v>
      </c>
      <c r="N2695" s="6">
        <f>K2695</f>
        <v>580858.70329983695</v>
      </c>
      <c r="O2695" s="6">
        <f>SUM(M2695:N2695)</f>
        <v>726110.31406036578</v>
      </c>
      <c r="P2695" s="8">
        <f>VLOOKUP(F2695,'LEAID Match'!$A$2:$B$436,2,FALSE)</f>
        <v>1802420</v>
      </c>
      <c r="Q2695" s="6">
        <f>COUNTIF($P$2:$P$3691,P2695)</f>
        <v>9</v>
      </c>
    </row>
    <row r="2696" spans="1:17" x14ac:dyDescent="0.2">
      <c r="A2696" s="16">
        <f>P2696</f>
        <v>1802420</v>
      </c>
      <c r="B2696">
        <v>2016</v>
      </c>
      <c r="C2696" t="s">
        <v>904</v>
      </c>
      <c r="D2696" t="s">
        <v>906</v>
      </c>
      <c r="E2696" t="s">
        <v>3602</v>
      </c>
      <c r="F2696" t="s">
        <v>602</v>
      </c>
      <c r="G2696" t="s">
        <v>293</v>
      </c>
      <c r="H2696" s="6">
        <v>153663</v>
      </c>
      <c r="I2696" s="6">
        <v>7.1301519231427508E-4</v>
      </c>
      <c r="J2696" s="6">
        <v>3599.3006908024604</v>
      </c>
      <c r="K2696" s="6">
        <v>632800.98317891895</v>
      </c>
      <c r="M2696" s="6">
        <f>SUM(H2696,J2696)</f>
        <v>157262.30069080245</v>
      </c>
      <c r="N2696" s="6">
        <f>K2696</f>
        <v>632800.98317891895</v>
      </c>
      <c r="O2696" s="6">
        <f>SUM(M2696:N2696)</f>
        <v>790063.28386972146</v>
      </c>
      <c r="P2696" s="8">
        <f>VLOOKUP(F2696,'LEAID Match'!$A$2:$B$436,2,FALSE)</f>
        <v>1802420</v>
      </c>
      <c r="Q2696" s="6">
        <f>COUNTIF($P$2:$P$3691,P2696)</f>
        <v>9</v>
      </c>
    </row>
    <row r="2697" spans="1:17" x14ac:dyDescent="0.2">
      <c r="A2697" s="16">
        <f>P2697</f>
        <v>1802420</v>
      </c>
      <c r="B2697">
        <v>2017</v>
      </c>
      <c r="C2697" t="s">
        <v>904</v>
      </c>
      <c r="D2697" t="s">
        <v>906</v>
      </c>
      <c r="E2697" t="s">
        <v>3603</v>
      </c>
      <c r="F2697" t="s">
        <v>602</v>
      </c>
      <c r="G2697" t="s">
        <v>293</v>
      </c>
      <c r="H2697" s="6">
        <v>163874</v>
      </c>
      <c r="I2697" s="6">
        <v>7.2160732829728267E-4</v>
      </c>
      <c r="J2697" s="6">
        <v>3265.2731605452041</v>
      </c>
      <c r="K2697" s="6">
        <v>628519.98294693301</v>
      </c>
      <c r="M2697" s="6">
        <f>SUM(H2697,J2697)</f>
        <v>167139.27316054521</v>
      </c>
      <c r="N2697" s="6">
        <f>K2697</f>
        <v>628519.98294693301</v>
      </c>
      <c r="O2697" s="6">
        <f>SUM(M2697:N2697)</f>
        <v>795659.25610747817</v>
      </c>
      <c r="P2697" s="8">
        <f>VLOOKUP(F2697,'LEAID Match'!$A$2:$B$436,2,FALSE)</f>
        <v>1802420</v>
      </c>
      <c r="Q2697" s="6">
        <f>COUNTIF($P$2:$P$3691,P2697)</f>
        <v>9</v>
      </c>
    </row>
    <row r="2698" spans="1:17" x14ac:dyDescent="0.2">
      <c r="A2698" s="16">
        <f>P2698</f>
        <v>1802420</v>
      </c>
      <c r="B2698">
        <v>2018</v>
      </c>
      <c r="C2698" t="s">
        <v>904</v>
      </c>
      <c r="D2698" t="s">
        <v>906</v>
      </c>
      <c r="E2698" t="s">
        <v>3604</v>
      </c>
      <c r="F2698" t="s">
        <v>602</v>
      </c>
      <c r="G2698" t="s">
        <v>293</v>
      </c>
      <c r="H2698" s="6">
        <v>176248</v>
      </c>
      <c r="I2698" s="6">
        <v>7.4770937217858476E-4</v>
      </c>
      <c r="J2698" s="6">
        <v>3116.4526632403413</v>
      </c>
      <c r="K2698" s="6">
        <v>674106</v>
      </c>
      <c r="M2698" s="6">
        <f>SUM(H2698,J2698)</f>
        <v>179364.45266324034</v>
      </c>
      <c r="N2698" s="6">
        <f>K2698</f>
        <v>674106</v>
      </c>
      <c r="O2698" s="6">
        <f>SUM(M2698:N2698)</f>
        <v>853470.45266324037</v>
      </c>
      <c r="P2698" s="8">
        <f>VLOOKUP(F2698,'LEAID Match'!$A$2:$B$436,2,FALSE)</f>
        <v>1802420</v>
      </c>
      <c r="Q2698" s="6">
        <f>COUNTIF($P$2:$P$3691,P2698)</f>
        <v>9</v>
      </c>
    </row>
    <row r="2699" spans="1:17" x14ac:dyDescent="0.2">
      <c r="A2699" s="16">
        <f>P2699</f>
        <v>1802420</v>
      </c>
      <c r="B2699">
        <v>2019</v>
      </c>
      <c r="C2699" t="s">
        <v>904</v>
      </c>
      <c r="D2699" t="s">
        <v>906</v>
      </c>
      <c r="E2699" t="s">
        <v>3605</v>
      </c>
      <c r="F2699" t="s">
        <v>602</v>
      </c>
      <c r="G2699" t="s">
        <v>293</v>
      </c>
      <c r="H2699" s="6">
        <v>180164</v>
      </c>
      <c r="I2699" s="6">
        <v>4.583362388931391E-4</v>
      </c>
      <c r="J2699" s="6">
        <v>1606.4685173204525</v>
      </c>
      <c r="K2699" s="6">
        <v>432623.57589123398</v>
      </c>
      <c r="M2699" s="6">
        <f>SUM(H2699,J2699)</f>
        <v>181770.46851732046</v>
      </c>
      <c r="N2699" s="6">
        <f>K2699</f>
        <v>432623.57589123398</v>
      </c>
      <c r="O2699" s="6">
        <f>SUM(M2699:N2699)</f>
        <v>614394.04440855444</v>
      </c>
      <c r="P2699" s="8">
        <f>VLOOKUP(F2699,'LEAID Match'!$A$2:$B$436,2,FALSE)</f>
        <v>1802420</v>
      </c>
      <c r="Q2699" s="6">
        <f>COUNTIF($P$2:$P$3691,P2699)</f>
        <v>9</v>
      </c>
    </row>
    <row r="2700" spans="1:17" x14ac:dyDescent="0.2">
      <c r="A2700" s="16">
        <f>P2700</f>
        <v>1802420</v>
      </c>
      <c r="B2700">
        <v>2020</v>
      </c>
      <c r="C2700" t="s">
        <v>904</v>
      </c>
      <c r="D2700" t="s">
        <v>906</v>
      </c>
      <c r="E2700" t="s">
        <v>3606</v>
      </c>
      <c r="F2700" t="s">
        <v>602</v>
      </c>
      <c r="G2700" t="s">
        <v>293</v>
      </c>
      <c r="H2700" s="6">
        <v>137452</v>
      </c>
      <c r="I2700" s="6">
        <v>7.2831797154956392E-4</v>
      </c>
      <c r="J2700" s="6">
        <v>1715.9171409707726</v>
      </c>
      <c r="K2700" s="6">
        <v>625409</v>
      </c>
      <c r="M2700" s="6">
        <f>SUM(H2700,J2700)</f>
        <v>139167.91714097076</v>
      </c>
      <c r="N2700" s="6">
        <f>K2700</f>
        <v>625409</v>
      </c>
      <c r="O2700" s="6">
        <f>SUM(M2700:N2700)</f>
        <v>764576.91714097071</v>
      </c>
      <c r="P2700" s="8">
        <f>VLOOKUP(F2700,'LEAID Match'!$A$2:$B$436,2,FALSE)</f>
        <v>1802420</v>
      </c>
      <c r="Q2700" s="6">
        <f>COUNTIF($P$2:$P$3691,P2700)</f>
        <v>9</v>
      </c>
    </row>
    <row r="2701" spans="1:17" x14ac:dyDescent="0.2">
      <c r="A2701" s="16">
        <f>P2701</f>
        <v>1802420</v>
      </c>
      <c r="B2701">
        <v>2021</v>
      </c>
      <c r="C2701" t="s">
        <v>904</v>
      </c>
      <c r="D2701" t="s">
        <v>906</v>
      </c>
      <c r="E2701" t="s">
        <v>3607</v>
      </c>
      <c r="F2701" t="s">
        <v>602</v>
      </c>
      <c r="G2701" t="s">
        <v>293</v>
      </c>
      <c r="H2701" s="6">
        <v>147490</v>
      </c>
      <c r="I2701" s="6">
        <v>7.2861431641223532E-4</v>
      </c>
      <c r="J2701" s="6">
        <v>1642.2966691931783</v>
      </c>
      <c r="K2701" s="6">
        <v>1012730</v>
      </c>
      <c r="M2701" s="6">
        <f>SUM(H2701,J2701)</f>
        <v>149132.29666919317</v>
      </c>
      <c r="N2701" s="6">
        <f>K2701</f>
        <v>1012730</v>
      </c>
      <c r="O2701" s="6">
        <f>SUM(M2701:N2701)</f>
        <v>1161862.2966691931</v>
      </c>
      <c r="P2701" s="8">
        <f>VLOOKUP(F2701,'LEAID Match'!$A$2:$B$436,2,FALSE)</f>
        <v>1802420</v>
      </c>
      <c r="Q2701" s="6">
        <f>COUNTIF($P$2:$P$3691,P2701)</f>
        <v>9</v>
      </c>
    </row>
    <row r="2702" spans="1:17" x14ac:dyDescent="0.2">
      <c r="A2702" s="16">
        <f>P2702</f>
        <v>1802420</v>
      </c>
      <c r="B2702">
        <v>2022</v>
      </c>
      <c r="C2702" t="s">
        <v>904</v>
      </c>
      <c r="D2702" t="s">
        <v>906</v>
      </c>
      <c r="E2702" t="s">
        <v>3608</v>
      </c>
      <c r="F2702" t="s">
        <v>602</v>
      </c>
      <c r="G2702" t="s">
        <v>293</v>
      </c>
      <c r="H2702" s="6">
        <v>151474</v>
      </c>
      <c r="I2702" s="6">
        <v>7.1922670361489649E-4</v>
      </c>
      <c r="J2702" s="6">
        <v>1585.8948814708467</v>
      </c>
      <c r="K2702" s="6">
        <v>932727</v>
      </c>
      <c r="M2702" s="6">
        <f>SUM(H2702,J2702)</f>
        <v>153059.89488147086</v>
      </c>
      <c r="N2702" s="6">
        <f>K2702</f>
        <v>932727</v>
      </c>
      <c r="O2702" s="6">
        <f>SUM(M2702:N2702)</f>
        <v>1085786.8948814708</v>
      </c>
      <c r="P2702" s="8">
        <f>VLOOKUP(F2702,'LEAID Match'!$A$2:$B$436,2,FALSE)</f>
        <v>1802420</v>
      </c>
      <c r="Q2702" s="6">
        <f>COUNTIF($P$2:$P$3691,P2702)</f>
        <v>9</v>
      </c>
    </row>
    <row r="2703" spans="1:17" x14ac:dyDescent="0.2">
      <c r="A2703" s="16">
        <f>P2703</f>
        <v>1802420</v>
      </c>
      <c r="B2703">
        <v>2023</v>
      </c>
      <c r="C2703" t="s">
        <v>904</v>
      </c>
      <c r="D2703" t="s">
        <v>906</v>
      </c>
      <c r="E2703" t="s">
        <v>3609</v>
      </c>
      <c r="F2703" t="s">
        <v>602</v>
      </c>
      <c r="G2703" t="s">
        <v>293</v>
      </c>
      <c r="H2703" s="6">
        <v>162245</v>
      </c>
      <c r="I2703" s="6">
        <v>6.6349290407537794E-4</v>
      </c>
      <c r="J2703" s="6">
        <v>1636.8369943539574</v>
      </c>
      <c r="K2703" s="6">
        <v>2611725</v>
      </c>
      <c r="M2703" s="6">
        <f>SUM(H2703,J2703)</f>
        <v>163881.83699435394</v>
      </c>
      <c r="N2703" s="6">
        <f>K2703</f>
        <v>2611725</v>
      </c>
      <c r="O2703" s="6">
        <f>SUM(M2703:N2703)</f>
        <v>2775606.8369943541</v>
      </c>
      <c r="P2703" s="8">
        <f>VLOOKUP(F2703,'LEAID Match'!$A$2:$B$436,2,FALSE)</f>
        <v>1802420</v>
      </c>
      <c r="Q2703" s="6">
        <f>COUNTIF($P$2:$P$3691,P2703)</f>
        <v>9</v>
      </c>
    </row>
    <row r="2704" spans="1:17" x14ac:dyDescent="0.2">
      <c r="A2704" s="16">
        <f>P2704</f>
        <v>1806270</v>
      </c>
      <c r="B2704">
        <v>2015</v>
      </c>
      <c r="C2704" t="s">
        <v>904</v>
      </c>
      <c r="D2704" t="s">
        <v>906</v>
      </c>
      <c r="E2704" t="s">
        <v>3610</v>
      </c>
      <c r="F2704" t="s">
        <v>776</v>
      </c>
      <c r="G2704" t="s">
        <v>294</v>
      </c>
      <c r="H2704" s="6">
        <v>248654</v>
      </c>
      <c r="I2704" s="6">
        <v>1.2091315608798523E-3</v>
      </c>
      <c r="J2704" s="6">
        <v>7026.2635002728221</v>
      </c>
      <c r="K2704" s="6">
        <v>1022460.99398497</v>
      </c>
      <c r="M2704" s="6">
        <f>SUM(H2704,J2704)</f>
        <v>255680.26350027282</v>
      </c>
      <c r="N2704" s="6">
        <f>K2704</f>
        <v>1022460.99398497</v>
      </c>
      <c r="O2704" s="6">
        <f>SUM(M2704:N2704)</f>
        <v>1278141.2574852428</v>
      </c>
      <c r="P2704" s="8">
        <f>VLOOKUP(F2704,'LEAID Match'!$A$2:$B$436,2,FALSE)</f>
        <v>1806270</v>
      </c>
      <c r="Q2704" s="6">
        <f>COUNTIF($P$2:$P$3691,P2704)</f>
        <v>9</v>
      </c>
    </row>
    <row r="2705" spans="1:17" x14ac:dyDescent="0.2">
      <c r="A2705" s="16">
        <f>P2705</f>
        <v>1806270</v>
      </c>
      <c r="B2705">
        <v>2016</v>
      </c>
      <c r="C2705" t="s">
        <v>904</v>
      </c>
      <c r="D2705" t="s">
        <v>906</v>
      </c>
      <c r="E2705" t="s">
        <v>3611</v>
      </c>
      <c r="F2705" t="s">
        <v>776</v>
      </c>
      <c r="G2705" t="s">
        <v>294</v>
      </c>
      <c r="H2705" s="6">
        <v>247526</v>
      </c>
      <c r="I2705" s="6">
        <v>1.1485510402164689E-3</v>
      </c>
      <c r="J2705" s="6">
        <v>5797.8856510127353</v>
      </c>
      <c r="K2705" s="6">
        <v>1019339.04819211</v>
      </c>
      <c r="M2705" s="6">
        <f>SUM(H2705,J2705)</f>
        <v>253323.88565101274</v>
      </c>
      <c r="N2705" s="6">
        <f>K2705</f>
        <v>1019339.04819211</v>
      </c>
      <c r="O2705" s="6">
        <f>SUM(M2705:N2705)</f>
        <v>1272662.9338431228</v>
      </c>
      <c r="P2705" s="8">
        <f>VLOOKUP(F2705,'LEAID Match'!$A$2:$B$436,2,FALSE)</f>
        <v>1806270</v>
      </c>
      <c r="Q2705" s="6">
        <f>COUNTIF($P$2:$P$3691,P2705)</f>
        <v>9</v>
      </c>
    </row>
    <row r="2706" spans="1:17" x14ac:dyDescent="0.2">
      <c r="A2706" s="16">
        <f>P2706</f>
        <v>1806270</v>
      </c>
      <c r="B2706">
        <v>2017</v>
      </c>
      <c r="C2706" t="s">
        <v>904</v>
      </c>
      <c r="D2706" t="s">
        <v>906</v>
      </c>
      <c r="E2706" t="s">
        <v>3612</v>
      </c>
      <c r="F2706" t="s">
        <v>776</v>
      </c>
      <c r="G2706" t="s">
        <v>294</v>
      </c>
      <c r="H2706" s="6">
        <v>279585</v>
      </c>
      <c r="I2706" s="6">
        <v>1.2311323631692384E-3</v>
      </c>
      <c r="J2706" s="6">
        <v>5570.8739433408036</v>
      </c>
      <c r="K2706" s="6">
        <v>1072316.2883204001</v>
      </c>
      <c r="M2706" s="6">
        <f>SUM(H2706,J2706)</f>
        <v>285155.87394334079</v>
      </c>
      <c r="N2706" s="6">
        <f>K2706</f>
        <v>1072316.2883204001</v>
      </c>
      <c r="O2706" s="6">
        <f>SUM(M2706:N2706)</f>
        <v>1357472.1622637408</v>
      </c>
      <c r="P2706" s="8">
        <f>VLOOKUP(F2706,'LEAID Match'!$A$2:$B$436,2,FALSE)</f>
        <v>1806270</v>
      </c>
      <c r="Q2706" s="6">
        <f>COUNTIF($P$2:$P$3691,P2706)</f>
        <v>9</v>
      </c>
    </row>
    <row r="2707" spans="1:17" x14ac:dyDescent="0.2">
      <c r="A2707" s="16">
        <f>P2707</f>
        <v>1806270</v>
      </c>
      <c r="B2707">
        <v>2018</v>
      </c>
      <c r="C2707" t="s">
        <v>904</v>
      </c>
      <c r="D2707" t="s">
        <v>906</v>
      </c>
      <c r="E2707" t="s">
        <v>3613</v>
      </c>
      <c r="F2707" t="s">
        <v>776</v>
      </c>
      <c r="G2707" t="s">
        <v>294</v>
      </c>
      <c r="H2707" s="6">
        <v>287617</v>
      </c>
      <c r="I2707" s="6">
        <v>1.2201779679649586E-3</v>
      </c>
      <c r="J2707" s="6">
        <v>5085.7017704779473</v>
      </c>
      <c r="K2707" s="6">
        <v>1423571</v>
      </c>
      <c r="M2707" s="6">
        <f>SUM(H2707,J2707)</f>
        <v>292702.70177047793</v>
      </c>
      <c r="N2707" s="6">
        <f>K2707</f>
        <v>1423571</v>
      </c>
      <c r="O2707" s="6">
        <f>SUM(M2707:N2707)</f>
        <v>1716273.7017704779</v>
      </c>
      <c r="P2707" s="8">
        <f>VLOOKUP(F2707,'LEAID Match'!$A$2:$B$436,2,FALSE)</f>
        <v>1806270</v>
      </c>
      <c r="Q2707" s="6">
        <f>COUNTIF($P$2:$P$3691,P2707)</f>
        <v>9</v>
      </c>
    </row>
    <row r="2708" spans="1:17" x14ac:dyDescent="0.2">
      <c r="A2708" s="16">
        <f>P2708</f>
        <v>1806270</v>
      </c>
      <c r="B2708">
        <v>2019</v>
      </c>
      <c r="C2708" t="s">
        <v>904</v>
      </c>
      <c r="D2708" t="s">
        <v>906</v>
      </c>
      <c r="E2708" t="s">
        <v>3614</v>
      </c>
      <c r="F2708" t="s">
        <v>776</v>
      </c>
      <c r="G2708" t="s">
        <v>294</v>
      </c>
      <c r="H2708" s="6">
        <v>309047</v>
      </c>
      <c r="I2708" s="6">
        <v>7.8621389190519728E-4</v>
      </c>
      <c r="J2708" s="6">
        <v>2755.6796911277165</v>
      </c>
      <c r="K2708" s="6">
        <v>742107.29256931494</v>
      </c>
      <c r="M2708" s="6">
        <f>SUM(H2708,J2708)</f>
        <v>311802.67969112773</v>
      </c>
      <c r="N2708" s="6">
        <f>K2708</f>
        <v>742107.29256931494</v>
      </c>
      <c r="O2708" s="6">
        <f>SUM(M2708:N2708)</f>
        <v>1053909.9722604426</v>
      </c>
      <c r="P2708" s="8">
        <f>VLOOKUP(F2708,'LEAID Match'!$A$2:$B$436,2,FALSE)</f>
        <v>1806270</v>
      </c>
      <c r="Q2708" s="6">
        <f>COUNTIF($P$2:$P$3691,P2708)</f>
        <v>9</v>
      </c>
    </row>
    <row r="2709" spans="1:17" x14ac:dyDescent="0.2">
      <c r="A2709" s="16">
        <f>P2709</f>
        <v>1806270</v>
      </c>
      <c r="B2709">
        <v>2020</v>
      </c>
      <c r="C2709" t="s">
        <v>904</v>
      </c>
      <c r="D2709" t="s">
        <v>906</v>
      </c>
      <c r="E2709" t="s">
        <v>3615</v>
      </c>
      <c r="F2709" t="s">
        <v>776</v>
      </c>
      <c r="G2709" t="s">
        <v>294</v>
      </c>
      <c r="H2709" s="6">
        <v>244191</v>
      </c>
      <c r="I2709" s="6">
        <v>1.2938967333371617E-3</v>
      </c>
      <c r="J2709" s="6">
        <v>3048.420703742353</v>
      </c>
      <c r="K2709" s="6">
        <v>1506420</v>
      </c>
      <c r="M2709" s="6">
        <f>SUM(H2709,J2709)</f>
        <v>247239.42070374236</v>
      </c>
      <c r="N2709" s="6">
        <f>K2709</f>
        <v>1506420</v>
      </c>
      <c r="O2709" s="6">
        <f>SUM(M2709:N2709)</f>
        <v>1753659.4207037424</v>
      </c>
      <c r="P2709" s="8">
        <f>VLOOKUP(F2709,'LEAID Match'!$A$2:$B$436,2,FALSE)</f>
        <v>1806270</v>
      </c>
      <c r="Q2709" s="6">
        <f>COUNTIF($P$2:$P$3691,P2709)</f>
        <v>9</v>
      </c>
    </row>
    <row r="2710" spans="1:17" x14ac:dyDescent="0.2">
      <c r="A2710" s="16">
        <f>P2710</f>
        <v>1806270</v>
      </c>
      <c r="B2710">
        <v>2021</v>
      </c>
      <c r="C2710" t="s">
        <v>904</v>
      </c>
      <c r="D2710" t="s">
        <v>906</v>
      </c>
      <c r="E2710" t="s">
        <v>3616</v>
      </c>
      <c r="F2710" t="s">
        <v>776</v>
      </c>
      <c r="G2710" t="s">
        <v>294</v>
      </c>
      <c r="H2710" s="6">
        <v>236394</v>
      </c>
      <c r="I2710" s="6">
        <v>1.1678083443891379E-3</v>
      </c>
      <c r="J2710" s="6">
        <v>2632.2400082531167</v>
      </c>
      <c r="K2710" s="6">
        <v>2515363</v>
      </c>
      <c r="M2710" s="6">
        <f>SUM(H2710,J2710)</f>
        <v>239026.24000825311</v>
      </c>
      <c r="N2710" s="6">
        <f>K2710</f>
        <v>2515363</v>
      </c>
      <c r="O2710" s="6">
        <f>SUM(M2710:N2710)</f>
        <v>2754389.2400082531</v>
      </c>
      <c r="P2710" s="8">
        <f>VLOOKUP(F2710,'LEAID Match'!$A$2:$B$436,2,FALSE)</f>
        <v>1806270</v>
      </c>
      <c r="Q2710" s="6">
        <f>COUNTIF($P$2:$P$3691,P2710)</f>
        <v>9</v>
      </c>
    </row>
    <row r="2711" spans="1:17" x14ac:dyDescent="0.2">
      <c r="A2711" s="16">
        <f>P2711</f>
        <v>1806270</v>
      </c>
      <c r="B2711">
        <v>2022</v>
      </c>
      <c r="C2711" t="s">
        <v>904</v>
      </c>
      <c r="D2711" t="s">
        <v>906</v>
      </c>
      <c r="E2711" t="s">
        <v>3617</v>
      </c>
      <c r="F2711" t="s">
        <v>776</v>
      </c>
      <c r="G2711" t="s">
        <v>294</v>
      </c>
      <c r="H2711" s="6">
        <v>255652</v>
      </c>
      <c r="I2711" s="6">
        <v>1.2138832092144891E-3</v>
      </c>
      <c r="J2711" s="6">
        <v>2676.6124763179482</v>
      </c>
      <c r="K2711" s="6">
        <v>2488098</v>
      </c>
      <c r="M2711" s="6">
        <f>SUM(H2711,J2711)</f>
        <v>258328.61247631794</v>
      </c>
      <c r="N2711" s="6">
        <f>K2711</f>
        <v>2488098</v>
      </c>
      <c r="O2711" s="6">
        <f>SUM(M2711:N2711)</f>
        <v>2746426.6124763181</v>
      </c>
      <c r="P2711" s="8">
        <f>VLOOKUP(F2711,'LEAID Match'!$A$2:$B$436,2,FALSE)</f>
        <v>1806270</v>
      </c>
      <c r="Q2711" s="6">
        <f>COUNTIF($P$2:$P$3691,P2711)</f>
        <v>9</v>
      </c>
    </row>
    <row r="2712" spans="1:17" x14ac:dyDescent="0.2">
      <c r="A2712" s="16">
        <f>P2712</f>
        <v>1806270</v>
      </c>
      <c r="B2712">
        <v>2023</v>
      </c>
      <c r="C2712" t="s">
        <v>904</v>
      </c>
      <c r="D2712" t="s">
        <v>906</v>
      </c>
      <c r="E2712" t="s">
        <v>3618</v>
      </c>
      <c r="F2712" t="s">
        <v>776</v>
      </c>
      <c r="G2712" t="s">
        <v>294</v>
      </c>
      <c r="H2712" s="6">
        <v>288481</v>
      </c>
      <c r="I2712" s="6">
        <v>1.1797287833866627E-3</v>
      </c>
      <c r="J2712" s="6">
        <v>2910.3909086148969</v>
      </c>
      <c r="K2712" s="6">
        <v>6941165</v>
      </c>
      <c r="M2712" s="6">
        <f>SUM(H2712,J2712)</f>
        <v>291391.39090861491</v>
      </c>
      <c r="N2712" s="6">
        <f>K2712</f>
        <v>6941165</v>
      </c>
      <c r="O2712" s="6">
        <f>SUM(M2712:N2712)</f>
        <v>7232556.3909086147</v>
      </c>
      <c r="P2712" s="8">
        <f>VLOOKUP(F2712,'LEAID Match'!$A$2:$B$436,2,FALSE)</f>
        <v>1806270</v>
      </c>
      <c r="Q2712" s="6">
        <f>COUNTIF($P$2:$P$3691,P2712)</f>
        <v>9</v>
      </c>
    </row>
    <row r="2713" spans="1:17" x14ac:dyDescent="0.2">
      <c r="A2713" s="16">
        <f>P2713</f>
        <v>1812180</v>
      </c>
      <c r="B2713">
        <v>2015</v>
      </c>
      <c r="C2713" t="s">
        <v>904</v>
      </c>
      <c r="D2713" t="s">
        <v>906</v>
      </c>
      <c r="E2713" t="s">
        <v>3619</v>
      </c>
      <c r="F2713" t="s">
        <v>603</v>
      </c>
      <c r="G2713" t="s">
        <v>295</v>
      </c>
      <c r="H2713" s="6">
        <v>444826</v>
      </c>
      <c r="I2713" s="6">
        <v>2.1630585299248803E-3</v>
      </c>
      <c r="J2713" s="6">
        <v>12569.533117393479</v>
      </c>
      <c r="K2713" s="6">
        <v>1829116.9018409499</v>
      </c>
      <c r="M2713" s="6">
        <f>SUM(H2713,J2713)</f>
        <v>457395.5331173935</v>
      </c>
      <c r="N2713" s="6">
        <f>K2713</f>
        <v>1829116.9018409499</v>
      </c>
      <c r="O2713" s="6">
        <f>SUM(M2713:N2713)</f>
        <v>2286512.4349583434</v>
      </c>
      <c r="P2713" s="8">
        <f>VLOOKUP(F2713,'LEAID Match'!$A$2:$B$436,2,FALSE)</f>
        <v>1812180</v>
      </c>
      <c r="Q2713" s="6">
        <f>COUNTIF($P$2:$P$3691,P2713)</f>
        <v>9</v>
      </c>
    </row>
    <row r="2714" spans="1:17" x14ac:dyDescent="0.2">
      <c r="A2714" s="16">
        <f>P2714</f>
        <v>1812180</v>
      </c>
      <c r="B2714">
        <v>2016</v>
      </c>
      <c r="C2714" t="s">
        <v>904</v>
      </c>
      <c r="D2714" t="s">
        <v>906</v>
      </c>
      <c r="E2714" t="s">
        <v>3620</v>
      </c>
      <c r="F2714" t="s">
        <v>603</v>
      </c>
      <c r="G2714" t="s">
        <v>295</v>
      </c>
      <c r="H2714" s="6">
        <v>451212</v>
      </c>
      <c r="I2714" s="6">
        <v>2.0936790961682949E-3</v>
      </c>
      <c r="J2714" s="6">
        <v>10568.892077457553</v>
      </c>
      <c r="K2714" s="6">
        <v>1858140.1978493601</v>
      </c>
      <c r="M2714" s="6">
        <f>SUM(H2714,J2714)</f>
        <v>461780.89207745757</v>
      </c>
      <c r="N2714" s="6">
        <f>K2714</f>
        <v>1858140.1978493601</v>
      </c>
      <c r="O2714" s="6">
        <f>SUM(M2714:N2714)</f>
        <v>2319921.0899268175</v>
      </c>
      <c r="P2714" s="8">
        <f>VLOOKUP(F2714,'LEAID Match'!$A$2:$B$436,2,FALSE)</f>
        <v>1812180</v>
      </c>
      <c r="Q2714" s="6">
        <f>COUNTIF($P$2:$P$3691,P2714)</f>
        <v>9</v>
      </c>
    </row>
    <row r="2715" spans="1:17" x14ac:dyDescent="0.2">
      <c r="A2715" s="16">
        <f>P2715</f>
        <v>1812180</v>
      </c>
      <c r="B2715">
        <v>2017</v>
      </c>
      <c r="C2715" t="s">
        <v>904</v>
      </c>
      <c r="D2715" t="s">
        <v>906</v>
      </c>
      <c r="E2715" t="s">
        <v>3621</v>
      </c>
      <c r="F2715" t="s">
        <v>603</v>
      </c>
      <c r="G2715" t="s">
        <v>295</v>
      </c>
      <c r="H2715" s="6">
        <v>412758</v>
      </c>
      <c r="I2715" s="6">
        <v>1.8175500543913604E-3</v>
      </c>
      <c r="J2715" s="6">
        <v>8224.4139961209057</v>
      </c>
      <c r="K2715" s="6">
        <v>1583086.09737487</v>
      </c>
      <c r="M2715" s="6">
        <f>SUM(H2715,J2715)</f>
        <v>420982.41399612091</v>
      </c>
      <c r="N2715" s="6">
        <f>K2715</f>
        <v>1583086.09737487</v>
      </c>
      <c r="O2715" s="6">
        <f>SUM(M2715:N2715)</f>
        <v>2004068.5113709909</v>
      </c>
      <c r="P2715" s="8">
        <f>VLOOKUP(F2715,'LEAID Match'!$A$2:$B$436,2,FALSE)</f>
        <v>1812180</v>
      </c>
      <c r="Q2715" s="6">
        <f>COUNTIF($P$2:$P$3691,P2715)</f>
        <v>9</v>
      </c>
    </row>
    <row r="2716" spans="1:17" x14ac:dyDescent="0.2">
      <c r="A2716" s="16">
        <f>P2716</f>
        <v>1812180</v>
      </c>
      <c r="B2716">
        <v>2018</v>
      </c>
      <c r="C2716" t="s">
        <v>904</v>
      </c>
      <c r="D2716" t="s">
        <v>906</v>
      </c>
      <c r="E2716" t="s">
        <v>3622</v>
      </c>
      <c r="F2716" t="s">
        <v>603</v>
      </c>
      <c r="G2716" t="s">
        <v>295</v>
      </c>
      <c r="H2716" s="6">
        <v>434234</v>
      </c>
      <c r="I2716" s="6">
        <v>1.8421816503937382E-3</v>
      </c>
      <c r="J2716" s="6">
        <v>7678.2131188411013</v>
      </c>
      <c r="K2716" s="6">
        <v>2885143</v>
      </c>
      <c r="M2716" s="6">
        <f>SUM(H2716,J2716)</f>
        <v>441912.21311884111</v>
      </c>
      <c r="N2716" s="6">
        <f>K2716</f>
        <v>2885143</v>
      </c>
      <c r="O2716" s="6">
        <f>SUM(M2716:N2716)</f>
        <v>3327055.2131188409</v>
      </c>
      <c r="P2716" s="8">
        <f>VLOOKUP(F2716,'LEAID Match'!$A$2:$B$436,2,FALSE)</f>
        <v>1812180</v>
      </c>
      <c r="Q2716" s="6">
        <f>COUNTIF($P$2:$P$3691,P2716)</f>
        <v>9</v>
      </c>
    </row>
    <row r="2717" spans="1:17" x14ac:dyDescent="0.2">
      <c r="A2717" s="16">
        <f>P2717</f>
        <v>1812180</v>
      </c>
      <c r="B2717">
        <v>2019</v>
      </c>
      <c r="C2717" t="s">
        <v>904</v>
      </c>
      <c r="D2717" t="s">
        <v>906</v>
      </c>
      <c r="E2717" t="s">
        <v>3623</v>
      </c>
      <c r="F2717" t="s">
        <v>603</v>
      </c>
      <c r="G2717" t="s">
        <v>295</v>
      </c>
      <c r="H2717" s="6">
        <v>450176</v>
      </c>
      <c r="I2717" s="6">
        <v>1.1452453025019304E-3</v>
      </c>
      <c r="J2717" s="6">
        <v>4014.0847852692664</v>
      </c>
      <c r="K2717" s="6">
        <v>1080997.0410315699</v>
      </c>
      <c r="M2717" s="6">
        <f>SUM(H2717,J2717)</f>
        <v>454190.08478526928</v>
      </c>
      <c r="N2717" s="6">
        <f>K2717</f>
        <v>1080997.0410315699</v>
      </c>
      <c r="O2717" s="6">
        <f>SUM(M2717:N2717)</f>
        <v>1535187.1258168393</v>
      </c>
      <c r="P2717" s="8">
        <f>VLOOKUP(F2717,'LEAID Match'!$A$2:$B$436,2,FALSE)</f>
        <v>1812180</v>
      </c>
      <c r="Q2717" s="6">
        <f>COUNTIF($P$2:$P$3691,P2717)</f>
        <v>9</v>
      </c>
    </row>
    <row r="2718" spans="1:17" x14ac:dyDescent="0.2">
      <c r="A2718" s="16">
        <f>P2718</f>
        <v>1812180</v>
      </c>
      <c r="B2718">
        <v>2020</v>
      </c>
      <c r="C2718" t="s">
        <v>904</v>
      </c>
      <c r="D2718" t="s">
        <v>906</v>
      </c>
      <c r="E2718" t="s">
        <v>3624</v>
      </c>
      <c r="F2718" t="s">
        <v>603</v>
      </c>
      <c r="G2718" t="s">
        <v>295</v>
      </c>
      <c r="H2718" s="6">
        <v>339843</v>
      </c>
      <c r="I2718" s="6">
        <v>1.8007287227928184E-3</v>
      </c>
      <c r="J2718" s="6">
        <v>4242.5168708998799</v>
      </c>
      <c r="K2718" s="6">
        <v>3156179</v>
      </c>
      <c r="M2718" s="6">
        <f>SUM(H2718,J2718)</f>
        <v>344085.51687089988</v>
      </c>
      <c r="N2718" s="6">
        <f>K2718</f>
        <v>3156179</v>
      </c>
      <c r="O2718" s="6">
        <f>SUM(M2718:N2718)</f>
        <v>3500264.5168709001</v>
      </c>
      <c r="P2718" s="8">
        <f>VLOOKUP(F2718,'LEAID Match'!$A$2:$B$436,2,FALSE)</f>
        <v>1812180</v>
      </c>
      <c r="Q2718" s="6">
        <f>COUNTIF($P$2:$P$3691,P2718)</f>
        <v>9</v>
      </c>
    </row>
    <row r="2719" spans="1:17" x14ac:dyDescent="0.2">
      <c r="A2719" s="16">
        <f>P2719</f>
        <v>1812180</v>
      </c>
      <c r="B2719">
        <v>2021</v>
      </c>
      <c r="C2719" t="s">
        <v>904</v>
      </c>
      <c r="D2719" t="s">
        <v>906</v>
      </c>
      <c r="E2719" t="s">
        <v>3625</v>
      </c>
      <c r="F2719" t="s">
        <v>603</v>
      </c>
      <c r="G2719" t="s">
        <v>295</v>
      </c>
      <c r="H2719" s="6">
        <v>363078</v>
      </c>
      <c r="I2719" s="6">
        <v>1.7936390858656287E-3</v>
      </c>
      <c r="J2719" s="6">
        <v>4042.8624995411269</v>
      </c>
      <c r="K2719" s="6">
        <v>5317634</v>
      </c>
      <c r="M2719" s="6">
        <f>SUM(H2719,J2719)</f>
        <v>367120.86249954114</v>
      </c>
      <c r="N2719" s="6">
        <f>K2719</f>
        <v>5317634</v>
      </c>
      <c r="O2719" s="6">
        <f>SUM(M2719:N2719)</f>
        <v>5684754.8624995407</v>
      </c>
      <c r="P2719" s="8">
        <f>VLOOKUP(F2719,'LEAID Match'!$A$2:$B$436,2,FALSE)</f>
        <v>1812180</v>
      </c>
      <c r="Q2719" s="6">
        <f>COUNTIF($P$2:$P$3691,P2719)</f>
        <v>9</v>
      </c>
    </row>
    <row r="2720" spans="1:17" x14ac:dyDescent="0.2">
      <c r="A2720" s="16">
        <f>P2720</f>
        <v>1812180</v>
      </c>
      <c r="B2720">
        <v>2022</v>
      </c>
      <c r="C2720" t="s">
        <v>904</v>
      </c>
      <c r="D2720" t="s">
        <v>906</v>
      </c>
      <c r="E2720" t="s">
        <v>3626</v>
      </c>
      <c r="F2720" t="s">
        <v>603</v>
      </c>
      <c r="G2720" t="s">
        <v>295</v>
      </c>
      <c r="H2720" s="6">
        <v>397198</v>
      </c>
      <c r="I2720" s="6">
        <v>1.8859699236993123E-3</v>
      </c>
      <c r="J2720" s="6">
        <v>4158.5636817569839</v>
      </c>
      <c r="K2720" s="6">
        <v>5058679</v>
      </c>
      <c r="M2720" s="6">
        <f>SUM(H2720,J2720)</f>
        <v>401356.56368175696</v>
      </c>
      <c r="N2720" s="6">
        <f>K2720</f>
        <v>5058679</v>
      </c>
      <c r="O2720" s="6">
        <f>SUM(M2720:N2720)</f>
        <v>5460035.5636817571</v>
      </c>
      <c r="P2720" s="8">
        <f>VLOOKUP(F2720,'LEAID Match'!$A$2:$B$436,2,FALSE)</f>
        <v>1812180</v>
      </c>
      <c r="Q2720" s="6">
        <f>COUNTIF($P$2:$P$3691,P2720)</f>
        <v>9</v>
      </c>
    </row>
    <row r="2721" spans="1:17" x14ac:dyDescent="0.2">
      <c r="A2721" s="16">
        <f>P2721</f>
        <v>1812180</v>
      </c>
      <c r="B2721">
        <v>2023</v>
      </c>
      <c r="C2721" t="s">
        <v>904</v>
      </c>
      <c r="D2721" t="s">
        <v>906</v>
      </c>
      <c r="E2721" t="s">
        <v>3627</v>
      </c>
      <c r="F2721" t="s">
        <v>603</v>
      </c>
      <c r="G2721" t="s">
        <v>295</v>
      </c>
      <c r="H2721" s="6">
        <v>470537</v>
      </c>
      <c r="I2721" s="6">
        <v>1.924237792258104E-3</v>
      </c>
      <c r="J2721" s="6">
        <v>4747.0946335007429</v>
      </c>
      <c r="K2721" s="6">
        <v>14138124</v>
      </c>
      <c r="M2721" s="6">
        <f>SUM(H2721,J2721)</f>
        <v>475284.09463350073</v>
      </c>
      <c r="N2721" s="6">
        <f>K2721</f>
        <v>14138124</v>
      </c>
      <c r="O2721" s="6">
        <f>SUM(M2721:N2721)</f>
        <v>14613408.094633501</v>
      </c>
      <c r="P2721" s="8">
        <f>VLOOKUP(F2721,'LEAID Match'!$A$2:$B$436,2,FALSE)</f>
        <v>1812180</v>
      </c>
      <c r="Q2721" s="6">
        <f>COUNTIF($P$2:$P$3691,P2721)</f>
        <v>9</v>
      </c>
    </row>
    <row r="2722" spans="1:17" x14ac:dyDescent="0.2">
      <c r="A2722" s="16">
        <f>P2722</f>
        <v>1812150</v>
      </c>
      <c r="B2722">
        <v>2015</v>
      </c>
      <c r="C2722" t="s">
        <v>904</v>
      </c>
      <c r="D2722" t="s">
        <v>906</v>
      </c>
      <c r="E2722" t="s">
        <v>3628</v>
      </c>
      <c r="F2722" t="s">
        <v>604</v>
      </c>
      <c r="G2722" t="s">
        <v>296</v>
      </c>
      <c r="H2722" s="6">
        <v>261588</v>
      </c>
      <c r="I2722" s="6">
        <v>1.2720258139721815E-3</v>
      </c>
      <c r="J2722" s="6">
        <v>7391.7420049923467</v>
      </c>
      <c r="K2722" s="6">
        <v>1075645.3807079</v>
      </c>
      <c r="M2722" s="6">
        <f>SUM(H2722,J2722)</f>
        <v>268979.74200499232</v>
      </c>
      <c r="N2722" s="6">
        <f>K2722</f>
        <v>1075645.3807079</v>
      </c>
      <c r="O2722" s="6">
        <f>SUM(M2722:N2722)</f>
        <v>1344625.1227128925</v>
      </c>
      <c r="P2722" s="8">
        <f>VLOOKUP(F2722,'LEAID Match'!$A$2:$B$436,2,FALSE)</f>
        <v>1812150</v>
      </c>
      <c r="Q2722" s="6">
        <f>COUNTIF($P$2:$P$3691,P2722)</f>
        <v>9</v>
      </c>
    </row>
    <row r="2723" spans="1:17" x14ac:dyDescent="0.2">
      <c r="A2723" s="16">
        <f>P2723</f>
        <v>1812150</v>
      </c>
      <c r="B2723">
        <v>2016</v>
      </c>
      <c r="C2723" t="s">
        <v>904</v>
      </c>
      <c r="D2723" t="s">
        <v>906</v>
      </c>
      <c r="E2723" t="s">
        <v>3629</v>
      </c>
      <c r="F2723" t="s">
        <v>604</v>
      </c>
      <c r="G2723" t="s">
        <v>296</v>
      </c>
      <c r="H2723" s="6">
        <v>259532</v>
      </c>
      <c r="I2723" s="6">
        <v>1.2042603547484329E-3</v>
      </c>
      <c r="J2723" s="6">
        <v>6079.1062707700894</v>
      </c>
      <c r="K2723" s="6">
        <v>1068781.0648392299</v>
      </c>
      <c r="M2723" s="6">
        <f>SUM(H2723,J2723)</f>
        <v>265611.10627077008</v>
      </c>
      <c r="N2723" s="6">
        <f>K2723</f>
        <v>1068781.0648392299</v>
      </c>
      <c r="O2723" s="6">
        <f>SUM(M2723:N2723)</f>
        <v>1334392.17111</v>
      </c>
      <c r="P2723" s="8">
        <f>VLOOKUP(F2723,'LEAID Match'!$A$2:$B$436,2,FALSE)</f>
        <v>1812150</v>
      </c>
      <c r="Q2723" s="6">
        <f>COUNTIF($P$2:$P$3691,P2723)</f>
        <v>9</v>
      </c>
    </row>
    <row r="2724" spans="1:17" x14ac:dyDescent="0.2">
      <c r="A2724" s="16">
        <f>P2724</f>
        <v>1812150</v>
      </c>
      <c r="B2724">
        <v>2017</v>
      </c>
      <c r="C2724" t="s">
        <v>904</v>
      </c>
      <c r="D2724" t="s">
        <v>906</v>
      </c>
      <c r="E2724" t="s">
        <v>3630</v>
      </c>
      <c r="F2724" t="s">
        <v>604</v>
      </c>
      <c r="G2724" t="s">
        <v>296</v>
      </c>
      <c r="H2724" s="6">
        <v>285727</v>
      </c>
      <c r="I2724" s="6">
        <v>1.2581782167543215E-3</v>
      </c>
      <c r="J2724" s="6">
        <v>5693.2564308133051</v>
      </c>
      <c r="K2724" s="6">
        <v>1095873.22679301</v>
      </c>
      <c r="M2724" s="6">
        <f>SUM(H2724,J2724)</f>
        <v>291420.25643081329</v>
      </c>
      <c r="N2724" s="6">
        <f>K2724</f>
        <v>1095873.22679301</v>
      </c>
      <c r="O2724" s="6">
        <f>SUM(M2724:N2724)</f>
        <v>1387293.4832238234</v>
      </c>
      <c r="P2724" s="8">
        <f>VLOOKUP(F2724,'LEAID Match'!$A$2:$B$436,2,FALSE)</f>
        <v>1812150</v>
      </c>
      <c r="Q2724" s="6">
        <f>COUNTIF($P$2:$P$3691,P2724)</f>
        <v>9</v>
      </c>
    </row>
    <row r="2725" spans="1:17" x14ac:dyDescent="0.2">
      <c r="A2725" s="16">
        <f>P2725</f>
        <v>1812150</v>
      </c>
      <c r="B2725">
        <v>2018</v>
      </c>
      <c r="C2725" t="s">
        <v>904</v>
      </c>
      <c r="D2725" t="s">
        <v>906</v>
      </c>
      <c r="E2725" t="s">
        <v>3631</v>
      </c>
      <c r="F2725" t="s">
        <v>604</v>
      </c>
      <c r="G2725" t="s">
        <v>296</v>
      </c>
      <c r="H2725" s="6">
        <v>295722</v>
      </c>
      <c r="I2725" s="6">
        <v>1.2545623834562404E-3</v>
      </c>
      <c r="J2725" s="6">
        <v>5229.0160142456098</v>
      </c>
      <c r="K2725" s="6">
        <v>1474056</v>
      </c>
      <c r="M2725" s="6">
        <f>SUM(H2725,J2725)</f>
        <v>300951.01601424563</v>
      </c>
      <c r="N2725" s="6">
        <f>K2725</f>
        <v>1474056</v>
      </c>
      <c r="O2725" s="6">
        <f>SUM(M2725:N2725)</f>
        <v>1775007.0160142456</v>
      </c>
      <c r="P2725" s="8">
        <f>VLOOKUP(F2725,'LEAID Match'!$A$2:$B$436,2,FALSE)</f>
        <v>1812150</v>
      </c>
      <c r="Q2725" s="6">
        <f>COUNTIF($P$2:$P$3691,P2725)</f>
        <v>9</v>
      </c>
    </row>
    <row r="2726" spans="1:17" x14ac:dyDescent="0.2">
      <c r="A2726" s="16">
        <f>P2726</f>
        <v>1812150</v>
      </c>
      <c r="B2726">
        <v>2019</v>
      </c>
      <c r="C2726" t="s">
        <v>904</v>
      </c>
      <c r="D2726" t="s">
        <v>906</v>
      </c>
      <c r="E2726" t="s">
        <v>3632</v>
      </c>
      <c r="F2726" t="s">
        <v>604</v>
      </c>
      <c r="G2726" t="s">
        <v>296</v>
      </c>
      <c r="H2726" s="6">
        <v>327438</v>
      </c>
      <c r="I2726" s="6">
        <v>8.3300049616289427E-4</v>
      </c>
      <c r="J2726" s="6">
        <v>2919.6667390509442</v>
      </c>
      <c r="K2726" s="6">
        <v>786269.16832815495</v>
      </c>
      <c r="M2726" s="6">
        <f>SUM(H2726,J2726)</f>
        <v>330357.66673905094</v>
      </c>
      <c r="N2726" s="6">
        <f>K2726</f>
        <v>786269.16832815495</v>
      </c>
      <c r="O2726" s="6">
        <f>SUM(M2726:N2726)</f>
        <v>1116626.8350672058</v>
      </c>
      <c r="P2726" s="8">
        <f>VLOOKUP(F2726,'LEAID Match'!$A$2:$B$436,2,FALSE)</f>
        <v>1812150</v>
      </c>
      <c r="Q2726" s="6">
        <f>COUNTIF($P$2:$P$3691,P2726)</f>
        <v>9</v>
      </c>
    </row>
    <row r="2727" spans="1:17" x14ac:dyDescent="0.2">
      <c r="A2727" s="16">
        <f>P2727</f>
        <v>1812150</v>
      </c>
      <c r="B2727">
        <v>2020</v>
      </c>
      <c r="C2727" t="s">
        <v>904</v>
      </c>
      <c r="D2727" t="s">
        <v>906</v>
      </c>
      <c r="E2727" t="s">
        <v>3633</v>
      </c>
      <c r="F2727" t="s">
        <v>604</v>
      </c>
      <c r="G2727" t="s">
        <v>296</v>
      </c>
      <c r="H2727" s="6">
        <v>252131</v>
      </c>
      <c r="I2727" s="6">
        <v>1.335968472519593E-3</v>
      </c>
      <c r="J2727" s="6">
        <v>3147.5417212561611</v>
      </c>
      <c r="K2727" s="6">
        <v>1513995</v>
      </c>
      <c r="M2727" s="6">
        <f>SUM(H2727,J2727)</f>
        <v>255278.54172125616</v>
      </c>
      <c r="N2727" s="6">
        <f>K2727</f>
        <v>1513995</v>
      </c>
      <c r="O2727" s="6">
        <f>SUM(M2727:N2727)</f>
        <v>1769273.5417212562</v>
      </c>
      <c r="P2727" s="8">
        <f>VLOOKUP(F2727,'LEAID Match'!$A$2:$B$436,2,FALSE)</f>
        <v>1812150</v>
      </c>
      <c r="Q2727" s="6">
        <f>COUNTIF($P$2:$P$3691,P2727)</f>
        <v>9</v>
      </c>
    </row>
    <row r="2728" spans="1:17" x14ac:dyDescent="0.2">
      <c r="A2728" s="16">
        <f>P2728</f>
        <v>1812150</v>
      </c>
      <c r="B2728">
        <v>2021</v>
      </c>
      <c r="C2728" t="s">
        <v>904</v>
      </c>
      <c r="D2728" t="s">
        <v>906</v>
      </c>
      <c r="E2728" t="s">
        <v>3634</v>
      </c>
      <c r="F2728" t="s">
        <v>604</v>
      </c>
      <c r="G2728" t="s">
        <v>296</v>
      </c>
      <c r="H2728" s="6">
        <v>266107</v>
      </c>
      <c r="I2728" s="6">
        <v>1.314593327666355E-3</v>
      </c>
      <c r="J2728" s="6">
        <v>2963.0933605599639</v>
      </c>
      <c r="K2728" s="6">
        <v>2497621</v>
      </c>
      <c r="M2728" s="6">
        <f>SUM(H2728,J2728)</f>
        <v>269070.09336055996</v>
      </c>
      <c r="N2728" s="6">
        <f>K2728</f>
        <v>2497621</v>
      </c>
      <c r="O2728" s="6">
        <f>SUM(M2728:N2728)</f>
        <v>2766691.09336056</v>
      </c>
      <c r="P2728" s="8">
        <f>VLOOKUP(F2728,'LEAID Match'!$A$2:$B$436,2,FALSE)</f>
        <v>1812150</v>
      </c>
      <c r="Q2728" s="6">
        <f>COUNTIF($P$2:$P$3691,P2728)</f>
        <v>9</v>
      </c>
    </row>
    <row r="2729" spans="1:17" x14ac:dyDescent="0.2">
      <c r="A2729" s="16">
        <f>P2729</f>
        <v>1812150</v>
      </c>
      <c r="B2729">
        <v>2022</v>
      </c>
      <c r="C2729" t="s">
        <v>904</v>
      </c>
      <c r="D2729" t="s">
        <v>906</v>
      </c>
      <c r="E2729" t="s">
        <v>3635</v>
      </c>
      <c r="F2729" t="s">
        <v>604</v>
      </c>
      <c r="G2729" t="s">
        <v>296</v>
      </c>
      <c r="H2729" s="6">
        <v>256715</v>
      </c>
      <c r="I2729" s="6">
        <v>1.218930530774246E-3</v>
      </c>
      <c r="J2729" s="6">
        <v>2687.7418203572124</v>
      </c>
      <c r="K2729" s="6">
        <v>2423601</v>
      </c>
      <c r="M2729" s="6">
        <f>SUM(H2729,J2729)</f>
        <v>259402.74182035722</v>
      </c>
      <c r="N2729" s="6">
        <f>K2729</f>
        <v>2423601</v>
      </c>
      <c r="O2729" s="6">
        <f>SUM(M2729:N2729)</f>
        <v>2683003.7418203573</v>
      </c>
      <c r="P2729" s="8">
        <f>VLOOKUP(F2729,'LEAID Match'!$A$2:$B$436,2,FALSE)</f>
        <v>1812150</v>
      </c>
      <c r="Q2729" s="6">
        <f>COUNTIF($P$2:$P$3691,P2729)</f>
        <v>9</v>
      </c>
    </row>
    <row r="2730" spans="1:17" x14ac:dyDescent="0.2">
      <c r="A2730" s="16">
        <f>P2730</f>
        <v>1812150</v>
      </c>
      <c r="B2730">
        <v>2023</v>
      </c>
      <c r="C2730" t="s">
        <v>904</v>
      </c>
      <c r="D2730" t="s">
        <v>906</v>
      </c>
      <c r="E2730" t="s">
        <v>3636</v>
      </c>
      <c r="F2730" t="s">
        <v>604</v>
      </c>
      <c r="G2730" t="s">
        <v>296</v>
      </c>
      <c r="H2730" s="6">
        <v>274580</v>
      </c>
      <c r="I2730" s="6">
        <v>1.1228813313261875E-3</v>
      </c>
      <c r="J2730" s="6">
        <v>2770.1482443817044</v>
      </c>
      <c r="K2730" s="6">
        <v>6779388</v>
      </c>
      <c r="M2730" s="6">
        <f>SUM(H2730,J2730)</f>
        <v>277350.14824438171</v>
      </c>
      <c r="N2730" s="6">
        <f>K2730</f>
        <v>6779388</v>
      </c>
      <c r="O2730" s="6">
        <f>SUM(M2730:N2730)</f>
        <v>7056738.1482443819</v>
      </c>
      <c r="P2730" s="8">
        <f>VLOOKUP(F2730,'LEAID Match'!$A$2:$B$436,2,FALSE)</f>
        <v>1812150</v>
      </c>
      <c r="Q2730" s="6">
        <f>COUNTIF($P$2:$P$3691,P2730)</f>
        <v>9</v>
      </c>
    </row>
    <row r="2731" spans="1:17" x14ac:dyDescent="0.2">
      <c r="A2731" s="16">
        <f>P2731</f>
        <v>1811930</v>
      </c>
      <c r="B2731">
        <v>2015</v>
      </c>
      <c r="C2731" t="s">
        <v>904</v>
      </c>
      <c r="D2731" t="s">
        <v>906</v>
      </c>
      <c r="E2731" t="s">
        <v>3637</v>
      </c>
      <c r="F2731" t="s">
        <v>777</v>
      </c>
      <c r="G2731" t="s">
        <v>297</v>
      </c>
      <c r="H2731" s="6">
        <v>64402</v>
      </c>
      <c r="I2731" s="6">
        <v>3.1316805997001556E-4</v>
      </c>
      <c r="J2731" s="6">
        <v>1819.8195964857605</v>
      </c>
      <c r="K2731" s="6">
        <v>264819.92219960399</v>
      </c>
      <c r="M2731" s="6">
        <f>SUM(H2731,J2731)</f>
        <v>66221.819596485759</v>
      </c>
      <c r="N2731" s="6">
        <f>K2731</f>
        <v>264819.92219960399</v>
      </c>
      <c r="O2731" s="6">
        <f>SUM(M2731:N2731)</f>
        <v>331041.74179608974</v>
      </c>
      <c r="P2731" s="8">
        <f>VLOOKUP(F2731,'LEAID Match'!$A$2:$B$436,2,FALSE)</f>
        <v>1811930</v>
      </c>
      <c r="Q2731" s="6">
        <f>COUNTIF($P$2:$P$3691,P2731)</f>
        <v>9</v>
      </c>
    </row>
    <row r="2732" spans="1:17" x14ac:dyDescent="0.2">
      <c r="A2732" s="16">
        <f>P2732</f>
        <v>1811930</v>
      </c>
      <c r="B2732">
        <v>2016</v>
      </c>
      <c r="C2732" t="s">
        <v>904</v>
      </c>
      <c r="D2732" t="s">
        <v>906</v>
      </c>
      <c r="E2732" t="s">
        <v>3638</v>
      </c>
      <c r="F2732" t="s">
        <v>777</v>
      </c>
      <c r="G2732" t="s">
        <v>297</v>
      </c>
      <c r="H2732" s="6">
        <v>66748</v>
      </c>
      <c r="I2732" s="6">
        <v>3.0971891773942477E-4</v>
      </c>
      <c r="J2732" s="6">
        <v>1563.4610967486162</v>
      </c>
      <c r="K2732" s="6">
        <v>274875.53949373902</v>
      </c>
      <c r="M2732" s="6">
        <f>SUM(H2732,J2732)</f>
        <v>68311.461096748622</v>
      </c>
      <c r="N2732" s="6">
        <f>K2732</f>
        <v>274875.53949373902</v>
      </c>
      <c r="O2732" s="6">
        <f>SUM(M2732:N2732)</f>
        <v>343187.00059048762</v>
      </c>
      <c r="P2732" s="8">
        <f>VLOOKUP(F2732,'LEAID Match'!$A$2:$B$436,2,FALSE)</f>
        <v>1811930</v>
      </c>
      <c r="Q2732" s="6">
        <f>COUNTIF($P$2:$P$3691,P2732)</f>
        <v>9</v>
      </c>
    </row>
    <row r="2733" spans="1:17" x14ac:dyDescent="0.2">
      <c r="A2733" s="16">
        <f>P2733</f>
        <v>1811930</v>
      </c>
      <c r="B2733">
        <v>2017</v>
      </c>
      <c r="C2733" t="s">
        <v>904</v>
      </c>
      <c r="D2733" t="s">
        <v>906</v>
      </c>
      <c r="E2733" t="s">
        <v>3639</v>
      </c>
      <c r="F2733" t="s">
        <v>777</v>
      </c>
      <c r="G2733" t="s">
        <v>297</v>
      </c>
      <c r="H2733" s="6">
        <v>67205</v>
      </c>
      <c r="I2733" s="6">
        <v>2.9593236570913555E-4</v>
      </c>
      <c r="J2733" s="6">
        <v>1339.0939548338383</v>
      </c>
      <c r="K2733" s="6">
        <v>257757.09053265699</v>
      </c>
      <c r="M2733" s="6">
        <f>SUM(H2733,J2733)</f>
        <v>68544.093954833836</v>
      </c>
      <c r="N2733" s="6">
        <f>K2733</f>
        <v>257757.09053265699</v>
      </c>
      <c r="O2733" s="6">
        <f>SUM(M2733:N2733)</f>
        <v>326301.1844874908</v>
      </c>
      <c r="P2733" s="8">
        <f>VLOOKUP(F2733,'LEAID Match'!$A$2:$B$436,2,FALSE)</f>
        <v>1811930</v>
      </c>
      <c r="Q2733" s="6">
        <f>COUNTIF($P$2:$P$3691,P2733)</f>
        <v>9</v>
      </c>
    </row>
    <row r="2734" spans="1:17" x14ac:dyDescent="0.2">
      <c r="A2734" s="16">
        <f>P2734</f>
        <v>1811930</v>
      </c>
      <c r="B2734">
        <v>2018</v>
      </c>
      <c r="C2734" t="s">
        <v>904</v>
      </c>
      <c r="D2734" t="s">
        <v>906</v>
      </c>
      <c r="E2734" t="s">
        <v>3640</v>
      </c>
      <c r="F2734" t="s">
        <v>777</v>
      </c>
      <c r="G2734" t="s">
        <v>297</v>
      </c>
      <c r="H2734" s="6">
        <v>70171</v>
      </c>
      <c r="I2734" s="6">
        <v>2.9769140276850501E-4</v>
      </c>
      <c r="J2734" s="6">
        <v>1240.777766739129</v>
      </c>
      <c r="K2734" s="6">
        <v>211760</v>
      </c>
      <c r="M2734" s="6">
        <f>SUM(H2734,J2734)</f>
        <v>71411.777766739135</v>
      </c>
      <c r="N2734" s="6">
        <f>K2734</f>
        <v>211760</v>
      </c>
      <c r="O2734" s="6">
        <f>SUM(M2734:N2734)</f>
        <v>283171.77776673913</v>
      </c>
      <c r="P2734" s="8">
        <f>VLOOKUP(F2734,'LEAID Match'!$A$2:$B$436,2,FALSE)</f>
        <v>1811930</v>
      </c>
      <c r="Q2734" s="6">
        <f>COUNTIF($P$2:$P$3691,P2734)</f>
        <v>9</v>
      </c>
    </row>
    <row r="2735" spans="1:17" x14ac:dyDescent="0.2">
      <c r="A2735" s="16">
        <f>P2735</f>
        <v>1811930</v>
      </c>
      <c r="B2735">
        <v>2019</v>
      </c>
      <c r="C2735" t="s">
        <v>904</v>
      </c>
      <c r="D2735" t="s">
        <v>906</v>
      </c>
      <c r="E2735" t="s">
        <v>3641</v>
      </c>
      <c r="F2735" t="s">
        <v>777</v>
      </c>
      <c r="G2735" t="s">
        <v>297</v>
      </c>
      <c r="H2735" s="6">
        <v>70144</v>
      </c>
      <c r="I2735" s="6">
        <v>1.7844595557891892E-4</v>
      </c>
      <c r="J2735" s="6">
        <v>625.45307430411083</v>
      </c>
      <c r="K2735" s="6">
        <v>168435.137470941</v>
      </c>
      <c r="M2735" s="6">
        <f>SUM(H2735,J2735)</f>
        <v>70769.45307430411</v>
      </c>
      <c r="N2735" s="6">
        <f>K2735</f>
        <v>168435.137470941</v>
      </c>
      <c r="O2735" s="6">
        <f>SUM(M2735:N2735)</f>
        <v>239204.5905452451</v>
      </c>
      <c r="P2735" s="8">
        <f>VLOOKUP(F2735,'LEAID Match'!$A$2:$B$436,2,FALSE)</f>
        <v>1811930</v>
      </c>
      <c r="Q2735" s="6">
        <f>COUNTIF($P$2:$P$3691,P2735)</f>
        <v>9</v>
      </c>
    </row>
    <row r="2736" spans="1:17" x14ac:dyDescent="0.2">
      <c r="A2736" s="16">
        <f>P2736</f>
        <v>1811930</v>
      </c>
      <c r="B2736">
        <v>2020</v>
      </c>
      <c r="C2736" t="s">
        <v>904</v>
      </c>
      <c r="D2736" t="s">
        <v>906</v>
      </c>
      <c r="E2736" t="s">
        <v>3642</v>
      </c>
      <c r="F2736" t="s">
        <v>777</v>
      </c>
      <c r="G2736" t="s">
        <v>297</v>
      </c>
      <c r="H2736" s="6">
        <v>51325</v>
      </c>
      <c r="I2736" s="6">
        <v>2.7195617298970818E-4</v>
      </c>
      <c r="J2736" s="6">
        <v>640.72874356375246</v>
      </c>
      <c r="K2736" s="6">
        <v>225011</v>
      </c>
      <c r="M2736" s="6">
        <f>SUM(H2736,J2736)</f>
        <v>51965.728743563755</v>
      </c>
      <c r="N2736" s="6">
        <f>K2736</f>
        <v>225011</v>
      </c>
      <c r="O2736" s="6">
        <f>SUM(M2736:N2736)</f>
        <v>276976.72874356376</v>
      </c>
      <c r="P2736" s="8">
        <f>VLOOKUP(F2736,'LEAID Match'!$A$2:$B$436,2,FALSE)</f>
        <v>1811930</v>
      </c>
      <c r="Q2736" s="6">
        <f>COUNTIF($P$2:$P$3691,P2736)</f>
        <v>9</v>
      </c>
    </row>
    <row r="2737" spans="1:17" x14ac:dyDescent="0.2">
      <c r="A2737" s="16">
        <f>P2737</f>
        <v>1811930</v>
      </c>
      <c r="B2737">
        <v>2021</v>
      </c>
      <c r="C2737" t="s">
        <v>904</v>
      </c>
      <c r="D2737" t="s">
        <v>906</v>
      </c>
      <c r="E2737" t="s">
        <v>3643</v>
      </c>
      <c r="F2737" t="s">
        <v>777</v>
      </c>
      <c r="G2737" t="s">
        <v>297</v>
      </c>
      <c r="H2737" s="6">
        <v>55214</v>
      </c>
      <c r="I2737" s="6">
        <v>2.7276229484293958E-4</v>
      </c>
      <c r="J2737" s="6">
        <v>614.8062125759858</v>
      </c>
      <c r="K2737" s="6">
        <v>356917</v>
      </c>
      <c r="M2737" s="6">
        <f>SUM(H2737,J2737)</f>
        <v>55828.806212575982</v>
      </c>
      <c r="N2737" s="6">
        <f>K2737</f>
        <v>356917</v>
      </c>
      <c r="O2737" s="6">
        <f>SUM(M2737:N2737)</f>
        <v>412745.80621257599</v>
      </c>
      <c r="P2737" s="8">
        <f>VLOOKUP(F2737,'LEAID Match'!$A$2:$B$436,2,FALSE)</f>
        <v>1811930</v>
      </c>
      <c r="Q2737" s="6">
        <f>COUNTIF($P$2:$P$3691,P2737)</f>
        <v>9</v>
      </c>
    </row>
    <row r="2738" spans="1:17" x14ac:dyDescent="0.2">
      <c r="A2738" s="16">
        <f>P2738</f>
        <v>1811930</v>
      </c>
      <c r="B2738">
        <v>2022</v>
      </c>
      <c r="C2738" t="s">
        <v>904</v>
      </c>
      <c r="D2738" t="s">
        <v>906</v>
      </c>
      <c r="E2738" t="s">
        <v>3644</v>
      </c>
      <c r="F2738" t="s">
        <v>777</v>
      </c>
      <c r="G2738" t="s">
        <v>297</v>
      </c>
      <c r="H2738" s="6">
        <v>57187</v>
      </c>
      <c r="I2738" s="6">
        <v>2.7153450426888498E-4</v>
      </c>
      <c r="J2738" s="6">
        <v>598.7335819128914</v>
      </c>
      <c r="K2738" s="6">
        <v>349618</v>
      </c>
      <c r="M2738" s="6">
        <f>SUM(H2738,J2738)</f>
        <v>57785.733581912893</v>
      </c>
      <c r="N2738" s="6">
        <f>K2738</f>
        <v>349618</v>
      </c>
      <c r="O2738" s="6">
        <f>SUM(M2738:N2738)</f>
        <v>407403.73358191288</v>
      </c>
      <c r="P2738" s="8">
        <f>VLOOKUP(F2738,'LEAID Match'!$A$2:$B$436,2,FALSE)</f>
        <v>1811930</v>
      </c>
      <c r="Q2738" s="6">
        <f>COUNTIF($P$2:$P$3691,P2738)</f>
        <v>9</v>
      </c>
    </row>
    <row r="2739" spans="1:17" x14ac:dyDescent="0.2">
      <c r="A2739" s="16">
        <f>P2739</f>
        <v>1811930</v>
      </c>
      <c r="B2739">
        <v>2023</v>
      </c>
      <c r="C2739" t="s">
        <v>904</v>
      </c>
      <c r="D2739" t="s">
        <v>906</v>
      </c>
      <c r="E2739" t="s">
        <v>3645</v>
      </c>
      <c r="F2739" t="s">
        <v>777</v>
      </c>
      <c r="G2739" t="s">
        <v>297</v>
      </c>
      <c r="H2739" s="6">
        <v>64153</v>
      </c>
      <c r="I2739" s="6">
        <v>2.6235052097228095E-4</v>
      </c>
      <c r="J2739" s="6">
        <v>647.21873523861711</v>
      </c>
      <c r="K2739" s="6">
        <v>842342</v>
      </c>
      <c r="M2739" s="6">
        <f>SUM(H2739,J2739)</f>
        <v>64800.218735238617</v>
      </c>
      <c r="N2739" s="6">
        <f>K2739</f>
        <v>842342</v>
      </c>
      <c r="O2739" s="6">
        <f>SUM(M2739:N2739)</f>
        <v>907142.21873523865</v>
      </c>
      <c r="P2739" s="8">
        <f>VLOOKUP(F2739,'LEAID Match'!$A$2:$B$436,2,FALSE)</f>
        <v>1811930</v>
      </c>
      <c r="Q2739" s="6">
        <f>COUNTIF($P$2:$P$3691,P2739)</f>
        <v>9</v>
      </c>
    </row>
    <row r="2740" spans="1:17" x14ac:dyDescent="0.2">
      <c r="A2740" s="16">
        <f>P2740</f>
        <v>1806080</v>
      </c>
      <c r="B2740">
        <v>2015</v>
      </c>
      <c r="C2740" t="s">
        <v>904</v>
      </c>
      <c r="D2740" t="s">
        <v>906</v>
      </c>
      <c r="E2740" t="s">
        <v>3646</v>
      </c>
      <c r="F2740" t="s">
        <v>605</v>
      </c>
      <c r="G2740" t="s">
        <v>298</v>
      </c>
      <c r="H2740" s="6">
        <v>196070</v>
      </c>
      <c r="I2740" s="6">
        <v>9.5343097292507927E-4</v>
      </c>
      <c r="J2740" s="6">
        <v>5540.3873836676357</v>
      </c>
      <c r="K2740" s="6">
        <v>806236.48560101294</v>
      </c>
      <c r="M2740" s="6">
        <f>SUM(H2740,J2740)</f>
        <v>201610.38738366764</v>
      </c>
      <c r="N2740" s="6">
        <f>K2740</f>
        <v>806236.48560101294</v>
      </c>
      <c r="O2740" s="6">
        <f>SUM(M2740:N2740)</f>
        <v>1007846.8729846806</v>
      </c>
      <c r="P2740" s="8">
        <f>VLOOKUP(F2740,'LEAID Match'!$A$2:$B$436,2,FALSE)</f>
        <v>1806080</v>
      </c>
      <c r="Q2740" s="6">
        <f>COUNTIF($P$2:$P$3691,P2740)</f>
        <v>9</v>
      </c>
    </row>
    <row r="2741" spans="1:17" x14ac:dyDescent="0.2">
      <c r="A2741" s="16">
        <f>P2741</f>
        <v>1806080</v>
      </c>
      <c r="B2741">
        <v>2016</v>
      </c>
      <c r="C2741" t="s">
        <v>904</v>
      </c>
      <c r="D2741" t="s">
        <v>906</v>
      </c>
      <c r="E2741" t="s">
        <v>3647</v>
      </c>
      <c r="F2741" t="s">
        <v>605</v>
      </c>
      <c r="G2741" t="s">
        <v>298</v>
      </c>
      <c r="H2741" s="6">
        <v>210485</v>
      </c>
      <c r="I2741" s="6">
        <v>9.7667625097954736E-4</v>
      </c>
      <c r="J2741" s="6">
        <v>4930.2617149447551</v>
      </c>
      <c r="K2741" s="6">
        <v>866800.17274434795</v>
      </c>
      <c r="M2741" s="6">
        <f>SUM(H2741,J2741)</f>
        <v>215415.26171494476</v>
      </c>
      <c r="N2741" s="6">
        <f>K2741</f>
        <v>866800.17274434795</v>
      </c>
      <c r="O2741" s="6">
        <f>SUM(M2741:N2741)</f>
        <v>1082215.4344592928</v>
      </c>
      <c r="P2741" s="8">
        <f>VLOOKUP(F2741,'LEAID Match'!$A$2:$B$436,2,FALSE)</f>
        <v>1806080</v>
      </c>
      <c r="Q2741" s="6">
        <f>COUNTIF($P$2:$P$3691,P2741)</f>
        <v>9</v>
      </c>
    </row>
    <row r="2742" spans="1:17" x14ac:dyDescent="0.2">
      <c r="A2742" s="16">
        <f>P2742</f>
        <v>1806080</v>
      </c>
      <c r="B2742">
        <v>2017</v>
      </c>
      <c r="C2742" t="s">
        <v>904</v>
      </c>
      <c r="D2742" t="s">
        <v>906</v>
      </c>
      <c r="E2742" t="s">
        <v>3648</v>
      </c>
      <c r="F2742" t="s">
        <v>605</v>
      </c>
      <c r="G2742" t="s">
        <v>298</v>
      </c>
      <c r="H2742" s="6">
        <v>226248</v>
      </c>
      <c r="I2742" s="6">
        <v>9.9626673427513591E-4</v>
      </c>
      <c r="J2742" s="6">
        <v>4508.1069725949901</v>
      </c>
      <c r="K2742" s="6">
        <v>867748.32555364305</v>
      </c>
      <c r="M2742" s="6">
        <f>SUM(H2742,J2742)</f>
        <v>230756.10697259498</v>
      </c>
      <c r="N2742" s="6">
        <f>K2742</f>
        <v>867748.32555364305</v>
      </c>
      <c r="O2742" s="6">
        <f>SUM(M2742:N2742)</f>
        <v>1098504.432526238</v>
      </c>
      <c r="P2742" s="8">
        <f>VLOOKUP(F2742,'LEAID Match'!$A$2:$B$436,2,FALSE)</f>
        <v>1806080</v>
      </c>
      <c r="Q2742" s="6">
        <f>COUNTIF($P$2:$P$3691,P2742)</f>
        <v>9</v>
      </c>
    </row>
    <row r="2743" spans="1:17" x14ac:dyDescent="0.2">
      <c r="A2743" s="16">
        <f>P2743</f>
        <v>1806080</v>
      </c>
      <c r="B2743">
        <v>2018</v>
      </c>
      <c r="C2743" t="s">
        <v>904</v>
      </c>
      <c r="D2743" t="s">
        <v>906</v>
      </c>
      <c r="E2743" t="s">
        <v>3649</v>
      </c>
      <c r="F2743" t="s">
        <v>605</v>
      </c>
      <c r="G2743" t="s">
        <v>298</v>
      </c>
      <c r="H2743" s="6">
        <v>237646</v>
      </c>
      <c r="I2743" s="6">
        <v>1.0081824557484451E-3</v>
      </c>
      <c r="J2743" s="6">
        <v>4202.1044755595194</v>
      </c>
      <c r="K2743" s="6">
        <v>1276340</v>
      </c>
      <c r="M2743" s="6">
        <f>SUM(H2743,J2743)</f>
        <v>241848.10447555952</v>
      </c>
      <c r="N2743" s="6">
        <f>K2743</f>
        <v>1276340</v>
      </c>
      <c r="O2743" s="6">
        <f>SUM(M2743:N2743)</f>
        <v>1518188.1044755594</v>
      </c>
      <c r="P2743" s="8">
        <f>VLOOKUP(F2743,'LEAID Match'!$A$2:$B$436,2,FALSE)</f>
        <v>1806080</v>
      </c>
      <c r="Q2743" s="6">
        <f>COUNTIF($P$2:$P$3691,P2743)</f>
        <v>9</v>
      </c>
    </row>
    <row r="2744" spans="1:17" x14ac:dyDescent="0.2">
      <c r="A2744" s="16">
        <f>P2744</f>
        <v>1806080</v>
      </c>
      <c r="B2744">
        <v>2019</v>
      </c>
      <c r="C2744" t="s">
        <v>904</v>
      </c>
      <c r="D2744" t="s">
        <v>906</v>
      </c>
      <c r="E2744" t="s">
        <v>3650</v>
      </c>
      <c r="F2744" t="s">
        <v>605</v>
      </c>
      <c r="G2744" t="s">
        <v>298</v>
      </c>
      <c r="H2744" s="6">
        <v>257303</v>
      </c>
      <c r="I2744" s="6">
        <v>6.5457743653516451E-4</v>
      </c>
      <c r="J2744" s="6">
        <v>2294.2939150557518</v>
      </c>
      <c r="K2744" s="6">
        <v>617855.64234554104</v>
      </c>
      <c r="M2744" s="6">
        <f>SUM(H2744,J2744)</f>
        <v>259597.29391505575</v>
      </c>
      <c r="N2744" s="6">
        <f>K2744</f>
        <v>617855.64234554104</v>
      </c>
      <c r="O2744" s="6">
        <f>SUM(M2744:N2744)</f>
        <v>877452.93626059685</v>
      </c>
      <c r="P2744" s="8">
        <f>VLOOKUP(F2744,'LEAID Match'!$A$2:$B$436,2,FALSE)</f>
        <v>1806080</v>
      </c>
      <c r="Q2744" s="6">
        <f>COUNTIF($P$2:$P$3691,P2744)</f>
        <v>9</v>
      </c>
    </row>
    <row r="2745" spans="1:17" x14ac:dyDescent="0.2">
      <c r="A2745" s="16">
        <f>P2745</f>
        <v>1806080</v>
      </c>
      <c r="B2745">
        <v>2020</v>
      </c>
      <c r="C2745" t="s">
        <v>904</v>
      </c>
      <c r="D2745" t="s">
        <v>906</v>
      </c>
      <c r="E2745" t="s">
        <v>3651</v>
      </c>
      <c r="F2745" t="s">
        <v>605</v>
      </c>
      <c r="G2745" t="s">
        <v>298</v>
      </c>
      <c r="H2745" s="6">
        <v>220412</v>
      </c>
      <c r="I2745" s="6">
        <v>1.1678987628057976E-3</v>
      </c>
      <c r="J2745" s="6">
        <v>2751.5694851704593</v>
      </c>
      <c r="K2745" s="6">
        <v>1335598</v>
      </c>
      <c r="M2745" s="6">
        <f>SUM(H2745,J2745)</f>
        <v>223163.56948517045</v>
      </c>
      <c r="N2745" s="6">
        <f>K2745</f>
        <v>1335598</v>
      </c>
      <c r="O2745" s="6">
        <f>SUM(M2745:N2745)</f>
        <v>1558761.5694851705</v>
      </c>
      <c r="P2745" s="8">
        <f>VLOOKUP(F2745,'LEAID Match'!$A$2:$B$436,2,FALSE)</f>
        <v>1806080</v>
      </c>
      <c r="Q2745" s="6">
        <f>COUNTIF($P$2:$P$3691,P2745)</f>
        <v>9</v>
      </c>
    </row>
    <row r="2746" spans="1:17" x14ac:dyDescent="0.2">
      <c r="A2746" s="16">
        <f>P2746</f>
        <v>1806080</v>
      </c>
      <c r="B2746">
        <v>2021</v>
      </c>
      <c r="C2746" t="s">
        <v>904</v>
      </c>
      <c r="D2746" t="s">
        <v>906</v>
      </c>
      <c r="E2746" t="s">
        <v>3652</v>
      </c>
      <c r="F2746" t="s">
        <v>605</v>
      </c>
      <c r="G2746" t="s">
        <v>298</v>
      </c>
      <c r="H2746" s="6">
        <v>238111</v>
      </c>
      <c r="I2746" s="6">
        <v>1.1762904840683013E-3</v>
      </c>
      <c r="J2746" s="6">
        <v>2651.3587510899511</v>
      </c>
      <c r="K2746" s="6">
        <v>2268254</v>
      </c>
      <c r="M2746" s="6">
        <f>SUM(H2746,J2746)</f>
        <v>240762.35875108995</v>
      </c>
      <c r="N2746" s="6">
        <f>K2746</f>
        <v>2268254</v>
      </c>
      <c r="O2746" s="6">
        <f>SUM(M2746:N2746)</f>
        <v>2509016.3587510898</v>
      </c>
      <c r="P2746" s="8">
        <f>VLOOKUP(F2746,'LEAID Match'!$A$2:$B$436,2,FALSE)</f>
        <v>1806080</v>
      </c>
      <c r="Q2746" s="6">
        <f>COUNTIF($P$2:$P$3691,P2746)</f>
        <v>9</v>
      </c>
    </row>
    <row r="2747" spans="1:17" x14ac:dyDescent="0.2">
      <c r="A2747" s="16">
        <f>P2747</f>
        <v>1806080</v>
      </c>
      <c r="B2747">
        <v>2022</v>
      </c>
      <c r="C2747" t="s">
        <v>904</v>
      </c>
      <c r="D2747" t="s">
        <v>906</v>
      </c>
      <c r="E2747" t="s">
        <v>3653</v>
      </c>
      <c r="F2747" t="s">
        <v>605</v>
      </c>
      <c r="G2747" t="s">
        <v>298</v>
      </c>
      <c r="H2747" s="6">
        <v>259583</v>
      </c>
      <c r="I2747" s="6">
        <v>1.2325483277953026E-3</v>
      </c>
      <c r="J2747" s="6">
        <v>2717.7690627886423</v>
      </c>
      <c r="K2747" s="6">
        <v>2238172</v>
      </c>
      <c r="M2747" s="6">
        <f>SUM(H2747,J2747)</f>
        <v>262300.76906278863</v>
      </c>
      <c r="N2747" s="6">
        <f>K2747</f>
        <v>2238172</v>
      </c>
      <c r="O2747" s="6">
        <f>SUM(M2747:N2747)</f>
        <v>2500472.7690627887</v>
      </c>
      <c r="P2747" s="8">
        <f>VLOOKUP(F2747,'LEAID Match'!$A$2:$B$436,2,FALSE)</f>
        <v>1806080</v>
      </c>
      <c r="Q2747" s="6">
        <f>COUNTIF($P$2:$P$3691,P2747)</f>
        <v>9</v>
      </c>
    </row>
    <row r="2748" spans="1:17" x14ac:dyDescent="0.2">
      <c r="A2748" s="16">
        <f>P2748</f>
        <v>1806080</v>
      </c>
      <c r="B2748">
        <v>2023</v>
      </c>
      <c r="C2748" t="s">
        <v>904</v>
      </c>
      <c r="D2748" t="s">
        <v>906</v>
      </c>
      <c r="E2748" t="s">
        <v>3654</v>
      </c>
      <c r="F2748" t="s">
        <v>605</v>
      </c>
      <c r="G2748" t="s">
        <v>298</v>
      </c>
      <c r="H2748" s="6">
        <v>331290</v>
      </c>
      <c r="I2748" s="6">
        <v>1.3547940718735983E-3</v>
      </c>
      <c r="J2748" s="6">
        <v>3342.276975312167</v>
      </c>
      <c r="K2748" s="6">
        <v>6083578</v>
      </c>
      <c r="M2748" s="6">
        <f>SUM(H2748,J2748)</f>
        <v>334632.27697531215</v>
      </c>
      <c r="N2748" s="6">
        <f>K2748</f>
        <v>6083578</v>
      </c>
      <c r="O2748" s="6">
        <f>SUM(M2748:N2748)</f>
        <v>6418210.2769753123</v>
      </c>
      <c r="P2748" s="8">
        <f>VLOOKUP(F2748,'LEAID Match'!$A$2:$B$436,2,FALSE)</f>
        <v>1806080</v>
      </c>
      <c r="Q2748" s="6">
        <f>COUNTIF($P$2:$P$3691,P2748)</f>
        <v>9</v>
      </c>
    </row>
    <row r="2749" spans="1:17" x14ac:dyDescent="0.2">
      <c r="A2749" s="16">
        <f>P2749</f>
        <v>1812390</v>
      </c>
      <c r="B2749">
        <v>2015</v>
      </c>
      <c r="C2749" t="s">
        <v>904</v>
      </c>
      <c r="D2749" t="s">
        <v>906</v>
      </c>
      <c r="E2749" t="s">
        <v>3655</v>
      </c>
      <c r="F2749" t="s">
        <v>606</v>
      </c>
      <c r="G2749" t="s">
        <v>299</v>
      </c>
      <c r="H2749" s="6">
        <v>1796370</v>
      </c>
      <c r="I2749" s="6">
        <v>8.7352210783568345E-3</v>
      </c>
      <c r="J2749" s="6">
        <v>50760.369686331564</v>
      </c>
      <c r="K2749" s="6">
        <v>7386642.7073957901</v>
      </c>
      <c r="M2749" s="6">
        <f>SUM(H2749,J2749)</f>
        <v>1847130.3696863316</v>
      </c>
      <c r="N2749" s="6">
        <f>K2749</f>
        <v>7386642.7073957901</v>
      </c>
      <c r="O2749" s="6">
        <f>SUM(M2749:N2749)</f>
        <v>9233773.0770821217</v>
      </c>
      <c r="P2749" s="8">
        <f>VLOOKUP(F2749,'LEAID Match'!$A$2:$B$436,2,FALSE)</f>
        <v>1812390</v>
      </c>
      <c r="Q2749" s="6">
        <f>COUNTIF($P$2:$P$3691,P2749)</f>
        <v>9</v>
      </c>
    </row>
    <row r="2750" spans="1:17" x14ac:dyDescent="0.2">
      <c r="A2750" s="16">
        <f>P2750</f>
        <v>1812390</v>
      </c>
      <c r="B2750">
        <v>2016</v>
      </c>
      <c r="C2750" t="s">
        <v>904</v>
      </c>
      <c r="D2750" t="s">
        <v>906</v>
      </c>
      <c r="E2750" t="s">
        <v>3656</v>
      </c>
      <c r="F2750" t="s">
        <v>606</v>
      </c>
      <c r="G2750" t="s">
        <v>299</v>
      </c>
      <c r="H2750" s="6">
        <v>1917293</v>
      </c>
      <c r="I2750" s="6">
        <v>8.8964749947470327E-3</v>
      </c>
      <c r="J2750" s="6">
        <v>44909.40577348302</v>
      </c>
      <c r="K2750" s="6">
        <v>7895621.5578379901</v>
      </c>
      <c r="M2750" s="6">
        <f>SUM(H2750,J2750)</f>
        <v>1962202.405773483</v>
      </c>
      <c r="N2750" s="6">
        <f>K2750</f>
        <v>7895621.5578379901</v>
      </c>
      <c r="O2750" s="6">
        <f>SUM(M2750:N2750)</f>
        <v>9857823.9636114724</v>
      </c>
      <c r="P2750" s="8">
        <f>VLOOKUP(F2750,'LEAID Match'!$A$2:$B$436,2,FALSE)</f>
        <v>1812390</v>
      </c>
      <c r="Q2750" s="6">
        <f>COUNTIF($P$2:$P$3691,P2750)</f>
        <v>9</v>
      </c>
    </row>
    <row r="2751" spans="1:17" x14ac:dyDescent="0.2">
      <c r="A2751" s="16">
        <f>P2751</f>
        <v>1812390</v>
      </c>
      <c r="B2751">
        <v>2017</v>
      </c>
      <c r="C2751" t="s">
        <v>904</v>
      </c>
      <c r="D2751" t="s">
        <v>906</v>
      </c>
      <c r="E2751" t="s">
        <v>3657</v>
      </c>
      <c r="F2751" t="s">
        <v>606</v>
      </c>
      <c r="G2751" t="s">
        <v>299</v>
      </c>
      <c r="H2751" s="6">
        <v>2146212</v>
      </c>
      <c r="I2751" s="6">
        <v>9.4506895985914038E-3</v>
      </c>
      <c r="J2751" s="6">
        <v>42764.3704336261</v>
      </c>
      <c r="K2751" s="6">
        <v>8231550.6403731098</v>
      </c>
      <c r="M2751" s="6">
        <f>SUM(H2751,J2751)</f>
        <v>2188976.3704336262</v>
      </c>
      <c r="N2751" s="6">
        <f>K2751</f>
        <v>8231550.6403731098</v>
      </c>
      <c r="O2751" s="6">
        <f>SUM(M2751:N2751)</f>
        <v>10420527.010806736</v>
      </c>
      <c r="P2751" s="8">
        <f>VLOOKUP(F2751,'LEAID Match'!$A$2:$B$436,2,FALSE)</f>
        <v>1812390</v>
      </c>
      <c r="Q2751" s="6">
        <f>COUNTIF($P$2:$P$3691,P2751)</f>
        <v>9</v>
      </c>
    </row>
    <row r="2752" spans="1:17" x14ac:dyDescent="0.2">
      <c r="A2752" s="16">
        <f>P2752</f>
        <v>1812390</v>
      </c>
      <c r="B2752">
        <v>2018</v>
      </c>
      <c r="C2752" t="s">
        <v>904</v>
      </c>
      <c r="D2752" t="s">
        <v>906</v>
      </c>
      <c r="E2752" t="s">
        <v>3658</v>
      </c>
      <c r="F2752" t="s">
        <v>606</v>
      </c>
      <c r="G2752" t="s">
        <v>299</v>
      </c>
      <c r="H2752" s="6">
        <v>2186266</v>
      </c>
      <c r="I2752" s="6">
        <v>9.2749510818584367E-3</v>
      </c>
      <c r="J2752" s="6">
        <v>38657.996109185966</v>
      </c>
      <c r="K2752" s="6">
        <v>9409852</v>
      </c>
      <c r="M2752" s="6">
        <f>SUM(H2752,J2752)</f>
        <v>2224923.9961091857</v>
      </c>
      <c r="N2752" s="6">
        <f>K2752</f>
        <v>9409852</v>
      </c>
      <c r="O2752" s="6">
        <f>SUM(M2752:N2752)</f>
        <v>11634775.996109186</v>
      </c>
      <c r="P2752" s="8">
        <f>VLOOKUP(F2752,'LEAID Match'!$A$2:$B$436,2,FALSE)</f>
        <v>1812390</v>
      </c>
      <c r="Q2752" s="6">
        <f>COUNTIF($P$2:$P$3691,P2752)</f>
        <v>9</v>
      </c>
    </row>
    <row r="2753" spans="1:17" x14ac:dyDescent="0.2">
      <c r="A2753" s="16">
        <f>P2753</f>
        <v>1812390</v>
      </c>
      <c r="B2753">
        <v>2019</v>
      </c>
      <c r="C2753" t="s">
        <v>904</v>
      </c>
      <c r="D2753" t="s">
        <v>906</v>
      </c>
      <c r="E2753" t="s">
        <v>3659</v>
      </c>
      <c r="F2753" t="s">
        <v>606</v>
      </c>
      <c r="G2753" t="s">
        <v>299</v>
      </c>
      <c r="H2753" s="6">
        <v>2280083</v>
      </c>
      <c r="I2753" s="6">
        <v>5.8005187861292226E-3</v>
      </c>
      <c r="J2753" s="6">
        <v>20330.818345382926</v>
      </c>
      <c r="K2753" s="6">
        <v>5475109.6822273703</v>
      </c>
      <c r="M2753" s="6">
        <f>SUM(H2753,J2753)</f>
        <v>2300413.8183453828</v>
      </c>
      <c r="N2753" s="6">
        <f>K2753</f>
        <v>5475109.6822273703</v>
      </c>
      <c r="O2753" s="6">
        <f>SUM(M2753:N2753)</f>
        <v>7775523.5005727531</v>
      </c>
      <c r="P2753" s="8">
        <f>VLOOKUP(F2753,'LEAID Match'!$A$2:$B$436,2,FALSE)</f>
        <v>1812390</v>
      </c>
      <c r="Q2753" s="6">
        <f>COUNTIF($P$2:$P$3691,P2753)</f>
        <v>9</v>
      </c>
    </row>
    <row r="2754" spans="1:17" x14ac:dyDescent="0.2">
      <c r="A2754" s="16">
        <f>P2754</f>
        <v>1812390</v>
      </c>
      <c r="B2754">
        <v>2020</v>
      </c>
      <c r="C2754" t="s">
        <v>904</v>
      </c>
      <c r="D2754" t="s">
        <v>906</v>
      </c>
      <c r="E2754" t="s">
        <v>3660</v>
      </c>
      <c r="F2754" t="s">
        <v>606</v>
      </c>
      <c r="G2754" t="s">
        <v>299</v>
      </c>
      <c r="H2754" s="6">
        <v>1725729</v>
      </c>
      <c r="I2754" s="6">
        <v>9.1441335500702606E-3</v>
      </c>
      <c r="J2754" s="6">
        <v>21543.578643965535</v>
      </c>
      <c r="K2754" s="6">
        <v>10024510</v>
      </c>
      <c r="M2754" s="6">
        <f>SUM(H2754,J2754)</f>
        <v>1747272.5786439655</v>
      </c>
      <c r="N2754" s="6">
        <f>K2754</f>
        <v>10024510</v>
      </c>
      <c r="O2754" s="6">
        <f>SUM(M2754:N2754)</f>
        <v>11771782.578643966</v>
      </c>
      <c r="P2754" s="8">
        <f>VLOOKUP(F2754,'LEAID Match'!$A$2:$B$436,2,FALSE)</f>
        <v>1812390</v>
      </c>
      <c r="Q2754" s="6">
        <f>COUNTIF($P$2:$P$3691,P2754)</f>
        <v>9</v>
      </c>
    </row>
    <row r="2755" spans="1:17" x14ac:dyDescent="0.2">
      <c r="A2755" s="16">
        <f>P2755</f>
        <v>1812390</v>
      </c>
      <c r="B2755">
        <v>2021</v>
      </c>
      <c r="C2755" t="s">
        <v>904</v>
      </c>
      <c r="D2755" t="s">
        <v>906</v>
      </c>
      <c r="E2755" t="s">
        <v>3661</v>
      </c>
      <c r="F2755" t="s">
        <v>606</v>
      </c>
      <c r="G2755" t="s">
        <v>299</v>
      </c>
      <c r="H2755" s="6">
        <v>1773532</v>
      </c>
      <c r="I2755" s="6">
        <v>8.7614130165789179E-3</v>
      </c>
      <c r="J2755" s="6">
        <v>19748.22493936888</v>
      </c>
      <c r="K2755" s="6">
        <v>16771110</v>
      </c>
      <c r="M2755" s="6">
        <f>SUM(H2755,J2755)</f>
        <v>1793280.2249393689</v>
      </c>
      <c r="N2755" s="6">
        <f>K2755</f>
        <v>16771110</v>
      </c>
      <c r="O2755" s="6">
        <f>SUM(M2755:N2755)</f>
        <v>18564390.224939369</v>
      </c>
      <c r="P2755" s="8">
        <f>VLOOKUP(F2755,'LEAID Match'!$A$2:$B$436,2,FALSE)</f>
        <v>1812390</v>
      </c>
      <c r="Q2755" s="6">
        <f>COUNTIF($P$2:$P$3691,P2755)</f>
        <v>9</v>
      </c>
    </row>
    <row r="2756" spans="1:17" x14ac:dyDescent="0.2">
      <c r="A2756" s="16">
        <f>P2756</f>
        <v>1812390</v>
      </c>
      <c r="B2756">
        <v>2022</v>
      </c>
      <c r="C2756" t="s">
        <v>904</v>
      </c>
      <c r="D2756" t="s">
        <v>906</v>
      </c>
      <c r="E2756" t="s">
        <v>3662</v>
      </c>
      <c r="F2756" t="s">
        <v>606</v>
      </c>
      <c r="G2756" t="s">
        <v>299</v>
      </c>
      <c r="H2756" s="6">
        <v>1883248</v>
      </c>
      <c r="I2756" s="6">
        <v>8.9420115077792003E-3</v>
      </c>
      <c r="J2756" s="6">
        <v>19717.135374653139</v>
      </c>
      <c r="K2756" s="6">
        <v>16687687</v>
      </c>
      <c r="M2756" s="6">
        <f>SUM(H2756,J2756)</f>
        <v>1902965.1353746532</v>
      </c>
      <c r="N2756" s="6">
        <f>K2756</f>
        <v>16687687</v>
      </c>
      <c r="O2756" s="6">
        <f>SUM(M2756:N2756)</f>
        <v>18590652.135374654</v>
      </c>
      <c r="P2756" s="8">
        <f>VLOOKUP(F2756,'LEAID Match'!$A$2:$B$436,2,FALSE)</f>
        <v>1812390</v>
      </c>
      <c r="Q2756" s="6">
        <f>COUNTIF($P$2:$P$3691,P2756)</f>
        <v>9</v>
      </c>
    </row>
    <row r="2757" spans="1:17" x14ac:dyDescent="0.2">
      <c r="A2757" s="16">
        <f>P2757</f>
        <v>1812390</v>
      </c>
      <c r="B2757">
        <v>2023</v>
      </c>
      <c r="C2757" t="s">
        <v>904</v>
      </c>
      <c r="D2757" t="s">
        <v>906</v>
      </c>
      <c r="E2757" t="s">
        <v>3663</v>
      </c>
      <c r="F2757" t="s">
        <v>606</v>
      </c>
      <c r="G2757" t="s">
        <v>299</v>
      </c>
      <c r="H2757" s="6">
        <v>2180049</v>
      </c>
      <c r="I2757" s="6">
        <v>8.9152025765763115E-3</v>
      </c>
      <c r="J2757" s="6">
        <v>21993.80475641376</v>
      </c>
      <c r="K2757" s="6">
        <v>49181902</v>
      </c>
      <c r="M2757" s="6">
        <f>SUM(H2757,J2757)</f>
        <v>2202042.8047564137</v>
      </c>
      <c r="N2757" s="6">
        <f>K2757</f>
        <v>49181902</v>
      </c>
      <c r="O2757" s="6">
        <f>SUM(M2757:N2757)</f>
        <v>51383944.80475641</v>
      </c>
      <c r="P2757" s="8">
        <f>VLOOKUP(F2757,'LEAID Match'!$A$2:$B$436,2,FALSE)</f>
        <v>1812390</v>
      </c>
      <c r="Q2757" s="6">
        <f>COUNTIF($P$2:$P$3691,P2757)</f>
        <v>9</v>
      </c>
    </row>
    <row r="2758" spans="1:17" x14ac:dyDescent="0.2">
      <c r="A2758" s="16">
        <f>P2758</f>
        <v>1803000</v>
      </c>
      <c r="B2758">
        <v>2015</v>
      </c>
      <c r="C2758" t="s">
        <v>904</v>
      </c>
      <c r="D2758" t="s">
        <v>906</v>
      </c>
      <c r="E2758" t="s">
        <v>3664</v>
      </c>
      <c r="F2758" t="s">
        <v>607</v>
      </c>
      <c r="G2758" t="s">
        <v>300</v>
      </c>
      <c r="H2758" s="6">
        <v>286685</v>
      </c>
      <c r="I2758" s="6">
        <v>1.394065173014874E-3</v>
      </c>
      <c r="J2758" s="6">
        <v>8100.9127203894332</v>
      </c>
      <c r="K2758" s="6">
        <v>1178843.8153441399</v>
      </c>
      <c r="M2758" s="6">
        <f>SUM(H2758,J2758)</f>
        <v>294785.91272038943</v>
      </c>
      <c r="N2758" s="6">
        <f>K2758</f>
        <v>1178843.8153441399</v>
      </c>
      <c r="O2758" s="6">
        <f>SUM(M2758:N2758)</f>
        <v>1473629.7280645294</v>
      </c>
      <c r="P2758" s="8">
        <f>VLOOKUP(F2758,'LEAID Match'!$A$2:$B$436,2,FALSE)</f>
        <v>1803000</v>
      </c>
      <c r="Q2758" s="6">
        <f>COUNTIF($P$2:$P$3691,P2758)</f>
        <v>9</v>
      </c>
    </row>
    <row r="2759" spans="1:17" x14ac:dyDescent="0.2">
      <c r="A2759" s="16">
        <f>P2759</f>
        <v>1803000</v>
      </c>
      <c r="B2759">
        <v>2016</v>
      </c>
      <c r="C2759" t="s">
        <v>904</v>
      </c>
      <c r="D2759" t="s">
        <v>906</v>
      </c>
      <c r="E2759" t="s">
        <v>3665</v>
      </c>
      <c r="F2759" t="s">
        <v>607</v>
      </c>
      <c r="G2759" t="s">
        <v>300</v>
      </c>
      <c r="H2759" s="6">
        <v>280021</v>
      </c>
      <c r="I2759" s="6">
        <v>1.2993318311306926E-3</v>
      </c>
      <c r="J2759" s="6">
        <v>6559.0270835477368</v>
      </c>
      <c r="K2759" s="6">
        <v>1153157.0001284899</v>
      </c>
      <c r="M2759" s="6">
        <f>SUM(H2759,J2759)</f>
        <v>286580.02708354773</v>
      </c>
      <c r="N2759" s="6">
        <f>K2759</f>
        <v>1153157.0001284899</v>
      </c>
      <c r="O2759" s="6">
        <f>SUM(M2759:N2759)</f>
        <v>1439737.0272120377</v>
      </c>
      <c r="P2759" s="8">
        <f>VLOOKUP(F2759,'LEAID Match'!$A$2:$B$436,2,FALSE)</f>
        <v>1803000</v>
      </c>
      <c r="Q2759" s="6">
        <f>COUNTIF($P$2:$P$3691,P2759)</f>
        <v>9</v>
      </c>
    </row>
    <row r="2760" spans="1:17" x14ac:dyDescent="0.2">
      <c r="A2760" s="16">
        <f>P2760</f>
        <v>1803000</v>
      </c>
      <c r="B2760">
        <v>2017</v>
      </c>
      <c r="C2760" t="s">
        <v>904</v>
      </c>
      <c r="D2760" t="s">
        <v>906</v>
      </c>
      <c r="E2760" t="s">
        <v>3666</v>
      </c>
      <c r="F2760" t="s">
        <v>607</v>
      </c>
      <c r="G2760" t="s">
        <v>300</v>
      </c>
      <c r="H2760" s="6">
        <v>279635</v>
      </c>
      <c r="I2760" s="6">
        <v>1.2313525345595436E-3</v>
      </c>
      <c r="J2760" s="6">
        <v>5571.8702188819343</v>
      </c>
      <c r="K2760" s="6">
        <v>1072508.0576013599</v>
      </c>
      <c r="M2760" s="6">
        <f>SUM(H2760,J2760)</f>
        <v>285206.87021888193</v>
      </c>
      <c r="N2760" s="6">
        <f>K2760</f>
        <v>1072508.0576013599</v>
      </c>
      <c r="O2760" s="6">
        <f>SUM(M2760:N2760)</f>
        <v>1357714.9278202418</v>
      </c>
      <c r="P2760" s="8">
        <f>VLOOKUP(F2760,'LEAID Match'!$A$2:$B$436,2,FALSE)</f>
        <v>1803000</v>
      </c>
      <c r="Q2760" s="6">
        <f>COUNTIF($P$2:$P$3691,P2760)</f>
        <v>9</v>
      </c>
    </row>
    <row r="2761" spans="1:17" x14ac:dyDescent="0.2">
      <c r="A2761" s="16">
        <f>P2761</f>
        <v>1803000</v>
      </c>
      <c r="B2761">
        <v>2018</v>
      </c>
      <c r="C2761" t="s">
        <v>904</v>
      </c>
      <c r="D2761" t="s">
        <v>906</v>
      </c>
      <c r="E2761" t="s">
        <v>3667</v>
      </c>
      <c r="F2761" t="s">
        <v>607</v>
      </c>
      <c r="G2761" t="s">
        <v>300</v>
      </c>
      <c r="H2761" s="6">
        <v>327103</v>
      </c>
      <c r="I2761" s="6">
        <v>1.387692222140005E-3</v>
      </c>
      <c r="J2761" s="6">
        <v>5783.9011818795407</v>
      </c>
      <c r="K2761" s="6">
        <v>1245590</v>
      </c>
      <c r="M2761" s="6">
        <f>SUM(H2761,J2761)</f>
        <v>332886.90118187957</v>
      </c>
      <c r="N2761" s="6">
        <f>K2761</f>
        <v>1245590</v>
      </c>
      <c r="O2761" s="6">
        <f>SUM(M2761:N2761)</f>
        <v>1578476.9011818795</v>
      </c>
      <c r="P2761" s="8">
        <f>VLOOKUP(F2761,'LEAID Match'!$A$2:$B$436,2,FALSE)</f>
        <v>1803000</v>
      </c>
      <c r="Q2761" s="6">
        <f>COUNTIF($P$2:$P$3691,P2761)</f>
        <v>9</v>
      </c>
    </row>
    <row r="2762" spans="1:17" x14ac:dyDescent="0.2">
      <c r="A2762" s="16">
        <f>P2762</f>
        <v>1803000</v>
      </c>
      <c r="B2762">
        <v>2019</v>
      </c>
      <c r="C2762" t="s">
        <v>904</v>
      </c>
      <c r="D2762" t="s">
        <v>906</v>
      </c>
      <c r="E2762" t="s">
        <v>3668</v>
      </c>
      <c r="F2762" t="s">
        <v>607</v>
      </c>
      <c r="G2762" t="s">
        <v>300</v>
      </c>
      <c r="H2762" s="6">
        <v>346300</v>
      </c>
      <c r="I2762" s="6">
        <v>8.8098532186615562E-4</v>
      </c>
      <c r="J2762" s="6">
        <v>3087.8535531408756</v>
      </c>
      <c r="K2762" s="6">
        <v>831562.04530946398</v>
      </c>
      <c r="M2762" s="6">
        <f>SUM(H2762,J2762)</f>
        <v>349387.85355314089</v>
      </c>
      <c r="N2762" s="6">
        <f>K2762</f>
        <v>831562.04530946398</v>
      </c>
      <c r="O2762" s="6">
        <f>SUM(M2762:N2762)</f>
        <v>1180949.898862605</v>
      </c>
      <c r="P2762" s="8">
        <f>VLOOKUP(F2762,'LEAID Match'!$A$2:$B$436,2,FALSE)</f>
        <v>1803000</v>
      </c>
      <c r="Q2762" s="6">
        <f>COUNTIF($P$2:$P$3691,P2762)</f>
        <v>9</v>
      </c>
    </row>
    <row r="2763" spans="1:17" x14ac:dyDescent="0.2">
      <c r="A2763" s="16">
        <f>P2763</f>
        <v>1803000</v>
      </c>
      <c r="B2763">
        <v>2020</v>
      </c>
      <c r="C2763" t="s">
        <v>904</v>
      </c>
      <c r="D2763" t="s">
        <v>906</v>
      </c>
      <c r="E2763" t="s">
        <v>3669</v>
      </c>
      <c r="F2763" t="s">
        <v>607</v>
      </c>
      <c r="G2763" t="s">
        <v>300</v>
      </c>
      <c r="H2763" s="6">
        <v>254257</v>
      </c>
      <c r="I2763" s="6">
        <v>1.34723352510169E-3</v>
      </c>
      <c r="J2763" s="6">
        <v>3174.0821851395817</v>
      </c>
      <c r="K2763" s="6">
        <v>1310640</v>
      </c>
      <c r="M2763" s="6">
        <f>SUM(H2763,J2763)</f>
        <v>257431.08218513959</v>
      </c>
      <c r="N2763" s="6">
        <f>K2763</f>
        <v>1310640</v>
      </c>
      <c r="O2763" s="6">
        <f>SUM(M2763:N2763)</f>
        <v>1568071.0821851396</v>
      </c>
      <c r="P2763" s="8">
        <f>VLOOKUP(F2763,'LEAID Match'!$A$2:$B$436,2,FALSE)</f>
        <v>1803000</v>
      </c>
      <c r="Q2763" s="6">
        <f>COUNTIF($P$2:$P$3691,P2763)</f>
        <v>9</v>
      </c>
    </row>
    <row r="2764" spans="1:17" x14ac:dyDescent="0.2">
      <c r="A2764" s="16">
        <f>P2764</f>
        <v>1803000</v>
      </c>
      <c r="B2764">
        <v>2021</v>
      </c>
      <c r="C2764" t="s">
        <v>904</v>
      </c>
      <c r="D2764" t="s">
        <v>906</v>
      </c>
      <c r="E2764" t="s">
        <v>3670</v>
      </c>
      <c r="F2764" t="s">
        <v>607</v>
      </c>
      <c r="G2764" t="s">
        <v>300</v>
      </c>
      <c r="H2764" s="6">
        <v>265184</v>
      </c>
      <c r="I2764" s="6">
        <v>1.3100336218283425E-3</v>
      </c>
      <c r="J2764" s="6">
        <v>2952.8157836010837</v>
      </c>
      <c r="K2764" s="6">
        <v>2176507</v>
      </c>
      <c r="M2764" s="6">
        <f>SUM(H2764,J2764)</f>
        <v>268136.81578360108</v>
      </c>
      <c r="N2764" s="6">
        <f>K2764</f>
        <v>2176507</v>
      </c>
      <c r="O2764" s="6">
        <f>SUM(M2764:N2764)</f>
        <v>2444643.8157836013</v>
      </c>
      <c r="P2764" s="8">
        <f>VLOOKUP(F2764,'LEAID Match'!$A$2:$B$436,2,FALSE)</f>
        <v>1803000</v>
      </c>
      <c r="Q2764" s="6">
        <f>COUNTIF($P$2:$P$3691,P2764)</f>
        <v>9</v>
      </c>
    </row>
    <row r="2765" spans="1:17" x14ac:dyDescent="0.2">
      <c r="A2765" s="16">
        <f>P2765</f>
        <v>1803000</v>
      </c>
      <c r="B2765">
        <v>2022</v>
      </c>
      <c r="C2765" t="s">
        <v>904</v>
      </c>
      <c r="D2765" t="s">
        <v>906</v>
      </c>
      <c r="E2765" t="s">
        <v>3671</v>
      </c>
      <c r="F2765" t="s">
        <v>607</v>
      </c>
      <c r="G2765" t="s">
        <v>300</v>
      </c>
      <c r="H2765" s="6">
        <v>301312</v>
      </c>
      <c r="I2765" s="6">
        <v>1.4306853751773353E-3</v>
      </c>
      <c r="J2765" s="6">
        <v>3154.6612522660243</v>
      </c>
      <c r="K2765" s="6">
        <v>2062201</v>
      </c>
      <c r="M2765" s="6">
        <f>SUM(H2765,J2765)</f>
        <v>304466.66125226603</v>
      </c>
      <c r="N2765" s="6">
        <f>K2765</f>
        <v>2062201</v>
      </c>
      <c r="O2765" s="6">
        <f>SUM(M2765:N2765)</f>
        <v>2366667.6612522658</v>
      </c>
      <c r="P2765" s="8">
        <f>VLOOKUP(F2765,'LEAID Match'!$A$2:$B$436,2,FALSE)</f>
        <v>1803000</v>
      </c>
      <c r="Q2765" s="6">
        <f>COUNTIF($P$2:$P$3691,P2765)</f>
        <v>9</v>
      </c>
    </row>
    <row r="2766" spans="1:17" x14ac:dyDescent="0.2">
      <c r="A2766" s="16">
        <f>P2766</f>
        <v>1803000</v>
      </c>
      <c r="B2766">
        <v>2023</v>
      </c>
      <c r="C2766" t="s">
        <v>904</v>
      </c>
      <c r="D2766" t="s">
        <v>906</v>
      </c>
      <c r="E2766" t="s">
        <v>3672</v>
      </c>
      <c r="F2766" t="s">
        <v>607</v>
      </c>
      <c r="G2766" t="s">
        <v>300</v>
      </c>
      <c r="H2766" s="6">
        <v>307999</v>
      </c>
      <c r="I2766" s="6">
        <v>1.2595466791723155E-3</v>
      </c>
      <c r="J2766" s="6">
        <v>3107.3016575181023</v>
      </c>
      <c r="K2766" s="6">
        <v>5925189</v>
      </c>
      <c r="M2766" s="6">
        <f>SUM(H2766,J2766)</f>
        <v>311106.30165751808</v>
      </c>
      <c r="N2766" s="6">
        <f>K2766</f>
        <v>5925189</v>
      </c>
      <c r="O2766" s="6">
        <f>SUM(M2766:N2766)</f>
        <v>6236295.3016575184</v>
      </c>
      <c r="P2766" s="8">
        <f>VLOOKUP(F2766,'LEAID Match'!$A$2:$B$436,2,FALSE)</f>
        <v>1803000</v>
      </c>
      <c r="Q2766" s="6">
        <f>COUNTIF($P$2:$P$3691,P2766)</f>
        <v>9</v>
      </c>
    </row>
    <row r="2767" spans="1:17" x14ac:dyDescent="0.2">
      <c r="A2767" s="16">
        <f>P2767</f>
        <v>1812930</v>
      </c>
      <c r="B2767">
        <v>2015</v>
      </c>
      <c r="C2767" t="s">
        <v>904</v>
      </c>
      <c r="D2767" t="s">
        <v>906</v>
      </c>
      <c r="E2767" t="s">
        <v>3673</v>
      </c>
      <c r="F2767" t="s">
        <v>608</v>
      </c>
      <c r="G2767" t="s">
        <v>301</v>
      </c>
      <c r="H2767" s="6">
        <v>153077</v>
      </c>
      <c r="I2767" s="6">
        <v>7.4436860836666675E-4</v>
      </c>
      <c r="J2767" s="6">
        <v>4325.5259832187003</v>
      </c>
      <c r="K2767" s="6">
        <v>629450.00513258704</v>
      </c>
      <c r="M2767" s="6">
        <f>SUM(H2767,J2767)</f>
        <v>157402.52598321869</v>
      </c>
      <c r="N2767" s="6">
        <f>K2767</f>
        <v>629450.00513258704</v>
      </c>
      <c r="O2767" s="6">
        <f>SUM(M2767:N2767)</f>
        <v>786852.53111580573</v>
      </c>
      <c r="P2767" s="8">
        <f>VLOOKUP(F2767,'LEAID Match'!$A$2:$B$436,2,FALSE)</f>
        <v>1812930</v>
      </c>
      <c r="Q2767" s="6">
        <f>COUNTIF($P$2:$P$3691,P2767)</f>
        <v>9</v>
      </c>
    </row>
    <row r="2768" spans="1:17" x14ac:dyDescent="0.2">
      <c r="A2768" s="16">
        <f>P2768</f>
        <v>1812930</v>
      </c>
      <c r="B2768">
        <v>2016</v>
      </c>
      <c r="C2768" t="s">
        <v>904</v>
      </c>
      <c r="D2768" t="s">
        <v>906</v>
      </c>
      <c r="E2768" t="s">
        <v>3674</v>
      </c>
      <c r="F2768" t="s">
        <v>608</v>
      </c>
      <c r="G2768" t="s">
        <v>301</v>
      </c>
      <c r="H2768" s="6">
        <v>157398</v>
      </c>
      <c r="I2768" s="6">
        <v>7.3034605103298946E-4</v>
      </c>
      <c r="J2768" s="6">
        <v>3686.7868656145306</v>
      </c>
      <c r="K2768" s="6">
        <v>648182.120291778</v>
      </c>
      <c r="M2768" s="6">
        <f>SUM(H2768,J2768)</f>
        <v>161084.78686561453</v>
      </c>
      <c r="N2768" s="6">
        <f>K2768</f>
        <v>648182.120291778</v>
      </c>
      <c r="O2768" s="6">
        <f>SUM(M2768:N2768)</f>
        <v>809266.90715739247</v>
      </c>
      <c r="P2768" s="8">
        <f>VLOOKUP(F2768,'LEAID Match'!$A$2:$B$436,2,FALSE)</f>
        <v>1812930</v>
      </c>
      <c r="Q2768" s="6">
        <f>COUNTIF($P$2:$P$3691,P2768)</f>
        <v>9</v>
      </c>
    </row>
    <row r="2769" spans="1:17" x14ac:dyDescent="0.2">
      <c r="A2769" s="16">
        <f>P2769</f>
        <v>1812930</v>
      </c>
      <c r="B2769">
        <v>2017</v>
      </c>
      <c r="C2769" t="s">
        <v>904</v>
      </c>
      <c r="D2769" t="s">
        <v>906</v>
      </c>
      <c r="E2769" t="s">
        <v>3675</v>
      </c>
      <c r="F2769" t="s">
        <v>608</v>
      </c>
      <c r="G2769" t="s">
        <v>301</v>
      </c>
      <c r="H2769" s="6">
        <v>161014</v>
      </c>
      <c r="I2769" s="6">
        <v>7.0901352477182884E-4</v>
      </c>
      <c r="J2769" s="6">
        <v>3208.2861995925255</v>
      </c>
      <c r="K2769" s="6">
        <v>617550.78007626196</v>
      </c>
      <c r="M2769" s="6">
        <f>SUM(H2769,J2769)</f>
        <v>164222.28619959252</v>
      </c>
      <c r="N2769" s="6">
        <f>K2769</f>
        <v>617550.78007626196</v>
      </c>
      <c r="O2769" s="6">
        <f>SUM(M2769:N2769)</f>
        <v>781773.06627585448</v>
      </c>
      <c r="P2769" s="8">
        <f>VLOOKUP(F2769,'LEAID Match'!$A$2:$B$436,2,FALSE)</f>
        <v>1812930</v>
      </c>
      <c r="Q2769" s="6">
        <f>COUNTIF($P$2:$P$3691,P2769)</f>
        <v>9</v>
      </c>
    </row>
    <row r="2770" spans="1:17" x14ac:dyDescent="0.2">
      <c r="A2770" s="16">
        <f>P2770</f>
        <v>1812930</v>
      </c>
      <c r="B2770">
        <v>2018</v>
      </c>
      <c r="C2770" t="s">
        <v>904</v>
      </c>
      <c r="D2770" t="s">
        <v>906</v>
      </c>
      <c r="E2770" t="s">
        <v>3676</v>
      </c>
      <c r="F2770" t="s">
        <v>608</v>
      </c>
      <c r="G2770" t="s">
        <v>301</v>
      </c>
      <c r="H2770" s="6">
        <v>186898</v>
      </c>
      <c r="I2770" s="6">
        <v>7.9289062140525362E-4</v>
      </c>
      <c r="J2770" s="6">
        <v>3304.7681100170971</v>
      </c>
      <c r="K2770" s="6">
        <v>916064</v>
      </c>
      <c r="M2770" s="6">
        <f>SUM(H2770,J2770)</f>
        <v>190202.76811001709</v>
      </c>
      <c r="N2770" s="6">
        <f>K2770</f>
        <v>916064</v>
      </c>
      <c r="O2770" s="6">
        <f>SUM(M2770:N2770)</f>
        <v>1106266.7681100171</v>
      </c>
      <c r="P2770" s="8">
        <f>VLOOKUP(F2770,'LEAID Match'!$A$2:$B$436,2,FALSE)</f>
        <v>1812930</v>
      </c>
      <c r="Q2770" s="6">
        <f>COUNTIF($P$2:$P$3691,P2770)</f>
        <v>9</v>
      </c>
    </row>
    <row r="2771" spans="1:17" x14ac:dyDescent="0.2">
      <c r="A2771" s="16">
        <f>P2771</f>
        <v>1812930</v>
      </c>
      <c r="B2771">
        <v>2019</v>
      </c>
      <c r="C2771" t="s">
        <v>904</v>
      </c>
      <c r="D2771" t="s">
        <v>906</v>
      </c>
      <c r="E2771" t="s">
        <v>3677</v>
      </c>
      <c r="F2771" t="s">
        <v>608</v>
      </c>
      <c r="G2771" t="s">
        <v>301</v>
      </c>
      <c r="H2771" s="6">
        <v>195423</v>
      </c>
      <c r="I2771" s="6">
        <v>4.971550521370192E-4</v>
      </c>
      <c r="J2771" s="6">
        <v>1742.5284577402522</v>
      </c>
      <c r="K2771" s="6">
        <v>469264.65371213201</v>
      </c>
      <c r="M2771" s="6">
        <f>SUM(H2771,J2771)</f>
        <v>197165.52845774026</v>
      </c>
      <c r="N2771" s="6">
        <f>K2771</f>
        <v>469264.65371213201</v>
      </c>
      <c r="O2771" s="6">
        <f>SUM(M2771:N2771)</f>
        <v>666430.18216987234</v>
      </c>
      <c r="P2771" s="8">
        <f>VLOOKUP(F2771,'LEAID Match'!$A$2:$B$436,2,FALSE)</f>
        <v>1812930</v>
      </c>
      <c r="Q2771" s="6">
        <f>COUNTIF($P$2:$P$3691,P2771)</f>
        <v>9</v>
      </c>
    </row>
    <row r="2772" spans="1:17" x14ac:dyDescent="0.2">
      <c r="A2772" s="16">
        <f>P2772</f>
        <v>1812930</v>
      </c>
      <c r="B2772">
        <v>2020</v>
      </c>
      <c r="C2772" t="s">
        <v>904</v>
      </c>
      <c r="D2772" t="s">
        <v>906</v>
      </c>
      <c r="E2772" t="s">
        <v>3678</v>
      </c>
      <c r="F2772" t="s">
        <v>608</v>
      </c>
      <c r="G2772" t="s">
        <v>301</v>
      </c>
      <c r="H2772" s="6">
        <v>162964</v>
      </c>
      <c r="I2772" s="6">
        <v>8.6349860253472587E-4</v>
      </c>
      <c r="J2772" s="6">
        <v>2034.4027075718141</v>
      </c>
      <c r="K2772" s="6">
        <v>982203</v>
      </c>
      <c r="M2772" s="6">
        <f>SUM(H2772,J2772)</f>
        <v>164998.4027075718</v>
      </c>
      <c r="N2772" s="6">
        <f>K2772</f>
        <v>982203</v>
      </c>
      <c r="O2772" s="6">
        <f>SUM(M2772:N2772)</f>
        <v>1147201.4027075719</v>
      </c>
      <c r="P2772" s="8">
        <f>VLOOKUP(F2772,'LEAID Match'!$A$2:$B$436,2,FALSE)</f>
        <v>1812930</v>
      </c>
      <c r="Q2772" s="6">
        <f>COUNTIF($P$2:$P$3691,P2772)</f>
        <v>9</v>
      </c>
    </row>
    <row r="2773" spans="1:17" x14ac:dyDescent="0.2">
      <c r="A2773" s="16">
        <f>P2773</f>
        <v>1812930</v>
      </c>
      <c r="B2773">
        <v>2021</v>
      </c>
      <c r="C2773" t="s">
        <v>904</v>
      </c>
      <c r="D2773" t="s">
        <v>906</v>
      </c>
      <c r="E2773" t="s">
        <v>3679</v>
      </c>
      <c r="F2773" t="s">
        <v>608</v>
      </c>
      <c r="G2773" t="s">
        <v>301</v>
      </c>
      <c r="H2773" s="6">
        <v>182983</v>
      </c>
      <c r="I2773" s="6">
        <v>9.0395303722326981E-4</v>
      </c>
      <c r="J2773" s="6">
        <v>2037.5101459012501</v>
      </c>
      <c r="K2773" s="6">
        <v>1653199</v>
      </c>
      <c r="M2773" s="6">
        <f>SUM(H2773,J2773)</f>
        <v>185020.51014590124</v>
      </c>
      <c r="N2773" s="6">
        <f>K2773</f>
        <v>1653199</v>
      </c>
      <c r="O2773" s="6">
        <f>SUM(M2773:N2773)</f>
        <v>1838219.5101459012</v>
      </c>
      <c r="P2773" s="8">
        <f>VLOOKUP(F2773,'LEAID Match'!$A$2:$B$436,2,FALSE)</f>
        <v>1812930</v>
      </c>
      <c r="Q2773" s="6">
        <f>COUNTIF($P$2:$P$3691,P2773)</f>
        <v>9</v>
      </c>
    </row>
    <row r="2774" spans="1:17" x14ac:dyDescent="0.2">
      <c r="A2774" s="16">
        <f>P2774</f>
        <v>1812930</v>
      </c>
      <c r="B2774">
        <v>2022</v>
      </c>
      <c r="C2774" t="s">
        <v>904</v>
      </c>
      <c r="D2774" t="s">
        <v>906</v>
      </c>
      <c r="E2774" t="s">
        <v>3680</v>
      </c>
      <c r="F2774" t="s">
        <v>608</v>
      </c>
      <c r="G2774" t="s">
        <v>301</v>
      </c>
      <c r="H2774" s="6">
        <v>186322</v>
      </c>
      <c r="I2774" s="6">
        <v>8.8469148415526585E-4</v>
      </c>
      <c r="J2774" s="6">
        <v>1950.7447225623612</v>
      </c>
      <c r="K2774" s="6">
        <v>1639249</v>
      </c>
      <c r="M2774" s="6">
        <f>SUM(H2774,J2774)</f>
        <v>188272.74472256235</v>
      </c>
      <c r="N2774" s="6">
        <f>K2774</f>
        <v>1639249</v>
      </c>
      <c r="O2774" s="6">
        <f>SUM(M2774:N2774)</f>
        <v>1827521.7447225624</v>
      </c>
      <c r="P2774" s="8">
        <f>VLOOKUP(F2774,'LEAID Match'!$A$2:$B$436,2,FALSE)</f>
        <v>1812930</v>
      </c>
      <c r="Q2774" s="6">
        <f>COUNTIF($P$2:$P$3691,P2774)</f>
        <v>9</v>
      </c>
    </row>
    <row r="2775" spans="1:17" x14ac:dyDescent="0.2">
      <c r="A2775" s="16">
        <f>P2775</f>
        <v>1812930</v>
      </c>
      <c r="B2775">
        <v>2023</v>
      </c>
      <c r="C2775" t="s">
        <v>904</v>
      </c>
      <c r="D2775" t="s">
        <v>906</v>
      </c>
      <c r="E2775" t="s">
        <v>3681</v>
      </c>
      <c r="F2775" t="s">
        <v>608</v>
      </c>
      <c r="G2775" t="s">
        <v>301</v>
      </c>
      <c r="H2775" s="6">
        <v>214996</v>
      </c>
      <c r="I2775" s="6">
        <v>8.7921550990532806E-4</v>
      </c>
      <c r="J2775" s="6">
        <v>2169.0246629364442</v>
      </c>
      <c r="K2775" s="6">
        <v>4476395</v>
      </c>
      <c r="M2775" s="6">
        <f>SUM(H2775,J2775)</f>
        <v>217165.02466293646</v>
      </c>
      <c r="N2775" s="6">
        <f>K2775</f>
        <v>4476395</v>
      </c>
      <c r="O2775" s="6">
        <f>SUM(M2775:N2775)</f>
        <v>4693560.0246629361</v>
      </c>
      <c r="P2775" s="8">
        <f>VLOOKUP(F2775,'LEAID Match'!$A$2:$B$436,2,FALSE)</f>
        <v>1812930</v>
      </c>
      <c r="Q2775" s="6">
        <f>COUNTIF($P$2:$P$3691,P2775)</f>
        <v>9</v>
      </c>
    </row>
    <row r="2776" spans="1:17" x14ac:dyDescent="0.2">
      <c r="A2776" s="16">
        <f>P2776</f>
        <v>1809810</v>
      </c>
      <c r="B2776">
        <v>2015</v>
      </c>
      <c r="C2776" t="s">
        <v>904</v>
      </c>
      <c r="D2776" t="s">
        <v>906</v>
      </c>
      <c r="E2776" t="s">
        <v>3682</v>
      </c>
      <c r="F2776" t="s">
        <v>778</v>
      </c>
      <c r="G2776" t="s">
        <v>302</v>
      </c>
      <c r="H2776" s="6">
        <v>371205</v>
      </c>
      <c r="I2776" s="6">
        <v>1.8050611735841997E-3</v>
      </c>
      <c r="J2776" s="6">
        <v>10489.210479697784</v>
      </c>
      <c r="K2776" s="6">
        <v>1526388.6093615701</v>
      </c>
      <c r="M2776" s="6">
        <f>SUM(H2776,J2776)</f>
        <v>381694.21047969779</v>
      </c>
      <c r="N2776" s="6">
        <f>K2776</f>
        <v>1526388.6093615701</v>
      </c>
      <c r="O2776" s="6">
        <f>SUM(M2776:N2776)</f>
        <v>1908082.819841268</v>
      </c>
      <c r="P2776" s="8">
        <f>VLOOKUP(F2776,'LEAID Match'!$A$2:$B$436,2,FALSE)</f>
        <v>1809810</v>
      </c>
      <c r="Q2776" s="6">
        <f>COUNTIF($P$2:$P$3691,P2776)</f>
        <v>9</v>
      </c>
    </row>
    <row r="2777" spans="1:17" x14ac:dyDescent="0.2">
      <c r="A2777" s="16">
        <f>P2777</f>
        <v>1809810</v>
      </c>
      <c r="B2777">
        <v>2016</v>
      </c>
      <c r="C2777" t="s">
        <v>904</v>
      </c>
      <c r="D2777" t="s">
        <v>906</v>
      </c>
      <c r="E2777" t="s">
        <v>3683</v>
      </c>
      <c r="F2777" t="s">
        <v>778</v>
      </c>
      <c r="G2777" t="s">
        <v>302</v>
      </c>
      <c r="H2777" s="6">
        <v>379908</v>
      </c>
      <c r="I2777" s="6">
        <v>1.7628197788780097E-3</v>
      </c>
      <c r="J2777" s="6">
        <v>8898.7142437761922</v>
      </c>
      <c r="K2777" s="6">
        <v>1564502.55375423</v>
      </c>
      <c r="M2777" s="6">
        <f>SUM(H2777,J2777)</f>
        <v>388806.71424377616</v>
      </c>
      <c r="N2777" s="6">
        <f>K2777</f>
        <v>1564502.55375423</v>
      </c>
      <c r="O2777" s="6">
        <f>SUM(M2777:N2777)</f>
        <v>1953309.2679980062</v>
      </c>
      <c r="P2777" s="8">
        <f>VLOOKUP(F2777,'LEAID Match'!$A$2:$B$436,2,FALSE)</f>
        <v>1809810</v>
      </c>
      <c r="Q2777" s="6">
        <f>COUNTIF($P$2:$P$3691,P2777)</f>
        <v>9</v>
      </c>
    </row>
    <row r="2778" spans="1:17" x14ac:dyDescent="0.2">
      <c r="A2778" s="16">
        <f>P2778</f>
        <v>1809810</v>
      </c>
      <c r="B2778">
        <v>2017</v>
      </c>
      <c r="C2778" t="s">
        <v>904</v>
      </c>
      <c r="D2778" t="s">
        <v>906</v>
      </c>
      <c r="E2778" t="s">
        <v>3684</v>
      </c>
      <c r="F2778" t="s">
        <v>778</v>
      </c>
      <c r="G2778" t="s">
        <v>302</v>
      </c>
      <c r="H2778" s="6">
        <v>391481</v>
      </c>
      <c r="I2778" s="6">
        <v>1.7238583209609121E-3</v>
      </c>
      <c r="J2778" s="6">
        <v>7800.4589023481276</v>
      </c>
      <c r="K2778" s="6">
        <v>1501480.5975569501</v>
      </c>
      <c r="M2778" s="6">
        <f>SUM(H2778,J2778)</f>
        <v>399281.45890234812</v>
      </c>
      <c r="N2778" s="6">
        <f>K2778</f>
        <v>1501480.5975569501</v>
      </c>
      <c r="O2778" s="6">
        <f>SUM(M2778:N2778)</f>
        <v>1900762.0564592981</v>
      </c>
      <c r="P2778" s="8">
        <f>VLOOKUP(F2778,'LEAID Match'!$A$2:$B$436,2,FALSE)</f>
        <v>1809810</v>
      </c>
      <c r="Q2778" s="6">
        <f>COUNTIF($P$2:$P$3691,P2778)</f>
        <v>9</v>
      </c>
    </row>
    <row r="2779" spans="1:17" x14ac:dyDescent="0.2">
      <c r="A2779" s="16">
        <f>P2779</f>
        <v>1809810</v>
      </c>
      <c r="B2779">
        <v>2018</v>
      </c>
      <c r="C2779" t="s">
        <v>904</v>
      </c>
      <c r="D2779" t="s">
        <v>906</v>
      </c>
      <c r="E2779" t="s">
        <v>3685</v>
      </c>
      <c r="F2779" t="s">
        <v>778</v>
      </c>
      <c r="G2779" t="s">
        <v>302</v>
      </c>
      <c r="H2779" s="6">
        <v>442154</v>
      </c>
      <c r="I2779" s="6">
        <v>1.8757812272834299E-3</v>
      </c>
      <c r="J2779" s="6">
        <v>7818.2561553173355</v>
      </c>
      <c r="K2779" s="6">
        <v>1899961</v>
      </c>
      <c r="M2779" s="6">
        <f>SUM(H2779,J2779)</f>
        <v>449972.25615531736</v>
      </c>
      <c r="N2779" s="6">
        <f>K2779</f>
        <v>1899961</v>
      </c>
      <c r="O2779" s="6">
        <f>SUM(M2779:N2779)</f>
        <v>2349933.2561553172</v>
      </c>
      <c r="P2779" s="8">
        <f>VLOOKUP(F2779,'LEAID Match'!$A$2:$B$436,2,FALSE)</f>
        <v>1809810</v>
      </c>
      <c r="Q2779" s="6">
        <f>COUNTIF($P$2:$P$3691,P2779)</f>
        <v>9</v>
      </c>
    </row>
    <row r="2780" spans="1:17" x14ac:dyDescent="0.2">
      <c r="A2780" s="16">
        <f>P2780</f>
        <v>1809810</v>
      </c>
      <c r="B2780">
        <v>2019</v>
      </c>
      <c r="C2780" t="s">
        <v>904</v>
      </c>
      <c r="D2780" t="s">
        <v>906</v>
      </c>
      <c r="E2780" t="s">
        <v>3686</v>
      </c>
      <c r="F2780" t="s">
        <v>778</v>
      </c>
      <c r="G2780" t="s">
        <v>302</v>
      </c>
      <c r="H2780" s="6">
        <v>436007</v>
      </c>
      <c r="I2780" s="6">
        <v>1.1091994433465116E-3</v>
      </c>
      <c r="J2780" s="6">
        <v>3887.7440489295232</v>
      </c>
      <c r="K2780" s="6">
        <v>1046973.35457477</v>
      </c>
      <c r="M2780" s="6">
        <f>SUM(H2780,J2780)</f>
        <v>439894.74404892954</v>
      </c>
      <c r="N2780" s="6">
        <f>K2780</f>
        <v>1046973.35457477</v>
      </c>
      <c r="O2780" s="6">
        <f>SUM(M2780:N2780)</f>
        <v>1486868.0986236995</v>
      </c>
      <c r="P2780" s="8">
        <f>VLOOKUP(F2780,'LEAID Match'!$A$2:$B$436,2,FALSE)</f>
        <v>1809810</v>
      </c>
      <c r="Q2780" s="6">
        <f>COUNTIF($P$2:$P$3691,P2780)</f>
        <v>9</v>
      </c>
    </row>
    <row r="2781" spans="1:17" x14ac:dyDescent="0.2">
      <c r="A2781" s="16">
        <f>P2781</f>
        <v>1809810</v>
      </c>
      <c r="B2781">
        <v>2020</v>
      </c>
      <c r="C2781" t="s">
        <v>904</v>
      </c>
      <c r="D2781" t="s">
        <v>906</v>
      </c>
      <c r="E2781" t="s">
        <v>3687</v>
      </c>
      <c r="F2781" t="s">
        <v>778</v>
      </c>
      <c r="G2781" t="s">
        <v>302</v>
      </c>
      <c r="H2781" s="6">
        <v>325447</v>
      </c>
      <c r="I2781" s="6">
        <v>1.7244485266630601E-3</v>
      </c>
      <c r="J2781" s="6">
        <v>4062.8007288181698</v>
      </c>
      <c r="K2781" s="6">
        <v>2010632</v>
      </c>
      <c r="M2781" s="6">
        <f>SUM(H2781,J2781)</f>
        <v>329509.80072881817</v>
      </c>
      <c r="N2781" s="6">
        <f>K2781</f>
        <v>2010632</v>
      </c>
      <c r="O2781" s="6">
        <f>SUM(M2781:N2781)</f>
        <v>2340141.8007288184</v>
      </c>
      <c r="P2781" s="8">
        <f>VLOOKUP(F2781,'LEAID Match'!$A$2:$B$436,2,FALSE)</f>
        <v>1809810</v>
      </c>
      <c r="Q2781" s="6">
        <f>COUNTIF($P$2:$P$3691,P2781)</f>
        <v>9</v>
      </c>
    </row>
    <row r="2782" spans="1:17" x14ac:dyDescent="0.2">
      <c r="A2782" s="16">
        <f>P2782</f>
        <v>1809810</v>
      </c>
      <c r="B2782">
        <v>2021</v>
      </c>
      <c r="C2782" t="s">
        <v>904</v>
      </c>
      <c r="D2782" t="s">
        <v>906</v>
      </c>
      <c r="E2782" t="s">
        <v>3688</v>
      </c>
      <c r="F2782" t="s">
        <v>778</v>
      </c>
      <c r="G2782" t="s">
        <v>302</v>
      </c>
      <c r="H2782" s="6">
        <v>336235</v>
      </c>
      <c r="I2782" s="6">
        <v>1.6610321694953416E-3</v>
      </c>
      <c r="J2782" s="6">
        <v>3743.9665100425</v>
      </c>
      <c r="K2782" s="6">
        <v>3182045</v>
      </c>
      <c r="M2782" s="6">
        <f>SUM(H2782,J2782)</f>
        <v>339978.96651004249</v>
      </c>
      <c r="N2782" s="6">
        <f>K2782</f>
        <v>3182045</v>
      </c>
      <c r="O2782" s="6">
        <f>SUM(M2782:N2782)</f>
        <v>3522023.9665100425</v>
      </c>
      <c r="P2782" s="8">
        <f>VLOOKUP(F2782,'LEAID Match'!$A$2:$B$436,2,FALSE)</f>
        <v>1809810</v>
      </c>
      <c r="Q2782" s="6">
        <f>COUNTIF($P$2:$P$3691,P2782)</f>
        <v>9</v>
      </c>
    </row>
    <row r="2783" spans="1:17" x14ac:dyDescent="0.2">
      <c r="A2783" s="16">
        <f>P2783</f>
        <v>1809810</v>
      </c>
      <c r="B2783">
        <v>2022</v>
      </c>
      <c r="C2783" t="s">
        <v>904</v>
      </c>
      <c r="D2783" t="s">
        <v>906</v>
      </c>
      <c r="E2783" t="s">
        <v>3689</v>
      </c>
      <c r="F2783" t="s">
        <v>778</v>
      </c>
      <c r="G2783" t="s">
        <v>302</v>
      </c>
      <c r="H2783" s="6">
        <v>352417</v>
      </c>
      <c r="I2783" s="6">
        <v>1.6733414130996143E-3</v>
      </c>
      <c r="J2783" s="6">
        <v>3689.7178158846496</v>
      </c>
      <c r="K2783" s="6">
        <v>3087952</v>
      </c>
      <c r="M2783" s="6">
        <f>SUM(H2783,J2783)</f>
        <v>356106.71781588462</v>
      </c>
      <c r="N2783" s="6">
        <f>K2783</f>
        <v>3087952</v>
      </c>
      <c r="O2783" s="6">
        <f>SUM(M2783:N2783)</f>
        <v>3444058.7178158844</v>
      </c>
      <c r="P2783" s="8">
        <f>VLOOKUP(F2783,'LEAID Match'!$A$2:$B$436,2,FALSE)</f>
        <v>1809810</v>
      </c>
      <c r="Q2783" s="6">
        <f>COUNTIF($P$2:$P$3691,P2783)</f>
        <v>9</v>
      </c>
    </row>
    <row r="2784" spans="1:17" x14ac:dyDescent="0.2">
      <c r="A2784" s="16">
        <f>P2784</f>
        <v>1809810</v>
      </c>
      <c r="B2784">
        <v>2023</v>
      </c>
      <c r="C2784" t="s">
        <v>904</v>
      </c>
      <c r="D2784" t="s">
        <v>906</v>
      </c>
      <c r="E2784" t="s">
        <v>3690</v>
      </c>
      <c r="F2784" t="s">
        <v>778</v>
      </c>
      <c r="G2784" t="s">
        <v>302</v>
      </c>
      <c r="H2784" s="6">
        <v>368996</v>
      </c>
      <c r="I2784" s="6">
        <v>1.5089908942167597E-3</v>
      </c>
      <c r="J2784" s="6">
        <v>3722.6805360327462</v>
      </c>
      <c r="K2784" s="6">
        <v>8521244</v>
      </c>
      <c r="M2784" s="6">
        <f>SUM(H2784,J2784)</f>
        <v>372718.68053603277</v>
      </c>
      <c r="N2784" s="6">
        <f>K2784</f>
        <v>8521244</v>
      </c>
      <c r="O2784" s="6">
        <f>SUM(M2784:N2784)</f>
        <v>8893962.6805360336</v>
      </c>
      <c r="P2784" s="8">
        <f>VLOOKUP(F2784,'LEAID Match'!$A$2:$B$436,2,FALSE)</f>
        <v>1809810</v>
      </c>
      <c r="Q2784" s="6">
        <f>COUNTIF($P$2:$P$3691,P2784)</f>
        <v>9</v>
      </c>
    </row>
    <row r="2785" spans="1:17" x14ac:dyDescent="0.2">
      <c r="A2785" s="16">
        <f>P2785</f>
        <v>1810310</v>
      </c>
      <c r="B2785">
        <v>2015</v>
      </c>
      <c r="C2785" t="s">
        <v>904</v>
      </c>
      <c r="D2785" t="s">
        <v>906</v>
      </c>
      <c r="E2785" t="s">
        <v>3691</v>
      </c>
      <c r="F2785" t="s">
        <v>779</v>
      </c>
      <c r="G2785" t="s">
        <v>303</v>
      </c>
      <c r="H2785" s="6">
        <v>188340</v>
      </c>
      <c r="I2785" s="6">
        <v>9.1584224736425478E-4</v>
      </c>
      <c r="J2785" s="6">
        <v>5321.9592994336845</v>
      </c>
      <c r="K2785" s="6">
        <v>774450.85784717102</v>
      </c>
      <c r="M2785" s="6">
        <f>SUM(H2785,J2785)</f>
        <v>193661.95929943369</v>
      </c>
      <c r="N2785" s="6">
        <f>K2785</f>
        <v>774450.85784717102</v>
      </c>
      <c r="O2785" s="6">
        <f>SUM(M2785:N2785)</f>
        <v>968112.81714660465</v>
      </c>
      <c r="P2785" s="8">
        <f>VLOOKUP(F2785,'LEAID Match'!$A$2:$B$436,2,FALSE)</f>
        <v>1810310</v>
      </c>
      <c r="Q2785" s="6">
        <f>COUNTIF($P$2:$P$3691,P2785)</f>
        <v>9</v>
      </c>
    </row>
    <row r="2786" spans="1:17" x14ac:dyDescent="0.2">
      <c r="A2786" s="16">
        <f>P2786</f>
        <v>1810310</v>
      </c>
      <c r="B2786">
        <v>2016</v>
      </c>
      <c r="C2786" t="s">
        <v>904</v>
      </c>
      <c r="D2786" t="s">
        <v>906</v>
      </c>
      <c r="E2786" t="s">
        <v>3692</v>
      </c>
      <c r="F2786" t="s">
        <v>779</v>
      </c>
      <c r="G2786" t="s">
        <v>303</v>
      </c>
      <c r="H2786" s="6">
        <v>202840</v>
      </c>
      <c r="I2786" s="6">
        <v>9.4120251204927367E-4</v>
      </c>
      <c r="J2786" s="6">
        <v>4751.1902808247332</v>
      </c>
      <c r="K2786" s="6">
        <v>835317.22944372997</v>
      </c>
      <c r="M2786" s="6">
        <f>SUM(H2786,J2786)</f>
        <v>207591.19028082473</v>
      </c>
      <c r="N2786" s="6">
        <f>K2786</f>
        <v>835317.22944372997</v>
      </c>
      <c r="O2786" s="6">
        <f>SUM(M2786:N2786)</f>
        <v>1042908.4197245548</v>
      </c>
      <c r="P2786" s="8">
        <f>VLOOKUP(F2786,'LEAID Match'!$A$2:$B$436,2,FALSE)</f>
        <v>1810310</v>
      </c>
      <c r="Q2786" s="6">
        <f>COUNTIF($P$2:$P$3691,P2786)</f>
        <v>9</v>
      </c>
    </row>
    <row r="2787" spans="1:17" x14ac:dyDescent="0.2">
      <c r="A2787" s="16">
        <f>P2787</f>
        <v>1810310</v>
      </c>
      <c r="B2787">
        <v>2017</v>
      </c>
      <c r="C2787" t="s">
        <v>904</v>
      </c>
      <c r="D2787" t="s">
        <v>906</v>
      </c>
      <c r="E2787" t="s">
        <v>3693</v>
      </c>
      <c r="F2787" t="s">
        <v>779</v>
      </c>
      <c r="G2787" t="s">
        <v>303</v>
      </c>
      <c r="H2787" s="6">
        <v>206849</v>
      </c>
      <c r="I2787" s="6">
        <v>9.1084463826454848E-4</v>
      </c>
      <c r="J2787" s="6">
        <v>4121.5719881470823</v>
      </c>
      <c r="K2787" s="6">
        <v>793345.67992842104</v>
      </c>
      <c r="M2787" s="6">
        <f>SUM(H2787,J2787)</f>
        <v>210970.57198814707</v>
      </c>
      <c r="N2787" s="6">
        <f>K2787</f>
        <v>793345.67992842104</v>
      </c>
      <c r="O2787" s="6">
        <f>SUM(M2787:N2787)</f>
        <v>1004316.2519165681</v>
      </c>
      <c r="P2787" s="8">
        <f>VLOOKUP(F2787,'LEAID Match'!$A$2:$B$436,2,FALSE)</f>
        <v>1810310</v>
      </c>
      <c r="Q2787" s="6">
        <f>COUNTIF($P$2:$P$3691,P2787)</f>
        <v>9</v>
      </c>
    </row>
    <row r="2788" spans="1:17" x14ac:dyDescent="0.2">
      <c r="A2788" s="16">
        <f>P2788</f>
        <v>1810310</v>
      </c>
      <c r="B2788">
        <v>2018</v>
      </c>
      <c r="C2788" t="s">
        <v>904</v>
      </c>
      <c r="D2788" t="s">
        <v>906</v>
      </c>
      <c r="E2788" t="s">
        <v>3694</v>
      </c>
      <c r="F2788" t="s">
        <v>779</v>
      </c>
      <c r="G2788" t="s">
        <v>303</v>
      </c>
      <c r="H2788" s="6">
        <v>34679</v>
      </c>
      <c r="I2788" s="6">
        <v>1.4712117764616417E-4</v>
      </c>
      <c r="J2788" s="6">
        <v>613.20106842921223</v>
      </c>
      <c r="K2788" s="6">
        <v>207629</v>
      </c>
      <c r="M2788" s="6">
        <f>SUM(H2788,J2788)</f>
        <v>35292.201068429211</v>
      </c>
      <c r="N2788" s="6">
        <f>K2788</f>
        <v>207629</v>
      </c>
      <c r="O2788" s="6">
        <f>SUM(M2788:N2788)</f>
        <v>242921.20106842922</v>
      </c>
      <c r="P2788" s="8">
        <f>VLOOKUP(F2788,'LEAID Match'!$A$2:$B$436,2,FALSE)</f>
        <v>1810310</v>
      </c>
      <c r="Q2788" s="6">
        <f>COUNTIF($P$2:$P$3691,P2788)</f>
        <v>9</v>
      </c>
    </row>
    <row r="2789" spans="1:17" x14ac:dyDescent="0.2">
      <c r="A2789" s="16">
        <f>P2789</f>
        <v>1810310</v>
      </c>
      <c r="B2789">
        <v>2019</v>
      </c>
      <c r="C2789" t="s">
        <v>904</v>
      </c>
      <c r="D2789" t="s">
        <v>906</v>
      </c>
      <c r="E2789" t="s">
        <v>3695</v>
      </c>
      <c r="F2789" t="s">
        <v>779</v>
      </c>
      <c r="G2789" t="s">
        <v>303</v>
      </c>
      <c r="H2789" s="6">
        <v>7297</v>
      </c>
      <c r="I2789" s="6">
        <v>1.8563528425230546E-5</v>
      </c>
      <c r="J2789" s="6">
        <v>65.065167130433068</v>
      </c>
      <c r="K2789" s="6">
        <v>17522.114480575099</v>
      </c>
      <c r="M2789" s="6">
        <f>SUM(H2789,J2789)</f>
        <v>7362.0651671304331</v>
      </c>
      <c r="N2789" s="6">
        <f>K2789</f>
        <v>17522.114480575099</v>
      </c>
      <c r="O2789" s="6">
        <f>SUM(M2789:N2789)</f>
        <v>24884.179647705532</v>
      </c>
      <c r="P2789" s="8">
        <f>VLOOKUP(F2789,'LEAID Match'!$A$2:$B$436,2,FALSE)</f>
        <v>1810310</v>
      </c>
      <c r="Q2789" s="6">
        <f>COUNTIF($P$2:$P$3691,P2789)</f>
        <v>9</v>
      </c>
    </row>
    <row r="2790" spans="1:17" x14ac:dyDescent="0.2">
      <c r="A2790" s="16">
        <f>P2790</f>
        <v>1810310</v>
      </c>
      <c r="B2790">
        <v>2020</v>
      </c>
      <c r="C2790" t="s">
        <v>904</v>
      </c>
      <c r="D2790" t="s">
        <v>906</v>
      </c>
      <c r="E2790" t="s">
        <v>3696</v>
      </c>
      <c r="F2790" t="s">
        <v>779</v>
      </c>
      <c r="G2790" t="s">
        <v>303</v>
      </c>
      <c r="H2790" s="6">
        <v>4812</v>
      </c>
      <c r="I2790" s="6">
        <v>2.5497381479327341E-5</v>
      </c>
      <c r="J2790" s="6">
        <v>60.071830765295218</v>
      </c>
      <c r="K2790" s="6">
        <v>236374</v>
      </c>
      <c r="M2790" s="6">
        <f>SUM(H2790,J2790)</f>
        <v>4872.0718307652951</v>
      </c>
      <c r="N2790" s="6">
        <f>K2790</f>
        <v>236374</v>
      </c>
      <c r="O2790" s="6">
        <f>SUM(M2790:N2790)</f>
        <v>241246.07183076529</v>
      </c>
      <c r="P2790" s="8">
        <f>VLOOKUP(F2790,'LEAID Match'!$A$2:$B$436,2,FALSE)</f>
        <v>1810310</v>
      </c>
      <c r="Q2790" s="6">
        <f>COUNTIF($P$2:$P$3691,P2790)</f>
        <v>9</v>
      </c>
    </row>
    <row r="2791" spans="1:17" x14ac:dyDescent="0.2">
      <c r="A2791" s="16">
        <f>P2791</f>
        <v>1810310</v>
      </c>
      <c r="B2791">
        <v>2021</v>
      </c>
      <c r="C2791" t="s">
        <v>904</v>
      </c>
      <c r="D2791" t="s">
        <v>906</v>
      </c>
      <c r="E2791" t="s">
        <v>3697</v>
      </c>
      <c r="F2791" t="s">
        <v>779</v>
      </c>
      <c r="G2791" t="s">
        <v>303</v>
      </c>
      <c r="H2791" s="6">
        <v>8453</v>
      </c>
      <c r="I2791" s="6">
        <v>4.1758606119958134E-5</v>
      </c>
      <c r="J2791" s="6">
        <v>94.123898194385632</v>
      </c>
      <c r="K2791" s="6">
        <v>400713</v>
      </c>
      <c r="M2791" s="6">
        <f>SUM(H2791,J2791)</f>
        <v>8547.1238981943861</v>
      </c>
      <c r="N2791" s="6">
        <f>K2791</f>
        <v>400713</v>
      </c>
      <c r="O2791" s="6">
        <f>SUM(M2791:N2791)</f>
        <v>409260.1238981944</v>
      </c>
      <c r="P2791" s="8">
        <f>VLOOKUP(F2791,'LEAID Match'!$A$2:$B$436,2,FALSE)</f>
        <v>1810310</v>
      </c>
      <c r="Q2791" s="6">
        <f>COUNTIF($P$2:$P$3691,P2791)</f>
        <v>9</v>
      </c>
    </row>
    <row r="2792" spans="1:17" x14ac:dyDescent="0.2">
      <c r="A2792" s="16">
        <f>P2792</f>
        <v>1810310</v>
      </c>
      <c r="B2792">
        <v>2022</v>
      </c>
      <c r="C2792" t="s">
        <v>904</v>
      </c>
      <c r="D2792" t="s">
        <v>906</v>
      </c>
      <c r="E2792" t="s">
        <v>3698</v>
      </c>
      <c r="F2792" t="s">
        <v>779</v>
      </c>
      <c r="G2792" t="s">
        <v>303</v>
      </c>
      <c r="H2792" s="6">
        <v>9344</v>
      </c>
      <c r="I2792" s="6">
        <v>4.4367048593009971E-5</v>
      </c>
      <c r="J2792" s="6">
        <v>97.829342147586985</v>
      </c>
      <c r="K2792" s="6">
        <v>422177</v>
      </c>
      <c r="M2792" s="6">
        <f>SUM(H2792,J2792)</f>
        <v>9441.8293421475864</v>
      </c>
      <c r="N2792" s="6">
        <f>K2792</f>
        <v>422177</v>
      </c>
      <c r="O2792" s="6">
        <f>SUM(M2792:N2792)</f>
        <v>431618.82934214757</v>
      </c>
      <c r="P2792" s="8">
        <f>VLOOKUP(F2792,'LEAID Match'!$A$2:$B$436,2,FALSE)</f>
        <v>1810310</v>
      </c>
      <c r="Q2792" s="6">
        <f>COUNTIF($P$2:$P$3691,P2792)</f>
        <v>9</v>
      </c>
    </row>
    <row r="2793" spans="1:17" x14ac:dyDescent="0.2">
      <c r="A2793" s="16">
        <f>P2793</f>
        <v>1810310</v>
      </c>
      <c r="B2793">
        <v>2023</v>
      </c>
      <c r="C2793" t="s">
        <v>904</v>
      </c>
      <c r="D2793" t="s">
        <v>906</v>
      </c>
      <c r="E2793" t="s">
        <v>3699</v>
      </c>
      <c r="F2793" t="s">
        <v>779</v>
      </c>
      <c r="G2793" t="s">
        <v>303</v>
      </c>
      <c r="H2793" s="6">
        <v>10534</v>
      </c>
      <c r="I2793" s="6">
        <v>4.3078272067120904E-5</v>
      </c>
      <c r="J2793" s="6">
        <v>106.27409718958727</v>
      </c>
      <c r="K2793" s="6">
        <v>971933</v>
      </c>
      <c r="M2793" s="6">
        <f>SUM(H2793,J2793)</f>
        <v>10640.274097189587</v>
      </c>
      <c r="N2793" s="6">
        <f>K2793</f>
        <v>971933</v>
      </c>
      <c r="O2793" s="6">
        <f>SUM(M2793:N2793)</f>
        <v>982573.27409718954</v>
      </c>
      <c r="P2793" s="8">
        <f>VLOOKUP(F2793,'LEAID Match'!$A$2:$B$436,2,FALSE)</f>
        <v>1810310</v>
      </c>
      <c r="Q2793" s="6">
        <f>COUNTIF($P$2:$P$3691,P2793)</f>
        <v>9</v>
      </c>
    </row>
    <row r="2794" spans="1:17" x14ac:dyDescent="0.2">
      <c r="A2794" s="16">
        <f>P2794</f>
        <v>1801560</v>
      </c>
      <c r="B2794">
        <v>2015</v>
      </c>
      <c r="C2794" t="s">
        <v>904</v>
      </c>
      <c r="D2794" t="s">
        <v>906</v>
      </c>
      <c r="E2794" t="s">
        <v>3700</v>
      </c>
      <c r="F2794" t="s">
        <v>780</v>
      </c>
      <c r="G2794" t="s">
        <v>304</v>
      </c>
      <c r="H2794" s="6">
        <v>303532</v>
      </c>
      <c r="I2794" s="6">
        <v>1.4759871988264148E-3</v>
      </c>
      <c r="J2794" s="6">
        <v>8576.9616123802953</v>
      </c>
      <c r="K2794" s="6">
        <v>1248118.3911227901</v>
      </c>
      <c r="M2794" s="6">
        <f>SUM(H2794,J2794)</f>
        <v>312108.96161238028</v>
      </c>
      <c r="N2794" s="6">
        <f>K2794</f>
        <v>1248118.3911227901</v>
      </c>
      <c r="O2794" s="6">
        <f>SUM(M2794:N2794)</f>
        <v>1560227.3527351704</v>
      </c>
      <c r="P2794" s="8">
        <f>VLOOKUP(F2794,'LEAID Match'!$A$2:$B$436,2,FALSE)</f>
        <v>1801560</v>
      </c>
      <c r="Q2794" s="6">
        <f>COUNTIF($P$2:$P$3691,P2794)</f>
        <v>9</v>
      </c>
    </row>
    <row r="2795" spans="1:17" x14ac:dyDescent="0.2">
      <c r="A2795" s="16">
        <f>P2795</f>
        <v>1801560</v>
      </c>
      <c r="B2795">
        <v>2016</v>
      </c>
      <c r="C2795" t="s">
        <v>904</v>
      </c>
      <c r="D2795" t="s">
        <v>906</v>
      </c>
      <c r="E2795" t="s">
        <v>3701</v>
      </c>
      <c r="F2795" t="s">
        <v>780</v>
      </c>
      <c r="G2795" t="s">
        <v>304</v>
      </c>
      <c r="H2795" s="6">
        <v>315266</v>
      </c>
      <c r="I2795" s="6">
        <v>1.4628729597896191E-3</v>
      </c>
      <c r="J2795" s="6">
        <v>7384.5827010179974</v>
      </c>
      <c r="K2795" s="6">
        <v>1298299.7518132799</v>
      </c>
      <c r="M2795" s="6">
        <f>SUM(H2795,J2795)</f>
        <v>322650.58270101802</v>
      </c>
      <c r="N2795" s="6">
        <f>K2795</f>
        <v>1298299.7518132799</v>
      </c>
      <c r="O2795" s="6">
        <f>SUM(M2795:N2795)</f>
        <v>1620950.334514298</v>
      </c>
      <c r="P2795" s="8">
        <f>VLOOKUP(F2795,'LEAID Match'!$A$2:$B$436,2,FALSE)</f>
        <v>1801560</v>
      </c>
      <c r="Q2795" s="6">
        <f>COUNTIF($P$2:$P$3691,P2795)</f>
        <v>9</v>
      </c>
    </row>
    <row r="2796" spans="1:17" x14ac:dyDescent="0.2">
      <c r="A2796" s="16">
        <f>P2796</f>
        <v>1801560</v>
      </c>
      <c r="B2796">
        <v>2017</v>
      </c>
      <c r="C2796" t="s">
        <v>904</v>
      </c>
      <c r="D2796" t="s">
        <v>906</v>
      </c>
      <c r="E2796" t="s">
        <v>3702</v>
      </c>
      <c r="F2796" t="s">
        <v>780</v>
      </c>
      <c r="G2796" t="s">
        <v>304</v>
      </c>
      <c r="H2796" s="6">
        <v>332519</v>
      </c>
      <c r="I2796" s="6">
        <v>1.4642234106574815E-3</v>
      </c>
      <c r="J2796" s="6">
        <v>6625.6109332251035</v>
      </c>
      <c r="K2796" s="6">
        <v>1275338.59068266</v>
      </c>
      <c r="M2796" s="6">
        <f>SUM(H2796,J2796)</f>
        <v>339144.61093322508</v>
      </c>
      <c r="N2796" s="6">
        <f>K2796</f>
        <v>1275338.59068266</v>
      </c>
      <c r="O2796" s="6">
        <f>SUM(M2796:N2796)</f>
        <v>1614483.2016158851</v>
      </c>
      <c r="P2796" s="8">
        <f>VLOOKUP(F2796,'LEAID Match'!$A$2:$B$436,2,FALSE)</f>
        <v>1801560</v>
      </c>
      <c r="Q2796" s="6">
        <f>COUNTIF($P$2:$P$3691,P2796)</f>
        <v>9</v>
      </c>
    </row>
    <row r="2797" spans="1:17" x14ac:dyDescent="0.2">
      <c r="A2797" s="16">
        <f>P2797</f>
        <v>1801560</v>
      </c>
      <c r="B2797">
        <v>2018</v>
      </c>
      <c r="C2797" t="s">
        <v>904</v>
      </c>
      <c r="D2797" t="s">
        <v>906</v>
      </c>
      <c r="E2797" t="s">
        <v>3703</v>
      </c>
      <c r="F2797" t="s">
        <v>780</v>
      </c>
      <c r="G2797" t="s">
        <v>304</v>
      </c>
      <c r="H2797" s="6">
        <v>347695</v>
      </c>
      <c r="I2797" s="6">
        <v>1.4750511220532037E-3</v>
      </c>
      <c r="J2797" s="6">
        <v>6148.0130767177534</v>
      </c>
      <c r="K2797" s="6">
        <v>1461021</v>
      </c>
      <c r="M2797" s="6">
        <f>SUM(H2797,J2797)</f>
        <v>353843.01307671773</v>
      </c>
      <c r="N2797" s="6">
        <f>K2797</f>
        <v>1461021</v>
      </c>
      <c r="O2797" s="6">
        <f>SUM(M2797:N2797)</f>
        <v>1814864.0130767177</v>
      </c>
      <c r="P2797" s="8">
        <f>VLOOKUP(F2797,'LEAID Match'!$A$2:$B$436,2,FALSE)</f>
        <v>1801560</v>
      </c>
      <c r="Q2797" s="6">
        <f>COUNTIF($P$2:$P$3691,P2797)</f>
        <v>9</v>
      </c>
    </row>
    <row r="2798" spans="1:17" x14ac:dyDescent="0.2">
      <c r="A2798" s="16">
        <f>P2798</f>
        <v>1801560</v>
      </c>
      <c r="B2798">
        <v>2019</v>
      </c>
      <c r="C2798" t="s">
        <v>904</v>
      </c>
      <c r="D2798" t="s">
        <v>906</v>
      </c>
      <c r="E2798" t="s">
        <v>3704</v>
      </c>
      <c r="F2798" t="s">
        <v>780</v>
      </c>
      <c r="G2798" t="s">
        <v>304</v>
      </c>
      <c r="H2798" s="6">
        <v>375700</v>
      </c>
      <c r="I2798" s="6">
        <v>9.5577876241731072E-4</v>
      </c>
      <c r="J2798" s="6">
        <v>3350.0045622726739</v>
      </c>
      <c r="K2798" s="6">
        <v>902159.57384569896</v>
      </c>
      <c r="M2798" s="6">
        <f>SUM(H2798,J2798)</f>
        <v>379050.00456227269</v>
      </c>
      <c r="N2798" s="6">
        <f>K2798</f>
        <v>902159.57384569896</v>
      </c>
      <c r="O2798" s="6">
        <f>SUM(M2798:N2798)</f>
        <v>1281209.5784079717</v>
      </c>
      <c r="P2798" s="8">
        <f>VLOOKUP(F2798,'LEAID Match'!$A$2:$B$436,2,FALSE)</f>
        <v>1801560</v>
      </c>
      <c r="Q2798" s="6">
        <f>COUNTIF($P$2:$P$3691,P2798)</f>
        <v>9</v>
      </c>
    </row>
    <row r="2799" spans="1:17" x14ac:dyDescent="0.2">
      <c r="A2799" s="16">
        <f>P2799</f>
        <v>1801560</v>
      </c>
      <c r="B2799">
        <v>2020</v>
      </c>
      <c r="C2799" t="s">
        <v>904</v>
      </c>
      <c r="D2799" t="s">
        <v>906</v>
      </c>
      <c r="E2799" t="s">
        <v>3705</v>
      </c>
      <c r="F2799" t="s">
        <v>780</v>
      </c>
      <c r="G2799" t="s">
        <v>304</v>
      </c>
      <c r="H2799" s="6">
        <v>311013</v>
      </c>
      <c r="I2799" s="6">
        <v>1.6479669796404892E-3</v>
      </c>
      <c r="J2799" s="6">
        <v>3882.6102040329924</v>
      </c>
      <c r="K2799" s="6">
        <v>1463107</v>
      </c>
      <c r="M2799" s="6">
        <f>SUM(H2799,J2799)</f>
        <v>314895.61020403297</v>
      </c>
      <c r="N2799" s="6">
        <f>K2799</f>
        <v>1463107</v>
      </c>
      <c r="O2799" s="6">
        <f>SUM(M2799:N2799)</f>
        <v>1778002.6102040331</v>
      </c>
      <c r="P2799" s="8">
        <f>VLOOKUP(F2799,'LEAID Match'!$A$2:$B$436,2,FALSE)</f>
        <v>1801560</v>
      </c>
      <c r="Q2799" s="6">
        <f>COUNTIF($P$2:$P$3691,P2799)</f>
        <v>9</v>
      </c>
    </row>
    <row r="2800" spans="1:17" x14ac:dyDescent="0.2">
      <c r="A2800" s="16">
        <f>P2800</f>
        <v>1801560</v>
      </c>
      <c r="B2800">
        <v>2021</v>
      </c>
      <c r="C2800" t="s">
        <v>904</v>
      </c>
      <c r="D2800" t="s">
        <v>906</v>
      </c>
      <c r="E2800" t="s">
        <v>3706</v>
      </c>
      <c r="F2800" t="s">
        <v>780</v>
      </c>
      <c r="G2800" t="s">
        <v>304</v>
      </c>
      <c r="H2800" s="6">
        <v>340278</v>
      </c>
      <c r="I2800" s="6">
        <v>1.681004965490017E-3</v>
      </c>
      <c r="J2800" s="6">
        <v>3788.9851922144981</v>
      </c>
      <c r="K2800" s="6">
        <v>2325156</v>
      </c>
      <c r="M2800" s="6">
        <f>SUM(H2800,J2800)</f>
        <v>344066.98519221449</v>
      </c>
      <c r="N2800" s="6">
        <f>K2800</f>
        <v>2325156</v>
      </c>
      <c r="O2800" s="6">
        <f>SUM(M2800:N2800)</f>
        <v>2669222.9851922146</v>
      </c>
      <c r="P2800" s="8">
        <f>VLOOKUP(F2800,'LEAID Match'!$A$2:$B$436,2,FALSE)</f>
        <v>1801560</v>
      </c>
      <c r="Q2800" s="6">
        <f>COUNTIF($P$2:$P$3691,P2800)</f>
        <v>9</v>
      </c>
    </row>
    <row r="2801" spans="1:17" x14ac:dyDescent="0.2">
      <c r="A2801" s="16">
        <f>P2801</f>
        <v>1801560</v>
      </c>
      <c r="B2801">
        <v>2022</v>
      </c>
      <c r="C2801" t="s">
        <v>904</v>
      </c>
      <c r="D2801" t="s">
        <v>906</v>
      </c>
      <c r="E2801" t="s">
        <v>3707</v>
      </c>
      <c r="F2801" t="s">
        <v>780</v>
      </c>
      <c r="G2801" t="s">
        <v>304</v>
      </c>
      <c r="H2801" s="6">
        <v>351070</v>
      </c>
      <c r="I2801" s="6">
        <v>1.6669456067581348E-3</v>
      </c>
      <c r="J2801" s="6">
        <v>3675.6150629016875</v>
      </c>
      <c r="K2801" s="6">
        <v>2158946</v>
      </c>
      <c r="M2801" s="6">
        <f>SUM(H2801,J2801)</f>
        <v>354745.61506290169</v>
      </c>
      <c r="N2801" s="6">
        <f>K2801</f>
        <v>2158946</v>
      </c>
      <c r="O2801" s="6">
        <f>SUM(M2801:N2801)</f>
        <v>2513691.6150629018</v>
      </c>
      <c r="P2801" s="8">
        <f>VLOOKUP(F2801,'LEAID Match'!$A$2:$B$436,2,FALSE)</f>
        <v>1801560</v>
      </c>
      <c r="Q2801" s="6">
        <f>COUNTIF($P$2:$P$3691,P2801)</f>
        <v>9</v>
      </c>
    </row>
    <row r="2802" spans="1:17" x14ac:dyDescent="0.2">
      <c r="A2802" s="16">
        <f>P2802</f>
        <v>1801560</v>
      </c>
      <c r="B2802">
        <v>2023</v>
      </c>
      <c r="C2802" t="s">
        <v>904</v>
      </c>
      <c r="D2802" t="s">
        <v>906</v>
      </c>
      <c r="E2802" t="s">
        <v>3708</v>
      </c>
      <c r="F2802" t="s">
        <v>780</v>
      </c>
      <c r="G2802" t="s">
        <v>304</v>
      </c>
      <c r="H2802" s="6">
        <v>410500</v>
      </c>
      <c r="I2802" s="6">
        <v>1.6787194497392378E-3</v>
      </c>
      <c r="J2802" s="6">
        <v>4141.4008825066994</v>
      </c>
      <c r="K2802" s="6">
        <v>4870250</v>
      </c>
      <c r="M2802" s="6">
        <f>SUM(H2802,J2802)</f>
        <v>414641.40088250668</v>
      </c>
      <c r="N2802" s="6">
        <f>K2802</f>
        <v>4870250</v>
      </c>
      <c r="O2802" s="6">
        <f>SUM(M2802:N2802)</f>
        <v>5284891.4008825067</v>
      </c>
      <c r="P2802" s="8">
        <f>VLOOKUP(F2802,'LEAID Match'!$A$2:$B$436,2,FALSE)</f>
        <v>1801560</v>
      </c>
      <c r="Q2802" s="6">
        <f>COUNTIF($P$2:$P$3691,P2802)</f>
        <v>9</v>
      </c>
    </row>
    <row r="2803" spans="1:17" x14ac:dyDescent="0.2">
      <c r="A2803" s="16">
        <f>P2803</f>
        <v>1807380</v>
      </c>
      <c r="B2803">
        <v>2015</v>
      </c>
      <c r="C2803" t="s">
        <v>904</v>
      </c>
      <c r="D2803" t="s">
        <v>906</v>
      </c>
      <c r="E2803" t="s">
        <v>3709</v>
      </c>
      <c r="F2803" t="s">
        <v>781</v>
      </c>
      <c r="G2803" t="s">
        <v>305</v>
      </c>
      <c r="H2803" s="6">
        <v>153443</v>
      </c>
      <c r="I2803" s="6">
        <v>7.4614835915001244E-4</v>
      </c>
      <c r="J2803" s="6">
        <v>4335.8681150207221</v>
      </c>
      <c r="K2803" s="6">
        <v>630954.99087099696</v>
      </c>
      <c r="M2803" s="6">
        <f>SUM(H2803,J2803)</f>
        <v>157778.86811502071</v>
      </c>
      <c r="N2803" s="6">
        <f>K2803</f>
        <v>630954.99087099696</v>
      </c>
      <c r="O2803" s="6">
        <f>SUM(M2803:N2803)</f>
        <v>788733.85898601764</v>
      </c>
      <c r="P2803" s="8">
        <f>VLOOKUP(F2803,'LEAID Match'!$A$2:$B$436,2,FALSE)</f>
        <v>1807380</v>
      </c>
      <c r="Q2803" s="6">
        <f>COUNTIF($P$2:$P$3691,P2803)</f>
        <v>9</v>
      </c>
    </row>
    <row r="2804" spans="1:17" x14ac:dyDescent="0.2">
      <c r="A2804" s="16">
        <f>P2804</f>
        <v>1807380</v>
      </c>
      <c r="B2804">
        <v>2016</v>
      </c>
      <c r="C2804" t="s">
        <v>904</v>
      </c>
      <c r="D2804" t="s">
        <v>906</v>
      </c>
      <c r="E2804" t="s">
        <v>3710</v>
      </c>
      <c r="F2804" t="s">
        <v>781</v>
      </c>
      <c r="G2804" t="s">
        <v>305</v>
      </c>
      <c r="H2804" s="6">
        <v>166085</v>
      </c>
      <c r="I2804" s="6">
        <v>7.706547979378014E-4</v>
      </c>
      <c r="J2804" s="6">
        <v>3890.2654199900217</v>
      </c>
      <c r="K2804" s="6">
        <v>683956.13316979795</v>
      </c>
      <c r="M2804" s="6">
        <f>SUM(H2804,J2804)</f>
        <v>169975.26541999003</v>
      </c>
      <c r="N2804" s="6">
        <f>K2804</f>
        <v>683956.13316979795</v>
      </c>
      <c r="O2804" s="6">
        <f>SUM(M2804:N2804)</f>
        <v>853931.398589788</v>
      </c>
      <c r="P2804" s="8">
        <f>VLOOKUP(F2804,'LEAID Match'!$A$2:$B$436,2,FALSE)</f>
        <v>1807380</v>
      </c>
      <c r="Q2804" s="6">
        <f>COUNTIF($P$2:$P$3691,P2804)</f>
        <v>9</v>
      </c>
    </row>
    <row r="2805" spans="1:17" x14ac:dyDescent="0.2">
      <c r="A2805" s="16">
        <f>P2805</f>
        <v>1807380</v>
      </c>
      <c r="B2805">
        <v>2017</v>
      </c>
      <c r="C2805" t="s">
        <v>904</v>
      </c>
      <c r="D2805" t="s">
        <v>906</v>
      </c>
      <c r="E2805" t="s">
        <v>3711</v>
      </c>
      <c r="F2805" t="s">
        <v>781</v>
      </c>
      <c r="G2805" t="s">
        <v>305</v>
      </c>
      <c r="H2805" s="6">
        <v>193277</v>
      </c>
      <c r="I2805" s="6">
        <v>8.5108131608012199E-4</v>
      </c>
      <c r="J2805" s="6">
        <v>3851.1429552625518</v>
      </c>
      <c r="K2805" s="6">
        <v>741291.82630578603</v>
      </c>
      <c r="M2805" s="6">
        <f>SUM(H2805,J2805)</f>
        <v>197128.14295526256</v>
      </c>
      <c r="N2805" s="6">
        <f>K2805</f>
        <v>741291.82630578603</v>
      </c>
      <c r="O2805" s="6">
        <f>SUM(M2805:N2805)</f>
        <v>938419.96926104859</v>
      </c>
      <c r="P2805" s="8">
        <f>VLOOKUP(F2805,'LEAID Match'!$A$2:$B$436,2,FALSE)</f>
        <v>1807380</v>
      </c>
      <c r="Q2805" s="6">
        <f>COUNTIF($P$2:$P$3691,P2805)</f>
        <v>9</v>
      </c>
    </row>
    <row r="2806" spans="1:17" x14ac:dyDescent="0.2">
      <c r="A2806" s="16">
        <f>P2806</f>
        <v>1807380</v>
      </c>
      <c r="B2806">
        <v>2018</v>
      </c>
      <c r="C2806" t="s">
        <v>904</v>
      </c>
      <c r="D2806" t="s">
        <v>906</v>
      </c>
      <c r="E2806" t="s">
        <v>3712</v>
      </c>
      <c r="F2806" t="s">
        <v>781</v>
      </c>
      <c r="G2806" t="s">
        <v>305</v>
      </c>
      <c r="H2806" s="6">
        <v>173307</v>
      </c>
      <c r="I2806" s="6">
        <v>7.3523255959871312E-4</v>
      </c>
      <c r="J2806" s="6">
        <v>3064.4493084074361</v>
      </c>
      <c r="K2806" s="6">
        <v>1144438</v>
      </c>
      <c r="M2806" s="6">
        <f>SUM(H2806,J2806)</f>
        <v>176371.44930840743</v>
      </c>
      <c r="N2806" s="6">
        <f>K2806</f>
        <v>1144438</v>
      </c>
      <c r="O2806" s="6">
        <f>SUM(M2806:N2806)</f>
        <v>1320809.4493084075</v>
      </c>
      <c r="P2806" s="8">
        <f>VLOOKUP(F2806,'LEAID Match'!$A$2:$B$436,2,FALSE)</f>
        <v>1807380</v>
      </c>
      <c r="Q2806" s="6">
        <f>COUNTIF($P$2:$P$3691,P2806)</f>
        <v>9</v>
      </c>
    </row>
    <row r="2807" spans="1:17" x14ac:dyDescent="0.2">
      <c r="A2807" s="16">
        <f>P2807</f>
        <v>1807380</v>
      </c>
      <c r="B2807">
        <v>2019</v>
      </c>
      <c r="C2807" t="s">
        <v>904</v>
      </c>
      <c r="D2807" t="s">
        <v>906</v>
      </c>
      <c r="E2807" t="s">
        <v>3713</v>
      </c>
      <c r="F2807" t="s">
        <v>781</v>
      </c>
      <c r="G2807" t="s">
        <v>305</v>
      </c>
      <c r="H2807" s="6">
        <v>216127</v>
      </c>
      <c r="I2807" s="6">
        <v>5.4982591585032233E-4</v>
      </c>
      <c r="J2807" s="6">
        <v>1927.1398350553798</v>
      </c>
      <c r="K2807" s="6">
        <v>518980.68197111902</v>
      </c>
      <c r="M2807" s="6">
        <f>SUM(H2807,J2807)</f>
        <v>218054.13983505539</v>
      </c>
      <c r="N2807" s="6">
        <f>K2807</f>
        <v>518980.68197111902</v>
      </c>
      <c r="O2807" s="6">
        <f>SUM(M2807:N2807)</f>
        <v>737034.82180617447</v>
      </c>
      <c r="P2807" s="8">
        <f>VLOOKUP(F2807,'LEAID Match'!$A$2:$B$436,2,FALSE)</f>
        <v>1807380</v>
      </c>
      <c r="Q2807" s="6">
        <f>COUNTIF($P$2:$P$3691,P2807)</f>
        <v>9</v>
      </c>
    </row>
    <row r="2808" spans="1:17" x14ac:dyDescent="0.2">
      <c r="A2808" s="16">
        <f>P2808</f>
        <v>1807380</v>
      </c>
      <c r="B2808">
        <v>2020</v>
      </c>
      <c r="C2808" t="s">
        <v>904</v>
      </c>
      <c r="D2808" t="s">
        <v>906</v>
      </c>
      <c r="E2808" t="s">
        <v>3714</v>
      </c>
      <c r="F2808" t="s">
        <v>781</v>
      </c>
      <c r="G2808" t="s">
        <v>305</v>
      </c>
      <c r="H2808" s="6">
        <v>166980</v>
      </c>
      <c r="I2808" s="6">
        <v>8.8477821268039892E-4</v>
      </c>
      <c r="J2808" s="6">
        <v>2084.53746907502</v>
      </c>
      <c r="K2808" s="6">
        <v>1258976</v>
      </c>
      <c r="M2808" s="6">
        <f>SUM(H2808,J2808)</f>
        <v>169064.53746907503</v>
      </c>
      <c r="N2808" s="6">
        <f>K2808</f>
        <v>1258976</v>
      </c>
      <c r="O2808" s="6">
        <f>SUM(M2808:N2808)</f>
        <v>1428040.5374690751</v>
      </c>
      <c r="P2808" s="8">
        <f>VLOOKUP(F2808,'LEAID Match'!$A$2:$B$436,2,FALSE)</f>
        <v>1807380</v>
      </c>
      <c r="Q2808" s="6">
        <f>COUNTIF($P$2:$P$3691,P2808)</f>
        <v>9</v>
      </c>
    </row>
    <row r="2809" spans="1:17" x14ac:dyDescent="0.2">
      <c r="A2809" s="16">
        <f>P2809</f>
        <v>1807380</v>
      </c>
      <c r="B2809">
        <v>2021</v>
      </c>
      <c r="C2809" t="s">
        <v>904</v>
      </c>
      <c r="D2809" t="s">
        <v>906</v>
      </c>
      <c r="E2809" t="s">
        <v>3715</v>
      </c>
      <c r="F2809" t="s">
        <v>781</v>
      </c>
      <c r="G2809" t="s">
        <v>305</v>
      </c>
      <c r="H2809" s="6">
        <v>184951</v>
      </c>
      <c r="I2809" s="6">
        <v>9.1367514024516463E-4</v>
      </c>
      <c r="J2809" s="6">
        <v>2059.4237661126012</v>
      </c>
      <c r="K2809" s="6">
        <v>2136068</v>
      </c>
      <c r="M2809" s="6">
        <f>SUM(H2809,J2809)</f>
        <v>187010.4237661126</v>
      </c>
      <c r="N2809" s="6">
        <f>K2809</f>
        <v>2136068</v>
      </c>
      <c r="O2809" s="6">
        <f>SUM(M2809:N2809)</f>
        <v>2323078.4237661124</v>
      </c>
      <c r="P2809" s="8">
        <f>VLOOKUP(F2809,'LEAID Match'!$A$2:$B$436,2,FALSE)</f>
        <v>1807380</v>
      </c>
      <c r="Q2809" s="6">
        <f>COUNTIF($P$2:$P$3691,P2809)</f>
        <v>9</v>
      </c>
    </row>
    <row r="2810" spans="1:17" x14ac:dyDescent="0.2">
      <c r="A2810" s="16">
        <f>P2810</f>
        <v>1807380</v>
      </c>
      <c r="B2810">
        <v>2022</v>
      </c>
      <c r="C2810" t="s">
        <v>904</v>
      </c>
      <c r="D2810" t="s">
        <v>906</v>
      </c>
      <c r="E2810" t="s">
        <v>3716</v>
      </c>
      <c r="F2810" t="s">
        <v>781</v>
      </c>
      <c r="G2810" t="s">
        <v>305</v>
      </c>
      <c r="H2810" s="6">
        <v>198473</v>
      </c>
      <c r="I2810" s="6">
        <v>9.4238669043241309E-4</v>
      </c>
      <c r="J2810" s="6">
        <v>2077.9626524034707</v>
      </c>
      <c r="K2810" s="6">
        <v>2123907</v>
      </c>
      <c r="M2810" s="6">
        <f>SUM(H2810,J2810)</f>
        <v>200550.96265240348</v>
      </c>
      <c r="N2810" s="6">
        <f>K2810</f>
        <v>2123907</v>
      </c>
      <c r="O2810" s="6">
        <f>SUM(M2810:N2810)</f>
        <v>2324457.9626524034</v>
      </c>
      <c r="P2810" s="8">
        <f>VLOOKUP(F2810,'LEAID Match'!$A$2:$B$436,2,FALSE)</f>
        <v>1807380</v>
      </c>
      <c r="Q2810" s="6">
        <f>COUNTIF($P$2:$P$3691,P2810)</f>
        <v>9</v>
      </c>
    </row>
    <row r="2811" spans="1:17" x14ac:dyDescent="0.2">
      <c r="A2811" s="16">
        <f>P2811</f>
        <v>1807380</v>
      </c>
      <c r="B2811">
        <v>2023</v>
      </c>
      <c r="C2811" t="s">
        <v>904</v>
      </c>
      <c r="D2811" t="s">
        <v>906</v>
      </c>
      <c r="E2811" t="s">
        <v>3717</v>
      </c>
      <c r="F2811" t="s">
        <v>781</v>
      </c>
      <c r="G2811" t="s">
        <v>305</v>
      </c>
      <c r="H2811" s="6">
        <v>229312</v>
      </c>
      <c r="I2811" s="6">
        <v>9.3776008394300635E-4</v>
      </c>
      <c r="J2811" s="6">
        <v>2313.4541270873965</v>
      </c>
      <c r="K2811" s="6">
        <v>6472774</v>
      </c>
      <c r="M2811" s="6">
        <f>SUM(H2811,J2811)</f>
        <v>231625.4541270874</v>
      </c>
      <c r="N2811" s="6">
        <f>K2811</f>
        <v>6472774</v>
      </c>
      <c r="O2811" s="6">
        <f>SUM(M2811:N2811)</f>
        <v>6704399.4541270873</v>
      </c>
      <c r="P2811" s="8">
        <f>VLOOKUP(F2811,'LEAID Match'!$A$2:$B$436,2,FALSE)</f>
        <v>1807380</v>
      </c>
      <c r="Q2811" s="6">
        <f>COUNTIF($P$2:$P$3691,P2811)</f>
        <v>9</v>
      </c>
    </row>
    <row r="2812" spans="1:17" x14ac:dyDescent="0.2">
      <c r="A2812" s="16">
        <f>P2812</f>
        <v>1808190</v>
      </c>
      <c r="B2812">
        <v>2015</v>
      </c>
      <c r="C2812" t="s">
        <v>904</v>
      </c>
      <c r="D2812" t="s">
        <v>906</v>
      </c>
      <c r="E2812" t="s">
        <v>3718</v>
      </c>
      <c r="F2812" t="s">
        <v>609</v>
      </c>
      <c r="G2812" t="s">
        <v>306</v>
      </c>
      <c r="H2812" s="6">
        <v>258693</v>
      </c>
      <c r="I2812" s="6">
        <v>1.2579482770383411E-3</v>
      </c>
      <c r="J2812" s="6">
        <v>7309.9374378698003</v>
      </c>
      <c r="K2812" s="6">
        <v>1063741.1902360499</v>
      </c>
      <c r="M2812" s="6">
        <f>SUM(H2812,J2812)</f>
        <v>266002.93743786978</v>
      </c>
      <c r="N2812" s="6">
        <f>K2812</f>
        <v>1063741.1902360499</v>
      </c>
      <c r="O2812" s="6">
        <f>SUM(M2812:N2812)</f>
        <v>1329744.1276739198</v>
      </c>
      <c r="P2812" s="8">
        <f>VLOOKUP(F2812,'LEAID Match'!$A$2:$B$436,2,FALSE)</f>
        <v>1808190</v>
      </c>
      <c r="Q2812" s="6">
        <f>COUNTIF($P$2:$P$3691,P2812)</f>
        <v>9</v>
      </c>
    </row>
    <row r="2813" spans="1:17" x14ac:dyDescent="0.2">
      <c r="A2813" s="16">
        <f>P2813</f>
        <v>1808190</v>
      </c>
      <c r="B2813">
        <v>2016</v>
      </c>
      <c r="C2813" t="s">
        <v>904</v>
      </c>
      <c r="D2813" t="s">
        <v>906</v>
      </c>
      <c r="E2813" t="s">
        <v>3719</v>
      </c>
      <c r="F2813" t="s">
        <v>609</v>
      </c>
      <c r="G2813" t="s">
        <v>306</v>
      </c>
      <c r="H2813" s="6">
        <v>288697</v>
      </c>
      <c r="I2813" s="6">
        <v>1.3395895366845256E-3</v>
      </c>
      <c r="J2813" s="6">
        <v>6762.2479811834846</v>
      </c>
      <c r="K2813" s="6">
        <v>1188885.71380751</v>
      </c>
      <c r="M2813" s="6">
        <f>SUM(H2813,J2813)</f>
        <v>295459.24798118346</v>
      </c>
      <c r="N2813" s="6">
        <f>K2813</f>
        <v>1188885.71380751</v>
      </c>
      <c r="O2813" s="6">
        <f>SUM(M2813:N2813)</f>
        <v>1484344.9617886934</v>
      </c>
      <c r="P2813" s="8">
        <f>VLOOKUP(F2813,'LEAID Match'!$A$2:$B$436,2,FALSE)</f>
        <v>1808190</v>
      </c>
      <c r="Q2813" s="6">
        <f>COUNTIF($P$2:$P$3691,P2813)</f>
        <v>9</v>
      </c>
    </row>
    <row r="2814" spans="1:17" x14ac:dyDescent="0.2">
      <c r="A2814" s="16">
        <f>P2814</f>
        <v>1808190</v>
      </c>
      <c r="B2814">
        <v>2017</v>
      </c>
      <c r="C2814" t="s">
        <v>904</v>
      </c>
      <c r="D2814" t="s">
        <v>906</v>
      </c>
      <c r="E2814" t="s">
        <v>3720</v>
      </c>
      <c r="F2814" t="s">
        <v>609</v>
      </c>
      <c r="G2814" t="s">
        <v>306</v>
      </c>
      <c r="H2814" s="6">
        <v>304532</v>
      </c>
      <c r="I2814" s="6">
        <v>1.3409846766480838E-3</v>
      </c>
      <c r="J2814" s="6">
        <v>6067.9556618325796</v>
      </c>
      <c r="K2814" s="6">
        <v>1167997.65336048</v>
      </c>
      <c r="M2814" s="6">
        <f>SUM(H2814,J2814)</f>
        <v>310599.95566183259</v>
      </c>
      <c r="N2814" s="6">
        <f>K2814</f>
        <v>1167997.65336048</v>
      </c>
      <c r="O2814" s="6">
        <f>SUM(M2814:N2814)</f>
        <v>1478597.6090223126</v>
      </c>
      <c r="P2814" s="8">
        <f>VLOOKUP(F2814,'LEAID Match'!$A$2:$B$436,2,FALSE)</f>
        <v>1808190</v>
      </c>
      <c r="Q2814" s="6">
        <f>COUNTIF($P$2:$P$3691,P2814)</f>
        <v>9</v>
      </c>
    </row>
    <row r="2815" spans="1:17" x14ac:dyDescent="0.2">
      <c r="A2815" s="16">
        <f>P2815</f>
        <v>1808190</v>
      </c>
      <c r="B2815">
        <v>2018</v>
      </c>
      <c r="C2815" t="s">
        <v>904</v>
      </c>
      <c r="D2815" t="s">
        <v>906</v>
      </c>
      <c r="E2815" t="s">
        <v>3721</v>
      </c>
      <c r="F2815" t="s">
        <v>609</v>
      </c>
      <c r="G2815" t="s">
        <v>306</v>
      </c>
      <c r="H2815" s="6">
        <v>312594</v>
      </c>
      <c r="I2815" s="6">
        <v>1.3261396639212503E-3</v>
      </c>
      <c r="J2815" s="6">
        <v>5527.3501192237709</v>
      </c>
      <c r="K2815" s="6">
        <v>837951</v>
      </c>
      <c r="M2815" s="6">
        <f>SUM(H2815,J2815)</f>
        <v>318121.35011922376</v>
      </c>
      <c r="N2815" s="6">
        <f>K2815</f>
        <v>837951</v>
      </c>
      <c r="O2815" s="6">
        <f>SUM(M2815:N2815)</f>
        <v>1156072.3501192238</v>
      </c>
      <c r="P2815" s="8">
        <f>VLOOKUP(F2815,'LEAID Match'!$A$2:$B$436,2,FALSE)</f>
        <v>1808190</v>
      </c>
      <c r="Q2815" s="6">
        <f>COUNTIF($P$2:$P$3691,P2815)</f>
        <v>9</v>
      </c>
    </row>
    <row r="2816" spans="1:17" x14ac:dyDescent="0.2">
      <c r="A2816" s="16">
        <f>P2816</f>
        <v>1808190</v>
      </c>
      <c r="B2816">
        <v>2019</v>
      </c>
      <c r="C2816" t="s">
        <v>904</v>
      </c>
      <c r="D2816" t="s">
        <v>906</v>
      </c>
      <c r="E2816" t="s">
        <v>3722</v>
      </c>
      <c r="F2816" t="s">
        <v>609</v>
      </c>
      <c r="G2816" t="s">
        <v>306</v>
      </c>
      <c r="H2816" s="6">
        <v>319981</v>
      </c>
      <c r="I2816" s="6">
        <v>8.1402992860541248E-4</v>
      </c>
      <c r="J2816" s="6">
        <v>2853.1748997619707</v>
      </c>
      <c r="K2816" s="6">
        <v>768362.849610648</v>
      </c>
      <c r="M2816" s="6">
        <f>SUM(H2816,J2816)</f>
        <v>322834.17489976197</v>
      </c>
      <c r="N2816" s="6">
        <f>K2816</f>
        <v>768362.849610648</v>
      </c>
      <c r="O2816" s="6">
        <f>SUM(M2816:N2816)</f>
        <v>1091197.0245104099</v>
      </c>
      <c r="P2816" s="8">
        <f>VLOOKUP(F2816,'LEAID Match'!$A$2:$B$436,2,FALSE)</f>
        <v>1808190</v>
      </c>
      <c r="Q2816" s="6">
        <f>COUNTIF($P$2:$P$3691,P2816)</f>
        <v>9</v>
      </c>
    </row>
    <row r="2817" spans="1:17" x14ac:dyDescent="0.2">
      <c r="A2817" s="16">
        <f>P2817</f>
        <v>1808190</v>
      </c>
      <c r="B2817">
        <v>2020</v>
      </c>
      <c r="C2817" t="s">
        <v>904</v>
      </c>
      <c r="D2817" t="s">
        <v>906</v>
      </c>
      <c r="E2817" t="s">
        <v>3723</v>
      </c>
      <c r="F2817" t="s">
        <v>609</v>
      </c>
      <c r="G2817" t="s">
        <v>306</v>
      </c>
      <c r="H2817" s="6">
        <v>245092</v>
      </c>
      <c r="I2817" s="6">
        <v>1.2986708689799037E-3</v>
      </c>
      <c r="J2817" s="6">
        <v>3059.668567316653</v>
      </c>
      <c r="K2817" s="6">
        <v>884895</v>
      </c>
      <c r="M2817" s="6">
        <f>SUM(H2817,J2817)</f>
        <v>248151.66856731666</v>
      </c>
      <c r="N2817" s="6">
        <f>K2817</f>
        <v>884895</v>
      </c>
      <c r="O2817" s="6">
        <f>SUM(M2817:N2817)</f>
        <v>1133046.6685673166</v>
      </c>
      <c r="P2817" s="8">
        <f>VLOOKUP(F2817,'LEAID Match'!$A$2:$B$436,2,FALSE)</f>
        <v>1808190</v>
      </c>
      <c r="Q2817" s="6">
        <f>COUNTIF($P$2:$P$3691,P2817)</f>
        <v>9</v>
      </c>
    </row>
    <row r="2818" spans="1:17" x14ac:dyDescent="0.2">
      <c r="A2818" s="16">
        <f>P2818</f>
        <v>1808190</v>
      </c>
      <c r="B2818">
        <v>2021</v>
      </c>
      <c r="C2818" t="s">
        <v>904</v>
      </c>
      <c r="D2818" t="s">
        <v>906</v>
      </c>
      <c r="E2818" t="s">
        <v>3724</v>
      </c>
      <c r="F2818" t="s">
        <v>609</v>
      </c>
      <c r="G2818" t="s">
        <v>306</v>
      </c>
      <c r="H2818" s="6">
        <v>241767</v>
      </c>
      <c r="I2818" s="6">
        <v>1.1943514640723907E-3</v>
      </c>
      <c r="J2818" s="6">
        <v>2692.0682000191687</v>
      </c>
      <c r="K2818" s="6">
        <v>1427029</v>
      </c>
      <c r="M2818" s="6">
        <f>SUM(H2818,J2818)</f>
        <v>244459.06820001916</v>
      </c>
      <c r="N2818" s="6">
        <f>K2818</f>
        <v>1427029</v>
      </c>
      <c r="O2818" s="6">
        <f>SUM(M2818:N2818)</f>
        <v>1671488.0682000192</v>
      </c>
      <c r="P2818" s="8">
        <f>VLOOKUP(F2818,'LEAID Match'!$A$2:$B$436,2,FALSE)</f>
        <v>1808190</v>
      </c>
      <c r="Q2818" s="6">
        <f>COUNTIF($P$2:$P$3691,P2818)</f>
        <v>9</v>
      </c>
    </row>
    <row r="2819" spans="1:17" x14ac:dyDescent="0.2">
      <c r="A2819" s="16">
        <f>P2819</f>
        <v>1808190</v>
      </c>
      <c r="B2819">
        <v>2022</v>
      </c>
      <c r="C2819" t="s">
        <v>904</v>
      </c>
      <c r="D2819" t="s">
        <v>906</v>
      </c>
      <c r="E2819" t="s">
        <v>3725</v>
      </c>
      <c r="F2819" t="s">
        <v>609</v>
      </c>
      <c r="G2819" t="s">
        <v>306</v>
      </c>
      <c r="H2819" s="6">
        <v>254051</v>
      </c>
      <c r="I2819" s="6">
        <v>1.2062813636668211E-3</v>
      </c>
      <c r="J2819" s="6">
        <v>2659.8504068853404</v>
      </c>
      <c r="K2819" s="6">
        <v>1406377</v>
      </c>
      <c r="M2819" s="6">
        <f>SUM(H2819,J2819)</f>
        <v>256710.85040688535</v>
      </c>
      <c r="N2819" s="6">
        <f>K2819</f>
        <v>1406377</v>
      </c>
      <c r="O2819" s="6">
        <f>SUM(M2819:N2819)</f>
        <v>1663087.8504068854</v>
      </c>
      <c r="P2819" s="8">
        <f>VLOOKUP(F2819,'LEAID Match'!$A$2:$B$436,2,FALSE)</f>
        <v>1808190</v>
      </c>
      <c r="Q2819" s="6">
        <f>COUNTIF($P$2:$P$3691,P2819)</f>
        <v>9</v>
      </c>
    </row>
    <row r="2820" spans="1:17" x14ac:dyDescent="0.2">
      <c r="A2820" s="16">
        <f>P2820</f>
        <v>1808190</v>
      </c>
      <c r="B2820">
        <v>2023</v>
      </c>
      <c r="C2820" t="s">
        <v>904</v>
      </c>
      <c r="D2820" t="s">
        <v>906</v>
      </c>
      <c r="E2820" t="s">
        <v>3726</v>
      </c>
      <c r="F2820" t="s">
        <v>609</v>
      </c>
      <c r="G2820" t="s">
        <v>306</v>
      </c>
      <c r="H2820" s="6">
        <v>289137</v>
      </c>
      <c r="I2820" s="6">
        <v>1.1824114629458075E-3</v>
      </c>
      <c r="J2820" s="6">
        <v>2917.0090790873073</v>
      </c>
      <c r="K2820" s="6">
        <v>3576458</v>
      </c>
      <c r="M2820" s="6">
        <f>SUM(H2820,J2820)</f>
        <v>292054.00907908729</v>
      </c>
      <c r="N2820" s="6">
        <f>K2820</f>
        <v>3576458</v>
      </c>
      <c r="O2820" s="6">
        <f>SUM(M2820:N2820)</f>
        <v>3868512.0090790875</v>
      </c>
      <c r="P2820" s="8">
        <f>VLOOKUP(F2820,'LEAID Match'!$A$2:$B$436,2,FALSE)</f>
        <v>1808190</v>
      </c>
      <c r="Q2820" s="6">
        <f>COUNTIF($P$2:$P$3691,P2820)</f>
        <v>9</v>
      </c>
    </row>
    <row r="2821" spans="1:17" x14ac:dyDescent="0.2">
      <c r="A2821" s="16">
        <f>P2821</f>
        <v>1809510</v>
      </c>
      <c r="B2821">
        <v>2015</v>
      </c>
      <c r="C2821" t="s">
        <v>904</v>
      </c>
      <c r="D2821" t="s">
        <v>906</v>
      </c>
      <c r="E2821" t="s">
        <v>3727</v>
      </c>
      <c r="F2821" t="s">
        <v>782</v>
      </c>
      <c r="G2821" t="s">
        <v>307</v>
      </c>
      <c r="H2821" s="6">
        <v>1134341</v>
      </c>
      <c r="I2821" s="6">
        <v>5.5159679872433687E-3</v>
      </c>
      <c r="J2821" s="6">
        <v>32053.289973871215</v>
      </c>
      <c r="K2821" s="6">
        <v>4664390.7855007797</v>
      </c>
      <c r="M2821" s="6">
        <f>SUM(H2821,J2821)</f>
        <v>1166394.2899738713</v>
      </c>
      <c r="N2821" s="6">
        <f>K2821</f>
        <v>4664390.7855007797</v>
      </c>
      <c r="O2821" s="6">
        <f>SUM(M2821:N2821)</f>
        <v>5830785.0754746515</v>
      </c>
      <c r="P2821" s="8">
        <f>VLOOKUP(F2821,'LEAID Match'!$A$2:$B$436,2,FALSE)</f>
        <v>1809510</v>
      </c>
      <c r="Q2821" s="6">
        <f>COUNTIF($P$2:$P$3691,P2821)</f>
        <v>9</v>
      </c>
    </row>
    <row r="2822" spans="1:17" x14ac:dyDescent="0.2">
      <c r="A2822" s="16">
        <f>P2822</f>
        <v>1809510</v>
      </c>
      <c r="B2822">
        <v>2016</v>
      </c>
      <c r="C2822" t="s">
        <v>904</v>
      </c>
      <c r="D2822" t="s">
        <v>906</v>
      </c>
      <c r="E2822" t="s">
        <v>3728</v>
      </c>
      <c r="F2822" t="s">
        <v>782</v>
      </c>
      <c r="G2822" t="s">
        <v>307</v>
      </c>
      <c r="H2822" s="6">
        <v>1178964</v>
      </c>
      <c r="I2822" s="6">
        <v>5.4705377559438962E-3</v>
      </c>
      <c r="J2822" s="6">
        <v>27615.274592004789</v>
      </c>
      <c r="K2822" s="6">
        <v>4855102.2584001999</v>
      </c>
      <c r="M2822" s="6">
        <f>SUM(H2822,J2822)</f>
        <v>1206579.2745920047</v>
      </c>
      <c r="N2822" s="6">
        <f>K2822</f>
        <v>4855102.2584001999</v>
      </c>
      <c r="O2822" s="6">
        <f>SUM(M2822:N2822)</f>
        <v>6061681.5329922047</v>
      </c>
      <c r="P2822" s="8">
        <f>VLOOKUP(F2822,'LEAID Match'!$A$2:$B$436,2,FALSE)</f>
        <v>1809510</v>
      </c>
      <c r="Q2822" s="6">
        <f>COUNTIF($P$2:$P$3691,P2822)</f>
        <v>9</v>
      </c>
    </row>
    <row r="2823" spans="1:17" x14ac:dyDescent="0.2">
      <c r="A2823" s="16">
        <f>P2823</f>
        <v>1809510</v>
      </c>
      <c r="B2823">
        <v>2017</v>
      </c>
      <c r="C2823" t="s">
        <v>904</v>
      </c>
      <c r="D2823" t="s">
        <v>906</v>
      </c>
      <c r="E2823" t="s">
        <v>3729</v>
      </c>
      <c r="F2823" t="s">
        <v>782</v>
      </c>
      <c r="G2823" t="s">
        <v>307</v>
      </c>
      <c r="H2823" s="6">
        <v>1138925</v>
      </c>
      <c r="I2823" s="6">
        <v>5.0151740140655784E-3</v>
      </c>
      <c r="J2823" s="6">
        <v>22693.662413646744</v>
      </c>
      <c r="K2823" s="6">
        <v>4368216.5662511103</v>
      </c>
      <c r="M2823" s="6">
        <f>SUM(H2823,J2823)</f>
        <v>1161618.6624136467</v>
      </c>
      <c r="N2823" s="6">
        <f>K2823</f>
        <v>4368216.5662511103</v>
      </c>
      <c r="O2823" s="6">
        <f>SUM(M2823:N2823)</f>
        <v>5529835.2286647568</v>
      </c>
      <c r="P2823" s="8">
        <f>VLOOKUP(F2823,'LEAID Match'!$A$2:$B$436,2,FALSE)</f>
        <v>1809510</v>
      </c>
      <c r="Q2823" s="6">
        <f>COUNTIF($P$2:$P$3691,P2823)</f>
        <v>9</v>
      </c>
    </row>
    <row r="2824" spans="1:17" x14ac:dyDescent="0.2">
      <c r="A2824" s="16">
        <f>P2824</f>
        <v>1809510</v>
      </c>
      <c r="B2824">
        <v>2018</v>
      </c>
      <c r="C2824" t="s">
        <v>904</v>
      </c>
      <c r="D2824" t="s">
        <v>906</v>
      </c>
      <c r="E2824" t="s">
        <v>3730</v>
      </c>
      <c r="F2824" t="s">
        <v>782</v>
      </c>
      <c r="G2824" t="s">
        <v>307</v>
      </c>
      <c r="H2824" s="6">
        <v>1162620</v>
      </c>
      <c r="I2824" s="6">
        <v>4.9322651620572503E-3</v>
      </c>
      <c r="J2824" s="6">
        <v>20557.681195454621</v>
      </c>
      <c r="K2824" s="6">
        <v>6334520</v>
      </c>
      <c r="M2824" s="6">
        <f>SUM(H2824,J2824)</f>
        <v>1183177.6811954547</v>
      </c>
      <c r="N2824" s="6">
        <f>K2824</f>
        <v>6334520</v>
      </c>
      <c r="O2824" s="6">
        <f>SUM(M2824:N2824)</f>
        <v>7517697.6811954547</v>
      </c>
      <c r="P2824" s="8">
        <f>VLOOKUP(F2824,'LEAID Match'!$A$2:$B$436,2,FALSE)</f>
        <v>1809510</v>
      </c>
      <c r="Q2824" s="6">
        <f>COUNTIF($P$2:$P$3691,P2824)</f>
        <v>9</v>
      </c>
    </row>
    <row r="2825" spans="1:17" x14ac:dyDescent="0.2">
      <c r="A2825" s="16">
        <f>P2825</f>
        <v>1809510</v>
      </c>
      <c r="B2825">
        <v>2019</v>
      </c>
      <c r="C2825" t="s">
        <v>904</v>
      </c>
      <c r="D2825" t="s">
        <v>906</v>
      </c>
      <c r="E2825" t="s">
        <v>3731</v>
      </c>
      <c r="F2825" t="s">
        <v>782</v>
      </c>
      <c r="G2825" t="s">
        <v>307</v>
      </c>
      <c r="H2825" s="6">
        <v>1165798</v>
      </c>
      <c r="I2825" s="6">
        <v>2.9657837893760338E-3</v>
      </c>
      <c r="J2825" s="6">
        <v>10395.072181762998</v>
      </c>
      <c r="K2825" s="6">
        <v>2799403.3187920302</v>
      </c>
      <c r="M2825" s="6">
        <f>SUM(H2825,J2825)</f>
        <v>1176193.0721817629</v>
      </c>
      <c r="N2825" s="6">
        <f>K2825</f>
        <v>2799403.3187920302</v>
      </c>
      <c r="O2825" s="6">
        <f>SUM(M2825:N2825)</f>
        <v>3975596.3909737933</v>
      </c>
      <c r="P2825" s="8">
        <f>VLOOKUP(F2825,'LEAID Match'!$A$2:$B$436,2,FALSE)</f>
        <v>1809510</v>
      </c>
      <c r="Q2825" s="6">
        <f>COUNTIF($P$2:$P$3691,P2825)</f>
        <v>9</v>
      </c>
    </row>
    <row r="2826" spans="1:17" x14ac:dyDescent="0.2">
      <c r="A2826" s="16">
        <f>P2826</f>
        <v>1809510</v>
      </c>
      <c r="B2826">
        <v>2020</v>
      </c>
      <c r="C2826" t="s">
        <v>904</v>
      </c>
      <c r="D2826" t="s">
        <v>906</v>
      </c>
      <c r="E2826" t="s">
        <v>3732</v>
      </c>
      <c r="F2826" t="s">
        <v>782</v>
      </c>
      <c r="G2826" t="s">
        <v>307</v>
      </c>
      <c r="H2826" s="6">
        <v>901792</v>
      </c>
      <c r="I2826" s="6">
        <v>4.7783322192447132E-3</v>
      </c>
      <c r="J2826" s="6">
        <v>11257.750708540545</v>
      </c>
      <c r="K2826" s="6">
        <v>6769664</v>
      </c>
      <c r="M2826" s="6">
        <f>SUM(H2826,J2826)</f>
        <v>913049.75070854055</v>
      </c>
      <c r="N2826" s="6">
        <f>K2826</f>
        <v>6769664</v>
      </c>
      <c r="O2826" s="6">
        <f>SUM(M2826:N2826)</f>
        <v>7682713.7507085409</v>
      </c>
      <c r="P2826" s="8">
        <f>VLOOKUP(F2826,'LEAID Match'!$A$2:$B$436,2,FALSE)</f>
        <v>1809510</v>
      </c>
      <c r="Q2826" s="6">
        <f>COUNTIF($P$2:$P$3691,P2826)</f>
        <v>9</v>
      </c>
    </row>
    <row r="2827" spans="1:17" x14ac:dyDescent="0.2">
      <c r="A2827" s="16">
        <f>P2827</f>
        <v>1809510</v>
      </c>
      <c r="B2827">
        <v>2021</v>
      </c>
      <c r="C2827" t="s">
        <v>904</v>
      </c>
      <c r="D2827" t="s">
        <v>906</v>
      </c>
      <c r="E2827" t="s">
        <v>3733</v>
      </c>
      <c r="F2827" t="s">
        <v>782</v>
      </c>
      <c r="G2827" t="s">
        <v>307</v>
      </c>
      <c r="H2827" s="6">
        <v>902377</v>
      </c>
      <c r="I2827" s="6">
        <v>4.4578263000957605E-3</v>
      </c>
      <c r="J2827" s="6">
        <v>10047.940480415844</v>
      </c>
      <c r="K2827" s="6">
        <v>10818761</v>
      </c>
      <c r="M2827" s="6">
        <f>SUM(H2827,J2827)</f>
        <v>912424.94048041583</v>
      </c>
      <c r="N2827" s="6">
        <f>K2827</f>
        <v>10818761</v>
      </c>
      <c r="O2827" s="6">
        <f>SUM(M2827:N2827)</f>
        <v>11731185.940480417</v>
      </c>
      <c r="P2827" s="8">
        <f>VLOOKUP(F2827,'LEAID Match'!$A$2:$B$436,2,FALSE)</f>
        <v>1809510</v>
      </c>
      <c r="Q2827" s="6">
        <f>COUNTIF($P$2:$P$3691,P2827)</f>
        <v>9</v>
      </c>
    </row>
    <row r="2828" spans="1:17" x14ac:dyDescent="0.2">
      <c r="A2828" s="16">
        <f>P2828</f>
        <v>1809510</v>
      </c>
      <c r="B2828">
        <v>2022</v>
      </c>
      <c r="C2828" t="s">
        <v>904</v>
      </c>
      <c r="D2828" t="s">
        <v>906</v>
      </c>
      <c r="E2828" t="s">
        <v>3734</v>
      </c>
      <c r="F2828" t="s">
        <v>782</v>
      </c>
      <c r="G2828" t="s">
        <v>307</v>
      </c>
      <c r="H2828" s="6">
        <v>931550</v>
      </c>
      <c r="I2828" s="6">
        <v>4.4231725296252607E-3</v>
      </c>
      <c r="J2828" s="6">
        <v>9753.0954278237004</v>
      </c>
      <c r="K2828" s="6">
        <v>10551938</v>
      </c>
      <c r="M2828" s="6">
        <f>SUM(H2828,J2828)</f>
        <v>941303.09542782372</v>
      </c>
      <c r="N2828" s="6">
        <f>K2828</f>
        <v>10551938</v>
      </c>
      <c r="O2828" s="6">
        <f>SUM(M2828:N2828)</f>
        <v>11493241.095427824</v>
      </c>
      <c r="P2828" s="8">
        <f>VLOOKUP(F2828,'LEAID Match'!$A$2:$B$436,2,FALSE)</f>
        <v>1809510</v>
      </c>
      <c r="Q2828" s="6">
        <f>COUNTIF($P$2:$P$3691,P2828)</f>
        <v>9</v>
      </c>
    </row>
    <row r="2829" spans="1:17" x14ac:dyDescent="0.2">
      <c r="A2829" s="16">
        <f>P2829</f>
        <v>1809510</v>
      </c>
      <c r="B2829">
        <v>2023</v>
      </c>
      <c r="C2829" t="s">
        <v>904</v>
      </c>
      <c r="D2829" t="s">
        <v>906</v>
      </c>
      <c r="E2829" t="s">
        <v>3735</v>
      </c>
      <c r="F2829" t="s">
        <v>782</v>
      </c>
      <c r="G2829" t="s">
        <v>307</v>
      </c>
      <c r="H2829" s="6">
        <v>954848</v>
      </c>
      <c r="I2829" s="6">
        <v>3.904803676357154E-3</v>
      </c>
      <c r="J2829" s="6">
        <v>9633.1506695730986</v>
      </c>
      <c r="K2829" s="6">
        <v>25246529</v>
      </c>
      <c r="M2829" s="6">
        <f>SUM(H2829,J2829)</f>
        <v>964481.15066957311</v>
      </c>
      <c r="N2829" s="6">
        <f>K2829</f>
        <v>25246529</v>
      </c>
      <c r="O2829" s="6">
        <f>SUM(M2829:N2829)</f>
        <v>26211010.150669575</v>
      </c>
      <c r="P2829" s="8">
        <f>VLOOKUP(F2829,'LEAID Match'!$A$2:$B$436,2,FALSE)</f>
        <v>1809510</v>
      </c>
      <c r="Q2829" s="6">
        <f>COUNTIF($P$2:$P$3691,P2829)</f>
        <v>9</v>
      </c>
    </row>
    <row r="2830" spans="1:17" x14ac:dyDescent="0.2">
      <c r="A2830" s="16">
        <f>P2830</f>
        <v>1813050</v>
      </c>
      <c r="B2830">
        <v>2015</v>
      </c>
      <c r="C2830" t="s">
        <v>904</v>
      </c>
      <c r="D2830" t="s">
        <v>906</v>
      </c>
      <c r="E2830" t="s">
        <v>3736</v>
      </c>
      <c r="F2830" t="s">
        <v>610</v>
      </c>
      <c r="G2830" t="s">
        <v>308</v>
      </c>
      <c r="H2830" s="6">
        <v>191497</v>
      </c>
      <c r="I2830" s="6">
        <v>9.3119381354737538E-4</v>
      </c>
      <c r="J2830" s="6">
        <v>5411.1672505237984</v>
      </c>
      <c r="K2830" s="6">
        <v>787432.38783667702</v>
      </c>
      <c r="M2830" s="6">
        <f>SUM(H2830,J2830)</f>
        <v>196908.16725052381</v>
      </c>
      <c r="N2830" s="6">
        <f>K2830</f>
        <v>787432.38783667702</v>
      </c>
      <c r="O2830" s="6">
        <f>SUM(M2830:N2830)</f>
        <v>984340.55508720083</v>
      </c>
      <c r="P2830" s="8">
        <f>VLOOKUP(F2830,'LEAID Match'!$A$2:$B$436,2,FALSE)</f>
        <v>1813050</v>
      </c>
      <c r="Q2830" s="6">
        <f>COUNTIF($P$2:$P$3691,P2830)</f>
        <v>9</v>
      </c>
    </row>
    <row r="2831" spans="1:17" x14ac:dyDescent="0.2">
      <c r="A2831" s="16">
        <f>P2831</f>
        <v>1813050</v>
      </c>
      <c r="B2831">
        <v>2016</v>
      </c>
      <c r="C2831" t="s">
        <v>904</v>
      </c>
      <c r="D2831" t="s">
        <v>906</v>
      </c>
      <c r="E2831" t="s">
        <v>3737</v>
      </c>
      <c r="F2831" t="s">
        <v>610</v>
      </c>
      <c r="G2831" t="s">
        <v>308</v>
      </c>
      <c r="H2831" s="6">
        <v>206888</v>
      </c>
      <c r="I2831" s="6">
        <v>9.5998572920947612E-4</v>
      </c>
      <c r="J2831" s="6">
        <v>4846.0079610494358</v>
      </c>
      <c r="K2831" s="6">
        <v>851987.33467341005</v>
      </c>
      <c r="M2831" s="6">
        <f>SUM(H2831,J2831)</f>
        <v>211734.00796104944</v>
      </c>
      <c r="N2831" s="6">
        <f>K2831</f>
        <v>851987.33467341005</v>
      </c>
      <c r="O2831" s="6">
        <f>SUM(M2831:N2831)</f>
        <v>1063721.3426344595</v>
      </c>
      <c r="P2831" s="8">
        <f>VLOOKUP(F2831,'LEAID Match'!$A$2:$B$436,2,FALSE)</f>
        <v>1813050</v>
      </c>
      <c r="Q2831" s="6">
        <f>COUNTIF($P$2:$P$3691,P2831)</f>
        <v>9</v>
      </c>
    </row>
    <row r="2832" spans="1:17" x14ac:dyDescent="0.2">
      <c r="A2832" s="16">
        <f>P2832</f>
        <v>1813050</v>
      </c>
      <c r="B2832">
        <v>2017</v>
      </c>
      <c r="C2832" t="s">
        <v>904</v>
      </c>
      <c r="D2832" t="s">
        <v>906</v>
      </c>
      <c r="E2832" t="s">
        <v>3738</v>
      </c>
      <c r="F2832" t="s">
        <v>610</v>
      </c>
      <c r="G2832" t="s">
        <v>308</v>
      </c>
      <c r="H2832" s="6">
        <v>197456</v>
      </c>
      <c r="I2832" s="6">
        <v>8.6948324088182533E-4</v>
      </c>
      <c r="J2832" s="6">
        <v>3934.4116649902599</v>
      </c>
      <c r="K2832" s="6">
        <v>757319.90280806902</v>
      </c>
      <c r="M2832" s="6">
        <f>SUM(H2832,J2832)</f>
        <v>201390.41166499027</v>
      </c>
      <c r="N2832" s="6">
        <f>K2832</f>
        <v>757319.90280806902</v>
      </c>
      <c r="O2832" s="6">
        <f>SUM(M2832:N2832)</f>
        <v>958710.31447305926</v>
      </c>
      <c r="P2832" s="8">
        <f>VLOOKUP(F2832,'LEAID Match'!$A$2:$B$436,2,FALSE)</f>
        <v>1813050</v>
      </c>
      <c r="Q2832" s="6">
        <f>COUNTIF($P$2:$P$3691,P2832)</f>
        <v>9</v>
      </c>
    </row>
    <row r="2833" spans="1:17" x14ac:dyDescent="0.2">
      <c r="A2833" s="16">
        <f>P2833</f>
        <v>1813050</v>
      </c>
      <c r="B2833">
        <v>2018</v>
      </c>
      <c r="C2833" t="s">
        <v>904</v>
      </c>
      <c r="D2833" t="s">
        <v>906</v>
      </c>
      <c r="E2833" t="s">
        <v>3739</v>
      </c>
      <c r="F2833" t="s">
        <v>610</v>
      </c>
      <c r="G2833" t="s">
        <v>308</v>
      </c>
      <c r="H2833" s="6">
        <v>208309</v>
      </c>
      <c r="I2833" s="6">
        <v>8.8372402301954527E-4</v>
      </c>
      <c r="J2833" s="6">
        <v>3683.3617279454647</v>
      </c>
      <c r="K2833" s="6">
        <v>1017033</v>
      </c>
      <c r="M2833" s="6">
        <f>SUM(H2833,J2833)</f>
        <v>211992.36172794548</v>
      </c>
      <c r="N2833" s="6">
        <f>K2833</f>
        <v>1017033</v>
      </c>
      <c r="O2833" s="6">
        <f>SUM(M2833:N2833)</f>
        <v>1229025.3617279455</v>
      </c>
      <c r="P2833" s="8">
        <f>VLOOKUP(F2833,'LEAID Match'!$A$2:$B$436,2,FALSE)</f>
        <v>1813050</v>
      </c>
      <c r="Q2833" s="6">
        <f>COUNTIF($P$2:$P$3691,P2833)</f>
        <v>9</v>
      </c>
    </row>
    <row r="2834" spans="1:17" x14ac:dyDescent="0.2">
      <c r="A2834" s="16">
        <f>P2834</f>
        <v>1813050</v>
      </c>
      <c r="B2834">
        <v>2019</v>
      </c>
      <c r="C2834" t="s">
        <v>904</v>
      </c>
      <c r="D2834" t="s">
        <v>906</v>
      </c>
      <c r="E2834" t="s">
        <v>3740</v>
      </c>
      <c r="F2834" t="s">
        <v>610</v>
      </c>
      <c r="G2834" t="s">
        <v>308</v>
      </c>
      <c r="H2834" s="6">
        <v>195462</v>
      </c>
      <c r="I2834" s="6">
        <v>4.9725426792550538E-4</v>
      </c>
      <c r="J2834" s="6">
        <v>1742.8762090788964</v>
      </c>
      <c r="K2834" s="6">
        <v>469358.30349488399</v>
      </c>
      <c r="M2834" s="6">
        <f>SUM(H2834,J2834)</f>
        <v>197204.87620907891</v>
      </c>
      <c r="N2834" s="6">
        <f>K2834</f>
        <v>469358.30349488399</v>
      </c>
      <c r="O2834" s="6">
        <f>SUM(M2834:N2834)</f>
        <v>666563.17970396287</v>
      </c>
      <c r="P2834" s="8">
        <f>VLOOKUP(F2834,'LEAID Match'!$A$2:$B$436,2,FALSE)</f>
        <v>1813050</v>
      </c>
      <c r="Q2834" s="6">
        <f>COUNTIF($P$2:$P$3691,P2834)</f>
        <v>9</v>
      </c>
    </row>
    <row r="2835" spans="1:17" x14ac:dyDescent="0.2">
      <c r="A2835" s="16">
        <f>P2835</f>
        <v>1813050</v>
      </c>
      <c r="B2835">
        <v>2020</v>
      </c>
      <c r="C2835" t="s">
        <v>904</v>
      </c>
      <c r="D2835" t="s">
        <v>906</v>
      </c>
      <c r="E2835" t="s">
        <v>3741</v>
      </c>
      <c r="F2835" t="s">
        <v>610</v>
      </c>
      <c r="G2835" t="s">
        <v>308</v>
      </c>
      <c r="H2835" s="6">
        <v>128064</v>
      </c>
      <c r="I2835" s="6">
        <v>6.7857370360942986E-4</v>
      </c>
      <c r="J2835" s="6">
        <v>1598.7196457038167</v>
      </c>
      <c r="K2835" s="6">
        <v>1075723</v>
      </c>
      <c r="M2835" s="6">
        <f>SUM(H2835,J2835)</f>
        <v>129662.71964570382</v>
      </c>
      <c r="N2835" s="6">
        <f>K2835</f>
        <v>1075723</v>
      </c>
      <c r="O2835" s="6">
        <f>SUM(M2835:N2835)</f>
        <v>1205385.7196457039</v>
      </c>
      <c r="P2835" s="8">
        <f>VLOOKUP(F2835,'LEAID Match'!$A$2:$B$436,2,FALSE)</f>
        <v>1813050</v>
      </c>
      <c r="Q2835" s="6">
        <f>COUNTIF($P$2:$P$3691,P2835)</f>
        <v>9</v>
      </c>
    </row>
    <row r="2836" spans="1:17" x14ac:dyDescent="0.2">
      <c r="A2836" s="16">
        <f>P2836</f>
        <v>1813050</v>
      </c>
      <c r="B2836">
        <v>2021</v>
      </c>
      <c r="C2836" t="s">
        <v>904</v>
      </c>
      <c r="D2836" t="s">
        <v>906</v>
      </c>
      <c r="E2836" t="s">
        <v>3742</v>
      </c>
      <c r="F2836" t="s">
        <v>610</v>
      </c>
      <c r="G2836" t="s">
        <v>308</v>
      </c>
      <c r="H2836" s="6">
        <v>129909</v>
      </c>
      <c r="I2836" s="6">
        <v>6.4176254139804113E-4</v>
      </c>
      <c r="J2836" s="6">
        <v>1446.5327683111848</v>
      </c>
      <c r="K2836" s="6">
        <v>1738712</v>
      </c>
      <c r="M2836" s="6">
        <f>SUM(H2836,J2836)</f>
        <v>131355.53276831118</v>
      </c>
      <c r="N2836" s="6">
        <f>K2836</f>
        <v>1738712</v>
      </c>
      <c r="O2836" s="6">
        <f>SUM(M2836:N2836)</f>
        <v>1870067.5327683112</v>
      </c>
      <c r="P2836" s="8">
        <f>VLOOKUP(F2836,'LEAID Match'!$A$2:$B$436,2,FALSE)</f>
        <v>1813050</v>
      </c>
      <c r="Q2836" s="6">
        <f>COUNTIF($P$2:$P$3691,P2836)</f>
        <v>9</v>
      </c>
    </row>
    <row r="2837" spans="1:17" x14ac:dyDescent="0.2">
      <c r="A2837" s="16">
        <f>P2837</f>
        <v>1813050</v>
      </c>
      <c r="B2837">
        <v>2022</v>
      </c>
      <c r="C2837" t="s">
        <v>904</v>
      </c>
      <c r="D2837" t="s">
        <v>906</v>
      </c>
      <c r="E2837" t="s">
        <v>3743</v>
      </c>
      <c r="F2837" t="s">
        <v>610</v>
      </c>
      <c r="G2837" t="s">
        <v>308</v>
      </c>
      <c r="H2837" s="6">
        <v>143009</v>
      </c>
      <c r="I2837" s="6">
        <v>6.7903331038503452E-4</v>
      </c>
      <c r="J2837" s="6">
        <v>1497.2684493990012</v>
      </c>
      <c r="K2837" s="6">
        <v>1702040</v>
      </c>
      <c r="M2837" s="6">
        <f>SUM(H2837,J2837)</f>
        <v>144506.26844939901</v>
      </c>
      <c r="N2837" s="6">
        <f>K2837</f>
        <v>1702040</v>
      </c>
      <c r="O2837" s="6">
        <f>SUM(M2837:N2837)</f>
        <v>1846546.2684493989</v>
      </c>
      <c r="P2837" s="8">
        <f>VLOOKUP(F2837,'LEAID Match'!$A$2:$B$436,2,FALSE)</f>
        <v>1813050</v>
      </c>
      <c r="Q2837" s="6">
        <f>COUNTIF($P$2:$P$3691,P2837)</f>
        <v>9</v>
      </c>
    </row>
    <row r="2838" spans="1:17" x14ac:dyDescent="0.2">
      <c r="A2838" s="16">
        <f>P2838</f>
        <v>1813050</v>
      </c>
      <c r="B2838">
        <v>2023</v>
      </c>
      <c r="C2838" t="s">
        <v>904</v>
      </c>
      <c r="D2838" t="s">
        <v>906</v>
      </c>
      <c r="E2838" t="s">
        <v>3744</v>
      </c>
      <c r="F2838" t="s">
        <v>610</v>
      </c>
      <c r="G2838" t="s">
        <v>308</v>
      </c>
      <c r="H2838" s="6">
        <v>164541</v>
      </c>
      <c r="I2838" s="6">
        <v>6.7288228253238472E-4</v>
      </c>
      <c r="J2838" s="6">
        <v>1660.000591007393</v>
      </c>
      <c r="K2838" s="6">
        <v>4196038</v>
      </c>
      <c r="M2838" s="6">
        <f>SUM(H2838,J2838)</f>
        <v>166201.00059100738</v>
      </c>
      <c r="N2838" s="6">
        <f>K2838</f>
        <v>4196038</v>
      </c>
      <c r="O2838" s="6">
        <f>SUM(M2838:N2838)</f>
        <v>4362239.0005910071</v>
      </c>
      <c r="P2838" s="8">
        <f>VLOOKUP(F2838,'LEAID Match'!$A$2:$B$436,2,FALSE)</f>
        <v>1813050</v>
      </c>
      <c r="Q2838" s="6">
        <f>COUNTIF($P$2:$P$3691,P2838)</f>
        <v>9</v>
      </c>
    </row>
    <row r="2839" spans="1:17" x14ac:dyDescent="0.2">
      <c r="A2839" s="16">
        <f>P2839</f>
        <v>1800720</v>
      </c>
      <c r="B2839">
        <v>2015</v>
      </c>
      <c r="C2839" t="s">
        <v>904</v>
      </c>
      <c r="D2839" t="s">
        <v>906</v>
      </c>
      <c r="E2839" t="s">
        <v>3745</v>
      </c>
      <c r="F2839" t="s">
        <v>611</v>
      </c>
      <c r="G2839" t="s">
        <v>309</v>
      </c>
      <c r="H2839" s="6">
        <v>329339</v>
      </c>
      <c r="I2839" s="6">
        <v>1.6014790798805155E-3</v>
      </c>
      <c r="J2839" s="6">
        <v>9306.1949331856758</v>
      </c>
      <c r="K2839" s="6">
        <v>1354236.3336122399</v>
      </c>
      <c r="M2839" s="6">
        <f>SUM(H2839,J2839)</f>
        <v>338645.1949331857</v>
      </c>
      <c r="N2839" s="6">
        <f>K2839</f>
        <v>1354236.3336122399</v>
      </c>
      <c r="O2839" s="6">
        <f>SUM(M2839:N2839)</f>
        <v>1692881.5285454257</v>
      </c>
      <c r="P2839" s="8">
        <f>VLOOKUP(F2839,'LEAID Match'!$A$2:$B$436,2,FALSE)</f>
        <v>1800720</v>
      </c>
      <c r="Q2839" s="6">
        <f>COUNTIF($P$2:$P$3691,P2839)</f>
        <v>9</v>
      </c>
    </row>
    <row r="2840" spans="1:17" x14ac:dyDescent="0.2">
      <c r="A2840" s="16">
        <f>P2840</f>
        <v>1800720</v>
      </c>
      <c r="B2840">
        <v>2016</v>
      </c>
      <c r="C2840" t="s">
        <v>904</v>
      </c>
      <c r="D2840" t="s">
        <v>906</v>
      </c>
      <c r="E2840" t="s">
        <v>3746</v>
      </c>
      <c r="F2840" t="s">
        <v>611</v>
      </c>
      <c r="G2840" t="s">
        <v>309</v>
      </c>
      <c r="H2840" s="6">
        <v>347559</v>
      </c>
      <c r="I2840" s="6">
        <v>1.6127164458949591E-3</v>
      </c>
      <c r="J2840" s="6">
        <v>8140.9926188777536</v>
      </c>
      <c r="K2840" s="6">
        <v>1431285.8457317699</v>
      </c>
      <c r="M2840" s="6">
        <f>SUM(H2840,J2840)</f>
        <v>355699.99261887773</v>
      </c>
      <c r="N2840" s="6">
        <f>K2840</f>
        <v>1431285.8457317699</v>
      </c>
      <c r="O2840" s="6">
        <f>SUM(M2840:N2840)</f>
        <v>1786985.8383506476</v>
      </c>
      <c r="P2840" s="8">
        <f>VLOOKUP(F2840,'LEAID Match'!$A$2:$B$436,2,FALSE)</f>
        <v>1800720</v>
      </c>
      <c r="Q2840" s="6">
        <f>COUNTIF($P$2:$P$3691,P2840)</f>
        <v>9</v>
      </c>
    </row>
    <row r="2841" spans="1:17" x14ac:dyDescent="0.2">
      <c r="A2841" s="16">
        <f>P2841</f>
        <v>1800720</v>
      </c>
      <c r="B2841">
        <v>2017</v>
      </c>
      <c r="C2841" t="s">
        <v>904</v>
      </c>
      <c r="D2841" t="s">
        <v>906</v>
      </c>
      <c r="E2841" t="s">
        <v>3747</v>
      </c>
      <c r="F2841" t="s">
        <v>611</v>
      </c>
      <c r="G2841" t="s">
        <v>309</v>
      </c>
      <c r="H2841" s="6">
        <v>361451</v>
      </c>
      <c r="I2841" s="6">
        <v>1.5916233839436465E-3</v>
      </c>
      <c r="J2841" s="6">
        <v>7202.0958123450009</v>
      </c>
      <c r="K2841" s="6">
        <v>1386303.96741491</v>
      </c>
      <c r="M2841" s="6">
        <f>SUM(H2841,J2841)</f>
        <v>368653.09581234498</v>
      </c>
      <c r="N2841" s="6">
        <f>K2841</f>
        <v>1386303.96741491</v>
      </c>
      <c r="O2841" s="6">
        <f>SUM(M2841:N2841)</f>
        <v>1754957.0632272549</v>
      </c>
      <c r="P2841" s="8">
        <f>VLOOKUP(F2841,'LEAID Match'!$A$2:$B$436,2,FALSE)</f>
        <v>1800720</v>
      </c>
      <c r="Q2841" s="6">
        <f>COUNTIF($P$2:$P$3691,P2841)</f>
        <v>9</v>
      </c>
    </row>
    <row r="2842" spans="1:17" x14ac:dyDescent="0.2">
      <c r="A2842" s="16">
        <f>P2842</f>
        <v>1800720</v>
      </c>
      <c r="B2842">
        <v>2018</v>
      </c>
      <c r="C2842" t="s">
        <v>904</v>
      </c>
      <c r="D2842" t="s">
        <v>906</v>
      </c>
      <c r="E2842" t="s">
        <v>3748</v>
      </c>
      <c r="F2842" t="s">
        <v>611</v>
      </c>
      <c r="G2842" t="s">
        <v>309</v>
      </c>
      <c r="H2842" s="6">
        <v>395099</v>
      </c>
      <c r="I2842" s="6">
        <v>1.6761564683763031E-3</v>
      </c>
      <c r="J2842" s="6">
        <v>6986.2201601924307</v>
      </c>
      <c r="K2842" s="6">
        <v>1410170</v>
      </c>
      <c r="M2842" s="6">
        <f>SUM(H2842,J2842)</f>
        <v>402085.2201601924</v>
      </c>
      <c r="N2842" s="6">
        <f>K2842</f>
        <v>1410170</v>
      </c>
      <c r="O2842" s="6">
        <f>SUM(M2842:N2842)</f>
        <v>1812255.2201601923</v>
      </c>
      <c r="P2842" s="8">
        <f>VLOOKUP(F2842,'LEAID Match'!$A$2:$B$436,2,FALSE)</f>
        <v>1800720</v>
      </c>
      <c r="Q2842" s="6">
        <f>COUNTIF($P$2:$P$3691,P2842)</f>
        <v>9</v>
      </c>
    </row>
    <row r="2843" spans="1:17" x14ac:dyDescent="0.2">
      <c r="A2843" s="16">
        <f>P2843</f>
        <v>1800720</v>
      </c>
      <c r="B2843">
        <v>2019</v>
      </c>
      <c r="C2843" t="s">
        <v>904</v>
      </c>
      <c r="D2843" t="s">
        <v>906</v>
      </c>
      <c r="E2843" t="s">
        <v>3749</v>
      </c>
      <c r="F2843" t="s">
        <v>611</v>
      </c>
      <c r="G2843" t="s">
        <v>309</v>
      </c>
      <c r="H2843" s="6">
        <v>414647</v>
      </c>
      <c r="I2843" s="6">
        <v>1.0548597191909785E-3</v>
      </c>
      <c r="J2843" s="6">
        <v>3697.2833157643795</v>
      </c>
      <c r="K2843" s="6">
        <v>995682.08894436399</v>
      </c>
      <c r="M2843" s="6">
        <f>SUM(H2843,J2843)</f>
        <v>418344.28331576439</v>
      </c>
      <c r="N2843" s="6">
        <f>K2843</f>
        <v>995682.08894436399</v>
      </c>
      <c r="O2843" s="6">
        <f>SUM(M2843:N2843)</f>
        <v>1414026.3722601284</v>
      </c>
      <c r="P2843" s="8">
        <f>VLOOKUP(F2843,'LEAID Match'!$A$2:$B$436,2,FALSE)</f>
        <v>1800720</v>
      </c>
      <c r="Q2843" s="6">
        <f>COUNTIF($P$2:$P$3691,P2843)</f>
        <v>9</v>
      </c>
    </row>
    <row r="2844" spans="1:17" x14ac:dyDescent="0.2">
      <c r="A2844" s="16">
        <f>P2844</f>
        <v>1800720</v>
      </c>
      <c r="B2844">
        <v>2020</v>
      </c>
      <c r="C2844" t="s">
        <v>904</v>
      </c>
      <c r="D2844" t="s">
        <v>906</v>
      </c>
      <c r="E2844" t="s">
        <v>3750</v>
      </c>
      <c r="F2844" t="s">
        <v>611</v>
      </c>
      <c r="G2844" t="s">
        <v>309</v>
      </c>
      <c r="H2844" s="6">
        <v>312700</v>
      </c>
      <c r="I2844" s="6">
        <v>1.6569058995398295E-3</v>
      </c>
      <c r="J2844" s="6">
        <v>3903.6702993158383</v>
      </c>
      <c r="K2844" s="6">
        <v>1446016</v>
      </c>
      <c r="M2844" s="6">
        <f>SUM(H2844,J2844)</f>
        <v>316603.67029931583</v>
      </c>
      <c r="N2844" s="6">
        <f>K2844</f>
        <v>1446016</v>
      </c>
      <c r="O2844" s="6">
        <f>SUM(M2844:N2844)</f>
        <v>1762619.6702993158</v>
      </c>
      <c r="P2844" s="8">
        <f>VLOOKUP(F2844,'LEAID Match'!$A$2:$B$436,2,FALSE)</f>
        <v>1800720</v>
      </c>
      <c r="Q2844" s="6">
        <f>COUNTIF($P$2:$P$3691,P2844)</f>
        <v>9</v>
      </c>
    </row>
    <row r="2845" spans="1:17" x14ac:dyDescent="0.2">
      <c r="A2845" s="16">
        <f>P2845</f>
        <v>1800720</v>
      </c>
      <c r="B2845">
        <v>2021</v>
      </c>
      <c r="C2845" t="s">
        <v>904</v>
      </c>
      <c r="D2845" t="s">
        <v>906</v>
      </c>
      <c r="E2845" t="s">
        <v>3751</v>
      </c>
      <c r="F2845" t="s">
        <v>611</v>
      </c>
      <c r="G2845" t="s">
        <v>309</v>
      </c>
      <c r="H2845" s="6">
        <v>320883</v>
      </c>
      <c r="I2845" s="6">
        <v>1.5851918617757631E-3</v>
      </c>
      <c r="J2845" s="6">
        <v>3573.0224564425698</v>
      </c>
      <c r="K2845" s="6">
        <v>2405714</v>
      </c>
      <c r="M2845" s="6">
        <f>SUM(H2845,J2845)</f>
        <v>324456.02245644259</v>
      </c>
      <c r="N2845" s="6">
        <f>K2845</f>
        <v>2405714</v>
      </c>
      <c r="O2845" s="6">
        <f>SUM(M2845:N2845)</f>
        <v>2730170.0224564425</v>
      </c>
      <c r="P2845" s="8">
        <f>VLOOKUP(F2845,'LEAID Match'!$A$2:$B$436,2,FALSE)</f>
        <v>1800720</v>
      </c>
      <c r="Q2845" s="6">
        <f>COUNTIF($P$2:$P$3691,P2845)</f>
        <v>9</v>
      </c>
    </row>
    <row r="2846" spans="1:17" x14ac:dyDescent="0.2">
      <c r="A2846" s="16">
        <f>P2846</f>
        <v>1800720</v>
      </c>
      <c r="B2846">
        <v>2022</v>
      </c>
      <c r="C2846" t="s">
        <v>904</v>
      </c>
      <c r="D2846" t="s">
        <v>906</v>
      </c>
      <c r="E2846" t="s">
        <v>3752</v>
      </c>
      <c r="F2846" t="s">
        <v>611</v>
      </c>
      <c r="G2846" t="s">
        <v>309</v>
      </c>
      <c r="H2846" s="6">
        <v>350658</v>
      </c>
      <c r="I2846" s="6">
        <v>1.6649893541874669E-3</v>
      </c>
      <c r="J2846" s="6">
        <v>3671.3015259833646</v>
      </c>
      <c r="K2846" s="6">
        <v>2281429</v>
      </c>
      <c r="M2846" s="6">
        <f>SUM(H2846,J2846)</f>
        <v>354329.30152598338</v>
      </c>
      <c r="N2846" s="6">
        <f>K2846</f>
        <v>2281429</v>
      </c>
      <c r="O2846" s="6">
        <f>SUM(M2846:N2846)</f>
        <v>2635758.3015259835</v>
      </c>
      <c r="P2846" s="8">
        <f>VLOOKUP(F2846,'LEAID Match'!$A$2:$B$436,2,FALSE)</f>
        <v>1800720</v>
      </c>
      <c r="Q2846" s="6">
        <f>COUNTIF($P$2:$P$3691,P2846)</f>
        <v>9</v>
      </c>
    </row>
    <row r="2847" spans="1:17" x14ac:dyDescent="0.2">
      <c r="A2847" s="16">
        <f>P2847</f>
        <v>1800720</v>
      </c>
      <c r="B2847">
        <v>2023</v>
      </c>
      <c r="C2847" t="s">
        <v>904</v>
      </c>
      <c r="D2847" t="s">
        <v>906</v>
      </c>
      <c r="E2847" t="s">
        <v>3753</v>
      </c>
      <c r="F2847" t="s">
        <v>611</v>
      </c>
      <c r="G2847" t="s">
        <v>309</v>
      </c>
      <c r="H2847" s="6">
        <v>420782</v>
      </c>
      <c r="I2847" s="6">
        <v>1.7207671802683946E-3</v>
      </c>
      <c r="J2847" s="6">
        <v>4245.1326337221299</v>
      </c>
      <c r="K2847" s="6">
        <v>5873522</v>
      </c>
      <c r="M2847" s="6">
        <f>SUM(H2847,J2847)</f>
        <v>425027.13263372215</v>
      </c>
      <c r="N2847" s="6">
        <f>K2847</f>
        <v>5873522</v>
      </c>
      <c r="O2847" s="6">
        <f>SUM(M2847:N2847)</f>
        <v>6298549.1326337224</v>
      </c>
      <c r="P2847" s="8">
        <f>VLOOKUP(F2847,'LEAID Match'!$A$2:$B$436,2,FALSE)</f>
        <v>1800720</v>
      </c>
      <c r="Q2847" s="6">
        <f>COUNTIF($P$2:$P$3691,P2847)</f>
        <v>9</v>
      </c>
    </row>
    <row r="2848" spans="1:17" x14ac:dyDescent="0.2">
      <c r="A2848" s="16">
        <f>P2848</f>
        <v>1808220</v>
      </c>
      <c r="B2848">
        <v>2015</v>
      </c>
      <c r="C2848" t="s">
        <v>904</v>
      </c>
      <c r="D2848" t="s">
        <v>906</v>
      </c>
      <c r="E2848" t="s">
        <v>3754</v>
      </c>
      <c r="F2848" t="s">
        <v>783</v>
      </c>
      <c r="G2848" t="s">
        <v>310</v>
      </c>
      <c r="H2848" s="6">
        <v>434615</v>
      </c>
      <c r="I2848" s="6">
        <v>2.1134054281523604E-3</v>
      </c>
      <c r="J2848" s="6">
        <v>12280.998942993367</v>
      </c>
      <c r="K2848" s="6">
        <v>1787129.4445324801</v>
      </c>
      <c r="M2848" s="6">
        <f>SUM(H2848,J2848)</f>
        <v>446895.99894299335</v>
      </c>
      <c r="N2848" s="6">
        <f>K2848</f>
        <v>1787129.4445324801</v>
      </c>
      <c r="O2848" s="6">
        <f>SUM(M2848:N2848)</f>
        <v>2234025.4434754737</v>
      </c>
      <c r="P2848" s="8">
        <f>VLOOKUP(F2848,'LEAID Match'!$A$2:$B$436,2,FALSE)</f>
        <v>1808220</v>
      </c>
      <c r="Q2848" s="6">
        <f>COUNTIF($P$2:$P$3691,P2848)</f>
        <v>9</v>
      </c>
    </row>
    <row r="2849" spans="1:17" x14ac:dyDescent="0.2">
      <c r="A2849" s="16">
        <f>P2849</f>
        <v>1808220</v>
      </c>
      <c r="B2849">
        <v>2016</v>
      </c>
      <c r="C2849" t="s">
        <v>904</v>
      </c>
      <c r="D2849" t="s">
        <v>906</v>
      </c>
      <c r="E2849" t="s">
        <v>3755</v>
      </c>
      <c r="F2849" t="s">
        <v>783</v>
      </c>
      <c r="G2849" t="s">
        <v>310</v>
      </c>
      <c r="H2849" s="6">
        <v>468749</v>
      </c>
      <c r="I2849" s="6">
        <v>2.1750529299969681E-3</v>
      </c>
      <c r="J2849" s="6">
        <v>10979.667190624696</v>
      </c>
      <c r="K2849" s="6">
        <v>1930359.4753723</v>
      </c>
      <c r="M2849" s="6">
        <f>SUM(H2849,J2849)</f>
        <v>479728.66719062469</v>
      </c>
      <c r="N2849" s="6">
        <f>K2849</f>
        <v>1930359.4753723</v>
      </c>
      <c r="O2849" s="6">
        <f>SUM(M2849:N2849)</f>
        <v>2410088.1425629249</v>
      </c>
      <c r="P2849" s="8">
        <f>VLOOKUP(F2849,'LEAID Match'!$A$2:$B$436,2,FALSE)</f>
        <v>1808220</v>
      </c>
      <c r="Q2849" s="6">
        <f>COUNTIF($P$2:$P$3691,P2849)</f>
        <v>9</v>
      </c>
    </row>
    <row r="2850" spans="1:17" x14ac:dyDescent="0.2">
      <c r="A2850" s="16">
        <f>P2850</f>
        <v>1808220</v>
      </c>
      <c r="B2850">
        <v>2017</v>
      </c>
      <c r="C2850" t="s">
        <v>904</v>
      </c>
      <c r="D2850" t="s">
        <v>906</v>
      </c>
      <c r="E2850" t="s">
        <v>3756</v>
      </c>
      <c r="F2850" t="s">
        <v>783</v>
      </c>
      <c r="G2850" t="s">
        <v>310</v>
      </c>
      <c r="H2850" s="6">
        <v>513263</v>
      </c>
      <c r="I2850" s="6">
        <v>2.2601165660437175E-3</v>
      </c>
      <c r="J2850" s="6">
        <v>10227.027461347821</v>
      </c>
      <c r="K2850" s="6">
        <v>1968561.5290240699</v>
      </c>
      <c r="M2850" s="6">
        <f>SUM(H2850,J2850)</f>
        <v>523490.02746134781</v>
      </c>
      <c r="N2850" s="6">
        <f>K2850</f>
        <v>1968561.5290240699</v>
      </c>
      <c r="O2850" s="6">
        <f>SUM(M2850:N2850)</f>
        <v>2492051.5564854178</v>
      </c>
      <c r="P2850" s="8">
        <f>VLOOKUP(F2850,'LEAID Match'!$A$2:$B$436,2,FALSE)</f>
        <v>1808220</v>
      </c>
      <c r="Q2850" s="6">
        <f>COUNTIF($P$2:$P$3691,P2850)</f>
        <v>9</v>
      </c>
    </row>
    <row r="2851" spans="1:17" x14ac:dyDescent="0.2">
      <c r="A2851" s="16">
        <f>P2851</f>
        <v>1808220</v>
      </c>
      <c r="B2851">
        <v>2018</v>
      </c>
      <c r="C2851" t="s">
        <v>904</v>
      </c>
      <c r="D2851" t="s">
        <v>906</v>
      </c>
      <c r="E2851" t="s">
        <v>3757</v>
      </c>
      <c r="F2851" t="s">
        <v>783</v>
      </c>
      <c r="G2851" t="s">
        <v>310</v>
      </c>
      <c r="H2851" s="6">
        <v>545547</v>
      </c>
      <c r="I2851" s="6">
        <v>2.3144126734142255E-3</v>
      </c>
      <c r="J2851" s="6">
        <v>9646.4720227904927</v>
      </c>
      <c r="K2851" s="6">
        <v>2088681</v>
      </c>
      <c r="M2851" s="6">
        <f>SUM(H2851,J2851)</f>
        <v>555193.47202279046</v>
      </c>
      <c r="N2851" s="6">
        <f>K2851</f>
        <v>2088681</v>
      </c>
      <c r="O2851" s="6">
        <f>SUM(M2851:N2851)</f>
        <v>2643874.4720227905</v>
      </c>
      <c r="P2851" s="8">
        <f>VLOOKUP(F2851,'LEAID Match'!$A$2:$B$436,2,FALSE)</f>
        <v>1808220</v>
      </c>
      <c r="Q2851" s="6">
        <f>COUNTIF($P$2:$P$3691,P2851)</f>
        <v>9</v>
      </c>
    </row>
    <row r="2852" spans="1:17" x14ac:dyDescent="0.2">
      <c r="A2852" s="16">
        <f>P2852</f>
        <v>1808220</v>
      </c>
      <c r="B2852">
        <v>2019</v>
      </c>
      <c r="C2852" t="s">
        <v>904</v>
      </c>
      <c r="D2852" t="s">
        <v>906</v>
      </c>
      <c r="E2852" t="s">
        <v>3758</v>
      </c>
      <c r="F2852" t="s">
        <v>783</v>
      </c>
      <c r="G2852" t="s">
        <v>310</v>
      </c>
      <c r="H2852" s="6">
        <v>585689</v>
      </c>
      <c r="I2852" s="6">
        <v>1.4899896395566469E-3</v>
      </c>
      <c r="J2852" s="6">
        <v>5222.4136866460476</v>
      </c>
      <c r="K2852" s="6">
        <v>1406401.22077751</v>
      </c>
      <c r="M2852" s="6">
        <f>SUM(H2852,J2852)</f>
        <v>590911.41368664603</v>
      </c>
      <c r="N2852" s="6">
        <f>K2852</f>
        <v>1406401.22077751</v>
      </c>
      <c r="O2852" s="6">
        <f>SUM(M2852:N2852)</f>
        <v>1997312.6344641559</v>
      </c>
      <c r="P2852" s="8">
        <f>VLOOKUP(F2852,'LEAID Match'!$A$2:$B$436,2,FALSE)</f>
        <v>1808220</v>
      </c>
      <c r="Q2852" s="6">
        <f>COUNTIF($P$2:$P$3691,P2852)</f>
        <v>9</v>
      </c>
    </row>
    <row r="2853" spans="1:17" x14ac:dyDescent="0.2">
      <c r="A2853" s="16">
        <f>P2853</f>
        <v>1808220</v>
      </c>
      <c r="B2853">
        <v>2020</v>
      </c>
      <c r="C2853" t="s">
        <v>904</v>
      </c>
      <c r="D2853" t="s">
        <v>906</v>
      </c>
      <c r="E2853" t="s">
        <v>3759</v>
      </c>
      <c r="F2853" t="s">
        <v>783</v>
      </c>
      <c r="G2853" t="s">
        <v>310</v>
      </c>
      <c r="H2853" s="6">
        <v>436132</v>
      </c>
      <c r="I2853" s="6">
        <v>2.3109359890569393E-3</v>
      </c>
      <c r="J2853" s="6">
        <v>5444.5651902181489</v>
      </c>
      <c r="K2853" s="6">
        <v>2210394</v>
      </c>
      <c r="M2853" s="6">
        <f>SUM(H2853,J2853)</f>
        <v>441576.56519021816</v>
      </c>
      <c r="N2853" s="6">
        <f>K2853</f>
        <v>2210394</v>
      </c>
      <c r="O2853" s="6">
        <f>SUM(M2853:N2853)</f>
        <v>2651970.5651902184</v>
      </c>
      <c r="P2853" s="8">
        <f>VLOOKUP(F2853,'LEAID Match'!$A$2:$B$436,2,FALSE)</f>
        <v>1808220</v>
      </c>
      <c r="Q2853" s="6">
        <f>COUNTIF($P$2:$P$3691,P2853)</f>
        <v>9</v>
      </c>
    </row>
    <row r="2854" spans="1:17" x14ac:dyDescent="0.2">
      <c r="A2854" s="16">
        <f>P2854</f>
        <v>1808220</v>
      </c>
      <c r="B2854">
        <v>2021</v>
      </c>
      <c r="C2854" t="s">
        <v>904</v>
      </c>
      <c r="D2854" t="s">
        <v>906</v>
      </c>
      <c r="E2854" t="s">
        <v>3760</v>
      </c>
      <c r="F2854" t="s">
        <v>783</v>
      </c>
      <c r="G2854" t="s">
        <v>310</v>
      </c>
      <c r="H2854" s="6">
        <v>453612</v>
      </c>
      <c r="I2854" s="6">
        <v>2.2408854654307878E-3</v>
      </c>
      <c r="J2854" s="6">
        <v>5050.9558390809962</v>
      </c>
      <c r="K2854" s="6">
        <v>3585315</v>
      </c>
      <c r="M2854" s="6">
        <f>SUM(H2854,J2854)</f>
        <v>458662.95583908097</v>
      </c>
      <c r="N2854" s="6">
        <f>K2854</f>
        <v>3585315</v>
      </c>
      <c r="O2854" s="6">
        <f>SUM(M2854:N2854)</f>
        <v>4043977.9558390807</v>
      </c>
      <c r="P2854" s="8">
        <f>VLOOKUP(F2854,'LEAID Match'!$A$2:$B$436,2,FALSE)</f>
        <v>1808220</v>
      </c>
      <c r="Q2854" s="6">
        <f>COUNTIF($P$2:$P$3691,P2854)</f>
        <v>9</v>
      </c>
    </row>
    <row r="2855" spans="1:17" x14ac:dyDescent="0.2">
      <c r="A2855" s="16">
        <f>P2855</f>
        <v>1808220</v>
      </c>
      <c r="B2855">
        <v>2022</v>
      </c>
      <c r="C2855" t="s">
        <v>904</v>
      </c>
      <c r="D2855" t="s">
        <v>906</v>
      </c>
      <c r="E2855" t="s">
        <v>3761</v>
      </c>
      <c r="F2855" t="s">
        <v>783</v>
      </c>
      <c r="G2855" t="s">
        <v>310</v>
      </c>
      <c r="H2855" s="6">
        <v>453167</v>
      </c>
      <c r="I2855" s="6">
        <v>2.1517211376015145E-3</v>
      </c>
      <c r="J2855" s="6">
        <v>4744.5451084113392</v>
      </c>
      <c r="K2855" s="6">
        <v>3439120</v>
      </c>
      <c r="M2855" s="6">
        <f>SUM(H2855,J2855)</f>
        <v>457911.54510841134</v>
      </c>
      <c r="N2855" s="6">
        <f>K2855</f>
        <v>3439120</v>
      </c>
      <c r="O2855" s="6">
        <f>SUM(M2855:N2855)</f>
        <v>3897031.5451084115</v>
      </c>
      <c r="P2855" s="8">
        <f>VLOOKUP(F2855,'LEAID Match'!$A$2:$B$436,2,FALSE)</f>
        <v>1808220</v>
      </c>
      <c r="Q2855" s="6">
        <f>COUNTIF($P$2:$P$3691,P2855)</f>
        <v>9</v>
      </c>
    </row>
    <row r="2856" spans="1:17" x14ac:dyDescent="0.2">
      <c r="A2856" s="16">
        <f>P2856</f>
        <v>1808220</v>
      </c>
      <c r="B2856">
        <v>2023</v>
      </c>
      <c r="C2856" t="s">
        <v>904</v>
      </c>
      <c r="D2856" t="s">
        <v>906</v>
      </c>
      <c r="E2856" t="s">
        <v>3762</v>
      </c>
      <c r="F2856" t="s">
        <v>783</v>
      </c>
      <c r="G2856" t="s">
        <v>310</v>
      </c>
      <c r="H2856" s="6">
        <v>517990</v>
      </c>
      <c r="I2856" s="6">
        <v>2.118294489087522E-3</v>
      </c>
      <c r="J2856" s="6">
        <v>5225.832504578917</v>
      </c>
      <c r="K2856" s="6">
        <v>10100052</v>
      </c>
      <c r="M2856" s="6">
        <f>SUM(H2856,J2856)</f>
        <v>523215.83250457892</v>
      </c>
      <c r="N2856" s="6">
        <f>K2856</f>
        <v>10100052</v>
      </c>
      <c r="O2856" s="6">
        <f>SUM(M2856:N2856)</f>
        <v>10623267.83250458</v>
      </c>
      <c r="P2856" s="8">
        <f>VLOOKUP(F2856,'LEAID Match'!$A$2:$B$436,2,FALSE)</f>
        <v>1808220</v>
      </c>
      <c r="Q2856" s="6">
        <f>COUNTIF($P$2:$P$3691,P2856)</f>
        <v>9</v>
      </c>
    </row>
    <row r="2857" spans="1:17" x14ac:dyDescent="0.2">
      <c r="A2857" s="16">
        <f>P2857</f>
        <v>1810770</v>
      </c>
      <c r="B2857">
        <v>2015</v>
      </c>
      <c r="C2857" t="s">
        <v>904</v>
      </c>
      <c r="D2857" t="s">
        <v>906</v>
      </c>
      <c r="E2857" t="s">
        <v>3763</v>
      </c>
      <c r="F2857" t="s">
        <v>784</v>
      </c>
      <c r="G2857" t="s">
        <v>311</v>
      </c>
      <c r="H2857" s="6">
        <v>116937</v>
      </c>
      <c r="I2857" s="6">
        <v>5.6863037527893096E-4</v>
      </c>
      <c r="J2857" s="6">
        <v>3304.3111107458676</v>
      </c>
      <c r="K2857" s="6">
        <v>480842.94342186803</v>
      </c>
      <c r="M2857" s="6">
        <f>SUM(H2857,J2857)</f>
        <v>120241.31111074587</v>
      </c>
      <c r="N2857" s="6">
        <f>K2857</f>
        <v>480842.94342186803</v>
      </c>
      <c r="O2857" s="6">
        <f>SUM(M2857:N2857)</f>
        <v>601084.25453261391</v>
      </c>
      <c r="P2857" s="8">
        <f>VLOOKUP(F2857,'LEAID Match'!$A$2:$B$436,2,FALSE)</f>
        <v>1810770</v>
      </c>
      <c r="Q2857" s="6">
        <f>COUNTIF($P$2:$P$3691,P2857)</f>
        <v>9</v>
      </c>
    </row>
    <row r="2858" spans="1:17" x14ac:dyDescent="0.2">
      <c r="A2858" s="16">
        <f>P2858</f>
        <v>1810770</v>
      </c>
      <c r="B2858">
        <v>2016</v>
      </c>
      <c r="C2858" t="s">
        <v>904</v>
      </c>
      <c r="D2858" t="s">
        <v>906</v>
      </c>
      <c r="E2858" t="s">
        <v>3764</v>
      </c>
      <c r="F2858" t="s">
        <v>784</v>
      </c>
      <c r="G2858" t="s">
        <v>311</v>
      </c>
      <c r="H2858" s="6">
        <v>126273</v>
      </c>
      <c r="I2858" s="6">
        <v>5.8592222837703582E-4</v>
      </c>
      <c r="J2858" s="6">
        <v>2957.7354088472766</v>
      </c>
      <c r="K2858" s="6">
        <v>520005.97768461902</v>
      </c>
      <c r="M2858" s="6">
        <f>SUM(H2858,J2858)</f>
        <v>129230.73540884728</v>
      </c>
      <c r="N2858" s="6">
        <f>K2858</f>
        <v>520005.97768461902</v>
      </c>
      <c r="O2858" s="6">
        <f>SUM(M2858:N2858)</f>
        <v>649236.71309346636</v>
      </c>
      <c r="P2858" s="8">
        <f>VLOOKUP(F2858,'LEAID Match'!$A$2:$B$436,2,FALSE)</f>
        <v>1810770</v>
      </c>
      <c r="Q2858" s="6">
        <f>COUNTIF($P$2:$P$3691,P2858)</f>
        <v>9</v>
      </c>
    </row>
    <row r="2859" spans="1:17" x14ac:dyDescent="0.2">
      <c r="A2859" s="16">
        <f>P2859</f>
        <v>1810770</v>
      </c>
      <c r="B2859">
        <v>2017</v>
      </c>
      <c r="C2859" t="s">
        <v>904</v>
      </c>
      <c r="D2859" t="s">
        <v>906</v>
      </c>
      <c r="E2859" t="s">
        <v>3765</v>
      </c>
      <c r="F2859" t="s">
        <v>784</v>
      </c>
      <c r="G2859" t="s">
        <v>311</v>
      </c>
      <c r="H2859" s="6">
        <v>140245</v>
      </c>
      <c r="I2859" s="6">
        <v>6.1755873266688065E-4</v>
      </c>
      <c r="J2859" s="6">
        <v>2794.4532653176348</v>
      </c>
      <c r="K2859" s="6">
        <v>537893.65615285304</v>
      </c>
      <c r="M2859" s="6">
        <f>SUM(H2859,J2859)</f>
        <v>143039.45326531763</v>
      </c>
      <c r="N2859" s="6">
        <f>K2859</f>
        <v>537893.65615285304</v>
      </c>
      <c r="O2859" s="6">
        <f>SUM(M2859:N2859)</f>
        <v>680933.10941817064</v>
      </c>
      <c r="P2859" s="8">
        <f>VLOOKUP(F2859,'LEAID Match'!$A$2:$B$436,2,FALSE)</f>
        <v>1810770</v>
      </c>
      <c r="Q2859" s="6">
        <f>COUNTIF($P$2:$P$3691,P2859)</f>
        <v>9</v>
      </c>
    </row>
    <row r="2860" spans="1:17" x14ac:dyDescent="0.2">
      <c r="A2860" s="16">
        <f>P2860</f>
        <v>1810770</v>
      </c>
      <c r="B2860">
        <v>2018</v>
      </c>
      <c r="C2860" t="s">
        <v>904</v>
      </c>
      <c r="D2860" t="s">
        <v>906</v>
      </c>
      <c r="E2860" t="s">
        <v>3766</v>
      </c>
      <c r="F2860" t="s">
        <v>784</v>
      </c>
      <c r="G2860" t="s">
        <v>311</v>
      </c>
      <c r="H2860" s="6">
        <v>169745</v>
      </c>
      <c r="I2860" s="6">
        <v>7.2012123473999068E-4</v>
      </c>
      <c r="J2860" s="6">
        <v>3001.465306396281</v>
      </c>
      <c r="K2860" s="6">
        <v>849058</v>
      </c>
      <c r="M2860" s="6">
        <f>SUM(H2860,J2860)</f>
        <v>172746.46530639628</v>
      </c>
      <c r="N2860" s="6">
        <f>K2860</f>
        <v>849058</v>
      </c>
      <c r="O2860" s="6">
        <f>SUM(M2860:N2860)</f>
        <v>1021804.4653063962</v>
      </c>
      <c r="P2860" s="8">
        <f>VLOOKUP(F2860,'LEAID Match'!$A$2:$B$436,2,FALSE)</f>
        <v>1810770</v>
      </c>
      <c r="Q2860" s="6">
        <f>COUNTIF($P$2:$P$3691,P2860)</f>
        <v>9</v>
      </c>
    </row>
    <row r="2861" spans="1:17" x14ac:dyDescent="0.2">
      <c r="A2861" s="16">
        <f>P2861</f>
        <v>1810770</v>
      </c>
      <c r="B2861">
        <v>2019</v>
      </c>
      <c r="C2861" t="s">
        <v>904</v>
      </c>
      <c r="D2861" t="s">
        <v>906</v>
      </c>
      <c r="E2861" t="s">
        <v>3767</v>
      </c>
      <c r="F2861" t="s">
        <v>784</v>
      </c>
      <c r="G2861" t="s">
        <v>311</v>
      </c>
      <c r="H2861" s="6">
        <v>191778</v>
      </c>
      <c r="I2861" s="6">
        <v>4.8788219190542187E-4</v>
      </c>
      <c r="J2861" s="6">
        <v>1710.0270826285036</v>
      </c>
      <c r="K2861" s="6">
        <v>460512.000939527</v>
      </c>
      <c r="M2861" s="6">
        <f>SUM(H2861,J2861)</f>
        <v>193488.02708262851</v>
      </c>
      <c r="N2861" s="6">
        <f>K2861</f>
        <v>460512.000939527</v>
      </c>
      <c r="O2861" s="6">
        <f>SUM(M2861:N2861)</f>
        <v>654000.02802215551</v>
      </c>
      <c r="P2861" s="8">
        <f>VLOOKUP(F2861,'LEAID Match'!$A$2:$B$436,2,FALSE)</f>
        <v>1810770</v>
      </c>
      <c r="Q2861" s="6">
        <f>COUNTIF($P$2:$P$3691,P2861)</f>
        <v>9</v>
      </c>
    </row>
    <row r="2862" spans="1:17" x14ac:dyDescent="0.2">
      <c r="A2862" s="16">
        <f>P2862</f>
        <v>1810770</v>
      </c>
      <c r="B2862">
        <v>2020</v>
      </c>
      <c r="C2862" t="s">
        <v>904</v>
      </c>
      <c r="D2862" t="s">
        <v>906</v>
      </c>
      <c r="E2862" t="s">
        <v>3768</v>
      </c>
      <c r="F2862" t="s">
        <v>784</v>
      </c>
      <c r="G2862" t="s">
        <v>311</v>
      </c>
      <c r="H2862" s="6">
        <v>151799</v>
      </c>
      <c r="I2862" s="6">
        <v>8.0433853100174793E-4</v>
      </c>
      <c r="J2862" s="6">
        <v>1895.021579040118</v>
      </c>
      <c r="K2862" s="6">
        <v>894510</v>
      </c>
      <c r="M2862" s="6">
        <f>SUM(H2862,J2862)</f>
        <v>153694.02157904013</v>
      </c>
      <c r="N2862" s="6">
        <f>K2862</f>
        <v>894510</v>
      </c>
      <c r="O2862" s="6">
        <f>SUM(M2862:N2862)</f>
        <v>1048204.0215790401</v>
      </c>
      <c r="P2862" s="8">
        <f>VLOOKUP(F2862,'LEAID Match'!$A$2:$B$436,2,FALSE)</f>
        <v>1810770</v>
      </c>
      <c r="Q2862" s="6">
        <f>COUNTIF($P$2:$P$3691,P2862)</f>
        <v>9</v>
      </c>
    </row>
    <row r="2863" spans="1:17" x14ac:dyDescent="0.2">
      <c r="A2863" s="16">
        <f>P2863</f>
        <v>1810770</v>
      </c>
      <c r="B2863">
        <v>2021</v>
      </c>
      <c r="C2863" t="s">
        <v>904</v>
      </c>
      <c r="D2863" t="s">
        <v>906</v>
      </c>
      <c r="E2863" t="s">
        <v>3769</v>
      </c>
      <c r="F2863" t="s">
        <v>784</v>
      </c>
      <c r="G2863" t="s">
        <v>311</v>
      </c>
      <c r="H2863" s="6">
        <v>161463</v>
      </c>
      <c r="I2863" s="6">
        <v>7.976422358862889E-4</v>
      </c>
      <c r="J2863" s="6">
        <v>1797.8855996876953</v>
      </c>
      <c r="K2863" s="6">
        <v>1444931</v>
      </c>
      <c r="M2863" s="6">
        <f>SUM(H2863,J2863)</f>
        <v>163260.8855996877</v>
      </c>
      <c r="N2863" s="6">
        <f>K2863</f>
        <v>1444931</v>
      </c>
      <c r="O2863" s="6">
        <f>SUM(M2863:N2863)</f>
        <v>1608191.8855996877</v>
      </c>
      <c r="P2863" s="8">
        <f>VLOOKUP(F2863,'LEAID Match'!$A$2:$B$436,2,FALSE)</f>
        <v>1810770</v>
      </c>
      <c r="Q2863" s="6">
        <f>COUNTIF($P$2:$P$3691,P2863)</f>
        <v>9</v>
      </c>
    </row>
    <row r="2864" spans="1:17" x14ac:dyDescent="0.2">
      <c r="A2864" s="16">
        <f>P2864</f>
        <v>1810770</v>
      </c>
      <c r="B2864">
        <v>2022</v>
      </c>
      <c r="C2864" t="s">
        <v>904</v>
      </c>
      <c r="D2864" t="s">
        <v>906</v>
      </c>
      <c r="E2864" t="s">
        <v>3770</v>
      </c>
      <c r="F2864" t="s">
        <v>784</v>
      </c>
      <c r="G2864" t="s">
        <v>311</v>
      </c>
      <c r="H2864" s="6">
        <v>163492</v>
      </c>
      <c r="I2864" s="6">
        <v>7.7629040117384274E-4</v>
      </c>
      <c r="J2864" s="6">
        <v>1711.7203345883233</v>
      </c>
      <c r="K2864" s="6">
        <v>1431804</v>
      </c>
      <c r="M2864" s="6">
        <f>SUM(H2864,J2864)</f>
        <v>165203.72033458832</v>
      </c>
      <c r="N2864" s="6">
        <f>K2864</f>
        <v>1431804</v>
      </c>
      <c r="O2864" s="6">
        <f>SUM(M2864:N2864)</f>
        <v>1597007.7203345883</v>
      </c>
      <c r="P2864" s="8">
        <f>VLOOKUP(F2864,'LEAID Match'!$A$2:$B$436,2,FALSE)</f>
        <v>1810770</v>
      </c>
      <c r="Q2864" s="6">
        <f>COUNTIF($P$2:$P$3691,P2864)</f>
        <v>9</v>
      </c>
    </row>
    <row r="2865" spans="1:17" x14ac:dyDescent="0.2">
      <c r="A2865" s="16">
        <f>P2865</f>
        <v>1810770</v>
      </c>
      <c r="B2865">
        <v>2023</v>
      </c>
      <c r="C2865" t="s">
        <v>904</v>
      </c>
      <c r="D2865" t="s">
        <v>906</v>
      </c>
      <c r="E2865" t="s">
        <v>3771</v>
      </c>
      <c r="F2865" t="s">
        <v>784</v>
      </c>
      <c r="G2865" t="s">
        <v>311</v>
      </c>
      <c r="H2865" s="6">
        <v>182156</v>
      </c>
      <c r="I2865" s="6">
        <v>7.4491795392618901E-4</v>
      </c>
      <c r="J2865" s="6">
        <v>1837.7125923359083</v>
      </c>
      <c r="K2865" s="6">
        <v>4187992</v>
      </c>
      <c r="M2865" s="6">
        <f>SUM(H2865,J2865)</f>
        <v>183993.71259233591</v>
      </c>
      <c r="N2865" s="6">
        <f>K2865</f>
        <v>4187992</v>
      </c>
      <c r="O2865" s="6">
        <f>SUM(M2865:N2865)</f>
        <v>4371985.7125923363</v>
      </c>
      <c r="P2865" s="8">
        <f>VLOOKUP(F2865,'LEAID Match'!$A$2:$B$436,2,FALSE)</f>
        <v>1810770</v>
      </c>
      <c r="Q2865" s="6">
        <f>COUNTIF($P$2:$P$3691,P2865)</f>
        <v>9</v>
      </c>
    </row>
    <row r="2866" spans="1:17" x14ac:dyDescent="0.2">
      <c r="A2866" s="16">
        <f>P2866</f>
        <v>0</v>
      </c>
      <c r="B2866">
        <v>2018</v>
      </c>
      <c r="C2866" t="s">
        <v>904</v>
      </c>
      <c r="D2866" t="s">
        <v>906</v>
      </c>
      <c r="E2866" t="s">
        <v>3772</v>
      </c>
      <c r="F2866" t="s">
        <v>883</v>
      </c>
      <c r="G2866" t="s">
        <v>437</v>
      </c>
      <c r="H2866" s="6">
        <v>0</v>
      </c>
      <c r="I2866" s="6">
        <v>0</v>
      </c>
      <c r="J2866" s="6">
        <v>0</v>
      </c>
      <c r="K2866" s="6">
        <v>341642</v>
      </c>
      <c r="M2866" s="6">
        <f>SUM(H2866,J2866)</f>
        <v>0</v>
      </c>
      <c r="N2866" s="6">
        <f>K2866</f>
        <v>341642</v>
      </c>
      <c r="O2866" s="6">
        <f>SUM(M2866:N2866)</f>
        <v>341642</v>
      </c>
      <c r="P2866" s="8">
        <f>VLOOKUP(F2866,'LEAID Match'!$A$2:$B$436,2,FALSE)</f>
        <v>0</v>
      </c>
      <c r="Q2866" s="6">
        <f>COUNTIF($P$2:$P$3691,P2866)</f>
        <v>371</v>
      </c>
    </row>
    <row r="2867" spans="1:17" x14ac:dyDescent="0.2">
      <c r="A2867" s="16">
        <f>P2867</f>
        <v>0</v>
      </c>
      <c r="B2867">
        <v>2020</v>
      </c>
      <c r="C2867" t="s">
        <v>904</v>
      </c>
      <c r="D2867" t="s">
        <v>906</v>
      </c>
      <c r="E2867" t="s">
        <v>3773</v>
      </c>
      <c r="F2867" t="s">
        <v>883</v>
      </c>
      <c r="G2867" t="s">
        <v>437</v>
      </c>
      <c r="H2867" s="6">
        <v>0</v>
      </c>
      <c r="I2867" s="6">
        <v>0</v>
      </c>
      <c r="J2867" s="6">
        <v>0</v>
      </c>
      <c r="K2867" s="6">
        <v>398941</v>
      </c>
      <c r="M2867" s="6">
        <f>SUM(H2867,J2867)</f>
        <v>0</v>
      </c>
      <c r="N2867" s="6">
        <f>K2867</f>
        <v>398941</v>
      </c>
      <c r="O2867" s="6">
        <f>SUM(M2867:N2867)</f>
        <v>398941</v>
      </c>
      <c r="P2867" s="8">
        <f>VLOOKUP(F2867,'LEAID Match'!$A$2:$B$436,2,FALSE)</f>
        <v>0</v>
      </c>
      <c r="Q2867" s="6">
        <f>COUNTIF($P$2:$P$3691,P2867)</f>
        <v>371</v>
      </c>
    </row>
    <row r="2868" spans="1:17" x14ac:dyDescent="0.2">
      <c r="A2868" s="16">
        <f>P2868</f>
        <v>0</v>
      </c>
      <c r="B2868">
        <v>2021</v>
      </c>
      <c r="C2868" t="s">
        <v>904</v>
      </c>
      <c r="D2868" t="s">
        <v>906</v>
      </c>
      <c r="E2868" t="s">
        <v>3774</v>
      </c>
      <c r="F2868" t="s">
        <v>883</v>
      </c>
      <c r="G2868" t="s">
        <v>437</v>
      </c>
      <c r="H2868" s="6" t="s">
        <v>893</v>
      </c>
      <c r="K2868" s="6">
        <v>708400</v>
      </c>
      <c r="M2868" s="6">
        <f>SUM(H2868,J2868)</f>
        <v>0</v>
      </c>
      <c r="N2868" s="6">
        <f>K2868</f>
        <v>708400</v>
      </c>
      <c r="O2868" s="6">
        <f>SUM(M2868:N2868)</f>
        <v>708400</v>
      </c>
      <c r="P2868" s="8">
        <f>VLOOKUP(F2868,'LEAID Match'!$A$2:$B$436,2,FALSE)</f>
        <v>0</v>
      </c>
      <c r="Q2868" s="6">
        <f>COUNTIF($P$2:$P$3691,P2868)</f>
        <v>371</v>
      </c>
    </row>
    <row r="2869" spans="1:17" x14ac:dyDescent="0.2">
      <c r="A2869" s="16">
        <f>P2869</f>
        <v>0</v>
      </c>
      <c r="B2869">
        <v>2022</v>
      </c>
      <c r="C2869" t="s">
        <v>904</v>
      </c>
      <c r="D2869" t="s">
        <v>906</v>
      </c>
      <c r="E2869" t="s">
        <v>3775</v>
      </c>
      <c r="F2869" t="s">
        <v>883</v>
      </c>
      <c r="G2869" t="s">
        <v>437</v>
      </c>
      <c r="H2869" s="6" t="s">
        <v>893</v>
      </c>
      <c r="K2869" s="6">
        <v>623575</v>
      </c>
      <c r="M2869" s="6">
        <f>SUM(H2869,J2869)</f>
        <v>0</v>
      </c>
      <c r="N2869" s="6">
        <f>K2869</f>
        <v>623575</v>
      </c>
      <c r="O2869" s="6">
        <f>SUM(M2869:N2869)</f>
        <v>623575</v>
      </c>
      <c r="P2869" s="8">
        <f>VLOOKUP(F2869,'LEAID Match'!$A$2:$B$436,2,FALSE)</f>
        <v>0</v>
      </c>
      <c r="Q2869" s="6">
        <f>COUNTIF($P$2:$P$3691,P2869)</f>
        <v>371</v>
      </c>
    </row>
    <row r="2870" spans="1:17" x14ac:dyDescent="0.2">
      <c r="A2870" s="16">
        <f>P2870</f>
        <v>0</v>
      </c>
      <c r="B2870">
        <v>2023</v>
      </c>
      <c r="C2870" t="s">
        <v>904</v>
      </c>
      <c r="D2870" t="s">
        <v>906</v>
      </c>
      <c r="E2870" t="s">
        <v>3776</v>
      </c>
      <c r="F2870" t="s">
        <v>883</v>
      </c>
      <c r="G2870" t="s">
        <v>437</v>
      </c>
      <c r="H2870" s="6" t="s">
        <v>893</v>
      </c>
      <c r="K2870" s="6">
        <v>1397974</v>
      </c>
      <c r="M2870" s="6">
        <f>SUM(H2870,J2870)</f>
        <v>0</v>
      </c>
      <c r="N2870" s="6">
        <f>K2870</f>
        <v>1397974</v>
      </c>
      <c r="O2870" s="6">
        <f>SUM(M2870:N2870)</f>
        <v>1397974</v>
      </c>
      <c r="P2870" s="8">
        <f>VLOOKUP(F2870,'LEAID Match'!$A$2:$B$436,2,FALSE)</f>
        <v>0</v>
      </c>
      <c r="Q2870" s="6">
        <f>COUNTIF($P$2:$P$3691,P2870)</f>
        <v>371</v>
      </c>
    </row>
    <row r="2871" spans="1:17" x14ac:dyDescent="0.2">
      <c r="A2871" s="16">
        <f>P2871</f>
        <v>1806030</v>
      </c>
      <c r="B2871">
        <v>2015</v>
      </c>
      <c r="C2871" t="s">
        <v>904</v>
      </c>
      <c r="D2871" t="s">
        <v>906</v>
      </c>
      <c r="E2871" t="s">
        <v>3777</v>
      </c>
      <c r="F2871" t="s">
        <v>460</v>
      </c>
      <c r="G2871" t="s">
        <v>18</v>
      </c>
      <c r="H2871" s="6">
        <v>858411</v>
      </c>
      <c r="I2871" s="6">
        <v>4.1742012286407415E-3</v>
      </c>
      <c r="J2871" s="6">
        <v>24256.283339631351</v>
      </c>
      <c r="K2871" s="6">
        <v>3529771.34615826</v>
      </c>
      <c r="M2871" s="6">
        <f>SUM(H2871,J2871)</f>
        <v>882667.28333963139</v>
      </c>
      <c r="N2871" s="6">
        <f>K2871</f>
        <v>3529771.34615826</v>
      </c>
      <c r="O2871" s="6">
        <f>SUM(M2871:N2871)</f>
        <v>4412438.6294978913</v>
      </c>
      <c r="P2871" s="8">
        <f>VLOOKUP(F2871,'LEAID Match'!$A$2:$B$436,2,FALSE)</f>
        <v>1806030</v>
      </c>
      <c r="Q2871" s="6">
        <f>COUNTIF($P$2:$P$3691,P2871)</f>
        <v>9</v>
      </c>
    </row>
    <row r="2872" spans="1:17" x14ac:dyDescent="0.2">
      <c r="A2872" s="16">
        <f>P2872</f>
        <v>1806030</v>
      </c>
      <c r="B2872">
        <v>2016</v>
      </c>
      <c r="C2872" t="s">
        <v>904</v>
      </c>
      <c r="D2872" t="s">
        <v>906</v>
      </c>
      <c r="E2872" t="s">
        <v>3778</v>
      </c>
      <c r="F2872" t="s">
        <v>460</v>
      </c>
      <c r="G2872" t="s">
        <v>18</v>
      </c>
      <c r="H2872" s="6">
        <v>891946</v>
      </c>
      <c r="I2872" s="6">
        <v>4.1387389854678639E-3</v>
      </c>
      <c r="J2872" s="6">
        <v>20892.354398641775</v>
      </c>
      <c r="K2872" s="6">
        <v>3673130.8496027198</v>
      </c>
      <c r="M2872" s="6">
        <f>SUM(H2872,J2872)</f>
        <v>912838.35439864174</v>
      </c>
      <c r="N2872" s="6">
        <f>K2872</f>
        <v>3673130.8496027198</v>
      </c>
      <c r="O2872" s="6">
        <f>SUM(M2872:N2872)</f>
        <v>4585969.2040013615</v>
      </c>
      <c r="P2872" s="8">
        <f>VLOOKUP(F2872,'LEAID Match'!$A$2:$B$436,2,FALSE)</f>
        <v>1806030</v>
      </c>
      <c r="Q2872" s="6">
        <f>COUNTIF($P$2:$P$3691,P2872)</f>
        <v>9</v>
      </c>
    </row>
    <row r="2873" spans="1:17" x14ac:dyDescent="0.2">
      <c r="A2873" s="16">
        <f>P2873</f>
        <v>1806030</v>
      </c>
      <c r="B2873">
        <v>2017</v>
      </c>
      <c r="C2873" t="s">
        <v>904</v>
      </c>
      <c r="D2873" t="s">
        <v>906</v>
      </c>
      <c r="E2873" t="s">
        <v>3779</v>
      </c>
      <c r="F2873" t="s">
        <v>460</v>
      </c>
      <c r="G2873" t="s">
        <v>18</v>
      </c>
      <c r="H2873" s="6">
        <v>928889</v>
      </c>
      <c r="I2873" s="6">
        <v>4.0902956513829804E-3</v>
      </c>
      <c r="J2873" s="6">
        <v>18508.587822507987</v>
      </c>
      <c r="K2873" s="6">
        <v>3562647.51235457</v>
      </c>
      <c r="M2873" s="6">
        <f>SUM(H2873,J2873)</f>
        <v>947397.58782250795</v>
      </c>
      <c r="N2873" s="6">
        <f>K2873</f>
        <v>3562647.51235457</v>
      </c>
      <c r="O2873" s="6">
        <f>SUM(M2873:N2873)</f>
        <v>4510045.1001770776</v>
      </c>
      <c r="P2873" s="8">
        <f>VLOOKUP(F2873,'LEAID Match'!$A$2:$B$436,2,FALSE)</f>
        <v>1806030</v>
      </c>
      <c r="Q2873" s="6">
        <f>COUNTIF($P$2:$P$3691,P2873)</f>
        <v>9</v>
      </c>
    </row>
    <row r="2874" spans="1:17" x14ac:dyDescent="0.2">
      <c r="A2874" s="16">
        <f>P2874</f>
        <v>1806030</v>
      </c>
      <c r="B2874">
        <v>2018</v>
      </c>
      <c r="C2874" t="s">
        <v>904</v>
      </c>
      <c r="D2874" t="s">
        <v>906</v>
      </c>
      <c r="E2874" t="s">
        <v>3780</v>
      </c>
      <c r="F2874" t="s">
        <v>460</v>
      </c>
      <c r="G2874" t="s">
        <v>18</v>
      </c>
      <c r="H2874" s="6">
        <v>904565</v>
      </c>
      <c r="I2874" s="6">
        <v>3.8375001602555577E-3</v>
      </c>
      <c r="J2874" s="6">
        <v>15994.700667945164</v>
      </c>
      <c r="K2874" s="6">
        <v>4709378</v>
      </c>
      <c r="M2874" s="6">
        <f>SUM(H2874,J2874)</f>
        <v>920559.7006679452</v>
      </c>
      <c r="N2874" s="6">
        <f>K2874</f>
        <v>4709378</v>
      </c>
      <c r="O2874" s="6">
        <f>SUM(M2874:N2874)</f>
        <v>5629937.7006679457</v>
      </c>
      <c r="P2874" s="8">
        <f>VLOOKUP(F2874,'LEAID Match'!$A$2:$B$436,2,FALSE)</f>
        <v>1806030</v>
      </c>
      <c r="Q2874" s="6">
        <f>COUNTIF($P$2:$P$3691,P2874)</f>
        <v>9</v>
      </c>
    </row>
    <row r="2875" spans="1:17" x14ac:dyDescent="0.2">
      <c r="A2875" s="16">
        <f>P2875</f>
        <v>1806030</v>
      </c>
      <c r="B2875">
        <v>2019</v>
      </c>
      <c r="C2875" t="s">
        <v>904</v>
      </c>
      <c r="D2875" t="s">
        <v>906</v>
      </c>
      <c r="E2875" t="s">
        <v>3781</v>
      </c>
      <c r="F2875" t="s">
        <v>460</v>
      </c>
      <c r="G2875" t="s">
        <v>18</v>
      </c>
      <c r="H2875" s="6">
        <v>945840</v>
      </c>
      <c r="I2875" s="6">
        <v>2.4062118303028721E-3</v>
      </c>
      <c r="J2875" s="6">
        <v>8433.7724652115667</v>
      </c>
      <c r="K2875" s="6">
        <v>2271223.3466228801</v>
      </c>
      <c r="M2875" s="6">
        <f>SUM(H2875,J2875)</f>
        <v>954273.77246521157</v>
      </c>
      <c r="N2875" s="6">
        <f>K2875</f>
        <v>2271223.3466228801</v>
      </c>
      <c r="O2875" s="6">
        <f>SUM(M2875:N2875)</f>
        <v>3225497.1190880919</v>
      </c>
      <c r="P2875" s="8">
        <f>VLOOKUP(F2875,'LEAID Match'!$A$2:$B$436,2,FALSE)</f>
        <v>1806030</v>
      </c>
      <c r="Q2875" s="6">
        <f>COUNTIF($P$2:$P$3691,P2875)</f>
        <v>9</v>
      </c>
    </row>
    <row r="2876" spans="1:17" x14ac:dyDescent="0.2">
      <c r="A2876" s="16">
        <f>P2876</f>
        <v>1806030</v>
      </c>
      <c r="B2876">
        <v>2020</v>
      </c>
      <c r="C2876" t="s">
        <v>904</v>
      </c>
      <c r="D2876" t="s">
        <v>906</v>
      </c>
      <c r="E2876" t="s">
        <v>3782</v>
      </c>
      <c r="F2876" t="s">
        <v>460</v>
      </c>
      <c r="G2876" t="s">
        <v>18</v>
      </c>
      <c r="H2876" s="6">
        <v>696119</v>
      </c>
      <c r="I2876" s="6">
        <v>3.6885311093116935E-3</v>
      </c>
      <c r="J2876" s="6">
        <v>8690.1792935383492</v>
      </c>
      <c r="K2876" s="6">
        <v>5113204</v>
      </c>
      <c r="M2876" s="6">
        <f>SUM(H2876,J2876)</f>
        <v>704809.17929353833</v>
      </c>
      <c r="N2876" s="6">
        <f>K2876</f>
        <v>5113204</v>
      </c>
      <c r="O2876" s="6">
        <f>SUM(M2876:N2876)</f>
        <v>5818013.1792935384</v>
      </c>
      <c r="P2876" s="8">
        <f>VLOOKUP(F2876,'LEAID Match'!$A$2:$B$436,2,FALSE)</f>
        <v>1806030</v>
      </c>
      <c r="Q2876" s="6">
        <f>COUNTIF($P$2:$P$3691,P2876)</f>
        <v>9</v>
      </c>
    </row>
    <row r="2877" spans="1:17" x14ac:dyDescent="0.2">
      <c r="A2877" s="16">
        <f>P2877</f>
        <v>1806030</v>
      </c>
      <c r="B2877">
        <v>2021</v>
      </c>
      <c r="C2877" t="s">
        <v>904</v>
      </c>
      <c r="D2877" t="s">
        <v>906</v>
      </c>
      <c r="E2877" t="s">
        <v>3783</v>
      </c>
      <c r="F2877" t="s">
        <v>460</v>
      </c>
      <c r="G2877" t="s">
        <v>18</v>
      </c>
      <c r="H2877" s="6">
        <v>702305</v>
      </c>
      <c r="I2877" s="6">
        <v>3.4694520136137699E-3</v>
      </c>
      <c r="J2877" s="6">
        <v>7820.1448386854372</v>
      </c>
      <c r="K2877" s="6">
        <v>8381719</v>
      </c>
      <c r="M2877" s="6">
        <f>SUM(H2877,J2877)</f>
        <v>710125.1448386854</v>
      </c>
      <c r="N2877" s="6">
        <f>K2877</f>
        <v>8381719</v>
      </c>
      <c r="O2877" s="6">
        <f>SUM(M2877:N2877)</f>
        <v>9091844.1448386852</v>
      </c>
      <c r="P2877" s="8">
        <f>VLOOKUP(F2877,'LEAID Match'!$A$2:$B$436,2,FALSE)</f>
        <v>1806030</v>
      </c>
      <c r="Q2877" s="6">
        <f>COUNTIF($P$2:$P$3691,P2877)</f>
        <v>9</v>
      </c>
    </row>
    <row r="2878" spans="1:17" x14ac:dyDescent="0.2">
      <c r="A2878" s="16">
        <f>P2878</f>
        <v>1806030</v>
      </c>
      <c r="B2878">
        <v>2022</v>
      </c>
      <c r="C2878" t="s">
        <v>904</v>
      </c>
      <c r="D2878" t="s">
        <v>906</v>
      </c>
      <c r="E2878" t="s">
        <v>3784</v>
      </c>
      <c r="F2878" t="s">
        <v>460</v>
      </c>
      <c r="G2878" t="s">
        <v>18</v>
      </c>
      <c r="H2878" s="6">
        <v>746574</v>
      </c>
      <c r="I2878" s="6">
        <v>3.5448721036256234E-3</v>
      </c>
      <c r="J2878" s="6">
        <v>7816.4429884944993</v>
      </c>
      <c r="K2878" s="6">
        <v>7813448</v>
      </c>
      <c r="M2878" s="6">
        <f>SUM(H2878,J2878)</f>
        <v>754390.44298849453</v>
      </c>
      <c r="N2878" s="6">
        <f>K2878</f>
        <v>7813448</v>
      </c>
      <c r="O2878" s="6">
        <f>SUM(M2878:N2878)</f>
        <v>8567838.4429884944</v>
      </c>
      <c r="P2878" s="8">
        <f>VLOOKUP(F2878,'LEAID Match'!$A$2:$B$436,2,FALSE)</f>
        <v>1806030</v>
      </c>
      <c r="Q2878" s="6">
        <f>COUNTIF($P$2:$P$3691,P2878)</f>
        <v>9</v>
      </c>
    </row>
    <row r="2879" spans="1:17" x14ac:dyDescent="0.2">
      <c r="A2879" s="16">
        <f>P2879</f>
        <v>1806030</v>
      </c>
      <c r="B2879">
        <v>2023</v>
      </c>
      <c r="C2879" t="s">
        <v>904</v>
      </c>
      <c r="D2879" t="s">
        <v>906</v>
      </c>
      <c r="E2879" t="s">
        <v>3785</v>
      </c>
      <c r="F2879" t="s">
        <v>460</v>
      </c>
      <c r="G2879" t="s">
        <v>18</v>
      </c>
      <c r="H2879" s="6">
        <v>875260</v>
      </c>
      <c r="I2879" s="6">
        <v>3.5793324861845685E-3</v>
      </c>
      <c r="J2879" s="6">
        <v>8830.2132434173309</v>
      </c>
      <c r="K2879" s="6">
        <v>22220198</v>
      </c>
      <c r="M2879" s="6">
        <f>SUM(H2879,J2879)</f>
        <v>884090.21324341733</v>
      </c>
      <c r="N2879" s="6">
        <f>K2879</f>
        <v>22220198</v>
      </c>
      <c r="O2879" s="6">
        <f>SUM(M2879:N2879)</f>
        <v>23104288.213243417</v>
      </c>
      <c r="P2879" s="8">
        <f>VLOOKUP(F2879,'LEAID Match'!$A$2:$B$436,2,FALSE)</f>
        <v>1806030</v>
      </c>
      <c r="Q2879" s="6">
        <f>COUNTIF($P$2:$P$3691,P2879)</f>
        <v>9</v>
      </c>
    </row>
    <row r="2880" spans="1:17" x14ac:dyDescent="0.2">
      <c r="A2880" s="16">
        <f>P2880</f>
        <v>1808940</v>
      </c>
      <c r="B2880">
        <v>2015</v>
      </c>
      <c r="C2880" t="s">
        <v>904</v>
      </c>
      <c r="D2880" t="s">
        <v>906</v>
      </c>
      <c r="E2880" t="s">
        <v>3786</v>
      </c>
      <c r="F2880" t="s">
        <v>461</v>
      </c>
      <c r="G2880" t="s">
        <v>19</v>
      </c>
      <c r="H2880" s="6">
        <v>166743</v>
      </c>
      <c r="I2880" s="6">
        <v>8.108223630256872E-4</v>
      </c>
      <c r="J2880" s="6">
        <v>4711.6887515422686</v>
      </c>
      <c r="K2880" s="6">
        <v>685644.36333232897</v>
      </c>
      <c r="M2880" s="6">
        <f>SUM(H2880,J2880)</f>
        <v>171454.68875154227</v>
      </c>
      <c r="N2880" s="6">
        <f>K2880</f>
        <v>685644.36333232897</v>
      </c>
      <c r="O2880" s="6">
        <f>SUM(M2880:N2880)</f>
        <v>857099.05208387121</v>
      </c>
      <c r="P2880" s="8">
        <f>VLOOKUP(F2880,'LEAID Match'!$A$2:$B$436,2,FALSE)</f>
        <v>1808940</v>
      </c>
      <c r="Q2880" s="6">
        <f>COUNTIF($P$2:$P$3691,P2880)</f>
        <v>9</v>
      </c>
    </row>
    <row r="2881" spans="1:17" x14ac:dyDescent="0.2">
      <c r="A2881" s="16">
        <f>P2881</f>
        <v>1808940</v>
      </c>
      <c r="B2881">
        <v>2016</v>
      </c>
      <c r="C2881" t="s">
        <v>904</v>
      </c>
      <c r="D2881" t="s">
        <v>906</v>
      </c>
      <c r="E2881" t="s">
        <v>3787</v>
      </c>
      <c r="F2881" t="s">
        <v>461</v>
      </c>
      <c r="G2881" t="s">
        <v>19</v>
      </c>
      <c r="H2881" s="6">
        <v>175000</v>
      </c>
      <c r="I2881" s="6">
        <v>8.1202149284471947E-4</v>
      </c>
      <c r="J2881" s="6">
        <v>4099.0844958801435</v>
      </c>
      <c r="K2881" s="6">
        <v>720669.07489968801</v>
      </c>
      <c r="M2881" s="6">
        <f>SUM(H2881,J2881)</f>
        <v>179099.08449588015</v>
      </c>
      <c r="N2881" s="6">
        <f>K2881</f>
        <v>720669.07489968801</v>
      </c>
      <c r="O2881" s="6">
        <f>SUM(M2881:N2881)</f>
        <v>899768.15939556819</v>
      </c>
      <c r="P2881" s="8">
        <f>VLOOKUP(F2881,'LEAID Match'!$A$2:$B$436,2,FALSE)</f>
        <v>1808940</v>
      </c>
      <c r="Q2881" s="6">
        <f>COUNTIF($P$2:$P$3691,P2881)</f>
        <v>9</v>
      </c>
    </row>
    <row r="2882" spans="1:17" x14ac:dyDescent="0.2">
      <c r="A2882" s="16">
        <f>P2882</f>
        <v>1808940</v>
      </c>
      <c r="B2882">
        <v>2017</v>
      </c>
      <c r="C2882" t="s">
        <v>904</v>
      </c>
      <c r="D2882" t="s">
        <v>906</v>
      </c>
      <c r="E2882" t="s">
        <v>3788</v>
      </c>
      <c r="F2882" t="s">
        <v>461</v>
      </c>
      <c r="G2882" t="s">
        <v>19</v>
      </c>
      <c r="H2882" s="6">
        <v>192783</v>
      </c>
      <c r="I2882" s="6">
        <v>8.489060227439072E-4</v>
      </c>
      <c r="J2882" s="6">
        <v>3841.2997529161803</v>
      </c>
      <c r="K2882" s="6">
        <v>739397.14580994297</v>
      </c>
      <c r="M2882" s="6">
        <f>SUM(H2882,J2882)</f>
        <v>196624.29975291618</v>
      </c>
      <c r="N2882" s="6">
        <f>K2882</f>
        <v>739397.14580994297</v>
      </c>
      <c r="O2882" s="6">
        <f>SUM(M2882:N2882)</f>
        <v>936021.44556285918</v>
      </c>
      <c r="P2882" s="8">
        <f>VLOOKUP(F2882,'LEAID Match'!$A$2:$B$436,2,FALSE)</f>
        <v>1808940</v>
      </c>
      <c r="Q2882" s="6">
        <f>COUNTIF($P$2:$P$3691,P2882)</f>
        <v>9</v>
      </c>
    </row>
    <row r="2883" spans="1:17" x14ac:dyDescent="0.2">
      <c r="A2883" s="16">
        <f>P2883</f>
        <v>1808940</v>
      </c>
      <c r="B2883">
        <v>2018</v>
      </c>
      <c r="C2883" t="s">
        <v>904</v>
      </c>
      <c r="D2883" t="s">
        <v>906</v>
      </c>
      <c r="E2883" t="s">
        <v>3789</v>
      </c>
      <c r="F2883" t="s">
        <v>461</v>
      </c>
      <c r="G2883" t="s">
        <v>19</v>
      </c>
      <c r="H2883" s="6">
        <v>209456</v>
      </c>
      <c r="I2883" s="6">
        <v>8.8859002234940344E-4</v>
      </c>
      <c r="J2883" s="6">
        <v>3703.6432131523134</v>
      </c>
      <c r="K2883" s="6">
        <v>806008</v>
      </c>
      <c r="M2883" s="6">
        <f>SUM(H2883,J2883)</f>
        <v>213159.6432131523</v>
      </c>
      <c r="N2883" s="6">
        <f>K2883</f>
        <v>806008</v>
      </c>
      <c r="O2883" s="6">
        <f>SUM(M2883:N2883)</f>
        <v>1019167.6432131523</v>
      </c>
      <c r="P2883" s="8">
        <f>VLOOKUP(F2883,'LEAID Match'!$A$2:$B$436,2,FALSE)</f>
        <v>1808940</v>
      </c>
      <c r="Q2883" s="6">
        <f>COUNTIF($P$2:$P$3691,P2883)</f>
        <v>9</v>
      </c>
    </row>
    <row r="2884" spans="1:17" x14ac:dyDescent="0.2">
      <c r="A2884" s="16">
        <f>P2884</f>
        <v>1808940</v>
      </c>
      <c r="B2884">
        <v>2019</v>
      </c>
      <c r="C2884" t="s">
        <v>904</v>
      </c>
      <c r="D2884" t="s">
        <v>906</v>
      </c>
      <c r="E2884" t="s">
        <v>3790</v>
      </c>
      <c r="F2884" t="s">
        <v>461</v>
      </c>
      <c r="G2884" t="s">
        <v>19</v>
      </c>
      <c r="H2884" s="6">
        <v>209542</v>
      </c>
      <c r="I2884" s="6">
        <v>5.3307371156360959E-4</v>
      </c>
      <c r="J2884" s="6">
        <v>1868.4233590304516</v>
      </c>
      <c r="K2884" s="6">
        <v>503168.276344891</v>
      </c>
      <c r="M2884" s="6">
        <f>SUM(H2884,J2884)</f>
        <v>211410.42335903045</v>
      </c>
      <c r="N2884" s="6">
        <f>K2884</f>
        <v>503168.276344891</v>
      </c>
      <c r="O2884" s="6">
        <f>SUM(M2884:N2884)</f>
        <v>714578.69970392145</v>
      </c>
      <c r="P2884" s="8">
        <f>VLOOKUP(F2884,'LEAID Match'!$A$2:$B$436,2,FALSE)</f>
        <v>1808940</v>
      </c>
      <c r="Q2884" s="6">
        <f>COUNTIF($P$2:$P$3691,P2884)</f>
        <v>9</v>
      </c>
    </row>
    <row r="2885" spans="1:17" x14ac:dyDescent="0.2">
      <c r="A2885" s="16">
        <f>P2885</f>
        <v>1808940</v>
      </c>
      <c r="B2885">
        <v>2020</v>
      </c>
      <c r="C2885" t="s">
        <v>904</v>
      </c>
      <c r="D2885" t="s">
        <v>906</v>
      </c>
      <c r="E2885" t="s">
        <v>3791</v>
      </c>
      <c r="F2885" t="s">
        <v>461</v>
      </c>
      <c r="G2885" t="s">
        <v>19</v>
      </c>
      <c r="H2885" s="6">
        <v>155045</v>
      </c>
      <c r="I2885" s="6">
        <v>8.2153813621411217E-4</v>
      </c>
      <c r="J2885" s="6">
        <v>1935.5438489204482</v>
      </c>
      <c r="K2885" s="6">
        <v>868289</v>
      </c>
      <c r="M2885" s="6">
        <f>SUM(H2885,J2885)</f>
        <v>156980.54384892044</v>
      </c>
      <c r="N2885" s="6">
        <f>K2885</f>
        <v>868289</v>
      </c>
      <c r="O2885" s="6">
        <f>SUM(M2885:N2885)</f>
        <v>1025269.5438489204</v>
      </c>
      <c r="P2885" s="8">
        <f>VLOOKUP(F2885,'LEAID Match'!$A$2:$B$436,2,FALSE)</f>
        <v>1808940</v>
      </c>
      <c r="Q2885" s="6">
        <f>COUNTIF($P$2:$P$3691,P2885)</f>
        <v>9</v>
      </c>
    </row>
    <row r="2886" spans="1:17" x14ac:dyDescent="0.2">
      <c r="A2886" s="16">
        <f>P2886</f>
        <v>1808940</v>
      </c>
      <c r="B2886">
        <v>2021</v>
      </c>
      <c r="C2886" t="s">
        <v>904</v>
      </c>
      <c r="D2886" t="s">
        <v>906</v>
      </c>
      <c r="E2886" t="s">
        <v>3792</v>
      </c>
      <c r="F2886" t="s">
        <v>461</v>
      </c>
      <c r="G2886" t="s">
        <v>19</v>
      </c>
      <c r="H2886" s="6">
        <v>168775</v>
      </c>
      <c r="I2886" s="6">
        <v>8.337641958944675E-4</v>
      </c>
      <c r="J2886" s="6">
        <v>1879.3044975461298</v>
      </c>
      <c r="K2886" s="6">
        <v>1424951</v>
      </c>
      <c r="M2886" s="6">
        <f>SUM(H2886,J2886)</f>
        <v>170654.30449754614</v>
      </c>
      <c r="N2886" s="6">
        <f>K2886</f>
        <v>1424951</v>
      </c>
      <c r="O2886" s="6">
        <f>SUM(M2886:N2886)</f>
        <v>1595605.3044975461</v>
      </c>
      <c r="P2886" s="8">
        <f>VLOOKUP(F2886,'LEAID Match'!$A$2:$B$436,2,FALSE)</f>
        <v>1808940</v>
      </c>
      <c r="Q2886" s="6">
        <f>COUNTIF($P$2:$P$3691,P2886)</f>
        <v>9</v>
      </c>
    </row>
    <row r="2887" spans="1:17" x14ac:dyDescent="0.2">
      <c r="A2887" s="16">
        <f>P2887</f>
        <v>1808940</v>
      </c>
      <c r="B2887">
        <v>2022</v>
      </c>
      <c r="C2887" t="s">
        <v>904</v>
      </c>
      <c r="D2887" t="s">
        <v>906</v>
      </c>
      <c r="E2887" t="s">
        <v>3793</v>
      </c>
      <c r="F2887" t="s">
        <v>461</v>
      </c>
      <c r="G2887" t="s">
        <v>19</v>
      </c>
      <c r="H2887" s="6">
        <v>185099</v>
      </c>
      <c r="I2887" s="6">
        <v>8.788844528593271E-4</v>
      </c>
      <c r="J2887" s="6">
        <v>1937.9402185548163</v>
      </c>
      <c r="K2887" s="6">
        <v>1445137</v>
      </c>
      <c r="M2887" s="6">
        <f>SUM(H2887,J2887)</f>
        <v>187036.94021855481</v>
      </c>
      <c r="N2887" s="6">
        <f>K2887</f>
        <v>1445137</v>
      </c>
      <c r="O2887" s="6">
        <f>SUM(M2887:N2887)</f>
        <v>1632173.9402185548</v>
      </c>
      <c r="P2887" s="8">
        <f>VLOOKUP(F2887,'LEAID Match'!$A$2:$B$436,2,FALSE)</f>
        <v>1808940</v>
      </c>
      <c r="Q2887" s="6">
        <f>COUNTIF($P$2:$P$3691,P2887)</f>
        <v>9</v>
      </c>
    </row>
    <row r="2888" spans="1:17" x14ac:dyDescent="0.2">
      <c r="A2888" s="16">
        <f>P2888</f>
        <v>1808940</v>
      </c>
      <c r="B2888">
        <v>2023</v>
      </c>
      <c r="C2888" t="s">
        <v>904</v>
      </c>
      <c r="D2888" t="s">
        <v>906</v>
      </c>
      <c r="E2888" t="s">
        <v>3794</v>
      </c>
      <c r="F2888" t="s">
        <v>461</v>
      </c>
      <c r="G2888" t="s">
        <v>19</v>
      </c>
      <c r="H2888" s="6">
        <v>194640</v>
      </c>
      <c r="I2888" s="6">
        <v>7.9597065456088977E-4</v>
      </c>
      <c r="J2888" s="6">
        <v>1963.659604801715</v>
      </c>
      <c r="K2888" s="6">
        <v>4302760</v>
      </c>
      <c r="M2888" s="6">
        <f>SUM(H2888,J2888)</f>
        <v>196603.65960480171</v>
      </c>
      <c r="N2888" s="6">
        <f>K2888</f>
        <v>4302760</v>
      </c>
      <c r="O2888" s="6">
        <f>SUM(M2888:N2888)</f>
        <v>4499363.6596048018</v>
      </c>
      <c r="P2888" s="8">
        <f>VLOOKUP(F2888,'LEAID Match'!$A$2:$B$436,2,FALSE)</f>
        <v>1808940</v>
      </c>
      <c r="Q2888" s="6">
        <f>COUNTIF($P$2:$P$3691,P2888)</f>
        <v>9</v>
      </c>
    </row>
    <row r="2889" spans="1:17" x14ac:dyDescent="0.2">
      <c r="A2889" s="16">
        <f>P2889</f>
        <v>1810680</v>
      </c>
      <c r="B2889">
        <v>2015</v>
      </c>
      <c r="C2889" t="s">
        <v>904</v>
      </c>
      <c r="D2889" t="s">
        <v>906</v>
      </c>
      <c r="E2889" t="s">
        <v>3795</v>
      </c>
      <c r="F2889" t="s">
        <v>632</v>
      </c>
      <c r="G2889" t="s">
        <v>20</v>
      </c>
      <c r="H2889" s="6">
        <v>170786</v>
      </c>
      <c r="I2889" s="6">
        <v>8.3048228766248065E-4</v>
      </c>
      <c r="J2889" s="6">
        <v>4825.9325736066749</v>
      </c>
      <c r="K2889" s="6">
        <v>702269.110163996</v>
      </c>
      <c r="M2889" s="6">
        <f>SUM(H2889,J2889)</f>
        <v>175611.93257360667</v>
      </c>
      <c r="N2889" s="6">
        <f>K2889</f>
        <v>702269.110163996</v>
      </c>
      <c r="O2889" s="6">
        <f>SUM(M2889:N2889)</f>
        <v>877881.04273760272</v>
      </c>
      <c r="P2889" s="8">
        <f>VLOOKUP(F2889,'LEAID Match'!$A$2:$B$436,2,FALSE)</f>
        <v>1810680</v>
      </c>
      <c r="Q2889" s="6">
        <f>COUNTIF($P$2:$P$3691,P2889)</f>
        <v>9</v>
      </c>
    </row>
    <row r="2890" spans="1:17" x14ac:dyDescent="0.2">
      <c r="A2890" s="16">
        <f>P2890</f>
        <v>1810680</v>
      </c>
      <c r="B2890">
        <v>2016</v>
      </c>
      <c r="C2890" t="s">
        <v>904</v>
      </c>
      <c r="D2890" t="s">
        <v>906</v>
      </c>
      <c r="E2890" t="s">
        <v>3796</v>
      </c>
      <c r="F2890" t="s">
        <v>632</v>
      </c>
      <c r="G2890" t="s">
        <v>20</v>
      </c>
      <c r="H2890" s="6">
        <v>196765</v>
      </c>
      <c r="I2890" s="6">
        <v>9.1301376594052136E-4</v>
      </c>
      <c r="J2890" s="6">
        <v>4608.8934904677517</v>
      </c>
      <c r="K2890" s="6">
        <v>810299.71727221203</v>
      </c>
      <c r="M2890" s="6">
        <f>SUM(H2890,J2890)</f>
        <v>201373.89349046774</v>
      </c>
      <c r="N2890" s="6">
        <f>K2890</f>
        <v>810299.71727221203</v>
      </c>
      <c r="O2890" s="6">
        <f>SUM(M2890:N2890)</f>
        <v>1011673.6107626797</v>
      </c>
      <c r="P2890" s="8">
        <f>VLOOKUP(F2890,'LEAID Match'!$A$2:$B$436,2,FALSE)</f>
        <v>1810680</v>
      </c>
      <c r="Q2890" s="6">
        <f>COUNTIF($P$2:$P$3691,P2890)</f>
        <v>9</v>
      </c>
    </row>
    <row r="2891" spans="1:17" x14ac:dyDescent="0.2">
      <c r="A2891" s="16">
        <f>P2891</f>
        <v>1810680</v>
      </c>
      <c r="B2891">
        <v>2017</v>
      </c>
      <c r="C2891" t="s">
        <v>904</v>
      </c>
      <c r="D2891" t="s">
        <v>906</v>
      </c>
      <c r="E2891" t="s">
        <v>3797</v>
      </c>
      <c r="F2891" t="s">
        <v>632</v>
      </c>
      <c r="G2891" t="s">
        <v>20</v>
      </c>
      <c r="H2891" s="6">
        <v>231604</v>
      </c>
      <c r="I2891" s="6">
        <v>1.0198514936046222E-3</v>
      </c>
      <c r="J2891" s="6">
        <v>4614.8280085609158</v>
      </c>
      <c r="K2891" s="6">
        <v>888290.65092962596</v>
      </c>
      <c r="M2891" s="6">
        <f>SUM(H2891,J2891)</f>
        <v>236218.82800856093</v>
      </c>
      <c r="N2891" s="6">
        <f>K2891</f>
        <v>888290.65092962596</v>
      </c>
      <c r="O2891" s="6">
        <f>SUM(M2891:N2891)</f>
        <v>1124509.478938187</v>
      </c>
      <c r="P2891" s="8">
        <f>VLOOKUP(F2891,'LEAID Match'!$A$2:$B$436,2,FALSE)</f>
        <v>1810680</v>
      </c>
      <c r="Q2891" s="6">
        <f>COUNTIF($P$2:$P$3691,P2891)</f>
        <v>9</v>
      </c>
    </row>
    <row r="2892" spans="1:17" x14ac:dyDescent="0.2">
      <c r="A2892" s="16">
        <f>P2892</f>
        <v>1810680</v>
      </c>
      <c r="B2892">
        <v>2018</v>
      </c>
      <c r="C2892" t="s">
        <v>904</v>
      </c>
      <c r="D2892" t="s">
        <v>906</v>
      </c>
      <c r="E2892" t="s">
        <v>3798</v>
      </c>
      <c r="F2892" t="s">
        <v>632</v>
      </c>
      <c r="G2892" t="s">
        <v>20</v>
      </c>
      <c r="H2892" s="6">
        <v>240504</v>
      </c>
      <c r="I2892" s="6">
        <v>1.0203071515503062E-3</v>
      </c>
      <c r="J2892" s="6">
        <v>4252.640207661676</v>
      </c>
      <c r="K2892" s="6">
        <v>1688293</v>
      </c>
      <c r="M2892" s="6">
        <f>SUM(H2892,J2892)</f>
        <v>244756.64020766167</v>
      </c>
      <c r="N2892" s="6">
        <f>K2892</f>
        <v>1688293</v>
      </c>
      <c r="O2892" s="6">
        <f>SUM(M2892:N2892)</f>
        <v>1933049.6402076618</v>
      </c>
      <c r="P2892" s="8">
        <f>VLOOKUP(F2892,'LEAID Match'!$A$2:$B$436,2,FALSE)</f>
        <v>1810680</v>
      </c>
      <c r="Q2892" s="6">
        <f>COUNTIF($P$2:$P$3691,P2892)</f>
        <v>9</v>
      </c>
    </row>
    <row r="2893" spans="1:17" x14ac:dyDescent="0.2">
      <c r="A2893" s="16">
        <f>P2893</f>
        <v>1810680</v>
      </c>
      <c r="B2893">
        <v>2019</v>
      </c>
      <c r="C2893" t="s">
        <v>904</v>
      </c>
      <c r="D2893" t="s">
        <v>906</v>
      </c>
      <c r="E2893" t="s">
        <v>3799</v>
      </c>
      <c r="F2893" t="s">
        <v>632</v>
      </c>
      <c r="G2893" t="s">
        <v>20</v>
      </c>
      <c r="H2893" s="6">
        <v>270053</v>
      </c>
      <c r="I2893" s="6">
        <v>6.8701336738643062E-4</v>
      </c>
      <c r="J2893" s="6">
        <v>2407.9818526894392</v>
      </c>
      <c r="K2893" s="6">
        <v>648471.91747605102</v>
      </c>
      <c r="M2893" s="6">
        <f>SUM(H2893,J2893)</f>
        <v>272460.98185268947</v>
      </c>
      <c r="N2893" s="6">
        <f>K2893</f>
        <v>648471.91747605102</v>
      </c>
      <c r="O2893" s="6">
        <f>SUM(M2893:N2893)</f>
        <v>920932.89932874055</v>
      </c>
      <c r="P2893" s="8">
        <f>VLOOKUP(F2893,'LEAID Match'!$A$2:$B$436,2,FALSE)</f>
        <v>1810680</v>
      </c>
      <c r="Q2893" s="6">
        <f>COUNTIF($P$2:$P$3691,P2893)</f>
        <v>9</v>
      </c>
    </row>
    <row r="2894" spans="1:17" x14ac:dyDescent="0.2">
      <c r="A2894" s="16">
        <f>P2894</f>
        <v>1810680</v>
      </c>
      <c r="B2894">
        <v>2020</v>
      </c>
      <c r="C2894" t="s">
        <v>904</v>
      </c>
      <c r="D2894" t="s">
        <v>906</v>
      </c>
      <c r="E2894" t="s">
        <v>3800</v>
      </c>
      <c r="F2894" t="s">
        <v>632</v>
      </c>
      <c r="G2894" t="s">
        <v>20</v>
      </c>
      <c r="H2894" s="6">
        <v>210713</v>
      </c>
      <c r="I2894" s="6">
        <v>1.1165065967692232E-3</v>
      </c>
      <c r="J2894" s="6">
        <v>2630.4895419882901</v>
      </c>
      <c r="K2894" s="6">
        <v>1799993</v>
      </c>
      <c r="M2894" s="6">
        <f>SUM(H2894,J2894)</f>
        <v>213343.4895419883</v>
      </c>
      <c r="N2894" s="6">
        <f>K2894</f>
        <v>1799993</v>
      </c>
      <c r="O2894" s="6">
        <f>SUM(M2894:N2894)</f>
        <v>2013336.4895419884</v>
      </c>
      <c r="P2894" s="8">
        <f>VLOOKUP(F2894,'LEAID Match'!$A$2:$B$436,2,FALSE)</f>
        <v>1810680</v>
      </c>
      <c r="Q2894" s="6">
        <f>COUNTIF($P$2:$P$3691,P2894)</f>
        <v>9</v>
      </c>
    </row>
    <row r="2895" spans="1:17" x14ac:dyDescent="0.2">
      <c r="A2895" s="16">
        <f>P2895</f>
        <v>1810680</v>
      </c>
      <c r="B2895">
        <v>2021</v>
      </c>
      <c r="C2895" t="s">
        <v>904</v>
      </c>
      <c r="D2895" t="s">
        <v>906</v>
      </c>
      <c r="E2895" t="s">
        <v>3801</v>
      </c>
      <c r="F2895" t="s">
        <v>632</v>
      </c>
      <c r="G2895" t="s">
        <v>20</v>
      </c>
      <c r="H2895" s="6">
        <v>220551</v>
      </c>
      <c r="I2895" s="6">
        <v>1.0895424510070847E-3</v>
      </c>
      <c r="J2895" s="6">
        <v>2455.828684569969</v>
      </c>
      <c r="K2895" s="6">
        <v>2888104</v>
      </c>
      <c r="M2895" s="6">
        <f>SUM(H2895,J2895)</f>
        <v>223006.82868456998</v>
      </c>
      <c r="N2895" s="6">
        <f>K2895</f>
        <v>2888104</v>
      </c>
      <c r="O2895" s="6">
        <f>SUM(M2895:N2895)</f>
        <v>3111110.8286845698</v>
      </c>
      <c r="P2895" s="8">
        <f>VLOOKUP(F2895,'LEAID Match'!$A$2:$B$436,2,FALSE)</f>
        <v>1810680</v>
      </c>
      <c r="Q2895" s="6">
        <f>COUNTIF($P$2:$P$3691,P2895)</f>
        <v>9</v>
      </c>
    </row>
    <row r="2896" spans="1:17" x14ac:dyDescent="0.2">
      <c r="A2896" s="16">
        <f>P2896</f>
        <v>1810680</v>
      </c>
      <c r="B2896">
        <v>2022</v>
      </c>
      <c r="C2896" t="s">
        <v>904</v>
      </c>
      <c r="D2896" t="s">
        <v>906</v>
      </c>
      <c r="E2896" t="s">
        <v>3802</v>
      </c>
      <c r="F2896" t="s">
        <v>632</v>
      </c>
      <c r="G2896" t="s">
        <v>20</v>
      </c>
      <c r="H2896" s="6">
        <v>263274</v>
      </c>
      <c r="I2896" s="6">
        <v>1.2500738817718437E-3</v>
      </c>
      <c r="J2896" s="6">
        <v>2756.4129093069155</v>
      </c>
      <c r="K2896" s="6">
        <v>2862523</v>
      </c>
      <c r="M2896" s="6">
        <f>SUM(H2896,J2896)</f>
        <v>266030.41290930694</v>
      </c>
      <c r="N2896" s="6">
        <f>K2896</f>
        <v>2862523</v>
      </c>
      <c r="O2896" s="6">
        <f>SUM(M2896:N2896)</f>
        <v>3128553.4129093071</v>
      </c>
      <c r="P2896" s="8">
        <f>VLOOKUP(F2896,'LEAID Match'!$A$2:$B$436,2,FALSE)</f>
        <v>1810680</v>
      </c>
      <c r="Q2896" s="6">
        <f>COUNTIF($P$2:$P$3691,P2896)</f>
        <v>9</v>
      </c>
    </row>
    <row r="2897" spans="1:17" x14ac:dyDescent="0.2">
      <c r="A2897" s="16">
        <f>P2897</f>
        <v>1810680</v>
      </c>
      <c r="B2897">
        <v>2023</v>
      </c>
      <c r="C2897" t="s">
        <v>904</v>
      </c>
      <c r="D2897" t="s">
        <v>906</v>
      </c>
      <c r="E2897" t="s">
        <v>3803</v>
      </c>
      <c r="F2897" t="s">
        <v>632</v>
      </c>
      <c r="G2897" t="s">
        <v>20</v>
      </c>
      <c r="H2897" s="6">
        <v>295204</v>
      </c>
      <c r="I2897" s="6">
        <v>1.2072221594173495E-3</v>
      </c>
      <c r="J2897" s="6">
        <v>2978.2170672826014</v>
      </c>
      <c r="K2897" s="6">
        <v>7135975</v>
      </c>
      <c r="M2897" s="6">
        <f>SUM(H2897,J2897)</f>
        <v>298182.21706728259</v>
      </c>
      <c r="N2897" s="6">
        <f>K2897</f>
        <v>7135975</v>
      </c>
      <c r="O2897" s="6">
        <f>SUM(M2897:N2897)</f>
        <v>7434157.2170672826</v>
      </c>
      <c r="P2897" s="8">
        <f>VLOOKUP(F2897,'LEAID Match'!$A$2:$B$436,2,FALSE)</f>
        <v>1810680</v>
      </c>
      <c r="Q2897" s="6">
        <f>COUNTIF($P$2:$P$3691,P2897)</f>
        <v>9</v>
      </c>
    </row>
    <row r="2898" spans="1:17" x14ac:dyDescent="0.2">
      <c r="A2898" s="16">
        <f>P2898</f>
        <v>1808130</v>
      </c>
      <c r="B2898">
        <v>2015</v>
      </c>
      <c r="C2898" t="s">
        <v>904</v>
      </c>
      <c r="D2898" t="s">
        <v>906</v>
      </c>
      <c r="E2898" t="s">
        <v>3804</v>
      </c>
      <c r="F2898" t="s">
        <v>612</v>
      </c>
      <c r="G2898" t="s">
        <v>312</v>
      </c>
      <c r="H2898" s="6">
        <v>139618</v>
      </c>
      <c r="I2898" s="6">
        <v>6.7892143406871888E-4</v>
      </c>
      <c r="J2898" s="6">
        <v>3945.2124533733254</v>
      </c>
      <c r="K2898" s="6">
        <v>574106.82739145297</v>
      </c>
      <c r="M2898" s="6">
        <f>SUM(H2898,J2898)</f>
        <v>143563.21245337333</v>
      </c>
      <c r="N2898" s="6">
        <f>K2898</f>
        <v>574106.82739145297</v>
      </c>
      <c r="O2898" s="6">
        <f>SUM(M2898:N2898)</f>
        <v>717670.03984482633</v>
      </c>
      <c r="P2898" s="8">
        <f>VLOOKUP(F2898,'LEAID Match'!$A$2:$B$436,2,FALSE)</f>
        <v>1808130</v>
      </c>
      <c r="Q2898" s="6">
        <f>COUNTIF($P$2:$P$3691,P2898)</f>
        <v>9</v>
      </c>
    </row>
    <row r="2899" spans="1:17" x14ac:dyDescent="0.2">
      <c r="A2899" s="16">
        <f>P2899</f>
        <v>1808130</v>
      </c>
      <c r="B2899">
        <v>2016</v>
      </c>
      <c r="C2899" t="s">
        <v>904</v>
      </c>
      <c r="D2899" t="s">
        <v>906</v>
      </c>
      <c r="E2899" t="s">
        <v>3805</v>
      </c>
      <c r="F2899" t="s">
        <v>612</v>
      </c>
      <c r="G2899" t="s">
        <v>312</v>
      </c>
      <c r="H2899" s="6">
        <v>160355</v>
      </c>
      <c r="I2899" s="6">
        <v>7.4406689420065714E-4</v>
      </c>
      <c r="J2899" s="6">
        <v>3756.0496819249174</v>
      </c>
      <c r="K2899" s="6">
        <v>660359.36860308296</v>
      </c>
      <c r="M2899" s="6">
        <f>SUM(H2899,J2899)</f>
        <v>164111.04968192492</v>
      </c>
      <c r="N2899" s="6">
        <f>K2899</f>
        <v>660359.36860308296</v>
      </c>
      <c r="O2899" s="6">
        <f>SUM(M2899:N2899)</f>
        <v>824470.41828500782</v>
      </c>
      <c r="P2899" s="8">
        <f>VLOOKUP(F2899,'LEAID Match'!$A$2:$B$436,2,FALSE)</f>
        <v>1808130</v>
      </c>
      <c r="Q2899" s="6">
        <f>COUNTIF($P$2:$P$3691,P2899)</f>
        <v>9</v>
      </c>
    </row>
    <row r="2900" spans="1:17" x14ac:dyDescent="0.2">
      <c r="A2900" s="16">
        <f>P2900</f>
        <v>1808130</v>
      </c>
      <c r="B2900">
        <v>2017</v>
      </c>
      <c r="C2900" t="s">
        <v>904</v>
      </c>
      <c r="D2900" t="s">
        <v>906</v>
      </c>
      <c r="E2900" t="s">
        <v>3806</v>
      </c>
      <c r="F2900" t="s">
        <v>612</v>
      </c>
      <c r="G2900" t="s">
        <v>312</v>
      </c>
      <c r="H2900" s="6">
        <v>177697</v>
      </c>
      <c r="I2900" s="6">
        <v>7.8247591086104103E-4</v>
      </c>
      <c r="J2900" s="6">
        <v>3540.7034966462106</v>
      </c>
      <c r="K2900" s="6">
        <v>681536.51835996599</v>
      </c>
      <c r="M2900" s="6">
        <f>SUM(H2900,J2900)</f>
        <v>181237.70349664622</v>
      </c>
      <c r="N2900" s="6">
        <f>K2900</f>
        <v>681536.51835996599</v>
      </c>
      <c r="O2900" s="6">
        <f>SUM(M2900:N2900)</f>
        <v>862774.22185661225</v>
      </c>
      <c r="P2900" s="8">
        <f>VLOOKUP(F2900,'LEAID Match'!$A$2:$B$436,2,FALSE)</f>
        <v>1808130</v>
      </c>
      <c r="Q2900" s="6">
        <f>COUNTIF($P$2:$P$3691,P2900)</f>
        <v>9</v>
      </c>
    </row>
    <row r="2901" spans="1:17" x14ac:dyDescent="0.2">
      <c r="A2901" s="16">
        <f>P2901</f>
        <v>1808130</v>
      </c>
      <c r="B2901">
        <v>2018</v>
      </c>
      <c r="C2901" t="s">
        <v>904</v>
      </c>
      <c r="D2901" t="s">
        <v>906</v>
      </c>
      <c r="E2901" t="s">
        <v>3807</v>
      </c>
      <c r="F2901" t="s">
        <v>612</v>
      </c>
      <c r="G2901" t="s">
        <v>312</v>
      </c>
      <c r="H2901" s="6">
        <v>193646</v>
      </c>
      <c r="I2901" s="6">
        <v>8.2151813969460205E-4</v>
      </c>
      <c r="J2901" s="6">
        <v>3424.0876062471016</v>
      </c>
      <c r="K2901" s="6">
        <v>842173</v>
      </c>
      <c r="M2901" s="6">
        <f>SUM(H2901,J2901)</f>
        <v>197070.08760624711</v>
      </c>
      <c r="N2901" s="6">
        <f>K2901</f>
        <v>842173</v>
      </c>
      <c r="O2901" s="6">
        <f>SUM(M2901:N2901)</f>
        <v>1039243.087606247</v>
      </c>
      <c r="P2901" s="8">
        <f>VLOOKUP(F2901,'LEAID Match'!$A$2:$B$436,2,FALSE)</f>
        <v>1808130</v>
      </c>
      <c r="Q2901" s="6">
        <f>COUNTIF($P$2:$P$3691,P2901)</f>
        <v>9</v>
      </c>
    </row>
    <row r="2902" spans="1:17" x14ac:dyDescent="0.2">
      <c r="A2902" s="16">
        <f>P2902</f>
        <v>1808130</v>
      </c>
      <c r="B2902">
        <v>2019</v>
      </c>
      <c r="C2902" t="s">
        <v>904</v>
      </c>
      <c r="D2902" t="s">
        <v>906</v>
      </c>
      <c r="E2902" t="s">
        <v>3808</v>
      </c>
      <c r="F2902" t="s">
        <v>612</v>
      </c>
      <c r="G2902" t="s">
        <v>312</v>
      </c>
      <c r="H2902" s="6">
        <v>189139</v>
      </c>
      <c r="I2902" s="6">
        <v>4.8116859021785395E-4</v>
      </c>
      <c r="J2902" s="6">
        <v>1686.495908713578</v>
      </c>
      <c r="K2902" s="6">
        <v>454175.03230663203</v>
      </c>
      <c r="M2902" s="6">
        <f>SUM(H2902,J2902)</f>
        <v>190825.49590871358</v>
      </c>
      <c r="N2902" s="6">
        <f>K2902</f>
        <v>454175.03230663203</v>
      </c>
      <c r="O2902" s="6">
        <f>SUM(M2902:N2902)</f>
        <v>645000.52821534558</v>
      </c>
      <c r="P2902" s="8">
        <f>VLOOKUP(F2902,'LEAID Match'!$A$2:$B$436,2,FALSE)</f>
        <v>1808130</v>
      </c>
      <c r="Q2902" s="6">
        <f>COUNTIF($P$2:$P$3691,P2902)</f>
        <v>9</v>
      </c>
    </row>
    <row r="2903" spans="1:17" x14ac:dyDescent="0.2">
      <c r="A2903" s="16">
        <f>P2903</f>
        <v>1808130</v>
      </c>
      <c r="B2903">
        <v>2020</v>
      </c>
      <c r="C2903" t="s">
        <v>904</v>
      </c>
      <c r="D2903" t="s">
        <v>906</v>
      </c>
      <c r="E2903" t="s">
        <v>3809</v>
      </c>
      <c r="F2903" t="s">
        <v>612</v>
      </c>
      <c r="G2903" t="s">
        <v>312</v>
      </c>
      <c r="H2903" s="6">
        <v>137249</v>
      </c>
      <c r="I2903" s="6">
        <v>7.2724233388532793E-4</v>
      </c>
      <c r="J2903" s="6">
        <v>1713.3829386338325</v>
      </c>
      <c r="K2903" s="6">
        <v>930150</v>
      </c>
      <c r="M2903" s="6">
        <f>SUM(H2903,J2903)</f>
        <v>138962.38293863382</v>
      </c>
      <c r="N2903" s="6">
        <f>K2903</f>
        <v>930150</v>
      </c>
      <c r="O2903" s="6">
        <f>SUM(M2903:N2903)</f>
        <v>1069112.3829386339</v>
      </c>
      <c r="P2903" s="8">
        <f>VLOOKUP(F2903,'LEAID Match'!$A$2:$B$436,2,FALSE)</f>
        <v>1808130</v>
      </c>
      <c r="Q2903" s="6">
        <f>COUNTIF($P$2:$P$3691,P2903)</f>
        <v>9</v>
      </c>
    </row>
    <row r="2904" spans="1:17" x14ac:dyDescent="0.2">
      <c r="A2904" s="16">
        <f>P2904</f>
        <v>1808130</v>
      </c>
      <c r="B2904">
        <v>2021</v>
      </c>
      <c r="C2904" t="s">
        <v>904</v>
      </c>
      <c r="D2904" t="s">
        <v>906</v>
      </c>
      <c r="E2904" t="s">
        <v>3810</v>
      </c>
      <c r="F2904" t="s">
        <v>612</v>
      </c>
      <c r="G2904" t="s">
        <v>312</v>
      </c>
      <c r="H2904" s="6">
        <v>140826</v>
      </c>
      <c r="I2904" s="6">
        <v>6.9569353666736359E-4</v>
      </c>
      <c r="J2904" s="6">
        <v>1568.0932316482376</v>
      </c>
      <c r="K2904" s="6">
        <v>1524370</v>
      </c>
      <c r="M2904" s="6">
        <f>SUM(H2904,J2904)</f>
        <v>142394.09323164824</v>
      </c>
      <c r="N2904" s="6">
        <f>K2904</f>
        <v>1524370</v>
      </c>
      <c r="O2904" s="6">
        <f>SUM(M2904:N2904)</f>
        <v>1666764.0932316482</v>
      </c>
      <c r="P2904" s="8">
        <f>VLOOKUP(F2904,'LEAID Match'!$A$2:$B$436,2,FALSE)</f>
        <v>1808130</v>
      </c>
      <c r="Q2904" s="6">
        <f>COUNTIF($P$2:$P$3691,P2904)</f>
        <v>9</v>
      </c>
    </row>
    <row r="2905" spans="1:17" x14ac:dyDescent="0.2">
      <c r="A2905" s="16">
        <f>P2905</f>
        <v>1808130</v>
      </c>
      <c r="B2905">
        <v>2022</v>
      </c>
      <c r="C2905" t="s">
        <v>904</v>
      </c>
      <c r="D2905" t="s">
        <v>906</v>
      </c>
      <c r="E2905" t="s">
        <v>3811</v>
      </c>
      <c r="F2905" t="s">
        <v>612</v>
      </c>
      <c r="G2905" t="s">
        <v>312</v>
      </c>
      <c r="H2905" s="6">
        <v>166366</v>
      </c>
      <c r="I2905" s="6">
        <v>7.8993668731000609E-4</v>
      </c>
      <c r="J2905" s="6">
        <v>1741.8103955185634</v>
      </c>
      <c r="K2905" s="6">
        <v>1496611</v>
      </c>
      <c r="M2905" s="6">
        <f>SUM(H2905,J2905)</f>
        <v>168107.81039551855</v>
      </c>
      <c r="N2905" s="6">
        <f>K2905</f>
        <v>1496611</v>
      </c>
      <c r="O2905" s="6">
        <f>SUM(M2905:N2905)</f>
        <v>1664718.8103955186</v>
      </c>
      <c r="P2905" s="8">
        <f>VLOOKUP(F2905,'LEAID Match'!$A$2:$B$436,2,FALSE)</f>
        <v>1808130</v>
      </c>
      <c r="Q2905" s="6">
        <f>COUNTIF($P$2:$P$3691,P2905)</f>
        <v>9</v>
      </c>
    </row>
    <row r="2906" spans="1:17" x14ac:dyDescent="0.2">
      <c r="A2906" s="16">
        <f>P2906</f>
        <v>1808130</v>
      </c>
      <c r="B2906">
        <v>2023</v>
      </c>
      <c r="C2906" t="s">
        <v>904</v>
      </c>
      <c r="D2906" t="s">
        <v>906</v>
      </c>
      <c r="E2906" t="s">
        <v>3812</v>
      </c>
      <c r="F2906" t="s">
        <v>612</v>
      </c>
      <c r="G2906" t="s">
        <v>312</v>
      </c>
      <c r="H2906" s="6">
        <v>197292</v>
      </c>
      <c r="I2906" s="6">
        <v>8.0681587741279835E-4</v>
      </c>
      <c r="J2906" s="6">
        <v>1990.4147695773736</v>
      </c>
      <c r="K2906" s="6">
        <v>3620502</v>
      </c>
      <c r="M2906" s="6">
        <f>SUM(H2906,J2906)</f>
        <v>199282.41476957739</v>
      </c>
      <c r="N2906" s="6">
        <f>K2906</f>
        <v>3620502</v>
      </c>
      <c r="O2906" s="6">
        <f>SUM(M2906:N2906)</f>
        <v>3819784.4147695773</v>
      </c>
      <c r="P2906" s="8">
        <f>VLOOKUP(F2906,'LEAID Match'!$A$2:$B$436,2,FALSE)</f>
        <v>1808130</v>
      </c>
      <c r="Q2906" s="6">
        <f>COUNTIF($P$2:$P$3691,P2906)</f>
        <v>9</v>
      </c>
    </row>
    <row r="2907" spans="1:17" x14ac:dyDescent="0.2">
      <c r="A2907" s="16">
        <f>P2907</f>
        <v>1811580</v>
      </c>
      <c r="B2907">
        <v>2015</v>
      </c>
      <c r="C2907" t="s">
        <v>904</v>
      </c>
      <c r="D2907" t="s">
        <v>906</v>
      </c>
      <c r="E2907" t="s">
        <v>3813</v>
      </c>
      <c r="F2907" t="s">
        <v>613</v>
      </c>
      <c r="G2907" t="s">
        <v>313</v>
      </c>
      <c r="H2907" s="6">
        <v>477350</v>
      </c>
      <c r="I2907" s="6">
        <v>2.3212132142897261E-3</v>
      </c>
      <c r="J2907" s="6">
        <v>13488.569988237597</v>
      </c>
      <c r="K2907" s="6">
        <v>1962855.03341482</v>
      </c>
      <c r="M2907" s="6">
        <f>SUM(H2907,J2907)</f>
        <v>490838.56998823758</v>
      </c>
      <c r="N2907" s="6">
        <f>K2907</f>
        <v>1962855.03341482</v>
      </c>
      <c r="O2907" s="6">
        <f>SUM(M2907:N2907)</f>
        <v>2453693.6034030574</v>
      </c>
      <c r="P2907" s="8">
        <f>VLOOKUP(F2907,'LEAID Match'!$A$2:$B$436,2,FALSE)</f>
        <v>1811580</v>
      </c>
      <c r="Q2907" s="6">
        <f>COUNTIF($P$2:$P$3691,P2907)</f>
        <v>9</v>
      </c>
    </row>
    <row r="2908" spans="1:17" x14ac:dyDescent="0.2">
      <c r="A2908" s="16">
        <f>P2908</f>
        <v>1811580</v>
      </c>
      <c r="B2908">
        <v>2016</v>
      </c>
      <c r="C2908" t="s">
        <v>904</v>
      </c>
      <c r="D2908" t="s">
        <v>906</v>
      </c>
      <c r="E2908" t="s">
        <v>3814</v>
      </c>
      <c r="F2908" t="s">
        <v>613</v>
      </c>
      <c r="G2908" t="s">
        <v>313</v>
      </c>
      <c r="H2908" s="6">
        <v>510405</v>
      </c>
      <c r="I2908" s="6">
        <v>2.3683418860309087E-3</v>
      </c>
      <c r="J2908" s="6">
        <v>11955.389840684027</v>
      </c>
      <c r="K2908" s="6">
        <v>2101903.4238524302</v>
      </c>
      <c r="M2908" s="6">
        <f>SUM(H2908,J2908)</f>
        <v>522360.38984068402</v>
      </c>
      <c r="N2908" s="6">
        <f>K2908</f>
        <v>2101903.4238524302</v>
      </c>
      <c r="O2908" s="6">
        <f>SUM(M2908:N2908)</f>
        <v>2624263.8136931141</v>
      </c>
      <c r="P2908" s="8">
        <f>VLOOKUP(F2908,'LEAID Match'!$A$2:$B$436,2,FALSE)</f>
        <v>1811580</v>
      </c>
      <c r="Q2908" s="6">
        <f>COUNTIF($P$2:$P$3691,P2908)</f>
        <v>9</v>
      </c>
    </row>
    <row r="2909" spans="1:17" x14ac:dyDescent="0.2">
      <c r="A2909" s="16">
        <f>P2909</f>
        <v>1811580</v>
      </c>
      <c r="B2909">
        <v>2017</v>
      </c>
      <c r="C2909" t="s">
        <v>904</v>
      </c>
      <c r="D2909" t="s">
        <v>906</v>
      </c>
      <c r="E2909" t="s">
        <v>3815</v>
      </c>
      <c r="F2909" t="s">
        <v>613</v>
      </c>
      <c r="G2909" t="s">
        <v>313</v>
      </c>
      <c r="H2909" s="6">
        <v>509694</v>
      </c>
      <c r="I2909" s="6">
        <v>2.244400732203737E-3</v>
      </c>
      <c r="J2909" s="6">
        <v>10155.91331322191</v>
      </c>
      <c r="K2909" s="6">
        <v>1954873.03774945</v>
      </c>
      <c r="M2909" s="6">
        <f>SUM(H2909,J2909)</f>
        <v>519849.91331322188</v>
      </c>
      <c r="N2909" s="6">
        <f>K2909</f>
        <v>1954873.03774945</v>
      </c>
      <c r="O2909" s="6">
        <f>SUM(M2909:N2909)</f>
        <v>2474722.9510626718</v>
      </c>
      <c r="P2909" s="8">
        <f>VLOOKUP(F2909,'LEAID Match'!$A$2:$B$436,2,FALSE)</f>
        <v>1811580</v>
      </c>
      <c r="Q2909" s="6">
        <f>COUNTIF($P$2:$P$3691,P2909)</f>
        <v>9</v>
      </c>
    </row>
    <row r="2910" spans="1:17" x14ac:dyDescent="0.2">
      <c r="A2910" s="16">
        <f>P2910</f>
        <v>1811580</v>
      </c>
      <c r="B2910">
        <v>2018</v>
      </c>
      <c r="C2910" t="s">
        <v>904</v>
      </c>
      <c r="D2910" t="s">
        <v>906</v>
      </c>
      <c r="E2910" t="s">
        <v>3816</v>
      </c>
      <c r="F2910" t="s">
        <v>613</v>
      </c>
      <c r="G2910" t="s">
        <v>313</v>
      </c>
      <c r="H2910" s="6">
        <v>513756</v>
      </c>
      <c r="I2910" s="6">
        <v>2.1795434626945042E-3</v>
      </c>
      <c r="J2910" s="6">
        <v>9084.3371525106941</v>
      </c>
      <c r="K2910" s="6">
        <v>2142195</v>
      </c>
      <c r="M2910" s="6">
        <f>SUM(H2910,J2910)</f>
        <v>522840.33715251071</v>
      </c>
      <c r="N2910" s="6">
        <f>K2910</f>
        <v>2142195</v>
      </c>
      <c r="O2910" s="6">
        <f>SUM(M2910:N2910)</f>
        <v>2665035.3371525109</v>
      </c>
      <c r="P2910" s="8">
        <f>VLOOKUP(F2910,'LEAID Match'!$A$2:$B$436,2,FALSE)</f>
        <v>1811580</v>
      </c>
      <c r="Q2910" s="6">
        <f>COUNTIF($P$2:$P$3691,P2910)</f>
        <v>9</v>
      </c>
    </row>
    <row r="2911" spans="1:17" x14ac:dyDescent="0.2">
      <c r="A2911" s="16">
        <f>P2911</f>
        <v>1811580</v>
      </c>
      <c r="B2911">
        <v>2019</v>
      </c>
      <c r="C2911" t="s">
        <v>904</v>
      </c>
      <c r="D2911" t="s">
        <v>906</v>
      </c>
      <c r="E2911" t="s">
        <v>3817</v>
      </c>
      <c r="F2911" t="s">
        <v>613</v>
      </c>
      <c r="G2911" t="s">
        <v>313</v>
      </c>
      <c r="H2911" s="6">
        <v>532123</v>
      </c>
      <c r="I2911" s="6">
        <v>1.3537180260681039E-3</v>
      </c>
      <c r="J2911" s="6">
        <v>4744.7816813687041</v>
      </c>
      <c r="K2911" s="6">
        <v>1277774.4448056801</v>
      </c>
      <c r="M2911" s="6">
        <f>SUM(H2911,J2911)</f>
        <v>536867.78168136871</v>
      </c>
      <c r="N2911" s="6">
        <f>K2911</f>
        <v>1277774.4448056801</v>
      </c>
      <c r="O2911" s="6">
        <f>SUM(M2911:N2911)</f>
        <v>1814642.2264870489</v>
      </c>
      <c r="P2911" s="8">
        <f>VLOOKUP(F2911,'LEAID Match'!$A$2:$B$436,2,FALSE)</f>
        <v>1811580</v>
      </c>
      <c r="Q2911" s="6">
        <f>COUNTIF($P$2:$P$3691,P2911)</f>
        <v>9</v>
      </c>
    </row>
    <row r="2912" spans="1:17" x14ac:dyDescent="0.2">
      <c r="A2912" s="16">
        <f>P2912</f>
        <v>1811580</v>
      </c>
      <c r="B2912">
        <v>2020</v>
      </c>
      <c r="C2912" t="s">
        <v>904</v>
      </c>
      <c r="D2912" t="s">
        <v>906</v>
      </c>
      <c r="E2912" t="s">
        <v>3818</v>
      </c>
      <c r="F2912" t="s">
        <v>613</v>
      </c>
      <c r="G2912" t="s">
        <v>313</v>
      </c>
      <c r="H2912" s="6">
        <v>421580</v>
      </c>
      <c r="I2912" s="6">
        <v>2.2338291945251079E-3</v>
      </c>
      <c r="J2912" s="6">
        <v>5262.9015823011541</v>
      </c>
      <c r="K2912" s="6">
        <v>2312848</v>
      </c>
      <c r="M2912" s="6">
        <f>SUM(H2912,J2912)</f>
        <v>426842.90158230113</v>
      </c>
      <c r="N2912" s="6">
        <f>K2912</f>
        <v>2312848</v>
      </c>
      <c r="O2912" s="6">
        <f>SUM(M2912:N2912)</f>
        <v>2739690.9015823011</v>
      </c>
      <c r="P2912" s="8">
        <f>VLOOKUP(F2912,'LEAID Match'!$A$2:$B$436,2,FALSE)</f>
        <v>1811580</v>
      </c>
      <c r="Q2912" s="6">
        <f>COUNTIF($P$2:$P$3691,P2912)</f>
        <v>9</v>
      </c>
    </row>
    <row r="2913" spans="1:17" x14ac:dyDescent="0.2">
      <c r="A2913" s="16">
        <f>P2913</f>
        <v>1811580</v>
      </c>
      <c r="B2913">
        <v>2021</v>
      </c>
      <c r="C2913" t="s">
        <v>904</v>
      </c>
      <c r="D2913" t="s">
        <v>906</v>
      </c>
      <c r="E2913" t="s">
        <v>3819</v>
      </c>
      <c r="F2913" t="s">
        <v>613</v>
      </c>
      <c r="G2913" t="s">
        <v>313</v>
      </c>
      <c r="H2913" s="6">
        <v>427003</v>
      </c>
      <c r="I2913" s="6">
        <v>2.1094345308222506E-3</v>
      </c>
      <c r="J2913" s="6">
        <v>4754.6654324733527</v>
      </c>
      <c r="K2913" s="6">
        <v>3831305</v>
      </c>
      <c r="M2913" s="6">
        <f>SUM(H2913,J2913)</f>
        <v>431757.66543247335</v>
      </c>
      <c r="N2913" s="6">
        <f>K2913</f>
        <v>3831305</v>
      </c>
      <c r="O2913" s="6">
        <f>SUM(M2913:N2913)</f>
        <v>4263062.6654324736</v>
      </c>
      <c r="P2913" s="8">
        <f>VLOOKUP(F2913,'LEAID Match'!$A$2:$B$436,2,FALSE)</f>
        <v>1811580</v>
      </c>
      <c r="Q2913" s="6">
        <f>COUNTIF($P$2:$P$3691,P2913)</f>
        <v>9</v>
      </c>
    </row>
    <row r="2914" spans="1:17" x14ac:dyDescent="0.2">
      <c r="A2914" s="16">
        <f>P2914</f>
        <v>1811580</v>
      </c>
      <c r="B2914">
        <v>2022</v>
      </c>
      <c r="C2914" t="s">
        <v>904</v>
      </c>
      <c r="D2914" t="s">
        <v>906</v>
      </c>
      <c r="E2914" t="s">
        <v>3820</v>
      </c>
      <c r="F2914" t="s">
        <v>613</v>
      </c>
      <c r="G2914" t="s">
        <v>313</v>
      </c>
      <c r="H2914" s="6">
        <v>445850</v>
      </c>
      <c r="I2914" s="6">
        <v>2.1169786617287558E-3</v>
      </c>
      <c r="J2914" s="6">
        <v>4667.9379491119062</v>
      </c>
      <c r="K2914" s="6">
        <v>3641759</v>
      </c>
      <c r="M2914" s="6">
        <f>SUM(H2914,J2914)</f>
        <v>450517.93794911192</v>
      </c>
      <c r="N2914" s="6">
        <f>K2914</f>
        <v>3641759</v>
      </c>
      <c r="O2914" s="6">
        <f>SUM(M2914:N2914)</f>
        <v>4092276.9379491117</v>
      </c>
      <c r="P2914" s="8">
        <f>VLOOKUP(F2914,'LEAID Match'!$A$2:$B$436,2,FALSE)</f>
        <v>1811580</v>
      </c>
      <c r="Q2914" s="6">
        <f>COUNTIF($P$2:$P$3691,P2914)</f>
        <v>9</v>
      </c>
    </row>
    <row r="2915" spans="1:17" x14ac:dyDescent="0.2">
      <c r="A2915" s="16">
        <f>P2915</f>
        <v>1811580</v>
      </c>
      <c r="B2915">
        <v>2023</v>
      </c>
      <c r="C2915" t="s">
        <v>904</v>
      </c>
      <c r="D2915" t="s">
        <v>906</v>
      </c>
      <c r="E2915" t="s">
        <v>3821</v>
      </c>
      <c r="F2915" t="s">
        <v>613</v>
      </c>
      <c r="G2915" t="s">
        <v>313</v>
      </c>
      <c r="H2915" s="6">
        <v>492312</v>
      </c>
      <c r="I2915" s="6">
        <v>2.0132855779294119E-3</v>
      </c>
      <c r="J2915" s="6">
        <v>4966.7755207518594</v>
      </c>
      <c r="K2915" s="6">
        <v>9702809</v>
      </c>
      <c r="M2915" s="6">
        <f>SUM(H2915,J2915)</f>
        <v>497278.77552075183</v>
      </c>
      <c r="N2915" s="6">
        <f>K2915</f>
        <v>9702809</v>
      </c>
      <c r="O2915" s="6">
        <f>SUM(M2915:N2915)</f>
        <v>10200087.775520751</v>
      </c>
      <c r="P2915" s="8">
        <f>VLOOKUP(F2915,'LEAID Match'!$A$2:$B$436,2,FALSE)</f>
        <v>1811580</v>
      </c>
      <c r="Q2915" s="6">
        <f>COUNTIF($P$2:$P$3691,P2915)</f>
        <v>9</v>
      </c>
    </row>
    <row r="2916" spans="1:17" x14ac:dyDescent="0.2">
      <c r="A2916" s="16">
        <f>P2916</f>
        <v>1811430</v>
      </c>
      <c r="B2916">
        <v>2015</v>
      </c>
      <c r="C2916" t="s">
        <v>904</v>
      </c>
      <c r="D2916" t="s">
        <v>906</v>
      </c>
      <c r="E2916" t="s">
        <v>3822</v>
      </c>
      <c r="F2916" t="s">
        <v>614</v>
      </c>
      <c r="G2916" t="s">
        <v>314</v>
      </c>
      <c r="H2916" s="6">
        <v>166106</v>
      </c>
      <c r="I2916" s="6">
        <v>8.0772481862953645E-4</v>
      </c>
      <c r="J2916" s="6">
        <v>4693.6889210562367</v>
      </c>
      <c r="K2916" s="6">
        <v>683025.03023023403</v>
      </c>
      <c r="M2916" s="6">
        <f>SUM(H2916,J2916)</f>
        <v>170799.68892105622</v>
      </c>
      <c r="N2916" s="6">
        <f>K2916</f>
        <v>683025.03023023403</v>
      </c>
      <c r="O2916" s="6">
        <f>SUM(M2916:N2916)</f>
        <v>853824.71915129025</v>
      </c>
      <c r="P2916" s="8">
        <f>VLOOKUP(F2916,'LEAID Match'!$A$2:$B$436,2,FALSE)</f>
        <v>1811430</v>
      </c>
      <c r="Q2916" s="6">
        <f>COUNTIF($P$2:$P$3691,P2916)</f>
        <v>9</v>
      </c>
    </row>
    <row r="2917" spans="1:17" x14ac:dyDescent="0.2">
      <c r="A2917" s="16">
        <f>P2917</f>
        <v>1811430</v>
      </c>
      <c r="B2917">
        <v>2016</v>
      </c>
      <c r="C2917" t="s">
        <v>904</v>
      </c>
      <c r="D2917" t="s">
        <v>906</v>
      </c>
      <c r="E2917" t="s">
        <v>3823</v>
      </c>
      <c r="F2917" t="s">
        <v>614</v>
      </c>
      <c r="G2917" t="s">
        <v>314</v>
      </c>
      <c r="H2917" s="6">
        <v>176735</v>
      </c>
      <c r="I2917" s="6">
        <v>8.2007210593092281E-4</v>
      </c>
      <c r="J2917" s="6">
        <v>4139.7239907392986</v>
      </c>
      <c r="K2917" s="6">
        <v>727813.994013694</v>
      </c>
      <c r="M2917" s="6">
        <f>SUM(H2917,J2917)</f>
        <v>180874.72399073929</v>
      </c>
      <c r="N2917" s="6">
        <f>K2917</f>
        <v>727813.994013694</v>
      </c>
      <c r="O2917" s="6">
        <f>SUM(M2917:N2917)</f>
        <v>908688.71800443332</v>
      </c>
      <c r="P2917" s="8">
        <f>VLOOKUP(F2917,'LEAID Match'!$A$2:$B$436,2,FALSE)</f>
        <v>1811430</v>
      </c>
      <c r="Q2917" s="6">
        <f>COUNTIF($P$2:$P$3691,P2917)</f>
        <v>9</v>
      </c>
    </row>
    <row r="2918" spans="1:17" x14ac:dyDescent="0.2">
      <c r="A2918" s="16">
        <f>P2918</f>
        <v>1811430</v>
      </c>
      <c r="B2918">
        <v>2017</v>
      </c>
      <c r="C2918" t="s">
        <v>904</v>
      </c>
      <c r="D2918" t="s">
        <v>906</v>
      </c>
      <c r="E2918" t="s">
        <v>3824</v>
      </c>
      <c r="F2918" t="s">
        <v>614</v>
      </c>
      <c r="G2918" t="s">
        <v>314</v>
      </c>
      <c r="H2918" s="6">
        <v>167728</v>
      </c>
      <c r="I2918" s="6">
        <v>7.3857813906200273E-4</v>
      </c>
      <c r="J2918" s="6">
        <v>3342.0660792555623</v>
      </c>
      <c r="K2918" s="6">
        <v>643301.55912300397</v>
      </c>
      <c r="M2918" s="6">
        <f>SUM(H2918,J2918)</f>
        <v>171070.06607925557</v>
      </c>
      <c r="N2918" s="6">
        <f>K2918</f>
        <v>643301.55912300397</v>
      </c>
      <c r="O2918" s="6">
        <f>SUM(M2918:N2918)</f>
        <v>814371.62520225951</v>
      </c>
      <c r="P2918" s="8">
        <f>VLOOKUP(F2918,'LEAID Match'!$A$2:$B$436,2,FALSE)</f>
        <v>1811430</v>
      </c>
      <c r="Q2918" s="6">
        <f>COUNTIF($P$2:$P$3691,P2918)</f>
        <v>9</v>
      </c>
    </row>
    <row r="2919" spans="1:17" x14ac:dyDescent="0.2">
      <c r="A2919" s="16">
        <f>P2919</f>
        <v>1811430</v>
      </c>
      <c r="B2919">
        <v>2018</v>
      </c>
      <c r="C2919" t="s">
        <v>904</v>
      </c>
      <c r="D2919" t="s">
        <v>906</v>
      </c>
      <c r="E2919" t="s">
        <v>3825</v>
      </c>
      <c r="F2919" t="s">
        <v>614</v>
      </c>
      <c r="G2919" t="s">
        <v>314</v>
      </c>
      <c r="H2919" s="6">
        <v>185450</v>
      </c>
      <c r="I2919" s="6">
        <v>7.8674766845875435E-4</v>
      </c>
      <c r="J2919" s="6">
        <v>3279.1642821360883</v>
      </c>
      <c r="K2919" s="6">
        <v>900185</v>
      </c>
      <c r="M2919" s="6">
        <f>SUM(H2919,J2919)</f>
        <v>188729.1642821361</v>
      </c>
      <c r="N2919" s="6">
        <f>K2919</f>
        <v>900185</v>
      </c>
      <c r="O2919" s="6">
        <f>SUM(M2919:N2919)</f>
        <v>1088914.1642821361</v>
      </c>
      <c r="P2919" s="8">
        <f>VLOOKUP(F2919,'LEAID Match'!$A$2:$B$436,2,FALSE)</f>
        <v>1811430</v>
      </c>
      <c r="Q2919" s="6">
        <f>COUNTIF($P$2:$P$3691,P2919)</f>
        <v>9</v>
      </c>
    </row>
    <row r="2920" spans="1:17" x14ac:dyDescent="0.2">
      <c r="A2920" s="16">
        <f>P2920</f>
        <v>1811430</v>
      </c>
      <c r="B2920">
        <v>2019</v>
      </c>
      <c r="C2920" t="s">
        <v>904</v>
      </c>
      <c r="D2920" t="s">
        <v>906</v>
      </c>
      <c r="E2920" t="s">
        <v>3826</v>
      </c>
      <c r="F2920" t="s">
        <v>614</v>
      </c>
      <c r="G2920" t="s">
        <v>314</v>
      </c>
      <c r="H2920" s="6">
        <v>189756</v>
      </c>
      <c r="I2920" s="6">
        <v>4.8273823487159757E-4</v>
      </c>
      <c r="J2920" s="6">
        <v>1691.9975132249494</v>
      </c>
      <c r="K2920" s="6">
        <v>455656.61989530001</v>
      </c>
      <c r="M2920" s="6">
        <f>SUM(H2920,J2920)</f>
        <v>191447.99751322495</v>
      </c>
      <c r="N2920" s="6">
        <f>K2920</f>
        <v>455656.61989530001</v>
      </c>
      <c r="O2920" s="6">
        <f>SUM(M2920:N2920)</f>
        <v>647104.61740852497</v>
      </c>
      <c r="P2920" s="8">
        <f>VLOOKUP(F2920,'LEAID Match'!$A$2:$B$436,2,FALSE)</f>
        <v>1811430</v>
      </c>
      <c r="Q2920" s="6">
        <f>COUNTIF($P$2:$P$3691,P2920)</f>
        <v>9</v>
      </c>
    </row>
    <row r="2921" spans="1:17" x14ac:dyDescent="0.2">
      <c r="A2921" s="16">
        <f>P2921</f>
        <v>1811430</v>
      </c>
      <c r="B2921">
        <v>2020</v>
      </c>
      <c r="C2921" t="s">
        <v>904</v>
      </c>
      <c r="D2921" t="s">
        <v>906</v>
      </c>
      <c r="E2921" t="s">
        <v>3827</v>
      </c>
      <c r="F2921" t="s">
        <v>614</v>
      </c>
      <c r="G2921" t="s">
        <v>314</v>
      </c>
      <c r="H2921" s="6">
        <v>151505</v>
      </c>
      <c r="I2921" s="6">
        <v>8.0278071093630278E-4</v>
      </c>
      <c r="J2921" s="6">
        <v>1891.3513549659294</v>
      </c>
      <c r="K2921" s="6">
        <v>996090</v>
      </c>
      <c r="M2921" s="6">
        <f>SUM(H2921,J2921)</f>
        <v>153396.35135496594</v>
      </c>
      <c r="N2921" s="6">
        <f>K2921</f>
        <v>996090</v>
      </c>
      <c r="O2921" s="6">
        <f>SUM(M2921:N2921)</f>
        <v>1149486.3513549659</v>
      </c>
      <c r="P2921" s="8">
        <f>VLOOKUP(F2921,'LEAID Match'!$A$2:$B$436,2,FALSE)</f>
        <v>1811430</v>
      </c>
      <c r="Q2921" s="6">
        <f>COUNTIF($P$2:$P$3691,P2921)</f>
        <v>9</v>
      </c>
    </row>
    <row r="2922" spans="1:17" x14ac:dyDescent="0.2">
      <c r="A2922" s="16">
        <f>P2922</f>
        <v>1811430</v>
      </c>
      <c r="B2922">
        <v>2021</v>
      </c>
      <c r="C2922" t="s">
        <v>904</v>
      </c>
      <c r="D2922" t="s">
        <v>906</v>
      </c>
      <c r="E2922" t="s">
        <v>3828</v>
      </c>
      <c r="F2922" t="s">
        <v>614</v>
      </c>
      <c r="G2922" t="s">
        <v>314</v>
      </c>
      <c r="H2922" s="6">
        <v>162066</v>
      </c>
      <c r="I2922" s="6">
        <v>8.0062111196464389E-4</v>
      </c>
      <c r="J2922" s="6">
        <v>1804.5999863683073</v>
      </c>
      <c r="K2922" s="6">
        <v>1635617</v>
      </c>
      <c r="M2922" s="6">
        <f>SUM(H2922,J2922)</f>
        <v>163870.5999863683</v>
      </c>
      <c r="N2922" s="6">
        <f>K2922</f>
        <v>1635617</v>
      </c>
      <c r="O2922" s="6">
        <f>SUM(M2922:N2922)</f>
        <v>1799487.5999863683</v>
      </c>
      <c r="P2922" s="8">
        <f>VLOOKUP(F2922,'LEAID Match'!$A$2:$B$436,2,FALSE)</f>
        <v>1811430</v>
      </c>
      <c r="Q2922" s="6">
        <f>COUNTIF($P$2:$P$3691,P2922)</f>
        <v>9</v>
      </c>
    </row>
    <row r="2923" spans="1:17" x14ac:dyDescent="0.2">
      <c r="A2923" s="16">
        <f>P2923</f>
        <v>1811430</v>
      </c>
      <c r="B2923">
        <v>2022</v>
      </c>
      <c r="C2923" t="s">
        <v>904</v>
      </c>
      <c r="D2923" t="s">
        <v>906</v>
      </c>
      <c r="E2923" t="s">
        <v>3829</v>
      </c>
      <c r="F2923" t="s">
        <v>614</v>
      </c>
      <c r="G2923" t="s">
        <v>314</v>
      </c>
      <c r="H2923" s="6">
        <v>178525</v>
      </c>
      <c r="I2923" s="6">
        <v>8.476698790739625E-4</v>
      </c>
      <c r="J2923" s="6">
        <v>1869.1120833580874</v>
      </c>
      <c r="K2923" s="6">
        <v>1629016</v>
      </c>
      <c r="M2923" s="6">
        <f>SUM(H2923,J2923)</f>
        <v>180394.11208335808</v>
      </c>
      <c r="N2923" s="6">
        <f>K2923</f>
        <v>1629016</v>
      </c>
      <c r="O2923" s="6">
        <f>SUM(M2923:N2923)</f>
        <v>1809410.112083358</v>
      </c>
      <c r="P2923" s="8">
        <f>VLOOKUP(F2923,'LEAID Match'!$A$2:$B$436,2,FALSE)</f>
        <v>1811430</v>
      </c>
      <c r="Q2923" s="6">
        <f>COUNTIF($P$2:$P$3691,P2923)</f>
        <v>9</v>
      </c>
    </row>
    <row r="2924" spans="1:17" x14ac:dyDescent="0.2">
      <c r="A2924" s="16">
        <f>P2924</f>
        <v>1811430</v>
      </c>
      <c r="B2924">
        <v>2023</v>
      </c>
      <c r="C2924" t="s">
        <v>904</v>
      </c>
      <c r="D2924" t="s">
        <v>906</v>
      </c>
      <c r="E2924" t="s">
        <v>3830</v>
      </c>
      <c r="F2924" t="s">
        <v>614</v>
      </c>
      <c r="G2924" t="s">
        <v>314</v>
      </c>
      <c r="H2924" s="6">
        <v>197046</v>
      </c>
      <c r="I2924" s="6">
        <v>8.0580987257811902E-4</v>
      </c>
      <c r="J2924" s="6">
        <v>1987.9329556502196</v>
      </c>
      <c r="K2924" s="6">
        <v>4320547</v>
      </c>
      <c r="M2924" s="6">
        <f>SUM(H2924,J2924)</f>
        <v>199033.93295565021</v>
      </c>
      <c r="N2924" s="6">
        <f>K2924</f>
        <v>4320547</v>
      </c>
      <c r="O2924" s="6">
        <f>SUM(M2924:N2924)</f>
        <v>4519580.9329556506</v>
      </c>
      <c r="P2924" s="8">
        <f>VLOOKUP(F2924,'LEAID Match'!$A$2:$B$436,2,FALSE)</f>
        <v>1811430</v>
      </c>
      <c r="Q2924" s="6">
        <f>COUNTIF($P$2:$P$3691,P2924)</f>
        <v>9</v>
      </c>
    </row>
    <row r="2925" spans="1:17" x14ac:dyDescent="0.2">
      <c r="A2925" s="16">
        <f>P2925</f>
        <v>1803810</v>
      </c>
      <c r="B2925">
        <v>2015</v>
      </c>
      <c r="C2925" t="s">
        <v>904</v>
      </c>
      <c r="D2925" t="s">
        <v>906</v>
      </c>
      <c r="E2925" t="s">
        <v>3831</v>
      </c>
      <c r="F2925" t="s">
        <v>615</v>
      </c>
      <c r="G2925" t="s">
        <v>315</v>
      </c>
      <c r="H2925" s="6">
        <v>150519</v>
      </c>
      <c r="I2925" s="6">
        <v>7.3192980371148059E-4</v>
      </c>
      <c r="J2925" s="6">
        <v>4253.2440893674138</v>
      </c>
      <c r="K2925" s="6">
        <v>618931.55289528705</v>
      </c>
      <c r="M2925" s="6">
        <f>SUM(H2925,J2925)</f>
        <v>154772.24408936742</v>
      </c>
      <c r="N2925" s="6">
        <f>K2925</f>
        <v>618931.55289528705</v>
      </c>
      <c r="O2925" s="6">
        <f>SUM(M2925:N2925)</f>
        <v>773703.7969846545</v>
      </c>
      <c r="P2925" s="8">
        <f>VLOOKUP(F2925,'LEAID Match'!$A$2:$B$436,2,FALSE)</f>
        <v>1803810</v>
      </c>
      <c r="Q2925" s="6">
        <f>COUNTIF($P$2:$P$3691,P2925)</f>
        <v>9</v>
      </c>
    </row>
    <row r="2926" spans="1:17" x14ac:dyDescent="0.2">
      <c r="A2926" s="16">
        <f>P2926</f>
        <v>1803810</v>
      </c>
      <c r="B2926">
        <v>2016</v>
      </c>
      <c r="C2926" t="s">
        <v>904</v>
      </c>
      <c r="D2926" t="s">
        <v>906</v>
      </c>
      <c r="E2926" t="s">
        <v>3832</v>
      </c>
      <c r="F2926" t="s">
        <v>615</v>
      </c>
      <c r="G2926" t="s">
        <v>315</v>
      </c>
      <c r="H2926" s="6">
        <v>166644</v>
      </c>
      <c r="I2926" s="6">
        <v>7.7324862659208825E-4</v>
      </c>
      <c r="J2926" s="6">
        <v>3903.3590670368617</v>
      </c>
      <c r="K2926" s="6">
        <v>686258.15610047802</v>
      </c>
      <c r="M2926" s="6">
        <f>SUM(H2926,J2926)</f>
        <v>170547.35906703686</v>
      </c>
      <c r="N2926" s="6">
        <f>K2926</f>
        <v>686258.15610047802</v>
      </c>
      <c r="O2926" s="6">
        <f>SUM(M2926:N2926)</f>
        <v>856805.51516751491</v>
      </c>
      <c r="P2926" s="8">
        <f>VLOOKUP(F2926,'LEAID Match'!$A$2:$B$436,2,FALSE)</f>
        <v>1803810</v>
      </c>
      <c r="Q2926" s="6">
        <f>COUNTIF($P$2:$P$3691,P2926)</f>
        <v>9</v>
      </c>
    </row>
    <row r="2927" spans="1:17" x14ac:dyDescent="0.2">
      <c r="A2927" s="16">
        <f>P2927</f>
        <v>1803810</v>
      </c>
      <c r="B2927">
        <v>2017</v>
      </c>
      <c r="C2927" t="s">
        <v>904</v>
      </c>
      <c r="D2927" t="s">
        <v>906</v>
      </c>
      <c r="E2927" t="s">
        <v>3833</v>
      </c>
      <c r="F2927" t="s">
        <v>615</v>
      </c>
      <c r="G2927" t="s">
        <v>315</v>
      </c>
      <c r="H2927" s="6">
        <v>170506</v>
      </c>
      <c r="I2927" s="6">
        <v>7.508108615073561E-4</v>
      </c>
      <c r="J2927" s="6">
        <v>3397.4191483207865</v>
      </c>
      <c r="K2927" s="6">
        <v>653956.26037290704</v>
      </c>
      <c r="M2927" s="6">
        <f>SUM(H2927,J2927)</f>
        <v>173903.4191483208</v>
      </c>
      <c r="N2927" s="6">
        <f>K2927</f>
        <v>653956.26037290704</v>
      </c>
      <c r="O2927" s="6">
        <f>SUM(M2927:N2927)</f>
        <v>827859.67952122784</v>
      </c>
      <c r="P2927" s="8">
        <f>VLOOKUP(F2927,'LEAID Match'!$A$2:$B$436,2,FALSE)</f>
        <v>1803810</v>
      </c>
      <c r="Q2927" s="6">
        <f>COUNTIF($P$2:$P$3691,P2927)</f>
        <v>9</v>
      </c>
    </row>
    <row r="2928" spans="1:17" x14ac:dyDescent="0.2">
      <c r="A2928" s="16">
        <f>P2928</f>
        <v>1803810</v>
      </c>
      <c r="B2928">
        <v>2018</v>
      </c>
      <c r="C2928" t="s">
        <v>904</v>
      </c>
      <c r="D2928" t="s">
        <v>906</v>
      </c>
      <c r="E2928" t="s">
        <v>3834</v>
      </c>
      <c r="F2928" t="s">
        <v>615</v>
      </c>
      <c r="G2928" t="s">
        <v>315</v>
      </c>
      <c r="H2928" s="6">
        <v>167133</v>
      </c>
      <c r="I2928" s="6">
        <v>7.0904016215970339E-4</v>
      </c>
      <c r="J2928" s="6">
        <v>2955.2793958816437</v>
      </c>
      <c r="K2928" s="6">
        <v>503744</v>
      </c>
      <c r="M2928" s="6">
        <f>SUM(H2928,J2928)</f>
        <v>170088.27939588163</v>
      </c>
      <c r="N2928" s="6">
        <f>K2928</f>
        <v>503744</v>
      </c>
      <c r="O2928" s="6">
        <f>SUM(M2928:N2928)</f>
        <v>673832.27939588157</v>
      </c>
      <c r="P2928" s="8">
        <f>VLOOKUP(F2928,'LEAID Match'!$A$2:$B$436,2,FALSE)</f>
        <v>1803810</v>
      </c>
      <c r="Q2928" s="6">
        <f>COUNTIF($P$2:$P$3691,P2928)</f>
        <v>9</v>
      </c>
    </row>
    <row r="2929" spans="1:17" x14ac:dyDescent="0.2">
      <c r="A2929" s="16">
        <f>P2929</f>
        <v>1803810</v>
      </c>
      <c r="B2929">
        <v>2019</v>
      </c>
      <c r="C2929" t="s">
        <v>904</v>
      </c>
      <c r="D2929" t="s">
        <v>906</v>
      </c>
      <c r="E2929" t="s">
        <v>3835</v>
      </c>
      <c r="F2929" t="s">
        <v>615</v>
      </c>
      <c r="G2929" t="s">
        <v>315</v>
      </c>
      <c r="H2929" s="6">
        <v>175626</v>
      </c>
      <c r="I2929" s="6">
        <v>4.467915915046649E-4</v>
      </c>
      <c r="J2929" s="6">
        <v>1566.0045282238505</v>
      </c>
      <c r="K2929" s="6">
        <v>421726.58322125301</v>
      </c>
      <c r="M2929" s="6">
        <f>SUM(H2929,J2929)</f>
        <v>177192.00452822386</v>
      </c>
      <c r="N2929" s="6">
        <f>K2929</f>
        <v>421726.58322125301</v>
      </c>
      <c r="O2929" s="6">
        <f>SUM(M2929:N2929)</f>
        <v>598918.58774947689</v>
      </c>
      <c r="P2929" s="8">
        <f>VLOOKUP(F2929,'LEAID Match'!$A$2:$B$436,2,FALSE)</f>
        <v>1803810</v>
      </c>
      <c r="Q2929" s="6">
        <f>COUNTIF($P$2:$P$3691,P2929)</f>
        <v>9</v>
      </c>
    </row>
    <row r="2930" spans="1:17" x14ac:dyDescent="0.2">
      <c r="A2930" s="16">
        <f>P2930</f>
        <v>1803810</v>
      </c>
      <c r="B2930">
        <v>2020</v>
      </c>
      <c r="C2930" t="s">
        <v>904</v>
      </c>
      <c r="D2930" t="s">
        <v>906</v>
      </c>
      <c r="E2930" t="s">
        <v>3836</v>
      </c>
      <c r="F2930" t="s">
        <v>615</v>
      </c>
      <c r="G2930" t="s">
        <v>315</v>
      </c>
      <c r="H2930" s="6">
        <v>131891</v>
      </c>
      <c r="I2930" s="6">
        <v>6.988518579987453E-4</v>
      </c>
      <c r="J2930" s="6">
        <v>1646.494977445044</v>
      </c>
      <c r="K2930" s="6">
        <v>541309</v>
      </c>
      <c r="M2930" s="6">
        <f>SUM(H2930,J2930)</f>
        <v>133537.49497744505</v>
      </c>
      <c r="N2930" s="6">
        <f>K2930</f>
        <v>541309</v>
      </c>
      <c r="O2930" s="6">
        <f>SUM(M2930:N2930)</f>
        <v>674846.49497744511</v>
      </c>
      <c r="P2930" s="8">
        <f>VLOOKUP(F2930,'LEAID Match'!$A$2:$B$436,2,FALSE)</f>
        <v>1803810</v>
      </c>
      <c r="Q2930" s="6">
        <f>COUNTIF($P$2:$P$3691,P2930)</f>
        <v>9</v>
      </c>
    </row>
    <row r="2931" spans="1:17" x14ac:dyDescent="0.2">
      <c r="A2931" s="16">
        <f>P2931</f>
        <v>1803810</v>
      </c>
      <c r="B2931">
        <v>2021</v>
      </c>
      <c r="C2931" t="s">
        <v>904</v>
      </c>
      <c r="D2931" t="s">
        <v>906</v>
      </c>
      <c r="E2931" t="s">
        <v>3837</v>
      </c>
      <c r="F2931" t="s">
        <v>615</v>
      </c>
      <c r="G2931" t="s">
        <v>315</v>
      </c>
      <c r="H2931" s="6">
        <v>146556</v>
      </c>
      <c r="I2931" s="6">
        <v>7.2400026955123434E-4</v>
      </c>
      <c r="J2931" s="6">
        <v>1631.8966075684823</v>
      </c>
      <c r="K2931" s="6">
        <v>938406</v>
      </c>
      <c r="M2931" s="6">
        <f>SUM(H2931,J2931)</f>
        <v>148187.89660756849</v>
      </c>
      <c r="N2931" s="6">
        <f>K2931</f>
        <v>938406</v>
      </c>
      <c r="O2931" s="6">
        <f>SUM(M2931:N2931)</f>
        <v>1086593.8966075685</v>
      </c>
      <c r="P2931" s="8">
        <f>VLOOKUP(F2931,'LEAID Match'!$A$2:$B$436,2,FALSE)</f>
        <v>1803810</v>
      </c>
      <c r="Q2931" s="6">
        <f>COUNTIF($P$2:$P$3691,P2931)</f>
        <v>9</v>
      </c>
    </row>
    <row r="2932" spans="1:17" x14ac:dyDescent="0.2">
      <c r="A2932" s="16">
        <f>P2932</f>
        <v>1803810</v>
      </c>
      <c r="B2932">
        <v>2022</v>
      </c>
      <c r="C2932" t="s">
        <v>904</v>
      </c>
      <c r="D2932" t="s">
        <v>906</v>
      </c>
      <c r="E2932" t="s">
        <v>3838</v>
      </c>
      <c r="F2932" t="s">
        <v>615</v>
      </c>
      <c r="G2932" t="s">
        <v>315</v>
      </c>
      <c r="H2932" s="6">
        <v>144433</v>
      </c>
      <c r="I2932" s="6">
        <v>6.8579472703705153E-4</v>
      </c>
      <c r="J2932" s="6">
        <v>1512.1773731166986</v>
      </c>
      <c r="K2932" s="6">
        <v>902494</v>
      </c>
      <c r="M2932" s="6">
        <f>SUM(H2932,J2932)</f>
        <v>145945.17737311669</v>
      </c>
      <c r="N2932" s="6">
        <f>K2932</f>
        <v>902494</v>
      </c>
      <c r="O2932" s="6">
        <f>SUM(M2932:N2932)</f>
        <v>1048439.1773731167</v>
      </c>
      <c r="P2932" s="8">
        <f>VLOOKUP(F2932,'LEAID Match'!$A$2:$B$436,2,FALSE)</f>
        <v>1803810</v>
      </c>
      <c r="Q2932" s="6">
        <f>COUNTIF($P$2:$P$3691,P2932)</f>
        <v>9</v>
      </c>
    </row>
    <row r="2933" spans="1:17" x14ac:dyDescent="0.2">
      <c r="A2933" s="16">
        <f>P2933</f>
        <v>1803810</v>
      </c>
      <c r="B2933">
        <v>2023</v>
      </c>
      <c r="C2933" t="s">
        <v>904</v>
      </c>
      <c r="D2933" t="s">
        <v>906</v>
      </c>
      <c r="E2933" t="s">
        <v>3839</v>
      </c>
      <c r="F2933" t="s">
        <v>615</v>
      </c>
      <c r="G2933" t="s">
        <v>315</v>
      </c>
      <c r="H2933" s="6">
        <v>159927</v>
      </c>
      <c r="I2933" s="6">
        <v>6.540135577063266E-4</v>
      </c>
      <c r="J2933" s="6">
        <v>1613.4514468615077</v>
      </c>
      <c r="K2933" s="6">
        <v>2823898</v>
      </c>
      <c r="M2933" s="6">
        <f>SUM(H2933,J2933)</f>
        <v>161540.45144686149</v>
      </c>
      <c r="N2933" s="6">
        <f>K2933</f>
        <v>2823898</v>
      </c>
      <c r="O2933" s="6">
        <f>SUM(M2933:N2933)</f>
        <v>2985438.4514468615</v>
      </c>
      <c r="P2933" s="8">
        <f>VLOOKUP(F2933,'LEAID Match'!$A$2:$B$436,2,FALSE)</f>
        <v>1803810</v>
      </c>
      <c r="Q2933" s="6">
        <f>COUNTIF($P$2:$P$3691,P2933)</f>
        <v>9</v>
      </c>
    </row>
    <row r="2934" spans="1:17" x14ac:dyDescent="0.2">
      <c r="A2934" s="16">
        <f>P2934</f>
        <v>0</v>
      </c>
      <c r="B2934">
        <v>2018</v>
      </c>
      <c r="C2934" t="s">
        <v>904</v>
      </c>
      <c r="D2934" t="s">
        <v>906</v>
      </c>
      <c r="E2934" t="s">
        <v>3840</v>
      </c>
      <c r="F2934" t="s">
        <v>884</v>
      </c>
      <c r="G2934" t="s">
        <v>438</v>
      </c>
      <c r="H2934" s="6">
        <v>0</v>
      </c>
      <c r="I2934" s="6">
        <v>0</v>
      </c>
      <c r="J2934" s="6">
        <v>0</v>
      </c>
      <c r="K2934" s="6">
        <v>23682</v>
      </c>
      <c r="M2934" s="6">
        <f>SUM(H2934,J2934)</f>
        <v>0</v>
      </c>
      <c r="N2934" s="6">
        <f>K2934</f>
        <v>23682</v>
      </c>
      <c r="O2934" s="6">
        <f>SUM(M2934:N2934)</f>
        <v>23682</v>
      </c>
      <c r="P2934" s="8">
        <f>VLOOKUP(F2934,'LEAID Match'!$A$2:$B$436,2,FALSE)</f>
        <v>0</v>
      </c>
      <c r="Q2934" s="6">
        <f>COUNTIF($P$2:$P$3691,P2934)</f>
        <v>371</v>
      </c>
    </row>
    <row r="2935" spans="1:17" x14ac:dyDescent="0.2">
      <c r="A2935" s="16">
        <f>P2935</f>
        <v>0</v>
      </c>
      <c r="B2935">
        <v>2020</v>
      </c>
      <c r="C2935" t="s">
        <v>904</v>
      </c>
      <c r="D2935" t="s">
        <v>906</v>
      </c>
      <c r="E2935" t="s">
        <v>3841</v>
      </c>
      <c r="F2935" t="s">
        <v>884</v>
      </c>
      <c r="G2935" t="s">
        <v>438</v>
      </c>
      <c r="H2935" s="6">
        <v>0</v>
      </c>
      <c r="I2935" s="6">
        <v>0</v>
      </c>
      <c r="J2935" s="6">
        <v>0</v>
      </c>
      <c r="K2935" s="6">
        <v>21268</v>
      </c>
      <c r="M2935" s="6">
        <f>SUM(H2935,J2935)</f>
        <v>0</v>
      </c>
      <c r="N2935" s="6">
        <f>K2935</f>
        <v>21268</v>
      </c>
      <c r="O2935" s="6">
        <f>SUM(M2935:N2935)</f>
        <v>21268</v>
      </c>
      <c r="P2935" s="8">
        <f>VLOOKUP(F2935,'LEAID Match'!$A$2:$B$436,2,FALSE)</f>
        <v>0</v>
      </c>
      <c r="Q2935" s="6">
        <f>COUNTIF($P$2:$P$3691,P2935)</f>
        <v>371</v>
      </c>
    </row>
    <row r="2936" spans="1:17" x14ac:dyDescent="0.2">
      <c r="A2936" s="16">
        <f>P2936</f>
        <v>0</v>
      </c>
      <c r="B2936">
        <v>2021</v>
      </c>
      <c r="C2936" t="s">
        <v>904</v>
      </c>
      <c r="D2936" t="s">
        <v>906</v>
      </c>
      <c r="E2936" t="s">
        <v>3842</v>
      </c>
      <c r="F2936" t="s">
        <v>884</v>
      </c>
      <c r="G2936" t="s">
        <v>438</v>
      </c>
      <c r="H2936" s="6" t="s">
        <v>893</v>
      </c>
      <c r="K2936" s="6">
        <v>27972</v>
      </c>
      <c r="M2936" s="6">
        <f>SUM(H2936,J2936)</f>
        <v>0</v>
      </c>
      <c r="N2936" s="6">
        <f>K2936</f>
        <v>27972</v>
      </c>
      <c r="O2936" s="6">
        <f>SUM(M2936:N2936)</f>
        <v>27972</v>
      </c>
      <c r="P2936" s="8">
        <f>VLOOKUP(F2936,'LEAID Match'!$A$2:$B$436,2,FALSE)</f>
        <v>0</v>
      </c>
      <c r="Q2936" s="6">
        <f>COUNTIF($P$2:$P$3691,P2936)</f>
        <v>371</v>
      </c>
    </row>
    <row r="2937" spans="1:17" x14ac:dyDescent="0.2">
      <c r="A2937" s="16">
        <f>P2937</f>
        <v>0</v>
      </c>
      <c r="B2937">
        <v>2022</v>
      </c>
      <c r="C2937" t="s">
        <v>904</v>
      </c>
      <c r="D2937" t="s">
        <v>906</v>
      </c>
      <c r="E2937" t="s">
        <v>3843</v>
      </c>
      <c r="F2937" t="s">
        <v>884</v>
      </c>
      <c r="G2937" t="s">
        <v>438</v>
      </c>
      <c r="H2937" s="6" t="s">
        <v>893</v>
      </c>
      <c r="K2937" s="6">
        <v>27597</v>
      </c>
      <c r="M2937" s="6">
        <f>SUM(H2937,J2937)</f>
        <v>0</v>
      </c>
      <c r="N2937" s="6">
        <f>K2937</f>
        <v>27597</v>
      </c>
      <c r="O2937" s="6">
        <f>SUM(M2937:N2937)</f>
        <v>27597</v>
      </c>
      <c r="P2937" s="8">
        <f>VLOOKUP(F2937,'LEAID Match'!$A$2:$B$436,2,FALSE)</f>
        <v>0</v>
      </c>
      <c r="Q2937" s="6">
        <f>COUNTIF($P$2:$P$3691,P2937)</f>
        <v>371</v>
      </c>
    </row>
    <row r="2938" spans="1:17" x14ac:dyDescent="0.2">
      <c r="A2938" s="16">
        <f>P2938</f>
        <v>0</v>
      </c>
      <c r="B2938">
        <v>2023</v>
      </c>
      <c r="C2938" t="s">
        <v>904</v>
      </c>
      <c r="D2938" t="s">
        <v>906</v>
      </c>
      <c r="E2938" t="s">
        <v>3844</v>
      </c>
      <c r="F2938" t="s">
        <v>884</v>
      </c>
      <c r="G2938" t="s">
        <v>438</v>
      </c>
      <c r="H2938" s="6" t="s">
        <v>893</v>
      </c>
      <c r="K2938" s="6">
        <v>60137</v>
      </c>
      <c r="M2938" s="6">
        <f>SUM(H2938,J2938)</f>
        <v>0</v>
      </c>
      <c r="N2938" s="6">
        <f>K2938</f>
        <v>60137</v>
      </c>
      <c r="O2938" s="6">
        <f>SUM(M2938:N2938)</f>
        <v>60137</v>
      </c>
      <c r="P2938" s="8">
        <f>VLOOKUP(F2938,'LEAID Match'!$A$2:$B$436,2,FALSE)</f>
        <v>0</v>
      </c>
      <c r="Q2938" s="6">
        <f>COUNTIF($P$2:$P$3691,P2938)</f>
        <v>371</v>
      </c>
    </row>
    <row r="2939" spans="1:17" x14ac:dyDescent="0.2">
      <c r="A2939" s="16">
        <f>P2939</f>
        <v>1810230</v>
      </c>
      <c r="B2939">
        <v>2015</v>
      </c>
      <c r="C2939" t="s">
        <v>904</v>
      </c>
      <c r="D2939" t="s">
        <v>906</v>
      </c>
      <c r="E2939" t="s">
        <v>3845</v>
      </c>
      <c r="F2939" t="s">
        <v>616</v>
      </c>
      <c r="G2939" t="s">
        <v>316</v>
      </c>
      <c r="H2939" s="6">
        <v>233400</v>
      </c>
      <c r="I2939" s="6">
        <v>1.1349558274122175E-3</v>
      </c>
      <c r="J2939" s="6">
        <v>6595.2283130923961</v>
      </c>
      <c r="K2939" s="6">
        <v>959736.80695300899</v>
      </c>
      <c r="M2939" s="6">
        <f>SUM(H2939,J2939)</f>
        <v>239995.2283130924</v>
      </c>
      <c r="N2939" s="6">
        <f>K2939</f>
        <v>959736.80695300899</v>
      </c>
      <c r="O2939" s="6">
        <f>SUM(M2939:N2939)</f>
        <v>1199732.0352661014</v>
      </c>
      <c r="P2939" s="8">
        <f>VLOOKUP(F2939,'LEAID Match'!$A$2:$B$436,2,FALSE)</f>
        <v>1810230</v>
      </c>
      <c r="Q2939" s="6">
        <f>COUNTIF($P$2:$P$3691,P2939)</f>
        <v>9</v>
      </c>
    </row>
    <row r="2940" spans="1:17" x14ac:dyDescent="0.2">
      <c r="A2940" s="16">
        <f>P2940</f>
        <v>1810230</v>
      </c>
      <c r="B2940">
        <v>2016</v>
      </c>
      <c r="C2940" t="s">
        <v>904</v>
      </c>
      <c r="D2940" t="s">
        <v>906</v>
      </c>
      <c r="E2940" t="s">
        <v>3846</v>
      </c>
      <c r="F2940" t="s">
        <v>616</v>
      </c>
      <c r="G2940" t="s">
        <v>316</v>
      </c>
      <c r="H2940" s="6">
        <v>249352</v>
      </c>
      <c r="I2940" s="6">
        <v>1.1570239044789515E-3</v>
      </c>
      <c r="J2940" s="6">
        <v>5840.6566698097467</v>
      </c>
      <c r="K2940" s="6">
        <v>1026858.71522506</v>
      </c>
      <c r="M2940" s="6">
        <f>SUM(H2940,J2940)</f>
        <v>255192.65666980974</v>
      </c>
      <c r="N2940" s="6">
        <f>K2940</f>
        <v>1026858.71522506</v>
      </c>
      <c r="O2940" s="6">
        <f>SUM(M2940:N2940)</f>
        <v>1282051.3718948697</v>
      </c>
      <c r="P2940" s="8">
        <f>VLOOKUP(F2940,'LEAID Match'!$A$2:$B$436,2,FALSE)</f>
        <v>1810230</v>
      </c>
      <c r="Q2940" s="6">
        <f>COUNTIF($P$2:$P$3691,P2940)</f>
        <v>9</v>
      </c>
    </row>
    <row r="2941" spans="1:17" x14ac:dyDescent="0.2">
      <c r="A2941" s="16">
        <f>P2941</f>
        <v>1810230</v>
      </c>
      <c r="B2941">
        <v>2017</v>
      </c>
      <c r="C2941" t="s">
        <v>904</v>
      </c>
      <c r="D2941" t="s">
        <v>906</v>
      </c>
      <c r="E2941" t="s">
        <v>3847</v>
      </c>
      <c r="F2941" t="s">
        <v>616</v>
      </c>
      <c r="G2941" t="s">
        <v>316</v>
      </c>
      <c r="H2941" s="6">
        <v>245038</v>
      </c>
      <c r="I2941" s="6">
        <v>1.0790071427518066E-3</v>
      </c>
      <c r="J2941" s="6">
        <v>4882.5073209519251</v>
      </c>
      <c r="K2941" s="6">
        <v>939815.22133682296</v>
      </c>
      <c r="M2941" s="6">
        <f>SUM(H2941,J2941)</f>
        <v>249920.50732095193</v>
      </c>
      <c r="N2941" s="6">
        <f>K2941</f>
        <v>939815.22133682296</v>
      </c>
      <c r="O2941" s="6">
        <f>SUM(M2941:N2941)</f>
        <v>1189735.7286577749</v>
      </c>
      <c r="P2941" s="8">
        <f>VLOOKUP(F2941,'LEAID Match'!$A$2:$B$436,2,FALSE)</f>
        <v>1810230</v>
      </c>
      <c r="Q2941" s="6">
        <f>COUNTIF($P$2:$P$3691,P2941)</f>
        <v>9</v>
      </c>
    </row>
    <row r="2942" spans="1:17" x14ac:dyDescent="0.2">
      <c r="A2942" s="16">
        <f>P2942</f>
        <v>1810230</v>
      </c>
      <c r="B2942">
        <v>2018</v>
      </c>
      <c r="C2942" t="s">
        <v>904</v>
      </c>
      <c r="D2942" t="s">
        <v>906</v>
      </c>
      <c r="E2942" t="s">
        <v>3848</v>
      </c>
      <c r="F2942" t="s">
        <v>616</v>
      </c>
      <c r="G2942" t="s">
        <v>316</v>
      </c>
      <c r="H2942" s="6">
        <v>229601</v>
      </c>
      <c r="I2942" s="6">
        <v>9.7405258250632767E-4</v>
      </c>
      <c r="J2942" s="6">
        <v>4059.8511638863738</v>
      </c>
      <c r="K2942" s="6">
        <v>926804</v>
      </c>
      <c r="M2942" s="6">
        <f>SUM(H2942,J2942)</f>
        <v>233660.85116388637</v>
      </c>
      <c r="N2942" s="6">
        <f>K2942</f>
        <v>926804</v>
      </c>
      <c r="O2942" s="6">
        <f>SUM(M2942:N2942)</f>
        <v>1160464.8511638865</v>
      </c>
      <c r="P2942" s="8">
        <f>VLOOKUP(F2942,'LEAID Match'!$A$2:$B$436,2,FALSE)</f>
        <v>1810230</v>
      </c>
      <c r="Q2942" s="6">
        <f>COUNTIF($P$2:$P$3691,P2942)</f>
        <v>9</v>
      </c>
    </row>
    <row r="2943" spans="1:17" x14ac:dyDescent="0.2">
      <c r="A2943" s="16">
        <f>P2943</f>
        <v>1810230</v>
      </c>
      <c r="B2943">
        <v>2019</v>
      </c>
      <c r="C2943" t="s">
        <v>904</v>
      </c>
      <c r="D2943" t="s">
        <v>906</v>
      </c>
      <c r="E2943" t="s">
        <v>3849</v>
      </c>
      <c r="F2943" t="s">
        <v>616</v>
      </c>
      <c r="G2943" t="s">
        <v>316</v>
      </c>
      <c r="H2943" s="6">
        <v>221838</v>
      </c>
      <c r="I2943" s="6">
        <v>5.6435466887711308E-4</v>
      </c>
      <c r="J2943" s="6">
        <v>1978.0631144142812</v>
      </c>
      <c r="K2943" s="6">
        <v>532694.37195310695</v>
      </c>
      <c r="M2943" s="6">
        <f>SUM(H2943,J2943)</f>
        <v>223816.06311441428</v>
      </c>
      <c r="N2943" s="6">
        <f>K2943</f>
        <v>532694.37195310695</v>
      </c>
      <c r="O2943" s="6">
        <f>SUM(M2943:N2943)</f>
        <v>756510.43506752118</v>
      </c>
      <c r="P2943" s="8">
        <f>VLOOKUP(F2943,'LEAID Match'!$A$2:$B$436,2,FALSE)</f>
        <v>1810230</v>
      </c>
      <c r="Q2943" s="6">
        <f>COUNTIF($P$2:$P$3691,P2943)</f>
        <v>9</v>
      </c>
    </row>
    <row r="2944" spans="1:17" x14ac:dyDescent="0.2">
      <c r="A2944" s="16">
        <f>P2944</f>
        <v>1810230</v>
      </c>
      <c r="B2944">
        <v>2020</v>
      </c>
      <c r="C2944" t="s">
        <v>904</v>
      </c>
      <c r="D2944" t="s">
        <v>906</v>
      </c>
      <c r="E2944" t="s">
        <v>3850</v>
      </c>
      <c r="F2944" t="s">
        <v>616</v>
      </c>
      <c r="G2944" t="s">
        <v>316</v>
      </c>
      <c r="H2944" s="6">
        <v>181179</v>
      </c>
      <c r="I2944" s="6">
        <v>9.6001456339215468E-4</v>
      </c>
      <c r="J2944" s="6">
        <v>2261.7943113519163</v>
      </c>
      <c r="K2944" s="6">
        <v>1009880</v>
      </c>
      <c r="M2944" s="6">
        <f>SUM(H2944,J2944)</f>
        <v>183440.79431135193</v>
      </c>
      <c r="N2944" s="6">
        <f>K2944</f>
        <v>1009880</v>
      </c>
      <c r="O2944" s="6">
        <f>SUM(M2944:N2944)</f>
        <v>1193320.7943113518</v>
      </c>
      <c r="P2944" s="8">
        <f>VLOOKUP(F2944,'LEAID Match'!$A$2:$B$436,2,FALSE)</f>
        <v>1810230</v>
      </c>
      <c r="Q2944" s="6">
        <f>COUNTIF($P$2:$P$3691,P2944)</f>
        <v>9</v>
      </c>
    </row>
    <row r="2945" spans="1:17" x14ac:dyDescent="0.2">
      <c r="A2945" s="16">
        <f>P2945</f>
        <v>1810230</v>
      </c>
      <c r="B2945">
        <v>2021</v>
      </c>
      <c r="C2945" t="s">
        <v>904</v>
      </c>
      <c r="D2945" t="s">
        <v>906</v>
      </c>
      <c r="E2945" t="s">
        <v>3851</v>
      </c>
      <c r="F2945" t="s">
        <v>616</v>
      </c>
      <c r="G2945" t="s">
        <v>316</v>
      </c>
      <c r="H2945" s="6">
        <v>198166</v>
      </c>
      <c r="I2945" s="6">
        <v>9.7895846922602917E-4</v>
      </c>
      <c r="J2945" s="6">
        <v>2206.5723896354698</v>
      </c>
      <c r="K2945" s="6">
        <v>1679732</v>
      </c>
      <c r="M2945" s="6">
        <f>SUM(H2945,J2945)</f>
        <v>200372.57238963546</v>
      </c>
      <c r="N2945" s="6">
        <f>K2945</f>
        <v>1679732</v>
      </c>
      <c r="O2945" s="6">
        <f>SUM(M2945:N2945)</f>
        <v>1880104.5723896355</v>
      </c>
      <c r="P2945" s="8">
        <f>VLOOKUP(F2945,'LEAID Match'!$A$2:$B$436,2,FALSE)</f>
        <v>1810230</v>
      </c>
      <c r="Q2945" s="6">
        <f>COUNTIF($P$2:$P$3691,P2945)</f>
        <v>9</v>
      </c>
    </row>
    <row r="2946" spans="1:17" x14ac:dyDescent="0.2">
      <c r="A2946" s="16">
        <f>P2946</f>
        <v>1810230</v>
      </c>
      <c r="B2946">
        <v>2022</v>
      </c>
      <c r="C2946" t="s">
        <v>904</v>
      </c>
      <c r="D2946" t="s">
        <v>906</v>
      </c>
      <c r="E2946" t="s">
        <v>3852</v>
      </c>
      <c r="F2946" t="s">
        <v>616</v>
      </c>
      <c r="G2946" t="s">
        <v>316</v>
      </c>
      <c r="H2946" s="6">
        <v>208926</v>
      </c>
      <c r="I2946" s="6">
        <v>9.9201947713433228E-4</v>
      </c>
      <c r="J2946" s="6">
        <v>2187.4029470812025</v>
      </c>
      <c r="K2946" s="6">
        <v>1615062</v>
      </c>
      <c r="M2946" s="6">
        <f>SUM(H2946,J2946)</f>
        <v>211113.40294708119</v>
      </c>
      <c r="N2946" s="6">
        <f>K2946</f>
        <v>1615062</v>
      </c>
      <c r="O2946" s="6">
        <f>SUM(M2946:N2946)</f>
        <v>1826175.4029470813</v>
      </c>
      <c r="P2946" s="8">
        <f>VLOOKUP(F2946,'LEAID Match'!$A$2:$B$436,2,FALSE)</f>
        <v>1810230</v>
      </c>
      <c r="Q2946" s="6">
        <f>COUNTIF($P$2:$P$3691,P2946)</f>
        <v>9</v>
      </c>
    </row>
    <row r="2947" spans="1:17" x14ac:dyDescent="0.2">
      <c r="A2947" s="16">
        <f>P2947</f>
        <v>1810230</v>
      </c>
      <c r="B2947">
        <v>2023</v>
      </c>
      <c r="C2947" t="s">
        <v>904</v>
      </c>
      <c r="D2947" t="s">
        <v>906</v>
      </c>
      <c r="E2947" t="s">
        <v>3853</v>
      </c>
      <c r="F2947" t="s">
        <v>616</v>
      </c>
      <c r="G2947" t="s">
        <v>316</v>
      </c>
      <c r="H2947" s="6">
        <v>232723</v>
      </c>
      <c r="I2947" s="6">
        <v>9.5170919976044985E-4</v>
      </c>
      <c r="J2947" s="6">
        <v>2347.8665958090296</v>
      </c>
      <c r="K2947" s="6">
        <v>4593705</v>
      </c>
      <c r="M2947" s="6">
        <f>SUM(H2947,J2947)</f>
        <v>235070.86659580903</v>
      </c>
      <c r="N2947" s="6">
        <f>K2947</f>
        <v>4593705</v>
      </c>
      <c r="O2947" s="6">
        <f>SUM(M2947:N2947)</f>
        <v>4828775.8665958093</v>
      </c>
      <c r="P2947" s="8">
        <f>VLOOKUP(F2947,'LEAID Match'!$A$2:$B$436,2,FALSE)</f>
        <v>1810230</v>
      </c>
      <c r="Q2947" s="6">
        <f>COUNTIF($P$2:$P$3691,P2947)</f>
        <v>9</v>
      </c>
    </row>
    <row r="2948" spans="1:17" x14ac:dyDescent="0.2">
      <c r="A2948" s="16">
        <f>P2948</f>
        <v>0</v>
      </c>
      <c r="B2948">
        <v>2018</v>
      </c>
      <c r="C2948" t="s">
        <v>904</v>
      </c>
      <c r="D2948" t="s">
        <v>906</v>
      </c>
      <c r="E2948" t="s">
        <v>3854</v>
      </c>
      <c r="F2948" t="s">
        <v>785</v>
      </c>
      <c r="G2948" t="s">
        <v>439</v>
      </c>
      <c r="H2948" s="6">
        <v>0</v>
      </c>
      <c r="I2948" s="6">
        <v>0</v>
      </c>
      <c r="J2948" s="6">
        <v>0</v>
      </c>
      <c r="K2948" s="6">
        <v>28271</v>
      </c>
      <c r="M2948" s="6">
        <f>SUM(H2948,J2948)</f>
        <v>0</v>
      </c>
      <c r="N2948" s="6">
        <f>K2948</f>
        <v>28271</v>
      </c>
      <c r="O2948" s="6">
        <f>SUM(M2948:N2948)</f>
        <v>28271</v>
      </c>
      <c r="P2948" s="8">
        <f>VLOOKUP(F2948,'LEAID Match'!$A$2:$B$436,2,FALSE)</f>
        <v>0</v>
      </c>
      <c r="Q2948" s="6">
        <f>COUNTIF($P$2:$P$3691,P2948)</f>
        <v>371</v>
      </c>
    </row>
    <row r="2949" spans="1:17" x14ac:dyDescent="0.2">
      <c r="A2949" s="16">
        <f>P2949</f>
        <v>0</v>
      </c>
      <c r="B2949">
        <v>2020</v>
      </c>
      <c r="C2949" t="s">
        <v>904</v>
      </c>
      <c r="D2949" t="s">
        <v>906</v>
      </c>
      <c r="E2949" t="s">
        <v>3855</v>
      </c>
      <c r="F2949" t="s">
        <v>785</v>
      </c>
      <c r="G2949" t="s">
        <v>439</v>
      </c>
      <c r="H2949" s="6">
        <v>0</v>
      </c>
      <c r="I2949" s="6">
        <v>0</v>
      </c>
      <c r="J2949" s="6">
        <v>0</v>
      </c>
      <c r="K2949" s="6">
        <v>38554</v>
      </c>
      <c r="M2949" s="6">
        <f>SUM(H2949,J2949)</f>
        <v>0</v>
      </c>
      <c r="N2949" s="6">
        <f>K2949</f>
        <v>38554</v>
      </c>
      <c r="O2949" s="6">
        <f>SUM(M2949:N2949)</f>
        <v>38554</v>
      </c>
      <c r="P2949" s="8">
        <f>VLOOKUP(F2949,'LEAID Match'!$A$2:$B$436,2,FALSE)</f>
        <v>0</v>
      </c>
      <c r="Q2949" s="6">
        <f>COUNTIF($P$2:$P$3691,P2949)</f>
        <v>371</v>
      </c>
    </row>
    <row r="2950" spans="1:17" x14ac:dyDescent="0.2">
      <c r="A2950" s="16">
        <f>P2950</f>
        <v>0</v>
      </c>
      <c r="B2950">
        <v>2021</v>
      </c>
      <c r="C2950" t="s">
        <v>904</v>
      </c>
      <c r="D2950" t="s">
        <v>906</v>
      </c>
      <c r="E2950" t="s">
        <v>3856</v>
      </c>
      <c r="F2950" t="s">
        <v>785</v>
      </c>
      <c r="G2950" t="s">
        <v>439</v>
      </c>
      <c r="H2950" s="6" t="s">
        <v>893</v>
      </c>
      <c r="K2950" s="6">
        <v>74804</v>
      </c>
      <c r="M2950" s="6">
        <f>SUM(H2950,J2950)</f>
        <v>0</v>
      </c>
      <c r="N2950" s="6">
        <f>K2950</f>
        <v>74804</v>
      </c>
      <c r="O2950" s="6">
        <f>SUM(M2950:N2950)</f>
        <v>74804</v>
      </c>
      <c r="P2950" s="8">
        <f>VLOOKUP(F2950,'LEAID Match'!$A$2:$B$436,2,FALSE)</f>
        <v>0</v>
      </c>
      <c r="Q2950" s="6">
        <f>COUNTIF($P$2:$P$3691,P2950)</f>
        <v>371</v>
      </c>
    </row>
    <row r="2951" spans="1:17" x14ac:dyDescent="0.2">
      <c r="A2951" s="16">
        <f>P2951</f>
        <v>0</v>
      </c>
      <c r="B2951">
        <v>2022</v>
      </c>
      <c r="C2951" t="s">
        <v>904</v>
      </c>
      <c r="D2951" t="s">
        <v>906</v>
      </c>
      <c r="E2951" t="s">
        <v>3857</v>
      </c>
      <c r="F2951" t="s">
        <v>785</v>
      </c>
      <c r="G2951" t="s">
        <v>439</v>
      </c>
      <c r="H2951" s="6" t="s">
        <v>893</v>
      </c>
      <c r="K2951" s="6">
        <v>72404</v>
      </c>
      <c r="M2951" s="6">
        <f>SUM(H2951,J2951)</f>
        <v>0</v>
      </c>
      <c r="N2951" s="6">
        <f>K2951</f>
        <v>72404</v>
      </c>
      <c r="O2951" s="6">
        <f>SUM(M2951:N2951)</f>
        <v>72404</v>
      </c>
      <c r="P2951" s="8">
        <f>VLOOKUP(F2951,'LEAID Match'!$A$2:$B$436,2,FALSE)</f>
        <v>0</v>
      </c>
      <c r="Q2951" s="6">
        <f>COUNTIF($P$2:$P$3691,P2951)</f>
        <v>371</v>
      </c>
    </row>
    <row r="2952" spans="1:17" x14ac:dyDescent="0.2">
      <c r="A2952" s="16">
        <f>P2952</f>
        <v>0</v>
      </c>
      <c r="B2952">
        <v>2023</v>
      </c>
      <c r="C2952" t="s">
        <v>904</v>
      </c>
      <c r="D2952" t="s">
        <v>906</v>
      </c>
      <c r="E2952" t="s">
        <v>3858</v>
      </c>
      <c r="F2952" t="s">
        <v>785</v>
      </c>
      <c r="G2952" t="s">
        <v>439</v>
      </c>
      <c r="H2952" s="6" t="s">
        <v>893</v>
      </c>
      <c r="K2952" s="6">
        <v>157542</v>
      </c>
      <c r="M2952" s="6">
        <f>SUM(H2952,J2952)</f>
        <v>0</v>
      </c>
      <c r="N2952" s="6">
        <f>K2952</f>
        <v>157542</v>
      </c>
      <c r="O2952" s="6">
        <f>SUM(M2952:N2952)</f>
        <v>157542</v>
      </c>
      <c r="P2952" s="8">
        <f>VLOOKUP(F2952,'LEAID Match'!$A$2:$B$436,2,FALSE)</f>
        <v>0</v>
      </c>
      <c r="Q2952" s="6">
        <f>COUNTIF($P$2:$P$3691,P2952)</f>
        <v>371</v>
      </c>
    </row>
    <row r="2953" spans="1:17" x14ac:dyDescent="0.2">
      <c r="A2953" s="16">
        <f>P2953</f>
        <v>1802280</v>
      </c>
      <c r="B2953">
        <v>2015</v>
      </c>
      <c r="C2953" t="s">
        <v>904</v>
      </c>
      <c r="D2953" t="s">
        <v>906</v>
      </c>
      <c r="E2953" t="s">
        <v>3859</v>
      </c>
      <c r="F2953" t="s">
        <v>617</v>
      </c>
      <c r="G2953" t="s">
        <v>317</v>
      </c>
      <c r="H2953" s="6">
        <v>540913</v>
      </c>
      <c r="I2953" s="6">
        <v>2.6303014630378097E-3</v>
      </c>
      <c r="J2953" s="6">
        <v>15284.681801712712</v>
      </c>
      <c r="K2953" s="6">
        <v>2224225.0019681798</v>
      </c>
      <c r="M2953" s="6">
        <f>SUM(H2953,J2953)</f>
        <v>556197.68180171272</v>
      </c>
      <c r="N2953" s="6">
        <f>K2953</f>
        <v>2224225.0019681798</v>
      </c>
      <c r="O2953" s="6">
        <f>SUM(M2953:N2953)</f>
        <v>2780422.6837698924</v>
      </c>
      <c r="P2953" s="8">
        <f>VLOOKUP(F2953,'LEAID Match'!$A$2:$B$436,2,FALSE)</f>
        <v>1802280</v>
      </c>
      <c r="Q2953" s="6">
        <f>COUNTIF($P$2:$P$3691,P2953)</f>
        <v>9</v>
      </c>
    </row>
    <row r="2954" spans="1:17" x14ac:dyDescent="0.2">
      <c r="A2954" s="16">
        <f>P2954</f>
        <v>1802280</v>
      </c>
      <c r="B2954">
        <v>2016</v>
      </c>
      <c r="C2954" t="s">
        <v>904</v>
      </c>
      <c r="D2954" t="s">
        <v>906</v>
      </c>
      <c r="E2954" t="s">
        <v>3860</v>
      </c>
      <c r="F2954" t="s">
        <v>617</v>
      </c>
      <c r="G2954" t="s">
        <v>317</v>
      </c>
      <c r="H2954" s="6">
        <v>634549</v>
      </c>
      <c r="I2954" s="6">
        <v>2.9443852929321368E-3</v>
      </c>
      <c r="J2954" s="6">
        <v>14863.256958721426</v>
      </c>
      <c r="K2954" s="6">
        <v>2613141.9474772699</v>
      </c>
      <c r="M2954" s="6">
        <f>SUM(H2954,J2954)</f>
        <v>649412.25695872144</v>
      </c>
      <c r="N2954" s="6">
        <f>K2954</f>
        <v>2613141.9474772699</v>
      </c>
      <c r="O2954" s="6">
        <f>SUM(M2954:N2954)</f>
        <v>3262554.2044359911</v>
      </c>
      <c r="P2954" s="8">
        <f>VLOOKUP(F2954,'LEAID Match'!$A$2:$B$436,2,FALSE)</f>
        <v>1802280</v>
      </c>
      <c r="Q2954" s="6">
        <f>COUNTIF($P$2:$P$3691,P2954)</f>
        <v>9</v>
      </c>
    </row>
    <row r="2955" spans="1:17" x14ac:dyDescent="0.2">
      <c r="A2955" s="16">
        <f>P2955</f>
        <v>1802280</v>
      </c>
      <c r="B2955">
        <v>2017</v>
      </c>
      <c r="C2955" t="s">
        <v>904</v>
      </c>
      <c r="D2955" t="s">
        <v>906</v>
      </c>
      <c r="E2955" t="s">
        <v>3861</v>
      </c>
      <c r="F2955" t="s">
        <v>617</v>
      </c>
      <c r="G2955" t="s">
        <v>317</v>
      </c>
      <c r="H2955" s="6">
        <v>696603</v>
      </c>
      <c r="I2955" s="6">
        <v>3.0674410200145965E-3</v>
      </c>
      <c r="J2955" s="6">
        <v>13880.170615566049</v>
      </c>
      <c r="K2955" s="6">
        <v>2671741.1284327102</v>
      </c>
      <c r="M2955" s="6">
        <f>SUM(H2955,J2955)</f>
        <v>710483.17061556608</v>
      </c>
      <c r="N2955" s="6">
        <f>K2955</f>
        <v>2671741.1284327102</v>
      </c>
      <c r="O2955" s="6">
        <f>SUM(M2955:N2955)</f>
        <v>3382224.2990482762</v>
      </c>
      <c r="P2955" s="8">
        <f>VLOOKUP(F2955,'LEAID Match'!$A$2:$B$436,2,FALSE)</f>
        <v>1802280</v>
      </c>
      <c r="Q2955" s="6">
        <f>COUNTIF($P$2:$P$3691,P2955)</f>
        <v>9</v>
      </c>
    </row>
    <row r="2956" spans="1:17" x14ac:dyDescent="0.2">
      <c r="A2956" s="16">
        <f>P2956</f>
        <v>1802280</v>
      </c>
      <c r="B2956">
        <v>2018</v>
      </c>
      <c r="C2956" t="s">
        <v>904</v>
      </c>
      <c r="D2956" t="s">
        <v>906</v>
      </c>
      <c r="E2956" t="s">
        <v>3862</v>
      </c>
      <c r="F2956" t="s">
        <v>617</v>
      </c>
      <c r="G2956" t="s">
        <v>317</v>
      </c>
      <c r="H2956" s="6">
        <v>704975</v>
      </c>
      <c r="I2956" s="6">
        <v>2.9907653684104092E-3</v>
      </c>
      <c r="J2956" s="6">
        <v>12465.510055534585</v>
      </c>
      <c r="K2956" s="6">
        <v>1984408</v>
      </c>
      <c r="M2956" s="6">
        <f>SUM(H2956,J2956)</f>
        <v>717440.51005553454</v>
      </c>
      <c r="N2956" s="6">
        <f>K2956</f>
        <v>1984408</v>
      </c>
      <c r="O2956" s="6">
        <f>SUM(M2956:N2956)</f>
        <v>2701848.5100555345</v>
      </c>
      <c r="P2956" s="8">
        <f>VLOOKUP(F2956,'LEAID Match'!$A$2:$B$436,2,FALSE)</f>
        <v>1802280</v>
      </c>
      <c r="Q2956" s="6">
        <f>COUNTIF($P$2:$P$3691,P2956)</f>
        <v>9</v>
      </c>
    </row>
    <row r="2957" spans="1:17" x14ac:dyDescent="0.2">
      <c r="A2957" s="16">
        <f>P2957</f>
        <v>1802280</v>
      </c>
      <c r="B2957">
        <v>2019</v>
      </c>
      <c r="C2957" t="s">
        <v>904</v>
      </c>
      <c r="D2957" t="s">
        <v>906</v>
      </c>
      <c r="E2957" t="s">
        <v>3863</v>
      </c>
      <c r="F2957" t="s">
        <v>617</v>
      </c>
      <c r="G2957" t="s">
        <v>317</v>
      </c>
      <c r="H2957" s="6">
        <v>721953</v>
      </c>
      <c r="I2957" s="6">
        <v>1.8366445165383675E-3</v>
      </c>
      <c r="J2957" s="6">
        <v>6437.4390304669778</v>
      </c>
      <c r="K2957" s="6">
        <v>1733608.7591605601</v>
      </c>
      <c r="M2957" s="6">
        <f>SUM(H2957,J2957)</f>
        <v>728390.43903046695</v>
      </c>
      <c r="N2957" s="6">
        <f>K2957</f>
        <v>1733608.7591605601</v>
      </c>
      <c r="O2957" s="6">
        <f>SUM(M2957:N2957)</f>
        <v>2461999.1981910272</v>
      </c>
      <c r="P2957" s="8">
        <f>VLOOKUP(F2957,'LEAID Match'!$A$2:$B$436,2,FALSE)</f>
        <v>1802280</v>
      </c>
      <c r="Q2957" s="6">
        <f>COUNTIF($P$2:$P$3691,P2957)</f>
        <v>9</v>
      </c>
    </row>
    <row r="2958" spans="1:17" x14ac:dyDescent="0.2">
      <c r="A2958" s="16">
        <f>P2958</f>
        <v>1802280</v>
      </c>
      <c r="B2958">
        <v>2020</v>
      </c>
      <c r="C2958" t="s">
        <v>904</v>
      </c>
      <c r="D2958" t="s">
        <v>906</v>
      </c>
      <c r="E2958" t="s">
        <v>3864</v>
      </c>
      <c r="F2958" t="s">
        <v>617</v>
      </c>
      <c r="G2958" t="s">
        <v>317</v>
      </c>
      <c r="H2958" s="6">
        <v>571202</v>
      </c>
      <c r="I2958" s="6">
        <v>3.026632438851774E-3</v>
      </c>
      <c r="J2958" s="6">
        <v>7130.746025934779</v>
      </c>
      <c r="K2958" s="6">
        <v>2203499</v>
      </c>
      <c r="M2958" s="6">
        <f>SUM(H2958,J2958)</f>
        <v>578332.74602593482</v>
      </c>
      <c r="N2958" s="6">
        <f>K2958</f>
        <v>2203499</v>
      </c>
      <c r="O2958" s="6">
        <f>SUM(M2958:N2958)</f>
        <v>2781831.7460259348</v>
      </c>
      <c r="P2958" s="8">
        <f>VLOOKUP(F2958,'LEAID Match'!$A$2:$B$436,2,FALSE)</f>
        <v>1802280</v>
      </c>
      <c r="Q2958" s="6">
        <f>COUNTIF($P$2:$P$3691,P2958)</f>
        <v>9</v>
      </c>
    </row>
    <row r="2959" spans="1:17" x14ac:dyDescent="0.2">
      <c r="A2959" s="16">
        <f>P2959</f>
        <v>1802280</v>
      </c>
      <c r="B2959">
        <v>2021</v>
      </c>
      <c r="C2959" t="s">
        <v>904</v>
      </c>
      <c r="D2959" t="s">
        <v>906</v>
      </c>
      <c r="E2959" t="s">
        <v>3865</v>
      </c>
      <c r="F2959" t="s">
        <v>617</v>
      </c>
      <c r="G2959" t="s">
        <v>317</v>
      </c>
      <c r="H2959" s="6">
        <v>593106</v>
      </c>
      <c r="I2959" s="6">
        <v>2.9299987982235763E-3</v>
      </c>
      <c r="J2959" s="6">
        <v>6604.2172911959406</v>
      </c>
      <c r="K2959" s="6">
        <v>3871584</v>
      </c>
      <c r="M2959" s="6">
        <f>SUM(H2959,J2959)</f>
        <v>599710.21729119599</v>
      </c>
      <c r="N2959" s="6">
        <f>K2959</f>
        <v>3871584</v>
      </c>
      <c r="O2959" s="6">
        <f>SUM(M2959:N2959)</f>
        <v>4471294.2172911959</v>
      </c>
      <c r="P2959" s="8">
        <f>VLOOKUP(F2959,'LEAID Match'!$A$2:$B$436,2,FALSE)</f>
        <v>1802280</v>
      </c>
      <c r="Q2959" s="6">
        <f>COUNTIF($P$2:$P$3691,P2959)</f>
        <v>9</v>
      </c>
    </row>
    <row r="2960" spans="1:17" x14ac:dyDescent="0.2">
      <c r="A2960" s="16">
        <f>P2960</f>
        <v>1802280</v>
      </c>
      <c r="B2960">
        <v>2022</v>
      </c>
      <c r="C2960" t="s">
        <v>904</v>
      </c>
      <c r="D2960" t="s">
        <v>906</v>
      </c>
      <c r="E2960" t="s">
        <v>3866</v>
      </c>
      <c r="F2960" t="s">
        <v>617</v>
      </c>
      <c r="G2960" t="s">
        <v>317</v>
      </c>
      <c r="H2960" s="6">
        <v>624427</v>
      </c>
      <c r="I2960" s="6">
        <v>2.9648954464669775E-3</v>
      </c>
      <c r="J2960" s="6">
        <v>6537.5944594596849</v>
      </c>
      <c r="K2960" s="6">
        <v>3676178</v>
      </c>
      <c r="M2960" s="6">
        <f>SUM(H2960,J2960)</f>
        <v>630964.59445945965</v>
      </c>
      <c r="N2960" s="6">
        <f>K2960</f>
        <v>3676178</v>
      </c>
      <c r="O2960" s="6">
        <f>SUM(M2960:N2960)</f>
        <v>4307142.5944594592</v>
      </c>
      <c r="P2960" s="8">
        <f>VLOOKUP(F2960,'LEAID Match'!$A$2:$B$436,2,FALSE)</f>
        <v>1802280</v>
      </c>
      <c r="Q2960" s="6">
        <f>COUNTIF($P$2:$P$3691,P2960)</f>
        <v>9</v>
      </c>
    </row>
    <row r="2961" spans="1:17" x14ac:dyDescent="0.2">
      <c r="A2961" s="16">
        <f>P2961</f>
        <v>1802280</v>
      </c>
      <c r="B2961">
        <v>2023</v>
      </c>
      <c r="C2961" t="s">
        <v>904</v>
      </c>
      <c r="D2961" t="s">
        <v>906</v>
      </c>
      <c r="E2961" t="s">
        <v>3867</v>
      </c>
      <c r="F2961" t="s">
        <v>617</v>
      </c>
      <c r="G2961" t="s">
        <v>317</v>
      </c>
      <c r="H2961" s="6">
        <v>723571</v>
      </c>
      <c r="I2961" s="6">
        <v>2.9590078220883558E-3</v>
      </c>
      <c r="J2961" s="6">
        <v>7299.8722970919735</v>
      </c>
      <c r="K2961" s="6">
        <v>12553387</v>
      </c>
      <c r="M2961" s="6">
        <f>SUM(H2961,J2961)</f>
        <v>730870.87229709199</v>
      </c>
      <c r="N2961" s="6">
        <f>K2961</f>
        <v>12553387</v>
      </c>
      <c r="O2961" s="6">
        <f>SUM(M2961:N2961)</f>
        <v>13284257.872297091</v>
      </c>
      <c r="P2961" s="8">
        <f>VLOOKUP(F2961,'LEAID Match'!$A$2:$B$436,2,FALSE)</f>
        <v>1802280</v>
      </c>
      <c r="Q2961" s="6">
        <f>COUNTIF($P$2:$P$3691,P2961)</f>
        <v>9</v>
      </c>
    </row>
    <row r="2962" spans="1:17" x14ac:dyDescent="0.2">
      <c r="A2962" s="16">
        <f>P2962</f>
        <v>0</v>
      </c>
      <c r="B2962">
        <v>2018</v>
      </c>
      <c r="C2962" t="s">
        <v>904</v>
      </c>
      <c r="D2962" t="s">
        <v>906</v>
      </c>
      <c r="E2962" t="s">
        <v>3868</v>
      </c>
      <c r="F2962" t="s">
        <v>885</v>
      </c>
      <c r="G2962" t="s">
        <v>440</v>
      </c>
      <c r="H2962" s="6">
        <v>0</v>
      </c>
      <c r="I2962" s="6">
        <v>0</v>
      </c>
      <c r="J2962" s="6">
        <v>0</v>
      </c>
      <c r="K2962" s="6">
        <v>54615</v>
      </c>
      <c r="M2962" s="6">
        <f>SUM(H2962,J2962)</f>
        <v>0</v>
      </c>
      <c r="N2962" s="6">
        <f>K2962</f>
        <v>54615</v>
      </c>
      <c r="O2962" s="6">
        <f>SUM(M2962:N2962)</f>
        <v>54615</v>
      </c>
      <c r="P2962" s="8">
        <f>VLOOKUP(F2962,'LEAID Match'!$A$2:$B$436,2,FALSE)</f>
        <v>0</v>
      </c>
      <c r="Q2962" s="6">
        <f>COUNTIF($P$2:$P$3691,P2962)</f>
        <v>371</v>
      </c>
    </row>
    <row r="2963" spans="1:17" x14ac:dyDescent="0.2">
      <c r="A2963" s="16">
        <f>P2963</f>
        <v>0</v>
      </c>
      <c r="B2963">
        <v>2020</v>
      </c>
      <c r="C2963" t="s">
        <v>904</v>
      </c>
      <c r="D2963" t="s">
        <v>906</v>
      </c>
      <c r="E2963" t="s">
        <v>3869</v>
      </c>
      <c r="F2963" t="s">
        <v>885</v>
      </c>
      <c r="G2963" t="s">
        <v>440</v>
      </c>
      <c r="H2963" s="6">
        <v>0</v>
      </c>
      <c r="I2963" s="6">
        <v>0</v>
      </c>
      <c r="J2963" s="6">
        <v>0</v>
      </c>
      <c r="K2963" s="6">
        <v>80604</v>
      </c>
      <c r="M2963" s="6">
        <f>SUM(H2963,J2963)</f>
        <v>0</v>
      </c>
      <c r="N2963" s="6">
        <f>K2963</f>
        <v>80604</v>
      </c>
      <c r="O2963" s="6">
        <f>SUM(M2963:N2963)</f>
        <v>80604</v>
      </c>
      <c r="P2963" s="8">
        <f>VLOOKUP(F2963,'LEAID Match'!$A$2:$B$436,2,FALSE)</f>
        <v>0</v>
      </c>
      <c r="Q2963" s="6">
        <f>COUNTIF($P$2:$P$3691,P2963)</f>
        <v>371</v>
      </c>
    </row>
    <row r="2964" spans="1:17" x14ac:dyDescent="0.2">
      <c r="A2964" s="16">
        <f>P2964</f>
        <v>0</v>
      </c>
      <c r="B2964">
        <v>2021</v>
      </c>
      <c r="C2964" t="s">
        <v>904</v>
      </c>
      <c r="D2964" t="s">
        <v>906</v>
      </c>
      <c r="E2964" t="s">
        <v>3870</v>
      </c>
      <c r="F2964" t="s">
        <v>885</v>
      </c>
      <c r="G2964" t="s">
        <v>440</v>
      </c>
      <c r="H2964" s="6" t="s">
        <v>893</v>
      </c>
      <c r="K2964" s="6">
        <v>125632</v>
      </c>
      <c r="M2964" s="6">
        <f>SUM(H2964,J2964)</f>
        <v>0</v>
      </c>
      <c r="N2964" s="6">
        <f>K2964</f>
        <v>125632</v>
      </c>
      <c r="O2964" s="6">
        <f>SUM(M2964:N2964)</f>
        <v>125632</v>
      </c>
      <c r="P2964" s="8">
        <f>VLOOKUP(F2964,'LEAID Match'!$A$2:$B$436,2,FALSE)</f>
        <v>0</v>
      </c>
      <c r="Q2964" s="6">
        <f>COUNTIF($P$2:$P$3691,P2964)</f>
        <v>371</v>
      </c>
    </row>
    <row r="2965" spans="1:17" x14ac:dyDescent="0.2">
      <c r="A2965" s="16">
        <f>P2965</f>
        <v>0</v>
      </c>
      <c r="B2965">
        <v>2022</v>
      </c>
      <c r="C2965" t="s">
        <v>904</v>
      </c>
      <c r="D2965" t="s">
        <v>906</v>
      </c>
      <c r="E2965" t="s">
        <v>3871</v>
      </c>
      <c r="F2965" t="s">
        <v>885</v>
      </c>
      <c r="G2965" t="s">
        <v>440</v>
      </c>
      <c r="H2965" s="6" t="s">
        <v>893</v>
      </c>
      <c r="K2965" s="6">
        <v>123878</v>
      </c>
      <c r="M2965" s="6">
        <f>SUM(H2965,J2965)</f>
        <v>0</v>
      </c>
      <c r="N2965" s="6">
        <f>K2965</f>
        <v>123878</v>
      </c>
      <c r="O2965" s="6">
        <f>SUM(M2965:N2965)</f>
        <v>123878</v>
      </c>
      <c r="P2965" s="8">
        <f>VLOOKUP(F2965,'LEAID Match'!$A$2:$B$436,2,FALSE)</f>
        <v>0</v>
      </c>
      <c r="Q2965" s="6">
        <f>COUNTIF($P$2:$P$3691,P2965)</f>
        <v>371</v>
      </c>
    </row>
    <row r="2966" spans="1:17" x14ac:dyDescent="0.2">
      <c r="A2966" s="16">
        <f>P2966</f>
        <v>0</v>
      </c>
      <c r="B2966">
        <v>2023</v>
      </c>
      <c r="C2966" t="s">
        <v>904</v>
      </c>
      <c r="D2966" t="s">
        <v>906</v>
      </c>
      <c r="E2966" t="s">
        <v>3872</v>
      </c>
      <c r="F2966" t="s">
        <v>885</v>
      </c>
      <c r="G2966" t="s">
        <v>440</v>
      </c>
      <c r="H2966" s="6" t="s">
        <v>893</v>
      </c>
      <c r="K2966" s="6">
        <v>250712</v>
      </c>
      <c r="M2966" s="6">
        <f>SUM(H2966,J2966)</f>
        <v>0</v>
      </c>
      <c r="N2966" s="6">
        <f>K2966</f>
        <v>250712</v>
      </c>
      <c r="O2966" s="6">
        <f>SUM(M2966:N2966)</f>
        <v>250712</v>
      </c>
      <c r="P2966" s="8">
        <f>VLOOKUP(F2966,'LEAID Match'!$A$2:$B$436,2,FALSE)</f>
        <v>0</v>
      </c>
      <c r="Q2966" s="6">
        <f>COUNTIF($P$2:$P$3691,P2966)</f>
        <v>371</v>
      </c>
    </row>
    <row r="2967" spans="1:17" x14ac:dyDescent="0.2">
      <c r="A2967" s="16">
        <f>P2967</f>
        <v>1800011</v>
      </c>
      <c r="B2967">
        <v>2015</v>
      </c>
      <c r="C2967" t="s">
        <v>904</v>
      </c>
      <c r="D2967" t="s">
        <v>906</v>
      </c>
      <c r="E2967" t="s">
        <v>3873</v>
      </c>
      <c r="F2967" t="s">
        <v>786</v>
      </c>
      <c r="G2967" t="s">
        <v>318</v>
      </c>
      <c r="H2967" s="6">
        <v>45489</v>
      </c>
      <c r="I2967" s="6">
        <v>2.211996813759827E-4</v>
      </c>
      <c r="J2967" s="6">
        <v>1285.3913484758355</v>
      </c>
      <c r="K2967" s="6">
        <v>187049.98976643299</v>
      </c>
      <c r="M2967" s="6">
        <f>SUM(H2967,J2967)</f>
        <v>46774.391348475838</v>
      </c>
      <c r="N2967" s="6">
        <f>K2967</f>
        <v>187049.98976643299</v>
      </c>
      <c r="O2967" s="6">
        <f>SUM(M2967:N2967)</f>
        <v>233824.38111490884</v>
      </c>
      <c r="P2967" s="8">
        <f>VLOOKUP(F2967,'LEAID Match'!$A$2:$B$436,2,FALSE)</f>
        <v>1800011</v>
      </c>
      <c r="Q2967" s="6">
        <f>COUNTIF($P$2:$P$3691,P2967)</f>
        <v>9</v>
      </c>
    </row>
    <row r="2968" spans="1:17" x14ac:dyDescent="0.2">
      <c r="A2968" s="16">
        <f>P2968</f>
        <v>1800011</v>
      </c>
      <c r="B2968">
        <v>2016</v>
      </c>
      <c r="C2968" t="s">
        <v>904</v>
      </c>
      <c r="D2968" t="s">
        <v>906</v>
      </c>
      <c r="E2968" t="s">
        <v>3874</v>
      </c>
      <c r="F2968" t="s">
        <v>786</v>
      </c>
      <c r="G2968" t="s">
        <v>318</v>
      </c>
      <c r="H2968" s="6">
        <v>42830</v>
      </c>
      <c r="I2968" s="6">
        <v>1.9873646022022478E-4</v>
      </c>
      <c r="J2968" s="6">
        <v>1003.2216511916947</v>
      </c>
      <c r="K2968" s="6">
        <v>176378.608445449</v>
      </c>
      <c r="M2968" s="6">
        <f>SUM(H2968,J2968)</f>
        <v>43833.221651191692</v>
      </c>
      <c r="N2968" s="6">
        <f>K2968</f>
        <v>176378.608445449</v>
      </c>
      <c r="O2968" s="6">
        <f>SUM(M2968:N2968)</f>
        <v>220211.83009664068</v>
      </c>
      <c r="P2968" s="8">
        <f>VLOOKUP(F2968,'LEAID Match'!$A$2:$B$436,2,FALSE)</f>
        <v>1800011</v>
      </c>
      <c r="Q2968" s="6">
        <f>COUNTIF($P$2:$P$3691,P2968)</f>
        <v>9</v>
      </c>
    </row>
    <row r="2969" spans="1:17" x14ac:dyDescent="0.2">
      <c r="A2969" s="16">
        <f>P2969</f>
        <v>1800011</v>
      </c>
      <c r="B2969">
        <v>2017</v>
      </c>
      <c r="C2969" t="s">
        <v>904</v>
      </c>
      <c r="D2969" t="s">
        <v>906</v>
      </c>
      <c r="E2969" t="s">
        <v>3875</v>
      </c>
      <c r="F2969" t="s">
        <v>786</v>
      </c>
      <c r="G2969" t="s">
        <v>318</v>
      </c>
      <c r="H2969" s="6">
        <v>52475</v>
      </c>
      <c r="I2969" s="6">
        <v>2.31069874125242E-4</v>
      </c>
      <c r="J2969" s="6">
        <v>1045.5911804167201</v>
      </c>
      <c r="K2969" s="6">
        <v>201261.860363085</v>
      </c>
      <c r="M2969" s="6">
        <f>SUM(H2969,J2969)</f>
        <v>53520.591180416719</v>
      </c>
      <c r="N2969" s="6">
        <f>K2969</f>
        <v>201261.860363085</v>
      </c>
      <c r="O2969" s="6">
        <f>SUM(M2969:N2969)</f>
        <v>254782.45154350172</v>
      </c>
      <c r="P2969" s="8">
        <f>VLOOKUP(F2969,'LEAID Match'!$A$2:$B$436,2,FALSE)</f>
        <v>1800011</v>
      </c>
      <c r="Q2969" s="6">
        <f>COUNTIF($P$2:$P$3691,P2969)</f>
        <v>9</v>
      </c>
    </row>
    <row r="2970" spans="1:17" x14ac:dyDescent="0.2">
      <c r="A2970" s="16">
        <f>P2970</f>
        <v>1800011</v>
      </c>
      <c r="B2970">
        <v>2018</v>
      </c>
      <c r="C2970" t="s">
        <v>904</v>
      </c>
      <c r="D2970" t="s">
        <v>906</v>
      </c>
      <c r="E2970" t="s">
        <v>3876</v>
      </c>
      <c r="F2970" t="s">
        <v>786</v>
      </c>
      <c r="G2970" t="s">
        <v>318</v>
      </c>
      <c r="H2970" s="6">
        <v>51056</v>
      </c>
      <c r="I2970" s="6">
        <v>2.1659848455556841E-4</v>
      </c>
      <c r="J2970" s="6">
        <v>902.78248362760917</v>
      </c>
      <c r="K2970" s="6">
        <v>2111</v>
      </c>
      <c r="M2970" s="6">
        <f>SUM(H2970,J2970)</f>
        <v>51958.782483627612</v>
      </c>
      <c r="N2970" s="6">
        <f>K2970</f>
        <v>2111</v>
      </c>
      <c r="O2970" s="6">
        <f>SUM(M2970:N2970)</f>
        <v>54069.782483627612</v>
      </c>
      <c r="P2970" s="8">
        <f>VLOOKUP(F2970,'LEAID Match'!$A$2:$B$436,2,FALSE)</f>
        <v>1800011</v>
      </c>
      <c r="Q2970" s="6">
        <f>COUNTIF($P$2:$P$3691,P2970)</f>
        <v>9</v>
      </c>
    </row>
    <row r="2971" spans="1:17" x14ac:dyDescent="0.2">
      <c r="A2971" s="16">
        <f>P2971</f>
        <v>1800011</v>
      </c>
      <c r="B2971">
        <v>2019</v>
      </c>
      <c r="C2971" t="s">
        <v>904</v>
      </c>
      <c r="D2971" t="s">
        <v>906</v>
      </c>
      <c r="E2971" t="s">
        <v>3877</v>
      </c>
      <c r="F2971" t="s">
        <v>786</v>
      </c>
      <c r="G2971" t="s">
        <v>318</v>
      </c>
      <c r="H2971" s="6">
        <v>48310</v>
      </c>
      <c r="I2971" s="6">
        <v>1.2290037799409176E-4</v>
      </c>
      <c r="J2971" s="6">
        <v>430.76582486929163</v>
      </c>
      <c r="K2971" s="6">
        <v>116005.666788623</v>
      </c>
      <c r="M2971" s="6">
        <f>SUM(H2971,J2971)</f>
        <v>48740.76582486929</v>
      </c>
      <c r="N2971" s="6">
        <f>K2971</f>
        <v>116005.666788623</v>
      </c>
      <c r="O2971" s="6">
        <f>SUM(M2971:N2971)</f>
        <v>164746.4326134923</v>
      </c>
      <c r="P2971" s="8">
        <f>VLOOKUP(F2971,'LEAID Match'!$A$2:$B$436,2,FALSE)</f>
        <v>1800011</v>
      </c>
      <c r="Q2971" s="6">
        <f>COUNTIF($P$2:$P$3691,P2971)</f>
        <v>9</v>
      </c>
    </row>
    <row r="2972" spans="1:17" x14ac:dyDescent="0.2">
      <c r="A2972" s="16">
        <f>P2972</f>
        <v>1800011</v>
      </c>
      <c r="B2972">
        <v>2020</v>
      </c>
      <c r="C2972" t="s">
        <v>904</v>
      </c>
      <c r="D2972" t="s">
        <v>906</v>
      </c>
      <c r="E2972" t="s">
        <v>3878</v>
      </c>
      <c r="F2972" t="s">
        <v>786</v>
      </c>
      <c r="G2972" t="s">
        <v>318</v>
      </c>
      <c r="H2972" s="6">
        <v>36492</v>
      </c>
      <c r="I2972" s="6">
        <v>1.9336044159260461E-4</v>
      </c>
      <c r="J2972" s="6">
        <v>455.55720039217647</v>
      </c>
      <c r="K2972" s="6">
        <v>0</v>
      </c>
      <c r="M2972" s="6">
        <f>SUM(H2972,J2972)</f>
        <v>36947.557200392177</v>
      </c>
      <c r="N2972" s="6">
        <f>K2972</f>
        <v>0</v>
      </c>
      <c r="O2972" s="6">
        <f>SUM(M2972:N2972)</f>
        <v>36947.557200392177</v>
      </c>
      <c r="P2972" s="8">
        <f>VLOOKUP(F2972,'LEAID Match'!$A$2:$B$436,2,FALSE)</f>
        <v>1800011</v>
      </c>
      <c r="Q2972" s="6">
        <f>COUNTIF($P$2:$P$3691,P2972)</f>
        <v>9</v>
      </c>
    </row>
    <row r="2973" spans="1:17" x14ac:dyDescent="0.2">
      <c r="A2973" s="16">
        <f>P2973</f>
        <v>1800011</v>
      </c>
      <c r="B2973">
        <v>2021</v>
      </c>
      <c r="C2973" t="s">
        <v>904</v>
      </c>
      <c r="D2973" t="s">
        <v>906</v>
      </c>
      <c r="E2973" t="s">
        <v>3879</v>
      </c>
      <c r="F2973" t="s">
        <v>786</v>
      </c>
      <c r="G2973" t="s">
        <v>318</v>
      </c>
      <c r="H2973" s="6">
        <v>38665</v>
      </c>
      <c r="I2973" s="6">
        <v>1.9100869580364145E-4</v>
      </c>
      <c r="J2973" s="6">
        <v>430.53360034140786</v>
      </c>
      <c r="K2973" s="6">
        <v>0</v>
      </c>
      <c r="M2973" s="6">
        <f>SUM(H2973,J2973)</f>
        <v>39095.533600341405</v>
      </c>
      <c r="N2973" s="6">
        <f>K2973</f>
        <v>0</v>
      </c>
      <c r="O2973" s="6">
        <f>SUM(M2973:N2973)</f>
        <v>39095.533600341405</v>
      </c>
      <c r="P2973" s="8">
        <f>VLOOKUP(F2973,'LEAID Match'!$A$2:$B$436,2,FALSE)</f>
        <v>1800011</v>
      </c>
      <c r="Q2973" s="6">
        <f>COUNTIF($P$2:$P$3691,P2973)</f>
        <v>9</v>
      </c>
    </row>
    <row r="2974" spans="1:17" x14ac:dyDescent="0.2">
      <c r="A2974" s="16">
        <f>P2974</f>
        <v>1800011</v>
      </c>
      <c r="B2974">
        <v>2022</v>
      </c>
      <c r="C2974" t="s">
        <v>904</v>
      </c>
      <c r="D2974" t="s">
        <v>906</v>
      </c>
      <c r="E2974" t="s">
        <v>3880</v>
      </c>
      <c r="F2974" t="s">
        <v>786</v>
      </c>
      <c r="G2974" t="s">
        <v>318</v>
      </c>
      <c r="H2974" s="6">
        <v>50107</v>
      </c>
      <c r="I2974" s="6">
        <v>2.3791734844284574E-4</v>
      </c>
      <c r="J2974" s="6">
        <v>524.60775331647483</v>
      </c>
      <c r="K2974" s="6">
        <v>0</v>
      </c>
      <c r="M2974" s="6">
        <f>SUM(H2974,J2974)</f>
        <v>50631.607753316472</v>
      </c>
      <c r="N2974" s="6">
        <f>K2974</f>
        <v>0</v>
      </c>
      <c r="O2974" s="6">
        <f>SUM(M2974:N2974)</f>
        <v>50631.607753316472</v>
      </c>
      <c r="P2974" s="8">
        <f>VLOOKUP(F2974,'LEAID Match'!$A$2:$B$436,2,FALSE)</f>
        <v>1800011</v>
      </c>
      <c r="Q2974" s="6">
        <f>COUNTIF($P$2:$P$3691,P2974)</f>
        <v>9</v>
      </c>
    </row>
    <row r="2975" spans="1:17" x14ac:dyDescent="0.2">
      <c r="A2975" s="16">
        <f>P2975</f>
        <v>1800011</v>
      </c>
      <c r="B2975">
        <v>2023</v>
      </c>
      <c r="C2975" t="s">
        <v>904</v>
      </c>
      <c r="D2975" t="s">
        <v>906</v>
      </c>
      <c r="E2975" t="s">
        <v>3881</v>
      </c>
      <c r="F2975" t="s">
        <v>786</v>
      </c>
      <c r="G2975" t="s">
        <v>318</v>
      </c>
      <c r="H2975" s="6">
        <v>56459</v>
      </c>
      <c r="I2975" s="6">
        <v>2.3088628845999422E-4</v>
      </c>
      <c r="J2975" s="6">
        <v>569.5964736308058</v>
      </c>
      <c r="K2975" s="6">
        <v>0</v>
      </c>
      <c r="M2975" s="6">
        <f>SUM(H2975,J2975)</f>
        <v>57028.596473630809</v>
      </c>
      <c r="N2975" s="6">
        <f>K2975</f>
        <v>0</v>
      </c>
      <c r="O2975" s="6">
        <f>SUM(M2975:N2975)</f>
        <v>57028.596473630809</v>
      </c>
      <c r="P2975" s="8">
        <f>VLOOKUP(F2975,'LEAID Match'!$A$2:$B$436,2,FALSE)</f>
        <v>1800011</v>
      </c>
      <c r="Q2975" s="6">
        <f>COUNTIF($P$2:$P$3691,P2975)</f>
        <v>9</v>
      </c>
    </row>
    <row r="2976" spans="1:17" x14ac:dyDescent="0.2">
      <c r="A2976" s="16">
        <f>P2976</f>
        <v>1800018</v>
      </c>
      <c r="B2976">
        <v>2015</v>
      </c>
      <c r="C2976" t="s">
        <v>904</v>
      </c>
      <c r="D2976" t="s">
        <v>906</v>
      </c>
      <c r="E2976" t="s">
        <v>3882</v>
      </c>
      <c r="F2976" t="s">
        <v>787</v>
      </c>
      <c r="G2976" t="s">
        <v>319</v>
      </c>
      <c r="H2976" s="6">
        <v>168089</v>
      </c>
      <c r="I2976" s="6">
        <v>8.1736756672618784E-4</v>
      </c>
      <c r="J2976" s="6">
        <v>4749.7229302458773</v>
      </c>
      <c r="K2976" s="6">
        <v>691179.09230473195</v>
      </c>
      <c r="M2976" s="6">
        <f>SUM(H2976,J2976)</f>
        <v>172838.72293024589</v>
      </c>
      <c r="N2976" s="6">
        <f>K2976</f>
        <v>691179.09230473195</v>
      </c>
      <c r="O2976" s="6">
        <f>SUM(M2976:N2976)</f>
        <v>864017.81523497787</v>
      </c>
      <c r="P2976" s="8">
        <f>VLOOKUP(F2976,'LEAID Match'!$A$2:$B$436,2,FALSE)</f>
        <v>1800018</v>
      </c>
      <c r="Q2976" s="6">
        <f>COUNTIF($P$2:$P$3691,P2976)</f>
        <v>9</v>
      </c>
    </row>
    <row r="2977" spans="1:17" x14ac:dyDescent="0.2">
      <c r="A2977" s="16">
        <f>P2977</f>
        <v>1800018</v>
      </c>
      <c r="B2977">
        <v>2016</v>
      </c>
      <c r="C2977" t="s">
        <v>904</v>
      </c>
      <c r="D2977" t="s">
        <v>906</v>
      </c>
      <c r="E2977" t="s">
        <v>3883</v>
      </c>
      <c r="F2977" t="s">
        <v>787</v>
      </c>
      <c r="G2977" t="s">
        <v>319</v>
      </c>
      <c r="H2977" s="6">
        <v>170579</v>
      </c>
      <c r="I2977" s="6">
        <v>7.9150750987405378E-4</v>
      </c>
      <c r="J2977" s="6">
        <v>3995.5299098442233</v>
      </c>
      <c r="K2977" s="6">
        <v>702462.91501322202</v>
      </c>
      <c r="M2977" s="6">
        <f>SUM(H2977,J2977)</f>
        <v>174574.52990984422</v>
      </c>
      <c r="N2977" s="6">
        <f>K2977</f>
        <v>702462.91501322202</v>
      </c>
      <c r="O2977" s="6">
        <f>SUM(M2977:N2977)</f>
        <v>877037.4449230663</v>
      </c>
      <c r="P2977" s="8">
        <f>VLOOKUP(F2977,'LEAID Match'!$A$2:$B$436,2,FALSE)</f>
        <v>1800018</v>
      </c>
      <c r="Q2977" s="6">
        <f>COUNTIF($P$2:$P$3691,P2977)</f>
        <v>9</v>
      </c>
    </row>
    <row r="2978" spans="1:17" x14ac:dyDescent="0.2">
      <c r="A2978" s="16">
        <f>P2978</f>
        <v>1800018</v>
      </c>
      <c r="B2978">
        <v>2017</v>
      </c>
      <c r="C2978" t="s">
        <v>904</v>
      </c>
      <c r="D2978" t="s">
        <v>906</v>
      </c>
      <c r="E2978" t="s">
        <v>3884</v>
      </c>
      <c r="F2978" t="s">
        <v>787</v>
      </c>
      <c r="G2978" t="s">
        <v>319</v>
      </c>
      <c r="H2978" s="6">
        <v>187618</v>
      </c>
      <c r="I2978" s="6">
        <v>8.2616231812538646E-4</v>
      </c>
      <c r="J2978" s="6">
        <v>3738.3844895173738</v>
      </c>
      <c r="K2978" s="6">
        <v>719587.37908721098</v>
      </c>
      <c r="M2978" s="6">
        <f>SUM(H2978,J2978)</f>
        <v>191356.38448951737</v>
      </c>
      <c r="N2978" s="6">
        <f>K2978</f>
        <v>719587.37908721098</v>
      </c>
      <c r="O2978" s="6">
        <f>SUM(M2978:N2978)</f>
        <v>910943.76357672829</v>
      </c>
      <c r="P2978" s="8">
        <f>VLOOKUP(F2978,'LEAID Match'!$A$2:$B$436,2,FALSE)</f>
        <v>1800018</v>
      </c>
      <c r="Q2978" s="6">
        <f>COUNTIF($P$2:$P$3691,P2978)</f>
        <v>9</v>
      </c>
    </row>
    <row r="2979" spans="1:17" x14ac:dyDescent="0.2">
      <c r="A2979" s="16">
        <f>P2979</f>
        <v>1800018</v>
      </c>
      <c r="B2979">
        <v>2018</v>
      </c>
      <c r="C2979" t="s">
        <v>904</v>
      </c>
      <c r="D2979" t="s">
        <v>906</v>
      </c>
      <c r="E2979" t="s">
        <v>3885</v>
      </c>
      <c r="F2979" t="s">
        <v>787</v>
      </c>
      <c r="G2979" t="s">
        <v>319</v>
      </c>
      <c r="H2979" s="6">
        <v>211859</v>
      </c>
      <c r="I2979" s="6">
        <v>8.9878443942843485E-4</v>
      </c>
      <c r="J2979" s="6">
        <v>3746.1335435377164</v>
      </c>
      <c r="K2979" s="6">
        <v>734</v>
      </c>
      <c r="M2979" s="6">
        <f>SUM(H2979,J2979)</f>
        <v>215605.13354353773</v>
      </c>
      <c r="N2979" s="6">
        <f>K2979</f>
        <v>734</v>
      </c>
      <c r="O2979" s="6">
        <f>SUM(M2979:N2979)</f>
        <v>216339.13354353773</v>
      </c>
      <c r="P2979" s="8">
        <f>VLOOKUP(F2979,'LEAID Match'!$A$2:$B$436,2,FALSE)</f>
        <v>1800018</v>
      </c>
      <c r="Q2979" s="6">
        <f>COUNTIF($P$2:$P$3691,P2979)</f>
        <v>9</v>
      </c>
    </row>
    <row r="2980" spans="1:17" x14ac:dyDescent="0.2">
      <c r="A2980" s="16">
        <f>P2980</f>
        <v>1800018</v>
      </c>
      <c r="B2980">
        <v>2019</v>
      </c>
      <c r="C2980" t="s">
        <v>904</v>
      </c>
      <c r="D2980" t="s">
        <v>906</v>
      </c>
      <c r="E2980" t="s">
        <v>3886</v>
      </c>
      <c r="F2980" t="s">
        <v>787</v>
      </c>
      <c r="G2980" t="s">
        <v>319</v>
      </c>
      <c r="H2980" s="6">
        <v>162270</v>
      </c>
      <c r="I2980" s="6">
        <v>4.1281399993999733E-4</v>
      </c>
      <c r="J2980" s="6">
        <v>1446.9130697896906</v>
      </c>
      <c r="K2980" s="6">
        <v>389655.134543363</v>
      </c>
      <c r="M2980" s="6">
        <f>SUM(H2980,J2980)</f>
        <v>163716.91306978968</v>
      </c>
      <c r="N2980" s="6">
        <f>K2980</f>
        <v>389655.134543363</v>
      </c>
      <c r="O2980" s="6">
        <f>SUM(M2980:N2980)</f>
        <v>553372.04761315265</v>
      </c>
      <c r="P2980" s="8">
        <f>VLOOKUP(F2980,'LEAID Match'!$A$2:$B$436,2,FALSE)</f>
        <v>1800018</v>
      </c>
      <c r="Q2980" s="6">
        <f>COUNTIF($P$2:$P$3691,P2980)</f>
        <v>9</v>
      </c>
    </row>
    <row r="2981" spans="1:17" x14ac:dyDescent="0.2">
      <c r="A2981" s="16">
        <f>P2981</f>
        <v>1800018</v>
      </c>
      <c r="B2981">
        <v>2020</v>
      </c>
      <c r="C2981" t="s">
        <v>904</v>
      </c>
      <c r="D2981" t="s">
        <v>906</v>
      </c>
      <c r="E2981" t="s">
        <v>3887</v>
      </c>
      <c r="F2981" t="s">
        <v>787</v>
      </c>
      <c r="G2981" t="s">
        <v>319</v>
      </c>
      <c r="H2981" s="6">
        <v>156611</v>
      </c>
      <c r="I2981" s="6">
        <v>8.298359124810753E-4</v>
      </c>
      <c r="J2981" s="6">
        <v>1955.0934098054133</v>
      </c>
      <c r="K2981" s="6">
        <v>874</v>
      </c>
      <c r="M2981" s="6">
        <f>SUM(H2981,J2981)</f>
        <v>158566.09340980541</v>
      </c>
      <c r="N2981" s="6">
        <f>K2981</f>
        <v>874</v>
      </c>
      <c r="O2981" s="6">
        <f>SUM(M2981:N2981)</f>
        <v>159440.09340980541</v>
      </c>
      <c r="P2981" s="8">
        <f>VLOOKUP(F2981,'LEAID Match'!$A$2:$B$436,2,FALSE)</f>
        <v>1800018</v>
      </c>
      <c r="Q2981" s="6">
        <f>COUNTIF($P$2:$P$3691,P2981)</f>
        <v>9</v>
      </c>
    </row>
    <row r="2982" spans="1:17" x14ac:dyDescent="0.2">
      <c r="A2982" s="16">
        <f>P2982</f>
        <v>1800018</v>
      </c>
      <c r="B2982">
        <v>2021</v>
      </c>
      <c r="C2982" t="s">
        <v>904</v>
      </c>
      <c r="D2982" t="s">
        <v>906</v>
      </c>
      <c r="E2982" t="s">
        <v>3888</v>
      </c>
      <c r="F2982" t="s">
        <v>787</v>
      </c>
      <c r="G2982" t="s">
        <v>319</v>
      </c>
      <c r="H2982" s="6">
        <v>203669</v>
      </c>
      <c r="I2982" s="6">
        <v>1.0061438009991428E-3</v>
      </c>
      <c r="J2982" s="6">
        <v>2267.8481274520677</v>
      </c>
      <c r="K2982" s="6">
        <v>4156</v>
      </c>
      <c r="M2982" s="6">
        <f>SUM(H2982,J2982)</f>
        <v>205936.84812745207</v>
      </c>
      <c r="N2982" s="6">
        <f>K2982</f>
        <v>4156</v>
      </c>
      <c r="O2982" s="6">
        <f>SUM(M2982:N2982)</f>
        <v>210092.84812745207</v>
      </c>
      <c r="P2982" s="8">
        <f>VLOOKUP(F2982,'LEAID Match'!$A$2:$B$436,2,FALSE)</f>
        <v>1800018</v>
      </c>
      <c r="Q2982" s="6">
        <f>COUNTIF($P$2:$P$3691,P2982)</f>
        <v>9</v>
      </c>
    </row>
    <row r="2983" spans="1:17" x14ac:dyDescent="0.2">
      <c r="A2983" s="16">
        <f>P2983</f>
        <v>1800018</v>
      </c>
      <c r="B2983">
        <v>2022</v>
      </c>
      <c r="C2983" t="s">
        <v>904</v>
      </c>
      <c r="D2983" t="s">
        <v>906</v>
      </c>
      <c r="E2983" t="s">
        <v>3889</v>
      </c>
      <c r="F2983" t="s">
        <v>787</v>
      </c>
      <c r="G2983" t="s">
        <v>319</v>
      </c>
      <c r="H2983" s="6">
        <v>263518</v>
      </c>
      <c r="I2983" s="6">
        <v>1.2512324391195208E-3</v>
      </c>
      <c r="J2983" s="6">
        <v>2758.9675282585436</v>
      </c>
      <c r="K2983" s="6">
        <v>1240</v>
      </c>
      <c r="M2983" s="6">
        <f>SUM(H2983,J2983)</f>
        <v>266276.96752825857</v>
      </c>
      <c r="N2983" s="6">
        <f>K2983</f>
        <v>1240</v>
      </c>
      <c r="O2983" s="6">
        <f>SUM(M2983:N2983)</f>
        <v>267516.96752825857</v>
      </c>
      <c r="P2983" s="8">
        <f>VLOOKUP(F2983,'LEAID Match'!$A$2:$B$436,2,FALSE)</f>
        <v>1800018</v>
      </c>
      <c r="Q2983" s="6">
        <f>COUNTIF($P$2:$P$3691,P2983)</f>
        <v>9</v>
      </c>
    </row>
    <row r="2984" spans="1:17" x14ac:dyDescent="0.2">
      <c r="A2984" s="16">
        <f>P2984</f>
        <v>1800018</v>
      </c>
      <c r="B2984">
        <v>2023</v>
      </c>
      <c r="C2984" t="s">
        <v>904</v>
      </c>
      <c r="D2984" t="s">
        <v>906</v>
      </c>
      <c r="E2984" t="s">
        <v>3890</v>
      </c>
      <c r="F2984" t="s">
        <v>787</v>
      </c>
      <c r="G2984" t="s">
        <v>319</v>
      </c>
      <c r="H2984" s="6">
        <v>312423</v>
      </c>
      <c r="I2984" s="6">
        <v>1.2776384083943531E-3</v>
      </c>
      <c r="J2984" s="6">
        <v>3151.9339535088689</v>
      </c>
      <c r="K2984" s="6">
        <v>2965</v>
      </c>
      <c r="M2984" s="6">
        <f>SUM(H2984,J2984)</f>
        <v>315574.93395350885</v>
      </c>
      <c r="N2984" s="6">
        <f>K2984</f>
        <v>2965</v>
      </c>
      <c r="O2984" s="6">
        <f>SUM(M2984:N2984)</f>
        <v>318539.93395350885</v>
      </c>
      <c r="P2984" s="8">
        <f>VLOOKUP(F2984,'LEAID Match'!$A$2:$B$436,2,FALSE)</f>
        <v>1800018</v>
      </c>
      <c r="Q2984" s="6">
        <f>COUNTIF($P$2:$P$3691,P2984)</f>
        <v>9</v>
      </c>
    </row>
    <row r="2985" spans="1:17" x14ac:dyDescent="0.2">
      <c r="A2985" s="16">
        <f>P2985</f>
        <v>1800012</v>
      </c>
      <c r="B2985">
        <v>2015</v>
      </c>
      <c r="C2985" t="s">
        <v>904</v>
      </c>
      <c r="D2985" t="s">
        <v>906</v>
      </c>
      <c r="E2985" t="s">
        <v>3891</v>
      </c>
      <c r="F2985" t="s">
        <v>788</v>
      </c>
      <c r="G2985" t="s">
        <v>320</v>
      </c>
      <c r="H2985" s="6">
        <v>52787</v>
      </c>
      <c r="I2985" s="6">
        <v>2.5668771748761236E-4</v>
      </c>
      <c r="J2985" s="6">
        <v>1491.6123263205154</v>
      </c>
      <c r="K2985" s="6">
        <v>217059.24091100399</v>
      </c>
      <c r="M2985" s="6">
        <f>SUM(H2985,J2985)</f>
        <v>54278.612326320515</v>
      </c>
      <c r="N2985" s="6">
        <f>K2985</f>
        <v>217059.24091100399</v>
      </c>
      <c r="O2985" s="6">
        <f>SUM(M2985:N2985)</f>
        <v>271337.85323732451</v>
      </c>
      <c r="P2985" s="8">
        <f>VLOOKUP(F2985,'LEAID Match'!$A$2:$B$436,2,FALSE)</f>
        <v>1800012</v>
      </c>
      <c r="Q2985" s="6">
        <f>COUNTIF($P$2:$P$3691,P2985)</f>
        <v>9</v>
      </c>
    </row>
    <row r="2986" spans="1:17" x14ac:dyDescent="0.2">
      <c r="A2986" s="16">
        <f>P2986</f>
        <v>1800012</v>
      </c>
      <c r="B2986">
        <v>2016</v>
      </c>
      <c r="C2986" t="s">
        <v>904</v>
      </c>
      <c r="D2986" t="s">
        <v>906</v>
      </c>
      <c r="E2986" t="s">
        <v>3892</v>
      </c>
      <c r="F2986" t="s">
        <v>788</v>
      </c>
      <c r="G2986" t="s">
        <v>320</v>
      </c>
      <c r="H2986" s="6">
        <v>33053</v>
      </c>
      <c r="I2986" s="6">
        <v>1.5336997944569435E-4</v>
      </c>
      <c r="J2986" s="6">
        <v>774.21165624186506</v>
      </c>
      <c r="K2986" s="6">
        <v>136115.85675805301</v>
      </c>
      <c r="M2986" s="6">
        <f>SUM(H2986,J2986)</f>
        <v>33827.211656241867</v>
      </c>
      <c r="N2986" s="6">
        <f>K2986</f>
        <v>136115.85675805301</v>
      </c>
      <c r="O2986" s="6">
        <f>SUM(M2986:N2986)</f>
        <v>169943.06841429486</v>
      </c>
      <c r="P2986" s="8">
        <f>VLOOKUP(F2986,'LEAID Match'!$A$2:$B$436,2,FALSE)</f>
        <v>1800012</v>
      </c>
      <c r="Q2986" s="6">
        <f>COUNTIF($P$2:$P$3691,P2986)</f>
        <v>9</v>
      </c>
    </row>
    <row r="2987" spans="1:17" x14ac:dyDescent="0.2">
      <c r="A2987" s="16">
        <f>P2987</f>
        <v>1800012</v>
      </c>
      <c r="B2987">
        <v>2017</v>
      </c>
      <c r="C2987" t="s">
        <v>904</v>
      </c>
      <c r="D2987" t="s">
        <v>906</v>
      </c>
      <c r="E2987" t="s">
        <v>3893</v>
      </c>
      <c r="F2987" t="s">
        <v>788</v>
      </c>
      <c r="G2987" t="s">
        <v>320</v>
      </c>
      <c r="H2987" s="6">
        <v>10215</v>
      </c>
      <c r="I2987" s="6">
        <v>4.4981015039339628E-5</v>
      </c>
      <c r="J2987" s="6">
        <v>203.53909305301181</v>
      </c>
      <c r="K2987" s="6">
        <v>39178.464099264798</v>
      </c>
      <c r="M2987" s="6">
        <f>SUM(H2987,J2987)</f>
        <v>10418.539093053012</v>
      </c>
      <c r="N2987" s="6">
        <f>K2987</f>
        <v>39178.464099264798</v>
      </c>
      <c r="O2987" s="6">
        <f>SUM(M2987:N2987)</f>
        <v>49597.00319231781</v>
      </c>
      <c r="P2987" s="8">
        <f>VLOOKUP(F2987,'LEAID Match'!$A$2:$B$436,2,FALSE)</f>
        <v>1800012</v>
      </c>
      <c r="Q2987" s="6">
        <f>COUNTIF($P$2:$P$3691,P2987)</f>
        <v>9</v>
      </c>
    </row>
    <row r="2988" spans="1:17" x14ac:dyDescent="0.2">
      <c r="A2988" s="16">
        <f>P2988</f>
        <v>1800012</v>
      </c>
      <c r="B2988">
        <v>2018</v>
      </c>
      <c r="C2988" t="s">
        <v>904</v>
      </c>
      <c r="D2988" t="s">
        <v>906</v>
      </c>
      <c r="E2988" t="s">
        <v>3894</v>
      </c>
      <c r="F2988" t="s">
        <v>788</v>
      </c>
      <c r="G2988" t="s">
        <v>320</v>
      </c>
      <c r="H2988" s="6" t="s">
        <v>187</v>
      </c>
      <c r="I2988" s="6">
        <v>0</v>
      </c>
      <c r="J2988" s="6">
        <v>0</v>
      </c>
      <c r="K2988" s="6">
        <v>3488</v>
      </c>
      <c r="M2988" s="6">
        <f>SUM(H2988,J2988)</f>
        <v>0</v>
      </c>
      <c r="N2988" s="6">
        <f>K2988</f>
        <v>3488</v>
      </c>
      <c r="O2988" s="6">
        <f>SUM(M2988:N2988)</f>
        <v>3488</v>
      </c>
      <c r="P2988" s="8">
        <f>VLOOKUP(F2988,'LEAID Match'!$A$2:$B$436,2,FALSE)</f>
        <v>1800012</v>
      </c>
      <c r="Q2988" s="6">
        <f>COUNTIF($P$2:$P$3691,P2988)</f>
        <v>9</v>
      </c>
    </row>
    <row r="2989" spans="1:17" x14ac:dyDescent="0.2">
      <c r="A2989" s="16">
        <f>P2989</f>
        <v>1800012</v>
      </c>
      <c r="B2989">
        <v>2019</v>
      </c>
      <c r="C2989" t="s">
        <v>904</v>
      </c>
      <c r="D2989" t="s">
        <v>906</v>
      </c>
      <c r="E2989" t="s">
        <v>3895</v>
      </c>
      <c r="F2989" t="s">
        <v>788</v>
      </c>
      <c r="G2989" t="s">
        <v>320</v>
      </c>
      <c r="H2989" s="6" t="s">
        <v>187</v>
      </c>
      <c r="I2989" s="6">
        <v>0</v>
      </c>
      <c r="J2989" s="6">
        <v>0</v>
      </c>
      <c r="K2989" s="6">
        <v>0</v>
      </c>
      <c r="M2989" s="6">
        <f>SUM(H2989,J2989)</f>
        <v>0</v>
      </c>
      <c r="N2989" s="6">
        <f>K2989</f>
        <v>0</v>
      </c>
      <c r="O2989" s="6">
        <f>SUM(M2989:N2989)</f>
        <v>0</v>
      </c>
      <c r="P2989" s="8">
        <f>VLOOKUP(F2989,'LEAID Match'!$A$2:$B$436,2,FALSE)</f>
        <v>1800012</v>
      </c>
      <c r="Q2989" s="6">
        <f>COUNTIF($P$2:$P$3691,P2989)</f>
        <v>9</v>
      </c>
    </row>
    <row r="2990" spans="1:17" x14ac:dyDescent="0.2">
      <c r="A2990" s="16">
        <f>P2990</f>
        <v>1800012</v>
      </c>
      <c r="B2990">
        <v>2020</v>
      </c>
      <c r="C2990" t="s">
        <v>904</v>
      </c>
      <c r="D2990" t="s">
        <v>906</v>
      </c>
      <c r="E2990" t="s">
        <v>3896</v>
      </c>
      <c r="F2990" t="s">
        <v>788</v>
      </c>
      <c r="G2990" t="s">
        <v>320</v>
      </c>
      <c r="H2990" s="6" t="s">
        <v>187</v>
      </c>
      <c r="I2990" s="6">
        <v>0</v>
      </c>
      <c r="J2990" s="6">
        <v>0</v>
      </c>
      <c r="K2990" s="6">
        <v>3982</v>
      </c>
      <c r="M2990" s="6">
        <f>SUM(H2990,J2990)</f>
        <v>0</v>
      </c>
      <c r="N2990" s="6">
        <f>K2990</f>
        <v>3982</v>
      </c>
      <c r="O2990" s="6">
        <f>SUM(M2990:N2990)</f>
        <v>3982</v>
      </c>
      <c r="P2990" s="8">
        <f>VLOOKUP(F2990,'LEAID Match'!$A$2:$B$436,2,FALSE)</f>
        <v>1800012</v>
      </c>
      <c r="Q2990" s="6">
        <f>COUNTIF($P$2:$P$3691,P2990)</f>
        <v>9</v>
      </c>
    </row>
    <row r="2991" spans="1:17" x14ac:dyDescent="0.2">
      <c r="A2991" s="16">
        <f>P2991</f>
        <v>1800012</v>
      </c>
      <c r="B2991">
        <v>2021</v>
      </c>
      <c r="C2991" t="s">
        <v>904</v>
      </c>
      <c r="D2991" t="s">
        <v>906</v>
      </c>
      <c r="E2991" t="s">
        <v>3897</v>
      </c>
      <c r="F2991" t="s">
        <v>788</v>
      </c>
      <c r="G2991" t="s">
        <v>320</v>
      </c>
      <c r="H2991" s="6" t="s">
        <v>187</v>
      </c>
      <c r="I2991" s="6">
        <v>0</v>
      </c>
      <c r="J2991" s="6">
        <v>0</v>
      </c>
      <c r="K2991" s="6">
        <v>6234</v>
      </c>
      <c r="M2991" s="6">
        <f>SUM(H2991,J2991)</f>
        <v>0</v>
      </c>
      <c r="N2991" s="6">
        <f>K2991</f>
        <v>6234</v>
      </c>
      <c r="O2991" s="6">
        <f>SUM(M2991:N2991)</f>
        <v>6234</v>
      </c>
      <c r="P2991" s="8">
        <f>VLOOKUP(F2991,'LEAID Match'!$A$2:$B$436,2,FALSE)</f>
        <v>1800012</v>
      </c>
      <c r="Q2991" s="6">
        <f>COUNTIF($P$2:$P$3691,P2991)</f>
        <v>9</v>
      </c>
    </row>
    <row r="2992" spans="1:17" x14ac:dyDescent="0.2">
      <c r="A2992" s="16">
        <f>P2992</f>
        <v>1800012</v>
      </c>
      <c r="B2992">
        <v>2022</v>
      </c>
      <c r="C2992" t="s">
        <v>904</v>
      </c>
      <c r="D2992" t="s">
        <v>906</v>
      </c>
      <c r="E2992" t="s">
        <v>3898</v>
      </c>
      <c r="F2992" t="s">
        <v>788</v>
      </c>
      <c r="G2992" t="s">
        <v>320</v>
      </c>
      <c r="H2992" s="6" t="s">
        <v>187</v>
      </c>
      <c r="I2992" s="6">
        <v>0</v>
      </c>
      <c r="J2992" s="6">
        <v>0</v>
      </c>
      <c r="K2992" s="6">
        <v>6202</v>
      </c>
      <c r="M2992" s="6">
        <f>SUM(H2992,J2992)</f>
        <v>0</v>
      </c>
      <c r="N2992" s="6">
        <f>K2992</f>
        <v>6202</v>
      </c>
      <c r="O2992" s="6">
        <f>SUM(M2992:N2992)</f>
        <v>6202</v>
      </c>
      <c r="P2992" s="8">
        <f>VLOOKUP(F2992,'LEAID Match'!$A$2:$B$436,2,FALSE)</f>
        <v>1800012</v>
      </c>
      <c r="Q2992" s="6">
        <f>COUNTIF($P$2:$P$3691,P2992)</f>
        <v>9</v>
      </c>
    </row>
    <row r="2993" spans="1:17" x14ac:dyDescent="0.2">
      <c r="A2993" s="16">
        <f>P2993</f>
        <v>1800012</v>
      </c>
      <c r="B2993">
        <v>2023</v>
      </c>
      <c r="C2993" t="s">
        <v>904</v>
      </c>
      <c r="D2993" t="s">
        <v>906</v>
      </c>
      <c r="E2993" t="s">
        <v>3899</v>
      </c>
      <c r="F2993" t="s">
        <v>788</v>
      </c>
      <c r="G2993" t="s">
        <v>320</v>
      </c>
      <c r="H2993" s="6" t="s">
        <v>187</v>
      </c>
      <c r="I2993" s="6">
        <v>0</v>
      </c>
      <c r="J2993" s="6">
        <v>0</v>
      </c>
      <c r="K2993" s="6">
        <v>13129</v>
      </c>
      <c r="M2993" s="6">
        <f>SUM(H2993,J2993)</f>
        <v>0</v>
      </c>
      <c r="N2993" s="6">
        <f>K2993</f>
        <v>13129</v>
      </c>
      <c r="O2993" s="6">
        <f>SUM(M2993:N2993)</f>
        <v>13129</v>
      </c>
      <c r="P2993" s="8">
        <f>VLOOKUP(F2993,'LEAID Match'!$A$2:$B$436,2,FALSE)</f>
        <v>1800012</v>
      </c>
      <c r="Q2993" s="6">
        <f>COUNTIF($P$2:$P$3691,P2993)</f>
        <v>9</v>
      </c>
    </row>
    <row r="2994" spans="1:17" x14ac:dyDescent="0.2">
      <c r="A2994" s="16">
        <f>P2994</f>
        <v>1800021</v>
      </c>
      <c r="B2994">
        <v>2015</v>
      </c>
      <c r="C2994" t="s">
        <v>904</v>
      </c>
      <c r="D2994" t="s">
        <v>906</v>
      </c>
      <c r="E2994" t="s">
        <v>3900</v>
      </c>
      <c r="F2994" t="s">
        <v>789</v>
      </c>
      <c r="G2994" t="s">
        <v>321</v>
      </c>
      <c r="H2994" s="6">
        <v>78972</v>
      </c>
      <c r="I2994" s="6">
        <v>3.8401770180975853E-4</v>
      </c>
      <c r="J2994" s="6">
        <v>2231.5268652165068</v>
      </c>
      <c r="K2994" s="6">
        <v>324731.51293356001</v>
      </c>
      <c r="M2994" s="6">
        <f>SUM(H2994,J2994)</f>
        <v>81203.52686521651</v>
      </c>
      <c r="N2994" s="6">
        <f>K2994</f>
        <v>324731.51293356001</v>
      </c>
      <c r="O2994" s="6">
        <f>SUM(M2994:N2994)</f>
        <v>405935.0397987765</v>
      </c>
      <c r="P2994" s="8">
        <f>VLOOKUP(F2994,'LEAID Match'!$A$2:$B$436,2,FALSE)</f>
        <v>1800021</v>
      </c>
      <c r="Q2994" s="6">
        <f>COUNTIF($P$2:$P$3691,P2994)</f>
        <v>9</v>
      </c>
    </row>
    <row r="2995" spans="1:17" x14ac:dyDescent="0.2">
      <c r="A2995" s="16">
        <f>P2995</f>
        <v>1800021</v>
      </c>
      <c r="B2995">
        <v>2016</v>
      </c>
      <c r="C2995" t="s">
        <v>904</v>
      </c>
      <c r="D2995" t="s">
        <v>906</v>
      </c>
      <c r="E2995" t="s">
        <v>3901</v>
      </c>
      <c r="F2995" t="s">
        <v>789</v>
      </c>
      <c r="G2995" t="s">
        <v>321</v>
      </c>
      <c r="H2995" s="6">
        <v>87690</v>
      </c>
      <c r="I2995" s="6">
        <v>4.068923697574483E-4</v>
      </c>
      <c r="J2995" s="6">
        <v>2053.9926825355992</v>
      </c>
      <c r="K2995" s="6">
        <v>361116.97815973498</v>
      </c>
      <c r="M2995" s="6">
        <f>SUM(H2995,J2995)</f>
        <v>89743.992682535594</v>
      </c>
      <c r="N2995" s="6">
        <f>K2995</f>
        <v>361116.97815973498</v>
      </c>
      <c r="O2995" s="6">
        <f>SUM(M2995:N2995)</f>
        <v>450860.97084227059</v>
      </c>
      <c r="P2995" s="8">
        <f>VLOOKUP(F2995,'LEAID Match'!$A$2:$B$436,2,FALSE)</f>
        <v>1800021</v>
      </c>
      <c r="Q2995" s="6">
        <f>COUNTIF($P$2:$P$3691,P2995)</f>
        <v>9</v>
      </c>
    </row>
    <row r="2996" spans="1:17" x14ac:dyDescent="0.2">
      <c r="A2996" s="16">
        <f>P2996</f>
        <v>1800021</v>
      </c>
      <c r="B2996">
        <v>2017</v>
      </c>
      <c r="C2996" t="s">
        <v>904</v>
      </c>
      <c r="D2996" t="s">
        <v>906</v>
      </c>
      <c r="E2996" t="s">
        <v>3902</v>
      </c>
      <c r="F2996" t="s">
        <v>789</v>
      </c>
      <c r="G2996" t="s">
        <v>321</v>
      </c>
      <c r="H2996" s="6">
        <v>94650</v>
      </c>
      <c r="I2996" s="6">
        <v>4.1678444184762567E-4</v>
      </c>
      <c r="J2996" s="6">
        <v>1885.9495993605062</v>
      </c>
      <c r="K2996" s="6">
        <v>363019.24884928198</v>
      </c>
      <c r="M2996" s="6">
        <f>SUM(H2996,J2996)</f>
        <v>96535.949599360509</v>
      </c>
      <c r="N2996" s="6">
        <f>K2996</f>
        <v>363019.24884928198</v>
      </c>
      <c r="O2996" s="6">
        <f>SUM(M2996:N2996)</f>
        <v>459555.19844864251</v>
      </c>
      <c r="P2996" s="8">
        <f>VLOOKUP(F2996,'LEAID Match'!$A$2:$B$436,2,FALSE)</f>
        <v>1800021</v>
      </c>
      <c r="Q2996" s="6">
        <f>COUNTIF($P$2:$P$3691,P2996)</f>
        <v>9</v>
      </c>
    </row>
    <row r="2997" spans="1:17" x14ac:dyDescent="0.2">
      <c r="A2997" s="16">
        <f>P2997</f>
        <v>1800021</v>
      </c>
      <c r="B2997">
        <v>2018</v>
      </c>
      <c r="C2997" t="s">
        <v>904</v>
      </c>
      <c r="D2997" t="s">
        <v>906</v>
      </c>
      <c r="E2997" t="s">
        <v>3903</v>
      </c>
      <c r="F2997" t="s">
        <v>789</v>
      </c>
      <c r="G2997" t="s">
        <v>321</v>
      </c>
      <c r="H2997" s="6">
        <v>95761</v>
      </c>
      <c r="I2997" s="6">
        <v>4.0625367203709234E-4</v>
      </c>
      <c r="J2997" s="6">
        <v>1693.265305050601</v>
      </c>
      <c r="K2997" s="6">
        <v>58378</v>
      </c>
      <c r="M2997" s="6">
        <f>SUM(H2997,J2997)</f>
        <v>97454.265305050605</v>
      </c>
      <c r="N2997" s="6">
        <f>K2997</f>
        <v>58378</v>
      </c>
      <c r="O2997" s="6">
        <f>SUM(M2997:N2997)</f>
        <v>155832.26530505059</v>
      </c>
      <c r="P2997" s="8">
        <f>VLOOKUP(F2997,'LEAID Match'!$A$2:$B$436,2,FALSE)</f>
        <v>1800021</v>
      </c>
      <c r="Q2997" s="6">
        <f>COUNTIF($P$2:$P$3691,P2997)</f>
        <v>9</v>
      </c>
    </row>
    <row r="2998" spans="1:17" x14ac:dyDescent="0.2">
      <c r="A2998" s="16">
        <f>P2998</f>
        <v>1800021</v>
      </c>
      <c r="B2998">
        <v>2019</v>
      </c>
      <c r="C2998" t="s">
        <v>904</v>
      </c>
      <c r="D2998" t="s">
        <v>906</v>
      </c>
      <c r="E2998" t="s">
        <v>3904</v>
      </c>
      <c r="F2998" t="s">
        <v>789</v>
      </c>
      <c r="G2998" t="s">
        <v>321</v>
      </c>
      <c r="H2998" s="6">
        <v>107394</v>
      </c>
      <c r="I2998" s="6">
        <v>2.7320975355614761E-4</v>
      </c>
      <c r="J2998" s="6">
        <v>957.60018621429742</v>
      </c>
      <c r="K2998" s="6">
        <v>257882.68638164701</v>
      </c>
      <c r="M2998" s="6">
        <f>SUM(H2998,J2998)</f>
        <v>108351.6001862143</v>
      </c>
      <c r="N2998" s="6">
        <f>K2998</f>
        <v>257882.68638164701</v>
      </c>
      <c r="O2998" s="6">
        <f>SUM(M2998:N2998)</f>
        <v>366234.28656786133</v>
      </c>
      <c r="P2998" s="8">
        <f>VLOOKUP(F2998,'LEAID Match'!$A$2:$B$436,2,FALSE)</f>
        <v>1800021</v>
      </c>
      <c r="Q2998" s="6">
        <f>COUNTIF($P$2:$P$3691,P2998)</f>
        <v>9</v>
      </c>
    </row>
    <row r="2999" spans="1:17" x14ac:dyDescent="0.2">
      <c r="A2999" s="16">
        <f>P2999</f>
        <v>1800021</v>
      </c>
      <c r="B2999">
        <v>2020</v>
      </c>
      <c r="C2999" t="s">
        <v>904</v>
      </c>
      <c r="D2999" t="s">
        <v>906</v>
      </c>
      <c r="E2999" t="s">
        <v>3905</v>
      </c>
      <c r="F2999" t="s">
        <v>789</v>
      </c>
      <c r="G2999" t="s">
        <v>321</v>
      </c>
      <c r="H2999" s="6">
        <v>73794</v>
      </c>
      <c r="I2999" s="6">
        <v>3.9101283642674188E-4</v>
      </c>
      <c r="J2999" s="6">
        <v>921.22624262140391</v>
      </c>
      <c r="K2999" s="6">
        <v>63318</v>
      </c>
      <c r="M2999" s="6">
        <f>SUM(H2999,J2999)</f>
        <v>74715.2262426214</v>
      </c>
      <c r="N2999" s="6">
        <f>K2999</f>
        <v>63318</v>
      </c>
      <c r="O2999" s="6">
        <f>SUM(M2999:N2999)</f>
        <v>138033.2262426214</v>
      </c>
      <c r="P2999" s="8">
        <f>VLOOKUP(F2999,'LEAID Match'!$A$2:$B$436,2,FALSE)</f>
        <v>1800021</v>
      </c>
      <c r="Q2999" s="6">
        <f>COUNTIF($P$2:$P$3691,P2999)</f>
        <v>9</v>
      </c>
    </row>
    <row r="3000" spans="1:17" x14ac:dyDescent="0.2">
      <c r="A3000" s="16">
        <f>P3000</f>
        <v>1800021</v>
      </c>
      <c r="B3000">
        <v>2021</v>
      </c>
      <c r="C3000" t="s">
        <v>904</v>
      </c>
      <c r="D3000" t="s">
        <v>906</v>
      </c>
      <c r="E3000" t="s">
        <v>3906</v>
      </c>
      <c r="F3000" t="s">
        <v>789</v>
      </c>
      <c r="G3000" t="s">
        <v>321</v>
      </c>
      <c r="H3000" s="6">
        <v>82335</v>
      </c>
      <c r="I3000" s="6">
        <v>4.0674255706692924E-4</v>
      </c>
      <c r="J3000" s="6">
        <v>916.79772362885853</v>
      </c>
      <c r="K3000" s="6">
        <v>122436</v>
      </c>
      <c r="M3000" s="6">
        <f>SUM(H3000,J3000)</f>
        <v>83251.797723628857</v>
      </c>
      <c r="N3000" s="6">
        <f>K3000</f>
        <v>122436</v>
      </c>
      <c r="O3000" s="6">
        <f>SUM(M3000:N3000)</f>
        <v>205687.79772362887</v>
      </c>
      <c r="P3000" s="8">
        <f>VLOOKUP(F3000,'LEAID Match'!$A$2:$B$436,2,FALSE)</f>
        <v>1800021</v>
      </c>
      <c r="Q3000" s="6">
        <f>COUNTIF($P$2:$P$3691,P3000)</f>
        <v>9</v>
      </c>
    </row>
    <row r="3001" spans="1:17" x14ac:dyDescent="0.2">
      <c r="A3001" s="16">
        <f>P3001</f>
        <v>1800021</v>
      </c>
      <c r="B3001">
        <v>2022</v>
      </c>
      <c r="C3001" t="s">
        <v>904</v>
      </c>
      <c r="D3001" t="s">
        <v>906</v>
      </c>
      <c r="E3001" t="s">
        <v>3907</v>
      </c>
      <c r="F3001" t="s">
        <v>789</v>
      </c>
      <c r="G3001" t="s">
        <v>321</v>
      </c>
      <c r="H3001" s="6">
        <v>79840</v>
      </c>
      <c r="I3001" s="6">
        <v>3.7909515835465711E-4</v>
      </c>
      <c r="J3001" s="6">
        <v>835.90482417201895</v>
      </c>
      <c r="K3001" s="6">
        <v>122948</v>
      </c>
      <c r="M3001" s="6">
        <f>SUM(H3001,J3001)</f>
        <v>80675.904824172016</v>
      </c>
      <c r="N3001" s="6">
        <f>K3001</f>
        <v>122948</v>
      </c>
      <c r="O3001" s="6">
        <f>SUM(M3001:N3001)</f>
        <v>203623.90482417203</v>
      </c>
      <c r="P3001" s="8">
        <f>VLOOKUP(F3001,'LEAID Match'!$A$2:$B$436,2,FALSE)</f>
        <v>1800021</v>
      </c>
      <c r="Q3001" s="6">
        <f>COUNTIF($P$2:$P$3691,P3001)</f>
        <v>9</v>
      </c>
    </row>
    <row r="3002" spans="1:17" x14ac:dyDescent="0.2">
      <c r="A3002" s="16">
        <f>P3002</f>
        <v>1800021</v>
      </c>
      <c r="B3002">
        <v>2023</v>
      </c>
      <c r="C3002" t="s">
        <v>904</v>
      </c>
      <c r="D3002" t="s">
        <v>906</v>
      </c>
      <c r="E3002" t="s">
        <v>3908</v>
      </c>
      <c r="F3002" t="s">
        <v>789</v>
      </c>
      <c r="G3002" t="s">
        <v>321</v>
      </c>
      <c r="H3002" s="6">
        <v>101969</v>
      </c>
      <c r="I3002" s="6">
        <v>4.1699718287566465E-4</v>
      </c>
      <c r="J3002" s="6">
        <v>1028.7320501542647</v>
      </c>
      <c r="K3002" s="6">
        <v>454416</v>
      </c>
      <c r="M3002" s="6">
        <f>SUM(H3002,J3002)</f>
        <v>102997.73205015427</v>
      </c>
      <c r="N3002" s="6">
        <f>K3002</f>
        <v>454416</v>
      </c>
      <c r="O3002" s="6">
        <f>SUM(M3002:N3002)</f>
        <v>557413.73205015424</v>
      </c>
      <c r="P3002" s="8">
        <f>VLOOKUP(F3002,'LEAID Match'!$A$2:$B$436,2,FALSE)</f>
        <v>1800021</v>
      </c>
      <c r="Q3002" s="6">
        <f>COUNTIF($P$2:$P$3691,P3002)</f>
        <v>9</v>
      </c>
    </row>
    <row r="3003" spans="1:17" x14ac:dyDescent="0.2">
      <c r="A3003" s="16">
        <f>P3003</f>
        <v>1800016</v>
      </c>
      <c r="B3003">
        <v>2015</v>
      </c>
      <c r="C3003" t="s">
        <v>904</v>
      </c>
      <c r="D3003" t="s">
        <v>906</v>
      </c>
      <c r="E3003" t="s">
        <v>3909</v>
      </c>
      <c r="F3003" t="s">
        <v>790</v>
      </c>
      <c r="G3003" t="s">
        <v>322</v>
      </c>
      <c r="H3003" s="6">
        <v>16575</v>
      </c>
      <c r="I3003" s="6">
        <v>8.0599369491677399E-5</v>
      </c>
      <c r="J3003" s="6">
        <v>468.36293611613735</v>
      </c>
      <c r="K3003" s="6">
        <v>68156.116432074195</v>
      </c>
      <c r="M3003" s="6">
        <f>SUM(H3003,J3003)</f>
        <v>17043.362936116137</v>
      </c>
      <c r="N3003" s="6">
        <f>K3003</f>
        <v>68156.116432074195</v>
      </c>
      <c r="O3003" s="6">
        <f>SUM(M3003:N3003)</f>
        <v>85199.479368190339</v>
      </c>
      <c r="P3003" s="8">
        <f>VLOOKUP(F3003,'LEAID Match'!$A$2:$B$436,2,FALSE)</f>
        <v>1800016</v>
      </c>
      <c r="Q3003" s="6">
        <f>COUNTIF($P$2:$P$3691,P3003)</f>
        <v>9</v>
      </c>
    </row>
    <row r="3004" spans="1:17" x14ac:dyDescent="0.2">
      <c r="A3004" s="16">
        <f>P3004</f>
        <v>1800016</v>
      </c>
      <c r="B3004">
        <v>2016</v>
      </c>
      <c r="C3004" t="s">
        <v>904</v>
      </c>
      <c r="D3004" t="s">
        <v>906</v>
      </c>
      <c r="E3004" t="s">
        <v>3910</v>
      </c>
      <c r="F3004" t="s">
        <v>790</v>
      </c>
      <c r="G3004" t="s">
        <v>322</v>
      </c>
      <c r="H3004" s="6">
        <v>19642</v>
      </c>
      <c r="I3004" s="6">
        <v>9.1141292356891314E-5</v>
      </c>
      <c r="J3004" s="6">
        <v>460.08124381758734</v>
      </c>
      <c r="K3004" s="6">
        <v>80887.896966740998</v>
      </c>
      <c r="M3004" s="6">
        <f>SUM(H3004,J3004)</f>
        <v>20102.081243817589</v>
      </c>
      <c r="N3004" s="6">
        <f>K3004</f>
        <v>80887.896966740998</v>
      </c>
      <c r="O3004" s="6">
        <f>SUM(M3004:N3004)</f>
        <v>100989.97821055859</v>
      </c>
      <c r="P3004" s="8">
        <f>VLOOKUP(F3004,'LEAID Match'!$A$2:$B$436,2,FALSE)</f>
        <v>1800016</v>
      </c>
      <c r="Q3004" s="6">
        <f>COUNTIF($P$2:$P$3691,P3004)</f>
        <v>9</v>
      </c>
    </row>
    <row r="3005" spans="1:17" x14ac:dyDescent="0.2">
      <c r="A3005" s="16">
        <f>P3005</f>
        <v>1800016</v>
      </c>
      <c r="B3005">
        <v>2017</v>
      </c>
      <c r="C3005" t="s">
        <v>904</v>
      </c>
      <c r="D3005" t="s">
        <v>906</v>
      </c>
      <c r="E3005" t="s">
        <v>3911</v>
      </c>
      <c r="F3005" t="s">
        <v>790</v>
      </c>
      <c r="G3005" t="s">
        <v>322</v>
      </c>
      <c r="H3005" s="6">
        <v>13291</v>
      </c>
      <c r="I3005" s="6">
        <v>5.8525958970911699E-5</v>
      </c>
      <c r="J3005" s="6">
        <v>264.82996434337542</v>
      </c>
      <c r="K3005" s="6">
        <v>50976.110263663999</v>
      </c>
      <c r="M3005" s="6">
        <f>SUM(H3005,J3005)</f>
        <v>13555.829964343375</v>
      </c>
      <c r="N3005" s="6">
        <f>K3005</f>
        <v>50976.110263663999</v>
      </c>
      <c r="O3005" s="6">
        <f>SUM(M3005:N3005)</f>
        <v>64531.94022800737</v>
      </c>
      <c r="P3005" s="8">
        <f>VLOOKUP(F3005,'LEAID Match'!$A$2:$B$436,2,FALSE)</f>
        <v>1800016</v>
      </c>
      <c r="Q3005" s="6">
        <f>COUNTIF($P$2:$P$3691,P3005)</f>
        <v>9</v>
      </c>
    </row>
    <row r="3006" spans="1:17" x14ac:dyDescent="0.2">
      <c r="A3006" s="16">
        <f>P3006</f>
        <v>1800016</v>
      </c>
      <c r="B3006">
        <v>2018</v>
      </c>
      <c r="C3006" t="s">
        <v>904</v>
      </c>
      <c r="D3006" t="s">
        <v>906</v>
      </c>
      <c r="E3006" t="s">
        <v>3912</v>
      </c>
      <c r="F3006" t="s">
        <v>790</v>
      </c>
      <c r="G3006" t="s">
        <v>322</v>
      </c>
      <c r="H3006" s="6">
        <v>8299</v>
      </c>
      <c r="I3006" s="6">
        <v>3.5207435430246442E-5</v>
      </c>
      <c r="J3006" s="6">
        <v>146.74459087326716</v>
      </c>
      <c r="K3006" s="6">
        <v>12759</v>
      </c>
      <c r="M3006" s="6">
        <f>SUM(H3006,J3006)</f>
        <v>8445.744590873268</v>
      </c>
      <c r="N3006" s="6">
        <f>K3006</f>
        <v>12759</v>
      </c>
      <c r="O3006" s="6">
        <f>SUM(M3006:N3006)</f>
        <v>21204.74459087327</v>
      </c>
      <c r="P3006" s="8">
        <f>VLOOKUP(F3006,'LEAID Match'!$A$2:$B$436,2,FALSE)</f>
        <v>1800016</v>
      </c>
      <c r="Q3006" s="6">
        <f>COUNTIF($P$2:$P$3691,P3006)</f>
        <v>9</v>
      </c>
    </row>
    <row r="3007" spans="1:17" x14ac:dyDescent="0.2">
      <c r="A3007" s="16">
        <f>P3007</f>
        <v>1800016</v>
      </c>
      <c r="B3007">
        <v>2019</v>
      </c>
      <c r="C3007" t="s">
        <v>904</v>
      </c>
      <c r="D3007" t="s">
        <v>906</v>
      </c>
      <c r="E3007" t="s">
        <v>3913</v>
      </c>
      <c r="F3007" t="s">
        <v>790</v>
      </c>
      <c r="G3007" t="s">
        <v>322</v>
      </c>
      <c r="H3007" s="6">
        <v>14509</v>
      </c>
      <c r="I3007" s="6">
        <v>3.6910817311452652E-5</v>
      </c>
      <c r="J3007" s="6">
        <v>129.37241467664154</v>
      </c>
      <c r="K3007" s="6">
        <v>34840.120460280101</v>
      </c>
      <c r="M3007" s="6">
        <f>SUM(H3007,J3007)</f>
        <v>14638.372414676642</v>
      </c>
      <c r="N3007" s="6">
        <f>K3007</f>
        <v>34840.120460280101</v>
      </c>
      <c r="O3007" s="6">
        <f>SUM(M3007:N3007)</f>
        <v>49478.492874956741</v>
      </c>
      <c r="P3007" s="8">
        <f>VLOOKUP(F3007,'LEAID Match'!$A$2:$B$436,2,FALSE)</f>
        <v>1800016</v>
      </c>
      <c r="Q3007" s="6">
        <f>COUNTIF($P$2:$P$3691,P3007)</f>
        <v>9</v>
      </c>
    </row>
    <row r="3008" spans="1:17" x14ac:dyDescent="0.2">
      <c r="A3008" s="16">
        <f>P3008</f>
        <v>1800016</v>
      </c>
      <c r="B3008">
        <v>2020</v>
      </c>
      <c r="C3008" t="s">
        <v>904</v>
      </c>
      <c r="D3008" t="s">
        <v>906</v>
      </c>
      <c r="E3008" t="s">
        <v>3914</v>
      </c>
      <c r="F3008" t="s">
        <v>790</v>
      </c>
      <c r="G3008" t="s">
        <v>322</v>
      </c>
      <c r="H3008" s="6">
        <v>27213</v>
      </c>
      <c r="I3008" s="6">
        <v>1.4419373279238049E-4</v>
      </c>
      <c r="J3008" s="6">
        <v>339.72043445884844</v>
      </c>
      <c r="K3008" s="6">
        <v>3787</v>
      </c>
      <c r="M3008" s="6">
        <f>SUM(H3008,J3008)</f>
        <v>27552.72043445885</v>
      </c>
      <c r="N3008" s="6">
        <f>K3008</f>
        <v>3787</v>
      </c>
      <c r="O3008" s="6">
        <f>SUM(M3008:N3008)</f>
        <v>31339.72043445885</v>
      </c>
      <c r="P3008" s="8">
        <f>VLOOKUP(F3008,'LEAID Match'!$A$2:$B$436,2,FALSE)</f>
        <v>1800016</v>
      </c>
      <c r="Q3008" s="6">
        <f>COUNTIF($P$2:$P$3691,P3008)</f>
        <v>9</v>
      </c>
    </row>
    <row r="3009" spans="1:17" x14ac:dyDescent="0.2">
      <c r="A3009" s="16">
        <f>P3009</f>
        <v>1800016</v>
      </c>
      <c r="B3009">
        <v>2021</v>
      </c>
      <c r="C3009" t="s">
        <v>904</v>
      </c>
      <c r="D3009" t="s">
        <v>906</v>
      </c>
      <c r="E3009" t="s">
        <v>3915</v>
      </c>
      <c r="F3009" t="s">
        <v>790</v>
      </c>
      <c r="G3009" t="s">
        <v>322</v>
      </c>
      <c r="H3009" s="6">
        <v>96523</v>
      </c>
      <c r="I3009" s="6">
        <v>4.7683259653575287E-4</v>
      </c>
      <c r="J3009" s="6">
        <v>1074.7806725915871</v>
      </c>
      <c r="K3009" s="6" t="s">
        <v>187</v>
      </c>
      <c r="M3009" s="6">
        <f>SUM(H3009,J3009)</f>
        <v>97597.780672591587</v>
      </c>
      <c r="N3009" s="6" t="str">
        <f>K3009</f>
        <v>-</v>
      </c>
      <c r="O3009" s="6">
        <f>SUM(M3009:N3009)</f>
        <v>97597.780672591587</v>
      </c>
      <c r="P3009" s="8">
        <f>VLOOKUP(F3009,'LEAID Match'!$A$2:$B$436,2,FALSE)</f>
        <v>1800016</v>
      </c>
      <c r="Q3009" s="6">
        <f>COUNTIF($P$2:$P$3691,P3009)</f>
        <v>9</v>
      </c>
    </row>
    <row r="3010" spans="1:17" x14ac:dyDescent="0.2">
      <c r="A3010" s="16">
        <f>P3010</f>
        <v>1800016</v>
      </c>
      <c r="B3010">
        <v>2022</v>
      </c>
      <c r="C3010" t="s">
        <v>904</v>
      </c>
      <c r="D3010" t="s">
        <v>906</v>
      </c>
      <c r="E3010" t="s">
        <v>3916</v>
      </c>
      <c r="F3010" t="s">
        <v>790</v>
      </c>
      <c r="G3010" t="s">
        <v>322</v>
      </c>
      <c r="H3010" s="6">
        <v>117196</v>
      </c>
      <c r="I3010" s="6">
        <v>5.5646838900967426E-4</v>
      </c>
      <c r="J3010" s="6">
        <v>1227.0127977663317</v>
      </c>
      <c r="K3010" s="6">
        <v>117986</v>
      </c>
      <c r="M3010" s="6">
        <f>SUM(H3010,J3010)</f>
        <v>118423.01279776634</v>
      </c>
      <c r="N3010" s="6">
        <f>K3010</f>
        <v>117986</v>
      </c>
      <c r="O3010" s="6">
        <f>SUM(M3010:N3010)</f>
        <v>236409.01279776634</v>
      </c>
      <c r="P3010" s="8">
        <f>VLOOKUP(F3010,'LEAID Match'!$A$2:$B$436,2,FALSE)</f>
        <v>1800016</v>
      </c>
      <c r="Q3010" s="6">
        <f>COUNTIF($P$2:$P$3691,P3010)</f>
        <v>9</v>
      </c>
    </row>
    <row r="3011" spans="1:17" x14ac:dyDescent="0.2">
      <c r="A3011" s="16">
        <f>P3011</f>
        <v>1800016</v>
      </c>
      <c r="B3011">
        <v>2023</v>
      </c>
      <c r="C3011" t="s">
        <v>904</v>
      </c>
      <c r="D3011" t="s">
        <v>906</v>
      </c>
      <c r="E3011" t="s">
        <v>3917</v>
      </c>
      <c r="F3011" t="s">
        <v>790</v>
      </c>
      <c r="G3011" t="s">
        <v>322</v>
      </c>
      <c r="H3011" s="6">
        <v>154947</v>
      </c>
      <c r="I3011" s="6">
        <v>6.3364809397989201E-4</v>
      </c>
      <c r="J3011" s="6">
        <v>1563.2098478483936</v>
      </c>
      <c r="K3011" s="6">
        <v>557326</v>
      </c>
      <c r="M3011" s="6">
        <f>SUM(H3011,J3011)</f>
        <v>156510.2098478484</v>
      </c>
      <c r="N3011" s="6">
        <f>K3011</f>
        <v>557326</v>
      </c>
      <c r="O3011" s="6">
        <f>SUM(M3011:N3011)</f>
        <v>713836.2098478484</v>
      </c>
      <c r="P3011" s="8">
        <f>VLOOKUP(F3011,'LEAID Match'!$A$2:$B$436,2,FALSE)</f>
        <v>1800016</v>
      </c>
      <c r="Q3011" s="6">
        <f>COUNTIF($P$2:$P$3691,P3011)</f>
        <v>9</v>
      </c>
    </row>
    <row r="3012" spans="1:17" x14ac:dyDescent="0.2">
      <c r="A3012" s="16">
        <f>P3012</f>
        <v>1800014</v>
      </c>
      <c r="B3012">
        <v>2015</v>
      </c>
      <c r="C3012" t="s">
        <v>904</v>
      </c>
      <c r="D3012" t="s">
        <v>906</v>
      </c>
      <c r="E3012" t="s">
        <v>3918</v>
      </c>
      <c r="F3012" t="s">
        <v>791</v>
      </c>
      <c r="G3012" t="s">
        <v>323</v>
      </c>
      <c r="H3012" s="6">
        <v>86602</v>
      </c>
      <c r="I3012" s="6">
        <v>4.2112015666475092E-4</v>
      </c>
      <c r="J3012" s="6">
        <v>2447.1292303788678</v>
      </c>
      <c r="K3012" s="6">
        <v>356105.94239822001</v>
      </c>
      <c r="M3012" s="6">
        <f>SUM(H3012,J3012)</f>
        <v>89049.129230378865</v>
      </c>
      <c r="N3012" s="6">
        <f>K3012</f>
        <v>356105.94239822001</v>
      </c>
      <c r="O3012" s="6">
        <f>SUM(M3012:N3012)</f>
        <v>445155.07162859885</v>
      </c>
      <c r="P3012" s="8">
        <f>VLOOKUP(F3012,'LEAID Match'!$A$2:$B$436,2,FALSE)</f>
        <v>1800014</v>
      </c>
      <c r="Q3012" s="6">
        <f>COUNTIF($P$2:$P$3691,P3012)</f>
        <v>9</v>
      </c>
    </row>
    <row r="3013" spans="1:17" x14ac:dyDescent="0.2">
      <c r="A3013" s="16">
        <f>P3013</f>
        <v>1800014</v>
      </c>
      <c r="B3013">
        <v>2016</v>
      </c>
      <c r="C3013" t="s">
        <v>904</v>
      </c>
      <c r="D3013" t="s">
        <v>906</v>
      </c>
      <c r="E3013" t="s">
        <v>3919</v>
      </c>
      <c r="F3013" t="s">
        <v>791</v>
      </c>
      <c r="G3013" t="s">
        <v>323</v>
      </c>
      <c r="H3013" s="6">
        <v>85387</v>
      </c>
      <c r="I3013" s="6">
        <v>3.9620616691161178E-4</v>
      </c>
      <c r="J3013" s="6">
        <v>2000.0487305698161</v>
      </c>
      <c r="K3013" s="6">
        <v>351632.97313405498</v>
      </c>
      <c r="M3013" s="6">
        <f>SUM(H3013,J3013)</f>
        <v>87387.048730569819</v>
      </c>
      <c r="N3013" s="6">
        <f>K3013</f>
        <v>351632.97313405498</v>
      </c>
      <c r="O3013" s="6">
        <f>SUM(M3013:N3013)</f>
        <v>439020.02186462481</v>
      </c>
      <c r="P3013" s="8">
        <f>VLOOKUP(F3013,'LEAID Match'!$A$2:$B$436,2,FALSE)</f>
        <v>1800014</v>
      </c>
      <c r="Q3013" s="6">
        <f>COUNTIF($P$2:$P$3691,P3013)</f>
        <v>9</v>
      </c>
    </row>
    <row r="3014" spans="1:17" x14ac:dyDescent="0.2">
      <c r="A3014" s="16">
        <f>P3014</f>
        <v>1800014</v>
      </c>
      <c r="B3014">
        <v>2017</v>
      </c>
      <c r="C3014" t="s">
        <v>904</v>
      </c>
      <c r="D3014" t="s">
        <v>906</v>
      </c>
      <c r="E3014" t="s">
        <v>3920</v>
      </c>
      <c r="F3014" t="s">
        <v>791</v>
      </c>
      <c r="G3014" t="s">
        <v>323</v>
      </c>
      <c r="H3014" s="6">
        <v>83893</v>
      </c>
      <c r="I3014" s="6">
        <v>3.694167689373783E-4</v>
      </c>
      <c r="J3014" s="6">
        <v>1671.6108794416368</v>
      </c>
      <c r="K3014" s="6">
        <v>321762.00574445602</v>
      </c>
      <c r="M3014" s="6">
        <f>SUM(H3014,J3014)</f>
        <v>85564.610879441636</v>
      </c>
      <c r="N3014" s="6">
        <f>K3014</f>
        <v>321762.00574445602</v>
      </c>
      <c r="O3014" s="6">
        <f>SUM(M3014:N3014)</f>
        <v>407326.61662389769</v>
      </c>
      <c r="P3014" s="8">
        <f>VLOOKUP(F3014,'LEAID Match'!$A$2:$B$436,2,FALSE)</f>
        <v>1800014</v>
      </c>
      <c r="Q3014" s="6">
        <f>COUNTIF($P$2:$P$3691,P3014)</f>
        <v>9</v>
      </c>
    </row>
    <row r="3015" spans="1:17" x14ac:dyDescent="0.2">
      <c r="A3015" s="16">
        <f>P3015</f>
        <v>1800014</v>
      </c>
      <c r="B3015">
        <v>2018</v>
      </c>
      <c r="C3015" t="s">
        <v>904</v>
      </c>
      <c r="D3015" t="s">
        <v>906</v>
      </c>
      <c r="E3015" t="s">
        <v>3921</v>
      </c>
      <c r="F3015" t="s">
        <v>791</v>
      </c>
      <c r="G3015" t="s">
        <v>323</v>
      </c>
      <c r="H3015" s="6">
        <v>93173</v>
      </c>
      <c r="I3015" s="6">
        <v>3.9527441635647088E-4</v>
      </c>
      <c r="J3015" s="6">
        <v>1647.5037673737706</v>
      </c>
      <c r="K3015" s="6">
        <v>42132</v>
      </c>
      <c r="M3015" s="6">
        <f>SUM(H3015,J3015)</f>
        <v>94820.503767373768</v>
      </c>
      <c r="N3015" s="6">
        <f>K3015</f>
        <v>42132</v>
      </c>
      <c r="O3015" s="6">
        <f>SUM(M3015:N3015)</f>
        <v>136952.50376737377</v>
      </c>
      <c r="P3015" s="8">
        <f>VLOOKUP(F3015,'LEAID Match'!$A$2:$B$436,2,FALSE)</f>
        <v>1800014</v>
      </c>
      <c r="Q3015" s="6">
        <f>COUNTIF($P$2:$P$3691,P3015)</f>
        <v>9</v>
      </c>
    </row>
    <row r="3016" spans="1:17" x14ac:dyDescent="0.2">
      <c r="A3016" s="16">
        <f>P3016</f>
        <v>1800014</v>
      </c>
      <c r="B3016">
        <v>2019</v>
      </c>
      <c r="C3016" t="s">
        <v>904</v>
      </c>
      <c r="D3016" t="s">
        <v>906</v>
      </c>
      <c r="E3016" t="s">
        <v>3922</v>
      </c>
      <c r="F3016" t="s">
        <v>791</v>
      </c>
      <c r="G3016" t="s">
        <v>323</v>
      </c>
      <c r="H3016" s="6">
        <v>97312</v>
      </c>
      <c r="I3016" s="6">
        <v>2.475612002351699E-4</v>
      </c>
      <c r="J3016" s="6">
        <v>867.70200682427048</v>
      </c>
      <c r="K3016" s="6">
        <v>233673.01690197599</v>
      </c>
      <c r="M3016" s="6">
        <f>SUM(H3016,J3016)</f>
        <v>98179.702006824271</v>
      </c>
      <c r="N3016" s="6">
        <f>K3016</f>
        <v>233673.01690197599</v>
      </c>
      <c r="O3016" s="6">
        <f>SUM(M3016:N3016)</f>
        <v>331852.71890880028</v>
      </c>
      <c r="P3016" s="8">
        <f>VLOOKUP(F3016,'LEAID Match'!$A$2:$B$436,2,FALSE)</f>
        <v>1800014</v>
      </c>
      <c r="Q3016" s="6">
        <f>COUNTIF($P$2:$P$3691,P3016)</f>
        <v>9</v>
      </c>
    </row>
    <row r="3017" spans="1:17" x14ac:dyDescent="0.2">
      <c r="A3017" s="16">
        <f>P3017</f>
        <v>1800014</v>
      </c>
      <c r="B3017">
        <v>2020</v>
      </c>
      <c r="C3017" t="s">
        <v>904</v>
      </c>
      <c r="D3017" t="s">
        <v>906</v>
      </c>
      <c r="E3017" t="s">
        <v>3923</v>
      </c>
      <c r="F3017" t="s">
        <v>791</v>
      </c>
      <c r="G3017" t="s">
        <v>323</v>
      </c>
      <c r="H3017" s="6">
        <v>71993</v>
      </c>
      <c r="I3017" s="6">
        <v>3.8146986384896366E-4</v>
      </c>
      <c r="J3017" s="6">
        <v>898.7429992281584</v>
      </c>
      <c r="K3017" s="6">
        <v>77302</v>
      </c>
      <c r="M3017" s="6">
        <f>SUM(H3017,J3017)</f>
        <v>72891.742999228154</v>
      </c>
      <c r="N3017" s="6">
        <f>K3017</f>
        <v>77302</v>
      </c>
      <c r="O3017" s="6">
        <f>SUM(M3017:N3017)</f>
        <v>150193.74299922815</v>
      </c>
      <c r="P3017" s="8">
        <f>VLOOKUP(F3017,'LEAID Match'!$A$2:$B$436,2,FALSE)</f>
        <v>1800014</v>
      </c>
      <c r="Q3017" s="6">
        <f>COUNTIF($P$2:$P$3691,P3017)</f>
        <v>9</v>
      </c>
    </row>
    <row r="3018" spans="1:17" x14ac:dyDescent="0.2">
      <c r="A3018" s="16">
        <f>P3018</f>
        <v>1800014</v>
      </c>
      <c r="B3018">
        <v>2021</v>
      </c>
      <c r="C3018" t="s">
        <v>904</v>
      </c>
      <c r="D3018" t="s">
        <v>906</v>
      </c>
      <c r="E3018" t="s">
        <v>3924</v>
      </c>
      <c r="F3018" t="s">
        <v>791</v>
      </c>
      <c r="G3018" t="s">
        <v>323</v>
      </c>
      <c r="H3018" s="6">
        <v>77936</v>
      </c>
      <c r="I3018" s="6">
        <v>3.850110879646347E-4</v>
      </c>
      <c r="J3018" s="6">
        <v>867.81499227228664</v>
      </c>
      <c r="K3018" s="6">
        <v>136821</v>
      </c>
      <c r="M3018" s="6">
        <f>SUM(H3018,J3018)</f>
        <v>78803.814992272281</v>
      </c>
      <c r="N3018" s="6">
        <f>K3018</f>
        <v>136821</v>
      </c>
      <c r="O3018" s="6">
        <f>SUM(M3018:N3018)</f>
        <v>215624.8149922723</v>
      </c>
      <c r="P3018" s="8">
        <f>VLOOKUP(F3018,'LEAID Match'!$A$2:$B$436,2,FALSE)</f>
        <v>1800014</v>
      </c>
      <c r="Q3018" s="6">
        <f>COUNTIF($P$2:$P$3691,P3018)</f>
        <v>9</v>
      </c>
    </row>
    <row r="3019" spans="1:17" x14ac:dyDescent="0.2">
      <c r="A3019" s="16">
        <f>P3019</f>
        <v>1800014</v>
      </c>
      <c r="B3019">
        <v>2022</v>
      </c>
      <c r="C3019" t="s">
        <v>904</v>
      </c>
      <c r="D3019" t="s">
        <v>906</v>
      </c>
      <c r="E3019" t="s">
        <v>3925</v>
      </c>
      <c r="F3019" t="s">
        <v>791</v>
      </c>
      <c r="G3019" t="s">
        <v>323</v>
      </c>
      <c r="H3019" s="6">
        <v>82903</v>
      </c>
      <c r="I3019" s="6">
        <v>3.9363885161668513E-4</v>
      </c>
      <c r="J3019" s="6">
        <v>867.9736678147907</v>
      </c>
      <c r="K3019" s="6">
        <v>141863</v>
      </c>
      <c r="M3019" s="6">
        <f>SUM(H3019,J3019)</f>
        <v>83770.973667814789</v>
      </c>
      <c r="N3019" s="6">
        <f>K3019</f>
        <v>141863</v>
      </c>
      <c r="O3019" s="6">
        <f>SUM(M3019:N3019)</f>
        <v>225633.9736678148</v>
      </c>
      <c r="P3019" s="8">
        <f>VLOOKUP(F3019,'LEAID Match'!$A$2:$B$436,2,FALSE)</f>
        <v>1800014</v>
      </c>
      <c r="Q3019" s="6">
        <f>COUNTIF($P$2:$P$3691,P3019)</f>
        <v>9</v>
      </c>
    </row>
    <row r="3020" spans="1:17" x14ac:dyDescent="0.2">
      <c r="A3020" s="16">
        <f>P3020</f>
        <v>1800014</v>
      </c>
      <c r="B3020">
        <v>2023</v>
      </c>
      <c r="C3020" t="s">
        <v>904</v>
      </c>
      <c r="D3020" t="s">
        <v>906</v>
      </c>
      <c r="E3020" t="s">
        <v>3926</v>
      </c>
      <c r="F3020" t="s">
        <v>791</v>
      </c>
      <c r="G3020" t="s">
        <v>323</v>
      </c>
      <c r="H3020" s="6">
        <v>96201</v>
      </c>
      <c r="I3020" s="6">
        <v>3.9340923211781829E-4</v>
      </c>
      <c r="J3020" s="6">
        <v>970.54057563465778</v>
      </c>
      <c r="K3020" s="6">
        <v>47856</v>
      </c>
      <c r="M3020" s="6">
        <f>SUM(H3020,J3020)</f>
        <v>97171.540575634659</v>
      </c>
      <c r="N3020" s="6">
        <f>K3020</f>
        <v>47856</v>
      </c>
      <c r="O3020" s="6">
        <f>SUM(M3020:N3020)</f>
        <v>145027.54057563466</v>
      </c>
      <c r="P3020" s="8">
        <f>VLOOKUP(F3020,'LEAID Match'!$A$2:$B$436,2,FALSE)</f>
        <v>1800014</v>
      </c>
      <c r="Q3020" s="6">
        <f>COUNTIF($P$2:$P$3691,P3020)</f>
        <v>9</v>
      </c>
    </row>
    <row r="3021" spans="1:17" x14ac:dyDescent="0.2">
      <c r="A3021" s="16">
        <f>P3021</f>
        <v>1800019</v>
      </c>
      <c r="B3021">
        <v>2015</v>
      </c>
      <c r="C3021" t="s">
        <v>904</v>
      </c>
      <c r="D3021" t="s">
        <v>906</v>
      </c>
      <c r="E3021" t="s">
        <v>3927</v>
      </c>
      <c r="F3021" t="s">
        <v>838</v>
      </c>
      <c r="G3021" t="s">
        <v>324</v>
      </c>
      <c r="H3021" s="6">
        <v>12160</v>
      </c>
      <c r="I3021" s="6">
        <v>5.9130517829188368E-5</v>
      </c>
      <c r="J3021" s="6">
        <v>343.60743910541362</v>
      </c>
      <c r="K3021" s="6">
        <v>50001.7119646469</v>
      </c>
      <c r="M3021" s="6">
        <f>SUM(H3021,J3021)</f>
        <v>12503.607439105414</v>
      </c>
      <c r="N3021" s="6">
        <f>K3021</f>
        <v>50001.7119646469</v>
      </c>
      <c r="O3021" s="6">
        <f>SUM(M3021:N3021)</f>
        <v>62505.319403752314</v>
      </c>
      <c r="P3021" s="8">
        <f>VLOOKUP(F3021,'LEAID Match'!$A$2:$B$436,2,FALSE)</f>
        <v>1800019</v>
      </c>
      <c r="Q3021" s="6">
        <f>COUNTIF($P$2:$P$3691,P3021)</f>
        <v>9</v>
      </c>
    </row>
    <row r="3022" spans="1:17" x14ac:dyDescent="0.2">
      <c r="A3022" s="16">
        <f>P3022</f>
        <v>1800019</v>
      </c>
      <c r="B3022">
        <v>2016</v>
      </c>
      <c r="C3022" t="s">
        <v>904</v>
      </c>
      <c r="D3022" t="s">
        <v>906</v>
      </c>
      <c r="E3022" t="s">
        <v>3928</v>
      </c>
      <c r="F3022" t="s">
        <v>838</v>
      </c>
      <c r="G3022" t="s">
        <v>324</v>
      </c>
      <c r="H3022" s="6" t="s">
        <v>187</v>
      </c>
      <c r="I3022" s="6">
        <v>0</v>
      </c>
      <c r="J3022" s="6">
        <v>0</v>
      </c>
      <c r="K3022" s="6">
        <v>0</v>
      </c>
      <c r="M3022" s="6">
        <f>SUM(H3022,J3022)</f>
        <v>0</v>
      </c>
      <c r="N3022" s="6">
        <f>K3022</f>
        <v>0</v>
      </c>
      <c r="O3022" s="6">
        <f>SUM(M3022:N3022)</f>
        <v>0</v>
      </c>
      <c r="P3022" s="8">
        <f>VLOOKUP(F3022,'LEAID Match'!$A$2:$B$436,2,FALSE)</f>
        <v>1800019</v>
      </c>
      <c r="Q3022" s="6">
        <f>COUNTIF($P$2:$P$3691,P3022)</f>
        <v>9</v>
      </c>
    </row>
    <row r="3023" spans="1:17" x14ac:dyDescent="0.2">
      <c r="A3023" s="16">
        <f>P3023</f>
        <v>1800019</v>
      </c>
      <c r="B3023">
        <v>2017</v>
      </c>
      <c r="C3023" t="s">
        <v>904</v>
      </c>
      <c r="D3023" t="s">
        <v>906</v>
      </c>
      <c r="E3023" t="s">
        <v>3929</v>
      </c>
      <c r="F3023" t="s">
        <v>838</v>
      </c>
      <c r="G3023" t="s">
        <v>324</v>
      </c>
      <c r="H3023" s="6" t="s">
        <v>187</v>
      </c>
      <c r="I3023" s="6">
        <v>0</v>
      </c>
      <c r="J3023" s="6">
        <v>0</v>
      </c>
      <c r="K3023" s="6">
        <v>0</v>
      </c>
      <c r="M3023" s="6">
        <f>SUM(H3023,J3023)</f>
        <v>0</v>
      </c>
      <c r="N3023" s="6">
        <f>K3023</f>
        <v>0</v>
      </c>
      <c r="O3023" s="6">
        <f>SUM(M3023:N3023)</f>
        <v>0</v>
      </c>
      <c r="P3023" s="8">
        <f>VLOOKUP(F3023,'LEAID Match'!$A$2:$B$436,2,FALSE)</f>
        <v>1800019</v>
      </c>
      <c r="Q3023" s="6">
        <f>COUNTIF($P$2:$P$3691,P3023)</f>
        <v>9</v>
      </c>
    </row>
    <row r="3024" spans="1:17" x14ac:dyDescent="0.2">
      <c r="A3024" s="16">
        <f>P3024</f>
        <v>1800019</v>
      </c>
      <c r="B3024">
        <v>2018</v>
      </c>
      <c r="C3024" t="s">
        <v>904</v>
      </c>
      <c r="D3024" t="s">
        <v>906</v>
      </c>
      <c r="E3024" t="s">
        <v>3930</v>
      </c>
      <c r="F3024" t="s">
        <v>838</v>
      </c>
      <c r="G3024" t="s">
        <v>324</v>
      </c>
      <c r="H3024" s="6" t="s">
        <v>187</v>
      </c>
      <c r="I3024" s="6">
        <v>0</v>
      </c>
      <c r="J3024" s="6">
        <v>0</v>
      </c>
      <c r="K3024" s="6">
        <v>0</v>
      </c>
      <c r="M3024" s="6">
        <f>SUM(H3024,J3024)</f>
        <v>0</v>
      </c>
      <c r="N3024" s="6">
        <f>K3024</f>
        <v>0</v>
      </c>
      <c r="O3024" s="6">
        <f>SUM(M3024:N3024)</f>
        <v>0</v>
      </c>
      <c r="P3024" s="8">
        <f>VLOOKUP(F3024,'LEAID Match'!$A$2:$B$436,2,FALSE)</f>
        <v>1800019</v>
      </c>
      <c r="Q3024" s="6">
        <f>COUNTIF($P$2:$P$3691,P3024)</f>
        <v>9</v>
      </c>
    </row>
    <row r="3025" spans="1:17" x14ac:dyDescent="0.2">
      <c r="A3025" s="16">
        <f>P3025</f>
        <v>1800019</v>
      </c>
      <c r="B3025">
        <v>2019</v>
      </c>
      <c r="C3025" t="s">
        <v>904</v>
      </c>
      <c r="D3025" t="s">
        <v>906</v>
      </c>
      <c r="E3025" t="s">
        <v>3931</v>
      </c>
      <c r="F3025" t="s">
        <v>838</v>
      </c>
      <c r="G3025" t="s">
        <v>324</v>
      </c>
      <c r="H3025" s="6" t="s">
        <v>187</v>
      </c>
      <c r="I3025" s="6">
        <v>0</v>
      </c>
      <c r="J3025" s="6">
        <v>0</v>
      </c>
      <c r="K3025" s="6">
        <v>0</v>
      </c>
      <c r="M3025" s="6">
        <f>SUM(H3025,J3025)</f>
        <v>0</v>
      </c>
      <c r="N3025" s="6">
        <f>K3025</f>
        <v>0</v>
      </c>
      <c r="O3025" s="6">
        <f>SUM(M3025:N3025)</f>
        <v>0</v>
      </c>
      <c r="P3025" s="8">
        <f>VLOOKUP(F3025,'LEAID Match'!$A$2:$B$436,2,FALSE)</f>
        <v>1800019</v>
      </c>
      <c r="Q3025" s="6">
        <f>COUNTIF($P$2:$P$3691,P3025)</f>
        <v>9</v>
      </c>
    </row>
    <row r="3026" spans="1:17" x14ac:dyDescent="0.2">
      <c r="A3026" s="16">
        <f>P3026</f>
        <v>1800019</v>
      </c>
      <c r="B3026">
        <v>2020</v>
      </c>
      <c r="C3026" t="s">
        <v>904</v>
      </c>
      <c r="D3026" t="s">
        <v>906</v>
      </c>
      <c r="E3026" t="s">
        <v>3932</v>
      </c>
      <c r="F3026" t="s">
        <v>838</v>
      </c>
      <c r="G3026" t="s">
        <v>324</v>
      </c>
      <c r="H3026" s="6" t="s">
        <v>187</v>
      </c>
      <c r="I3026" s="6">
        <v>0</v>
      </c>
      <c r="J3026" s="6">
        <v>0</v>
      </c>
      <c r="K3026" s="6">
        <v>0</v>
      </c>
      <c r="M3026" s="6">
        <f>SUM(H3026,J3026)</f>
        <v>0</v>
      </c>
      <c r="N3026" s="6">
        <f>K3026</f>
        <v>0</v>
      </c>
      <c r="O3026" s="6">
        <f>SUM(M3026:N3026)</f>
        <v>0</v>
      </c>
      <c r="P3026" s="8">
        <f>VLOOKUP(F3026,'LEAID Match'!$A$2:$B$436,2,FALSE)</f>
        <v>1800019</v>
      </c>
      <c r="Q3026" s="6">
        <f>COUNTIF($P$2:$P$3691,P3026)</f>
        <v>9</v>
      </c>
    </row>
    <row r="3027" spans="1:17" x14ac:dyDescent="0.2">
      <c r="A3027" s="16">
        <f>P3027</f>
        <v>1800019</v>
      </c>
      <c r="B3027">
        <v>2021</v>
      </c>
      <c r="C3027" t="s">
        <v>904</v>
      </c>
      <c r="D3027" t="s">
        <v>906</v>
      </c>
      <c r="E3027" t="s">
        <v>3933</v>
      </c>
      <c r="F3027" t="s">
        <v>838</v>
      </c>
      <c r="G3027" t="s">
        <v>324</v>
      </c>
      <c r="H3027" s="6" t="s">
        <v>187</v>
      </c>
      <c r="I3027" s="6">
        <v>0</v>
      </c>
      <c r="J3027" s="6">
        <v>0</v>
      </c>
      <c r="K3027" s="6">
        <v>0</v>
      </c>
      <c r="M3027" s="6">
        <f>SUM(H3027,J3027)</f>
        <v>0</v>
      </c>
      <c r="N3027" s="6">
        <f>K3027</f>
        <v>0</v>
      </c>
      <c r="O3027" s="6">
        <f>SUM(M3027:N3027)</f>
        <v>0</v>
      </c>
      <c r="P3027" s="8">
        <f>VLOOKUP(F3027,'LEAID Match'!$A$2:$B$436,2,FALSE)</f>
        <v>1800019</v>
      </c>
      <c r="Q3027" s="6">
        <f>COUNTIF($P$2:$P$3691,P3027)</f>
        <v>9</v>
      </c>
    </row>
    <row r="3028" spans="1:17" x14ac:dyDescent="0.2">
      <c r="A3028" s="16">
        <f>P3028</f>
        <v>1800019</v>
      </c>
      <c r="B3028">
        <v>2022</v>
      </c>
      <c r="C3028" t="s">
        <v>904</v>
      </c>
      <c r="D3028" t="s">
        <v>906</v>
      </c>
      <c r="E3028" t="s">
        <v>3934</v>
      </c>
      <c r="F3028" t="s">
        <v>838</v>
      </c>
      <c r="G3028" t="s">
        <v>324</v>
      </c>
      <c r="H3028" s="6" t="s">
        <v>187</v>
      </c>
      <c r="I3028" s="6">
        <v>0</v>
      </c>
      <c r="J3028" s="6">
        <v>0</v>
      </c>
      <c r="K3028" s="6">
        <v>0</v>
      </c>
      <c r="M3028" s="6">
        <f>SUM(H3028,J3028)</f>
        <v>0</v>
      </c>
      <c r="N3028" s="6">
        <f>K3028</f>
        <v>0</v>
      </c>
      <c r="O3028" s="6">
        <f>SUM(M3028:N3028)</f>
        <v>0</v>
      </c>
      <c r="P3028" s="8">
        <f>VLOOKUP(F3028,'LEAID Match'!$A$2:$B$436,2,FALSE)</f>
        <v>1800019</v>
      </c>
      <c r="Q3028" s="6">
        <f>COUNTIF($P$2:$P$3691,P3028)</f>
        <v>9</v>
      </c>
    </row>
    <row r="3029" spans="1:17" x14ac:dyDescent="0.2">
      <c r="A3029" s="16">
        <f>P3029</f>
        <v>1800019</v>
      </c>
      <c r="B3029">
        <v>2023</v>
      </c>
      <c r="C3029" t="s">
        <v>904</v>
      </c>
      <c r="D3029" t="s">
        <v>906</v>
      </c>
      <c r="E3029" t="s">
        <v>3935</v>
      </c>
      <c r="F3029" t="s">
        <v>838</v>
      </c>
      <c r="G3029" t="s">
        <v>324</v>
      </c>
      <c r="H3029" s="6" t="s">
        <v>187</v>
      </c>
      <c r="I3029" s="6">
        <v>0</v>
      </c>
      <c r="J3029" s="6">
        <v>0</v>
      </c>
      <c r="K3029" s="6">
        <v>0</v>
      </c>
      <c r="M3029" s="6">
        <f>SUM(H3029,J3029)</f>
        <v>0</v>
      </c>
      <c r="N3029" s="6">
        <f>K3029</f>
        <v>0</v>
      </c>
      <c r="O3029" s="6">
        <f>SUM(M3029:N3029)</f>
        <v>0</v>
      </c>
      <c r="P3029" s="8">
        <f>VLOOKUP(F3029,'LEAID Match'!$A$2:$B$436,2,FALSE)</f>
        <v>1800019</v>
      </c>
      <c r="Q3029" s="6">
        <f>COUNTIF($P$2:$P$3691,P3029)</f>
        <v>9</v>
      </c>
    </row>
    <row r="3030" spans="1:17" x14ac:dyDescent="0.2">
      <c r="A3030" s="16">
        <f>P3030</f>
        <v>1800017</v>
      </c>
      <c r="B3030">
        <v>2015</v>
      </c>
      <c r="C3030" t="s">
        <v>904</v>
      </c>
      <c r="D3030" t="s">
        <v>906</v>
      </c>
      <c r="E3030" t="s">
        <v>3936</v>
      </c>
      <c r="F3030" t="s">
        <v>792</v>
      </c>
      <c r="G3030" t="s">
        <v>325</v>
      </c>
      <c r="H3030" s="6">
        <v>20462</v>
      </c>
      <c r="I3030" s="6">
        <v>9.9500711827372727E-5</v>
      </c>
      <c r="J3030" s="6">
        <v>578.19863642886287</v>
      </c>
      <c r="K3030" s="6">
        <v>84139.393932615596</v>
      </c>
      <c r="M3030" s="6">
        <f>SUM(H3030,J3030)</f>
        <v>21040.198636428864</v>
      </c>
      <c r="N3030" s="6">
        <f>K3030</f>
        <v>84139.393932615596</v>
      </c>
      <c r="O3030" s="6">
        <f>SUM(M3030:N3030)</f>
        <v>105179.59256904446</v>
      </c>
      <c r="P3030" s="8">
        <f>VLOOKUP(F3030,'LEAID Match'!$A$2:$B$436,2,FALSE)</f>
        <v>1800017</v>
      </c>
      <c r="Q3030" s="6">
        <f>COUNTIF($P$2:$P$3691,P3030)</f>
        <v>9</v>
      </c>
    </row>
    <row r="3031" spans="1:17" x14ac:dyDescent="0.2">
      <c r="A3031" s="16">
        <f>P3031</f>
        <v>1800017</v>
      </c>
      <c r="B3031">
        <v>2016</v>
      </c>
      <c r="C3031" t="s">
        <v>904</v>
      </c>
      <c r="D3031" t="s">
        <v>906</v>
      </c>
      <c r="E3031" t="s">
        <v>3937</v>
      </c>
      <c r="F3031" t="s">
        <v>792</v>
      </c>
      <c r="G3031" t="s">
        <v>325</v>
      </c>
      <c r="H3031" s="6">
        <v>8283</v>
      </c>
      <c r="I3031" s="6">
        <v>3.8434137287044639E-5</v>
      </c>
      <c r="J3031" s="6">
        <v>194.01552502500132</v>
      </c>
      <c r="K3031" s="6">
        <v>34110.296842252101</v>
      </c>
      <c r="M3031" s="6">
        <f>SUM(H3031,J3031)</f>
        <v>8477.0155250250009</v>
      </c>
      <c r="N3031" s="6">
        <f>K3031</f>
        <v>34110.296842252101</v>
      </c>
      <c r="O3031" s="6">
        <f>SUM(M3031:N3031)</f>
        <v>42587.312367277103</v>
      </c>
      <c r="P3031" s="8">
        <f>VLOOKUP(F3031,'LEAID Match'!$A$2:$B$436,2,FALSE)</f>
        <v>1800017</v>
      </c>
      <c r="Q3031" s="6">
        <f>COUNTIF($P$2:$P$3691,P3031)</f>
        <v>9</v>
      </c>
    </row>
    <row r="3032" spans="1:17" x14ac:dyDescent="0.2">
      <c r="A3032" s="16">
        <f>P3032</f>
        <v>1800017</v>
      </c>
      <c r="B3032">
        <v>2017</v>
      </c>
      <c r="C3032" t="s">
        <v>904</v>
      </c>
      <c r="D3032" t="s">
        <v>906</v>
      </c>
      <c r="E3032" t="s">
        <v>3938</v>
      </c>
      <c r="F3032" t="s">
        <v>792</v>
      </c>
      <c r="G3032" t="s">
        <v>325</v>
      </c>
      <c r="H3032" s="6" t="s">
        <v>187</v>
      </c>
      <c r="I3032" s="6">
        <v>0</v>
      </c>
      <c r="J3032" s="6">
        <v>0</v>
      </c>
      <c r="K3032" s="6">
        <v>0</v>
      </c>
      <c r="M3032" s="6">
        <f>SUM(H3032,J3032)</f>
        <v>0</v>
      </c>
      <c r="N3032" s="6">
        <f>K3032</f>
        <v>0</v>
      </c>
      <c r="O3032" s="6">
        <f>SUM(M3032:N3032)</f>
        <v>0</v>
      </c>
      <c r="P3032" s="8">
        <f>VLOOKUP(F3032,'LEAID Match'!$A$2:$B$436,2,FALSE)</f>
        <v>1800017</v>
      </c>
      <c r="Q3032" s="6">
        <f>COUNTIF($P$2:$P$3691,P3032)</f>
        <v>9</v>
      </c>
    </row>
    <row r="3033" spans="1:17" x14ac:dyDescent="0.2">
      <c r="A3033" s="16">
        <f>P3033</f>
        <v>1800017</v>
      </c>
      <c r="B3033">
        <v>2018</v>
      </c>
      <c r="C3033" t="s">
        <v>904</v>
      </c>
      <c r="D3033" t="s">
        <v>906</v>
      </c>
      <c r="E3033" t="s">
        <v>3939</v>
      </c>
      <c r="F3033" t="s">
        <v>792</v>
      </c>
      <c r="G3033" t="s">
        <v>325</v>
      </c>
      <c r="H3033" s="6" t="s">
        <v>187</v>
      </c>
      <c r="I3033" s="6">
        <v>0</v>
      </c>
      <c r="J3033" s="6">
        <v>0</v>
      </c>
      <c r="K3033" s="6">
        <v>0</v>
      </c>
      <c r="M3033" s="6">
        <f>SUM(H3033,J3033)</f>
        <v>0</v>
      </c>
      <c r="N3033" s="6">
        <f>K3033</f>
        <v>0</v>
      </c>
      <c r="O3033" s="6">
        <f>SUM(M3033:N3033)</f>
        <v>0</v>
      </c>
      <c r="P3033" s="8">
        <f>VLOOKUP(F3033,'LEAID Match'!$A$2:$B$436,2,FALSE)</f>
        <v>1800017</v>
      </c>
      <c r="Q3033" s="6">
        <f>COUNTIF($P$2:$P$3691,P3033)</f>
        <v>9</v>
      </c>
    </row>
    <row r="3034" spans="1:17" x14ac:dyDescent="0.2">
      <c r="A3034" s="16">
        <f>P3034</f>
        <v>1800017</v>
      </c>
      <c r="B3034">
        <v>2019</v>
      </c>
      <c r="C3034" t="s">
        <v>904</v>
      </c>
      <c r="D3034" t="s">
        <v>906</v>
      </c>
      <c r="E3034" t="s">
        <v>3940</v>
      </c>
      <c r="F3034" t="s">
        <v>792</v>
      </c>
      <c r="G3034" t="s">
        <v>325</v>
      </c>
      <c r="H3034" s="6" t="s">
        <v>187</v>
      </c>
      <c r="I3034" s="6">
        <v>0</v>
      </c>
      <c r="J3034" s="6">
        <v>0</v>
      </c>
      <c r="K3034" s="6">
        <v>0</v>
      </c>
      <c r="M3034" s="6">
        <f>SUM(H3034,J3034)</f>
        <v>0</v>
      </c>
      <c r="N3034" s="6">
        <f>K3034</f>
        <v>0</v>
      </c>
      <c r="O3034" s="6">
        <f>SUM(M3034:N3034)</f>
        <v>0</v>
      </c>
      <c r="P3034" s="8">
        <f>VLOOKUP(F3034,'LEAID Match'!$A$2:$B$436,2,FALSE)</f>
        <v>1800017</v>
      </c>
      <c r="Q3034" s="6">
        <f>COUNTIF($P$2:$P$3691,P3034)</f>
        <v>9</v>
      </c>
    </row>
    <row r="3035" spans="1:17" x14ac:dyDescent="0.2">
      <c r="A3035" s="16">
        <f>P3035</f>
        <v>1800017</v>
      </c>
      <c r="B3035">
        <v>2020</v>
      </c>
      <c r="C3035" t="s">
        <v>904</v>
      </c>
      <c r="D3035" t="s">
        <v>906</v>
      </c>
      <c r="E3035" t="s">
        <v>3941</v>
      </c>
      <c r="F3035" t="s">
        <v>792</v>
      </c>
      <c r="G3035" t="s">
        <v>325</v>
      </c>
      <c r="H3035" s="6" t="s">
        <v>187</v>
      </c>
      <c r="I3035" s="6">
        <v>0</v>
      </c>
      <c r="J3035" s="6">
        <v>0</v>
      </c>
      <c r="K3035" s="6">
        <v>0</v>
      </c>
      <c r="M3035" s="6">
        <f>SUM(H3035,J3035)</f>
        <v>0</v>
      </c>
      <c r="N3035" s="6">
        <f>K3035</f>
        <v>0</v>
      </c>
      <c r="O3035" s="6">
        <f>SUM(M3035:N3035)</f>
        <v>0</v>
      </c>
      <c r="P3035" s="8">
        <f>VLOOKUP(F3035,'LEAID Match'!$A$2:$B$436,2,FALSE)</f>
        <v>1800017</v>
      </c>
      <c r="Q3035" s="6">
        <f>COUNTIF($P$2:$P$3691,P3035)</f>
        <v>9</v>
      </c>
    </row>
    <row r="3036" spans="1:17" x14ac:dyDescent="0.2">
      <c r="A3036" s="16">
        <f>P3036</f>
        <v>1800017</v>
      </c>
      <c r="B3036">
        <v>2021</v>
      </c>
      <c r="C3036" t="s">
        <v>904</v>
      </c>
      <c r="D3036" t="s">
        <v>906</v>
      </c>
      <c r="E3036" t="s">
        <v>3942</v>
      </c>
      <c r="F3036" t="s">
        <v>792</v>
      </c>
      <c r="G3036" t="s">
        <v>325</v>
      </c>
      <c r="H3036" s="6" t="s">
        <v>187</v>
      </c>
      <c r="I3036" s="6">
        <v>0</v>
      </c>
      <c r="J3036" s="6">
        <v>0</v>
      </c>
      <c r="K3036" s="6">
        <v>0</v>
      </c>
      <c r="M3036" s="6">
        <f>SUM(H3036,J3036)</f>
        <v>0</v>
      </c>
      <c r="N3036" s="6">
        <f>K3036</f>
        <v>0</v>
      </c>
      <c r="O3036" s="6">
        <f>SUM(M3036:N3036)</f>
        <v>0</v>
      </c>
      <c r="P3036" s="8">
        <f>VLOOKUP(F3036,'LEAID Match'!$A$2:$B$436,2,FALSE)</f>
        <v>1800017</v>
      </c>
      <c r="Q3036" s="6">
        <f>COUNTIF($P$2:$P$3691,P3036)</f>
        <v>9</v>
      </c>
    </row>
    <row r="3037" spans="1:17" x14ac:dyDescent="0.2">
      <c r="A3037" s="16">
        <f>P3037</f>
        <v>1800017</v>
      </c>
      <c r="B3037">
        <v>2022</v>
      </c>
      <c r="C3037" t="s">
        <v>904</v>
      </c>
      <c r="D3037" t="s">
        <v>906</v>
      </c>
      <c r="E3037" t="s">
        <v>3943</v>
      </c>
      <c r="F3037" t="s">
        <v>792</v>
      </c>
      <c r="G3037" t="s">
        <v>325</v>
      </c>
      <c r="H3037" s="6" t="s">
        <v>187</v>
      </c>
      <c r="I3037" s="6">
        <v>0</v>
      </c>
      <c r="J3037" s="6">
        <v>0</v>
      </c>
      <c r="K3037" s="6" t="s">
        <v>187</v>
      </c>
      <c r="M3037" s="6">
        <f>SUM(H3037,J3037)</f>
        <v>0</v>
      </c>
      <c r="N3037" s="6" t="str">
        <f>K3037</f>
        <v>-</v>
      </c>
      <c r="O3037" s="6">
        <f>SUM(M3037:N3037)</f>
        <v>0</v>
      </c>
      <c r="P3037" s="8">
        <f>VLOOKUP(F3037,'LEAID Match'!$A$2:$B$436,2,FALSE)</f>
        <v>1800017</v>
      </c>
      <c r="Q3037" s="6">
        <f>COUNTIF($P$2:$P$3691,P3037)</f>
        <v>9</v>
      </c>
    </row>
    <row r="3038" spans="1:17" x14ac:dyDescent="0.2">
      <c r="A3038" s="16">
        <f>P3038</f>
        <v>1800017</v>
      </c>
      <c r="B3038">
        <v>2023</v>
      </c>
      <c r="C3038" t="s">
        <v>904</v>
      </c>
      <c r="D3038" t="s">
        <v>906</v>
      </c>
      <c r="E3038" t="s">
        <v>3944</v>
      </c>
      <c r="F3038" t="s">
        <v>792</v>
      </c>
      <c r="G3038" t="s">
        <v>325</v>
      </c>
      <c r="H3038" s="6" t="s">
        <v>187</v>
      </c>
      <c r="I3038" s="6">
        <v>0</v>
      </c>
      <c r="J3038" s="6">
        <v>0</v>
      </c>
      <c r="K3038" s="6" t="s">
        <v>187</v>
      </c>
      <c r="M3038" s="6">
        <f>SUM(H3038,J3038)</f>
        <v>0</v>
      </c>
      <c r="N3038" s="6" t="str">
        <f>K3038</f>
        <v>-</v>
      </c>
      <c r="O3038" s="6">
        <f>SUM(M3038:N3038)</f>
        <v>0</v>
      </c>
      <c r="P3038" s="8">
        <f>VLOOKUP(F3038,'LEAID Match'!$A$2:$B$436,2,FALSE)</f>
        <v>1800017</v>
      </c>
      <c r="Q3038" s="6">
        <f>COUNTIF($P$2:$P$3691,P3038)</f>
        <v>9</v>
      </c>
    </row>
    <row r="3039" spans="1:17" x14ac:dyDescent="0.2">
      <c r="A3039" s="16">
        <f>P3039</f>
        <v>1800025</v>
      </c>
      <c r="B3039">
        <v>2015</v>
      </c>
      <c r="C3039" t="s">
        <v>904</v>
      </c>
      <c r="D3039" t="s">
        <v>906</v>
      </c>
      <c r="E3039" t="s">
        <v>3945</v>
      </c>
      <c r="F3039" t="s">
        <v>793</v>
      </c>
      <c r="G3039" t="s">
        <v>326</v>
      </c>
      <c r="H3039" s="6">
        <v>300241</v>
      </c>
      <c r="I3039" s="6">
        <v>1.4599840298974791E-3</v>
      </c>
      <c r="J3039" s="6">
        <v>8483.9671977342514</v>
      </c>
      <c r="K3039" s="6">
        <v>1234585.8554257799</v>
      </c>
      <c r="M3039" s="6">
        <f>SUM(H3039,J3039)</f>
        <v>308724.96719773428</v>
      </c>
      <c r="N3039" s="6">
        <f>K3039</f>
        <v>1234585.8554257799</v>
      </c>
      <c r="O3039" s="6">
        <f>SUM(M3039:N3039)</f>
        <v>1543310.8226235141</v>
      </c>
      <c r="P3039" s="8">
        <f>VLOOKUP(F3039,'LEAID Match'!$A$2:$B$436,2,FALSE)</f>
        <v>1800025</v>
      </c>
      <c r="Q3039" s="6">
        <f>COUNTIF($P$2:$P$3691,P3039)</f>
        <v>9</v>
      </c>
    </row>
    <row r="3040" spans="1:17" x14ac:dyDescent="0.2">
      <c r="A3040" s="16">
        <f>P3040</f>
        <v>1800025</v>
      </c>
      <c r="B3040">
        <v>2016</v>
      </c>
      <c r="C3040" t="s">
        <v>904</v>
      </c>
      <c r="D3040" t="s">
        <v>906</v>
      </c>
      <c r="E3040" t="s">
        <v>3946</v>
      </c>
      <c r="F3040" t="s">
        <v>793</v>
      </c>
      <c r="G3040" t="s">
        <v>326</v>
      </c>
      <c r="H3040" s="6">
        <v>247799</v>
      </c>
      <c r="I3040" s="6">
        <v>1.1498177937453065E-3</v>
      </c>
      <c r="J3040" s="6">
        <v>5804.2802228263072</v>
      </c>
      <c r="K3040" s="6">
        <v>1020463.29194895</v>
      </c>
      <c r="M3040" s="6">
        <f>SUM(H3040,J3040)</f>
        <v>253603.28022282632</v>
      </c>
      <c r="N3040" s="6">
        <f>K3040</f>
        <v>1020463.29194895</v>
      </c>
      <c r="O3040" s="6">
        <f>SUM(M3040:N3040)</f>
        <v>1274066.5721717763</v>
      </c>
      <c r="P3040" s="8">
        <f>VLOOKUP(F3040,'LEAID Match'!$A$2:$B$436,2,FALSE)</f>
        <v>1800025</v>
      </c>
      <c r="Q3040" s="6">
        <f>COUNTIF($P$2:$P$3691,P3040)</f>
        <v>9</v>
      </c>
    </row>
    <row r="3041" spans="1:17" x14ac:dyDescent="0.2">
      <c r="A3041" s="16">
        <f>P3041</f>
        <v>1800025</v>
      </c>
      <c r="B3041">
        <v>2017</v>
      </c>
      <c r="C3041" t="s">
        <v>904</v>
      </c>
      <c r="D3041" t="s">
        <v>906</v>
      </c>
      <c r="E3041" t="s">
        <v>3947</v>
      </c>
      <c r="F3041" t="s">
        <v>793</v>
      </c>
      <c r="G3041" t="s">
        <v>326</v>
      </c>
      <c r="H3041" s="6">
        <v>188953</v>
      </c>
      <c r="I3041" s="6">
        <v>8.3204089424653363E-4</v>
      </c>
      <c r="J3041" s="6">
        <v>3764.9850464655647</v>
      </c>
      <c r="K3041" s="6">
        <v>724707.61888872995</v>
      </c>
      <c r="M3041" s="6">
        <f>SUM(H3041,J3041)</f>
        <v>192717.98504646556</v>
      </c>
      <c r="N3041" s="6">
        <f>K3041</f>
        <v>724707.61888872995</v>
      </c>
      <c r="O3041" s="6">
        <f>SUM(M3041:N3041)</f>
        <v>917425.60393519548</v>
      </c>
      <c r="P3041" s="8">
        <f>VLOOKUP(F3041,'LEAID Match'!$A$2:$B$436,2,FALSE)</f>
        <v>1800025</v>
      </c>
      <c r="Q3041" s="6">
        <f>COUNTIF($P$2:$P$3691,P3041)</f>
        <v>9</v>
      </c>
    </row>
    <row r="3042" spans="1:17" x14ac:dyDescent="0.2">
      <c r="A3042" s="16">
        <f>P3042</f>
        <v>1800025</v>
      </c>
      <c r="B3042">
        <v>2018</v>
      </c>
      <c r="C3042" t="s">
        <v>904</v>
      </c>
      <c r="D3042" t="s">
        <v>906</v>
      </c>
      <c r="E3042" t="s">
        <v>3948</v>
      </c>
      <c r="F3042" t="s">
        <v>793</v>
      </c>
      <c r="G3042" t="s">
        <v>326</v>
      </c>
      <c r="H3042" s="6">
        <v>163810</v>
      </c>
      <c r="I3042" s="6">
        <v>6.9494276392681887E-4</v>
      </c>
      <c r="J3042" s="6">
        <v>2896.5214400469808</v>
      </c>
      <c r="K3042" s="6">
        <v>26619</v>
      </c>
      <c r="M3042" s="6">
        <f>SUM(H3042,J3042)</f>
        <v>166706.52144004698</v>
      </c>
      <c r="N3042" s="6">
        <f>K3042</f>
        <v>26619</v>
      </c>
      <c r="O3042" s="6">
        <f>SUM(M3042:N3042)</f>
        <v>193325.52144004698</v>
      </c>
      <c r="P3042" s="8">
        <f>VLOOKUP(F3042,'LEAID Match'!$A$2:$B$436,2,FALSE)</f>
        <v>1800025</v>
      </c>
      <c r="Q3042" s="6">
        <f>COUNTIF($P$2:$P$3691,P3042)</f>
        <v>9</v>
      </c>
    </row>
    <row r="3043" spans="1:17" x14ac:dyDescent="0.2">
      <c r="A3043" s="16">
        <f>P3043</f>
        <v>1800025</v>
      </c>
      <c r="B3043">
        <v>2019</v>
      </c>
      <c r="C3043" t="s">
        <v>904</v>
      </c>
      <c r="D3043" t="s">
        <v>906</v>
      </c>
      <c r="E3043" t="s">
        <v>3949</v>
      </c>
      <c r="F3043" t="s">
        <v>793</v>
      </c>
      <c r="G3043" t="s">
        <v>326</v>
      </c>
      <c r="H3043" s="6">
        <v>123525</v>
      </c>
      <c r="I3043" s="6">
        <v>3.1424693007079665E-4</v>
      </c>
      <c r="J3043" s="6">
        <v>1101.4354898981424</v>
      </c>
      <c r="K3043" s="6">
        <v>296617.67729382502</v>
      </c>
      <c r="M3043" s="6">
        <f>SUM(H3043,J3043)</f>
        <v>124626.43548989814</v>
      </c>
      <c r="N3043" s="6">
        <f>K3043</f>
        <v>296617.67729382502</v>
      </c>
      <c r="O3043" s="6">
        <f>SUM(M3043:N3043)</f>
        <v>421244.11278372316</v>
      </c>
      <c r="P3043" s="8">
        <f>VLOOKUP(F3043,'LEAID Match'!$A$2:$B$436,2,FALSE)</f>
        <v>1800025</v>
      </c>
      <c r="Q3043" s="6">
        <f>COUNTIF($P$2:$P$3691,P3043)</f>
        <v>9</v>
      </c>
    </row>
    <row r="3044" spans="1:17" x14ac:dyDescent="0.2">
      <c r="A3044" s="16">
        <f>P3044</f>
        <v>1800025</v>
      </c>
      <c r="B3044">
        <v>2020</v>
      </c>
      <c r="C3044" t="s">
        <v>904</v>
      </c>
      <c r="D3044" t="s">
        <v>906</v>
      </c>
      <c r="E3044" t="s">
        <v>3950</v>
      </c>
      <c r="F3044" t="s">
        <v>793</v>
      </c>
      <c r="G3044" t="s">
        <v>326</v>
      </c>
      <c r="H3044" s="6">
        <v>61435</v>
      </c>
      <c r="I3044" s="6">
        <v>3.2552610789328244E-4</v>
      </c>
      <c r="J3044" s="6">
        <v>766.93951019657345</v>
      </c>
      <c r="K3044" s="6">
        <v>22530</v>
      </c>
      <c r="M3044" s="6">
        <f>SUM(H3044,J3044)</f>
        <v>62201.939510196571</v>
      </c>
      <c r="N3044" s="6">
        <f>K3044</f>
        <v>22530</v>
      </c>
      <c r="O3044" s="6">
        <f>SUM(M3044:N3044)</f>
        <v>84731.939510196564</v>
      </c>
      <c r="P3044" s="8">
        <f>VLOOKUP(F3044,'LEAID Match'!$A$2:$B$436,2,FALSE)</f>
        <v>1800025</v>
      </c>
      <c r="Q3044" s="6">
        <f>COUNTIF($P$2:$P$3691,P3044)</f>
        <v>9</v>
      </c>
    </row>
    <row r="3045" spans="1:17" x14ac:dyDescent="0.2">
      <c r="A3045" s="16">
        <f>P3045</f>
        <v>1800025</v>
      </c>
      <c r="B3045">
        <v>2021</v>
      </c>
      <c r="C3045" t="s">
        <v>904</v>
      </c>
      <c r="D3045" t="s">
        <v>906</v>
      </c>
      <c r="E3045" t="s">
        <v>3951</v>
      </c>
      <c r="F3045" t="s">
        <v>793</v>
      </c>
      <c r="G3045" t="s">
        <v>326</v>
      </c>
      <c r="H3045" s="6">
        <v>40930</v>
      </c>
      <c r="I3045" s="6">
        <v>2.0219800644621867E-4</v>
      </c>
      <c r="J3045" s="6">
        <v>455.7543065297769</v>
      </c>
      <c r="K3045" s="6">
        <v>43316</v>
      </c>
      <c r="M3045" s="6">
        <f>SUM(H3045,J3045)</f>
        <v>41385.75430652978</v>
      </c>
      <c r="N3045" s="6">
        <f>K3045</f>
        <v>43316</v>
      </c>
      <c r="O3045" s="6">
        <f>SUM(M3045:N3045)</f>
        <v>84701.75430652978</v>
      </c>
      <c r="P3045" s="8">
        <f>VLOOKUP(F3045,'LEAID Match'!$A$2:$B$436,2,FALSE)</f>
        <v>1800025</v>
      </c>
      <c r="Q3045" s="6">
        <f>COUNTIF($P$2:$P$3691,P3045)</f>
        <v>9</v>
      </c>
    </row>
    <row r="3046" spans="1:17" x14ac:dyDescent="0.2">
      <c r="A3046" s="16">
        <f>P3046</f>
        <v>1800025</v>
      </c>
      <c r="B3046">
        <v>2022</v>
      </c>
      <c r="C3046" t="s">
        <v>904</v>
      </c>
      <c r="D3046" t="s">
        <v>906</v>
      </c>
      <c r="E3046" t="s">
        <v>3952</v>
      </c>
      <c r="F3046" t="s">
        <v>793</v>
      </c>
      <c r="G3046" t="s">
        <v>326</v>
      </c>
      <c r="H3046" s="6">
        <v>38434</v>
      </c>
      <c r="I3046" s="6">
        <v>1.8249177500254124E-4</v>
      </c>
      <c r="J3046" s="6">
        <v>402.39436388060341</v>
      </c>
      <c r="K3046" s="6">
        <v>83257</v>
      </c>
      <c r="M3046" s="6">
        <f>SUM(H3046,J3046)</f>
        <v>38836.394363880601</v>
      </c>
      <c r="N3046" s="6">
        <f>K3046</f>
        <v>83257</v>
      </c>
      <c r="O3046" s="6">
        <f>SUM(M3046:N3046)</f>
        <v>122093.39436388059</v>
      </c>
      <c r="P3046" s="8">
        <f>VLOOKUP(F3046,'LEAID Match'!$A$2:$B$436,2,FALSE)</f>
        <v>1800025</v>
      </c>
      <c r="Q3046" s="6">
        <f>COUNTIF($P$2:$P$3691,P3046)</f>
        <v>9</v>
      </c>
    </row>
    <row r="3047" spans="1:17" x14ac:dyDescent="0.2">
      <c r="A3047" s="16">
        <f>P3047</f>
        <v>1800025</v>
      </c>
      <c r="B3047">
        <v>2023</v>
      </c>
      <c r="C3047" t="s">
        <v>904</v>
      </c>
      <c r="D3047" t="s">
        <v>906</v>
      </c>
      <c r="E3047" t="s">
        <v>3953</v>
      </c>
      <c r="F3047" t="s">
        <v>793</v>
      </c>
      <c r="G3047" t="s">
        <v>326</v>
      </c>
      <c r="H3047" s="6">
        <v>44512</v>
      </c>
      <c r="I3047" s="6">
        <v>1.8202962276928856E-4</v>
      </c>
      <c r="J3047" s="6">
        <v>449.06707937183489</v>
      </c>
      <c r="K3047" s="6">
        <v>417148</v>
      </c>
      <c r="M3047" s="6">
        <f>SUM(H3047,J3047)</f>
        <v>44961.067079371838</v>
      </c>
      <c r="N3047" s="6">
        <f>K3047</f>
        <v>417148</v>
      </c>
      <c r="O3047" s="6">
        <f>SUM(M3047:N3047)</f>
        <v>462109.06707937183</v>
      </c>
      <c r="P3047" s="8">
        <f>VLOOKUP(F3047,'LEAID Match'!$A$2:$B$436,2,FALSE)</f>
        <v>1800025</v>
      </c>
      <c r="Q3047" s="6">
        <f>COUNTIF($P$2:$P$3691,P3047)</f>
        <v>9</v>
      </c>
    </row>
    <row r="3048" spans="1:17" x14ac:dyDescent="0.2">
      <c r="A3048" s="16">
        <f>P3048</f>
        <v>1800015</v>
      </c>
      <c r="B3048">
        <v>2015</v>
      </c>
      <c r="C3048" t="s">
        <v>904</v>
      </c>
      <c r="D3048" t="s">
        <v>906</v>
      </c>
      <c r="E3048" t="s">
        <v>3954</v>
      </c>
      <c r="F3048" t="s">
        <v>839</v>
      </c>
      <c r="G3048" t="s">
        <v>327</v>
      </c>
      <c r="H3048" s="6">
        <v>22007</v>
      </c>
      <c r="I3048" s="6">
        <v>1.0701359423247932E-4</v>
      </c>
      <c r="J3048" s="6">
        <v>621.85599608493726</v>
      </c>
      <c r="K3048" s="6">
        <v>90492.407500492205</v>
      </c>
      <c r="M3048" s="6">
        <f>SUM(H3048,J3048)</f>
        <v>22628.855996084938</v>
      </c>
      <c r="N3048" s="6">
        <f>K3048</f>
        <v>90492.407500492205</v>
      </c>
      <c r="O3048" s="6">
        <f>SUM(M3048:N3048)</f>
        <v>113121.26349657714</v>
      </c>
      <c r="P3048" s="8">
        <f>VLOOKUP(F3048,'LEAID Match'!$A$2:$B$436,2,FALSE)</f>
        <v>1800015</v>
      </c>
      <c r="Q3048" s="6">
        <f>COUNTIF($P$2:$P$3691,P3048)</f>
        <v>9</v>
      </c>
    </row>
    <row r="3049" spans="1:17" x14ac:dyDescent="0.2">
      <c r="A3049" s="16">
        <f>P3049</f>
        <v>1800015</v>
      </c>
      <c r="B3049">
        <v>2016</v>
      </c>
      <c r="C3049" t="s">
        <v>904</v>
      </c>
      <c r="D3049" t="s">
        <v>906</v>
      </c>
      <c r="E3049" t="s">
        <v>3955</v>
      </c>
      <c r="F3049" t="s">
        <v>839</v>
      </c>
      <c r="G3049" t="s">
        <v>327</v>
      </c>
      <c r="H3049" s="6">
        <v>23194</v>
      </c>
      <c r="I3049" s="6">
        <v>1.07623008600231E-4</v>
      </c>
      <c r="J3049" s="6">
        <v>543.28094741396603</v>
      </c>
      <c r="K3049" s="6">
        <v>95515.420132704996</v>
      </c>
      <c r="M3049" s="6">
        <f>SUM(H3049,J3049)</f>
        <v>23737.280947413965</v>
      </c>
      <c r="N3049" s="6">
        <f>K3049</f>
        <v>95515.420132704996</v>
      </c>
      <c r="O3049" s="6">
        <f>SUM(M3049:N3049)</f>
        <v>119252.70108011896</v>
      </c>
      <c r="P3049" s="8">
        <f>VLOOKUP(F3049,'LEAID Match'!$A$2:$B$436,2,FALSE)</f>
        <v>1800015</v>
      </c>
      <c r="Q3049" s="6">
        <f>COUNTIF($P$2:$P$3691,P3049)</f>
        <v>9</v>
      </c>
    </row>
    <row r="3050" spans="1:17" x14ac:dyDescent="0.2">
      <c r="A3050" s="16">
        <f>P3050</f>
        <v>1800015</v>
      </c>
      <c r="B3050">
        <v>2017</v>
      </c>
      <c r="C3050" t="s">
        <v>904</v>
      </c>
      <c r="D3050" t="s">
        <v>906</v>
      </c>
      <c r="E3050" t="s">
        <v>3956</v>
      </c>
      <c r="F3050" t="s">
        <v>839</v>
      </c>
      <c r="G3050" t="s">
        <v>327</v>
      </c>
      <c r="H3050" s="6">
        <v>29447</v>
      </c>
      <c r="I3050" s="6">
        <v>1.2966773860630779E-4</v>
      </c>
      <c r="J3050" s="6">
        <v>586.74651719354279</v>
      </c>
      <c r="K3050" s="6">
        <v>112940.60032609401</v>
      </c>
      <c r="M3050" s="6">
        <f>SUM(H3050,J3050)</f>
        <v>30033.746517193544</v>
      </c>
      <c r="N3050" s="6">
        <f>K3050</f>
        <v>112940.60032609401</v>
      </c>
      <c r="O3050" s="6">
        <f>SUM(M3050:N3050)</f>
        <v>142974.34684328755</v>
      </c>
      <c r="P3050" s="8">
        <f>VLOOKUP(F3050,'LEAID Match'!$A$2:$B$436,2,FALSE)</f>
        <v>1800015</v>
      </c>
      <c r="Q3050" s="6">
        <f>COUNTIF($P$2:$P$3691,P3050)</f>
        <v>9</v>
      </c>
    </row>
    <row r="3051" spans="1:17" x14ac:dyDescent="0.2">
      <c r="A3051" s="16">
        <f>P3051</f>
        <v>1800015</v>
      </c>
      <c r="B3051">
        <v>2018</v>
      </c>
      <c r="C3051" t="s">
        <v>904</v>
      </c>
      <c r="D3051" t="s">
        <v>906</v>
      </c>
      <c r="E3051" t="s">
        <v>3957</v>
      </c>
      <c r="F3051" t="s">
        <v>839</v>
      </c>
      <c r="G3051" t="s">
        <v>327</v>
      </c>
      <c r="H3051" s="6">
        <v>3869</v>
      </c>
      <c r="I3051" s="6">
        <v>1.6413732700279972E-5</v>
      </c>
      <c r="J3051" s="6">
        <v>68.412437894766924</v>
      </c>
      <c r="K3051" s="6">
        <v>0</v>
      </c>
      <c r="M3051" s="6">
        <f>SUM(H3051,J3051)</f>
        <v>3937.4124378947668</v>
      </c>
      <c r="N3051" s="6">
        <f>K3051</f>
        <v>0</v>
      </c>
      <c r="O3051" s="6">
        <f>SUM(M3051:N3051)</f>
        <v>3937.4124378947668</v>
      </c>
      <c r="P3051" s="8">
        <f>VLOOKUP(F3051,'LEAID Match'!$A$2:$B$436,2,FALSE)</f>
        <v>1800015</v>
      </c>
      <c r="Q3051" s="6">
        <f>COUNTIF($P$2:$P$3691,P3051)</f>
        <v>9</v>
      </c>
    </row>
    <row r="3052" spans="1:17" x14ac:dyDescent="0.2">
      <c r="A3052" s="16">
        <f>P3052</f>
        <v>1800015</v>
      </c>
      <c r="B3052">
        <v>2019</v>
      </c>
      <c r="C3052" t="s">
        <v>904</v>
      </c>
      <c r="D3052" t="s">
        <v>906</v>
      </c>
      <c r="E3052" t="s">
        <v>3958</v>
      </c>
      <c r="F3052" t="s">
        <v>839</v>
      </c>
      <c r="G3052" t="s">
        <v>327</v>
      </c>
      <c r="H3052" s="6">
        <v>1331</v>
      </c>
      <c r="I3052" s="6">
        <v>3.386056781414534E-6</v>
      </c>
      <c r="J3052" s="6">
        <v>11.868129018857942</v>
      </c>
      <c r="K3052" s="6">
        <v>3196.09899597717</v>
      </c>
      <c r="M3052" s="6">
        <f>SUM(H3052,J3052)</f>
        <v>1342.8681290188579</v>
      </c>
      <c r="N3052" s="6">
        <f>K3052</f>
        <v>3196.09899597717</v>
      </c>
      <c r="O3052" s="6">
        <f>SUM(M3052:N3052)</f>
        <v>4538.9671249960284</v>
      </c>
      <c r="P3052" s="8">
        <f>VLOOKUP(F3052,'LEAID Match'!$A$2:$B$436,2,FALSE)</f>
        <v>1800015</v>
      </c>
      <c r="Q3052" s="6">
        <f>COUNTIF($P$2:$P$3691,P3052)</f>
        <v>9</v>
      </c>
    </row>
    <row r="3053" spans="1:17" x14ac:dyDescent="0.2">
      <c r="A3053" s="16">
        <f>P3053</f>
        <v>1800015</v>
      </c>
      <c r="B3053">
        <v>2020</v>
      </c>
      <c r="C3053" t="s">
        <v>904</v>
      </c>
      <c r="D3053" t="s">
        <v>906</v>
      </c>
      <c r="E3053" t="s">
        <v>3959</v>
      </c>
      <c r="F3053" t="s">
        <v>839</v>
      </c>
      <c r="G3053" t="s">
        <v>327</v>
      </c>
      <c r="H3053" s="6" t="s">
        <v>187</v>
      </c>
      <c r="I3053" s="6">
        <v>0</v>
      </c>
      <c r="J3053" s="6">
        <v>0</v>
      </c>
      <c r="K3053" s="6">
        <v>0</v>
      </c>
      <c r="M3053" s="6">
        <f>SUM(H3053,J3053)</f>
        <v>0</v>
      </c>
      <c r="N3053" s="6">
        <f>K3053</f>
        <v>0</v>
      </c>
      <c r="O3053" s="6">
        <f>SUM(M3053:N3053)</f>
        <v>0</v>
      </c>
      <c r="P3053" s="8">
        <f>VLOOKUP(F3053,'LEAID Match'!$A$2:$B$436,2,FALSE)</f>
        <v>1800015</v>
      </c>
      <c r="Q3053" s="6">
        <f>COUNTIF($P$2:$P$3691,P3053)</f>
        <v>9</v>
      </c>
    </row>
    <row r="3054" spans="1:17" x14ac:dyDescent="0.2">
      <c r="A3054" s="16">
        <f>P3054</f>
        <v>1800015</v>
      </c>
      <c r="B3054">
        <v>2021</v>
      </c>
      <c r="C3054" t="s">
        <v>904</v>
      </c>
      <c r="D3054" t="s">
        <v>906</v>
      </c>
      <c r="E3054" t="s">
        <v>3960</v>
      </c>
      <c r="F3054" t="s">
        <v>839</v>
      </c>
      <c r="G3054" t="s">
        <v>327</v>
      </c>
      <c r="H3054" s="6" t="s">
        <v>187</v>
      </c>
      <c r="I3054" s="6">
        <v>0</v>
      </c>
      <c r="J3054" s="6">
        <v>0</v>
      </c>
      <c r="K3054" s="6">
        <v>0</v>
      </c>
      <c r="M3054" s="6">
        <f>SUM(H3054,J3054)</f>
        <v>0</v>
      </c>
      <c r="N3054" s="6">
        <f>K3054</f>
        <v>0</v>
      </c>
      <c r="O3054" s="6">
        <f>SUM(M3054:N3054)</f>
        <v>0</v>
      </c>
      <c r="P3054" s="8">
        <f>VLOOKUP(F3054,'LEAID Match'!$A$2:$B$436,2,FALSE)</f>
        <v>1800015</v>
      </c>
      <c r="Q3054" s="6">
        <f>COUNTIF($P$2:$P$3691,P3054)</f>
        <v>9</v>
      </c>
    </row>
    <row r="3055" spans="1:17" x14ac:dyDescent="0.2">
      <c r="A3055" s="16">
        <f>P3055</f>
        <v>1800015</v>
      </c>
      <c r="B3055">
        <v>2022</v>
      </c>
      <c r="C3055" t="s">
        <v>904</v>
      </c>
      <c r="D3055" t="s">
        <v>906</v>
      </c>
      <c r="E3055" t="s">
        <v>3961</v>
      </c>
      <c r="F3055" t="s">
        <v>839</v>
      </c>
      <c r="G3055" t="s">
        <v>327</v>
      </c>
      <c r="H3055" s="6" t="s">
        <v>187</v>
      </c>
      <c r="I3055" s="6">
        <v>0</v>
      </c>
      <c r="J3055" s="6">
        <v>0</v>
      </c>
      <c r="K3055" s="6">
        <v>0</v>
      </c>
      <c r="M3055" s="6">
        <f>SUM(H3055,J3055)</f>
        <v>0</v>
      </c>
      <c r="N3055" s="6">
        <f>K3055</f>
        <v>0</v>
      </c>
      <c r="O3055" s="6">
        <f>SUM(M3055:N3055)</f>
        <v>0</v>
      </c>
      <c r="P3055" s="8">
        <f>VLOOKUP(F3055,'LEAID Match'!$A$2:$B$436,2,FALSE)</f>
        <v>1800015</v>
      </c>
      <c r="Q3055" s="6">
        <f>COUNTIF($P$2:$P$3691,P3055)</f>
        <v>9</v>
      </c>
    </row>
    <row r="3056" spans="1:17" x14ac:dyDescent="0.2">
      <c r="A3056" s="16">
        <f>P3056</f>
        <v>1800015</v>
      </c>
      <c r="B3056">
        <v>2023</v>
      </c>
      <c r="C3056" t="s">
        <v>904</v>
      </c>
      <c r="D3056" t="s">
        <v>906</v>
      </c>
      <c r="E3056" t="s">
        <v>3962</v>
      </c>
      <c r="F3056" t="s">
        <v>839</v>
      </c>
      <c r="G3056" t="s">
        <v>327</v>
      </c>
      <c r="H3056" s="6" t="s">
        <v>187</v>
      </c>
      <c r="I3056" s="6">
        <v>0</v>
      </c>
      <c r="J3056" s="6">
        <v>0</v>
      </c>
      <c r="K3056" s="6">
        <v>0</v>
      </c>
      <c r="M3056" s="6">
        <f>SUM(H3056,J3056)</f>
        <v>0</v>
      </c>
      <c r="N3056" s="6">
        <f>K3056</f>
        <v>0</v>
      </c>
      <c r="O3056" s="6">
        <f>SUM(M3056:N3056)</f>
        <v>0</v>
      </c>
      <c r="P3056" s="8">
        <f>VLOOKUP(F3056,'LEAID Match'!$A$2:$B$436,2,FALSE)</f>
        <v>1800015</v>
      </c>
      <c r="Q3056" s="6">
        <f>COUNTIF($P$2:$P$3691,P3056)</f>
        <v>9</v>
      </c>
    </row>
    <row r="3057" spans="1:17" x14ac:dyDescent="0.2">
      <c r="A3057" s="16">
        <f>P3057</f>
        <v>1800034</v>
      </c>
      <c r="B3057">
        <v>2015</v>
      </c>
      <c r="C3057" t="s">
        <v>904</v>
      </c>
      <c r="D3057" t="s">
        <v>906</v>
      </c>
      <c r="E3057" t="s">
        <v>3963</v>
      </c>
      <c r="F3057" t="s">
        <v>794</v>
      </c>
      <c r="G3057" t="s">
        <v>328</v>
      </c>
      <c r="H3057" s="6">
        <v>63588</v>
      </c>
      <c r="I3057" s="6">
        <v>3.0920981642454197E-4</v>
      </c>
      <c r="J3057" s="6">
        <v>1796.8182432430135</v>
      </c>
      <c r="K3057" s="6">
        <v>261472.76812565501</v>
      </c>
      <c r="M3057" s="6">
        <f>SUM(H3057,J3057)</f>
        <v>65384.818243243011</v>
      </c>
      <c r="N3057" s="6">
        <f>K3057</f>
        <v>261472.76812565501</v>
      </c>
      <c r="O3057" s="6">
        <f>SUM(M3057:N3057)</f>
        <v>326857.58636889805</v>
      </c>
      <c r="P3057" s="8">
        <f>VLOOKUP(F3057,'LEAID Match'!$A$2:$B$436,2,FALSE)</f>
        <v>1800034</v>
      </c>
      <c r="Q3057" s="6">
        <f>COUNTIF($P$2:$P$3691,P3057)</f>
        <v>9</v>
      </c>
    </row>
    <row r="3058" spans="1:17" x14ac:dyDescent="0.2">
      <c r="A3058" s="16">
        <f>P3058</f>
        <v>1800034</v>
      </c>
      <c r="B3058">
        <v>2016</v>
      </c>
      <c r="C3058" t="s">
        <v>904</v>
      </c>
      <c r="D3058" t="s">
        <v>906</v>
      </c>
      <c r="E3058" t="s">
        <v>3964</v>
      </c>
      <c r="F3058" t="s">
        <v>794</v>
      </c>
      <c r="G3058" t="s">
        <v>328</v>
      </c>
      <c r="H3058" s="6">
        <v>67850</v>
      </c>
      <c r="I3058" s="6">
        <v>3.1483233308293837E-4</v>
      </c>
      <c r="J3058" s="6">
        <v>1589.2736174026729</v>
      </c>
      <c r="K3058" s="6">
        <v>279413.69561110699</v>
      </c>
      <c r="M3058" s="6">
        <f>SUM(H3058,J3058)</f>
        <v>69439.27361740268</v>
      </c>
      <c r="N3058" s="6">
        <f>K3058</f>
        <v>279413.69561110699</v>
      </c>
      <c r="O3058" s="6">
        <f>SUM(M3058:N3058)</f>
        <v>348852.9692285097</v>
      </c>
      <c r="P3058" s="8">
        <f>VLOOKUP(F3058,'LEAID Match'!$A$2:$B$436,2,FALSE)</f>
        <v>1800034</v>
      </c>
      <c r="Q3058" s="6">
        <f>COUNTIF($P$2:$P$3691,P3058)</f>
        <v>9</v>
      </c>
    </row>
    <row r="3059" spans="1:17" x14ac:dyDescent="0.2">
      <c r="A3059" s="16">
        <f>P3059</f>
        <v>1800034</v>
      </c>
      <c r="B3059">
        <v>2017</v>
      </c>
      <c r="C3059" t="s">
        <v>904</v>
      </c>
      <c r="D3059" t="s">
        <v>906</v>
      </c>
      <c r="E3059" t="s">
        <v>3965</v>
      </c>
      <c r="F3059" t="s">
        <v>794</v>
      </c>
      <c r="G3059" t="s">
        <v>328</v>
      </c>
      <c r="H3059" s="6">
        <v>67099</v>
      </c>
      <c r="I3059" s="6">
        <v>2.9546560236168865E-4</v>
      </c>
      <c r="J3059" s="6">
        <v>1336.9818506866411</v>
      </c>
      <c r="K3059" s="6">
        <v>257350.53965702999</v>
      </c>
      <c r="M3059" s="6">
        <f>SUM(H3059,J3059)</f>
        <v>68435.981850686643</v>
      </c>
      <c r="N3059" s="6">
        <f>K3059</f>
        <v>257350.53965702999</v>
      </c>
      <c r="O3059" s="6">
        <f>SUM(M3059:N3059)</f>
        <v>325786.52150771662</v>
      </c>
      <c r="P3059" s="8">
        <f>VLOOKUP(F3059,'LEAID Match'!$A$2:$B$436,2,FALSE)</f>
        <v>1800034</v>
      </c>
      <c r="Q3059" s="6">
        <f>COUNTIF($P$2:$P$3691,P3059)</f>
        <v>9</v>
      </c>
    </row>
    <row r="3060" spans="1:17" x14ac:dyDescent="0.2">
      <c r="A3060" s="16">
        <f>P3060</f>
        <v>1800034</v>
      </c>
      <c r="B3060">
        <v>2018</v>
      </c>
      <c r="C3060" t="s">
        <v>904</v>
      </c>
      <c r="D3060" t="s">
        <v>906</v>
      </c>
      <c r="E3060" t="s">
        <v>3966</v>
      </c>
      <c r="F3060" t="s">
        <v>794</v>
      </c>
      <c r="G3060" t="s">
        <v>328</v>
      </c>
      <c r="H3060" s="6">
        <v>71084</v>
      </c>
      <c r="I3060" s="6">
        <v>3.0156468732662225E-4</v>
      </c>
      <c r="J3060" s="6">
        <v>1256.9216167773616</v>
      </c>
      <c r="K3060" s="6">
        <v>2295</v>
      </c>
      <c r="M3060" s="6">
        <f>SUM(H3060,J3060)</f>
        <v>72340.921616777356</v>
      </c>
      <c r="N3060" s="6">
        <f>K3060</f>
        <v>2295</v>
      </c>
      <c r="O3060" s="6">
        <f>SUM(M3060:N3060)</f>
        <v>74635.921616777356</v>
      </c>
      <c r="P3060" s="8">
        <f>VLOOKUP(F3060,'LEAID Match'!$A$2:$B$436,2,FALSE)</f>
        <v>1800034</v>
      </c>
      <c r="Q3060" s="6">
        <f>COUNTIF($P$2:$P$3691,P3060)</f>
        <v>9</v>
      </c>
    </row>
    <row r="3061" spans="1:17" x14ac:dyDescent="0.2">
      <c r="A3061" s="16">
        <f>P3061</f>
        <v>1800034</v>
      </c>
      <c r="B3061">
        <v>2019</v>
      </c>
      <c r="C3061" t="s">
        <v>904</v>
      </c>
      <c r="D3061" t="s">
        <v>906</v>
      </c>
      <c r="E3061" t="s">
        <v>3967</v>
      </c>
      <c r="F3061" t="s">
        <v>794</v>
      </c>
      <c r="G3061" t="s">
        <v>328</v>
      </c>
      <c r="H3061" s="6">
        <v>74010</v>
      </c>
      <c r="I3061" s="6">
        <v>1.8828103861193816E-4</v>
      </c>
      <c r="J3061" s="6">
        <v>659.92504033484329</v>
      </c>
      <c r="K3061" s="6">
        <v>177718.472345808</v>
      </c>
      <c r="M3061" s="6">
        <f>SUM(H3061,J3061)</f>
        <v>74669.925040334841</v>
      </c>
      <c r="N3061" s="6">
        <f>K3061</f>
        <v>177718.472345808</v>
      </c>
      <c r="O3061" s="6">
        <f>SUM(M3061:N3061)</f>
        <v>252388.39738614284</v>
      </c>
      <c r="P3061" s="8">
        <f>VLOOKUP(F3061,'LEAID Match'!$A$2:$B$436,2,FALSE)</f>
        <v>1800034</v>
      </c>
      <c r="Q3061" s="6">
        <f>COUNTIF($P$2:$P$3691,P3061)</f>
        <v>9</v>
      </c>
    </row>
    <row r="3062" spans="1:17" x14ac:dyDescent="0.2">
      <c r="A3062" s="16">
        <f>P3062</f>
        <v>1800034</v>
      </c>
      <c r="B3062">
        <v>2020</v>
      </c>
      <c r="C3062" t="s">
        <v>904</v>
      </c>
      <c r="D3062" t="s">
        <v>906</v>
      </c>
      <c r="E3062" t="s">
        <v>3968</v>
      </c>
      <c r="F3062" t="s">
        <v>794</v>
      </c>
      <c r="G3062" t="s">
        <v>328</v>
      </c>
      <c r="H3062" s="6">
        <v>52868</v>
      </c>
      <c r="I3062" s="6">
        <v>2.8013207897944261E-4</v>
      </c>
      <c r="J3062" s="6">
        <v>659.99117807556684</v>
      </c>
      <c r="K3062" s="6">
        <v>2525</v>
      </c>
      <c r="M3062" s="6">
        <f>SUM(H3062,J3062)</f>
        <v>53527.991178075565</v>
      </c>
      <c r="N3062" s="6">
        <f>K3062</f>
        <v>2525</v>
      </c>
      <c r="O3062" s="6">
        <f>SUM(M3062:N3062)</f>
        <v>56052.991178075565</v>
      </c>
      <c r="P3062" s="8">
        <f>VLOOKUP(F3062,'LEAID Match'!$A$2:$B$436,2,FALSE)</f>
        <v>1800034</v>
      </c>
      <c r="Q3062" s="6">
        <f>COUNTIF($P$2:$P$3691,P3062)</f>
        <v>9</v>
      </c>
    </row>
    <row r="3063" spans="1:17" x14ac:dyDescent="0.2">
      <c r="A3063" s="16">
        <f>P3063</f>
        <v>1800034</v>
      </c>
      <c r="B3063">
        <v>2021</v>
      </c>
      <c r="C3063" t="s">
        <v>904</v>
      </c>
      <c r="D3063" t="s">
        <v>906</v>
      </c>
      <c r="E3063" t="s">
        <v>3969</v>
      </c>
      <c r="F3063" t="s">
        <v>794</v>
      </c>
      <c r="G3063" t="s">
        <v>328</v>
      </c>
      <c r="H3063" s="6">
        <v>52811</v>
      </c>
      <c r="I3063" s="6">
        <v>2.6089125136650998E-4</v>
      </c>
      <c r="J3063" s="6">
        <v>588.04888058011352</v>
      </c>
      <c r="K3063" s="6">
        <v>3996</v>
      </c>
      <c r="M3063" s="6">
        <f>SUM(H3063,J3063)</f>
        <v>53399.048880580114</v>
      </c>
      <c r="N3063" s="6">
        <f>K3063</f>
        <v>3996</v>
      </c>
      <c r="O3063" s="6">
        <f>SUM(M3063:N3063)</f>
        <v>57395.048880580114</v>
      </c>
      <c r="P3063" s="8">
        <f>VLOOKUP(F3063,'LEAID Match'!$A$2:$B$436,2,FALSE)</f>
        <v>1800034</v>
      </c>
      <c r="Q3063" s="6">
        <f>COUNTIF($P$2:$P$3691,P3063)</f>
        <v>9</v>
      </c>
    </row>
    <row r="3064" spans="1:17" x14ac:dyDescent="0.2">
      <c r="A3064" s="16">
        <f>P3064</f>
        <v>1800034</v>
      </c>
      <c r="B3064">
        <v>2022</v>
      </c>
      <c r="C3064" t="s">
        <v>904</v>
      </c>
      <c r="D3064" t="s">
        <v>906</v>
      </c>
      <c r="E3064" t="s">
        <v>3970</v>
      </c>
      <c r="F3064" t="s">
        <v>794</v>
      </c>
      <c r="G3064" t="s">
        <v>328</v>
      </c>
      <c r="H3064" s="6">
        <v>52588</v>
      </c>
      <c r="I3064" s="6">
        <v>2.4969759753951288E-4</v>
      </c>
      <c r="J3064" s="6">
        <v>550.58320257462594</v>
      </c>
      <c r="K3064" s="6">
        <v>3876</v>
      </c>
      <c r="M3064" s="6">
        <f>SUM(H3064,J3064)</f>
        <v>53138.583202574628</v>
      </c>
      <c r="N3064" s="6">
        <f>K3064</f>
        <v>3876</v>
      </c>
      <c r="O3064" s="6">
        <f>SUM(M3064:N3064)</f>
        <v>57014.583202574628</v>
      </c>
      <c r="P3064" s="8">
        <f>VLOOKUP(F3064,'LEAID Match'!$A$2:$B$436,2,FALSE)</f>
        <v>1800034</v>
      </c>
      <c r="Q3064" s="6">
        <f>COUNTIF($P$2:$P$3691,P3064)</f>
        <v>9</v>
      </c>
    </row>
    <row r="3065" spans="1:17" x14ac:dyDescent="0.2">
      <c r="A3065" s="16">
        <f>P3065</f>
        <v>1800034</v>
      </c>
      <c r="B3065">
        <v>2023</v>
      </c>
      <c r="C3065" t="s">
        <v>904</v>
      </c>
      <c r="D3065" t="s">
        <v>906</v>
      </c>
      <c r="E3065" t="s">
        <v>3971</v>
      </c>
      <c r="F3065" t="s">
        <v>794</v>
      </c>
      <c r="G3065" t="s">
        <v>328</v>
      </c>
      <c r="H3065" s="6">
        <v>52437</v>
      </c>
      <c r="I3065" s="6">
        <v>2.1443851835804243E-4</v>
      </c>
      <c r="J3065" s="6">
        <v>529.01982478929062</v>
      </c>
      <c r="K3065" s="6">
        <v>8470</v>
      </c>
      <c r="M3065" s="6">
        <f>SUM(H3065,J3065)</f>
        <v>52966.019824789291</v>
      </c>
      <c r="N3065" s="6">
        <f>K3065</f>
        <v>8470</v>
      </c>
      <c r="O3065" s="6">
        <f>SUM(M3065:N3065)</f>
        <v>61436.019824789291</v>
      </c>
      <c r="P3065" s="8">
        <f>VLOOKUP(F3065,'LEAID Match'!$A$2:$B$436,2,FALSE)</f>
        <v>1800034</v>
      </c>
      <c r="Q3065" s="6">
        <f>COUNTIF($P$2:$P$3691,P3065)</f>
        <v>9</v>
      </c>
    </row>
    <row r="3066" spans="1:17" x14ac:dyDescent="0.2">
      <c r="A3066" s="16">
        <f>P3066</f>
        <v>1800028</v>
      </c>
      <c r="B3066">
        <v>2015</v>
      </c>
      <c r="C3066" t="s">
        <v>904</v>
      </c>
      <c r="D3066" t="s">
        <v>906</v>
      </c>
      <c r="E3066" t="s">
        <v>3972</v>
      </c>
      <c r="F3066" t="s">
        <v>840</v>
      </c>
      <c r="G3066" t="s">
        <v>329</v>
      </c>
      <c r="H3066" s="6">
        <v>4999</v>
      </c>
      <c r="I3066" s="6">
        <v>2.430867258454874E-5</v>
      </c>
      <c r="J3066" s="6">
        <v>141.25769638881272</v>
      </c>
      <c r="K3066" s="6">
        <v>20555.8024762557</v>
      </c>
      <c r="M3066" s="6">
        <f>SUM(H3066,J3066)</f>
        <v>5140.2576963888123</v>
      </c>
      <c r="N3066" s="6">
        <f>K3066</f>
        <v>20555.8024762557</v>
      </c>
      <c r="O3066" s="6">
        <f>SUM(M3066:N3066)</f>
        <v>25696.060172644513</v>
      </c>
      <c r="P3066" s="8">
        <f>VLOOKUP(F3066,'LEAID Match'!$A$2:$B$436,2,FALSE)</f>
        <v>1800028</v>
      </c>
      <c r="Q3066" s="6">
        <f>COUNTIF($P$2:$P$3691,P3066)</f>
        <v>9</v>
      </c>
    </row>
    <row r="3067" spans="1:17" x14ac:dyDescent="0.2">
      <c r="A3067" s="16">
        <f>P3067</f>
        <v>1800028</v>
      </c>
      <c r="B3067">
        <v>2016</v>
      </c>
      <c r="C3067" t="s">
        <v>904</v>
      </c>
      <c r="D3067" t="s">
        <v>906</v>
      </c>
      <c r="E3067" t="s">
        <v>3973</v>
      </c>
      <c r="F3067" t="s">
        <v>840</v>
      </c>
      <c r="G3067" t="s">
        <v>329</v>
      </c>
      <c r="H3067" s="6">
        <v>17014</v>
      </c>
      <c r="I3067" s="6">
        <v>7.8947049595771759E-5</v>
      </c>
      <c r="J3067" s="6">
        <v>398.52470635945582</v>
      </c>
      <c r="K3067" s="6">
        <v>70065.506516247406</v>
      </c>
      <c r="M3067" s="6">
        <f>SUM(H3067,J3067)</f>
        <v>17412.524706359454</v>
      </c>
      <c r="N3067" s="6">
        <f>K3067</f>
        <v>70065.506516247406</v>
      </c>
      <c r="O3067" s="6">
        <f>SUM(M3067:N3067)</f>
        <v>87478.031222606864</v>
      </c>
      <c r="P3067" s="8">
        <f>VLOOKUP(F3067,'LEAID Match'!$A$2:$B$436,2,FALSE)</f>
        <v>1800028</v>
      </c>
      <c r="Q3067" s="6">
        <f>COUNTIF($P$2:$P$3691,P3067)</f>
        <v>9</v>
      </c>
    </row>
    <row r="3068" spans="1:17" x14ac:dyDescent="0.2">
      <c r="A3068" s="16">
        <f>P3068</f>
        <v>1800028</v>
      </c>
      <c r="B3068">
        <v>2017</v>
      </c>
      <c r="C3068" t="s">
        <v>904</v>
      </c>
      <c r="D3068" t="s">
        <v>906</v>
      </c>
      <c r="E3068" t="s">
        <v>3974</v>
      </c>
      <c r="F3068" t="s">
        <v>840</v>
      </c>
      <c r="G3068" t="s">
        <v>329</v>
      </c>
      <c r="H3068" s="6">
        <v>9667</v>
      </c>
      <c r="I3068" s="6">
        <v>4.256793660159532E-5</v>
      </c>
      <c r="J3068" s="6">
        <v>192.61991312221883</v>
      </c>
      <c r="K3068" s="6">
        <v>37076.672779989502</v>
      </c>
      <c r="M3068" s="6">
        <f>SUM(H3068,J3068)</f>
        <v>9859.6199131222183</v>
      </c>
      <c r="N3068" s="6">
        <f>K3068</f>
        <v>37076.672779989502</v>
      </c>
      <c r="O3068" s="6">
        <f>SUM(M3068:N3068)</f>
        <v>46936.292693111718</v>
      </c>
      <c r="P3068" s="8">
        <f>VLOOKUP(F3068,'LEAID Match'!$A$2:$B$436,2,FALSE)</f>
        <v>1800028</v>
      </c>
      <c r="Q3068" s="6">
        <f>COUNTIF($P$2:$P$3691,P3068)</f>
        <v>9</v>
      </c>
    </row>
    <row r="3069" spans="1:17" x14ac:dyDescent="0.2">
      <c r="A3069" s="16">
        <f>P3069</f>
        <v>1800028</v>
      </c>
      <c r="B3069">
        <v>2018</v>
      </c>
      <c r="C3069" t="s">
        <v>904</v>
      </c>
      <c r="D3069" t="s">
        <v>906</v>
      </c>
      <c r="E3069" t="s">
        <v>3975</v>
      </c>
      <c r="F3069" t="s">
        <v>840</v>
      </c>
      <c r="G3069" t="s">
        <v>329</v>
      </c>
      <c r="H3069" s="6">
        <v>17872</v>
      </c>
      <c r="I3069" s="6">
        <v>7.5819651284415518E-5</v>
      </c>
      <c r="J3069" s="6">
        <v>316.01630655344388</v>
      </c>
      <c r="K3069" s="6">
        <v>0</v>
      </c>
      <c r="M3069" s="6">
        <f>SUM(H3069,J3069)</f>
        <v>18188.016306553443</v>
      </c>
      <c r="N3069" s="6">
        <f>K3069</f>
        <v>0</v>
      </c>
      <c r="O3069" s="6">
        <f>SUM(M3069:N3069)</f>
        <v>18188.016306553443</v>
      </c>
      <c r="P3069" s="8">
        <f>VLOOKUP(F3069,'LEAID Match'!$A$2:$B$436,2,FALSE)</f>
        <v>1800028</v>
      </c>
      <c r="Q3069" s="6">
        <f>COUNTIF($P$2:$P$3691,P3069)</f>
        <v>9</v>
      </c>
    </row>
    <row r="3070" spans="1:17" x14ac:dyDescent="0.2">
      <c r="A3070" s="16">
        <f>P3070</f>
        <v>1800028</v>
      </c>
      <c r="B3070">
        <v>2019</v>
      </c>
      <c r="C3070" t="s">
        <v>904</v>
      </c>
      <c r="D3070" t="s">
        <v>906</v>
      </c>
      <c r="E3070" t="s">
        <v>3976</v>
      </c>
      <c r="F3070" t="s">
        <v>840</v>
      </c>
      <c r="G3070" t="s">
        <v>329</v>
      </c>
      <c r="H3070" s="6">
        <v>23247</v>
      </c>
      <c r="I3070" s="6">
        <v>5.914024192152042E-5</v>
      </c>
      <c r="J3070" s="6">
        <v>207.28654793492908</v>
      </c>
      <c r="K3070" s="6">
        <v>55822.474349723103</v>
      </c>
      <c r="M3070" s="6">
        <f>SUM(H3070,J3070)</f>
        <v>23454.286547934928</v>
      </c>
      <c r="N3070" s="6">
        <f>K3070</f>
        <v>55822.474349723103</v>
      </c>
      <c r="O3070" s="6">
        <f>SUM(M3070:N3070)</f>
        <v>79276.760897658038</v>
      </c>
      <c r="P3070" s="8">
        <f>VLOOKUP(F3070,'LEAID Match'!$A$2:$B$436,2,FALSE)</f>
        <v>1800028</v>
      </c>
      <c r="Q3070" s="6">
        <f>COUNTIF($P$2:$P$3691,P3070)</f>
        <v>9</v>
      </c>
    </row>
    <row r="3071" spans="1:17" x14ac:dyDescent="0.2">
      <c r="A3071" s="16">
        <f>P3071</f>
        <v>1800028</v>
      </c>
      <c r="B3071">
        <v>2020</v>
      </c>
      <c r="C3071" t="s">
        <v>904</v>
      </c>
      <c r="D3071" t="s">
        <v>906</v>
      </c>
      <c r="E3071" t="s">
        <v>3977</v>
      </c>
      <c r="F3071" t="s">
        <v>840</v>
      </c>
      <c r="G3071" t="s">
        <v>329</v>
      </c>
      <c r="H3071" s="6">
        <v>15743</v>
      </c>
      <c r="I3071" s="6">
        <v>8.3417555409195826E-5</v>
      </c>
      <c r="J3071" s="6">
        <v>196.53176054406538</v>
      </c>
      <c r="K3071" s="6">
        <v>0</v>
      </c>
      <c r="M3071" s="6">
        <f>SUM(H3071,J3071)</f>
        <v>15939.531760544065</v>
      </c>
      <c r="N3071" s="6">
        <f>K3071</f>
        <v>0</v>
      </c>
      <c r="O3071" s="6">
        <f>SUM(M3071:N3071)</f>
        <v>15939.531760544065</v>
      </c>
      <c r="P3071" s="8">
        <f>VLOOKUP(F3071,'LEAID Match'!$A$2:$B$436,2,FALSE)</f>
        <v>1800028</v>
      </c>
      <c r="Q3071" s="6">
        <f>COUNTIF($P$2:$P$3691,P3071)</f>
        <v>9</v>
      </c>
    </row>
    <row r="3072" spans="1:17" x14ac:dyDescent="0.2">
      <c r="A3072" s="16">
        <f>P3072</f>
        <v>1800028</v>
      </c>
      <c r="B3072">
        <v>2021</v>
      </c>
      <c r="C3072" t="s">
        <v>904</v>
      </c>
      <c r="D3072" t="s">
        <v>906</v>
      </c>
      <c r="E3072" t="s">
        <v>3978</v>
      </c>
      <c r="F3072" t="s">
        <v>840</v>
      </c>
      <c r="G3072" t="s">
        <v>329</v>
      </c>
      <c r="H3072" s="6">
        <v>25807</v>
      </c>
      <c r="I3072" s="6">
        <v>1.2748898002339518E-4</v>
      </c>
      <c r="J3072" s="6">
        <v>287.36016097273273</v>
      </c>
      <c r="K3072" s="6">
        <v>0</v>
      </c>
      <c r="M3072" s="6">
        <f>SUM(H3072,J3072)</f>
        <v>26094.360160972734</v>
      </c>
      <c r="N3072" s="6">
        <f>K3072</f>
        <v>0</v>
      </c>
      <c r="O3072" s="6">
        <f>SUM(M3072:N3072)</f>
        <v>26094.360160972734</v>
      </c>
      <c r="P3072" s="8">
        <f>VLOOKUP(F3072,'LEAID Match'!$A$2:$B$436,2,FALSE)</f>
        <v>1800028</v>
      </c>
      <c r="Q3072" s="6">
        <f>COUNTIF($P$2:$P$3691,P3072)</f>
        <v>9</v>
      </c>
    </row>
    <row r="3073" spans="1:17" x14ac:dyDescent="0.2">
      <c r="A3073" s="16">
        <f>P3073</f>
        <v>1800028</v>
      </c>
      <c r="B3073">
        <v>2022</v>
      </c>
      <c r="C3073" t="s">
        <v>904</v>
      </c>
      <c r="D3073" t="s">
        <v>906</v>
      </c>
      <c r="E3073" t="s">
        <v>3979</v>
      </c>
      <c r="F3073" t="s">
        <v>840</v>
      </c>
      <c r="G3073" t="s">
        <v>329</v>
      </c>
      <c r="H3073" s="6">
        <v>33438</v>
      </c>
      <c r="I3073" s="6">
        <v>1.5876983849026836E-4</v>
      </c>
      <c r="J3073" s="6">
        <v>350.08749387104172</v>
      </c>
      <c r="K3073" s="6">
        <v>0</v>
      </c>
      <c r="M3073" s="6">
        <f>SUM(H3073,J3073)</f>
        <v>33788.08749387104</v>
      </c>
      <c r="N3073" s="6">
        <f>K3073</f>
        <v>0</v>
      </c>
      <c r="O3073" s="6">
        <f>SUM(M3073:N3073)</f>
        <v>33788.08749387104</v>
      </c>
      <c r="P3073" s="8">
        <f>VLOOKUP(F3073,'LEAID Match'!$A$2:$B$436,2,FALSE)</f>
        <v>1800028</v>
      </c>
      <c r="Q3073" s="6">
        <f>COUNTIF($P$2:$P$3691,P3073)</f>
        <v>9</v>
      </c>
    </row>
    <row r="3074" spans="1:17" x14ac:dyDescent="0.2">
      <c r="A3074" s="16">
        <f>P3074</f>
        <v>1800028</v>
      </c>
      <c r="B3074">
        <v>2023</v>
      </c>
      <c r="C3074" t="s">
        <v>904</v>
      </c>
      <c r="D3074" t="s">
        <v>906</v>
      </c>
      <c r="E3074" t="s">
        <v>3980</v>
      </c>
      <c r="F3074" t="s">
        <v>840</v>
      </c>
      <c r="G3074" t="s">
        <v>329</v>
      </c>
      <c r="H3074" s="6">
        <v>33875</v>
      </c>
      <c r="I3074" s="6">
        <v>1.3853013729577755E-4</v>
      </c>
      <c r="J3074" s="6">
        <v>341.75384870868322</v>
      </c>
      <c r="K3074" s="6">
        <v>0</v>
      </c>
      <c r="M3074" s="6">
        <f>SUM(H3074,J3074)</f>
        <v>34216.753848708686</v>
      </c>
      <c r="N3074" s="6">
        <f>K3074</f>
        <v>0</v>
      </c>
      <c r="O3074" s="6">
        <f>SUM(M3074:N3074)</f>
        <v>34216.753848708686</v>
      </c>
      <c r="P3074" s="8">
        <f>VLOOKUP(F3074,'LEAID Match'!$A$2:$B$436,2,FALSE)</f>
        <v>1800028</v>
      </c>
      <c r="Q3074" s="6">
        <f>COUNTIF($P$2:$P$3691,P3074)</f>
        <v>9</v>
      </c>
    </row>
    <row r="3075" spans="1:17" x14ac:dyDescent="0.2">
      <c r="A3075" s="16">
        <f>P3075</f>
        <v>1800043</v>
      </c>
      <c r="B3075">
        <v>2015</v>
      </c>
      <c r="C3075" t="s">
        <v>904</v>
      </c>
      <c r="D3075" t="s">
        <v>906</v>
      </c>
      <c r="E3075" t="s">
        <v>3981</v>
      </c>
      <c r="F3075" t="s">
        <v>795</v>
      </c>
      <c r="G3075" t="s">
        <v>330</v>
      </c>
      <c r="H3075" s="6">
        <v>30893</v>
      </c>
      <c r="I3075" s="6">
        <v>1.5022360915272338E-4</v>
      </c>
      <c r="J3075" s="6">
        <v>872.94939278647553</v>
      </c>
      <c r="K3075" s="6">
        <v>127031.487477289</v>
      </c>
      <c r="M3075" s="6">
        <f>SUM(H3075,J3075)</f>
        <v>31765.949392786475</v>
      </c>
      <c r="N3075" s="6">
        <f>K3075</f>
        <v>127031.487477289</v>
      </c>
      <c r="O3075" s="6">
        <f>SUM(M3075:N3075)</f>
        <v>158797.43687007547</v>
      </c>
      <c r="P3075" s="8">
        <f>VLOOKUP(F3075,'LEAID Match'!$A$2:$B$436,2,FALSE)</f>
        <v>1800043</v>
      </c>
      <c r="Q3075" s="6">
        <f>COUNTIF($P$2:$P$3691,P3075)</f>
        <v>9</v>
      </c>
    </row>
    <row r="3076" spans="1:17" x14ac:dyDescent="0.2">
      <c r="A3076" s="16">
        <f>P3076</f>
        <v>1800043</v>
      </c>
      <c r="B3076">
        <v>2016</v>
      </c>
      <c r="C3076" t="s">
        <v>904</v>
      </c>
      <c r="D3076" t="s">
        <v>906</v>
      </c>
      <c r="E3076" t="s">
        <v>3982</v>
      </c>
      <c r="F3076" t="s">
        <v>795</v>
      </c>
      <c r="G3076" t="s">
        <v>330</v>
      </c>
      <c r="H3076" s="6">
        <v>31791</v>
      </c>
      <c r="I3076" s="6">
        <v>1.4751414445157986E-4</v>
      </c>
      <c r="J3076" s="6">
        <v>744.65140119157513</v>
      </c>
      <c r="K3076" s="6">
        <v>130918.80320077699</v>
      </c>
      <c r="M3076" s="6">
        <f>SUM(H3076,J3076)</f>
        <v>32535.651401191575</v>
      </c>
      <c r="N3076" s="6">
        <f>K3076</f>
        <v>130918.80320077699</v>
      </c>
      <c r="O3076" s="6">
        <f>SUM(M3076:N3076)</f>
        <v>163454.45460196858</v>
      </c>
      <c r="P3076" s="8">
        <f>VLOOKUP(F3076,'LEAID Match'!$A$2:$B$436,2,FALSE)</f>
        <v>1800043</v>
      </c>
      <c r="Q3076" s="6">
        <f>COUNTIF($P$2:$P$3691,P3076)</f>
        <v>9</v>
      </c>
    </row>
    <row r="3077" spans="1:17" x14ac:dyDescent="0.2">
      <c r="A3077" s="16">
        <f>P3077</f>
        <v>1800043</v>
      </c>
      <c r="B3077">
        <v>2017</v>
      </c>
      <c r="C3077" t="s">
        <v>904</v>
      </c>
      <c r="D3077" t="s">
        <v>906</v>
      </c>
      <c r="E3077" t="s">
        <v>3983</v>
      </c>
      <c r="F3077" t="s">
        <v>795</v>
      </c>
      <c r="G3077" t="s">
        <v>330</v>
      </c>
      <c r="H3077" s="6">
        <v>40297</v>
      </c>
      <c r="I3077" s="6">
        <v>1.7744493030252267E-4</v>
      </c>
      <c r="J3077" s="6">
        <v>802.93830961891513</v>
      </c>
      <c r="K3077" s="6">
        <v>154554.53429349701</v>
      </c>
      <c r="M3077" s="6">
        <f>SUM(H3077,J3077)</f>
        <v>41099.938309618912</v>
      </c>
      <c r="N3077" s="6">
        <f>K3077</f>
        <v>154554.53429349701</v>
      </c>
      <c r="O3077" s="6">
        <f>SUM(M3077:N3077)</f>
        <v>195654.47260311592</v>
      </c>
      <c r="P3077" s="8">
        <f>VLOOKUP(F3077,'LEAID Match'!$A$2:$B$436,2,FALSE)</f>
        <v>1800043</v>
      </c>
      <c r="Q3077" s="6">
        <f>COUNTIF($P$2:$P$3691,P3077)</f>
        <v>9</v>
      </c>
    </row>
    <row r="3078" spans="1:17" x14ac:dyDescent="0.2">
      <c r="A3078" s="16">
        <f>P3078</f>
        <v>1800043</v>
      </c>
      <c r="B3078">
        <v>2018</v>
      </c>
      <c r="C3078" t="s">
        <v>904</v>
      </c>
      <c r="D3078" t="s">
        <v>906</v>
      </c>
      <c r="E3078" t="s">
        <v>3984</v>
      </c>
      <c r="F3078" t="s">
        <v>795</v>
      </c>
      <c r="G3078" t="s">
        <v>330</v>
      </c>
      <c r="H3078" s="6">
        <v>39822</v>
      </c>
      <c r="I3078" s="6">
        <v>1.6893969077036677E-4</v>
      </c>
      <c r="J3078" s="6">
        <v>704.14063113088866</v>
      </c>
      <c r="K3078" s="6">
        <v>8445</v>
      </c>
      <c r="M3078" s="6">
        <f>SUM(H3078,J3078)</f>
        <v>40526.140631130889</v>
      </c>
      <c r="N3078" s="6">
        <f>K3078</f>
        <v>8445</v>
      </c>
      <c r="O3078" s="6">
        <f>SUM(M3078:N3078)</f>
        <v>48971.140631130889</v>
      </c>
      <c r="P3078" s="8">
        <f>VLOOKUP(F3078,'LEAID Match'!$A$2:$B$436,2,FALSE)</f>
        <v>1800043</v>
      </c>
      <c r="Q3078" s="6">
        <f>COUNTIF($P$2:$P$3691,P3078)</f>
        <v>9</v>
      </c>
    </row>
    <row r="3079" spans="1:17" x14ac:dyDescent="0.2">
      <c r="A3079" s="16">
        <f>P3079</f>
        <v>1800043</v>
      </c>
      <c r="B3079">
        <v>2019</v>
      </c>
      <c r="C3079" t="s">
        <v>904</v>
      </c>
      <c r="D3079" t="s">
        <v>906</v>
      </c>
      <c r="E3079" t="s">
        <v>3985</v>
      </c>
      <c r="F3079" t="s">
        <v>795</v>
      </c>
      <c r="G3079" t="s">
        <v>330</v>
      </c>
      <c r="H3079" s="6">
        <v>24786</v>
      </c>
      <c r="I3079" s="6">
        <v>6.3055449574861495E-5</v>
      </c>
      <c r="J3079" s="6">
        <v>221.00935075988954</v>
      </c>
      <c r="K3079" s="6">
        <v>59518.038853711703</v>
      </c>
      <c r="M3079" s="6">
        <f>SUM(H3079,J3079)</f>
        <v>25007.00935075989</v>
      </c>
      <c r="N3079" s="6">
        <f>K3079</f>
        <v>59518.038853711703</v>
      </c>
      <c r="O3079" s="6">
        <f>SUM(M3079:N3079)</f>
        <v>84525.04820447159</v>
      </c>
      <c r="P3079" s="8">
        <f>VLOOKUP(F3079,'LEAID Match'!$A$2:$B$436,2,FALSE)</f>
        <v>1800043</v>
      </c>
      <c r="Q3079" s="6">
        <f>COUNTIF($P$2:$P$3691,P3079)</f>
        <v>9</v>
      </c>
    </row>
    <row r="3080" spans="1:17" x14ac:dyDescent="0.2">
      <c r="A3080" s="16">
        <f>P3080</f>
        <v>1800043</v>
      </c>
      <c r="B3080">
        <v>2020</v>
      </c>
      <c r="C3080" t="s">
        <v>904</v>
      </c>
      <c r="D3080" t="s">
        <v>906</v>
      </c>
      <c r="E3080" t="s">
        <v>3986</v>
      </c>
      <c r="F3080" t="s">
        <v>795</v>
      </c>
      <c r="G3080" t="s">
        <v>330</v>
      </c>
      <c r="H3080" s="6">
        <v>19231</v>
      </c>
      <c r="I3080" s="6">
        <v>1.0189944788631424E-4</v>
      </c>
      <c r="J3080" s="6">
        <v>240.07509922015635</v>
      </c>
      <c r="K3080" s="6">
        <v>4856</v>
      </c>
      <c r="M3080" s="6">
        <f>SUM(H3080,J3080)</f>
        <v>19471.075099220157</v>
      </c>
      <c r="N3080" s="6">
        <f>K3080</f>
        <v>4856</v>
      </c>
      <c r="O3080" s="6">
        <f>SUM(M3080:N3080)</f>
        <v>24327.075099220157</v>
      </c>
      <c r="P3080" s="8">
        <f>VLOOKUP(F3080,'LEAID Match'!$A$2:$B$436,2,FALSE)</f>
        <v>1800043</v>
      </c>
      <c r="Q3080" s="6">
        <f>COUNTIF($P$2:$P$3691,P3080)</f>
        <v>9</v>
      </c>
    </row>
    <row r="3081" spans="1:17" x14ac:dyDescent="0.2">
      <c r="A3081" s="16">
        <f>P3081</f>
        <v>1800043</v>
      </c>
      <c r="B3081">
        <v>2021</v>
      </c>
      <c r="C3081" t="s">
        <v>904</v>
      </c>
      <c r="D3081" t="s">
        <v>906</v>
      </c>
      <c r="E3081" t="s">
        <v>3987</v>
      </c>
      <c r="F3081" t="s">
        <v>795</v>
      </c>
      <c r="G3081" t="s">
        <v>330</v>
      </c>
      <c r="H3081" s="6">
        <v>15232</v>
      </c>
      <c r="I3081" s="6">
        <v>7.5247496559706879E-5</v>
      </c>
      <c r="J3081" s="6">
        <v>169.60785724557931</v>
      </c>
      <c r="K3081" s="6">
        <v>5754</v>
      </c>
      <c r="M3081" s="6">
        <f>SUM(H3081,J3081)</f>
        <v>15401.607857245579</v>
      </c>
      <c r="N3081" s="6">
        <f>K3081</f>
        <v>5754</v>
      </c>
      <c r="O3081" s="6">
        <f>SUM(M3081:N3081)</f>
        <v>21155.607857245581</v>
      </c>
      <c r="P3081" s="8">
        <f>VLOOKUP(F3081,'LEAID Match'!$A$2:$B$436,2,FALSE)</f>
        <v>1800043</v>
      </c>
      <c r="Q3081" s="6">
        <f>COUNTIF($P$2:$P$3691,P3081)</f>
        <v>9</v>
      </c>
    </row>
    <row r="3082" spans="1:17" x14ac:dyDescent="0.2">
      <c r="A3082" s="16">
        <f>P3082</f>
        <v>1800043</v>
      </c>
      <c r="B3082">
        <v>2022</v>
      </c>
      <c r="C3082" t="s">
        <v>904</v>
      </c>
      <c r="D3082" t="s">
        <v>906</v>
      </c>
      <c r="E3082" t="s">
        <v>3988</v>
      </c>
      <c r="F3082" t="s">
        <v>795</v>
      </c>
      <c r="G3082" t="s">
        <v>330</v>
      </c>
      <c r="H3082" s="6">
        <v>12526</v>
      </c>
      <c r="I3082" s="6">
        <v>5.9475775971323088E-5</v>
      </c>
      <c r="J3082" s="6">
        <v>131.1440860167674</v>
      </c>
      <c r="K3082" s="6">
        <v>5426</v>
      </c>
      <c r="M3082" s="6">
        <f>SUM(H3082,J3082)</f>
        <v>12657.144086016768</v>
      </c>
      <c r="N3082" s="6">
        <f>K3082</f>
        <v>5426</v>
      </c>
      <c r="O3082" s="6">
        <f>SUM(M3082:N3082)</f>
        <v>18083.144086016768</v>
      </c>
      <c r="P3082" s="8">
        <f>VLOOKUP(F3082,'LEAID Match'!$A$2:$B$436,2,FALSE)</f>
        <v>1800043</v>
      </c>
      <c r="Q3082" s="6">
        <f>COUNTIF($P$2:$P$3691,P3082)</f>
        <v>9</v>
      </c>
    </row>
    <row r="3083" spans="1:17" x14ac:dyDescent="0.2">
      <c r="A3083" s="16">
        <f>P3083</f>
        <v>1800043</v>
      </c>
      <c r="B3083">
        <v>2023</v>
      </c>
      <c r="C3083" t="s">
        <v>904</v>
      </c>
      <c r="D3083" t="s">
        <v>906</v>
      </c>
      <c r="E3083" t="s">
        <v>3989</v>
      </c>
      <c r="F3083" t="s">
        <v>795</v>
      </c>
      <c r="G3083" t="s">
        <v>330</v>
      </c>
      <c r="H3083" s="6">
        <v>21356</v>
      </c>
      <c r="I3083" s="6">
        <v>8.7334305891915138E-5</v>
      </c>
      <c r="J3083" s="6">
        <v>215.45373263535464</v>
      </c>
      <c r="K3083" s="6">
        <v>161777</v>
      </c>
      <c r="M3083" s="6">
        <f>SUM(H3083,J3083)</f>
        <v>21571.453732635353</v>
      </c>
      <c r="N3083" s="6">
        <f>K3083</f>
        <v>161777</v>
      </c>
      <c r="O3083" s="6">
        <f>SUM(M3083:N3083)</f>
        <v>183348.45373263536</v>
      </c>
      <c r="P3083" s="8">
        <f>VLOOKUP(F3083,'LEAID Match'!$A$2:$B$436,2,FALSE)</f>
        <v>1800043</v>
      </c>
      <c r="Q3083" s="6">
        <f>COUNTIF($P$2:$P$3691,P3083)</f>
        <v>9</v>
      </c>
    </row>
    <row r="3084" spans="1:17" x14ac:dyDescent="0.2">
      <c r="A3084" s="16">
        <f>P3084</f>
        <v>0</v>
      </c>
      <c r="B3084">
        <v>2015</v>
      </c>
      <c r="C3084" t="s">
        <v>904</v>
      </c>
      <c r="D3084" t="s">
        <v>906</v>
      </c>
      <c r="E3084" t="s">
        <v>3990</v>
      </c>
      <c r="F3084" t="s">
        <v>796</v>
      </c>
      <c r="G3084" t="s">
        <v>331</v>
      </c>
      <c r="H3084" s="6">
        <v>398251</v>
      </c>
      <c r="I3084" s="6">
        <v>1.9365779486835606E-3</v>
      </c>
      <c r="J3084" s="6">
        <v>11253.45445980017</v>
      </c>
      <c r="K3084" s="6">
        <v>1637601.29865399</v>
      </c>
      <c r="M3084" s="6">
        <f>SUM(H3084,J3084)</f>
        <v>409504.45445980015</v>
      </c>
      <c r="N3084" s="6">
        <f>K3084</f>
        <v>1637601.29865399</v>
      </c>
      <c r="O3084" s="6">
        <f>SUM(M3084:N3084)</f>
        <v>2047105.7531137902</v>
      </c>
      <c r="P3084" s="8">
        <f>VLOOKUP(F3084,'LEAID Match'!$A$2:$B$436,2,FALSE)</f>
        <v>0</v>
      </c>
      <c r="Q3084" s="6">
        <f>COUNTIF($P$2:$P$3691,P3084)</f>
        <v>371</v>
      </c>
    </row>
    <row r="3085" spans="1:17" x14ac:dyDescent="0.2">
      <c r="A3085" s="16">
        <f>P3085</f>
        <v>0</v>
      </c>
      <c r="B3085">
        <v>2016</v>
      </c>
      <c r="C3085" t="s">
        <v>904</v>
      </c>
      <c r="D3085" t="s">
        <v>906</v>
      </c>
      <c r="E3085" t="s">
        <v>3991</v>
      </c>
      <c r="F3085" t="s">
        <v>796</v>
      </c>
      <c r="G3085" t="s">
        <v>331</v>
      </c>
      <c r="H3085" s="6">
        <v>453524</v>
      </c>
      <c r="I3085" s="6">
        <v>2.1044070601194775E-3</v>
      </c>
      <c r="J3085" s="6">
        <v>10623.046839483122</v>
      </c>
      <c r="K3085" s="6">
        <v>1867661.2658560299</v>
      </c>
      <c r="M3085" s="6">
        <f>SUM(H3085,J3085)</f>
        <v>464147.04683948314</v>
      </c>
      <c r="N3085" s="6">
        <f>K3085</f>
        <v>1867661.2658560299</v>
      </c>
      <c r="O3085" s="6">
        <f>SUM(M3085:N3085)</f>
        <v>2331808.312695513</v>
      </c>
      <c r="P3085" s="8">
        <f>VLOOKUP(F3085,'LEAID Match'!$A$2:$B$436,2,FALSE)</f>
        <v>0</v>
      </c>
      <c r="Q3085" s="6">
        <f>COUNTIF($P$2:$P$3691,P3085)</f>
        <v>371</v>
      </c>
    </row>
    <row r="3086" spans="1:17" x14ac:dyDescent="0.2">
      <c r="A3086" s="16">
        <f>P3086</f>
        <v>0</v>
      </c>
      <c r="B3086">
        <v>2017</v>
      </c>
      <c r="C3086" t="s">
        <v>904</v>
      </c>
      <c r="D3086" t="s">
        <v>906</v>
      </c>
      <c r="E3086" t="s">
        <v>3992</v>
      </c>
      <c r="F3086" t="s">
        <v>796</v>
      </c>
      <c r="G3086" t="s">
        <v>331</v>
      </c>
      <c r="H3086" s="6">
        <v>401395</v>
      </c>
      <c r="I3086" s="6">
        <v>1.7675139042306149E-3</v>
      </c>
      <c r="J3086" s="6">
        <v>7998.0004166435328</v>
      </c>
      <c r="K3086" s="6">
        <v>1539504.61058486</v>
      </c>
      <c r="M3086" s="6">
        <f>SUM(H3086,J3086)</f>
        <v>409393.00041664351</v>
      </c>
      <c r="N3086" s="6">
        <f>K3086</f>
        <v>1539504.61058486</v>
      </c>
      <c r="O3086" s="6">
        <f>SUM(M3086:N3086)</f>
        <v>1948897.6110015034</v>
      </c>
      <c r="P3086" s="8">
        <f>VLOOKUP(F3086,'LEAID Match'!$A$2:$B$436,2,FALSE)</f>
        <v>0</v>
      </c>
      <c r="Q3086" s="6">
        <f>COUNTIF($P$2:$P$3691,P3086)</f>
        <v>371</v>
      </c>
    </row>
    <row r="3087" spans="1:17" x14ac:dyDescent="0.2">
      <c r="A3087" s="16">
        <f>P3087</f>
        <v>0</v>
      </c>
      <c r="B3087">
        <v>2018</v>
      </c>
      <c r="C3087" t="s">
        <v>904</v>
      </c>
      <c r="D3087" t="s">
        <v>906</v>
      </c>
      <c r="E3087" t="s">
        <v>3993</v>
      </c>
      <c r="F3087" t="s">
        <v>796</v>
      </c>
      <c r="G3087" t="s">
        <v>331</v>
      </c>
      <c r="H3087" s="6">
        <v>442596</v>
      </c>
      <c r="I3087" s="6">
        <v>1.8776563551856072E-3</v>
      </c>
      <c r="J3087" s="6">
        <v>7826.0716884136109</v>
      </c>
      <c r="K3087" s="6">
        <v>220847</v>
      </c>
      <c r="M3087" s="6">
        <f>SUM(H3087,J3087)</f>
        <v>450422.07168841362</v>
      </c>
      <c r="N3087" s="6">
        <f>K3087</f>
        <v>220847</v>
      </c>
      <c r="O3087" s="6">
        <f>SUM(M3087:N3087)</f>
        <v>671269.07168841362</v>
      </c>
      <c r="P3087" s="8">
        <f>VLOOKUP(F3087,'LEAID Match'!$A$2:$B$436,2,FALSE)</f>
        <v>0</v>
      </c>
      <c r="Q3087" s="6">
        <f>COUNTIF($P$2:$P$3691,P3087)</f>
        <v>371</v>
      </c>
    </row>
    <row r="3088" spans="1:17" x14ac:dyDescent="0.2">
      <c r="A3088" s="16">
        <f>P3088</f>
        <v>0</v>
      </c>
      <c r="B3088">
        <v>2019</v>
      </c>
      <c r="C3088" t="s">
        <v>904</v>
      </c>
      <c r="D3088" t="s">
        <v>906</v>
      </c>
      <c r="E3088" t="s">
        <v>3994</v>
      </c>
      <c r="F3088" t="s">
        <v>796</v>
      </c>
      <c r="G3088" t="s">
        <v>331</v>
      </c>
      <c r="H3088" s="6">
        <v>494240</v>
      </c>
      <c r="I3088" s="6">
        <v>1.2573438795239064E-3</v>
      </c>
      <c r="J3088" s="6">
        <v>4406.9902977312913</v>
      </c>
      <c r="K3088" s="6">
        <v>1186806.8878826101</v>
      </c>
      <c r="M3088" s="6">
        <f>SUM(H3088,J3088)</f>
        <v>498646.9902977313</v>
      </c>
      <c r="N3088" s="6">
        <f>K3088</f>
        <v>1186806.8878826101</v>
      </c>
      <c r="O3088" s="6">
        <f>SUM(M3088:N3088)</f>
        <v>1685453.8781803413</v>
      </c>
      <c r="P3088" s="8">
        <f>VLOOKUP(F3088,'LEAID Match'!$A$2:$B$436,2,FALSE)</f>
        <v>0</v>
      </c>
      <c r="Q3088" s="6">
        <f>COUNTIF($P$2:$P$3691,P3088)</f>
        <v>371</v>
      </c>
    </row>
    <row r="3089" spans="1:17" x14ac:dyDescent="0.2">
      <c r="A3089" s="16">
        <f>P3089</f>
        <v>0</v>
      </c>
      <c r="B3089">
        <v>2020</v>
      </c>
      <c r="C3089" t="s">
        <v>904</v>
      </c>
      <c r="D3089" t="s">
        <v>906</v>
      </c>
      <c r="E3089" t="s">
        <v>3995</v>
      </c>
      <c r="F3089" t="s">
        <v>796</v>
      </c>
      <c r="G3089" t="s">
        <v>331</v>
      </c>
      <c r="H3089" s="6">
        <v>377658</v>
      </c>
      <c r="I3089" s="6">
        <v>2.0010993546799262E-3</v>
      </c>
      <c r="J3089" s="6">
        <v>4714.5900796259057</v>
      </c>
      <c r="K3089" s="6">
        <v>270072</v>
      </c>
      <c r="M3089" s="6">
        <f>SUM(H3089,J3089)</f>
        <v>382372.59007962589</v>
      </c>
      <c r="N3089" s="6">
        <f>K3089</f>
        <v>270072</v>
      </c>
      <c r="O3089" s="6">
        <f>SUM(M3089:N3089)</f>
        <v>652444.59007962584</v>
      </c>
      <c r="P3089" s="8">
        <f>VLOOKUP(F3089,'LEAID Match'!$A$2:$B$436,2,FALSE)</f>
        <v>0</v>
      </c>
      <c r="Q3089" s="6">
        <f>COUNTIF($P$2:$P$3691,P3089)</f>
        <v>371</v>
      </c>
    </row>
    <row r="3090" spans="1:17" x14ac:dyDescent="0.2">
      <c r="A3090" s="16">
        <f>P3090</f>
        <v>0</v>
      </c>
      <c r="B3090">
        <v>2021</v>
      </c>
      <c r="C3090" t="s">
        <v>904</v>
      </c>
      <c r="D3090" t="s">
        <v>906</v>
      </c>
      <c r="E3090" t="s">
        <v>3996</v>
      </c>
      <c r="F3090" t="s">
        <v>796</v>
      </c>
      <c r="G3090" t="s">
        <v>331</v>
      </c>
      <c r="H3090" s="6">
        <v>382894</v>
      </c>
      <c r="I3090" s="6">
        <v>1.8915319687324323E-3</v>
      </c>
      <c r="J3090" s="6">
        <v>4263.5130575229023</v>
      </c>
      <c r="K3090" s="6">
        <v>487984</v>
      </c>
      <c r="M3090" s="6">
        <f>SUM(H3090,J3090)</f>
        <v>387157.51305752288</v>
      </c>
      <c r="N3090" s="6">
        <f>K3090</f>
        <v>487984</v>
      </c>
      <c r="O3090" s="6">
        <f>SUM(M3090:N3090)</f>
        <v>875141.51305752294</v>
      </c>
      <c r="P3090" s="8">
        <f>VLOOKUP(F3090,'LEAID Match'!$A$2:$B$436,2,FALSE)</f>
        <v>0</v>
      </c>
      <c r="Q3090" s="6">
        <f>COUNTIF($P$2:$P$3691,P3090)</f>
        <v>371</v>
      </c>
    </row>
    <row r="3091" spans="1:17" x14ac:dyDescent="0.2">
      <c r="A3091" s="16">
        <f>P3091</f>
        <v>0</v>
      </c>
      <c r="B3091">
        <v>2022</v>
      </c>
      <c r="C3091" t="s">
        <v>904</v>
      </c>
      <c r="D3091" t="s">
        <v>906</v>
      </c>
      <c r="E3091" t="s">
        <v>3997</v>
      </c>
      <c r="F3091" t="s">
        <v>796</v>
      </c>
      <c r="G3091" t="s">
        <v>331</v>
      </c>
      <c r="H3091" s="6">
        <v>407251</v>
      </c>
      <c r="I3091" s="6">
        <v>1.9337034360607775E-3</v>
      </c>
      <c r="J3091" s="6">
        <v>4263.8160765140146</v>
      </c>
      <c r="K3091" s="6">
        <v>479077</v>
      </c>
      <c r="M3091" s="6">
        <f>SUM(H3091,J3091)</f>
        <v>411514.81607651402</v>
      </c>
      <c r="N3091" s="6">
        <f>K3091</f>
        <v>479077</v>
      </c>
      <c r="O3091" s="6">
        <f>SUM(M3091:N3091)</f>
        <v>890591.81607651408</v>
      </c>
      <c r="P3091" s="8">
        <f>VLOOKUP(F3091,'LEAID Match'!$A$2:$B$436,2,FALSE)</f>
        <v>0</v>
      </c>
      <c r="Q3091" s="6">
        <f>COUNTIF($P$2:$P$3691,P3091)</f>
        <v>371</v>
      </c>
    </row>
    <row r="3092" spans="1:17" x14ac:dyDescent="0.2">
      <c r="A3092" s="16">
        <f>P3092</f>
        <v>0</v>
      </c>
      <c r="B3092">
        <v>2023</v>
      </c>
      <c r="C3092" t="s">
        <v>904</v>
      </c>
      <c r="D3092" t="s">
        <v>906</v>
      </c>
      <c r="E3092" t="s">
        <v>3998</v>
      </c>
      <c r="F3092" t="s">
        <v>796</v>
      </c>
      <c r="G3092" t="s">
        <v>331</v>
      </c>
      <c r="H3092" s="6">
        <v>490851</v>
      </c>
      <c r="I3092" s="6">
        <v>2.0073108906795483E-3</v>
      </c>
      <c r="J3092" s="6">
        <v>4952.0359673064459</v>
      </c>
      <c r="K3092" s="6">
        <v>2012049</v>
      </c>
      <c r="M3092" s="6">
        <f>SUM(H3092,J3092)</f>
        <v>495803.03596730647</v>
      </c>
      <c r="N3092" s="6">
        <f>K3092</f>
        <v>2012049</v>
      </c>
      <c r="O3092" s="6">
        <f>SUM(M3092:N3092)</f>
        <v>2507852.0359673062</v>
      </c>
      <c r="P3092" s="8">
        <f>VLOOKUP(F3092,'LEAID Match'!$A$2:$B$436,2,FALSE)</f>
        <v>0</v>
      </c>
      <c r="Q3092" s="6">
        <f>COUNTIF($P$2:$P$3691,P3092)</f>
        <v>371</v>
      </c>
    </row>
    <row r="3093" spans="1:17" x14ac:dyDescent="0.2">
      <c r="A3093" s="16">
        <f>P3093</f>
        <v>0</v>
      </c>
      <c r="B3093">
        <v>2015</v>
      </c>
      <c r="C3093" t="s">
        <v>904</v>
      </c>
      <c r="D3093" t="s">
        <v>906</v>
      </c>
      <c r="E3093" t="s">
        <v>3999</v>
      </c>
      <c r="F3093" t="s">
        <v>797</v>
      </c>
      <c r="G3093" t="s">
        <v>332</v>
      </c>
      <c r="H3093" s="6">
        <v>122575</v>
      </c>
      <c r="I3093" s="6">
        <v>5.9604631767374704E-4</v>
      </c>
      <c r="J3093" s="6">
        <v>3463.6251520021442</v>
      </c>
      <c r="K3093" s="6">
        <v>504026.30296600302</v>
      </c>
      <c r="M3093" s="6">
        <f>SUM(H3093,J3093)</f>
        <v>126038.62515200215</v>
      </c>
      <c r="N3093" s="6">
        <f>K3093</f>
        <v>504026.30296600302</v>
      </c>
      <c r="O3093" s="6">
        <f>SUM(M3093:N3093)</f>
        <v>630064.92811800516</v>
      </c>
      <c r="P3093" s="8">
        <f>VLOOKUP(F3093,'LEAID Match'!$A$2:$B$436,2,FALSE)</f>
        <v>0</v>
      </c>
      <c r="Q3093" s="6">
        <f>COUNTIF($P$2:$P$3691,P3093)</f>
        <v>371</v>
      </c>
    </row>
    <row r="3094" spans="1:17" x14ac:dyDescent="0.2">
      <c r="A3094" s="16">
        <f>P3094</f>
        <v>0</v>
      </c>
      <c r="B3094">
        <v>2016</v>
      </c>
      <c r="C3094" t="s">
        <v>904</v>
      </c>
      <c r="D3094" t="s">
        <v>906</v>
      </c>
      <c r="E3094" t="s">
        <v>4000</v>
      </c>
      <c r="F3094" t="s">
        <v>797</v>
      </c>
      <c r="G3094" t="s">
        <v>332</v>
      </c>
      <c r="H3094" s="6">
        <v>137859</v>
      </c>
      <c r="I3094" s="6">
        <v>6.3968269132617245E-4</v>
      </c>
      <c r="J3094" s="6">
        <v>3229.1182258145186</v>
      </c>
      <c r="K3094" s="6">
        <v>567718.38855197805</v>
      </c>
      <c r="M3094" s="6">
        <f>SUM(H3094,J3094)</f>
        <v>141088.11822581451</v>
      </c>
      <c r="N3094" s="6">
        <f>K3094</f>
        <v>567718.38855197805</v>
      </c>
      <c r="O3094" s="6">
        <f>SUM(M3094:N3094)</f>
        <v>708806.50677779259</v>
      </c>
      <c r="P3094" s="8">
        <f>VLOOKUP(F3094,'LEAID Match'!$A$2:$B$436,2,FALSE)</f>
        <v>0</v>
      </c>
      <c r="Q3094" s="6">
        <f>COUNTIF($P$2:$P$3691,P3094)</f>
        <v>371</v>
      </c>
    </row>
    <row r="3095" spans="1:17" x14ac:dyDescent="0.2">
      <c r="A3095" s="16">
        <f>P3095</f>
        <v>0</v>
      </c>
      <c r="B3095">
        <v>2017</v>
      </c>
      <c r="C3095" t="s">
        <v>904</v>
      </c>
      <c r="D3095" t="s">
        <v>906</v>
      </c>
      <c r="E3095" t="s">
        <v>4001</v>
      </c>
      <c r="F3095" t="s">
        <v>797</v>
      </c>
      <c r="G3095" t="s">
        <v>332</v>
      </c>
      <c r="H3095" s="6">
        <v>163263</v>
      </c>
      <c r="I3095" s="6">
        <v>7.1891683390775394E-4</v>
      </c>
      <c r="J3095" s="6">
        <v>3253.0986734325866</v>
      </c>
      <c r="K3095" s="6">
        <v>626176.56233365298</v>
      </c>
      <c r="M3095" s="6">
        <f>SUM(H3095,J3095)</f>
        <v>166516.0986734326</v>
      </c>
      <c r="N3095" s="6">
        <f>K3095</f>
        <v>626176.56233365298</v>
      </c>
      <c r="O3095" s="6">
        <f>SUM(M3095:N3095)</f>
        <v>792692.66100708558</v>
      </c>
      <c r="P3095" s="8">
        <f>VLOOKUP(F3095,'LEAID Match'!$A$2:$B$436,2,FALSE)</f>
        <v>0</v>
      </c>
      <c r="Q3095" s="6">
        <f>COUNTIF($P$2:$P$3691,P3095)</f>
        <v>371</v>
      </c>
    </row>
    <row r="3096" spans="1:17" x14ac:dyDescent="0.2">
      <c r="A3096" s="16">
        <f>P3096</f>
        <v>0</v>
      </c>
      <c r="B3096">
        <v>2018</v>
      </c>
      <c r="C3096" t="s">
        <v>904</v>
      </c>
      <c r="D3096" t="s">
        <v>906</v>
      </c>
      <c r="E3096" t="s">
        <v>4002</v>
      </c>
      <c r="F3096" t="s">
        <v>797</v>
      </c>
      <c r="G3096" t="s">
        <v>332</v>
      </c>
      <c r="H3096" s="6">
        <v>188716</v>
      </c>
      <c r="I3096" s="6">
        <v>8.006032515549328E-4</v>
      </c>
      <c r="J3096" s="6">
        <v>3336.9143524809601</v>
      </c>
      <c r="K3096" s="6">
        <v>734</v>
      </c>
      <c r="M3096" s="6">
        <f>SUM(H3096,J3096)</f>
        <v>192052.91435248096</v>
      </c>
      <c r="N3096" s="6">
        <f>K3096</f>
        <v>734</v>
      </c>
      <c r="O3096" s="6">
        <f>SUM(M3096:N3096)</f>
        <v>192786.91435248096</v>
      </c>
      <c r="P3096" s="8">
        <f>VLOOKUP(F3096,'LEAID Match'!$A$2:$B$436,2,FALSE)</f>
        <v>0</v>
      </c>
      <c r="Q3096" s="6">
        <f>COUNTIF($P$2:$P$3691,P3096)</f>
        <v>371</v>
      </c>
    </row>
    <row r="3097" spans="1:17" x14ac:dyDescent="0.2">
      <c r="A3097" s="16">
        <f>P3097</f>
        <v>0</v>
      </c>
      <c r="B3097">
        <v>2019</v>
      </c>
      <c r="C3097" t="s">
        <v>904</v>
      </c>
      <c r="D3097" t="s">
        <v>906</v>
      </c>
      <c r="E3097" t="s">
        <v>4003</v>
      </c>
      <c r="F3097" t="s">
        <v>797</v>
      </c>
      <c r="G3097" t="s">
        <v>332</v>
      </c>
      <c r="H3097" s="6">
        <v>190131</v>
      </c>
      <c r="I3097" s="6">
        <v>4.8369223283781129E-4</v>
      </c>
      <c r="J3097" s="6">
        <v>1695.3412760965286</v>
      </c>
      <c r="K3097" s="6">
        <v>456557.09857561003</v>
      </c>
      <c r="M3097" s="6">
        <f>SUM(H3097,J3097)</f>
        <v>191826.34127609653</v>
      </c>
      <c r="N3097" s="6">
        <f>K3097</f>
        <v>456557.09857561003</v>
      </c>
      <c r="O3097" s="6">
        <f>SUM(M3097:N3097)</f>
        <v>648383.43985170661</v>
      </c>
      <c r="P3097" s="8">
        <f>VLOOKUP(F3097,'LEAID Match'!$A$2:$B$436,2,FALSE)</f>
        <v>0</v>
      </c>
      <c r="Q3097" s="6">
        <f>COUNTIF($P$2:$P$3691,P3097)</f>
        <v>371</v>
      </c>
    </row>
    <row r="3098" spans="1:17" x14ac:dyDescent="0.2">
      <c r="A3098" s="16">
        <f>P3098</f>
        <v>0</v>
      </c>
      <c r="B3098">
        <v>2020</v>
      </c>
      <c r="C3098" t="s">
        <v>904</v>
      </c>
      <c r="D3098" t="s">
        <v>906</v>
      </c>
      <c r="E3098" t="s">
        <v>4004</v>
      </c>
      <c r="F3098" t="s">
        <v>797</v>
      </c>
      <c r="G3098" t="s">
        <v>332</v>
      </c>
      <c r="H3098" s="6">
        <v>153802</v>
      </c>
      <c r="I3098" s="6">
        <v>8.149518425360565E-4</v>
      </c>
      <c r="J3098" s="6">
        <v>1920.0265410149491</v>
      </c>
      <c r="K3098" s="6">
        <v>874</v>
      </c>
      <c r="M3098" s="6">
        <f>SUM(H3098,J3098)</f>
        <v>155722.02654101496</v>
      </c>
      <c r="N3098" s="6">
        <f>K3098</f>
        <v>874</v>
      </c>
      <c r="O3098" s="6">
        <f>SUM(M3098:N3098)</f>
        <v>156596.02654101496</v>
      </c>
      <c r="P3098" s="8">
        <f>VLOOKUP(F3098,'LEAID Match'!$A$2:$B$436,2,FALSE)</f>
        <v>0</v>
      </c>
      <c r="Q3098" s="6">
        <f>COUNTIF($P$2:$P$3691,P3098)</f>
        <v>371</v>
      </c>
    </row>
    <row r="3099" spans="1:17" x14ac:dyDescent="0.2">
      <c r="A3099" s="16">
        <f>P3099</f>
        <v>0</v>
      </c>
      <c r="B3099">
        <v>2021</v>
      </c>
      <c r="C3099" t="s">
        <v>904</v>
      </c>
      <c r="D3099" t="s">
        <v>906</v>
      </c>
      <c r="E3099" t="s">
        <v>4005</v>
      </c>
      <c r="F3099" t="s">
        <v>797</v>
      </c>
      <c r="G3099" t="s">
        <v>332</v>
      </c>
      <c r="H3099" s="6">
        <v>169294</v>
      </c>
      <c r="I3099" s="6">
        <v>8.3632810416091243E-4</v>
      </c>
      <c r="J3099" s="6">
        <v>1885.0835467786967</v>
      </c>
      <c r="K3099" s="6">
        <v>1279</v>
      </c>
      <c r="M3099" s="6">
        <f>SUM(H3099,J3099)</f>
        <v>171179.08354677871</v>
      </c>
      <c r="N3099" s="6">
        <f>K3099</f>
        <v>1279</v>
      </c>
      <c r="O3099" s="6">
        <f>SUM(M3099:N3099)</f>
        <v>172458.08354677871</v>
      </c>
      <c r="P3099" s="8">
        <f>VLOOKUP(F3099,'LEAID Match'!$A$2:$B$436,2,FALSE)</f>
        <v>0</v>
      </c>
      <c r="Q3099" s="6">
        <f>COUNTIF($P$2:$P$3691,P3099)</f>
        <v>371</v>
      </c>
    </row>
    <row r="3100" spans="1:17" x14ac:dyDescent="0.2">
      <c r="A3100" s="16">
        <f>P3100</f>
        <v>0</v>
      </c>
      <c r="B3100">
        <v>2022</v>
      </c>
      <c r="C3100" t="s">
        <v>904</v>
      </c>
      <c r="D3100" t="s">
        <v>906</v>
      </c>
      <c r="E3100" t="s">
        <v>4006</v>
      </c>
      <c r="F3100" t="s">
        <v>797</v>
      </c>
      <c r="G3100" t="s">
        <v>332</v>
      </c>
      <c r="H3100" s="6">
        <v>171044</v>
      </c>
      <c r="I3100" s="6">
        <v>8.1214870072161794E-4</v>
      </c>
      <c r="J3100" s="6">
        <v>1790.7878850911675</v>
      </c>
      <c r="K3100" s="6">
        <v>6667</v>
      </c>
      <c r="M3100" s="6">
        <f>SUM(H3100,J3100)</f>
        <v>172834.78788509118</v>
      </c>
      <c r="N3100" s="6">
        <f>K3100</f>
        <v>6667</v>
      </c>
      <c r="O3100" s="6">
        <f>SUM(M3100:N3100)</f>
        <v>179501.78788509118</v>
      </c>
      <c r="P3100" s="8">
        <f>VLOOKUP(F3100,'LEAID Match'!$A$2:$B$436,2,FALSE)</f>
        <v>0</v>
      </c>
      <c r="Q3100" s="6">
        <f>COUNTIF($P$2:$P$3691,P3100)</f>
        <v>371</v>
      </c>
    </row>
    <row r="3101" spans="1:17" x14ac:dyDescent="0.2">
      <c r="A3101" s="16">
        <f>P3101</f>
        <v>0</v>
      </c>
      <c r="B3101">
        <v>2023</v>
      </c>
      <c r="C3101" t="s">
        <v>904</v>
      </c>
      <c r="D3101" t="s">
        <v>906</v>
      </c>
      <c r="E3101" t="s">
        <v>4007</v>
      </c>
      <c r="F3101" t="s">
        <v>797</v>
      </c>
      <c r="G3101" t="s">
        <v>332</v>
      </c>
      <c r="H3101" s="6">
        <v>225082</v>
      </c>
      <c r="I3101" s="6">
        <v>9.2046170812717931E-4</v>
      </c>
      <c r="J3101" s="6">
        <v>2270.7790339497515</v>
      </c>
      <c r="K3101" s="6">
        <v>2541</v>
      </c>
      <c r="M3101" s="6">
        <f>SUM(H3101,J3101)</f>
        <v>227352.77903394974</v>
      </c>
      <c r="N3101" s="6">
        <f>K3101</f>
        <v>2541</v>
      </c>
      <c r="O3101" s="6">
        <f>SUM(M3101:N3101)</f>
        <v>229893.77903394974</v>
      </c>
      <c r="P3101" s="8">
        <f>VLOOKUP(F3101,'LEAID Match'!$A$2:$B$436,2,FALSE)</f>
        <v>0</v>
      </c>
      <c r="Q3101" s="6">
        <f>COUNTIF($P$2:$P$3691,P3101)</f>
        <v>371</v>
      </c>
    </row>
    <row r="3102" spans="1:17" x14ac:dyDescent="0.2">
      <c r="A3102" s="16">
        <f>P3102</f>
        <v>1800045</v>
      </c>
      <c r="B3102">
        <v>2015</v>
      </c>
      <c r="C3102" t="s">
        <v>904</v>
      </c>
      <c r="D3102" t="s">
        <v>906</v>
      </c>
      <c r="E3102" t="s">
        <v>4008</v>
      </c>
      <c r="F3102" t="s">
        <v>798</v>
      </c>
      <c r="G3102" t="s">
        <v>333</v>
      </c>
      <c r="H3102" s="6">
        <v>374862</v>
      </c>
      <c r="I3102" s="6">
        <v>1.8228440932964811E-3</v>
      </c>
      <c r="J3102" s="6">
        <v>10592.547026145852</v>
      </c>
      <c r="K3102" s="6">
        <v>1541426.1307969899</v>
      </c>
      <c r="M3102" s="6">
        <f>SUM(H3102,J3102)</f>
        <v>385454.54702614585</v>
      </c>
      <c r="N3102" s="6">
        <f>K3102</f>
        <v>1541426.1307969899</v>
      </c>
      <c r="O3102" s="6">
        <f>SUM(M3102:N3102)</f>
        <v>1926880.6778231356</v>
      </c>
      <c r="P3102" s="8">
        <f>VLOOKUP(F3102,'LEAID Match'!$A$2:$B$436,2,FALSE)</f>
        <v>1800045</v>
      </c>
      <c r="Q3102" s="6">
        <f>COUNTIF($P$2:$P$3691,P3102)</f>
        <v>9</v>
      </c>
    </row>
    <row r="3103" spans="1:17" x14ac:dyDescent="0.2">
      <c r="A3103" s="16">
        <f>P3103</f>
        <v>1800045</v>
      </c>
      <c r="B3103">
        <v>2016</v>
      </c>
      <c r="C3103" t="s">
        <v>904</v>
      </c>
      <c r="D3103" t="s">
        <v>906</v>
      </c>
      <c r="E3103" t="s">
        <v>4009</v>
      </c>
      <c r="F3103" t="s">
        <v>798</v>
      </c>
      <c r="G3103" t="s">
        <v>333</v>
      </c>
      <c r="H3103" s="6">
        <v>254862</v>
      </c>
      <c r="I3103" s="6">
        <v>1.1825909811965195E-3</v>
      </c>
      <c r="J3103" s="6">
        <v>5969.7192730800307</v>
      </c>
      <c r="K3103" s="6">
        <v>1049549.4958119099</v>
      </c>
      <c r="M3103" s="6">
        <f>SUM(H3103,J3103)</f>
        <v>260831.71927308003</v>
      </c>
      <c r="N3103" s="6">
        <f>K3103</f>
        <v>1049549.4958119099</v>
      </c>
      <c r="O3103" s="6">
        <f>SUM(M3103:N3103)</f>
        <v>1310381.21508499</v>
      </c>
      <c r="P3103" s="8">
        <f>VLOOKUP(F3103,'LEAID Match'!$A$2:$B$436,2,FALSE)</f>
        <v>1800045</v>
      </c>
      <c r="Q3103" s="6">
        <f>COUNTIF($P$2:$P$3691,P3103)</f>
        <v>9</v>
      </c>
    </row>
    <row r="3104" spans="1:17" x14ac:dyDescent="0.2">
      <c r="A3104" s="16">
        <f>P3104</f>
        <v>1800045</v>
      </c>
      <c r="B3104">
        <v>2017</v>
      </c>
      <c r="C3104" t="s">
        <v>904</v>
      </c>
      <c r="D3104" t="s">
        <v>906</v>
      </c>
      <c r="E3104" t="s">
        <v>4010</v>
      </c>
      <c r="F3104" t="s">
        <v>798</v>
      </c>
      <c r="G3104" t="s">
        <v>333</v>
      </c>
      <c r="H3104" s="6">
        <v>110696</v>
      </c>
      <c r="I3104" s="6">
        <v>4.8744184442435045E-4</v>
      </c>
      <c r="J3104" s="6">
        <v>2205.674346020186</v>
      </c>
      <c r="K3104" s="6">
        <v>424561.84649360902</v>
      </c>
      <c r="M3104" s="6">
        <f>SUM(H3104,J3104)</f>
        <v>112901.67434602018</v>
      </c>
      <c r="N3104" s="6">
        <f>K3104</f>
        <v>424561.84649360902</v>
      </c>
      <c r="O3104" s="6">
        <f>SUM(M3104:N3104)</f>
        <v>537463.52083962923</v>
      </c>
      <c r="P3104" s="8">
        <f>VLOOKUP(F3104,'LEAID Match'!$A$2:$B$436,2,FALSE)</f>
        <v>1800045</v>
      </c>
      <c r="Q3104" s="6">
        <f>COUNTIF($P$2:$P$3691,P3104)</f>
        <v>9</v>
      </c>
    </row>
    <row r="3105" spans="1:17" x14ac:dyDescent="0.2">
      <c r="A3105" s="16">
        <f>P3105</f>
        <v>1800045</v>
      </c>
      <c r="B3105">
        <v>2018</v>
      </c>
      <c r="C3105" t="s">
        <v>904</v>
      </c>
      <c r="D3105" t="s">
        <v>906</v>
      </c>
      <c r="E3105" t="s">
        <v>4011</v>
      </c>
      <c r="F3105" t="s">
        <v>798</v>
      </c>
      <c r="G3105" t="s">
        <v>333</v>
      </c>
      <c r="H3105" s="6">
        <v>59126</v>
      </c>
      <c r="I3105" s="6">
        <v>2.5083441706817098E-4</v>
      </c>
      <c r="J3105" s="6">
        <v>1045.4778503401367</v>
      </c>
      <c r="K3105" s="6">
        <v>70770</v>
      </c>
      <c r="M3105" s="6">
        <f>SUM(H3105,J3105)</f>
        <v>60171.477850340139</v>
      </c>
      <c r="N3105" s="6">
        <f>K3105</f>
        <v>70770</v>
      </c>
      <c r="O3105" s="6">
        <f>SUM(M3105:N3105)</f>
        <v>130941.47785034013</v>
      </c>
      <c r="P3105" s="8">
        <f>VLOOKUP(F3105,'LEAID Match'!$A$2:$B$436,2,FALSE)</f>
        <v>1800045</v>
      </c>
      <c r="Q3105" s="6">
        <f>COUNTIF($P$2:$P$3691,P3105)</f>
        <v>9</v>
      </c>
    </row>
    <row r="3106" spans="1:17" x14ac:dyDescent="0.2">
      <c r="A3106" s="16">
        <f>P3106</f>
        <v>1800045</v>
      </c>
      <c r="B3106">
        <v>2019</v>
      </c>
      <c r="C3106" t="s">
        <v>904</v>
      </c>
      <c r="D3106" t="s">
        <v>906</v>
      </c>
      <c r="E3106" t="s">
        <v>4012</v>
      </c>
      <c r="F3106" t="s">
        <v>798</v>
      </c>
      <c r="G3106" t="s">
        <v>333</v>
      </c>
      <c r="H3106" s="6">
        <v>67172</v>
      </c>
      <c r="I3106" s="6">
        <v>1.7088520369735319E-4</v>
      </c>
      <c r="J3106" s="6">
        <v>598.9526389592229</v>
      </c>
      <c r="K3106" s="6">
        <v>161298.54376993101</v>
      </c>
      <c r="M3106" s="6">
        <f>SUM(H3106,J3106)</f>
        <v>67770.952638959221</v>
      </c>
      <c r="N3106" s="6">
        <f>K3106</f>
        <v>161298.54376993101</v>
      </c>
      <c r="O3106" s="6">
        <f>SUM(M3106:N3106)</f>
        <v>229069.49640889023</v>
      </c>
      <c r="P3106" s="8">
        <f>VLOOKUP(F3106,'LEAID Match'!$A$2:$B$436,2,FALSE)</f>
        <v>1800045</v>
      </c>
      <c r="Q3106" s="6">
        <f>COUNTIF($P$2:$P$3691,P3106)</f>
        <v>9</v>
      </c>
    </row>
    <row r="3107" spans="1:17" x14ac:dyDescent="0.2">
      <c r="A3107" s="16">
        <f>P3107</f>
        <v>1800045</v>
      </c>
      <c r="B3107">
        <v>2020</v>
      </c>
      <c r="C3107" t="s">
        <v>904</v>
      </c>
      <c r="D3107" t="s">
        <v>906</v>
      </c>
      <c r="E3107" t="s">
        <v>4013</v>
      </c>
      <c r="F3107" t="s">
        <v>798</v>
      </c>
      <c r="G3107" t="s">
        <v>333</v>
      </c>
      <c r="H3107" s="6">
        <v>15817</v>
      </c>
      <c r="I3107" s="6">
        <v>8.3809659779409922E-5</v>
      </c>
      <c r="J3107" s="6">
        <v>197.45555844028976</v>
      </c>
      <c r="K3107" s="6">
        <v>57685</v>
      </c>
      <c r="M3107" s="6">
        <f>SUM(H3107,J3107)</f>
        <v>16014.45555844029</v>
      </c>
      <c r="N3107" s="6">
        <f>K3107</f>
        <v>57685</v>
      </c>
      <c r="O3107" s="6">
        <f>SUM(M3107:N3107)</f>
        <v>73699.455558440284</v>
      </c>
      <c r="P3107" s="8">
        <f>VLOOKUP(F3107,'LEAID Match'!$A$2:$B$436,2,FALSE)</f>
        <v>1800045</v>
      </c>
      <c r="Q3107" s="6">
        <f>COUNTIF($P$2:$P$3691,P3107)</f>
        <v>9</v>
      </c>
    </row>
    <row r="3108" spans="1:17" x14ac:dyDescent="0.2">
      <c r="A3108" s="16">
        <f>P3108</f>
        <v>1800045</v>
      </c>
      <c r="B3108">
        <v>2021</v>
      </c>
      <c r="C3108" t="s">
        <v>904</v>
      </c>
      <c r="D3108" t="s">
        <v>906</v>
      </c>
      <c r="E3108" t="s">
        <v>4014</v>
      </c>
      <c r="F3108" t="s">
        <v>798</v>
      </c>
      <c r="G3108" t="s">
        <v>333</v>
      </c>
      <c r="H3108" s="6">
        <v>12336</v>
      </c>
      <c r="I3108" s="6">
        <v>6.094098723480463E-5</v>
      </c>
      <c r="J3108" s="6">
        <v>137.36098522724964</v>
      </c>
      <c r="K3108" s="6">
        <v>90628</v>
      </c>
      <c r="M3108" s="6">
        <f>SUM(H3108,J3108)</f>
        <v>12473.360985227249</v>
      </c>
      <c r="N3108" s="6">
        <f>K3108</f>
        <v>90628</v>
      </c>
      <c r="O3108" s="6">
        <f>SUM(M3108:N3108)</f>
        <v>103101.36098522725</v>
      </c>
      <c r="P3108" s="8">
        <f>VLOOKUP(F3108,'LEAID Match'!$A$2:$B$436,2,FALSE)</f>
        <v>1800045</v>
      </c>
      <c r="Q3108" s="6">
        <f>COUNTIF($P$2:$P$3691,P3108)</f>
        <v>9</v>
      </c>
    </row>
    <row r="3109" spans="1:17" x14ac:dyDescent="0.2">
      <c r="A3109" s="16">
        <f>P3109</f>
        <v>1800045</v>
      </c>
      <c r="B3109">
        <v>2022</v>
      </c>
      <c r="C3109" t="s">
        <v>904</v>
      </c>
      <c r="D3109" t="s">
        <v>906</v>
      </c>
      <c r="E3109" t="s">
        <v>4015</v>
      </c>
      <c r="F3109" t="s">
        <v>798</v>
      </c>
      <c r="G3109" t="s">
        <v>333</v>
      </c>
      <c r="H3109" s="6">
        <v>13944</v>
      </c>
      <c r="I3109" s="6">
        <v>6.6208703508233196E-5</v>
      </c>
      <c r="J3109" s="6">
        <v>145.99019123565421</v>
      </c>
      <c r="K3109" s="6">
        <v>79071</v>
      </c>
      <c r="M3109" s="6">
        <f>SUM(H3109,J3109)</f>
        <v>14089.990191235654</v>
      </c>
      <c r="N3109" s="6">
        <f>K3109</f>
        <v>79071</v>
      </c>
      <c r="O3109" s="6">
        <f>SUM(M3109:N3109)</f>
        <v>93160.990191235658</v>
      </c>
      <c r="P3109" s="8">
        <f>VLOOKUP(F3109,'LEAID Match'!$A$2:$B$436,2,FALSE)</f>
        <v>1800045</v>
      </c>
      <c r="Q3109" s="6">
        <f>COUNTIF($P$2:$P$3691,P3109)</f>
        <v>9</v>
      </c>
    </row>
    <row r="3110" spans="1:17" x14ac:dyDescent="0.2">
      <c r="A3110" s="16">
        <f>P3110</f>
        <v>1800045</v>
      </c>
      <c r="B3110">
        <v>2023</v>
      </c>
      <c r="C3110" t="s">
        <v>904</v>
      </c>
      <c r="D3110" t="s">
        <v>906</v>
      </c>
      <c r="E3110" t="s">
        <v>4016</v>
      </c>
      <c r="F3110" t="s">
        <v>798</v>
      </c>
      <c r="G3110" t="s">
        <v>333</v>
      </c>
      <c r="H3110" s="6">
        <v>12163</v>
      </c>
      <c r="I3110" s="6">
        <v>4.9739987008960659E-5</v>
      </c>
      <c r="J3110" s="6">
        <v>122.70854795110594</v>
      </c>
      <c r="K3110" s="6">
        <v>230384</v>
      </c>
      <c r="M3110" s="6">
        <f>SUM(H3110,J3110)</f>
        <v>12285.708547951106</v>
      </c>
      <c r="N3110" s="6">
        <f>K3110</f>
        <v>230384</v>
      </c>
      <c r="O3110" s="6">
        <f>SUM(M3110:N3110)</f>
        <v>242669.7085479511</v>
      </c>
      <c r="P3110" s="8">
        <f>VLOOKUP(F3110,'LEAID Match'!$A$2:$B$436,2,FALSE)</f>
        <v>1800045</v>
      </c>
      <c r="Q3110" s="6">
        <f>COUNTIF($P$2:$P$3691,P3110)</f>
        <v>9</v>
      </c>
    </row>
    <row r="3111" spans="1:17" x14ac:dyDescent="0.2">
      <c r="A3111" s="16">
        <f>P3111</f>
        <v>1800037</v>
      </c>
      <c r="B3111">
        <v>2015</v>
      </c>
      <c r="C3111" t="s">
        <v>904</v>
      </c>
      <c r="D3111" t="s">
        <v>906</v>
      </c>
      <c r="E3111" t="s">
        <v>4017</v>
      </c>
      <c r="F3111" t="s">
        <v>799</v>
      </c>
      <c r="G3111" t="s">
        <v>334</v>
      </c>
      <c r="H3111" s="6">
        <v>54741</v>
      </c>
      <c r="I3111" s="6">
        <v>2.6618944707957243E-4</v>
      </c>
      <c r="J3111" s="6">
        <v>1546.8268769793954</v>
      </c>
      <c r="K3111" s="6">
        <v>225094.05548163899</v>
      </c>
      <c r="M3111" s="6">
        <f>SUM(H3111,J3111)</f>
        <v>56287.826876979394</v>
      </c>
      <c r="N3111" s="6">
        <f>K3111</f>
        <v>225094.05548163899</v>
      </c>
      <c r="O3111" s="6">
        <f>SUM(M3111:N3111)</f>
        <v>281381.88235861837</v>
      </c>
      <c r="P3111" s="8">
        <f>VLOOKUP(F3111,'LEAID Match'!$A$2:$B$436,2,FALSE)</f>
        <v>1800037</v>
      </c>
      <c r="Q3111" s="6">
        <f>COUNTIF($P$2:$P$3691,P3111)</f>
        <v>9</v>
      </c>
    </row>
    <row r="3112" spans="1:17" x14ac:dyDescent="0.2">
      <c r="A3112" s="16">
        <f>P3112</f>
        <v>1800037</v>
      </c>
      <c r="B3112">
        <v>2016</v>
      </c>
      <c r="C3112" t="s">
        <v>904</v>
      </c>
      <c r="D3112" t="s">
        <v>906</v>
      </c>
      <c r="E3112" t="s">
        <v>4018</v>
      </c>
      <c r="F3112" t="s">
        <v>799</v>
      </c>
      <c r="G3112" t="s">
        <v>334</v>
      </c>
      <c r="H3112" s="6">
        <v>49563</v>
      </c>
      <c r="I3112" s="6">
        <v>2.2997840714207332E-4</v>
      </c>
      <c r="J3112" s="6">
        <v>1160.9309992531862</v>
      </c>
      <c r="K3112" s="6">
        <v>204105.83633858999</v>
      </c>
      <c r="M3112" s="6">
        <f>SUM(H3112,J3112)</f>
        <v>50723.930999253185</v>
      </c>
      <c r="N3112" s="6">
        <f>K3112</f>
        <v>204105.83633858999</v>
      </c>
      <c r="O3112" s="6">
        <f>SUM(M3112:N3112)</f>
        <v>254829.76733784316</v>
      </c>
      <c r="P3112" s="8">
        <f>VLOOKUP(F3112,'LEAID Match'!$A$2:$B$436,2,FALSE)</f>
        <v>1800037</v>
      </c>
      <c r="Q3112" s="6">
        <f>COUNTIF($P$2:$P$3691,P3112)</f>
        <v>9</v>
      </c>
    </row>
    <row r="3113" spans="1:17" x14ac:dyDescent="0.2">
      <c r="A3113" s="16">
        <f>P3113</f>
        <v>1800037</v>
      </c>
      <c r="B3113">
        <v>2017</v>
      </c>
      <c r="C3113" t="s">
        <v>904</v>
      </c>
      <c r="D3113" t="s">
        <v>906</v>
      </c>
      <c r="E3113" t="s">
        <v>4019</v>
      </c>
      <c r="F3113" t="s">
        <v>799</v>
      </c>
      <c r="G3113" t="s">
        <v>334</v>
      </c>
      <c r="H3113" s="6">
        <v>48346</v>
      </c>
      <c r="I3113" s="6">
        <v>2.1288812071384373E-4</v>
      </c>
      <c r="J3113" s="6">
        <v>963.31874623014289</v>
      </c>
      <c r="K3113" s="6">
        <v>185425.553141757</v>
      </c>
      <c r="M3113" s="6">
        <f>SUM(H3113,J3113)</f>
        <v>49309.318746230143</v>
      </c>
      <c r="N3113" s="6">
        <f>K3113</f>
        <v>185425.553141757</v>
      </c>
      <c r="O3113" s="6">
        <f>SUM(M3113:N3113)</f>
        <v>234734.87188798713</v>
      </c>
      <c r="P3113" s="8">
        <f>VLOOKUP(F3113,'LEAID Match'!$A$2:$B$436,2,FALSE)</f>
        <v>1800037</v>
      </c>
      <c r="Q3113" s="6">
        <f>COUNTIF($P$2:$P$3691,P3113)</f>
        <v>9</v>
      </c>
    </row>
    <row r="3114" spans="1:17" x14ac:dyDescent="0.2">
      <c r="A3114" s="16">
        <f>P3114</f>
        <v>1800037</v>
      </c>
      <c r="B3114">
        <v>2018</v>
      </c>
      <c r="C3114" t="s">
        <v>904</v>
      </c>
      <c r="D3114" t="s">
        <v>906</v>
      </c>
      <c r="E3114" t="s">
        <v>4020</v>
      </c>
      <c r="F3114" t="s">
        <v>799</v>
      </c>
      <c r="G3114" t="s">
        <v>334</v>
      </c>
      <c r="H3114" s="6">
        <v>46157</v>
      </c>
      <c r="I3114" s="6">
        <v>1.9581510991130077E-4</v>
      </c>
      <c r="J3114" s="6">
        <v>816.15737811030158</v>
      </c>
      <c r="K3114" s="6">
        <v>13677</v>
      </c>
      <c r="M3114" s="6">
        <f>SUM(H3114,J3114)</f>
        <v>46973.1573781103</v>
      </c>
      <c r="N3114" s="6">
        <f>K3114</f>
        <v>13677</v>
      </c>
      <c r="O3114" s="6">
        <f>SUM(M3114:N3114)</f>
        <v>60650.1573781103</v>
      </c>
      <c r="P3114" s="8">
        <f>VLOOKUP(F3114,'LEAID Match'!$A$2:$B$436,2,FALSE)</f>
        <v>1800037</v>
      </c>
      <c r="Q3114" s="6">
        <f>COUNTIF($P$2:$P$3691,P3114)</f>
        <v>9</v>
      </c>
    </row>
    <row r="3115" spans="1:17" x14ac:dyDescent="0.2">
      <c r="A3115" s="16">
        <f>P3115</f>
        <v>1800037</v>
      </c>
      <c r="B3115">
        <v>2019</v>
      </c>
      <c r="C3115" t="s">
        <v>904</v>
      </c>
      <c r="D3115" t="s">
        <v>906</v>
      </c>
      <c r="E3115" t="s">
        <v>4021</v>
      </c>
      <c r="F3115" t="s">
        <v>799</v>
      </c>
      <c r="G3115" t="s">
        <v>334</v>
      </c>
      <c r="H3115" s="6">
        <v>51192</v>
      </c>
      <c r="I3115" s="6">
        <v>1.3023217036376621E-4</v>
      </c>
      <c r="J3115" s="6">
        <v>456.46375712500054</v>
      </c>
      <c r="K3115" s="6">
        <v>122926.145606358</v>
      </c>
      <c r="M3115" s="6">
        <f>SUM(H3115,J3115)</f>
        <v>51648.463757124999</v>
      </c>
      <c r="N3115" s="6">
        <f>K3115</f>
        <v>122926.145606358</v>
      </c>
      <c r="O3115" s="6">
        <f>SUM(M3115:N3115)</f>
        <v>174574.609363483</v>
      </c>
      <c r="P3115" s="8">
        <f>VLOOKUP(F3115,'LEAID Match'!$A$2:$B$436,2,FALSE)</f>
        <v>1800037</v>
      </c>
      <c r="Q3115" s="6">
        <f>COUNTIF($P$2:$P$3691,P3115)</f>
        <v>9</v>
      </c>
    </row>
    <row r="3116" spans="1:17" x14ac:dyDescent="0.2">
      <c r="A3116" s="16">
        <f>P3116</f>
        <v>1800037</v>
      </c>
      <c r="B3116">
        <v>2020</v>
      </c>
      <c r="C3116" t="s">
        <v>904</v>
      </c>
      <c r="D3116" t="s">
        <v>906</v>
      </c>
      <c r="E3116" t="s">
        <v>4022</v>
      </c>
      <c r="F3116" t="s">
        <v>799</v>
      </c>
      <c r="G3116" t="s">
        <v>334</v>
      </c>
      <c r="H3116" s="6">
        <v>45836</v>
      </c>
      <c r="I3116" s="6">
        <v>2.4287156639369244E-4</v>
      </c>
      <c r="J3116" s="6">
        <v>572.20541042353943</v>
      </c>
      <c r="K3116" s="6">
        <v>16606</v>
      </c>
      <c r="M3116" s="6">
        <f>SUM(H3116,J3116)</f>
        <v>46408.205410423543</v>
      </c>
      <c r="N3116" s="6">
        <f>K3116</f>
        <v>16606</v>
      </c>
      <c r="O3116" s="6">
        <f>SUM(M3116:N3116)</f>
        <v>63014.205410423543</v>
      </c>
      <c r="P3116" s="8">
        <f>VLOOKUP(F3116,'LEAID Match'!$A$2:$B$436,2,FALSE)</f>
        <v>1800037</v>
      </c>
      <c r="Q3116" s="6">
        <f>COUNTIF($P$2:$P$3691,P3116)</f>
        <v>9</v>
      </c>
    </row>
    <row r="3117" spans="1:17" x14ac:dyDescent="0.2">
      <c r="A3117" s="16">
        <f>P3117</f>
        <v>1800037</v>
      </c>
      <c r="B3117">
        <v>2021</v>
      </c>
      <c r="C3117" t="s">
        <v>904</v>
      </c>
      <c r="D3117" t="s">
        <v>906</v>
      </c>
      <c r="E3117" t="s">
        <v>4023</v>
      </c>
      <c r="F3117" t="s">
        <v>799</v>
      </c>
      <c r="G3117" t="s">
        <v>334</v>
      </c>
      <c r="H3117" s="6">
        <v>50559</v>
      </c>
      <c r="I3117" s="6">
        <v>2.497661619329189E-4</v>
      </c>
      <c r="J3117" s="6">
        <v>562.97292899679917</v>
      </c>
      <c r="K3117" s="6">
        <v>36603</v>
      </c>
      <c r="M3117" s="6">
        <f>SUM(H3117,J3117)</f>
        <v>51121.972928996802</v>
      </c>
      <c r="N3117" s="6">
        <f>K3117</f>
        <v>36603</v>
      </c>
      <c r="O3117" s="6">
        <f>SUM(M3117:N3117)</f>
        <v>87724.972928996809</v>
      </c>
      <c r="P3117" s="8">
        <f>VLOOKUP(F3117,'LEAID Match'!$A$2:$B$436,2,FALSE)</f>
        <v>1800037</v>
      </c>
      <c r="Q3117" s="6">
        <f>COUNTIF($P$2:$P$3691,P3117)</f>
        <v>9</v>
      </c>
    </row>
    <row r="3118" spans="1:17" x14ac:dyDescent="0.2">
      <c r="A3118" s="16">
        <f>P3118</f>
        <v>1800037</v>
      </c>
      <c r="B3118">
        <v>2022</v>
      </c>
      <c r="C3118" t="s">
        <v>904</v>
      </c>
      <c r="D3118" t="s">
        <v>906</v>
      </c>
      <c r="E3118" t="s">
        <v>4024</v>
      </c>
      <c r="F3118" t="s">
        <v>799</v>
      </c>
      <c r="G3118" t="s">
        <v>334</v>
      </c>
      <c r="H3118" s="6">
        <v>61081</v>
      </c>
      <c r="I3118" s="6">
        <v>2.9002393997320657E-4</v>
      </c>
      <c r="J3118" s="6">
        <v>639.50278764092047</v>
      </c>
      <c r="K3118" s="6">
        <v>23721</v>
      </c>
      <c r="M3118" s="6">
        <f>SUM(H3118,J3118)</f>
        <v>61720.502787640922</v>
      </c>
      <c r="N3118" s="6">
        <f>K3118</f>
        <v>23721</v>
      </c>
      <c r="O3118" s="6">
        <f>SUM(M3118:N3118)</f>
        <v>85441.502787640929</v>
      </c>
      <c r="P3118" s="8">
        <f>VLOOKUP(F3118,'LEAID Match'!$A$2:$B$436,2,FALSE)</f>
        <v>1800037</v>
      </c>
      <c r="Q3118" s="6">
        <f>COUNTIF($P$2:$P$3691,P3118)</f>
        <v>9</v>
      </c>
    </row>
    <row r="3119" spans="1:17" x14ac:dyDescent="0.2">
      <c r="A3119" s="16">
        <f>P3119</f>
        <v>1800037</v>
      </c>
      <c r="B3119">
        <v>2023</v>
      </c>
      <c r="C3119" t="s">
        <v>904</v>
      </c>
      <c r="D3119" t="s">
        <v>906</v>
      </c>
      <c r="E3119" t="s">
        <v>4025</v>
      </c>
      <c r="F3119" t="s">
        <v>799</v>
      </c>
      <c r="G3119" t="s">
        <v>334</v>
      </c>
      <c r="H3119" s="6">
        <v>67150</v>
      </c>
      <c r="I3119" s="6">
        <v>2.7460660426306899E-4</v>
      </c>
      <c r="J3119" s="6">
        <v>677.45449271699124</v>
      </c>
      <c r="K3119" s="6">
        <v>147802</v>
      </c>
      <c r="M3119" s="6">
        <f>SUM(H3119,J3119)</f>
        <v>67827.454492716992</v>
      </c>
      <c r="N3119" s="6">
        <f>K3119</f>
        <v>147802</v>
      </c>
      <c r="O3119" s="6">
        <f>SUM(M3119:N3119)</f>
        <v>215629.45449271699</v>
      </c>
      <c r="P3119" s="8">
        <f>VLOOKUP(F3119,'LEAID Match'!$A$2:$B$436,2,FALSE)</f>
        <v>1800037</v>
      </c>
      <c r="Q3119" s="6">
        <f>COUNTIF($P$2:$P$3691,P3119)</f>
        <v>9</v>
      </c>
    </row>
    <row r="3120" spans="1:17" x14ac:dyDescent="0.2">
      <c r="A3120" s="16">
        <f>P3120</f>
        <v>1800051</v>
      </c>
      <c r="B3120">
        <v>2018</v>
      </c>
      <c r="C3120" t="s">
        <v>904</v>
      </c>
      <c r="D3120" t="s">
        <v>906</v>
      </c>
      <c r="E3120" t="s">
        <v>4026</v>
      </c>
      <c r="F3120" t="s">
        <v>800</v>
      </c>
      <c r="G3120" t="s">
        <v>441</v>
      </c>
      <c r="H3120" s="6">
        <v>0</v>
      </c>
      <c r="I3120" s="6">
        <v>0</v>
      </c>
      <c r="J3120" s="6">
        <v>0</v>
      </c>
      <c r="K3120" s="6">
        <v>734</v>
      </c>
      <c r="M3120" s="6">
        <f>SUM(H3120,J3120)</f>
        <v>0</v>
      </c>
      <c r="N3120" s="6">
        <f>K3120</f>
        <v>734</v>
      </c>
      <c r="O3120" s="6">
        <f>SUM(M3120:N3120)</f>
        <v>734</v>
      </c>
      <c r="P3120" s="8">
        <f>VLOOKUP(F3120,'LEAID Match'!$A$2:$B$436,2,FALSE)</f>
        <v>1800051</v>
      </c>
      <c r="Q3120" s="6">
        <f>COUNTIF($P$2:$P$3691,P3120)</f>
        <v>5</v>
      </c>
    </row>
    <row r="3121" spans="1:17" x14ac:dyDescent="0.2">
      <c r="A3121" s="16">
        <f>P3121</f>
        <v>1800051</v>
      </c>
      <c r="B3121">
        <v>2020</v>
      </c>
      <c r="C3121" t="s">
        <v>904</v>
      </c>
      <c r="D3121" t="s">
        <v>906</v>
      </c>
      <c r="E3121" t="s">
        <v>4027</v>
      </c>
      <c r="F3121" t="s">
        <v>800</v>
      </c>
      <c r="G3121" t="s">
        <v>441</v>
      </c>
      <c r="H3121" s="6">
        <v>0</v>
      </c>
      <c r="I3121" s="6">
        <v>0</v>
      </c>
      <c r="J3121" s="6">
        <v>0</v>
      </c>
      <c r="K3121" s="6">
        <v>874</v>
      </c>
      <c r="M3121" s="6">
        <f>SUM(H3121,J3121)</f>
        <v>0</v>
      </c>
      <c r="N3121" s="6">
        <f>K3121</f>
        <v>874</v>
      </c>
      <c r="O3121" s="6">
        <f>SUM(M3121:N3121)</f>
        <v>874</v>
      </c>
      <c r="P3121" s="8">
        <f>VLOOKUP(F3121,'LEAID Match'!$A$2:$B$436,2,FALSE)</f>
        <v>1800051</v>
      </c>
      <c r="Q3121" s="6">
        <f>COUNTIF($P$2:$P$3691,P3121)</f>
        <v>5</v>
      </c>
    </row>
    <row r="3122" spans="1:17" x14ac:dyDescent="0.2">
      <c r="A3122" s="16">
        <f>P3122</f>
        <v>1800051</v>
      </c>
      <c r="B3122">
        <v>2021</v>
      </c>
      <c r="C3122" t="s">
        <v>904</v>
      </c>
      <c r="D3122" t="s">
        <v>906</v>
      </c>
      <c r="E3122" t="s">
        <v>4028</v>
      </c>
      <c r="F3122" t="s">
        <v>800</v>
      </c>
      <c r="G3122" t="s">
        <v>441</v>
      </c>
      <c r="H3122" s="6" t="s">
        <v>893</v>
      </c>
      <c r="K3122" s="6">
        <v>1279</v>
      </c>
      <c r="M3122" s="6">
        <f>SUM(H3122,J3122)</f>
        <v>0</v>
      </c>
      <c r="N3122" s="6">
        <f>K3122</f>
        <v>1279</v>
      </c>
      <c r="O3122" s="6">
        <f>SUM(M3122:N3122)</f>
        <v>1279</v>
      </c>
      <c r="P3122" s="8">
        <f>VLOOKUP(F3122,'LEAID Match'!$A$2:$B$436,2,FALSE)</f>
        <v>1800051</v>
      </c>
      <c r="Q3122" s="6">
        <f>COUNTIF($P$2:$P$3691,P3122)</f>
        <v>5</v>
      </c>
    </row>
    <row r="3123" spans="1:17" x14ac:dyDescent="0.2">
      <c r="A3123" s="16">
        <f>P3123</f>
        <v>1800051</v>
      </c>
      <c r="B3123">
        <v>2022</v>
      </c>
      <c r="C3123" t="s">
        <v>904</v>
      </c>
      <c r="D3123" t="s">
        <v>906</v>
      </c>
      <c r="E3123" t="s">
        <v>4029</v>
      </c>
      <c r="F3123" t="s">
        <v>800</v>
      </c>
      <c r="G3123" t="s">
        <v>441</v>
      </c>
      <c r="H3123" s="6" t="s">
        <v>893</v>
      </c>
      <c r="K3123" s="6">
        <v>1240</v>
      </c>
      <c r="M3123" s="6">
        <f>SUM(H3123,J3123)</f>
        <v>0</v>
      </c>
      <c r="N3123" s="6">
        <f>K3123</f>
        <v>1240</v>
      </c>
      <c r="O3123" s="6">
        <f>SUM(M3123:N3123)</f>
        <v>1240</v>
      </c>
      <c r="P3123" s="8">
        <f>VLOOKUP(F3123,'LEAID Match'!$A$2:$B$436,2,FALSE)</f>
        <v>1800051</v>
      </c>
      <c r="Q3123" s="6">
        <f>COUNTIF($P$2:$P$3691,P3123)</f>
        <v>5</v>
      </c>
    </row>
    <row r="3124" spans="1:17" x14ac:dyDescent="0.2">
      <c r="A3124" s="16">
        <f>P3124</f>
        <v>1800051</v>
      </c>
      <c r="B3124">
        <v>2023</v>
      </c>
      <c r="C3124" t="s">
        <v>904</v>
      </c>
      <c r="D3124" t="s">
        <v>906</v>
      </c>
      <c r="E3124" t="s">
        <v>4030</v>
      </c>
      <c r="F3124" t="s">
        <v>800</v>
      </c>
      <c r="G3124" t="s">
        <v>441</v>
      </c>
      <c r="H3124" s="6" t="s">
        <v>893</v>
      </c>
      <c r="K3124" s="6">
        <v>2965</v>
      </c>
      <c r="M3124" s="6">
        <f>SUM(H3124,J3124)</f>
        <v>0</v>
      </c>
      <c r="N3124" s="6">
        <f>K3124</f>
        <v>2965</v>
      </c>
      <c r="O3124" s="6">
        <f>SUM(M3124:N3124)</f>
        <v>2965</v>
      </c>
      <c r="P3124" s="8">
        <f>VLOOKUP(F3124,'LEAID Match'!$A$2:$B$436,2,FALSE)</f>
        <v>1800051</v>
      </c>
      <c r="Q3124" s="6">
        <f>COUNTIF($P$2:$P$3691,P3124)</f>
        <v>5</v>
      </c>
    </row>
    <row r="3125" spans="1:17" x14ac:dyDescent="0.2">
      <c r="A3125" s="16">
        <f>P3125</f>
        <v>0</v>
      </c>
      <c r="B3125">
        <v>2015</v>
      </c>
      <c r="C3125" t="s">
        <v>904</v>
      </c>
      <c r="D3125" t="s">
        <v>906</v>
      </c>
      <c r="E3125" t="s">
        <v>4031</v>
      </c>
      <c r="F3125" t="s">
        <v>841</v>
      </c>
      <c r="G3125" t="s">
        <v>335</v>
      </c>
      <c r="H3125" s="6">
        <v>51760</v>
      </c>
      <c r="I3125" s="6">
        <v>2.516937173387163E-4</v>
      </c>
      <c r="J3125" s="6">
        <v>1462.5921914552805</v>
      </c>
      <c r="K3125" s="6">
        <v>212836.23448109499</v>
      </c>
      <c r="M3125" s="6">
        <f>SUM(H3125,J3125)</f>
        <v>53222.592191455282</v>
      </c>
      <c r="N3125" s="6">
        <f>K3125</f>
        <v>212836.23448109499</v>
      </c>
      <c r="O3125" s="6">
        <f>SUM(M3125:N3125)</f>
        <v>266058.82667255029</v>
      </c>
      <c r="P3125" s="8">
        <f>VLOOKUP(F3125,'LEAID Match'!$A$2:$B$436,2,FALSE)</f>
        <v>0</v>
      </c>
      <c r="Q3125" s="6">
        <f>COUNTIF($P$2:$P$3691,P3125)</f>
        <v>371</v>
      </c>
    </row>
    <row r="3126" spans="1:17" x14ac:dyDescent="0.2">
      <c r="A3126" s="16">
        <f>P3126</f>
        <v>0</v>
      </c>
      <c r="B3126">
        <v>2016</v>
      </c>
      <c r="C3126" t="s">
        <v>904</v>
      </c>
      <c r="D3126" t="s">
        <v>906</v>
      </c>
      <c r="E3126" t="s">
        <v>4032</v>
      </c>
      <c r="F3126" t="s">
        <v>841</v>
      </c>
      <c r="G3126" t="s">
        <v>335</v>
      </c>
      <c r="H3126" s="6">
        <v>5841</v>
      </c>
      <c r="I3126" s="6">
        <v>2.7102957369748608E-5</v>
      </c>
      <c r="J3126" s="6">
        <v>136.81572880249098</v>
      </c>
      <c r="K3126" s="6">
        <v>24053.874665651801</v>
      </c>
      <c r="M3126" s="6">
        <f>SUM(H3126,J3126)</f>
        <v>5977.8157288024913</v>
      </c>
      <c r="N3126" s="6">
        <f>K3126</f>
        <v>24053.874665651801</v>
      </c>
      <c r="O3126" s="6">
        <f>SUM(M3126:N3126)</f>
        <v>30031.690394454294</v>
      </c>
      <c r="P3126" s="8">
        <f>VLOOKUP(F3126,'LEAID Match'!$A$2:$B$436,2,FALSE)</f>
        <v>0</v>
      </c>
      <c r="Q3126" s="6">
        <f>COUNTIF($P$2:$P$3691,P3126)</f>
        <v>371</v>
      </c>
    </row>
    <row r="3127" spans="1:17" x14ac:dyDescent="0.2">
      <c r="A3127" s="16">
        <f>P3127</f>
        <v>0</v>
      </c>
      <c r="B3127">
        <v>2017</v>
      </c>
      <c r="C3127" t="s">
        <v>904</v>
      </c>
      <c r="D3127" t="s">
        <v>906</v>
      </c>
      <c r="E3127" t="s">
        <v>4033</v>
      </c>
      <c r="F3127" t="s">
        <v>841</v>
      </c>
      <c r="G3127" t="s">
        <v>335</v>
      </c>
      <c r="H3127" s="6" t="s">
        <v>187</v>
      </c>
      <c r="I3127" s="6">
        <v>0</v>
      </c>
      <c r="J3127" s="6">
        <v>0</v>
      </c>
      <c r="K3127" s="6">
        <v>0</v>
      </c>
      <c r="M3127" s="6">
        <f>SUM(H3127,J3127)</f>
        <v>0</v>
      </c>
      <c r="N3127" s="6">
        <f>K3127</f>
        <v>0</v>
      </c>
      <c r="O3127" s="6">
        <f>SUM(M3127:N3127)</f>
        <v>0</v>
      </c>
      <c r="P3127" s="8">
        <f>VLOOKUP(F3127,'LEAID Match'!$A$2:$B$436,2,FALSE)</f>
        <v>0</v>
      </c>
      <c r="Q3127" s="6">
        <f>COUNTIF($P$2:$P$3691,P3127)</f>
        <v>371</v>
      </c>
    </row>
    <row r="3128" spans="1:17" x14ac:dyDescent="0.2">
      <c r="A3128" s="16">
        <f>P3128</f>
        <v>0</v>
      </c>
      <c r="B3128">
        <v>2018</v>
      </c>
      <c r="C3128" t="s">
        <v>904</v>
      </c>
      <c r="D3128" t="s">
        <v>906</v>
      </c>
      <c r="E3128" t="s">
        <v>4034</v>
      </c>
      <c r="F3128" t="s">
        <v>841</v>
      </c>
      <c r="G3128" t="s">
        <v>335</v>
      </c>
      <c r="H3128" s="6" t="s">
        <v>187</v>
      </c>
      <c r="I3128" s="6">
        <v>0</v>
      </c>
      <c r="J3128" s="6">
        <v>0</v>
      </c>
      <c r="K3128" s="6">
        <v>0</v>
      </c>
      <c r="M3128" s="6">
        <f>SUM(H3128,J3128)</f>
        <v>0</v>
      </c>
      <c r="N3128" s="6">
        <f>K3128</f>
        <v>0</v>
      </c>
      <c r="O3128" s="6">
        <f>SUM(M3128:N3128)</f>
        <v>0</v>
      </c>
      <c r="P3128" s="8">
        <f>VLOOKUP(F3128,'LEAID Match'!$A$2:$B$436,2,FALSE)</f>
        <v>0</v>
      </c>
      <c r="Q3128" s="6">
        <f>COUNTIF($P$2:$P$3691,P3128)</f>
        <v>371</v>
      </c>
    </row>
    <row r="3129" spans="1:17" x14ac:dyDescent="0.2">
      <c r="A3129" s="16">
        <f>P3129</f>
        <v>0</v>
      </c>
      <c r="B3129">
        <v>2019</v>
      </c>
      <c r="C3129" t="s">
        <v>904</v>
      </c>
      <c r="D3129" t="s">
        <v>906</v>
      </c>
      <c r="E3129" t="s">
        <v>4035</v>
      </c>
      <c r="F3129" t="s">
        <v>841</v>
      </c>
      <c r="G3129" t="s">
        <v>335</v>
      </c>
      <c r="H3129" s="6" t="s">
        <v>187</v>
      </c>
      <c r="I3129" s="6">
        <v>0</v>
      </c>
      <c r="J3129" s="6">
        <v>0</v>
      </c>
      <c r="K3129" s="6">
        <v>0</v>
      </c>
      <c r="M3129" s="6">
        <f>SUM(H3129,J3129)</f>
        <v>0</v>
      </c>
      <c r="N3129" s="6">
        <f>K3129</f>
        <v>0</v>
      </c>
      <c r="O3129" s="6">
        <f>SUM(M3129:N3129)</f>
        <v>0</v>
      </c>
      <c r="P3129" s="8">
        <f>VLOOKUP(F3129,'LEAID Match'!$A$2:$B$436,2,FALSE)</f>
        <v>0</v>
      </c>
      <c r="Q3129" s="6">
        <f>COUNTIF($P$2:$P$3691,P3129)</f>
        <v>371</v>
      </c>
    </row>
    <row r="3130" spans="1:17" x14ac:dyDescent="0.2">
      <c r="A3130" s="16">
        <f>P3130</f>
        <v>0</v>
      </c>
      <c r="B3130">
        <v>2020</v>
      </c>
      <c r="C3130" t="s">
        <v>904</v>
      </c>
      <c r="D3130" t="s">
        <v>906</v>
      </c>
      <c r="E3130" t="s">
        <v>4036</v>
      </c>
      <c r="F3130" t="s">
        <v>841</v>
      </c>
      <c r="G3130" t="s">
        <v>335</v>
      </c>
      <c r="H3130" s="6" t="s">
        <v>187</v>
      </c>
      <c r="I3130" s="6">
        <v>0</v>
      </c>
      <c r="J3130" s="6">
        <v>0</v>
      </c>
      <c r="K3130" s="6">
        <v>1262</v>
      </c>
      <c r="M3130" s="6">
        <f>SUM(H3130,J3130)</f>
        <v>0</v>
      </c>
      <c r="N3130" s="6">
        <f>K3130</f>
        <v>1262</v>
      </c>
      <c r="O3130" s="6">
        <f>SUM(M3130:N3130)</f>
        <v>1262</v>
      </c>
      <c r="P3130" s="8">
        <f>VLOOKUP(F3130,'LEAID Match'!$A$2:$B$436,2,FALSE)</f>
        <v>0</v>
      </c>
      <c r="Q3130" s="6">
        <f>COUNTIF($P$2:$P$3691,P3130)</f>
        <v>371</v>
      </c>
    </row>
    <row r="3131" spans="1:17" x14ac:dyDescent="0.2">
      <c r="A3131" s="16">
        <f>P3131</f>
        <v>0</v>
      </c>
      <c r="B3131">
        <v>2021</v>
      </c>
      <c r="C3131" t="s">
        <v>904</v>
      </c>
      <c r="D3131" t="s">
        <v>906</v>
      </c>
      <c r="E3131" t="s">
        <v>4037</v>
      </c>
      <c r="F3131" t="s">
        <v>841</v>
      </c>
      <c r="G3131" t="s">
        <v>335</v>
      </c>
      <c r="H3131" s="6" t="s">
        <v>187</v>
      </c>
      <c r="I3131" s="6">
        <v>0</v>
      </c>
      <c r="J3131" s="6">
        <v>0</v>
      </c>
      <c r="K3131" s="6">
        <v>1279</v>
      </c>
      <c r="M3131" s="6">
        <f>SUM(H3131,J3131)</f>
        <v>0</v>
      </c>
      <c r="N3131" s="6">
        <f>K3131</f>
        <v>1279</v>
      </c>
      <c r="O3131" s="6">
        <f>SUM(M3131:N3131)</f>
        <v>1279</v>
      </c>
      <c r="P3131" s="8">
        <f>VLOOKUP(F3131,'LEAID Match'!$A$2:$B$436,2,FALSE)</f>
        <v>0</v>
      </c>
      <c r="Q3131" s="6">
        <f>COUNTIF($P$2:$P$3691,P3131)</f>
        <v>371</v>
      </c>
    </row>
    <row r="3132" spans="1:17" x14ac:dyDescent="0.2">
      <c r="A3132" s="16">
        <f>P3132</f>
        <v>0</v>
      </c>
      <c r="B3132">
        <v>2022</v>
      </c>
      <c r="C3132" t="s">
        <v>904</v>
      </c>
      <c r="D3132" t="s">
        <v>906</v>
      </c>
      <c r="E3132" t="s">
        <v>4038</v>
      </c>
      <c r="F3132" t="s">
        <v>841</v>
      </c>
      <c r="G3132" t="s">
        <v>335</v>
      </c>
      <c r="H3132" s="6" t="s">
        <v>187</v>
      </c>
      <c r="I3132" s="6">
        <v>0</v>
      </c>
      <c r="J3132" s="6">
        <v>0</v>
      </c>
      <c r="K3132" s="6">
        <v>1240</v>
      </c>
      <c r="M3132" s="6">
        <f>SUM(H3132,J3132)</f>
        <v>0</v>
      </c>
      <c r="N3132" s="6">
        <f>K3132</f>
        <v>1240</v>
      </c>
      <c r="O3132" s="6">
        <f>SUM(M3132:N3132)</f>
        <v>1240</v>
      </c>
      <c r="P3132" s="8">
        <f>VLOOKUP(F3132,'LEAID Match'!$A$2:$B$436,2,FALSE)</f>
        <v>0</v>
      </c>
      <c r="Q3132" s="6">
        <f>COUNTIF($P$2:$P$3691,P3132)</f>
        <v>371</v>
      </c>
    </row>
    <row r="3133" spans="1:17" x14ac:dyDescent="0.2">
      <c r="A3133" s="16">
        <f>P3133</f>
        <v>0</v>
      </c>
      <c r="B3133">
        <v>2023</v>
      </c>
      <c r="C3133" t="s">
        <v>904</v>
      </c>
      <c r="D3133" t="s">
        <v>906</v>
      </c>
      <c r="E3133" t="s">
        <v>4039</v>
      </c>
      <c r="F3133" t="s">
        <v>841</v>
      </c>
      <c r="G3133" t="s">
        <v>335</v>
      </c>
      <c r="H3133" s="6" t="s">
        <v>187</v>
      </c>
      <c r="I3133" s="6">
        <v>0</v>
      </c>
      <c r="J3133" s="6">
        <v>0</v>
      </c>
      <c r="K3133" s="6">
        <v>2965</v>
      </c>
      <c r="M3133" s="6">
        <f>SUM(H3133,J3133)</f>
        <v>0</v>
      </c>
      <c r="N3133" s="6">
        <f>K3133</f>
        <v>2965</v>
      </c>
      <c r="O3133" s="6">
        <f>SUM(M3133:N3133)</f>
        <v>2965</v>
      </c>
      <c r="P3133" s="8">
        <f>VLOOKUP(F3133,'LEAID Match'!$A$2:$B$436,2,FALSE)</f>
        <v>0</v>
      </c>
      <c r="Q3133" s="6">
        <f>COUNTIF($P$2:$P$3691,P3133)</f>
        <v>371</v>
      </c>
    </row>
    <row r="3134" spans="1:17" x14ac:dyDescent="0.2">
      <c r="A3134" s="16">
        <f>P3134</f>
        <v>1800046</v>
      </c>
      <c r="B3134">
        <v>2015</v>
      </c>
      <c r="C3134" t="s">
        <v>904</v>
      </c>
      <c r="D3134" t="s">
        <v>906</v>
      </c>
      <c r="E3134" t="s">
        <v>4040</v>
      </c>
      <c r="F3134" t="s">
        <v>801</v>
      </c>
      <c r="G3134" t="s">
        <v>336</v>
      </c>
      <c r="H3134" s="6">
        <v>140905</v>
      </c>
      <c r="I3134" s="6">
        <v>6.8517973805277857E-4</v>
      </c>
      <c r="J3134" s="6">
        <v>3981.5794578246964</v>
      </c>
      <c r="K3134" s="6">
        <v>579398.94937323802</v>
      </c>
      <c r="M3134" s="6">
        <f>SUM(H3134,J3134)</f>
        <v>144886.5794578247</v>
      </c>
      <c r="N3134" s="6">
        <f>K3134</f>
        <v>579398.94937323802</v>
      </c>
      <c r="O3134" s="6">
        <f>SUM(M3134:N3134)</f>
        <v>724285.52883106272</v>
      </c>
      <c r="P3134" s="8">
        <f>VLOOKUP(F3134,'LEAID Match'!$A$2:$B$436,2,FALSE)</f>
        <v>1800046</v>
      </c>
      <c r="Q3134" s="6">
        <f>COUNTIF($P$2:$P$3691,P3134)</f>
        <v>9</v>
      </c>
    </row>
    <row r="3135" spans="1:17" x14ac:dyDescent="0.2">
      <c r="A3135" s="16">
        <f>P3135</f>
        <v>1800046</v>
      </c>
      <c r="B3135">
        <v>2016</v>
      </c>
      <c r="C3135" t="s">
        <v>904</v>
      </c>
      <c r="D3135" t="s">
        <v>906</v>
      </c>
      <c r="E3135" t="s">
        <v>4041</v>
      </c>
      <c r="F3135" t="s">
        <v>801</v>
      </c>
      <c r="G3135" t="s">
        <v>336</v>
      </c>
      <c r="H3135" s="6">
        <v>180957</v>
      </c>
      <c r="I3135" s="6">
        <v>8.3966270446115372E-4</v>
      </c>
      <c r="J3135" s="6">
        <v>4238.6173321199039</v>
      </c>
      <c r="K3135" s="6">
        <v>745200.65020927298</v>
      </c>
      <c r="M3135" s="6">
        <f>SUM(H3135,J3135)</f>
        <v>185195.6173321199</v>
      </c>
      <c r="N3135" s="6">
        <f>K3135</f>
        <v>745200.65020927298</v>
      </c>
      <c r="O3135" s="6">
        <f>SUM(M3135:N3135)</f>
        <v>930396.26754139294</v>
      </c>
      <c r="P3135" s="8">
        <f>VLOOKUP(F3135,'LEAID Match'!$A$2:$B$436,2,FALSE)</f>
        <v>1800046</v>
      </c>
      <c r="Q3135" s="6">
        <f>COUNTIF($P$2:$P$3691,P3135)</f>
        <v>9</v>
      </c>
    </row>
    <row r="3136" spans="1:17" x14ac:dyDescent="0.2">
      <c r="A3136" s="16">
        <f>P3136</f>
        <v>1800046</v>
      </c>
      <c r="B3136">
        <v>2017</v>
      </c>
      <c r="C3136" t="s">
        <v>904</v>
      </c>
      <c r="D3136" t="s">
        <v>906</v>
      </c>
      <c r="E3136" t="s">
        <v>4042</v>
      </c>
      <c r="F3136" t="s">
        <v>801</v>
      </c>
      <c r="G3136" t="s">
        <v>336</v>
      </c>
      <c r="H3136" s="6">
        <v>191501</v>
      </c>
      <c r="I3136" s="6">
        <v>8.4326082829648346E-4</v>
      </c>
      <c r="J3136" s="6">
        <v>3815.7552480415875</v>
      </c>
      <c r="K3136" s="6">
        <v>734480.18144623702</v>
      </c>
      <c r="M3136" s="6">
        <f>SUM(H3136,J3136)</f>
        <v>195316.75524804159</v>
      </c>
      <c r="N3136" s="6">
        <f>K3136</f>
        <v>734480.18144623702</v>
      </c>
      <c r="O3136" s="6">
        <f>SUM(M3136:N3136)</f>
        <v>929796.93669427861</v>
      </c>
      <c r="P3136" s="8">
        <f>VLOOKUP(F3136,'LEAID Match'!$A$2:$B$436,2,FALSE)</f>
        <v>1800046</v>
      </c>
      <c r="Q3136" s="6">
        <f>COUNTIF($P$2:$P$3691,P3136)</f>
        <v>9</v>
      </c>
    </row>
    <row r="3137" spans="1:17" x14ac:dyDescent="0.2">
      <c r="A3137" s="16">
        <f>P3137</f>
        <v>1800046</v>
      </c>
      <c r="B3137">
        <v>2018</v>
      </c>
      <c r="C3137" t="s">
        <v>904</v>
      </c>
      <c r="D3137" t="s">
        <v>906</v>
      </c>
      <c r="E3137" t="s">
        <v>4043</v>
      </c>
      <c r="F3137" t="s">
        <v>801</v>
      </c>
      <c r="G3137" t="s">
        <v>336</v>
      </c>
      <c r="H3137" s="6">
        <v>204657</v>
      </c>
      <c r="I3137" s="6">
        <v>8.6823088478707629E-4</v>
      </c>
      <c r="J3137" s="6">
        <v>3618.7863277925339</v>
      </c>
      <c r="K3137" s="6">
        <v>24508</v>
      </c>
      <c r="M3137" s="6">
        <f>SUM(H3137,J3137)</f>
        <v>208275.78632779254</v>
      </c>
      <c r="N3137" s="6">
        <f>K3137</f>
        <v>24508</v>
      </c>
      <c r="O3137" s="6">
        <f>SUM(M3137:N3137)</f>
        <v>232783.78632779254</v>
      </c>
      <c r="P3137" s="8">
        <f>VLOOKUP(F3137,'LEAID Match'!$A$2:$B$436,2,FALSE)</f>
        <v>1800046</v>
      </c>
      <c r="Q3137" s="6">
        <f>COUNTIF($P$2:$P$3691,P3137)</f>
        <v>9</v>
      </c>
    </row>
    <row r="3138" spans="1:17" x14ac:dyDescent="0.2">
      <c r="A3138" s="16">
        <f>P3138</f>
        <v>1800046</v>
      </c>
      <c r="B3138">
        <v>2019</v>
      </c>
      <c r="C3138" t="s">
        <v>904</v>
      </c>
      <c r="D3138" t="s">
        <v>906</v>
      </c>
      <c r="E3138" t="s">
        <v>4044</v>
      </c>
      <c r="F3138" t="s">
        <v>801</v>
      </c>
      <c r="G3138" t="s">
        <v>336</v>
      </c>
      <c r="H3138" s="6">
        <v>211609</v>
      </c>
      <c r="I3138" s="6">
        <v>5.3833214835337958E-4</v>
      </c>
      <c r="J3138" s="6">
        <v>1886.8541799785955</v>
      </c>
      <c r="K3138" s="6">
        <v>508131.71483075502</v>
      </c>
      <c r="M3138" s="6">
        <f>SUM(H3138,J3138)</f>
        <v>213495.8541799786</v>
      </c>
      <c r="N3138" s="6">
        <f>K3138</f>
        <v>508131.71483075502</v>
      </c>
      <c r="O3138" s="6">
        <f>SUM(M3138:N3138)</f>
        <v>721627.56901073363</v>
      </c>
      <c r="P3138" s="8">
        <f>VLOOKUP(F3138,'LEAID Match'!$A$2:$B$436,2,FALSE)</f>
        <v>1800046</v>
      </c>
      <c r="Q3138" s="6">
        <f>COUNTIF($P$2:$P$3691,P3138)</f>
        <v>9</v>
      </c>
    </row>
    <row r="3139" spans="1:17" x14ac:dyDescent="0.2">
      <c r="A3139" s="16">
        <f>P3139</f>
        <v>1800046</v>
      </c>
      <c r="B3139">
        <v>2020</v>
      </c>
      <c r="C3139" t="s">
        <v>904</v>
      </c>
      <c r="D3139" t="s">
        <v>906</v>
      </c>
      <c r="E3139" t="s">
        <v>4045</v>
      </c>
      <c r="F3139" t="s">
        <v>801</v>
      </c>
      <c r="G3139" t="s">
        <v>336</v>
      </c>
      <c r="H3139" s="6">
        <v>185771</v>
      </c>
      <c r="I3139" s="6">
        <v>9.8434622917625099E-4</v>
      </c>
      <c r="J3139" s="6">
        <v>2319.1197159392473</v>
      </c>
      <c r="K3139" s="6">
        <v>46614</v>
      </c>
      <c r="M3139" s="6">
        <f>SUM(H3139,J3139)</f>
        <v>188090.11971593925</v>
      </c>
      <c r="N3139" s="6">
        <f>K3139</f>
        <v>46614</v>
      </c>
      <c r="O3139" s="6">
        <f>SUM(M3139:N3139)</f>
        <v>234704.11971593925</v>
      </c>
      <c r="P3139" s="8">
        <f>VLOOKUP(F3139,'LEAID Match'!$A$2:$B$436,2,FALSE)</f>
        <v>1800046</v>
      </c>
      <c r="Q3139" s="6">
        <f>COUNTIF($P$2:$P$3691,P3139)</f>
        <v>9</v>
      </c>
    </row>
    <row r="3140" spans="1:17" x14ac:dyDescent="0.2">
      <c r="A3140" s="16">
        <f>P3140</f>
        <v>1800046</v>
      </c>
      <c r="B3140">
        <v>2021</v>
      </c>
      <c r="C3140" t="s">
        <v>904</v>
      </c>
      <c r="D3140" t="s">
        <v>906</v>
      </c>
      <c r="E3140" t="s">
        <v>4046</v>
      </c>
      <c r="F3140" t="s">
        <v>801</v>
      </c>
      <c r="G3140" t="s">
        <v>336</v>
      </c>
      <c r="H3140" s="6">
        <v>190140</v>
      </c>
      <c r="I3140" s="6">
        <v>9.3930928281661414E-4</v>
      </c>
      <c r="J3140" s="6">
        <v>2117.2031234686483</v>
      </c>
      <c r="K3140" s="6">
        <v>82156</v>
      </c>
      <c r="M3140" s="6">
        <f>SUM(H3140,J3140)</f>
        <v>192257.20312346864</v>
      </c>
      <c r="N3140" s="6">
        <f>K3140</f>
        <v>82156</v>
      </c>
      <c r="O3140" s="6">
        <f>SUM(M3140:N3140)</f>
        <v>274413.20312346867</v>
      </c>
      <c r="P3140" s="8">
        <f>VLOOKUP(F3140,'LEAID Match'!$A$2:$B$436,2,FALSE)</f>
        <v>1800046</v>
      </c>
      <c r="Q3140" s="6">
        <f>COUNTIF($P$2:$P$3691,P3140)</f>
        <v>9</v>
      </c>
    </row>
    <row r="3141" spans="1:17" x14ac:dyDescent="0.2">
      <c r="A3141" s="16">
        <f>P3141</f>
        <v>1800046</v>
      </c>
      <c r="B3141">
        <v>2022</v>
      </c>
      <c r="C3141" t="s">
        <v>904</v>
      </c>
      <c r="D3141" t="s">
        <v>906</v>
      </c>
      <c r="E3141" t="s">
        <v>4047</v>
      </c>
      <c r="F3141" t="s">
        <v>801</v>
      </c>
      <c r="G3141" t="s">
        <v>336</v>
      </c>
      <c r="H3141" s="6">
        <v>238644</v>
      </c>
      <c r="I3141" s="6">
        <v>1.1331260642583768E-3</v>
      </c>
      <c r="J3141" s="6">
        <v>2498.5429716897206</v>
      </c>
      <c r="K3141" s="6">
        <v>75970</v>
      </c>
      <c r="M3141" s="6">
        <f>SUM(H3141,J3141)</f>
        <v>241142.54297168972</v>
      </c>
      <c r="N3141" s="6">
        <f>K3141</f>
        <v>75970</v>
      </c>
      <c r="O3141" s="6">
        <f>SUM(M3141:N3141)</f>
        <v>317112.54297168972</v>
      </c>
      <c r="P3141" s="8">
        <f>VLOOKUP(F3141,'LEAID Match'!$A$2:$B$436,2,FALSE)</f>
        <v>1800046</v>
      </c>
      <c r="Q3141" s="6">
        <f>COUNTIF($P$2:$P$3691,P3141)</f>
        <v>9</v>
      </c>
    </row>
    <row r="3142" spans="1:17" x14ac:dyDescent="0.2">
      <c r="A3142" s="16">
        <f>P3142</f>
        <v>1800046</v>
      </c>
      <c r="B3142">
        <v>2023</v>
      </c>
      <c r="C3142" t="s">
        <v>904</v>
      </c>
      <c r="D3142" t="s">
        <v>906</v>
      </c>
      <c r="E3142" t="s">
        <v>4048</v>
      </c>
      <c r="F3142" t="s">
        <v>801</v>
      </c>
      <c r="G3142" t="s">
        <v>336</v>
      </c>
      <c r="H3142" s="6">
        <v>221342</v>
      </c>
      <c r="I3142" s="6">
        <v>9.0516716307961602E-4</v>
      </c>
      <c r="J3142" s="6">
        <v>2233.0473913174128</v>
      </c>
      <c r="K3142" s="6">
        <v>150766</v>
      </c>
      <c r="M3142" s="6">
        <f>SUM(H3142,J3142)</f>
        <v>223575.04739131741</v>
      </c>
      <c r="N3142" s="6">
        <f>K3142</f>
        <v>150766</v>
      </c>
      <c r="O3142" s="6">
        <f>SUM(M3142:N3142)</f>
        <v>374341.04739131744</v>
      </c>
      <c r="P3142" s="8">
        <f>VLOOKUP(F3142,'LEAID Match'!$A$2:$B$436,2,FALSE)</f>
        <v>1800046</v>
      </c>
      <c r="Q3142" s="6">
        <f>COUNTIF($P$2:$P$3691,P3142)</f>
        <v>9</v>
      </c>
    </row>
    <row r="3143" spans="1:17" x14ac:dyDescent="0.2">
      <c r="A3143" s="16">
        <f>P3143</f>
        <v>0</v>
      </c>
      <c r="B3143">
        <v>2015</v>
      </c>
      <c r="C3143" t="s">
        <v>904</v>
      </c>
      <c r="D3143" t="s">
        <v>906</v>
      </c>
      <c r="E3143" t="s">
        <v>4049</v>
      </c>
      <c r="F3143" t="s">
        <v>842</v>
      </c>
      <c r="G3143" t="s">
        <v>337</v>
      </c>
      <c r="H3143" s="6" t="s">
        <v>187</v>
      </c>
      <c r="I3143" s="6">
        <v>0</v>
      </c>
      <c r="J3143" s="6">
        <v>0</v>
      </c>
      <c r="K3143" s="6">
        <v>0</v>
      </c>
      <c r="M3143" s="6">
        <f>SUM(H3143,J3143)</f>
        <v>0</v>
      </c>
      <c r="N3143" s="6">
        <f>K3143</f>
        <v>0</v>
      </c>
      <c r="O3143" s="6">
        <f>SUM(M3143:N3143)</f>
        <v>0</v>
      </c>
      <c r="P3143" s="8">
        <f>VLOOKUP(F3143,'LEAID Match'!$A$2:$B$436,2,FALSE)</f>
        <v>0</v>
      </c>
      <c r="Q3143" s="6">
        <f>COUNTIF($P$2:$P$3691,P3143)</f>
        <v>371</v>
      </c>
    </row>
    <row r="3144" spans="1:17" x14ac:dyDescent="0.2">
      <c r="A3144" s="16">
        <f>P3144</f>
        <v>0</v>
      </c>
      <c r="B3144">
        <v>2016</v>
      </c>
      <c r="C3144" t="s">
        <v>904</v>
      </c>
      <c r="D3144" t="s">
        <v>906</v>
      </c>
      <c r="E3144" t="s">
        <v>4050</v>
      </c>
      <c r="F3144" t="s">
        <v>842</v>
      </c>
      <c r="G3144" t="s">
        <v>337</v>
      </c>
      <c r="H3144" s="6" t="s">
        <v>187</v>
      </c>
      <c r="I3144" s="6">
        <v>0</v>
      </c>
      <c r="J3144" s="6">
        <v>0</v>
      </c>
      <c r="K3144" s="6">
        <v>0</v>
      </c>
      <c r="M3144" s="6">
        <f>SUM(H3144,J3144)</f>
        <v>0</v>
      </c>
      <c r="N3144" s="6">
        <f>K3144</f>
        <v>0</v>
      </c>
      <c r="O3144" s="6">
        <f>SUM(M3144:N3144)</f>
        <v>0</v>
      </c>
      <c r="P3144" s="8">
        <f>VLOOKUP(F3144,'LEAID Match'!$A$2:$B$436,2,FALSE)</f>
        <v>0</v>
      </c>
      <c r="Q3144" s="6">
        <f>COUNTIF($P$2:$P$3691,P3144)</f>
        <v>371</v>
      </c>
    </row>
    <row r="3145" spans="1:17" x14ac:dyDescent="0.2">
      <c r="A3145" s="16">
        <f>P3145</f>
        <v>0</v>
      </c>
      <c r="B3145">
        <v>2017</v>
      </c>
      <c r="C3145" t="s">
        <v>904</v>
      </c>
      <c r="D3145" t="s">
        <v>906</v>
      </c>
      <c r="E3145" t="s">
        <v>4051</v>
      </c>
      <c r="F3145" t="s">
        <v>842</v>
      </c>
      <c r="G3145" t="s">
        <v>337</v>
      </c>
      <c r="H3145" s="6" t="s">
        <v>187</v>
      </c>
      <c r="I3145" s="6">
        <v>0</v>
      </c>
      <c r="J3145" s="6">
        <v>0</v>
      </c>
      <c r="K3145" s="6">
        <v>0</v>
      </c>
      <c r="M3145" s="6">
        <f>SUM(H3145,J3145)</f>
        <v>0</v>
      </c>
      <c r="N3145" s="6">
        <f>K3145</f>
        <v>0</v>
      </c>
      <c r="O3145" s="6">
        <f>SUM(M3145:N3145)</f>
        <v>0</v>
      </c>
      <c r="P3145" s="8">
        <f>VLOOKUP(F3145,'LEAID Match'!$A$2:$B$436,2,FALSE)</f>
        <v>0</v>
      </c>
      <c r="Q3145" s="6">
        <f>COUNTIF($P$2:$P$3691,P3145)</f>
        <v>371</v>
      </c>
    </row>
    <row r="3146" spans="1:17" x14ac:dyDescent="0.2">
      <c r="A3146" s="16">
        <f>P3146</f>
        <v>0</v>
      </c>
      <c r="B3146">
        <v>2018</v>
      </c>
      <c r="C3146" t="s">
        <v>904</v>
      </c>
      <c r="D3146" t="s">
        <v>906</v>
      </c>
      <c r="E3146" t="s">
        <v>4052</v>
      </c>
      <c r="F3146" t="s">
        <v>842</v>
      </c>
      <c r="G3146" t="s">
        <v>337</v>
      </c>
      <c r="H3146" s="6" t="s">
        <v>187</v>
      </c>
      <c r="I3146" s="6">
        <v>0</v>
      </c>
      <c r="J3146" s="6">
        <v>0</v>
      </c>
      <c r="K3146" s="6">
        <v>0</v>
      </c>
      <c r="M3146" s="6">
        <f>SUM(H3146,J3146)</f>
        <v>0</v>
      </c>
      <c r="N3146" s="6">
        <f>K3146</f>
        <v>0</v>
      </c>
      <c r="O3146" s="6">
        <f>SUM(M3146:N3146)</f>
        <v>0</v>
      </c>
      <c r="P3146" s="8">
        <f>VLOOKUP(F3146,'LEAID Match'!$A$2:$B$436,2,FALSE)</f>
        <v>0</v>
      </c>
      <c r="Q3146" s="6">
        <f>COUNTIF($P$2:$P$3691,P3146)</f>
        <v>371</v>
      </c>
    </row>
    <row r="3147" spans="1:17" x14ac:dyDescent="0.2">
      <c r="A3147" s="16">
        <f>P3147</f>
        <v>0</v>
      </c>
      <c r="B3147">
        <v>2019</v>
      </c>
      <c r="C3147" t="s">
        <v>904</v>
      </c>
      <c r="D3147" t="s">
        <v>906</v>
      </c>
      <c r="E3147" t="s">
        <v>4053</v>
      </c>
      <c r="F3147" t="s">
        <v>842</v>
      </c>
      <c r="G3147" t="s">
        <v>337</v>
      </c>
      <c r="H3147" s="6" t="s">
        <v>187</v>
      </c>
      <c r="I3147" s="6">
        <v>0</v>
      </c>
      <c r="J3147" s="6">
        <v>0</v>
      </c>
      <c r="K3147" s="6">
        <v>0</v>
      </c>
      <c r="M3147" s="6">
        <f>SUM(H3147,J3147)</f>
        <v>0</v>
      </c>
      <c r="N3147" s="6">
        <f>K3147</f>
        <v>0</v>
      </c>
      <c r="O3147" s="6">
        <f>SUM(M3147:N3147)</f>
        <v>0</v>
      </c>
      <c r="P3147" s="8">
        <f>VLOOKUP(F3147,'LEAID Match'!$A$2:$B$436,2,FALSE)</f>
        <v>0</v>
      </c>
      <c r="Q3147" s="6">
        <f>COUNTIF($P$2:$P$3691,P3147)</f>
        <v>371</v>
      </c>
    </row>
    <row r="3148" spans="1:17" x14ac:dyDescent="0.2">
      <c r="A3148" s="16">
        <f>P3148</f>
        <v>0</v>
      </c>
      <c r="B3148">
        <v>2020</v>
      </c>
      <c r="C3148" t="s">
        <v>904</v>
      </c>
      <c r="D3148" t="s">
        <v>906</v>
      </c>
      <c r="E3148" t="s">
        <v>4054</v>
      </c>
      <c r="F3148" t="s">
        <v>842</v>
      </c>
      <c r="G3148" t="s">
        <v>337</v>
      </c>
      <c r="H3148" s="6" t="s">
        <v>187</v>
      </c>
      <c r="I3148" s="6">
        <v>0</v>
      </c>
      <c r="J3148" s="6">
        <v>0</v>
      </c>
      <c r="K3148" s="6">
        <v>0</v>
      </c>
      <c r="M3148" s="6">
        <f>SUM(H3148,J3148)</f>
        <v>0</v>
      </c>
      <c r="N3148" s="6">
        <f>K3148</f>
        <v>0</v>
      </c>
      <c r="O3148" s="6">
        <f>SUM(M3148:N3148)</f>
        <v>0</v>
      </c>
      <c r="P3148" s="8">
        <f>VLOOKUP(F3148,'LEAID Match'!$A$2:$B$436,2,FALSE)</f>
        <v>0</v>
      </c>
      <c r="Q3148" s="6">
        <f>COUNTIF($P$2:$P$3691,P3148)</f>
        <v>371</v>
      </c>
    </row>
    <row r="3149" spans="1:17" x14ac:dyDescent="0.2">
      <c r="A3149" s="16">
        <f>P3149</f>
        <v>0</v>
      </c>
      <c r="B3149">
        <v>2021</v>
      </c>
      <c r="C3149" t="s">
        <v>904</v>
      </c>
      <c r="D3149" t="s">
        <v>906</v>
      </c>
      <c r="E3149" t="s">
        <v>4055</v>
      </c>
      <c r="F3149" t="s">
        <v>842</v>
      </c>
      <c r="G3149" t="s">
        <v>337</v>
      </c>
      <c r="H3149" s="6" t="s">
        <v>187</v>
      </c>
      <c r="I3149" s="6">
        <v>0</v>
      </c>
      <c r="J3149" s="6">
        <v>0</v>
      </c>
      <c r="K3149" s="6">
        <v>0</v>
      </c>
      <c r="M3149" s="6">
        <f>SUM(H3149,J3149)</f>
        <v>0</v>
      </c>
      <c r="N3149" s="6">
        <f>K3149</f>
        <v>0</v>
      </c>
      <c r="O3149" s="6">
        <f>SUM(M3149:N3149)</f>
        <v>0</v>
      </c>
      <c r="P3149" s="8">
        <f>VLOOKUP(F3149,'LEAID Match'!$A$2:$B$436,2,FALSE)</f>
        <v>0</v>
      </c>
      <c r="Q3149" s="6">
        <f>COUNTIF($P$2:$P$3691,P3149)</f>
        <v>371</v>
      </c>
    </row>
    <row r="3150" spans="1:17" x14ac:dyDescent="0.2">
      <c r="A3150" s="16">
        <f>P3150</f>
        <v>0</v>
      </c>
      <c r="B3150">
        <v>2022</v>
      </c>
      <c r="C3150" t="s">
        <v>904</v>
      </c>
      <c r="D3150" t="s">
        <v>906</v>
      </c>
      <c r="E3150" t="s">
        <v>4056</v>
      </c>
      <c r="F3150" t="s">
        <v>842</v>
      </c>
      <c r="G3150" t="s">
        <v>337</v>
      </c>
      <c r="H3150" s="6" t="s">
        <v>187</v>
      </c>
      <c r="I3150" s="6">
        <v>0</v>
      </c>
      <c r="J3150" s="6">
        <v>0</v>
      </c>
      <c r="K3150" s="6">
        <v>0</v>
      </c>
      <c r="M3150" s="6">
        <f>SUM(H3150,J3150)</f>
        <v>0</v>
      </c>
      <c r="N3150" s="6">
        <f>K3150</f>
        <v>0</v>
      </c>
      <c r="O3150" s="6">
        <f>SUM(M3150:N3150)</f>
        <v>0</v>
      </c>
      <c r="P3150" s="8">
        <f>VLOOKUP(F3150,'LEAID Match'!$A$2:$B$436,2,FALSE)</f>
        <v>0</v>
      </c>
      <c r="Q3150" s="6">
        <f>COUNTIF($P$2:$P$3691,P3150)</f>
        <v>371</v>
      </c>
    </row>
    <row r="3151" spans="1:17" x14ac:dyDescent="0.2">
      <c r="A3151" s="16">
        <f>P3151</f>
        <v>0</v>
      </c>
      <c r="B3151">
        <v>2023</v>
      </c>
      <c r="C3151" t="s">
        <v>904</v>
      </c>
      <c r="D3151" t="s">
        <v>906</v>
      </c>
      <c r="E3151" t="s">
        <v>4057</v>
      </c>
      <c r="F3151" t="s">
        <v>842</v>
      </c>
      <c r="G3151" t="s">
        <v>337</v>
      </c>
      <c r="H3151" s="6" t="s">
        <v>187</v>
      </c>
      <c r="I3151" s="6">
        <v>0</v>
      </c>
      <c r="J3151" s="6">
        <v>0</v>
      </c>
      <c r="K3151" s="6">
        <v>0</v>
      </c>
      <c r="M3151" s="6">
        <f>SUM(H3151,J3151)</f>
        <v>0</v>
      </c>
      <c r="N3151" s="6">
        <f>K3151</f>
        <v>0</v>
      </c>
      <c r="O3151" s="6">
        <f>SUM(M3151:N3151)</f>
        <v>0</v>
      </c>
      <c r="P3151" s="8">
        <f>VLOOKUP(F3151,'LEAID Match'!$A$2:$B$436,2,FALSE)</f>
        <v>0</v>
      </c>
      <c r="Q3151" s="6">
        <f>COUNTIF($P$2:$P$3691,P3151)</f>
        <v>371</v>
      </c>
    </row>
    <row r="3152" spans="1:17" x14ac:dyDescent="0.2">
      <c r="A3152" s="16">
        <f>P3152</f>
        <v>1800048</v>
      </c>
      <c r="B3152">
        <v>2015</v>
      </c>
      <c r="C3152" t="s">
        <v>904</v>
      </c>
      <c r="D3152" t="s">
        <v>906</v>
      </c>
      <c r="E3152" t="s">
        <v>4058</v>
      </c>
      <c r="F3152" t="s">
        <v>843</v>
      </c>
      <c r="G3152" t="s">
        <v>338</v>
      </c>
      <c r="H3152" s="6">
        <v>66212</v>
      </c>
      <c r="I3152" s="6">
        <v>3.2196955974557733E-4</v>
      </c>
      <c r="J3152" s="6">
        <v>1870.9651116815498</v>
      </c>
      <c r="K3152" s="6">
        <v>272262.61123381602</v>
      </c>
      <c r="M3152" s="6">
        <f>SUM(H3152,J3152)</f>
        <v>68082.965111681551</v>
      </c>
      <c r="N3152" s="6">
        <f>K3152</f>
        <v>272262.61123381602</v>
      </c>
      <c r="O3152" s="6">
        <f>SUM(M3152:N3152)</f>
        <v>340345.57634549757</v>
      </c>
      <c r="P3152" s="8">
        <f>VLOOKUP(F3152,'LEAID Match'!$A$2:$B$436,2,FALSE)</f>
        <v>1800048</v>
      </c>
      <c r="Q3152" s="6">
        <f>COUNTIF($P$2:$P$3691,P3152)</f>
        <v>9</v>
      </c>
    </row>
    <row r="3153" spans="1:17" x14ac:dyDescent="0.2">
      <c r="A3153" s="16">
        <f>P3153</f>
        <v>1800048</v>
      </c>
      <c r="B3153">
        <v>2016</v>
      </c>
      <c r="C3153" t="s">
        <v>904</v>
      </c>
      <c r="D3153" t="s">
        <v>906</v>
      </c>
      <c r="E3153" t="s">
        <v>4059</v>
      </c>
      <c r="F3153" t="s">
        <v>843</v>
      </c>
      <c r="G3153" t="s">
        <v>338</v>
      </c>
      <c r="H3153" s="6">
        <v>72700</v>
      </c>
      <c r="I3153" s="6">
        <v>3.3733692874177775E-4</v>
      </c>
      <c r="J3153" s="6">
        <v>1702.8768162884942</v>
      </c>
      <c r="K3153" s="6">
        <v>299386.52425832697</v>
      </c>
      <c r="M3153" s="6">
        <f>SUM(H3153,J3153)</f>
        <v>74402.876816288495</v>
      </c>
      <c r="N3153" s="6">
        <f>K3153</f>
        <v>299386.52425832697</v>
      </c>
      <c r="O3153" s="6">
        <f>SUM(M3153:N3153)</f>
        <v>373789.40107461548</v>
      </c>
      <c r="P3153" s="8">
        <f>VLOOKUP(F3153,'LEAID Match'!$A$2:$B$436,2,FALSE)</f>
        <v>1800048</v>
      </c>
      <c r="Q3153" s="6">
        <f>COUNTIF($P$2:$P$3691,P3153)</f>
        <v>9</v>
      </c>
    </row>
    <row r="3154" spans="1:17" x14ac:dyDescent="0.2">
      <c r="A3154" s="16">
        <f>P3154</f>
        <v>1800048</v>
      </c>
      <c r="B3154">
        <v>2017</v>
      </c>
      <c r="C3154" t="s">
        <v>904</v>
      </c>
      <c r="D3154" t="s">
        <v>906</v>
      </c>
      <c r="E3154" t="s">
        <v>4060</v>
      </c>
      <c r="F3154" t="s">
        <v>843</v>
      </c>
      <c r="G3154" t="s">
        <v>338</v>
      </c>
      <c r="H3154" s="6">
        <v>72848</v>
      </c>
      <c r="I3154" s="6">
        <v>3.2078090881897342E-4</v>
      </c>
      <c r="J3154" s="6">
        <v>1451.5336124058547</v>
      </c>
      <c r="K3154" s="6">
        <v>279400.171581325</v>
      </c>
      <c r="M3154" s="6">
        <f>SUM(H3154,J3154)</f>
        <v>74299.533612405852</v>
      </c>
      <c r="N3154" s="6">
        <f>K3154</f>
        <v>279400.171581325</v>
      </c>
      <c r="O3154" s="6">
        <f>SUM(M3154:N3154)</f>
        <v>353699.70519373089</v>
      </c>
      <c r="P3154" s="8">
        <f>VLOOKUP(F3154,'LEAID Match'!$A$2:$B$436,2,FALSE)</f>
        <v>1800048</v>
      </c>
      <c r="Q3154" s="6">
        <f>COUNTIF($P$2:$P$3691,P3154)</f>
        <v>9</v>
      </c>
    </row>
    <row r="3155" spans="1:17" x14ac:dyDescent="0.2">
      <c r="A3155" s="16">
        <f>P3155</f>
        <v>1800048</v>
      </c>
      <c r="B3155">
        <v>2018</v>
      </c>
      <c r="C3155" t="s">
        <v>904</v>
      </c>
      <c r="D3155" t="s">
        <v>906</v>
      </c>
      <c r="E3155" t="s">
        <v>4061</v>
      </c>
      <c r="F3155" t="s">
        <v>843</v>
      </c>
      <c r="G3155" t="s">
        <v>338</v>
      </c>
      <c r="H3155" s="6">
        <v>74540</v>
      </c>
      <c r="I3155" s="6">
        <v>3.1622632087848775E-4</v>
      </c>
      <c r="J3155" s="6">
        <v>1318.0313054215369</v>
      </c>
      <c r="K3155" s="6">
        <v>0</v>
      </c>
      <c r="M3155" s="6">
        <f>SUM(H3155,J3155)</f>
        <v>75858.031305421537</v>
      </c>
      <c r="N3155" s="6">
        <f>K3155</f>
        <v>0</v>
      </c>
      <c r="O3155" s="6">
        <f>SUM(M3155:N3155)</f>
        <v>75858.031305421537</v>
      </c>
      <c r="P3155" s="8">
        <f>VLOOKUP(F3155,'LEAID Match'!$A$2:$B$436,2,FALSE)</f>
        <v>1800048</v>
      </c>
      <c r="Q3155" s="6">
        <f>COUNTIF($P$2:$P$3691,P3155)</f>
        <v>9</v>
      </c>
    </row>
    <row r="3156" spans="1:17" x14ac:dyDescent="0.2">
      <c r="A3156" s="16">
        <f>P3156</f>
        <v>1800048</v>
      </c>
      <c r="B3156">
        <v>2019</v>
      </c>
      <c r="C3156" t="s">
        <v>904</v>
      </c>
      <c r="D3156" t="s">
        <v>906</v>
      </c>
      <c r="E3156" t="s">
        <v>4062</v>
      </c>
      <c r="F3156" t="s">
        <v>843</v>
      </c>
      <c r="G3156" t="s">
        <v>338</v>
      </c>
      <c r="H3156" s="6">
        <v>78900</v>
      </c>
      <c r="I3156" s="6">
        <v>2.0072117209136495E-4</v>
      </c>
      <c r="J3156" s="6">
        <v>703.52770818023419</v>
      </c>
      <c r="K3156" s="6">
        <v>189460.71433703901</v>
      </c>
      <c r="M3156" s="6">
        <f>SUM(H3156,J3156)</f>
        <v>79603.527708180234</v>
      </c>
      <c r="N3156" s="6">
        <f>K3156</f>
        <v>189460.71433703901</v>
      </c>
      <c r="O3156" s="6">
        <f>SUM(M3156:N3156)</f>
        <v>269064.24204521923</v>
      </c>
      <c r="P3156" s="8">
        <f>VLOOKUP(F3156,'LEAID Match'!$A$2:$B$436,2,FALSE)</f>
        <v>1800048</v>
      </c>
      <c r="Q3156" s="6">
        <f>COUNTIF($P$2:$P$3691,P3156)</f>
        <v>9</v>
      </c>
    </row>
    <row r="3157" spans="1:17" x14ac:dyDescent="0.2">
      <c r="A3157" s="16">
        <f>P3157</f>
        <v>1800048</v>
      </c>
      <c r="B3157">
        <v>2020</v>
      </c>
      <c r="C3157" t="s">
        <v>904</v>
      </c>
      <c r="D3157" t="s">
        <v>906</v>
      </c>
      <c r="E3157" t="s">
        <v>4063</v>
      </c>
      <c r="F3157" t="s">
        <v>843</v>
      </c>
      <c r="G3157" t="s">
        <v>338</v>
      </c>
      <c r="H3157" s="6">
        <v>60708</v>
      </c>
      <c r="I3157" s="6">
        <v>3.2167394739131424E-4</v>
      </c>
      <c r="J3157" s="6">
        <v>757.86382005393637</v>
      </c>
      <c r="K3157" s="6">
        <v>0</v>
      </c>
      <c r="M3157" s="6">
        <f>SUM(H3157,J3157)</f>
        <v>61465.863820053935</v>
      </c>
      <c r="N3157" s="6">
        <f>K3157</f>
        <v>0</v>
      </c>
      <c r="O3157" s="6">
        <f>SUM(M3157:N3157)</f>
        <v>61465.863820053935</v>
      </c>
      <c r="P3157" s="8">
        <f>VLOOKUP(F3157,'LEAID Match'!$A$2:$B$436,2,FALSE)</f>
        <v>1800048</v>
      </c>
      <c r="Q3157" s="6">
        <f>COUNTIF($P$2:$P$3691,P3157)</f>
        <v>9</v>
      </c>
    </row>
    <row r="3158" spans="1:17" x14ac:dyDescent="0.2">
      <c r="A3158" s="16">
        <f>P3158</f>
        <v>1800048</v>
      </c>
      <c r="B3158">
        <v>2021</v>
      </c>
      <c r="C3158" t="s">
        <v>904</v>
      </c>
      <c r="D3158" t="s">
        <v>906</v>
      </c>
      <c r="E3158" t="s">
        <v>4064</v>
      </c>
      <c r="F3158" t="s">
        <v>843</v>
      </c>
      <c r="G3158" t="s">
        <v>338</v>
      </c>
      <c r="H3158" s="6">
        <v>61914</v>
      </c>
      <c r="I3158" s="6">
        <v>3.0586091793577283E-4</v>
      </c>
      <c r="J3158" s="6">
        <v>689.41050902723191</v>
      </c>
      <c r="K3158" s="6">
        <v>0</v>
      </c>
      <c r="M3158" s="6">
        <f>SUM(H3158,J3158)</f>
        <v>62603.410509027235</v>
      </c>
      <c r="N3158" s="6">
        <f>K3158</f>
        <v>0</v>
      </c>
      <c r="O3158" s="6">
        <f>SUM(M3158:N3158)</f>
        <v>62603.410509027235</v>
      </c>
      <c r="P3158" s="8">
        <f>VLOOKUP(F3158,'LEAID Match'!$A$2:$B$436,2,FALSE)</f>
        <v>1800048</v>
      </c>
      <c r="Q3158" s="6">
        <f>COUNTIF($P$2:$P$3691,P3158)</f>
        <v>9</v>
      </c>
    </row>
    <row r="3159" spans="1:17" x14ac:dyDescent="0.2">
      <c r="A3159" s="16">
        <f>P3159</f>
        <v>1800048</v>
      </c>
      <c r="B3159">
        <v>2022</v>
      </c>
      <c r="C3159" t="s">
        <v>904</v>
      </c>
      <c r="D3159" t="s">
        <v>906</v>
      </c>
      <c r="E3159" t="s">
        <v>4065</v>
      </c>
      <c r="F3159" t="s">
        <v>843</v>
      </c>
      <c r="G3159" t="s">
        <v>338</v>
      </c>
      <c r="H3159" s="6">
        <v>78355</v>
      </c>
      <c r="I3159" s="6">
        <v>3.7204410236572091E-4</v>
      </c>
      <c r="J3159" s="6">
        <v>820.35724571641458</v>
      </c>
      <c r="K3159" s="6">
        <v>0</v>
      </c>
      <c r="M3159" s="6">
        <f>SUM(H3159,J3159)</f>
        <v>79175.357245716412</v>
      </c>
      <c r="N3159" s="6">
        <f>K3159</f>
        <v>0</v>
      </c>
      <c r="O3159" s="6">
        <f>SUM(M3159:N3159)</f>
        <v>79175.357245716412</v>
      </c>
      <c r="P3159" s="8">
        <f>VLOOKUP(F3159,'LEAID Match'!$A$2:$B$436,2,FALSE)</f>
        <v>1800048</v>
      </c>
      <c r="Q3159" s="6">
        <f>COUNTIF($P$2:$P$3691,P3159)</f>
        <v>9</v>
      </c>
    </row>
    <row r="3160" spans="1:17" x14ac:dyDescent="0.2">
      <c r="A3160" s="16">
        <f>P3160</f>
        <v>1800048</v>
      </c>
      <c r="B3160">
        <v>2023</v>
      </c>
      <c r="C3160" t="s">
        <v>904</v>
      </c>
      <c r="D3160" t="s">
        <v>906</v>
      </c>
      <c r="E3160" t="s">
        <v>4066</v>
      </c>
      <c r="F3160" t="s">
        <v>843</v>
      </c>
      <c r="G3160" t="s">
        <v>338</v>
      </c>
      <c r="H3160" s="6">
        <v>87894</v>
      </c>
      <c r="I3160" s="6">
        <v>3.594381664199283E-4</v>
      </c>
      <c r="J3160" s="6">
        <v>886.7339565579631</v>
      </c>
      <c r="K3160" s="6">
        <v>0</v>
      </c>
      <c r="M3160" s="6">
        <f>SUM(H3160,J3160)</f>
        <v>88780.73395655796</v>
      </c>
      <c r="N3160" s="6">
        <f>K3160</f>
        <v>0</v>
      </c>
      <c r="O3160" s="6">
        <f>SUM(M3160:N3160)</f>
        <v>88780.73395655796</v>
      </c>
      <c r="P3160" s="8">
        <f>VLOOKUP(F3160,'LEAID Match'!$A$2:$B$436,2,FALSE)</f>
        <v>1800048</v>
      </c>
      <c r="Q3160" s="6">
        <f>COUNTIF($P$2:$P$3691,P3160)</f>
        <v>9</v>
      </c>
    </row>
    <row r="3161" spans="1:17" x14ac:dyDescent="0.2">
      <c r="A3161" s="16">
        <f>P3161</f>
        <v>1800057</v>
      </c>
      <c r="B3161">
        <v>2015</v>
      </c>
      <c r="C3161" t="s">
        <v>904</v>
      </c>
      <c r="D3161" t="s">
        <v>906</v>
      </c>
      <c r="E3161" t="s">
        <v>4067</v>
      </c>
      <c r="F3161" t="s">
        <v>802</v>
      </c>
      <c r="G3161" t="s">
        <v>339</v>
      </c>
      <c r="H3161" s="6">
        <v>86251</v>
      </c>
      <c r="I3161" s="6">
        <v>4.194133464872801E-4</v>
      </c>
      <c r="J3161" s="6">
        <v>2437.2109564375846</v>
      </c>
      <c r="K3161" s="6">
        <v>354662.636403187</v>
      </c>
      <c r="M3161" s="6">
        <f>SUM(H3161,J3161)</f>
        <v>88688.210956437586</v>
      </c>
      <c r="N3161" s="6">
        <f>K3161</f>
        <v>354662.636403187</v>
      </c>
      <c r="O3161" s="6">
        <f>SUM(M3161:N3161)</f>
        <v>443350.84735962457</v>
      </c>
      <c r="P3161" s="8">
        <f>VLOOKUP(F3161,'LEAID Match'!$A$2:$B$436,2,FALSE)</f>
        <v>1800057</v>
      </c>
      <c r="Q3161" s="6">
        <f>COUNTIF($P$2:$P$3691,P3161)</f>
        <v>9</v>
      </c>
    </row>
    <row r="3162" spans="1:17" x14ac:dyDescent="0.2">
      <c r="A3162" s="16">
        <f>P3162</f>
        <v>1800057</v>
      </c>
      <c r="B3162">
        <v>2016</v>
      </c>
      <c r="C3162" t="s">
        <v>904</v>
      </c>
      <c r="D3162" t="s">
        <v>906</v>
      </c>
      <c r="E3162" t="s">
        <v>4068</v>
      </c>
      <c r="F3162" t="s">
        <v>802</v>
      </c>
      <c r="G3162" t="s">
        <v>339</v>
      </c>
      <c r="H3162" s="6">
        <v>76577</v>
      </c>
      <c r="I3162" s="6">
        <v>3.5532668490040049E-4</v>
      </c>
      <c r="J3162" s="6">
        <v>1793.6891053772217</v>
      </c>
      <c r="K3162" s="6">
        <v>315352.43284910498</v>
      </c>
      <c r="M3162" s="6">
        <f>SUM(H3162,J3162)</f>
        <v>78370.689105377227</v>
      </c>
      <c r="N3162" s="6">
        <f>K3162</f>
        <v>315352.43284910498</v>
      </c>
      <c r="O3162" s="6">
        <f>SUM(M3162:N3162)</f>
        <v>393723.12195448222</v>
      </c>
      <c r="P3162" s="8">
        <f>VLOOKUP(F3162,'LEAID Match'!$A$2:$B$436,2,FALSE)</f>
        <v>1800057</v>
      </c>
      <c r="Q3162" s="6">
        <f>COUNTIF($P$2:$P$3691,P3162)</f>
        <v>9</v>
      </c>
    </row>
    <row r="3163" spans="1:17" x14ac:dyDescent="0.2">
      <c r="A3163" s="16">
        <f>P3163</f>
        <v>1800057</v>
      </c>
      <c r="B3163">
        <v>2017</v>
      </c>
      <c r="C3163" t="s">
        <v>904</v>
      </c>
      <c r="D3163" t="s">
        <v>906</v>
      </c>
      <c r="E3163" t="s">
        <v>4069</v>
      </c>
      <c r="F3163" t="s">
        <v>802</v>
      </c>
      <c r="G3163" t="s">
        <v>339</v>
      </c>
      <c r="H3163" s="6">
        <v>99529</v>
      </c>
      <c r="I3163" s="6">
        <v>4.3826876611360096E-4</v>
      </c>
      <c r="J3163" s="6">
        <v>1983.1661666640443</v>
      </c>
      <c r="K3163" s="6">
        <v>381732.09528494597</v>
      </c>
      <c r="M3163" s="6">
        <f>SUM(H3163,J3163)</f>
        <v>101512.16616666404</v>
      </c>
      <c r="N3163" s="6">
        <f>K3163</f>
        <v>381732.09528494597</v>
      </c>
      <c r="O3163" s="6">
        <f>SUM(M3163:N3163)</f>
        <v>483244.26145161001</v>
      </c>
      <c r="P3163" s="8">
        <f>VLOOKUP(F3163,'LEAID Match'!$A$2:$B$436,2,FALSE)</f>
        <v>1800057</v>
      </c>
      <c r="Q3163" s="6">
        <f>COUNTIF($P$2:$P$3691,P3163)</f>
        <v>9</v>
      </c>
    </row>
    <row r="3164" spans="1:17" x14ac:dyDescent="0.2">
      <c r="A3164" s="16">
        <f>P3164</f>
        <v>1800057</v>
      </c>
      <c r="B3164">
        <v>2018</v>
      </c>
      <c r="C3164" t="s">
        <v>904</v>
      </c>
      <c r="D3164" t="s">
        <v>906</v>
      </c>
      <c r="E3164" t="s">
        <v>4070</v>
      </c>
      <c r="F3164" t="s">
        <v>802</v>
      </c>
      <c r="G3164" t="s">
        <v>339</v>
      </c>
      <c r="H3164" s="6">
        <v>134441</v>
      </c>
      <c r="I3164" s="6">
        <v>5.7034857533169801E-4</v>
      </c>
      <c r="J3164" s="6">
        <v>2377.2128619825171</v>
      </c>
      <c r="K3164" s="6">
        <v>42407</v>
      </c>
      <c r="M3164" s="6">
        <f>SUM(H3164,J3164)</f>
        <v>136818.21286198252</v>
      </c>
      <c r="N3164" s="6">
        <f>K3164</f>
        <v>42407</v>
      </c>
      <c r="O3164" s="6">
        <f>SUM(M3164:N3164)</f>
        <v>179225.21286198252</v>
      </c>
      <c r="P3164" s="8">
        <f>VLOOKUP(F3164,'LEAID Match'!$A$2:$B$436,2,FALSE)</f>
        <v>1800057</v>
      </c>
      <c r="Q3164" s="6">
        <f>COUNTIF($P$2:$P$3691,P3164)</f>
        <v>9</v>
      </c>
    </row>
    <row r="3165" spans="1:17" x14ac:dyDescent="0.2">
      <c r="A3165" s="16">
        <f>P3165</f>
        <v>1800057</v>
      </c>
      <c r="B3165">
        <v>2019</v>
      </c>
      <c r="C3165" t="s">
        <v>904</v>
      </c>
      <c r="D3165" t="s">
        <v>906</v>
      </c>
      <c r="E3165" t="s">
        <v>4071</v>
      </c>
      <c r="F3165" t="s">
        <v>802</v>
      </c>
      <c r="G3165" t="s">
        <v>339</v>
      </c>
      <c r="H3165" s="6">
        <v>144202</v>
      </c>
      <c r="I3165" s="6">
        <v>3.6684910593053245E-4</v>
      </c>
      <c r="J3165" s="6">
        <v>1285.8061162865163</v>
      </c>
      <c r="K3165" s="6">
        <v>346268.871087829</v>
      </c>
      <c r="M3165" s="6">
        <f>SUM(H3165,J3165)</f>
        <v>145487.80611628652</v>
      </c>
      <c r="N3165" s="6">
        <f>K3165</f>
        <v>346268.871087829</v>
      </c>
      <c r="O3165" s="6">
        <f>SUM(M3165:N3165)</f>
        <v>491756.67720411555</v>
      </c>
      <c r="P3165" s="8">
        <f>VLOOKUP(F3165,'LEAID Match'!$A$2:$B$436,2,FALSE)</f>
        <v>1800057</v>
      </c>
      <c r="Q3165" s="6">
        <f>COUNTIF($P$2:$P$3691,P3165)</f>
        <v>9</v>
      </c>
    </row>
    <row r="3166" spans="1:17" x14ac:dyDescent="0.2">
      <c r="A3166" s="16">
        <f>P3166</f>
        <v>1800057</v>
      </c>
      <c r="B3166">
        <v>2020</v>
      </c>
      <c r="C3166" t="s">
        <v>904</v>
      </c>
      <c r="D3166" t="s">
        <v>906</v>
      </c>
      <c r="E3166" t="s">
        <v>4072</v>
      </c>
      <c r="F3166" t="s">
        <v>802</v>
      </c>
      <c r="G3166" t="s">
        <v>339</v>
      </c>
      <c r="H3166" s="6">
        <v>90638</v>
      </c>
      <c r="I3166" s="6">
        <v>4.8026426901979873E-4</v>
      </c>
      <c r="J3166" s="6">
        <v>1131.5026178106459</v>
      </c>
      <c r="K3166" s="6">
        <v>54092</v>
      </c>
      <c r="M3166" s="6">
        <f>SUM(H3166,J3166)</f>
        <v>91769.502617810649</v>
      </c>
      <c r="N3166" s="6">
        <f>K3166</f>
        <v>54092</v>
      </c>
      <c r="O3166" s="6">
        <f>SUM(M3166:N3166)</f>
        <v>145861.50261781065</v>
      </c>
      <c r="P3166" s="8">
        <f>VLOOKUP(F3166,'LEAID Match'!$A$2:$B$436,2,FALSE)</f>
        <v>1800057</v>
      </c>
      <c r="Q3166" s="6">
        <f>COUNTIF($P$2:$P$3691,P3166)</f>
        <v>9</v>
      </c>
    </row>
    <row r="3167" spans="1:17" x14ac:dyDescent="0.2">
      <c r="A3167" s="16">
        <f>P3167</f>
        <v>1800057</v>
      </c>
      <c r="B3167">
        <v>2021</v>
      </c>
      <c r="C3167" t="s">
        <v>904</v>
      </c>
      <c r="D3167" t="s">
        <v>906</v>
      </c>
      <c r="E3167" t="s">
        <v>4073</v>
      </c>
      <c r="F3167" t="s">
        <v>802</v>
      </c>
      <c r="G3167" t="s">
        <v>339</v>
      </c>
      <c r="H3167" s="6">
        <v>103014</v>
      </c>
      <c r="I3167" s="6">
        <v>5.0889874019180968E-4</v>
      </c>
      <c r="J3167" s="6">
        <v>1147.0577603923391</v>
      </c>
      <c r="K3167" s="6">
        <v>113485</v>
      </c>
      <c r="M3167" s="6">
        <f>SUM(H3167,J3167)</f>
        <v>104161.05776039234</v>
      </c>
      <c r="N3167" s="6">
        <f>K3167</f>
        <v>113485</v>
      </c>
      <c r="O3167" s="6">
        <f>SUM(M3167:N3167)</f>
        <v>217646.05776039234</v>
      </c>
      <c r="P3167" s="8">
        <f>VLOOKUP(F3167,'LEAID Match'!$A$2:$B$436,2,FALSE)</f>
        <v>1800057</v>
      </c>
      <c r="Q3167" s="6">
        <f>COUNTIF($P$2:$P$3691,P3167)</f>
        <v>9</v>
      </c>
    </row>
    <row r="3168" spans="1:17" x14ac:dyDescent="0.2">
      <c r="A3168" s="16">
        <f>P3168</f>
        <v>1800057</v>
      </c>
      <c r="B3168">
        <v>2022</v>
      </c>
      <c r="C3168" t="s">
        <v>904</v>
      </c>
      <c r="D3168" t="s">
        <v>906</v>
      </c>
      <c r="E3168" t="s">
        <v>4074</v>
      </c>
      <c r="F3168" t="s">
        <v>802</v>
      </c>
      <c r="G3168" t="s">
        <v>339</v>
      </c>
      <c r="H3168" s="6">
        <v>134338</v>
      </c>
      <c r="I3168" s="6">
        <v>6.3786179086983879E-4</v>
      </c>
      <c r="J3168" s="6">
        <v>1406.4852488679944</v>
      </c>
      <c r="K3168" s="6">
        <v>111009</v>
      </c>
      <c r="M3168" s="6">
        <f>SUM(H3168,J3168)</f>
        <v>135744.485248868</v>
      </c>
      <c r="N3168" s="6">
        <f>K3168</f>
        <v>111009</v>
      </c>
      <c r="O3168" s="6">
        <f>SUM(M3168:N3168)</f>
        <v>246753.485248868</v>
      </c>
      <c r="P3168" s="8">
        <f>VLOOKUP(F3168,'LEAID Match'!$A$2:$B$436,2,FALSE)</f>
        <v>1800057</v>
      </c>
      <c r="Q3168" s="6">
        <f>COUNTIF($P$2:$P$3691,P3168)</f>
        <v>9</v>
      </c>
    </row>
    <row r="3169" spans="1:17" x14ac:dyDescent="0.2">
      <c r="A3169" s="16">
        <f>P3169</f>
        <v>1800057</v>
      </c>
      <c r="B3169">
        <v>2023</v>
      </c>
      <c r="C3169" t="s">
        <v>904</v>
      </c>
      <c r="D3169" t="s">
        <v>906</v>
      </c>
      <c r="E3169" t="s">
        <v>4075</v>
      </c>
      <c r="F3169" t="s">
        <v>802</v>
      </c>
      <c r="G3169" t="s">
        <v>339</v>
      </c>
      <c r="H3169" s="6">
        <v>150003</v>
      </c>
      <c r="I3169" s="6">
        <v>6.1342985047316658E-4</v>
      </c>
      <c r="J3169" s="6">
        <v>1513.3314411173019</v>
      </c>
      <c r="K3169" s="6">
        <v>248171</v>
      </c>
      <c r="M3169" s="6">
        <f>SUM(H3169,J3169)</f>
        <v>151516.33144111731</v>
      </c>
      <c r="N3169" s="6">
        <f>K3169</f>
        <v>248171</v>
      </c>
      <c r="O3169" s="6">
        <f>SUM(M3169:N3169)</f>
        <v>399687.33144111733</v>
      </c>
      <c r="P3169" s="8">
        <f>VLOOKUP(F3169,'LEAID Match'!$A$2:$B$436,2,FALSE)</f>
        <v>1800057</v>
      </c>
      <c r="Q3169" s="6">
        <f>COUNTIF($P$2:$P$3691,P3169)</f>
        <v>9</v>
      </c>
    </row>
    <row r="3170" spans="1:17" x14ac:dyDescent="0.2">
      <c r="A3170" s="16">
        <f>P3170</f>
        <v>0</v>
      </c>
      <c r="B3170">
        <v>2015</v>
      </c>
      <c r="C3170" t="s">
        <v>904</v>
      </c>
      <c r="D3170" t="s">
        <v>906</v>
      </c>
      <c r="E3170" t="s">
        <v>4076</v>
      </c>
      <c r="F3170" t="s">
        <v>844</v>
      </c>
      <c r="G3170" t="s">
        <v>340</v>
      </c>
      <c r="H3170" s="6" t="s">
        <v>187</v>
      </c>
      <c r="I3170" s="6">
        <v>0</v>
      </c>
      <c r="J3170" s="6">
        <v>0</v>
      </c>
      <c r="K3170" s="6">
        <v>0</v>
      </c>
      <c r="M3170" s="6">
        <f>SUM(H3170,J3170)</f>
        <v>0</v>
      </c>
      <c r="N3170" s="6">
        <f>K3170</f>
        <v>0</v>
      </c>
      <c r="O3170" s="6">
        <f>SUM(M3170:N3170)</f>
        <v>0</v>
      </c>
      <c r="P3170" s="8">
        <f>VLOOKUP(F3170,'LEAID Match'!$A$2:$B$436,2,FALSE)</f>
        <v>0</v>
      </c>
      <c r="Q3170" s="6">
        <f>COUNTIF($P$2:$P$3691,P3170)</f>
        <v>371</v>
      </c>
    </row>
    <row r="3171" spans="1:17" x14ac:dyDescent="0.2">
      <c r="A3171" s="16">
        <f>P3171</f>
        <v>0</v>
      </c>
      <c r="B3171">
        <v>2016</v>
      </c>
      <c r="C3171" t="s">
        <v>904</v>
      </c>
      <c r="D3171" t="s">
        <v>906</v>
      </c>
      <c r="E3171" t="s">
        <v>4077</v>
      </c>
      <c r="F3171" t="s">
        <v>844</v>
      </c>
      <c r="G3171" t="s">
        <v>340</v>
      </c>
      <c r="H3171" s="6" t="s">
        <v>187</v>
      </c>
      <c r="I3171" s="6">
        <v>0</v>
      </c>
      <c r="J3171" s="6">
        <v>0</v>
      </c>
      <c r="K3171" s="6">
        <v>0</v>
      </c>
      <c r="M3171" s="6">
        <f>SUM(H3171,J3171)</f>
        <v>0</v>
      </c>
      <c r="N3171" s="6">
        <f>K3171</f>
        <v>0</v>
      </c>
      <c r="O3171" s="6">
        <f>SUM(M3171:N3171)</f>
        <v>0</v>
      </c>
      <c r="P3171" s="8">
        <f>VLOOKUP(F3171,'LEAID Match'!$A$2:$B$436,2,FALSE)</f>
        <v>0</v>
      </c>
      <c r="Q3171" s="6">
        <f>COUNTIF($P$2:$P$3691,P3171)</f>
        <v>371</v>
      </c>
    </row>
    <row r="3172" spans="1:17" x14ac:dyDescent="0.2">
      <c r="A3172" s="16">
        <f>P3172</f>
        <v>0</v>
      </c>
      <c r="B3172">
        <v>2017</v>
      </c>
      <c r="C3172" t="s">
        <v>904</v>
      </c>
      <c r="D3172" t="s">
        <v>906</v>
      </c>
      <c r="E3172" t="s">
        <v>4078</v>
      </c>
      <c r="F3172" t="s">
        <v>844</v>
      </c>
      <c r="G3172" t="s">
        <v>340</v>
      </c>
      <c r="H3172" s="6" t="s">
        <v>187</v>
      </c>
      <c r="I3172" s="6">
        <v>0</v>
      </c>
      <c r="J3172" s="6">
        <v>0</v>
      </c>
      <c r="K3172" s="6">
        <v>0</v>
      </c>
      <c r="M3172" s="6">
        <f>SUM(H3172,J3172)</f>
        <v>0</v>
      </c>
      <c r="N3172" s="6">
        <f>K3172</f>
        <v>0</v>
      </c>
      <c r="O3172" s="6">
        <f>SUM(M3172:N3172)</f>
        <v>0</v>
      </c>
      <c r="P3172" s="8">
        <f>VLOOKUP(F3172,'LEAID Match'!$A$2:$B$436,2,FALSE)</f>
        <v>0</v>
      </c>
      <c r="Q3172" s="6">
        <f>COUNTIF($P$2:$P$3691,P3172)</f>
        <v>371</v>
      </c>
    </row>
    <row r="3173" spans="1:17" x14ac:dyDescent="0.2">
      <c r="A3173" s="16">
        <f>P3173</f>
        <v>0</v>
      </c>
      <c r="B3173">
        <v>2018</v>
      </c>
      <c r="C3173" t="s">
        <v>904</v>
      </c>
      <c r="D3173" t="s">
        <v>906</v>
      </c>
      <c r="E3173" t="s">
        <v>4079</v>
      </c>
      <c r="F3173" t="s">
        <v>844</v>
      </c>
      <c r="G3173" t="s">
        <v>340</v>
      </c>
      <c r="H3173" s="6" t="s">
        <v>187</v>
      </c>
      <c r="I3173" s="6">
        <v>0</v>
      </c>
      <c r="J3173" s="6">
        <v>0</v>
      </c>
      <c r="K3173" s="6">
        <v>0</v>
      </c>
      <c r="M3173" s="6">
        <f>SUM(H3173,J3173)</f>
        <v>0</v>
      </c>
      <c r="N3173" s="6">
        <f>K3173</f>
        <v>0</v>
      </c>
      <c r="O3173" s="6">
        <f>SUM(M3173:N3173)</f>
        <v>0</v>
      </c>
      <c r="P3173" s="8">
        <f>VLOOKUP(F3173,'LEAID Match'!$A$2:$B$436,2,FALSE)</f>
        <v>0</v>
      </c>
      <c r="Q3173" s="6">
        <f>COUNTIF($P$2:$P$3691,P3173)</f>
        <v>371</v>
      </c>
    </row>
    <row r="3174" spans="1:17" x14ac:dyDescent="0.2">
      <c r="A3174" s="16">
        <f>P3174</f>
        <v>0</v>
      </c>
      <c r="B3174">
        <v>2019</v>
      </c>
      <c r="C3174" t="s">
        <v>904</v>
      </c>
      <c r="D3174" t="s">
        <v>906</v>
      </c>
      <c r="E3174" t="s">
        <v>4080</v>
      </c>
      <c r="F3174" t="s">
        <v>844</v>
      </c>
      <c r="G3174" t="s">
        <v>340</v>
      </c>
      <c r="H3174" s="6" t="s">
        <v>187</v>
      </c>
      <c r="I3174" s="6">
        <v>0</v>
      </c>
      <c r="J3174" s="6">
        <v>0</v>
      </c>
      <c r="K3174" s="6">
        <v>0</v>
      </c>
      <c r="M3174" s="6">
        <f>SUM(H3174,J3174)</f>
        <v>0</v>
      </c>
      <c r="N3174" s="6">
        <f>K3174</f>
        <v>0</v>
      </c>
      <c r="O3174" s="6">
        <f>SUM(M3174:N3174)</f>
        <v>0</v>
      </c>
      <c r="P3174" s="8">
        <f>VLOOKUP(F3174,'LEAID Match'!$A$2:$B$436,2,FALSE)</f>
        <v>0</v>
      </c>
      <c r="Q3174" s="6">
        <f>COUNTIF($P$2:$P$3691,P3174)</f>
        <v>371</v>
      </c>
    </row>
    <row r="3175" spans="1:17" x14ac:dyDescent="0.2">
      <c r="A3175" s="16">
        <f>P3175</f>
        <v>0</v>
      </c>
      <c r="B3175">
        <v>2020</v>
      </c>
      <c r="C3175" t="s">
        <v>904</v>
      </c>
      <c r="D3175" t="s">
        <v>906</v>
      </c>
      <c r="E3175" t="s">
        <v>4081</v>
      </c>
      <c r="F3175" t="s">
        <v>844</v>
      </c>
      <c r="G3175" t="s">
        <v>340</v>
      </c>
      <c r="H3175" s="6" t="s">
        <v>187</v>
      </c>
      <c r="I3175" s="6">
        <v>0</v>
      </c>
      <c r="J3175" s="6">
        <v>0</v>
      </c>
      <c r="K3175" s="6">
        <v>0</v>
      </c>
      <c r="M3175" s="6">
        <f>SUM(H3175,J3175)</f>
        <v>0</v>
      </c>
      <c r="N3175" s="6">
        <f>K3175</f>
        <v>0</v>
      </c>
      <c r="O3175" s="6">
        <f>SUM(M3175:N3175)</f>
        <v>0</v>
      </c>
      <c r="P3175" s="8">
        <f>VLOOKUP(F3175,'LEAID Match'!$A$2:$B$436,2,FALSE)</f>
        <v>0</v>
      </c>
      <c r="Q3175" s="6">
        <f>COUNTIF($P$2:$P$3691,P3175)</f>
        <v>371</v>
      </c>
    </row>
    <row r="3176" spans="1:17" x14ac:dyDescent="0.2">
      <c r="A3176" s="16">
        <f>P3176</f>
        <v>0</v>
      </c>
      <c r="B3176">
        <v>2021</v>
      </c>
      <c r="C3176" t="s">
        <v>904</v>
      </c>
      <c r="D3176" t="s">
        <v>906</v>
      </c>
      <c r="E3176" t="s">
        <v>4082</v>
      </c>
      <c r="F3176" t="s">
        <v>844</v>
      </c>
      <c r="G3176" t="s">
        <v>340</v>
      </c>
      <c r="H3176" s="6" t="s">
        <v>187</v>
      </c>
      <c r="I3176" s="6">
        <v>0</v>
      </c>
      <c r="J3176" s="6">
        <v>0</v>
      </c>
      <c r="K3176" s="6">
        <v>0</v>
      </c>
      <c r="M3176" s="6">
        <f>SUM(H3176,J3176)</f>
        <v>0</v>
      </c>
      <c r="N3176" s="6">
        <f>K3176</f>
        <v>0</v>
      </c>
      <c r="O3176" s="6">
        <f>SUM(M3176:N3176)</f>
        <v>0</v>
      </c>
      <c r="P3176" s="8">
        <f>VLOOKUP(F3176,'LEAID Match'!$A$2:$B$436,2,FALSE)</f>
        <v>0</v>
      </c>
      <c r="Q3176" s="6">
        <f>COUNTIF($P$2:$P$3691,P3176)</f>
        <v>371</v>
      </c>
    </row>
    <row r="3177" spans="1:17" x14ac:dyDescent="0.2">
      <c r="A3177" s="16">
        <f>P3177</f>
        <v>0</v>
      </c>
      <c r="B3177">
        <v>2022</v>
      </c>
      <c r="C3177" t="s">
        <v>904</v>
      </c>
      <c r="D3177" t="s">
        <v>906</v>
      </c>
      <c r="E3177" t="s">
        <v>4083</v>
      </c>
      <c r="F3177" t="s">
        <v>844</v>
      </c>
      <c r="G3177" t="s">
        <v>340</v>
      </c>
      <c r="H3177" s="6" t="s">
        <v>187</v>
      </c>
      <c r="I3177" s="6">
        <v>0</v>
      </c>
      <c r="J3177" s="6">
        <v>0</v>
      </c>
      <c r="K3177" s="6">
        <v>0</v>
      </c>
      <c r="M3177" s="6">
        <f>SUM(H3177,J3177)</f>
        <v>0</v>
      </c>
      <c r="N3177" s="6">
        <f>K3177</f>
        <v>0</v>
      </c>
      <c r="O3177" s="6">
        <f>SUM(M3177:N3177)</f>
        <v>0</v>
      </c>
      <c r="P3177" s="8">
        <f>VLOOKUP(F3177,'LEAID Match'!$A$2:$B$436,2,FALSE)</f>
        <v>0</v>
      </c>
      <c r="Q3177" s="6">
        <f>COUNTIF($P$2:$P$3691,P3177)</f>
        <v>371</v>
      </c>
    </row>
    <row r="3178" spans="1:17" x14ac:dyDescent="0.2">
      <c r="A3178" s="16">
        <f>P3178</f>
        <v>0</v>
      </c>
      <c r="B3178">
        <v>2023</v>
      </c>
      <c r="C3178" t="s">
        <v>904</v>
      </c>
      <c r="D3178" t="s">
        <v>906</v>
      </c>
      <c r="E3178" t="s">
        <v>4084</v>
      </c>
      <c r="F3178" t="s">
        <v>844</v>
      </c>
      <c r="G3178" t="s">
        <v>340</v>
      </c>
      <c r="H3178" s="6" t="s">
        <v>187</v>
      </c>
      <c r="I3178" s="6">
        <v>0</v>
      </c>
      <c r="J3178" s="6">
        <v>0</v>
      </c>
      <c r="K3178" s="6">
        <v>0</v>
      </c>
      <c r="M3178" s="6">
        <f>SUM(H3178,J3178)</f>
        <v>0</v>
      </c>
      <c r="N3178" s="6">
        <f>K3178</f>
        <v>0</v>
      </c>
      <c r="O3178" s="6">
        <f>SUM(M3178:N3178)</f>
        <v>0</v>
      </c>
      <c r="P3178" s="8">
        <f>VLOOKUP(F3178,'LEAID Match'!$A$2:$B$436,2,FALSE)</f>
        <v>0</v>
      </c>
      <c r="Q3178" s="6">
        <f>COUNTIF($P$2:$P$3691,P3178)</f>
        <v>371</v>
      </c>
    </row>
    <row r="3179" spans="1:17" x14ac:dyDescent="0.2">
      <c r="A3179" s="16">
        <f>P3179</f>
        <v>1800059</v>
      </c>
      <c r="B3179">
        <v>2015</v>
      </c>
      <c r="C3179" t="s">
        <v>904</v>
      </c>
      <c r="D3179" t="s">
        <v>906</v>
      </c>
      <c r="E3179" t="s">
        <v>4085</v>
      </c>
      <c r="F3179" t="s">
        <v>803</v>
      </c>
      <c r="G3179" t="s">
        <v>341</v>
      </c>
      <c r="H3179" s="6">
        <v>18821</v>
      </c>
      <c r="I3179" s="6">
        <v>9.1521009544667296E-5</v>
      </c>
      <c r="J3179" s="6">
        <v>531.82858646406169</v>
      </c>
      <c r="K3179" s="6">
        <v>77391.630007123298</v>
      </c>
      <c r="M3179" s="6">
        <f>SUM(H3179,J3179)</f>
        <v>19352.82858646406</v>
      </c>
      <c r="N3179" s="6">
        <f>K3179</f>
        <v>77391.630007123298</v>
      </c>
      <c r="O3179" s="6">
        <f>SUM(M3179:N3179)</f>
        <v>96744.458593587362</v>
      </c>
      <c r="P3179" s="8">
        <f>VLOOKUP(F3179,'LEAID Match'!$A$2:$B$436,2,FALSE)</f>
        <v>1800059</v>
      </c>
      <c r="Q3179" s="6">
        <f>COUNTIF($P$2:$P$3691,P3179)</f>
        <v>9</v>
      </c>
    </row>
    <row r="3180" spans="1:17" x14ac:dyDescent="0.2">
      <c r="A3180" s="16">
        <f>P3180</f>
        <v>1800059</v>
      </c>
      <c r="B3180">
        <v>2016</v>
      </c>
      <c r="C3180" t="s">
        <v>904</v>
      </c>
      <c r="D3180" t="s">
        <v>906</v>
      </c>
      <c r="E3180" t="s">
        <v>4086</v>
      </c>
      <c r="F3180" t="s">
        <v>803</v>
      </c>
      <c r="G3180" t="s">
        <v>341</v>
      </c>
      <c r="H3180" s="6">
        <v>19897</v>
      </c>
      <c r="I3180" s="6">
        <v>9.2324523675036473E-5</v>
      </c>
      <c r="J3180" s="6">
        <v>466.05419551158411</v>
      </c>
      <c r="K3180" s="6">
        <v>81938.014761594794</v>
      </c>
      <c r="M3180" s="6">
        <f>SUM(H3180,J3180)</f>
        <v>20363.054195511584</v>
      </c>
      <c r="N3180" s="6">
        <f>K3180</f>
        <v>81938.014761594794</v>
      </c>
      <c r="O3180" s="6">
        <f>SUM(M3180:N3180)</f>
        <v>102301.06895710638</v>
      </c>
      <c r="P3180" s="8">
        <f>VLOOKUP(F3180,'LEAID Match'!$A$2:$B$436,2,FALSE)</f>
        <v>1800059</v>
      </c>
      <c r="Q3180" s="6">
        <f>COUNTIF($P$2:$P$3691,P3180)</f>
        <v>9</v>
      </c>
    </row>
    <row r="3181" spans="1:17" x14ac:dyDescent="0.2">
      <c r="A3181" s="16">
        <f>P3181</f>
        <v>1800059</v>
      </c>
      <c r="B3181">
        <v>2017</v>
      </c>
      <c r="C3181" t="s">
        <v>904</v>
      </c>
      <c r="D3181" t="s">
        <v>906</v>
      </c>
      <c r="E3181" t="s">
        <v>4087</v>
      </c>
      <c r="F3181" t="s">
        <v>803</v>
      </c>
      <c r="G3181" t="s">
        <v>341</v>
      </c>
      <c r="H3181" s="6">
        <v>16864</v>
      </c>
      <c r="I3181" s="6">
        <v>7.425940652211684E-5</v>
      </c>
      <c r="J3181" s="6">
        <v>336.02381451257872</v>
      </c>
      <c r="K3181" s="6">
        <v>64679.943080763704</v>
      </c>
      <c r="M3181" s="6">
        <f>SUM(H3181,J3181)</f>
        <v>17200.02381451258</v>
      </c>
      <c r="N3181" s="6">
        <f>K3181</f>
        <v>64679.943080763704</v>
      </c>
      <c r="O3181" s="6">
        <f>SUM(M3181:N3181)</f>
        <v>81879.966895276288</v>
      </c>
      <c r="P3181" s="8">
        <f>VLOOKUP(F3181,'LEAID Match'!$A$2:$B$436,2,FALSE)</f>
        <v>1800059</v>
      </c>
      <c r="Q3181" s="6">
        <f>COUNTIF($P$2:$P$3691,P3181)</f>
        <v>9</v>
      </c>
    </row>
    <row r="3182" spans="1:17" x14ac:dyDescent="0.2">
      <c r="A3182" s="16">
        <f>P3182</f>
        <v>1800059</v>
      </c>
      <c r="B3182">
        <v>2018</v>
      </c>
      <c r="C3182" t="s">
        <v>904</v>
      </c>
      <c r="D3182" t="s">
        <v>906</v>
      </c>
      <c r="E3182" t="s">
        <v>4088</v>
      </c>
      <c r="F3182" t="s">
        <v>803</v>
      </c>
      <c r="G3182" t="s">
        <v>341</v>
      </c>
      <c r="H3182" s="6">
        <v>12745</v>
      </c>
      <c r="I3182" s="6">
        <v>5.4069016093323404E-5</v>
      </c>
      <c r="J3182" s="6">
        <v>225.35965907697195</v>
      </c>
      <c r="K3182" s="6">
        <v>34513</v>
      </c>
      <c r="M3182" s="6">
        <f>SUM(H3182,J3182)</f>
        <v>12970.359659076972</v>
      </c>
      <c r="N3182" s="6">
        <f>K3182</f>
        <v>34513</v>
      </c>
      <c r="O3182" s="6">
        <f>SUM(M3182:N3182)</f>
        <v>47483.359659076974</v>
      </c>
      <c r="P3182" s="8">
        <f>VLOOKUP(F3182,'LEAID Match'!$A$2:$B$436,2,FALSE)</f>
        <v>1800059</v>
      </c>
      <c r="Q3182" s="6">
        <f>COUNTIF($P$2:$P$3691,P3182)</f>
        <v>9</v>
      </c>
    </row>
    <row r="3183" spans="1:17" x14ac:dyDescent="0.2">
      <c r="A3183" s="16">
        <f>P3183</f>
        <v>1800059</v>
      </c>
      <c r="B3183">
        <v>2019</v>
      </c>
      <c r="C3183" t="s">
        <v>904</v>
      </c>
      <c r="D3183" t="s">
        <v>906</v>
      </c>
      <c r="E3183" t="s">
        <v>4089</v>
      </c>
      <c r="F3183" t="s">
        <v>803</v>
      </c>
      <c r="G3183" t="s">
        <v>341</v>
      </c>
      <c r="H3183" s="6">
        <v>14773</v>
      </c>
      <c r="I3183" s="6">
        <v>3.75824318796671E-5</v>
      </c>
      <c r="J3183" s="6">
        <v>131.72642373823319</v>
      </c>
      <c r="K3183" s="6">
        <v>35474.057451217697</v>
      </c>
      <c r="M3183" s="6">
        <f>SUM(H3183,J3183)</f>
        <v>14904.726423738233</v>
      </c>
      <c r="N3183" s="6">
        <f>K3183</f>
        <v>35474.057451217697</v>
      </c>
      <c r="O3183" s="6">
        <f>SUM(M3183:N3183)</f>
        <v>50378.783874955931</v>
      </c>
      <c r="P3183" s="8">
        <f>VLOOKUP(F3183,'LEAID Match'!$A$2:$B$436,2,FALSE)</f>
        <v>1800059</v>
      </c>
      <c r="Q3183" s="6">
        <f>COUNTIF($P$2:$P$3691,P3183)</f>
        <v>9</v>
      </c>
    </row>
    <row r="3184" spans="1:17" x14ac:dyDescent="0.2">
      <c r="A3184" s="16">
        <f>P3184</f>
        <v>1800059</v>
      </c>
      <c r="B3184">
        <v>2020</v>
      </c>
      <c r="C3184" t="s">
        <v>904</v>
      </c>
      <c r="D3184" t="s">
        <v>906</v>
      </c>
      <c r="E3184" t="s">
        <v>4090</v>
      </c>
      <c r="F3184" t="s">
        <v>803</v>
      </c>
      <c r="G3184" t="s">
        <v>341</v>
      </c>
      <c r="H3184" s="6">
        <v>11160</v>
      </c>
      <c r="I3184" s="6">
        <v>5.9133577994449941E-5</v>
      </c>
      <c r="J3184" s="6">
        <v>139.31870975492407</v>
      </c>
      <c r="K3184" s="6">
        <v>38651</v>
      </c>
      <c r="M3184" s="6">
        <f>SUM(H3184,J3184)</f>
        <v>11299.318709754923</v>
      </c>
      <c r="N3184" s="6">
        <f>K3184</f>
        <v>38651</v>
      </c>
      <c r="O3184" s="6">
        <f>SUM(M3184:N3184)</f>
        <v>49950.318709754923</v>
      </c>
      <c r="P3184" s="8">
        <f>VLOOKUP(F3184,'LEAID Match'!$A$2:$B$436,2,FALSE)</f>
        <v>1800059</v>
      </c>
      <c r="Q3184" s="6">
        <f>COUNTIF($P$2:$P$3691,P3184)</f>
        <v>9</v>
      </c>
    </row>
    <row r="3185" spans="1:17" x14ac:dyDescent="0.2">
      <c r="A3185" s="16">
        <f>P3185</f>
        <v>1800059</v>
      </c>
      <c r="B3185">
        <v>2021</v>
      </c>
      <c r="C3185" t="s">
        <v>904</v>
      </c>
      <c r="D3185" t="s">
        <v>906</v>
      </c>
      <c r="E3185" t="s">
        <v>4091</v>
      </c>
      <c r="F3185" t="s">
        <v>803</v>
      </c>
      <c r="G3185" t="s">
        <v>341</v>
      </c>
      <c r="H3185" s="6">
        <v>15476</v>
      </c>
      <c r="I3185" s="6">
        <v>7.6452879251445881E-5</v>
      </c>
      <c r="J3185" s="6">
        <v>172.32478983275902</v>
      </c>
      <c r="K3185" s="6">
        <v>92706</v>
      </c>
      <c r="M3185" s="6">
        <f>SUM(H3185,J3185)</f>
        <v>15648.324789832759</v>
      </c>
      <c r="N3185" s="6">
        <f>K3185</f>
        <v>92706</v>
      </c>
      <c r="O3185" s="6">
        <f>SUM(M3185:N3185)</f>
        <v>108354.32478983275</v>
      </c>
      <c r="P3185" s="8">
        <f>VLOOKUP(F3185,'LEAID Match'!$A$2:$B$436,2,FALSE)</f>
        <v>1800059</v>
      </c>
      <c r="Q3185" s="6">
        <f>COUNTIF($P$2:$P$3691,P3185)</f>
        <v>9</v>
      </c>
    </row>
    <row r="3186" spans="1:17" x14ac:dyDescent="0.2">
      <c r="A3186" s="16">
        <f>P3186</f>
        <v>1800059</v>
      </c>
      <c r="B3186">
        <v>2022</v>
      </c>
      <c r="C3186" t="s">
        <v>904</v>
      </c>
      <c r="D3186" t="s">
        <v>906</v>
      </c>
      <c r="E3186" t="s">
        <v>4092</v>
      </c>
      <c r="F3186" t="s">
        <v>803</v>
      </c>
      <c r="G3186" t="s">
        <v>341</v>
      </c>
      <c r="H3186" s="6">
        <v>19249</v>
      </c>
      <c r="I3186" s="6">
        <v>9.1397829448506955E-5</v>
      </c>
      <c r="J3186" s="6">
        <v>201.53221393395785</v>
      </c>
      <c r="K3186" s="6">
        <v>68838</v>
      </c>
      <c r="M3186" s="6">
        <f>SUM(H3186,J3186)</f>
        <v>19450.532213933959</v>
      </c>
      <c r="N3186" s="6">
        <f>K3186</f>
        <v>68838</v>
      </c>
      <c r="O3186" s="6">
        <f>SUM(M3186:N3186)</f>
        <v>88288.532213933955</v>
      </c>
      <c r="P3186" s="8">
        <f>VLOOKUP(F3186,'LEAID Match'!$A$2:$B$436,2,FALSE)</f>
        <v>1800059</v>
      </c>
      <c r="Q3186" s="6">
        <f>COUNTIF($P$2:$P$3691,P3186)</f>
        <v>9</v>
      </c>
    </row>
    <row r="3187" spans="1:17" x14ac:dyDescent="0.2">
      <c r="A3187" s="16">
        <f>P3187</f>
        <v>1800059</v>
      </c>
      <c r="B3187">
        <v>2023</v>
      </c>
      <c r="C3187" t="s">
        <v>904</v>
      </c>
      <c r="D3187" t="s">
        <v>906</v>
      </c>
      <c r="E3187" t="s">
        <v>4093</v>
      </c>
      <c r="F3187" t="s">
        <v>803</v>
      </c>
      <c r="G3187" t="s">
        <v>341</v>
      </c>
      <c r="H3187" s="6">
        <v>18554</v>
      </c>
      <c r="I3187" s="6">
        <v>7.5875665457885059E-5</v>
      </c>
      <c r="J3187" s="6">
        <v>187.18526668460245</v>
      </c>
      <c r="K3187" s="6">
        <v>22022</v>
      </c>
      <c r="M3187" s="6">
        <f>SUM(H3187,J3187)</f>
        <v>18741.185266684603</v>
      </c>
      <c r="N3187" s="6">
        <f>K3187</f>
        <v>22022</v>
      </c>
      <c r="O3187" s="6">
        <f>SUM(M3187:N3187)</f>
        <v>40763.185266684603</v>
      </c>
      <c r="P3187" s="8">
        <f>VLOOKUP(F3187,'LEAID Match'!$A$2:$B$436,2,FALSE)</f>
        <v>1800059</v>
      </c>
      <c r="Q3187" s="6">
        <f>COUNTIF($P$2:$P$3691,P3187)</f>
        <v>9</v>
      </c>
    </row>
    <row r="3188" spans="1:17" x14ac:dyDescent="0.2">
      <c r="A3188" s="16">
        <f>P3188</f>
        <v>1800053</v>
      </c>
      <c r="B3188">
        <v>2018</v>
      </c>
      <c r="C3188" t="s">
        <v>904</v>
      </c>
      <c r="D3188" t="s">
        <v>906</v>
      </c>
      <c r="E3188" t="s">
        <v>4094</v>
      </c>
      <c r="F3188" t="s">
        <v>804</v>
      </c>
      <c r="G3188" t="s">
        <v>442</v>
      </c>
      <c r="H3188" s="6">
        <v>0</v>
      </c>
      <c r="I3188" s="6">
        <v>0</v>
      </c>
      <c r="J3188" s="6">
        <v>0</v>
      </c>
      <c r="K3188" s="6">
        <v>275</v>
      </c>
      <c r="M3188" s="6">
        <f>SUM(H3188,J3188)</f>
        <v>0</v>
      </c>
      <c r="N3188" s="6">
        <f>K3188</f>
        <v>275</v>
      </c>
      <c r="O3188" s="6">
        <f>SUM(M3188:N3188)</f>
        <v>275</v>
      </c>
      <c r="P3188" s="8">
        <f>VLOOKUP(F3188,'LEAID Match'!$A$2:$B$436,2,FALSE)</f>
        <v>1800053</v>
      </c>
      <c r="Q3188" s="6">
        <f>COUNTIF($P$2:$P$3691,P3188)</f>
        <v>5</v>
      </c>
    </row>
    <row r="3189" spans="1:17" x14ac:dyDescent="0.2">
      <c r="A3189" s="16">
        <f>P3189</f>
        <v>1800053</v>
      </c>
      <c r="B3189">
        <v>2020</v>
      </c>
      <c r="C3189" t="s">
        <v>904</v>
      </c>
      <c r="D3189" t="s">
        <v>906</v>
      </c>
      <c r="E3189" t="s">
        <v>4095</v>
      </c>
      <c r="F3189" t="s">
        <v>804</v>
      </c>
      <c r="G3189" t="s">
        <v>442</v>
      </c>
      <c r="H3189" s="6">
        <v>0</v>
      </c>
      <c r="I3189" s="6">
        <v>0</v>
      </c>
      <c r="J3189" s="6">
        <v>0</v>
      </c>
      <c r="K3189" s="6">
        <v>291</v>
      </c>
      <c r="M3189" s="6">
        <f>SUM(H3189,J3189)</f>
        <v>0</v>
      </c>
      <c r="N3189" s="6">
        <f>K3189</f>
        <v>291</v>
      </c>
      <c r="O3189" s="6">
        <f>SUM(M3189:N3189)</f>
        <v>291</v>
      </c>
      <c r="P3189" s="8">
        <f>VLOOKUP(F3189,'LEAID Match'!$A$2:$B$436,2,FALSE)</f>
        <v>1800053</v>
      </c>
      <c r="Q3189" s="6">
        <f>COUNTIF($P$2:$P$3691,P3189)</f>
        <v>5</v>
      </c>
    </row>
    <row r="3190" spans="1:17" x14ac:dyDescent="0.2">
      <c r="A3190" s="16">
        <f>P3190</f>
        <v>1800053</v>
      </c>
      <c r="B3190">
        <v>2021</v>
      </c>
      <c r="C3190" t="s">
        <v>904</v>
      </c>
      <c r="D3190" t="s">
        <v>906</v>
      </c>
      <c r="E3190" t="s">
        <v>4096</v>
      </c>
      <c r="F3190" t="s">
        <v>804</v>
      </c>
      <c r="G3190" t="s">
        <v>442</v>
      </c>
      <c r="H3190" s="6" t="s">
        <v>893</v>
      </c>
      <c r="K3190" s="6">
        <v>480</v>
      </c>
      <c r="M3190" s="6">
        <f>SUM(H3190,J3190)</f>
        <v>0</v>
      </c>
      <c r="N3190" s="6">
        <f>K3190</f>
        <v>480</v>
      </c>
      <c r="O3190" s="6">
        <f>SUM(M3190:N3190)</f>
        <v>480</v>
      </c>
      <c r="P3190" s="8">
        <f>VLOOKUP(F3190,'LEAID Match'!$A$2:$B$436,2,FALSE)</f>
        <v>1800053</v>
      </c>
      <c r="Q3190" s="6">
        <f>COUNTIF($P$2:$P$3691,P3190)</f>
        <v>5</v>
      </c>
    </row>
    <row r="3191" spans="1:17" x14ac:dyDescent="0.2">
      <c r="A3191" s="16">
        <f>P3191</f>
        <v>1800053</v>
      </c>
      <c r="B3191">
        <v>2022</v>
      </c>
      <c r="C3191" t="s">
        <v>904</v>
      </c>
      <c r="D3191" t="s">
        <v>906</v>
      </c>
      <c r="E3191" t="s">
        <v>4097</v>
      </c>
      <c r="F3191" t="s">
        <v>804</v>
      </c>
      <c r="G3191" t="s">
        <v>442</v>
      </c>
      <c r="H3191" s="6" t="s">
        <v>893</v>
      </c>
      <c r="K3191" s="6">
        <v>465</v>
      </c>
      <c r="M3191" s="6">
        <f>SUM(H3191,J3191)</f>
        <v>0</v>
      </c>
      <c r="N3191" s="6">
        <f>K3191</f>
        <v>465</v>
      </c>
      <c r="O3191" s="6">
        <f>SUM(M3191:N3191)</f>
        <v>465</v>
      </c>
      <c r="P3191" s="8">
        <f>VLOOKUP(F3191,'LEAID Match'!$A$2:$B$436,2,FALSE)</f>
        <v>1800053</v>
      </c>
      <c r="Q3191" s="6">
        <f>COUNTIF($P$2:$P$3691,P3191)</f>
        <v>5</v>
      </c>
    </row>
    <row r="3192" spans="1:17" x14ac:dyDescent="0.2">
      <c r="A3192" s="16">
        <f>P3192</f>
        <v>1800053</v>
      </c>
      <c r="B3192">
        <v>2023</v>
      </c>
      <c r="C3192" t="s">
        <v>904</v>
      </c>
      <c r="D3192" t="s">
        <v>906</v>
      </c>
      <c r="E3192" t="s">
        <v>4098</v>
      </c>
      <c r="F3192" t="s">
        <v>804</v>
      </c>
      <c r="G3192" t="s">
        <v>442</v>
      </c>
      <c r="H3192" s="6" t="s">
        <v>893</v>
      </c>
      <c r="K3192" s="6">
        <v>847</v>
      </c>
      <c r="M3192" s="6">
        <f>SUM(H3192,J3192)</f>
        <v>0</v>
      </c>
      <c r="N3192" s="6">
        <f>K3192</f>
        <v>847</v>
      </c>
      <c r="O3192" s="6">
        <f>SUM(M3192:N3192)</f>
        <v>847</v>
      </c>
      <c r="P3192" s="8">
        <f>VLOOKUP(F3192,'LEAID Match'!$A$2:$B$436,2,FALSE)</f>
        <v>1800053</v>
      </c>
      <c r="Q3192" s="6">
        <f>COUNTIF($P$2:$P$3691,P3192)</f>
        <v>5</v>
      </c>
    </row>
    <row r="3193" spans="1:17" x14ac:dyDescent="0.2">
      <c r="A3193" s="16">
        <f>P3193</f>
        <v>1800058</v>
      </c>
      <c r="B3193">
        <v>2015</v>
      </c>
      <c r="C3193" t="s">
        <v>904</v>
      </c>
      <c r="D3193" t="s">
        <v>906</v>
      </c>
      <c r="E3193" t="s">
        <v>4099</v>
      </c>
      <c r="F3193" t="s">
        <v>805</v>
      </c>
      <c r="G3193" t="s">
        <v>342</v>
      </c>
      <c r="H3193" s="6">
        <v>18230</v>
      </c>
      <c r="I3193" s="6">
        <v>8.8647149673199338E-5</v>
      </c>
      <c r="J3193" s="6">
        <v>515.1285867509614</v>
      </c>
      <c r="K3193" s="6">
        <v>74961.448118052096</v>
      </c>
      <c r="M3193" s="6">
        <f>SUM(H3193,J3193)</f>
        <v>18745.128586750961</v>
      </c>
      <c r="N3193" s="6">
        <f>K3193</f>
        <v>74961.448118052096</v>
      </c>
      <c r="O3193" s="6">
        <f>SUM(M3193:N3193)</f>
        <v>93706.576704803054</v>
      </c>
      <c r="P3193" s="8">
        <f>VLOOKUP(F3193,'LEAID Match'!$A$2:$B$436,2,FALSE)</f>
        <v>1800058</v>
      </c>
      <c r="Q3193" s="6">
        <f>COUNTIF($P$2:$P$3691,P3193)</f>
        <v>9</v>
      </c>
    </row>
    <row r="3194" spans="1:17" x14ac:dyDescent="0.2">
      <c r="A3194" s="16">
        <f>P3194</f>
        <v>1800058</v>
      </c>
      <c r="B3194">
        <v>2016</v>
      </c>
      <c r="C3194" t="s">
        <v>904</v>
      </c>
      <c r="D3194" t="s">
        <v>906</v>
      </c>
      <c r="E3194" t="s">
        <v>4100</v>
      </c>
      <c r="F3194" t="s">
        <v>805</v>
      </c>
      <c r="G3194" t="s">
        <v>342</v>
      </c>
      <c r="H3194" s="6">
        <v>17341</v>
      </c>
      <c r="I3194" s="6">
        <v>8.0464369756687312E-5</v>
      </c>
      <c r="J3194" s="6">
        <v>406.18413853175753</v>
      </c>
      <c r="K3194" s="6">
        <v>71412.128159059896</v>
      </c>
      <c r="M3194" s="6">
        <f>SUM(H3194,J3194)</f>
        <v>17747.184138531757</v>
      </c>
      <c r="N3194" s="6">
        <f>K3194</f>
        <v>71412.128159059896</v>
      </c>
      <c r="O3194" s="6">
        <f>SUM(M3194:N3194)</f>
        <v>89159.312297591649</v>
      </c>
      <c r="P3194" s="8">
        <f>VLOOKUP(F3194,'LEAID Match'!$A$2:$B$436,2,FALSE)</f>
        <v>1800058</v>
      </c>
      <c r="Q3194" s="6">
        <f>COUNTIF($P$2:$P$3691,P3194)</f>
        <v>9</v>
      </c>
    </row>
    <row r="3195" spans="1:17" x14ac:dyDescent="0.2">
      <c r="A3195" s="16">
        <f>P3195</f>
        <v>1800058</v>
      </c>
      <c r="B3195">
        <v>2017</v>
      </c>
      <c r="C3195" t="s">
        <v>904</v>
      </c>
      <c r="D3195" t="s">
        <v>906</v>
      </c>
      <c r="E3195" t="s">
        <v>4101</v>
      </c>
      <c r="F3195" t="s">
        <v>805</v>
      </c>
      <c r="G3195" t="s">
        <v>342</v>
      </c>
      <c r="H3195" s="6">
        <v>18757</v>
      </c>
      <c r="I3195" s="6">
        <v>8.2595095359069346E-5</v>
      </c>
      <c r="J3195" s="6">
        <v>373.7428064997888</v>
      </c>
      <c r="K3195" s="6">
        <v>71940.328057749401</v>
      </c>
      <c r="M3195" s="6">
        <f>SUM(H3195,J3195)</f>
        <v>19130.742806499788</v>
      </c>
      <c r="N3195" s="6">
        <f>K3195</f>
        <v>71940.328057749401</v>
      </c>
      <c r="O3195" s="6">
        <f>SUM(M3195:N3195)</f>
        <v>91071.070864249195</v>
      </c>
      <c r="P3195" s="8">
        <f>VLOOKUP(F3195,'LEAID Match'!$A$2:$B$436,2,FALSE)</f>
        <v>1800058</v>
      </c>
      <c r="Q3195" s="6">
        <f>COUNTIF($P$2:$P$3691,P3195)</f>
        <v>9</v>
      </c>
    </row>
    <row r="3196" spans="1:17" x14ac:dyDescent="0.2">
      <c r="A3196" s="16">
        <f>P3196</f>
        <v>1800058</v>
      </c>
      <c r="B3196">
        <v>2018</v>
      </c>
      <c r="C3196" t="s">
        <v>904</v>
      </c>
      <c r="D3196" t="s">
        <v>906</v>
      </c>
      <c r="E3196" t="s">
        <v>4102</v>
      </c>
      <c r="F3196" t="s">
        <v>805</v>
      </c>
      <c r="G3196" t="s">
        <v>342</v>
      </c>
      <c r="H3196" s="6">
        <v>19056</v>
      </c>
      <c r="I3196" s="6">
        <v>8.0842618334591668E-5</v>
      </c>
      <c r="J3196" s="6">
        <v>336.95203321857809</v>
      </c>
      <c r="K3196" s="6">
        <v>45803</v>
      </c>
      <c r="M3196" s="6">
        <f>SUM(H3196,J3196)</f>
        <v>19392.952033218578</v>
      </c>
      <c r="N3196" s="6">
        <f>K3196</f>
        <v>45803</v>
      </c>
      <c r="O3196" s="6">
        <f>SUM(M3196:N3196)</f>
        <v>65195.952033218578</v>
      </c>
      <c r="P3196" s="8">
        <f>VLOOKUP(F3196,'LEAID Match'!$A$2:$B$436,2,FALSE)</f>
        <v>1800058</v>
      </c>
      <c r="Q3196" s="6">
        <f>COUNTIF($P$2:$P$3691,P3196)</f>
        <v>9</v>
      </c>
    </row>
    <row r="3197" spans="1:17" x14ac:dyDescent="0.2">
      <c r="A3197" s="16">
        <f>P3197</f>
        <v>1800058</v>
      </c>
      <c r="B3197">
        <v>2019</v>
      </c>
      <c r="C3197" t="s">
        <v>904</v>
      </c>
      <c r="D3197" t="s">
        <v>906</v>
      </c>
      <c r="E3197" t="s">
        <v>4103</v>
      </c>
      <c r="F3197" t="s">
        <v>805</v>
      </c>
      <c r="G3197" t="s">
        <v>342</v>
      </c>
      <c r="H3197" s="6">
        <v>26428</v>
      </c>
      <c r="I3197" s="6">
        <v>6.723268866958926E-5</v>
      </c>
      <c r="J3197" s="6">
        <v>235.65057378691034</v>
      </c>
      <c r="K3197" s="6">
        <v>63460.9348352253</v>
      </c>
      <c r="M3197" s="6">
        <f>SUM(H3197,J3197)</f>
        <v>26663.650573786912</v>
      </c>
      <c r="N3197" s="6">
        <f>K3197</f>
        <v>63460.9348352253</v>
      </c>
      <c r="O3197" s="6">
        <f>SUM(M3197:N3197)</f>
        <v>90124.585409012216</v>
      </c>
      <c r="P3197" s="8">
        <f>VLOOKUP(F3197,'LEAID Match'!$A$2:$B$436,2,FALSE)</f>
        <v>1800058</v>
      </c>
      <c r="Q3197" s="6">
        <f>COUNTIF($P$2:$P$3691,P3197)</f>
        <v>9</v>
      </c>
    </row>
    <row r="3198" spans="1:17" x14ac:dyDescent="0.2">
      <c r="A3198" s="16">
        <f>P3198</f>
        <v>1800058</v>
      </c>
      <c r="B3198">
        <v>2020</v>
      </c>
      <c r="C3198" t="s">
        <v>904</v>
      </c>
      <c r="D3198" t="s">
        <v>906</v>
      </c>
      <c r="E3198" t="s">
        <v>4104</v>
      </c>
      <c r="F3198" t="s">
        <v>805</v>
      </c>
      <c r="G3198" t="s">
        <v>342</v>
      </c>
      <c r="H3198" s="6">
        <v>23568</v>
      </c>
      <c r="I3198" s="6">
        <v>1.2487994320548355E-4</v>
      </c>
      <c r="J3198" s="6">
        <v>294.21714619211923</v>
      </c>
      <c r="K3198" s="6">
        <v>57588</v>
      </c>
      <c r="M3198" s="6">
        <f>SUM(H3198,J3198)</f>
        <v>23862.217146192121</v>
      </c>
      <c r="N3198" s="6">
        <f>K3198</f>
        <v>57588</v>
      </c>
      <c r="O3198" s="6">
        <f>SUM(M3198:N3198)</f>
        <v>81450.217146192124</v>
      </c>
      <c r="P3198" s="8">
        <f>VLOOKUP(F3198,'LEAID Match'!$A$2:$B$436,2,FALSE)</f>
        <v>1800058</v>
      </c>
      <c r="Q3198" s="6">
        <f>COUNTIF($P$2:$P$3691,P3198)</f>
        <v>9</v>
      </c>
    </row>
    <row r="3199" spans="1:17" x14ac:dyDescent="0.2">
      <c r="A3199" s="16">
        <f>P3199</f>
        <v>1800058</v>
      </c>
      <c r="B3199">
        <v>2021</v>
      </c>
      <c r="C3199" t="s">
        <v>904</v>
      </c>
      <c r="D3199" t="s">
        <v>906</v>
      </c>
      <c r="E3199" t="s">
        <v>4105</v>
      </c>
      <c r="F3199" t="s">
        <v>805</v>
      </c>
      <c r="G3199" t="s">
        <v>342</v>
      </c>
      <c r="H3199" s="6">
        <v>27370</v>
      </c>
      <c r="I3199" s="6">
        <v>1.3521034538072332E-4</v>
      </c>
      <c r="J3199" s="6">
        <v>304.76411848815036</v>
      </c>
      <c r="K3199" s="6">
        <v>128350</v>
      </c>
      <c r="M3199" s="6">
        <f>SUM(H3199,J3199)</f>
        <v>27674.76411848815</v>
      </c>
      <c r="N3199" s="6">
        <f>K3199</f>
        <v>128350</v>
      </c>
      <c r="O3199" s="6">
        <f>SUM(M3199:N3199)</f>
        <v>156024.76411848815</v>
      </c>
      <c r="P3199" s="8">
        <f>VLOOKUP(F3199,'LEAID Match'!$A$2:$B$436,2,FALSE)</f>
        <v>1800058</v>
      </c>
      <c r="Q3199" s="6">
        <f>COUNTIF($P$2:$P$3691,P3199)</f>
        <v>9</v>
      </c>
    </row>
    <row r="3200" spans="1:17" x14ac:dyDescent="0.2">
      <c r="A3200" s="16">
        <f>P3200</f>
        <v>1800058</v>
      </c>
      <c r="B3200">
        <v>2022</v>
      </c>
      <c r="C3200" t="s">
        <v>904</v>
      </c>
      <c r="D3200" t="s">
        <v>906</v>
      </c>
      <c r="E3200" t="s">
        <v>4106</v>
      </c>
      <c r="F3200" t="s">
        <v>805</v>
      </c>
      <c r="G3200" t="s">
        <v>342</v>
      </c>
      <c r="H3200" s="6">
        <v>32663</v>
      </c>
      <c r="I3200" s="6">
        <v>1.5508999445563835E-4</v>
      </c>
      <c r="J3200" s="6">
        <v>341.97343777468257</v>
      </c>
      <c r="K3200" s="6">
        <v>166824</v>
      </c>
      <c r="M3200" s="6">
        <f>SUM(H3200,J3200)</f>
        <v>33004.973437774679</v>
      </c>
      <c r="N3200" s="6">
        <f>K3200</f>
        <v>166824</v>
      </c>
      <c r="O3200" s="6">
        <f>SUM(M3200:N3200)</f>
        <v>199828.97343777469</v>
      </c>
      <c r="P3200" s="8">
        <f>VLOOKUP(F3200,'LEAID Match'!$A$2:$B$436,2,FALSE)</f>
        <v>1800058</v>
      </c>
      <c r="Q3200" s="6">
        <f>COUNTIF($P$2:$P$3691,P3200)</f>
        <v>9</v>
      </c>
    </row>
    <row r="3201" spans="1:17" x14ac:dyDescent="0.2">
      <c r="A3201" s="16">
        <f>P3201</f>
        <v>1800058</v>
      </c>
      <c r="B3201">
        <v>2023</v>
      </c>
      <c r="C3201" t="s">
        <v>904</v>
      </c>
      <c r="D3201" t="s">
        <v>906</v>
      </c>
      <c r="E3201" t="s">
        <v>4107</v>
      </c>
      <c r="F3201" t="s">
        <v>805</v>
      </c>
      <c r="G3201" t="s">
        <v>342</v>
      </c>
      <c r="H3201" s="6">
        <v>44892</v>
      </c>
      <c r="I3201" s="6">
        <v>1.8358361397732975E-4</v>
      </c>
      <c r="J3201" s="6">
        <v>452.90077568207249</v>
      </c>
      <c r="K3201" s="6">
        <v>900361</v>
      </c>
      <c r="M3201" s="6">
        <f>SUM(H3201,J3201)</f>
        <v>45344.900775682072</v>
      </c>
      <c r="N3201" s="6">
        <f>K3201</f>
        <v>900361</v>
      </c>
      <c r="O3201" s="6">
        <f>SUM(M3201:N3201)</f>
        <v>945705.90077568206</v>
      </c>
      <c r="P3201" s="8">
        <f>VLOOKUP(F3201,'LEAID Match'!$A$2:$B$436,2,FALSE)</f>
        <v>1800058</v>
      </c>
      <c r="Q3201" s="6">
        <f>COUNTIF($P$2:$P$3691,P3201)</f>
        <v>9</v>
      </c>
    </row>
    <row r="3202" spans="1:17" x14ac:dyDescent="0.2">
      <c r="A3202" s="16">
        <f>P3202</f>
        <v>1800056</v>
      </c>
      <c r="B3202">
        <v>2015</v>
      </c>
      <c r="C3202" t="s">
        <v>904</v>
      </c>
      <c r="D3202" t="s">
        <v>906</v>
      </c>
      <c r="E3202" t="s">
        <v>4108</v>
      </c>
      <c r="F3202" t="s">
        <v>845</v>
      </c>
      <c r="G3202" t="s">
        <v>343</v>
      </c>
      <c r="H3202" s="6">
        <v>26187</v>
      </c>
      <c r="I3202" s="6">
        <v>1.2733970973626281E-4</v>
      </c>
      <c r="J3202" s="6">
        <v>739.97105327742315</v>
      </c>
      <c r="K3202" s="6">
        <v>107680.495988339</v>
      </c>
      <c r="M3202" s="6">
        <f>SUM(H3202,J3202)</f>
        <v>26926.971053277422</v>
      </c>
      <c r="N3202" s="6">
        <f>K3202</f>
        <v>107680.495988339</v>
      </c>
      <c r="O3202" s="6">
        <f>SUM(M3202:N3202)</f>
        <v>134607.46704161642</v>
      </c>
      <c r="P3202" s="8">
        <f>VLOOKUP(F3202,'LEAID Match'!$A$2:$B$436,2,FALSE)</f>
        <v>1800056</v>
      </c>
      <c r="Q3202" s="6">
        <f>COUNTIF($P$2:$P$3691,P3202)</f>
        <v>9</v>
      </c>
    </row>
    <row r="3203" spans="1:17" x14ac:dyDescent="0.2">
      <c r="A3203" s="16">
        <f>P3203</f>
        <v>1800056</v>
      </c>
      <c r="B3203">
        <v>2016</v>
      </c>
      <c r="C3203" t="s">
        <v>904</v>
      </c>
      <c r="D3203" t="s">
        <v>906</v>
      </c>
      <c r="E3203" t="s">
        <v>4109</v>
      </c>
      <c r="F3203" t="s">
        <v>845</v>
      </c>
      <c r="G3203" t="s">
        <v>343</v>
      </c>
      <c r="H3203" s="6">
        <v>23446</v>
      </c>
      <c r="I3203" s="6">
        <v>1.0879231954992738E-4</v>
      </c>
      <c r="J3203" s="6">
        <v>549.1836290880334</v>
      </c>
      <c r="K3203" s="6">
        <v>96553.1836005605</v>
      </c>
      <c r="M3203" s="6">
        <f>SUM(H3203,J3203)</f>
        <v>23995.183629088035</v>
      </c>
      <c r="N3203" s="6">
        <f>K3203</f>
        <v>96553.1836005605</v>
      </c>
      <c r="O3203" s="6">
        <f>SUM(M3203:N3203)</f>
        <v>120548.36722964853</v>
      </c>
      <c r="P3203" s="8">
        <f>VLOOKUP(F3203,'LEAID Match'!$A$2:$B$436,2,FALSE)</f>
        <v>1800056</v>
      </c>
      <c r="Q3203" s="6">
        <f>COUNTIF($P$2:$P$3691,P3203)</f>
        <v>9</v>
      </c>
    </row>
    <row r="3204" spans="1:17" x14ac:dyDescent="0.2">
      <c r="A3204" s="16">
        <f>P3204</f>
        <v>1800056</v>
      </c>
      <c r="B3204">
        <v>2017</v>
      </c>
      <c r="C3204" t="s">
        <v>904</v>
      </c>
      <c r="D3204" t="s">
        <v>906</v>
      </c>
      <c r="E3204" t="s">
        <v>4110</v>
      </c>
      <c r="F3204" t="s">
        <v>845</v>
      </c>
      <c r="G3204" t="s">
        <v>343</v>
      </c>
      <c r="H3204" s="6">
        <v>28014</v>
      </c>
      <c r="I3204" s="6">
        <v>1.2335762656016255E-4</v>
      </c>
      <c r="J3204" s="6">
        <v>558.19326018473555</v>
      </c>
      <c r="K3204" s="6">
        <v>107444.492733901</v>
      </c>
      <c r="M3204" s="6">
        <f>SUM(H3204,J3204)</f>
        <v>28572.193260184737</v>
      </c>
      <c r="N3204" s="6">
        <f>K3204</f>
        <v>107444.492733901</v>
      </c>
      <c r="O3204" s="6">
        <f>SUM(M3204:N3204)</f>
        <v>136016.68599408574</v>
      </c>
      <c r="P3204" s="8">
        <f>VLOOKUP(F3204,'LEAID Match'!$A$2:$B$436,2,FALSE)</f>
        <v>1800056</v>
      </c>
      <c r="Q3204" s="6">
        <f>COUNTIF($P$2:$P$3691,P3204)</f>
        <v>9</v>
      </c>
    </row>
    <row r="3205" spans="1:17" x14ac:dyDescent="0.2">
      <c r="A3205" s="16">
        <f>P3205</f>
        <v>1800056</v>
      </c>
      <c r="B3205">
        <v>2018</v>
      </c>
      <c r="C3205" t="s">
        <v>904</v>
      </c>
      <c r="D3205" t="s">
        <v>906</v>
      </c>
      <c r="E3205" t="s">
        <v>4111</v>
      </c>
      <c r="F3205" t="s">
        <v>845</v>
      </c>
      <c r="G3205" t="s">
        <v>343</v>
      </c>
      <c r="H3205" s="6">
        <v>37459</v>
      </c>
      <c r="I3205" s="6">
        <v>1.5891496852411151E-4</v>
      </c>
      <c r="J3205" s="6">
        <v>662.35758880849676</v>
      </c>
      <c r="K3205" s="6">
        <v>0</v>
      </c>
      <c r="M3205" s="6">
        <f>SUM(H3205,J3205)</f>
        <v>38121.357588808496</v>
      </c>
      <c r="N3205" s="6">
        <f>K3205</f>
        <v>0</v>
      </c>
      <c r="O3205" s="6">
        <f>SUM(M3205:N3205)</f>
        <v>38121.357588808496</v>
      </c>
      <c r="P3205" s="8">
        <f>VLOOKUP(F3205,'LEAID Match'!$A$2:$B$436,2,FALSE)</f>
        <v>1800056</v>
      </c>
      <c r="Q3205" s="6">
        <f>COUNTIF($P$2:$P$3691,P3205)</f>
        <v>9</v>
      </c>
    </row>
    <row r="3206" spans="1:17" x14ac:dyDescent="0.2">
      <c r="A3206" s="16">
        <f>P3206</f>
        <v>1800056</v>
      </c>
      <c r="B3206">
        <v>2019</v>
      </c>
      <c r="C3206" t="s">
        <v>904</v>
      </c>
      <c r="D3206" t="s">
        <v>906</v>
      </c>
      <c r="E3206" t="s">
        <v>4112</v>
      </c>
      <c r="F3206" t="s">
        <v>845</v>
      </c>
      <c r="G3206" t="s">
        <v>343</v>
      </c>
      <c r="H3206" s="6">
        <v>45093</v>
      </c>
      <c r="I3206" s="6">
        <v>1.1471634744126641E-4</v>
      </c>
      <c r="J3206" s="6">
        <v>402.08079778163875</v>
      </c>
      <c r="K3206" s="6">
        <v>108280.760349811</v>
      </c>
      <c r="M3206" s="6">
        <f>SUM(H3206,J3206)</f>
        <v>45495.080797781637</v>
      </c>
      <c r="N3206" s="6">
        <f>K3206</f>
        <v>108280.760349811</v>
      </c>
      <c r="O3206" s="6">
        <f>SUM(M3206:N3206)</f>
        <v>153775.84114759264</v>
      </c>
      <c r="P3206" s="8">
        <f>VLOOKUP(F3206,'LEAID Match'!$A$2:$B$436,2,FALSE)</f>
        <v>1800056</v>
      </c>
      <c r="Q3206" s="6">
        <f>COUNTIF($P$2:$P$3691,P3206)</f>
        <v>9</v>
      </c>
    </row>
    <row r="3207" spans="1:17" x14ac:dyDescent="0.2">
      <c r="A3207" s="16">
        <f>P3207</f>
        <v>1800056</v>
      </c>
      <c r="B3207">
        <v>2020</v>
      </c>
      <c r="C3207" t="s">
        <v>904</v>
      </c>
      <c r="D3207" t="s">
        <v>906</v>
      </c>
      <c r="E3207" t="s">
        <v>4113</v>
      </c>
      <c r="F3207" t="s">
        <v>845</v>
      </c>
      <c r="G3207" t="s">
        <v>343</v>
      </c>
      <c r="H3207" s="6">
        <v>50564</v>
      </c>
      <c r="I3207" s="6">
        <v>2.679238564257497E-4</v>
      </c>
      <c r="J3207" s="6">
        <v>631.22860573906632</v>
      </c>
      <c r="K3207" s="6">
        <v>0</v>
      </c>
      <c r="M3207" s="6">
        <f>SUM(H3207,J3207)</f>
        <v>51195.228605739067</v>
      </c>
      <c r="N3207" s="6">
        <f>K3207</f>
        <v>0</v>
      </c>
      <c r="O3207" s="6">
        <f>SUM(M3207:N3207)</f>
        <v>51195.228605739067</v>
      </c>
      <c r="P3207" s="8">
        <f>VLOOKUP(F3207,'LEAID Match'!$A$2:$B$436,2,FALSE)</f>
        <v>1800056</v>
      </c>
      <c r="Q3207" s="6">
        <f>COUNTIF($P$2:$P$3691,P3207)</f>
        <v>9</v>
      </c>
    </row>
    <row r="3208" spans="1:17" x14ac:dyDescent="0.2">
      <c r="A3208" s="16">
        <f>P3208</f>
        <v>1800056</v>
      </c>
      <c r="B3208">
        <v>2021</v>
      </c>
      <c r="C3208" t="s">
        <v>904</v>
      </c>
      <c r="D3208" t="s">
        <v>906</v>
      </c>
      <c r="E3208" t="s">
        <v>4114</v>
      </c>
      <c r="F3208" t="s">
        <v>845</v>
      </c>
      <c r="G3208" t="s">
        <v>343</v>
      </c>
      <c r="H3208" s="6" t="s">
        <v>187</v>
      </c>
      <c r="I3208" s="6">
        <v>0</v>
      </c>
      <c r="J3208" s="6">
        <v>0</v>
      </c>
      <c r="K3208" s="6">
        <v>0</v>
      </c>
      <c r="M3208" s="6">
        <f>SUM(H3208,J3208)</f>
        <v>0</v>
      </c>
      <c r="N3208" s="6">
        <f>K3208</f>
        <v>0</v>
      </c>
      <c r="O3208" s="6">
        <f>SUM(M3208:N3208)</f>
        <v>0</v>
      </c>
      <c r="P3208" s="8">
        <f>VLOOKUP(F3208,'LEAID Match'!$A$2:$B$436,2,FALSE)</f>
        <v>1800056</v>
      </c>
      <c r="Q3208" s="6">
        <f>COUNTIF($P$2:$P$3691,P3208)</f>
        <v>9</v>
      </c>
    </row>
    <row r="3209" spans="1:17" x14ac:dyDescent="0.2">
      <c r="A3209" s="16">
        <f>P3209</f>
        <v>1800056</v>
      </c>
      <c r="B3209">
        <v>2022</v>
      </c>
      <c r="C3209" t="s">
        <v>904</v>
      </c>
      <c r="D3209" t="s">
        <v>906</v>
      </c>
      <c r="E3209" t="s">
        <v>4115</v>
      </c>
      <c r="F3209" t="s">
        <v>845</v>
      </c>
      <c r="G3209" t="s">
        <v>343</v>
      </c>
      <c r="H3209" s="6" t="s">
        <v>187</v>
      </c>
      <c r="I3209" s="6">
        <v>0</v>
      </c>
      <c r="J3209" s="6">
        <v>0</v>
      </c>
      <c r="K3209" s="6">
        <v>0</v>
      </c>
      <c r="M3209" s="6">
        <f>SUM(H3209,J3209)</f>
        <v>0</v>
      </c>
      <c r="N3209" s="6">
        <f>K3209</f>
        <v>0</v>
      </c>
      <c r="O3209" s="6">
        <f>SUM(M3209:N3209)</f>
        <v>0</v>
      </c>
      <c r="P3209" s="8">
        <f>VLOOKUP(F3209,'LEAID Match'!$A$2:$B$436,2,FALSE)</f>
        <v>1800056</v>
      </c>
      <c r="Q3209" s="6">
        <f>COUNTIF($P$2:$P$3691,P3209)</f>
        <v>9</v>
      </c>
    </row>
    <row r="3210" spans="1:17" x14ac:dyDescent="0.2">
      <c r="A3210" s="16">
        <f>P3210</f>
        <v>1800056</v>
      </c>
      <c r="B3210">
        <v>2023</v>
      </c>
      <c r="C3210" t="s">
        <v>904</v>
      </c>
      <c r="D3210" t="s">
        <v>906</v>
      </c>
      <c r="E3210" t="s">
        <v>4116</v>
      </c>
      <c r="F3210" t="s">
        <v>845</v>
      </c>
      <c r="G3210" t="s">
        <v>343</v>
      </c>
      <c r="H3210" s="6" t="s">
        <v>187</v>
      </c>
      <c r="I3210" s="6">
        <v>0</v>
      </c>
      <c r="J3210" s="6">
        <v>0</v>
      </c>
      <c r="K3210" s="6">
        <v>0</v>
      </c>
      <c r="M3210" s="6">
        <f>SUM(H3210,J3210)</f>
        <v>0</v>
      </c>
      <c r="N3210" s="6">
        <f>K3210</f>
        <v>0</v>
      </c>
      <c r="O3210" s="6">
        <f>SUM(M3210:N3210)</f>
        <v>0</v>
      </c>
      <c r="P3210" s="8">
        <f>VLOOKUP(F3210,'LEAID Match'!$A$2:$B$436,2,FALSE)</f>
        <v>1800056</v>
      </c>
      <c r="Q3210" s="6">
        <f>COUNTIF($P$2:$P$3691,P3210)</f>
        <v>9</v>
      </c>
    </row>
    <row r="3211" spans="1:17" x14ac:dyDescent="0.2">
      <c r="A3211" s="16">
        <f>P3211</f>
        <v>0</v>
      </c>
      <c r="B3211">
        <v>2018</v>
      </c>
      <c r="C3211" t="s">
        <v>904</v>
      </c>
      <c r="D3211" t="s">
        <v>906</v>
      </c>
      <c r="E3211" t="s">
        <v>4117</v>
      </c>
      <c r="F3211" t="s">
        <v>806</v>
      </c>
      <c r="G3211" t="s">
        <v>443</v>
      </c>
      <c r="H3211" s="6">
        <v>0</v>
      </c>
      <c r="I3211" s="6">
        <v>0</v>
      </c>
      <c r="J3211" s="6">
        <v>0</v>
      </c>
      <c r="K3211" s="6">
        <v>184</v>
      </c>
      <c r="M3211" s="6">
        <f>SUM(H3211,J3211)</f>
        <v>0</v>
      </c>
      <c r="N3211" s="6">
        <f>K3211</f>
        <v>184</v>
      </c>
      <c r="O3211" s="6">
        <f>SUM(M3211:N3211)</f>
        <v>184</v>
      </c>
      <c r="P3211" s="8">
        <f>VLOOKUP(F3211,'LEAID Match'!$A$2:$B$436,2,FALSE)</f>
        <v>0</v>
      </c>
      <c r="Q3211" s="6">
        <f>COUNTIF($P$2:$P$3691,P3211)</f>
        <v>371</v>
      </c>
    </row>
    <row r="3212" spans="1:17" x14ac:dyDescent="0.2">
      <c r="A3212" s="16">
        <f>P3212</f>
        <v>0</v>
      </c>
      <c r="B3212">
        <v>2020</v>
      </c>
      <c r="C3212" t="s">
        <v>904</v>
      </c>
      <c r="D3212" t="s">
        <v>906</v>
      </c>
      <c r="E3212" t="s">
        <v>4118</v>
      </c>
      <c r="F3212" t="s">
        <v>806</v>
      </c>
      <c r="G3212" t="s">
        <v>443</v>
      </c>
      <c r="H3212" s="6">
        <v>0</v>
      </c>
      <c r="I3212" s="6">
        <v>0</v>
      </c>
      <c r="J3212" s="6">
        <v>0</v>
      </c>
      <c r="K3212" s="6">
        <v>194</v>
      </c>
      <c r="M3212" s="6">
        <f>SUM(H3212,J3212)</f>
        <v>0</v>
      </c>
      <c r="N3212" s="6">
        <f>K3212</f>
        <v>194</v>
      </c>
      <c r="O3212" s="6">
        <f>SUM(M3212:N3212)</f>
        <v>194</v>
      </c>
      <c r="P3212" s="8">
        <f>VLOOKUP(F3212,'LEAID Match'!$A$2:$B$436,2,FALSE)</f>
        <v>0</v>
      </c>
      <c r="Q3212" s="6">
        <f>COUNTIF($P$2:$P$3691,P3212)</f>
        <v>371</v>
      </c>
    </row>
    <row r="3213" spans="1:17" x14ac:dyDescent="0.2">
      <c r="A3213" s="16">
        <f>P3213</f>
        <v>0</v>
      </c>
      <c r="B3213">
        <v>2021</v>
      </c>
      <c r="C3213" t="s">
        <v>904</v>
      </c>
      <c r="D3213" t="s">
        <v>906</v>
      </c>
      <c r="E3213" t="s">
        <v>4119</v>
      </c>
      <c r="F3213" t="s">
        <v>806</v>
      </c>
      <c r="G3213" t="s">
        <v>443</v>
      </c>
      <c r="H3213" s="6" t="s">
        <v>893</v>
      </c>
      <c r="K3213" s="6">
        <v>320</v>
      </c>
      <c r="M3213" s="6">
        <f>SUM(H3213,J3213)</f>
        <v>0</v>
      </c>
      <c r="N3213" s="6">
        <f>K3213</f>
        <v>320</v>
      </c>
      <c r="O3213" s="6">
        <f>SUM(M3213:N3213)</f>
        <v>320</v>
      </c>
      <c r="P3213" s="8">
        <f>VLOOKUP(F3213,'LEAID Match'!$A$2:$B$436,2,FALSE)</f>
        <v>0</v>
      </c>
      <c r="Q3213" s="6">
        <f>COUNTIF($P$2:$P$3691,P3213)</f>
        <v>371</v>
      </c>
    </row>
    <row r="3214" spans="1:17" x14ac:dyDescent="0.2">
      <c r="A3214" s="16">
        <f>P3214</f>
        <v>0</v>
      </c>
      <c r="B3214">
        <v>2022</v>
      </c>
      <c r="C3214" t="s">
        <v>904</v>
      </c>
      <c r="D3214" t="s">
        <v>906</v>
      </c>
      <c r="E3214" t="s">
        <v>4120</v>
      </c>
      <c r="F3214" t="s">
        <v>806</v>
      </c>
      <c r="G3214" t="s">
        <v>443</v>
      </c>
      <c r="H3214" s="6" t="s">
        <v>893</v>
      </c>
      <c r="K3214" s="6">
        <v>310</v>
      </c>
      <c r="M3214" s="6">
        <f>SUM(H3214,J3214)</f>
        <v>0</v>
      </c>
      <c r="N3214" s="6">
        <f>K3214</f>
        <v>310</v>
      </c>
      <c r="O3214" s="6">
        <f>SUM(M3214:N3214)</f>
        <v>310</v>
      </c>
      <c r="P3214" s="8">
        <f>VLOOKUP(F3214,'LEAID Match'!$A$2:$B$436,2,FALSE)</f>
        <v>0</v>
      </c>
      <c r="Q3214" s="6">
        <f>COUNTIF($P$2:$P$3691,P3214)</f>
        <v>371</v>
      </c>
    </row>
    <row r="3215" spans="1:17" x14ac:dyDescent="0.2">
      <c r="A3215" s="16">
        <f>P3215</f>
        <v>0</v>
      </c>
      <c r="B3215">
        <v>2023</v>
      </c>
      <c r="C3215" t="s">
        <v>904</v>
      </c>
      <c r="D3215" t="s">
        <v>906</v>
      </c>
      <c r="E3215" t="s">
        <v>4121</v>
      </c>
      <c r="F3215" t="s">
        <v>806</v>
      </c>
      <c r="G3215" t="s">
        <v>443</v>
      </c>
      <c r="H3215" s="6" t="s">
        <v>893</v>
      </c>
      <c r="K3215" s="6">
        <v>847</v>
      </c>
      <c r="M3215" s="6">
        <f>SUM(H3215,J3215)</f>
        <v>0</v>
      </c>
      <c r="N3215" s="6">
        <f>K3215</f>
        <v>847</v>
      </c>
      <c r="O3215" s="6">
        <f>SUM(M3215:N3215)</f>
        <v>847</v>
      </c>
      <c r="P3215" s="8">
        <f>VLOOKUP(F3215,'LEAID Match'!$A$2:$B$436,2,FALSE)</f>
        <v>0</v>
      </c>
      <c r="Q3215" s="6">
        <f>COUNTIF($P$2:$P$3691,P3215)</f>
        <v>371</v>
      </c>
    </row>
    <row r="3216" spans="1:17" x14ac:dyDescent="0.2">
      <c r="A3216" s="16">
        <f>P3216</f>
        <v>1800061</v>
      </c>
      <c r="B3216">
        <v>2021</v>
      </c>
      <c r="C3216" t="s">
        <v>904</v>
      </c>
      <c r="D3216" t="s">
        <v>906</v>
      </c>
      <c r="E3216" t="s">
        <v>4122</v>
      </c>
      <c r="F3216" t="s">
        <v>868</v>
      </c>
      <c r="G3216" t="s">
        <v>401</v>
      </c>
      <c r="H3216" s="6">
        <v>15537</v>
      </c>
      <c r="I3216" s="6">
        <v>7.6754224924380638E-5</v>
      </c>
      <c r="J3216" s="6">
        <v>173.00402297955395</v>
      </c>
      <c r="K3216" s="6">
        <v>0</v>
      </c>
      <c r="M3216" s="6">
        <f>SUM(H3216,J3216)</f>
        <v>15710.004022979554</v>
      </c>
      <c r="N3216" s="6">
        <f>K3216</f>
        <v>0</v>
      </c>
      <c r="O3216" s="6">
        <f>SUM(M3216:N3216)</f>
        <v>15710.004022979554</v>
      </c>
      <c r="P3216" s="8">
        <f>VLOOKUP(F3216,'LEAID Match'!$A$2:$B$436,2,FALSE)</f>
        <v>1800061</v>
      </c>
      <c r="Q3216" s="6">
        <f>COUNTIF($P$2:$P$3691,P3216)</f>
        <v>3</v>
      </c>
    </row>
    <row r="3217" spans="1:17" x14ac:dyDescent="0.2">
      <c r="A3217" s="16">
        <f>P3217</f>
        <v>1800061</v>
      </c>
      <c r="B3217">
        <v>2022</v>
      </c>
      <c r="C3217" t="s">
        <v>904</v>
      </c>
      <c r="D3217" t="s">
        <v>906</v>
      </c>
      <c r="E3217" t="s">
        <v>4123</v>
      </c>
      <c r="F3217" t="s">
        <v>868</v>
      </c>
      <c r="G3217" t="s">
        <v>401</v>
      </c>
      <c r="H3217" s="6">
        <v>19699</v>
      </c>
      <c r="I3217" s="6">
        <v>9.3534513081517922E-5</v>
      </c>
      <c r="J3217" s="6">
        <v>206.24360134474702</v>
      </c>
      <c r="K3217" s="6">
        <v>0</v>
      </c>
      <c r="M3217" s="6">
        <f>SUM(H3217,J3217)</f>
        <v>19905.243601344748</v>
      </c>
      <c r="N3217" s="6">
        <f>K3217</f>
        <v>0</v>
      </c>
      <c r="O3217" s="6">
        <f>SUM(M3217:N3217)</f>
        <v>19905.243601344748</v>
      </c>
      <c r="P3217" s="8">
        <f>VLOOKUP(F3217,'LEAID Match'!$A$2:$B$436,2,FALSE)</f>
        <v>1800061</v>
      </c>
      <c r="Q3217" s="6">
        <f>COUNTIF($P$2:$P$3691,P3217)</f>
        <v>3</v>
      </c>
    </row>
    <row r="3218" spans="1:17" x14ac:dyDescent="0.2">
      <c r="A3218" s="16">
        <f>P3218</f>
        <v>1800061</v>
      </c>
      <c r="B3218">
        <v>2023</v>
      </c>
      <c r="C3218" t="s">
        <v>904</v>
      </c>
      <c r="D3218" t="s">
        <v>906</v>
      </c>
      <c r="E3218" t="s">
        <v>4124</v>
      </c>
      <c r="F3218" t="s">
        <v>868</v>
      </c>
      <c r="G3218" t="s">
        <v>401</v>
      </c>
      <c r="H3218" s="6">
        <v>19950</v>
      </c>
      <c r="I3218" s="6">
        <v>8.1584538422162714E-5</v>
      </c>
      <c r="J3218" s="6">
        <v>201.26905628747542</v>
      </c>
      <c r="K3218" s="6">
        <v>0</v>
      </c>
      <c r="M3218" s="6">
        <f>SUM(H3218,J3218)</f>
        <v>20151.269056287474</v>
      </c>
      <c r="N3218" s="6">
        <f>K3218</f>
        <v>0</v>
      </c>
      <c r="O3218" s="6">
        <f>SUM(M3218:N3218)</f>
        <v>20151.269056287474</v>
      </c>
      <c r="P3218" s="8">
        <f>VLOOKUP(F3218,'LEAID Match'!$A$2:$B$436,2,FALSE)</f>
        <v>1800061</v>
      </c>
      <c r="Q3218" s="6">
        <f>COUNTIF($P$2:$P$3691,P3218)</f>
        <v>3</v>
      </c>
    </row>
    <row r="3219" spans="1:17" x14ac:dyDescent="0.2">
      <c r="A3219" s="16">
        <f>P3219</f>
        <v>1812720</v>
      </c>
      <c r="B3219">
        <v>2021</v>
      </c>
      <c r="C3219" t="s">
        <v>904</v>
      </c>
      <c r="D3219" t="s">
        <v>906</v>
      </c>
      <c r="E3219" t="s">
        <v>2476</v>
      </c>
      <c r="F3219" t="s">
        <v>538</v>
      </c>
      <c r="G3219" t="s">
        <v>180</v>
      </c>
      <c r="H3219" s="6">
        <v>2862362</v>
      </c>
      <c r="I3219" s="6">
        <v>1.4140334476604236E-2</v>
      </c>
      <c r="J3219" s="6">
        <v>31872.313910265948</v>
      </c>
      <c r="K3219" s="6">
        <v>16477648</v>
      </c>
      <c r="M3219" s="6">
        <f>SUM(H3219,J3219)</f>
        <v>2894234.3139102659</v>
      </c>
      <c r="N3219" s="6">
        <f>K3219</f>
        <v>16477648</v>
      </c>
      <c r="O3219" s="6">
        <f>SUM(M3219:N3219)</f>
        <v>19371882.313910265</v>
      </c>
      <c r="P3219" s="8">
        <f>VLOOKUP(F3219,'LEAID Match'!$A$2:$B$436,2,FALSE)</f>
        <v>1812720</v>
      </c>
      <c r="Q3219" s="6">
        <f>COUNTIF($P$2:$P$3691,P3219)</f>
        <v>9</v>
      </c>
    </row>
    <row r="3220" spans="1:17" x14ac:dyDescent="0.2">
      <c r="A3220" s="16">
        <f>P3220</f>
        <v>1812720</v>
      </c>
      <c r="B3220">
        <v>2022</v>
      </c>
      <c r="C3220" t="s">
        <v>904</v>
      </c>
      <c r="D3220" t="s">
        <v>906</v>
      </c>
      <c r="E3220" t="s">
        <v>2477</v>
      </c>
      <c r="F3220" t="s">
        <v>538</v>
      </c>
      <c r="G3220" t="s">
        <v>180</v>
      </c>
      <c r="H3220" s="6">
        <v>2990788</v>
      </c>
      <c r="I3220" s="6">
        <v>1.4200817265345795E-2</v>
      </c>
      <c r="J3220" s="6">
        <v>31312.802070087477</v>
      </c>
      <c r="K3220" s="6">
        <v>15923334</v>
      </c>
      <c r="M3220" s="6">
        <f>SUM(H3220,J3220)</f>
        <v>3022100.8020700873</v>
      </c>
      <c r="N3220" s="6">
        <f>K3220</f>
        <v>15923334</v>
      </c>
      <c r="O3220" s="6">
        <f>SUM(M3220:N3220)</f>
        <v>18945434.802070089</v>
      </c>
      <c r="P3220" s="8">
        <f>VLOOKUP(F3220,'LEAID Match'!$A$2:$B$436,2,FALSE)</f>
        <v>1812720</v>
      </c>
      <c r="Q3220" s="6">
        <f>COUNTIF($P$2:$P$3691,P3220)</f>
        <v>9</v>
      </c>
    </row>
    <row r="3221" spans="1:17" x14ac:dyDescent="0.2">
      <c r="A3221" s="16">
        <f>P3221</f>
        <v>1800081</v>
      </c>
      <c r="B3221">
        <v>2015</v>
      </c>
      <c r="C3221" t="s">
        <v>904</v>
      </c>
      <c r="D3221" t="s">
        <v>906</v>
      </c>
      <c r="E3221" t="s">
        <v>4127</v>
      </c>
      <c r="F3221" t="s">
        <v>846</v>
      </c>
      <c r="G3221" t="s">
        <v>344</v>
      </c>
      <c r="H3221" s="6" t="s">
        <v>187</v>
      </c>
      <c r="I3221" s="6">
        <v>0</v>
      </c>
      <c r="J3221" s="6">
        <v>0</v>
      </c>
      <c r="K3221" s="6">
        <v>0</v>
      </c>
      <c r="M3221" s="6">
        <f>SUM(H3221,J3221)</f>
        <v>0</v>
      </c>
      <c r="N3221" s="6">
        <f>K3221</f>
        <v>0</v>
      </c>
      <c r="O3221" s="6">
        <f>SUM(M3221:N3221)</f>
        <v>0</v>
      </c>
      <c r="P3221" s="8">
        <f>VLOOKUP(F3221,'LEAID Match'!$A$2:$B$436,2,FALSE)</f>
        <v>1800081</v>
      </c>
      <c r="Q3221" s="6">
        <f>COUNTIF($P$2:$P$3691,P3221)</f>
        <v>9</v>
      </c>
    </row>
    <row r="3222" spans="1:17" x14ac:dyDescent="0.2">
      <c r="A3222" s="16">
        <f>P3222</f>
        <v>1800081</v>
      </c>
      <c r="B3222">
        <v>2016</v>
      </c>
      <c r="C3222" t="s">
        <v>904</v>
      </c>
      <c r="D3222" t="s">
        <v>906</v>
      </c>
      <c r="E3222" t="s">
        <v>4128</v>
      </c>
      <c r="F3222" t="s">
        <v>846</v>
      </c>
      <c r="G3222" t="s">
        <v>344</v>
      </c>
      <c r="H3222" s="6" t="s">
        <v>187</v>
      </c>
      <c r="I3222" s="6">
        <v>0</v>
      </c>
      <c r="J3222" s="6">
        <v>0</v>
      </c>
      <c r="K3222" s="6">
        <v>0</v>
      </c>
      <c r="M3222" s="6">
        <f>SUM(H3222,J3222)</f>
        <v>0</v>
      </c>
      <c r="N3222" s="6">
        <f>K3222</f>
        <v>0</v>
      </c>
      <c r="O3222" s="6">
        <f>SUM(M3222:N3222)</f>
        <v>0</v>
      </c>
      <c r="P3222" s="8">
        <f>VLOOKUP(F3222,'LEAID Match'!$A$2:$B$436,2,FALSE)</f>
        <v>1800081</v>
      </c>
      <c r="Q3222" s="6">
        <f>COUNTIF($P$2:$P$3691,P3222)</f>
        <v>9</v>
      </c>
    </row>
    <row r="3223" spans="1:17" x14ac:dyDescent="0.2">
      <c r="A3223" s="16">
        <f>P3223</f>
        <v>1800081</v>
      </c>
      <c r="B3223">
        <v>2017</v>
      </c>
      <c r="C3223" t="s">
        <v>904</v>
      </c>
      <c r="D3223" t="s">
        <v>906</v>
      </c>
      <c r="E3223" t="s">
        <v>4129</v>
      </c>
      <c r="F3223" t="s">
        <v>846</v>
      </c>
      <c r="G3223" t="s">
        <v>344</v>
      </c>
      <c r="H3223" s="6" t="s">
        <v>187</v>
      </c>
      <c r="I3223" s="6">
        <v>0</v>
      </c>
      <c r="J3223" s="6">
        <v>0</v>
      </c>
      <c r="K3223" s="6">
        <v>0</v>
      </c>
      <c r="M3223" s="6">
        <f>SUM(H3223,J3223)</f>
        <v>0</v>
      </c>
      <c r="N3223" s="6">
        <f>K3223</f>
        <v>0</v>
      </c>
      <c r="O3223" s="6">
        <f>SUM(M3223:N3223)</f>
        <v>0</v>
      </c>
      <c r="P3223" s="8">
        <f>VLOOKUP(F3223,'LEAID Match'!$A$2:$B$436,2,FALSE)</f>
        <v>1800081</v>
      </c>
      <c r="Q3223" s="6">
        <f>COUNTIF($P$2:$P$3691,P3223)</f>
        <v>9</v>
      </c>
    </row>
    <row r="3224" spans="1:17" x14ac:dyDescent="0.2">
      <c r="A3224" s="16">
        <f>P3224</f>
        <v>1800081</v>
      </c>
      <c r="B3224">
        <v>2018</v>
      </c>
      <c r="C3224" t="s">
        <v>904</v>
      </c>
      <c r="D3224" t="s">
        <v>906</v>
      </c>
      <c r="E3224" t="s">
        <v>4130</v>
      </c>
      <c r="F3224" t="s">
        <v>846</v>
      </c>
      <c r="G3224" t="s">
        <v>344</v>
      </c>
      <c r="H3224" s="6" t="s">
        <v>187</v>
      </c>
      <c r="I3224" s="6">
        <v>0</v>
      </c>
      <c r="J3224" s="6">
        <v>0</v>
      </c>
      <c r="K3224" s="6">
        <v>0</v>
      </c>
      <c r="M3224" s="6">
        <f>SUM(H3224,J3224)</f>
        <v>0</v>
      </c>
      <c r="N3224" s="6">
        <f>K3224</f>
        <v>0</v>
      </c>
      <c r="O3224" s="6">
        <f>SUM(M3224:N3224)</f>
        <v>0</v>
      </c>
      <c r="P3224" s="8">
        <f>VLOOKUP(F3224,'LEAID Match'!$A$2:$B$436,2,FALSE)</f>
        <v>1800081</v>
      </c>
      <c r="Q3224" s="6">
        <f>COUNTIF($P$2:$P$3691,P3224)</f>
        <v>9</v>
      </c>
    </row>
    <row r="3225" spans="1:17" x14ac:dyDescent="0.2">
      <c r="A3225" s="16">
        <f>P3225</f>
        <v>1800081</v>
      </c>
      <c r="B3225">
        <v>2019</v>
      </c>
      <c r="C3225" t="s">
        <v>904</v>
      </c>
      <c r="D3225" t="s">
        <v>906</v>
      </c>
      <c r="E3225" t="s">
        <v>4131</v>
      </c>
      <c r="F3225" t="s">
        <v>846</v>
      </c>
      <c r="G3225" t="s">
        <v>344</v>
      </c>
      <c r="H3225" s="6" t="s">
        <v>187</v>
      </c>
      <c r="I3225" s="6">
        <v>0</v>
      </c>
      <c r="J3225" s="6">
        <v>0</v>
      </c>
      <c r="K3225" s="6">
        <v>0</v>
      </c>
      <c r="M3225" s="6">
        <f>SUM(H3225,J3225)</f>
        <v>0</v>
      </c>
      <c r="N3225" s="6">
        <f>K3225</f>
        <v>0</v>
      </c>
      <c r="O3225" s="6">
        <f>SUM(M3225:N3225)</f>
        <v>0</v>
      </c>
      <c r="P3225" s="8">
        <f>VLOOKUP(F3225,'LEAID Match'!$A$2:$B$436,2,FALSE)</f>
        <v>1800081</v>
      </c>
      <c r="Q3225" s="6">
        <f>COUNTIF($P$2:$P$3691,P3225)</f>
        <v>9</v>
      </c>
    </row>
    <row r="3226" spans="1:17" x14ac:dyDescent="0.2">
      <c r="A3226" s="16">
        <f>P3226</f>
        <v>1800081</v>
      </c>
      <c r="B3226">
        <v>2020</v>
      </c>
      <c r="C3226" t="s">
        <v>904</v>
      </c>
      <c r="D3226" t="s">
        <v>906</v>
      </c>
      <c r="E3226" t="s">
        <v>4132</v>
      </c>
      <c r="F3226" t="s">
        <v>846</v>
      </c>
      <c r="G3226" t="s">
        <v>344</v>
      </c>
      <c r="H3226" s="6" t="s">
        <v>187</v>
      </c>
      <c r="I3226" s="6">
        <v>0</v>
      </c>
      <c r="J3226" s="6">
        <v>0</v>
      </c>
      <c r="K3226" s="6">
        <v>0</v>
      </c>
      <c r="M3226" s="6">
        <f>SUM(H3226,J3226)</f>
        <v>0</v>
      </c>
      <c r="N3226" s="6">
        <f>K3226</f>
        <v>0</v>
      </c>
      <c r="O3226" s="6">
        <f>SUM(M3226:N3226)</f>
        <v>0</v>
      </c>
      <c r="P3226" s="8">
        <f>VLOOKUP(F3226,'LEAID Match'!$A$2:$B$436,2,FALSE)</f>
        <v>1800081</v>
      </c>
      <c r="Q3226" s="6">
        <f>COUNTIF($P$2:$P$3691,P3226)</f>
        <v>9</v>
      </c>
    </row>
    <row r="3227" spans="1:17" x14ac:dyDescent="0.2">
      <c r="A3227" s="16">
        <f>P3227</f>
        <v>1800081</v>
      </c>
      <c r="B3227">
        <v>2021</v>
      </c>
      <c r="C3227" t="s">
        <v>904</v>
      </c>
      <c r="D3227" t="s">
        <v>906</v>
      </c>
      <c r="E3227" t="s">
        <v>4133</v>
      </c>
      <c r="F3227" t="s">
        <v>846</v>
      </c>
      <c r="G3227" t="s">
        <v>344</v>
      </c>
      <c r="H3227" s="6" t="s">
        <v>187</v>
      </c>
      <c r="I3227" s="6">
        <v>0</v>
      </c>
      <c r="J3227" s="6">
        <v>0</v>
      </c>
      <c r="K3227" s="6">
        <v>0</v>
      </c>
      <c r="M3227" s="6">
        <f>SUM(H3227,J3227)</f>
        <v>0</v>
      </c>
      <c r="N3227" s="6">
        <f>K3227</f>
        <v>0</v>
      </c>
      <c r="O3227" s="6">
        <f>SUM(M3227:N3227)</f>
        <v>0</v>
      </c>
      <c r="P3227" s="8">
        <f>VLOOKUP(F3227,'LEAID Match'!$A$2:$B$436,2,FALSE)</f>
        <v>1800081</v>
      </c>
      <c r="Q3227" s="6">
        <f>COUNTIF($P$2:$P$3691,P3227)</f>
        <v>9</v>
      </c>
    </row>
    <row r="3228" spans="1:17" x14ac:dyDescent="0.2">
      <c r="A3228" s="16">
        <f>P3228</f>
        <v>1800081</v>
      </c>
      <c r="B3228">
        <v>2022</v>
      </c>
      <c r="C3228" t="s">
        <v>904</v>
      </c>
      <c r="D3228" t="s">
        <v>906</v>
      </c>
      <c r="E3228" t="s">
        <v>4134</v>
      </c>
      <c r="F3228" t="s">
        <v>846</v>
      </c>
      <c r="G3228" t="s">
        <v>344</v>
      </c>
      <c r="H3228" s="6" t="s">
        <v>187</v>
      </c>
      <c r="I3228" s="6">
        <v>0</v>
      </c>
      <c r="J3228" s="6">
        <v>0</v>
      </c>
      <c r="K3228" s="6">
        <v>0</v>
      </c>
      <c r="M3228" s="6">
        <f>SUM(H3228,J3228)</f>
        <v>0</v>
      </c>
      <c r="N3228" s="6">
        <f>K3228</f>
        <v>0</v>
      </c>
      <c r="O3228" s="6">
        <f>SUM(M3228:N3228)</f>
        <v>0</v>
      </c>
      <c r="P3228" s="8">
        <f>VLOOKUP(F3228,'LEAID Match'!$A$2:$B$436,2,FALSE)</f>
        <v>1800081</v>
      </c>
      <c r="Q3228" s="6">
        <f>COUNTIF($P$2:$P$3691,P3228)</f>
        <v>9</v>
      </c>
    </row>
    <row r="3229" spans="1:17" x14ac:dyDescent="0.2">
      <c r="A3229" s="16">
        <f>P3229</f>
        <v>1800081</v>
      </c>
      <c r="B3229">
        <v>2023</v>
      </c>
      <c r="C3229" t="s">
        <v>904</v>
      </c>
      <c r="D3229" t="s">
        <v>906</v>
      </c>
      <c r="E3229" t="s">
        <v>4135</v>
      </c>
      <c r="F3229" t="s">
        <v>846</v>
      </c>
      <c r="G3229" t="s">
        <v>344</v>
      </c>
      <c r="H3229" s="6" t="s">
        <v>187</v>
      </c>
      <c r="I3229" s="6">
        <v>0</v>
      </c>
      <c r="J3229" s="6">
        <v>0</v>
      </c>
      <c r="K3229" s="6">
        <v>0</v>
      </c>
      <c r="M3229" s="6">
        <f>SUM(H3229,J3229)</f>
        <v>0</v>
      </c>
      <c r="N3229" s="6">
        <f>K3229</f>
        <v>0</v>
      </c>
      <c r="O3229" s="6">
        <f>SUM(M3229:N3229)</f>
        <v>0</v>
      </c>
      <c r="P3229" s="8">
        <f>VLOOKUP(F3229,'LEAID Match'!$A$2:$B$436,2,FALSE)</f>
        <v>1800081</v>
      </c>
      <c r="Q3229" s="6">
        <f>COUNTIF($P$2:$P$3691,P3229)</f>
        <v>9</v>
      </c>
    </row>
    <row r="3230" spans="1:17" x14ac:dyDescent="0.2">
      <c r="A3230" s="16">
        <f>P3230</f>
        <v>1800065</v>
      </c>
      <c r="B3230">
        <v>2015</v>
      </c>
      <c r="C3230" t="s">
        <v>904</v>
      </c>
      <c r="D3230" t="s">
        <v>906</v>
      </c>
      <c r="E3230" t="s">
        <v>4136</v>
      </c>
      <c r="F3230" t="s">
        <v>847</v>
      </c>
      <c r="G3230" t="s">
        <v>345</v>
      </c>
      <c r="H3230" s="6">
        <v>30538</v>
      </c>
      <c r="I3230" s="6">
        <v>1.4849734814701928E-4</v>
      </c>
      <c r="J3230" s="6">
        <v>862.91809008232906</v>
      </c>
      <c r="K3230" s="6">
        <v>125571.73355068899</v>
      </c>
      <c r="M3230" s="6">
        <f>SUM(H3230,J3230)</f>
        <v>31400.91809008233</v>
      </c>
      <c r="N3230" s="6">
        <f>K3230</f>
        <v>125571.73355068899</v>
      </c>
      <c r="O3230" s="6">
        <f>SUM(M3230:N3230)</f>
        <v>156972.65164077134</v>
      </c>
      <c r="P3230" s="8">
        <f>VLOOKUP(F3230,'LEAID Match'!$A$2:$B$436,2,FALSE)</f>
        <v>1800065</v>
      </c>
      <c r="Q3230" s="6">
        <f>COUNTIF($P$2:$P$3691,P3230)</f>
        <v>9</v>
      </c>
    </row>
    <row r="3231" spans="1:17" x14ac:dyDescent="0.2">
      <c r="A3231" s="16">
        <f>P3231</f>
        <v>1800065</v>
      </c>
      <c r="B3231">
        <v>2016</v>
      </c>
      <c r="C3231" t="s">
        <v>904</v>
      </c>
      <c r="D3231" t="s">
        <v>906</v>
      </c>
      <c r="E3231" t="s">
        <v>4137</v>
      </c>
      <c r="F3231" t="s">
        <v>847</v>
      </c>
      <c r="G3231" t="s">
        <v>345</v>
      </c>
      <c r="H3231" s="6">
        <v>31354</v>
      </c>
      <c r="I3231" s="6">
        <v>1.454864107808762E-4</v>
      </c>
      <c r="J3231" s="6">
        <v>734.41540162186311</v>
      </c>
      <c r="K3231" s="6">
        <v>129119.189568027</v>
      </c>
      <c r="M3231" s="6">
        <f>SUM(H3231,J3231)</f>
        <v>32088.415401621864</v>
      </c>
      <c r="N3231" s="6">
        <f>K3231</f>
        <v>129119.189568027</v>
      </c>
      <c r="O3231" s="6">
        <f>SUM(M3231:N3231)</f>
        <v>161207.60496964885</v>
      </c>
      <c r="P3231" s="8">
        <f>VLOOKUP(F3231,'LEAID Match'!$A$2:$B$436,2,FALSE)</f>
        <v>1800065</v>
      </c>
      <c r="Q3231" s="6">
        <f>COUNTIF($P$2:$P$3691,P3231)</f>
        <v>9</v>
      </c>
    </row>
    <row r="3232" spans="1:17" x14ac:dyDescent="0.2">
      <c r="A3232" s="16">
        <f>P3232</f>
        <v>1800065</v>
      </c>
      <c r="B3232">
        <v>2017</v>
      </c>
      <c r="C3232" t="s">
        <v>904</v>
      </c>
      <c r="D3232" t="s">
        <v>906</v>
      </c>
      <c r="E3232" t="s">
        <v>4138</v>
      </c>
      <c r="F3232" t="s">
        <v>847</v>
      </c>
      <c r="G3232" t="s">
        <v>345</v>
      </c>
      <c r="H3232" s="6">
        <v>35776</v>
      </c>
      <c r="I3232" s="6">
        <v>1.5753703319113213E-4</v>
      </c>
      <c r="J3232" s="6">
        <v>712.85507518987288</v>
      </c>
      <c r="K3232" s="6">
        <v>137214.75590947599</v>
      </c>
      <c r="M3232" s="6">
        <f>SUM(H3232,J3232)</f>
        <v>36488.855075189873</v>
      </c>
      <c r="N3232" s="6">
        <f>K3232</f>
        <v>137214.75590947599</v>
      </c>
      <c r="O3232" s="6">
        <f>SUM(M3232:N3232)</f>
        <v>173703.61098466587</v>
      </c>
      <c r="P3232" s="8">
        <f>VLOOKUP(F3232,'LEAID Match'!$A$2:$B$436,2,FALSE)</f>
        <v>1800065</v>
      </c>
      <c r="Q3232" s="6">
        <f>COUNTIF($P$2:$P$3691,P3232)</f>
        <v>9</v>
      </c>
    </row>
    <row r="3233" spans="1:17" x14ac:dyDescent="0.2">
      <c r="A3233" s="16">
        <f>P3233</f>
        <v>1800065</v>
      </c>
      <c r="B3233">
        <v>2018</v>
      </c>
      <c r="C3233" t="s">
        <v>904</v>
      </c>
      <c r="D3233" t="s">
        <v>906</v>
      </c>
      <c r="E3233" t="s">
        <v>4139</v>
      </c>
      <c r="F3233" t="s">
        <v>847</v>
      </c>
      <c r="G3233" t="s">
        <v>345</v>
      </c>
      <c r="H3233" s="6">
        <v>33231</v>
      </c>
      <c r="I3233" s="6">
        <v>1.4097822469966495E-4</v>
      </c>
      <c r="J3233" s="6">
        <v>587.59724054820356</v>
      </c>
      <c r="K3233" s="6">
        <v>0</v>
      </c>
      <c r="M3233" s="6">
        <f>SUM(H3233,J3233)</f>
        <v>33818.597240548203</v>
      </c>
      <c r="N3233" s="6">
        <f>K3233</f>
        <v>0</v>
      </c>
      <c r="O3233" s="6">
        <f>SUM(M3233:N3233)</f>
        <v>33818.597240548203</v>
      </c>
      <c r="P3233" s="8">
        <f>VLOOKUP(F3233,'LEAID Match'!$A$2:$B$436,2,FALSE)</f>
        <v>1800065</v>
      </c>
      <c r="Q3233" s="6">
        <f>COUNTIF($P$2:$P$3691,P3233)</f>
        <v>9</v>
      </c>
    </row>
    <row r="3234" spans="1:17" x14ac:dyDescent="0.2">
      <c r="A3234" s="16">
        <f>P3234</f>
        <v>1800065</v>
      </c>
      <c r="B3234">
        <v>2019</v>
      </c>
      <c r="C3234" t="s">
        <v>904</v>
      </c>
      <c r="D3234" t="s">
        <v>906</v>
      </c>
      <c r="E3234" t="s">
        <v>4140</v>
      </c>
      <c r="F3234" t="s">
        <v>847</v>
      </c>
      <c r="G3234" t="s">
        <v>345</v>
      </c>
      <c r="H3234" s="6">
        <v>41100</v>
      </c>
      <c r="I3234" s="6">
        <v>1.0455817709702281E-4</v>
      </c>
      <c r="J3234" s="6">
        <v>366.47641072506497</v>
      </c>
      <c r="K3234" s="6">
        <v>98692.463361879796</v>
      </c>
      <c r="M3234" s="6">
        <f>SUM(H3234,J3234)</f>
        <v>41466.476410725067</v>
      </c>
      <c r="N3234" s="6">
        <f>K3234</f>
        <v>98692.463361879796</v>
      </c>
      <c r="O3234" s="6">
        <f>SUM(M3234:N3234)</f>
        <v>140158.93977260485</v>
      </c>
      <c r="P3234" s="8">
        <f>VLOOKUP(F3234,'LEAID Match'!$A$2:$B$436,2,FALSE)</f>
        <v>1800065</v>
      </c>
      <c r="Q3234" s="6">
        <f>COUNTIF($P$2:$P$3691,P3234)</f>
        <v>9</v>
      </c>
    </row>
    <row r="3235" spans="1:17" x14ac:dyDescent="0.2">
      <c r="A3235" s="16">
        <f>P3235</f>
        <v>1800065</v>
      </c>
      <c r="B3235">
        <v>2020</v>
      </c>
      <c r="C3235" t="s">
        <v>904</v>
      </c>
      <c r="D3235" t="s">
        <v>906</v>
      </c>
      <c r="E3235" t="s">
        <v>4141</v>
      </c>
      <c r="F3235" t="s">
        <v>847</v>
      </c>
      <c r="G3235" t="s">
        <v>345</v>
      </c>
      <c r="H3235" s="6">
        <v>27761</v>
      </c>
      <c r="I3235" s="6">
        <v>1.4709742461504704E-4</v>
      </c>
      <c r="J3235" s="6">
        <v>346.56153239305081</v>
      </c>
      <c r="K3235" s="6">
        <v>0</v>
      </c>
      <c r="M3235" s="6">
        <f>SUM(H3235,J3235)</f>
        <v>28107.561532393051</v>
      </c>
      <c r="N3235" s="6">
        <f>K3235</f>
        <v>0</v>
      </c>
      <c r="O3235" s="6">
        <f>SUM(M3235:N3235)</f>
        <v>28107.561532393051</v>
      </c>
      <c r="P3235" s="8">
        <f>VLOOKUP(F3235,'LEAID Match'!$A$2:$B$436,2,FALSE)</f>
        <v>1800065</v>
      </c>
      <c r="Q3235" s="6">
        <f>COUNTIF($P$2:$P$3691,P3235)</f>
        <v>9</v>
      </c>
    </row>
    <row r="3236" spans="1:17" x14ac:dyDescent="0.2">
      <c r="A3236" s="16">
        <f>P3236</f>
        <v>1800065</v>
      </c>
      <c r="B3236">
        <v>2021</v>
      </c>
      <c r="C3236" t="s">
        <v>904</v>
      </c>
      <c r="D3236" t="s">
        <v>906</v>
      </c>
      <c r="E3236" t="s">
        <v>4142</v>
      </c>
      <c r="F3236" t="s">
        <v>847</v>
      </c>
      <c r="G3236" t="s">
        <v>345</v>
      </c>
      <c r="H3236" s="6">
        <v>29094</v>
      </c>
      <c r="I3236" s="6">
        <v>1.4372706571087922E-4</v>
      </c>
      <c r="J3236" s="6">
        <v>323.96080611232173</v>
      </c>
      <c r="K3236" s="6">
        <v>0</v>
      </c>
      <c r="M3236" s="6">
        <f>SUM(H3236,J3236)</f>
        <v>29417.960806112322</v>
      </c>
      <c r="N3236" s="6">
        <f>K3236</f>
        <v>0</v>
      </c>
      <c r="O3236" s="6">
        <f>SUM(M3236:N3236)</f>
        <v>29417.960806112322</v>
      </c>
      <c r="P3236" s="8">
        <f>VLOOKUP(F3236,'LEAID Match'!$A$2:$B$436,2,FALSE)</f>
        <v>1800065</v>
      </c>
      <c r="Q3236" s="6">
        <f>COUNTIF($P$2:$P$3691,P3236)</f>
        <v>9</v>
      </c>
    </row>
    <row r="3237" spans="1:17" x14ac:dyDescent="0.2">
      <c r="A3237" s="16">
        <f>P3237</f>
        <v>1800065</v>
      </c>
      <c r="B3237">
        <v>2022</v>
      </c>
      <c r="C3237" t="s">
        <v>904</v>
      </c>
      <c r="D3237" t="s">
        <v>906</v>
      </c>
      <c r="E3237" t="s">
        <v>4143</v>
      </c>
      <c r="F3237" t="s">
        <v>847</v>
      </c>
      <c r="G3237" t="s">
        <v>345</v>
      </c>
      <c r="H3237" s="6">
        <v>35795</v>
      </c>
      <c r="I3237" s="6">
        <v>1.699613125413947E-4</v>
      </c>
      <c r="J3237" s="6">
        <v>374.76469415377528</v>
      </c>
      <c r="K3237" s="6">
        <v>0</v>
      </c>
      <c r="M3237" s="6">
        <f>SUM(H3237,J3237)</f>
        <v>36169.764694153775</v>
      </c>
      <c r="N3237" s="6">
        <f>K3237</f>
        <v>0</v>
      </c>
      <c r="O3237" s="6">
        <f>SUM(M3237:N3237)</f>
        <v>36169.764694153775</v>
      </c>
      <c r="P3237" s="8">
        <f>VLOOKUP(F3237,'LEAID Match'!$A$2:$B$436,2,FALSE)</f>
        <v>1800065</v>
      </c>
      <c r="Q3237" s="6">
        <f>COUNTIF($P$2:$P$3691,P3237)</f>
        <v>9</v>
      </c>
    </row>
    <row r="3238" spans="1:17" x14ac:dyDescent="0.2">
      <c r="A3238" s="16">
        <f>P3238</f>
        <v>1800065</v>
      </c>
      <c r="B3238">
        <v>2023</v>
      </c>
      <c r="C3238" t="s">
        <v>904</v>
      </c>
      <c r="D3238" t="s">
        <v>906</v>
      </c>
      <c r="E3238" t="s">
        <v>4144</v>
      </c>
      <c r="F3238" t="s">
        <v>847</v>
      </c>
      <c r="G3238" t="s">
        <v>345</v>
      </c>
      <c r="H3238" s="6">
        <v>40791</v>
      </c>
      <c r="I3238" s="6">
        <v>1.6681277728212729E-4</v>
      </c>
      <c r="J3238" s="6">
        <v>411.52712155500802</v>
      </c>
      <c r="K3238" s="6">
        <v>0</v>
      </c>
      <c r="M3238" s="6">
        <f>SUM(H3238,J3238)</f>
        <v>41202.527121555009</v>
      </c>
      <c r="N3238" s="6">
        <f>K3238</f>
        <v>0</v>
      </c>
      <c r="O3238" s="6">
        <f>SUM(M3238:N3238)</f>
        <v>41202.527121555009</v>
      </c>
      <c r="P3238" s="8">
        <f>VLOOKUP(F3238,'LEAID Match'!$A$2:$B$436,2,FALSE)</f>
        <v>1800065</v>
      </c>
      <c r="Q3238" s="6">
        <f>COUNTIF($P$2:$P$3691,P3238)</f>
        <v>9</v>
      </c>
    </row>
    <row r="3239" spans="1:17" x14ac:dyDescent="0.2">
      <c r="A3239" s="16">
        <f>P3239</f>
        <v>1800041</v>
      </c>
      <c r="B3239">
        <v>2015</v>
      </c>
      <c r="C3239" t="s">
        <v>904</v>
      </c>
      <c r="D3239" t="s">
        <v>906</v>
      </c>
      <c r="E3239" t="s">
        <v>4145</v>
      </c>
      <c r="F3239" t="s">
        <v>848</v>
      </c>
      <c r="G3239" t="s">
        <v>346</v>
      </c>
      <c r="H3239" s="6">
        <v>106584</v>
      </c>
      <c r="I3239" s="6">
        <v>5.1828676910412941E-4</v>
      </c>
      <c r="J3239" s="6">
        <v>3011.764415264096</v>
      </c>
      <c r="K3239" s="6">
        <v>438271.58454275702</v>
      </c>
      <c r="M3239" s="6">
        <f>SUM(H3239,J3239)</f>
        <v>109595.7644152641</v>
      </c>
      <c r="N3239" s="6">
        <f>K3239</f>
        <v>438271.58454275702</v>
      </c>
      <c r="O3239" s="6">
        <f>SUM(M3239:N3239)</f>
        <v>547867.34895802115</v>
      </c>
      <c r="P3239" s="8">
        <f>VLOOKUP(F3239,'LEAID Match'!$A$2:$B$436,2,FALSE)</f>
        <v>1800041</v>
      </c>
      <c r="Q3239" s="6">
        <f>COUNTIF($P$2:$P$3691,P3239)</f>
        <v>9</v>
      </c>
    </row>
    <row r="3240" spans="1:17" x14ac:dyDescent="0.2">
      <c r="A3240" s="16">
        <f>P3240</f>
        <v>1800041</v>
      </c>
      <c r="B3240">
        <v>2016</v>
      </c>
      <c r="C3240" t="s">
        <v>904</v>
      </c>
      <c r="D3240" t="s">
        <v>906</v>
      </c>
      <c r="E3240" t="s">
        <v>4146</v>
      </c>
      <c r="F3240" t="s">
        <v>848</v>
      </c>
      <c r="G3240" t="s">
        <v>346</v>
      </c>
      <c r="H3240" s="6">
        <v>118251</v>
      </c>
      <c r="I3240" s="6">
        <v>5.4869916314503387E-4</v>
      </c>
      <c r="J3240" s="6">
        <v>2769.8333755561312</v>
      </c>
      <c r="K3240" s="6">
        <v>486970.50729121699</v>
      </c>
      <c r="M3240" s="6">
        <f>SUM(H3240,J3240)</f>
        <v>121020.83337555613</v>
      </c>
      <c r="N3240" s="6">
        <f>K3240</f>
        <v>486970.50729121699</v>
      </c>
      <c r="O3240" s="6">
        <f>SUM(M3240:N3240)</f>
        <v>607991.34066677315</v>
      </c>
      <c r="P3240" s="8">
        <f>VLOOKUP(F3240,'LEAID Match'!$A$2:$B$436,2,FALSE)</f>
        <v>1800041</v>
      </c>
      <c r="Q3240" s="6">
        <f>COUNTIF($P$2:$P$3691,P3240)</f>
        <v>9</v>
      </c>
    </row>
    <row r="3241" spans="1:17" x14ac:dyDescent="0.2">
      <c r="A3241" s="16">
        <f>P3241</f>
        <v>1800041</v>
      </c>
      <c r="B3241">
        <v>2017</v>
      </c>
      <c r="C3241" t="s">
        <v>904</v>
      </c>
      <c r="D3241" t="s">
        <v>906</v>
      </c>
      <c r="E3241" t="s">
        <v>4147</v>
      </c>
      <c r="F3241" t="s">
        <v>848</v>
      </c>
      <c r="G3241" t="s">
        <v>346</v>
      </c>
      <c r="H3241" s="6">
        <v>153180</v>
      </c>
      <c r="I3241" s="6">
        <v>6.7451707133881985E-4</v>
      </c>
      <c r="J3241" s="6">
        <v>3052.1897478081601</v>
      </c>
      <c r="K3241" s="6">
        <v>587504.36913611204</v>
      </c>
      <c r="M3241" s="6">
        <f>SUM(H3241,J3241)</f>
        <v>156232.18974780815</v>
      </c>
      <c r="N3241" s="6">
        <f>K3241</f>
        <v>587504.36913611204</v>
      </c>
      <c r="O3241" s="6">
        <f>SUM(M3241:N3241)</f>
        <v>743736.5588839202</v>
      </c>
      <c r="P3241" s="8">
        <f>VLOOKUP(F3241,'LEAID Match'!$A$2:$B$436,2,FALSE)</f>
        <v>1800041</v>
      </c>
      <c r="Q3241" s="6">
        <f>COUNTIF($P$2:$P$3691,P3241)</f>
        <v>9</v>
      </c>
    </row>
    <row r="3242" spans="1:17" x14ac:dyDescent="0.2">
      <c r="A3242" s="16">
        <f>P3242</f>
        <v>1800041</v>
      </c>
      <c r="B3242">
        <v>2018</v>
      </c>
      <c r="C3242" t="s">
        <v>904</v>
      </c>
      <c r="D3242" t="s">
        <v>906</v>
      </c>
      <c r="E3242" t="s">
        <v>4148</v>
      </c>
      <c r="F3242" t="s">
        <v>848</v>
      </c>
      <c r="G3242" t="s">
        <v>346</v>
      </c>
      <c r="H3242" s="6">
        <v>162210</v>
      </c>
      <c r="I3242" s="6">
        <v>6.8815497061577001E-4</v>
      </c>
      <c r="J3242" s="6">
        <v>2868.2299175265293</v>
      </c>
      <c r="K3242" s="6">
        <v>0</v>
      </c>
      <c r="M3242" s="6">
        <f>SUM(H3242,J3242)</f>
        <v>165078.22991752654</v>
      </c>
      <c r="N3242" s="6">
        <f>K3242</f>
        <v>0</v>
      </c>
      <c r="O3242" s="6">
        <f>SUM(M3242:N3242)</f>
        <v>165078.22991752654</v>
      </c>
      <c r="P3242" s="8">
        <f>VLOOKUP(F3242,'LEAID Match'!$A$2:$B$436,2,FALSE)</f>
        <v>1800041</v>
      </c>
      <c r="Q3242" s="6">
        <f>COUNTIF($P$2:$P$3691,P3242)</f>
        <v>9</v>
      </c>
    </row>
    <row r="3243" spans="1:17" x14ac:dyDescent="0.2">
      <c r="A3243" s="16">
        <f>P3243</f>
        <v>1800041</v>
      </c>
      <c r="B3243">
        <v>2019</v>
      </c>
      <c r="C3243" t="s">
        <v>904</v>
      </c>
      <c r="D3243" t="s">
        <v>906</v>
      </c>
      <c r="E3243" t="s">
        <v>4149</v>
      </c>
      <c r="F3243" t="s">
        <v>848</v>
      </c>
      <c r="G3243" t="s">
        <v>346</v>
      </c>
      <c r="H3243" s="6">
        <v>171433</v>
      </c>
      <c r="I3243" s="6">
        <v>4.361246222451073E-4</v>
      </c>
      <c r="J3243" s="6">
        <v>1528.6168009691012</v>
      </c>
      <c r="K3243" s="6">
        <v>411658.030937156</v>
      </c>
      <c r="M3243" s="6">
        <f>SUM(H3243,J3243)</f>
        <v>172961.61680096909</v>
      </c>
      <c r="N3243" s="6">
        <f>K3243</f>
        <v>411658.030937156</v>
      </c>
      <c r="O3243" s="6">
        <f>SUM(M3243:N3243)</f>
        <v>584619.64773812506</v>
      </c>
      <c r="P3243" s="8">
        <f>VLOOKUP(F3243,'LEAID Match'!$A$2:$B$436,2,FALSE)</f>
        <v>1800041</v>
      </c>
      <c r="Q3243" s="6">
        <f>COUNTIF($P$2:$P$3691,P3243)</f>
        <v>9</v>
      </c>
    </row>
    <row r="3244" spans="1:17" x14ac:dyDescent="0.2">
      <c r="A3244" s="16">
        <f>P3244</f>
        <v>1800041</v>
      </c>
      <c r="B3244">
        <v>2020</v>
      </c>
      <c r="C3244" t="s">
        <v>904</v>
      </c>
      <c r="D3244" t="s">
        <v>906</v>
      </c>
      <c r="E3244" t="s">
        <v>4150</v>
      </c>
      <c r="F3244" t="s">
        <v>848</v>
      </c>
      <c r="G3244" t="s">
        <v>346</v>
      </c>
      <c r="H3244" s="6">
        <v>125906</v>
      </c>
      <c r="I3244" s="6">
        <v>6.6713909238075395E-4</v>
      </c>
      <c r="J3244" s="6">
        <v>1571.7797016490563</v>
      </c>
      <c r="K3244" s="6">
        <v>0</v>
      </c>
      <c r="M3244" s="6">
        <f>SUM(H3244,J3244)</f>
        <v>127477.77970164905</v>
      </c>
      <c r="N3244" s="6">
        <f>K3244</f>
        <v>0</v>
      </c>
      <c r="O3244" s="6">
        <f>SUM(M3244:N3244)</f>
        <v>127477.77970164905</v>
      </c>
      <c r="P3244" s="8">
        <f>VLOOKUP(F3244,'LEAID Match'!$A$2:$B$436,2,FALSE)</f>
        <v>1800041</v>
      </c>
      <c r="Q3244" s="6">
        <f>COUNTIF($P$2:$P$3691,P3244)</f>
        <v>9</v>
      </c>
    </row>
    <row r="3245" spans="1:17" x14ac:dyDescent="0.2">
      <c r="A3245" s="16">
        <f>P3245</f>
        <v>1800041</v>
      </c>
      <c r="B3245">
        <v>2021</v>
      </c>
      <c r="C3245" t="s">
        <v>904</v>
      </c>
      <c r="D3245" t="s">
        <v>906</v>
      </c>
      <c r="E3245" t="s">
        <v>4151</v>
      </c>
      <c r="F3245" t="s">
        <v>848</v>
      </c>
      <c r="G3245" t="s">
        <v>346</v>
      </c>
      <c r="H3245" s="6">
        <v>125956</v>
      </c>
      <c r="I3245" s="6">
        <v>6.2223435377326951E-4</v>
      </c>
      <c r="J3245" s="6">
        <v>1402.5162334049494</v>
      </c>
      <c r="K3245" s="6">
        <v>0</v>
      </c>
      <c r="M3245" s="6">
        <f>SUM(H3245,J3245)</f>
        <v>127358.51623340495</v>
      </c>
      <c r="N3245" s="6">
        <f>K3245</f>
        <v>0</v>
      </c>
      <c r="O3245" s="6">
        <f>SUM(M3245:N3245)</f>
        <v>127358.51623340495</v>
      </c>
      <c r="P3245" s="8">
        <f>VLOOKUP(F3245,'LEAID Match'!$A$2:$B$436,2,FALSE)</f>
        <v>1800041</v>
      </c>
      <c r="Q3245" s="6">
        <f>COUNTIF($P$2:$P$3691,P3245)</f>
        <v>9</v>
      </c>
    </row>
    <row r="3246" spans="1:17" x14ac:dyDescent="0.2">
      <c r="A3246" s="16">
        <f>P3246</f>
        <v>1800041</v>
      </c>
      <c r="B3246">
        <v>2022</v>
      </c>
      <c r="C3246" t="s">
        <v>904</v>
      </c>
      <c r="D3246" t="s">
        <v>906</v>
      </c>
      <c r="E3246" t="s">
        <v>4152</v>
      </c>
      <c r="F3246" t="s">
        <v>848</v>
      </c>
      <c r="G3246" t="s">
        <v>346</v>
      </c>
      <c r="H3246" s="6">
        <v>139596</v>
      </c>
      <c r="I3246" s="6">
        <v>6.6282775207510917E-4</v>
      </c>
      <c r="J3246" s="6">
        <v>1461.5351933256156</v>
      </c>
      <c r="K3246" s="6">
        <v>0</v>
      </c>
      <c r="M3246" s="6">
        <f>SUM(H3246,J3246)</f>
        <v>141057.5351933256</v>
      </c>
      <c r="N3246" s="6">
        <f>K3246</f>
        <v>0</v>
      </c>
      <c r="O3246" s="6">
        <f>SUM(M3246:N3246)</f>
        <v>141057.5351933256</v>
      </c>
      <c r="P3246" s="8">
        <f>VLOOKUP(F3246,'LEAID Match'!$A$2:$B$436,2,FALSE)</f>
        <v>1800041</v>
      </c>
      <c r="Q3246" s="6">
        <f>COUNTIF($P$2:$P$3691,P3246)</f>
        <v>9</v>
      </c>
    </row>
    <row r="3247" spans="1:17" x14ac:dyDescent="0.2">
      <c r="A3247" s="16">
        <f>P3247</f>
        <v>1800041</v>
      </c>
      <c r="B3247">
        <v>2023</v>
      </c>
      <c r="C3247" t="s">
        <v>904</v>
      </c>
      <c r="D3247" t="s">
        <v>906</v>
      </c>
      <c r="E3247" t="s">
        <v>4153</v>
      </c>
      <c r="F3247" t="s">
        <v>848</v>
      </c>
      <c r="G3247" t="s">
        <v>346</v>
      </c>
      <c r="H3247" s="6">
        <v>149121</v>
      </c>
      <c r="I3247" s="6">
        <v>6.09822955090292E-4</v>
      </c>
      <c r="J3247" s="6">
        <v>1504.4332302077503</v>
      </c>
      <c r="K3247" s="6">
        <v>0</v>
      </c>
      <c r="M3247" s="6">
        <f>SUM(H3247,J3247)</f>
        <v>150625.43323020774</v>
      </c>
      <c r="N3247" s="6">
        <f>K3247</f>
        <v>0</v>
      </c>
      <c r="O3247" s="6">
        <f>SUM(M3247:N3247)</f>
        <v>150625.43323020774</v>
      </c>
      <c r="P3247" s="8">
        <f>VLOOKUP(F3247,'LEAID Match'!$A$2:$B$436,2,FALSE)</f>
        <v>1800041</v>
      </c>
      <c r="Q3247" s="6">
        <f>COUNTIF($P$2:$P$3691,P3247)</f>
        <v>9</v>
      </c>
    </row>
    <row r="3248" spans="1:17" x14ac:dyDescent="0.2">
      <c r="A3248" s="16">
        <f>P3248</f>
        <v>1800072</v>
      </c>
      <c r="B3248">
        <v>2015</v>
      </c>
      <c r="C3248" t="s">
        <v>904</v>
      </c>
      <c r="D3248" t="s">
        <v>906</v>
      </c>
      <c r="E3248" t="s">
        <v>4154</v>
      </c>
      <c r="F3248" t="s">
        <v>807</v>
      </c>
      <c r="G3248" t="s">
        <v>347</v>
      </c>
      <c r="H3248" s="6">
        <v>18610</v>
      </c>
      <c r="I3248" s="6">
        <v>9.0494978355361479E-5</v>
      </c>
      <c r="J3248" s="6">
        <v>525.86631922300558</v>
      </c>
      <c r="K3248" s="6">
        <v>76524.001616947295</v>
      </c>
      <c r="M3248" s="6">
        <f>SUM(H3248,J3248)</f>
        <v>19135.866319223005</v>
      </c>
      <c r="N3248" s="6">
        <f>K3248</f>
        <v>76524.001616947295</v>
      </c>
      <c r="O3248" s="6">
        <f>SUM(M3248:N3248)</f>
        <v>95659.867936170296</v>
      </c>
      <c r="P3248" s="8">
        <f>VLOOKUP(F3248,'LEAID Match'!$A$2:$B$436,2,FALSE)</f>
        <v>1800072</v>
      </c>
      <c r="Q3248" s="6">
        <f>COUNTIF($P$2:$P$3691,P3248)</f>
        <v>9</v>
      </c>
    </row>
    <row r="3249" spans="1:17" x14ac:dyDescent="0.2">
      <c r="A3249" s="16">
        <f>P3249</f>
        <v>1800072</v>
      </c>
      <c r="B3249">
        <v>2016</v>
      </c>
      <c r="C3249" t="s">
        <v>904</v>
      </c>
      <c r="D3249" t="s">
        <v>906</v>
      </c>
      <c r="E3249" t="s">
        <v>4155</v>
      </c>
      <c r="F3249" t="s">
        <v>807</v>
      </c>
      <c r="G3249" t="s">
        <v>347</v>
      </c>
      <c r="H3249" s="6">
        <v>10481</v>
      </c>
      <c r="I3249" s="6">
        <v>4.8633127237174315E-5</v>
      </c>
      <c r="J3249" s="6">
        <v>245.50002629325593</v>
      </c>
      <c r="K3249" s="6">
        <v>43161.900422992199</v>
      </c>
      <c r="M3249" s="6">
        <f>SUM(H3249,J3249)</f>
        <v>10726.500026293255</v>
      </c>
      <c r="N3249" s="6">
        <f>K3249</f>
        <v>43161.900422992199</v>
      </c>
      <c r="O3249" s="6">
        <f>SUM(M3249:N3249)</f>
        <v>53888.400449285458</v>
      </c>
      <c r="P3249" s="8">
        <f>VLOOKUP(F3249,'LEAID Match'!$A$2:$B$436,2,FALSE)</f>
        <v>1800072</v>
      </c>
      <c r="Q3249" s="6">
        <f>COUNTIF($P$2:$P$3691,P3249)</f>
        <v>9</v>
      </c>
    </row>
    <row r="3250" spans="1:17" x14ac:dyDescent="0.2">
      <c r="A3250" s="16">
        <f>P3250</f>
        <v>1800072</v>
      </c>
      <c r="B3250">
        <v>2017</v>
      </c>
      <c r="C3250" t="s">
        <v>904</v>
      </c>
      <c r="D3250" t="s">
        <v>906</v>
      </c>
      <c r="E3250" t="s">
        <v>4156</v>
      </c>
      <c r="F3250" t="s">
        <v>807</v>
      </c>
      <c r="G3250" t="s">
        <v>347</v>
      </c>
      <c r="H3250" s="6">
        <v>17263</v>
      </c>
      <c r="I3250" s="6">
        <v>7.6016374216751837E-5</v>
      </c>
      <c r="J3250" s="6">
        <v>343.97409333080208</v>
      </c>
      <c r="K3250" s="6">
        <v>66210.261942790807</v>
      </c>
      <c r="M3250" s="6">
        <f>SUM(H3250,J3250)</f>
        <v>17606.974093330802</v>
      </c>
      <c r="N3250" s="6">
        <f>K3250</f>
        <v>66210.261942790807</v>
      </c>
      <c r="O3250" s="6">
        <f>SUM(M3250:N3250)</f>
        <v>83817.236036121612</v>
      </c>
      <c r="P3250" s="8">
        <f>VLOOKUP(F3250,'LEAID Match'!$A$2:$B$436,2,FALSE)</f>
        <v>1800072</v>
      </c>
      <c r="Q3250" s="6">
        <f>COUNTIF($P$2:$P$3691,P3250)</f>
        <v>9</v>
      </c>
    </row>
    <row r="3251" spans="1:17" x14ac:dyDescent="0.2">
      <c r="A3251" s="16">
        <f>P3251</f>
        <v>1800072</v>
      </c>
      <c r="B3251">
        <v>2018</v>
      </c>
      <c r="C3251" t="s">
        <v>904</v>
      </c>
      <c r="D3251" t="s">
        <v>906</v>
      </c>
      <c r="E3251" t="s">
        <v>4157</v>
      </c>
      <c r="F3251" t="s">
        <v>807</v>
      </c>
      <c r="G3251" t="s">
        <v>347</v>
      </c>
      <c r="H3251" s="6">
        <v>12621</v>
      </c>
      <c r="I3251" s="6">
        <v>5.3542962111717115E-5</v>
      </c>
      <c r="J3251" s="6">
        <v>223.16706608163693</v>
      </c>
      <c r="K3251" s="6" t="s">
        <v>187</v>
      </c>
      <c r="M3251" s="6">
        <f>SUM(H3251,J3251)</f>
        <v>12844.167066081636</v>
      </c>
      <c r="N3251" s="6" t="str">
        <f>K3251</f>
        <v>-</v>
      </c>
      <c r="O3251" s="6">
        <f>SUM(M3251:N3251)</f>
        <v>12844.167066081636</v>
      </c>
      <c r="P3251" s="8">
        <f>VLOOKUP(F3251,'LEAID Match'!$A$2:$B$436,2,FALSE)</f>
        <v>1800072</v>
      </c>
      <c r="Q3251" s="6">
        <f>COUNTIF($P$2:$P$3691,P3251)</f>
        <v>9</v>
      </c>
    </row>
    <row r="3252" spans="1:17" x14ac:dyDescent="0.2">
      <c r="A3252" s="16">
        <f>P3252</f>
        <v>1800072</v>
      </c>
      <c r="B3252">
        <v>2019</v>
      </c>
      <c r="C3252" t="s">
        <v>904</v>
      </c>
      <c r="D3252" t="s">
        <v>906</v>
      </c>
      <c r="E3252" t="s">
        <v>4158</v>
      </c>
      <c r="F3252" t="s">
        <v>807</v>
      </c>
      <c r="G3252" t="s">
        <v>347</v>
      </c>
      <c r="H3252" s="6">
        <v>13519</v>
      </c>
      <c r="I3252" s="6">
        <v>3.4392262680648451E-5</v>
      </c>
      <c r="J3252" s="6">
        <v>120.54488069567282</v>
      </c>
      <c r="K3252" s="6">
        <v>32462.856744264001</v>
      </c>
      <c r="M3252" s="6">
        <f>SUM(H3252,J3252)</f>
        <v>13639.544880695672</v>
      </c>
      <c r="N3252" s="6">
        <f>K3252</f>
        <v>32462.856744264001</v>
      </c>
      <c r="O3252" s="6">
        <f>SUM(M3252:N3252)</f>
        <v>46102.401624959675</v>
      </c>
      <c r="P3252" s="8">
        <f>VLOOKUP(F3252,'LEAID Match'!$A$2:$B$436,2,FALSE)</f>
        <v>1800072</v>
      </c>
      <c r="Q3252" s="6">
        <f>COUNTIF($P$2:$P$3691,P3252)</f>
        <v>9</v>
      </c>
    </row>
    <row r="3253" spans="1:17" x14ac:dyDescent="0.2">
      <c r="A3253" s="16">
        <f>P3253</f>
        <v>1800072</v>
      </c>
      <c r="B3253">
        <v>2020</v>
      </c>
      <c r="C3253" t="s">
        <v>904</v>
      </c>
      <c r="D3253" t="s">
        <v>906</v>
      </c>
      <c r="E3253" t="s">
        <v>4159</v>
      </c>
      <c r="F3253" t="s">
        <v>807</v>
      </c>
      <c r="G3253" t="s">
        <v>347</v>
      </c>
      <c r="H3253" s="6">
        <v>7849</v>
      </c>
      <c r="I3253" s="6">
        <v>4.158955678122201E-5</v>
      </c>
      <c r="J3253" s="6">
        <v>97.98499577655906</v>
      </c>
      <c r="K3253" s="6">
        <v>0</v>
      </c>
      <c r="M3253" s="6">
        <f>SUM(H3253,J3253)</f>
        <v>7946.9849957765591</v>
      </c>
      <c r="N3253" s="6">
        <f>K3253</f>
        <v>0</v>
      </c>
      <c r="O3253" s="6">
        <f>SUM(M3253:N3253)</f>
        <v>7946.9849957765591</v>
      </c>
      <c r="P3253" s="8">
        <f>VLOOKUP(F3253,'LEAID Match'!$A$2:$B$436,2,FALSE)</f>
        <v>1800072</v>
      </c>
      <c r="Q3253" s="6">
        <f>COUNTIF($P$2:$P$3691,P3253)</f>
        <v>9</v>
      </c>
    </row>
    <row r="3254" spans="1:17" x14ac:dyDescent="0.2">
      <c r="A3254" s="16">
        <f>P3254</f>
        <v>1800072</v>
      </c>
      <c r="B3254">
        <v>2021</v>
      </c>
      <c r="C3254" t="s">
        <v>904</v>
      </c>
      <c r="D3254" t="s">
        <v>906</v>
      </c>
      <c r="E3254" t="s">
        <v>4160</v>
      </c>
      <c r="F3254" t="s">
        <v>807</v>
      </c>
      <c r="G3254" t="s">
        <v>347</v>
      </c>
      <c r="H3254" s="6">
        <v>5940</v>
      </c>
      <c r="I3254" s="6">
        <v>2.93441524136462E-5</v>
      </c>
      <c r="J3254" s="6">
        <v>66.141719540358537</v>
      </c>
      <c r="K3254" s="6">
        <v>0</v>
      </c>
      <c r="M3254" s="6">
        <f>SUM(H3254,J3254)</f>
        <v>6006.1417195403583</v>
      </c>
      <c r="N3254" s="6">
        <f>K3254</f>
        <v>0</v>
      </c>
      <c r="O3254" s="6">
        <f>SUM(M3254:N3254)</f>
        <v>6006.1417195403583</v>
      </c>
      <c r="P3254" s="8">
        <f>VLOOKUP(F3254,'LEAID Match'!$A$2:$B$436,2,FALSE)</f>
        <v>1800072</v>
      </c>
      <c r="Q3254" s="6">
        <f>COUNTIF($P$2:$P$3691,P3254)</f>
        <v>9</v>
      </c>
    </row>
    <row r="3255" spans="1:17" x14ac:dyDescent="0.2">
      <c r="A3255" s="16">
        <f>P3255</f>
        <v>1800072</v>
      </c>
      <c r="B3255">
        <v>2022</v>
      </c>
      <c r="C3255" t="s">
        <v>904</v>
      </c>
      <c r="D3255" t="s">
        <v>906</v>
      </c>
      <c r="E3255" t="s">
        <v>4161</v>
      </c>
      <c r="F3255" t="s">
        <v>807</v>
      </c>
      <c r="G3255" t="s">
        <v>347</v>
      </c>
      <c r="H3255" s="6">
        <v>366</v>
      </c>
      <c r="I3255" s="6">
        <v>1.7378360215155875E-6</v>
      </c>
      <c r="J3255" s="6">
        <v>3.8319284274418703</v>
      </c>
      <c r="K3255" s="6">
        <v>0</v>
      </c>
      <c r="M3255" s="6">
        <f>SUM(H3255,J3255)</f>
        <v>369.83192842744188</v>
      </c>
      <c r="N3255" s="6">
        <f>K3255</f>
        <v>0</v>
      </c>
      <c r="O3255" s="6">
        <f>SUM(M3255:N3255)</f>
        <v>369.83192842744188</v>
      </c>
      <c r="P3255" s="8">
        <f>VLOOKUP(F3255,'LEAID Match'!$A$2:$B$436,2,FALSE)</f>
        <v>1800072</v>
      </c>
      <c r="Q3255" s="6">
        <f>COUNTIF($P$2:$P$3691,P3255)</f>
        <v>9</v>
      </c>
    </row>
    <row r="3256" spans="1:17" x14ac:dyDescent="0.2">
      <c r="A3256" s="16">
        <f>P3256</f>
        <v>1800072</v>
      </c>
      <c r="B3256">
        <v>2023</v>
      </c>
      <c r="C3256" t="s">
        <v>904</v>
      </c>
      <c r="D3256" t="s">
        <v>906</v>
      </c>
      <c r="E3256" t="s">
        <v>4162</v>
      </c>
      <c r="F3256" t="s">
        <v>807</v>
      </c>
      <c r="G3256" t="s">
        <v>347</v>
      </c>
      <c r="H3256" s="6" t="s">
        <v>187</v>
      </c>
      <c r="I3256" s="6">
        <v>0</v>
      </c>
      <c r="J3256" s="6">
        <v>0</v>
      </c>
      <c r="K3256" s="6">
        <v>0</v>
      </c>
      <c r="M3256" s="6">
        <f>SUM(H3256,J3256)</f>
        <v>0</v>
      </c>
      <c r="N3256" s="6">
        <f>K3256</f>
        <v>0</v>
      </c>
      <c r="O3256" s="6">
        <f>SUM(M3256:N3256)</f>
        <v>0</v>
      </c>
      <c r="P3256" s="8">
        <f>VLOOKUP(F3256,'LEAID Match'!$A$2:$B$436,2,FALSE)</f>
        <v>1800072</v>
      </c>
      <c r="Q3256" s="6">
        <f>COUNTIF($P$2:$P$3691,P3256)</f>
        <v>9</v>
      </c>
    </row>
    <row r="3257" spans="1:17" x14ac:dyDescent="0.2">
      <c r="A3257" s="16">
        <f>P3257</f>
        <v>1800077</v>
      </c>
      <c r="B3257">
        <v>2015</v>
      </c>
      <c r="C3257" t="s">
        <v>904</v>
      </c>
      <c r="D3257" t="s">
        <v>906</v>
      </c>
      <c r="E3257" t="s">
        <v>4163</v>
      </c>
      <c r="F3257" t="s">
        <v>808</v>
      </c>
      <c r="G3257" t="s">
        <v>348</v>
      </c>
      <c r="H3257" s="6">
        <v>127261</v>
      </c>
      <c r="I3257" s="6">
        <v>6.1883296294904118E-4</v>
      </c>
      <c r="J3257" s="6">
        <v>3596.0383476968782</v>
      </c>
      <c r="K3257" s="6">
        <v>523295.05479711603</v>
      </c>
      <c r="M3257" s="6">
        <f>SUM(H3257,J3257)</f>
        <v>130857.03834769689</v>
      </c>
      <c r="N3257" s="6">
        <f>K3257</f>
        <v>523295.05479711603</v>
      </c>
      <c r="O3257" s="6">
        <f>SUM(M3257:N3257)</f>
        <v>654152.09314481285</v>
      </c>
      <c r="P3257" s="8">
        <f>VLOOKUP(F3257,'LEAID Match'!$A$2:$B$436,2,FALSE)</f>
        <v>1800077</v>
      </c>
      <c r="Q3257" s="6">
        <f>COUNTIF($P$2:$P$3691,P3257)</f>
        <v>9</v>
      </c>
    </row>
    <row r="3258" spans="1:17" x14ac:dyDescent="0.2">
      <c r="A3258" s="16">
        <f>P3258</f>
        <v>1800077</v>
      </c>
      <c r="B3258">
        <v>2016</v>
      </c>
      <c r="C3258" t="s">
        <v>904</v>
      </c>
      <c r="D3258" t="s">
        <v>906</v>
      </c>
      <c r="E3258" t="s">
        <v>4164</v>
      </c>
      <c r="F3258" t="s">
        <v>808</v>
      </c>
      <c r="G3258" t="s">
        <v>348</v>
      </c>
      <c r="H3258" s="6">
        <v>130345</v>
      </c>
      <c r="I3258" s="6">
        <v>6.0481680848482834E-4</v>
      </c>
      <c r="J3258" s="6">
        <v>3053.1152492314136</v>
      </c>
      <c r="K3258" s="6">
        <v>536774.91753028496</v>
      </c>
      <c r="M3258" s="6">
        <f>SUM(H3258,J3258)</f>
        <v>133398.1152492314</v>
      </c>
      <c r="N3258" s="6">
        <f>K3258</f>
        <v>536774.91753028496</v>
      </c>
      <c r="O3258" s="6">
        <f>SUM(M3258:N3258)</f>
        <v>670173.03277951642</v>
      </c>
      <c r="P3258" s="8">
        <f>VLOOKUP(F3258,'LEAID Match'!$A$2:$B$436,2,FALSE)</f>
        <v>1800077</v>
      </c>
      <c r="Q3258" s="6">
        <f>COUNTIF($P$2:$P$3691,P3258)</f>
        <v>9</v>
      </c>
    </row>
    <row r="3259" spans="1:17" x14ac:dyDescent="0.2">
      <c r="A3259" s="16">
        <f>P3259</f>
        <v>1800077</v>
      </c>
      <c r="B3259">
        <v>2017</v>
      </c>
      <c r="C3259" t="s">
        <v>904</v>
      </c>
      <c r="D3259" t="s">
        <v>906</v>
      </c>
      <c r="E3259" t="s">
        <v>4165</v>
      </c>
      <c r="F3259" t="s">
        <v>808</v>
      </c>
      <c r="G3259" t="s">
        <v>348</v>
      </c>
      <c r="H3259" s="6">
        <v>137651</v>
      </c>
      <c r="I3259" s="6">
        <v>6.0613624093785014E-4</v>
      </c>
      <c r="J3259" s="6">
        <v>2742.7664902437718</v>
      </c>
      <c r="K3259" s="6">
        <v>527944.66585686698</v>
      </c>
      <c r="M3259" s="6">
        <f>SUM(H3259,J3259)</f>
        <v>140393.76649024378</v>
      </c>
      <c r="N3259" s="6">
        <f>K3259</f>
        <v>527944.66585686698</v>
      </c>
      <c r="O3259" s="6">
        <f>SUM(M3259:N3259)</f>
        <v>668338.43234711071</v>
      </c>
      <c r="P3259" s="8">
        <f>VLOOKUP(F3259,'LEAID Match'!$A$2:$B$436,2,FALSE)</f>
        <v>1800077</v>
      </c>
      <c r="Q3259" s="6">
        <f>COUNTIF($P$2:$P$3691,P3259)</f>
        <v>9</v>
      </c>
    </row>
    <row r="3260" spans="1:17" x14ac:dyDescent="0.2">
      <c r="A3260" s="16">
        <f>P3260</f>
        <v>1800077</v>
      </c>
      <c r="B3260">
        <v>2018</v>
      </c>
      <c r="C3260" t="s">
        <v>904</v>
      </c>
      <c r="D3260" t="s">
        <v>906</v>
      </c>
      <c r="E3260" t="s">
        <v>4166</v>
      </c>
      <c r="F3260" t="s">
        <v>808</v>
      </c>
      <c r="G3260" t="s">
        <v>348</v>
      </c>
      <c r="H3260" s="6">
        <v>122729</v>
      </c>
      <c r="I3260" s="6">
        <v>5.2066192829482052E-4</v>
      </c>
      <c r="J3260" s="6">
        <v>2170.1189171328119</v>
      </c>
      <c r="K3260" s="6">
        <v>459</v>
      </c>
      <c r="M3260" s="6">
        <f>SUM(H3260,J3260)</f>
        <v>124899.11891713282</v>
      </c>
      <c r="N3260" s="6">
        <f>K3260</f>
        <v>459</v>
      </c>
      <c r="O3260" s="6">
        <f>SUM(M3260:N3260)</f>
        <v>125358.11891713282</v>
      </c>
      <c r="P3260" s="8">
        <f>VLOOKUP(F3260,'LEAID Match'!$A$2:$B$436,2,FALSE)</f>
        <v>1800077</v>
      </c>
      <c r="Q3260" s="6">
        <f>COUNTIF($P$2:$P$3691,P3260)</f>
        <v>9</v>
      </c>
    </row>
    <row r="3261" spans="1:17" x14ac:dyDescent="0.2">
      <c r="A3261" s="16">
        <f>P3261</f>
        <v>1800077</v>
      </c>
      <c r="B3261">
        <v>2019</v>
      </c>
      <c r="C3261" t="s">
        <v>904</v>
      </c>
      <c r="D3261" t="s">
        <v>906</v>
      </c>
      <c r="E3261" t="s">
        <v>4167</v>
      </c>
      <c r="F3261" t="s">
        <v>808</v>
      </c>
      <c r="G3261" t="s">
        <v>348</v>
      </c>
      <c r="H3261" s="6">
        <v>113766</v>
      </c>
      <c r="I3261" s="6">
        <v>2.8942008699805099E-4</v>
      </c>
      <c r="J3261" s="6">
        <v>1014.4174049281687</v>
      </c>
      <c r="K3261" s="6">
        <v>273183.62011746003</v>
      </c>
      <c r="M3261" s="6">
        <f>SUM(H3261,J3261)</f>
        <v>114780.41740492817</v>
      </c>
      <c r="N3261" s="6">
        <f>K3261</f>
        <v>273183.62011746003</v>
      </c>
      <c r="O3261" s="6">
        <f>SUM(M3261:N3261)</f>
        <v>387964.03752238821</v>
      </c>
      <c r="P3261" s="8">
        <f>VLOOKUP(F3261,'LEAID Match'!$A$2:$B$436,2,FALSE)</f>
        <v>1800077</v>
      </c>
      <c r="Q3261" s="6">
        <f>COUNTIF($P$2:$P$3691,P3261)</f>
        <v>9</v>
      </c>
    </row>
    <row r="3262" spans="1:17" x14ac:dyDescent="0.2">
      <c r="A3262" s="16">
        <f>P3262</f>
        <v>1800077</v>
      </c>
      <c r="B3262">
        <v>2020</v>
      </c>
      <c r="C3262" t="s">
        <v>904</v>
      </c>
      <c r="D3262" t="s">
        <v>906</v>
      </c>
      <c r="E3262" t="s">
        <v>4168</v>
      </c>
      <c r="F3262" t="s">
        <v>808</v>
      </c>
      <c r="G3262" t="s">
        <v>348</v>
      </c>
      <c r="H3262" s="6">
        <v>74543</v>
      </c>
      <c r="I3262" s="6">
        <v>3.9498156849823317E-4</v>
      </c>
      <c r="J3262" s="6">
        <v>930.5765753818373</v>
      </c>
      <c r="K3262" s="6">
        <v>486</v>
      </c>
      <c r="M3262" s="6">
        <f>SUM(H3262,J3262)</f>
        <v>75473.576575381841</v>
      </c>
      <c r="N3262" s="6">
        <f>K3262</f>
        <v>486</v>
      </c>
      <c r="O3262" s="6">
        <f>SUM(M3262:N3262)</f>
        <v>75959.576575381841</v>
      </c>
      <c r="P3262" s="8">
        <f>VLOOKUP(F3262,'LEAID Match'!$A$2:$B$436,2,FALSE)</f>
        <v>1800077</v>
      </c>
      <c r="Q3262" s="6">
        <f>COUNTIF($P$2:$P$3691,P3262)</f>
        <v>9</v>
      </c>
    </row>
    <row r="3263" spans="1:17" x14ac:dyDescent="0.2">
      <c r="A3263" s="16">
        <f>P3263</f>
        <v>1800077</v>
      </c>
      <c r="B3263">
        <v>2021</v>
      </c>
      <c r="C3263" t="s">
        <v>904</v>
      </c>
      <c r="D3263" t="s">
        <v>906</v>
      </c>
      <c r="E3263" t="s">
        <v>4169</v>
      </c>
      <c r="F3263" t="s">
        <v>808</v>
      </c>
      <c r="G3263" t="s">
        <v>348</v>
      </c>
      <c r="H3263" s="6">
        <v>72037</v>
      </c>
      <c r="I3263" s="6">
        <v>3.5586947936394467E-4</v>
      </c>
      <c r="J3263" s="6">
        <v>802.12980648633129</v>
      </c>
      <c r="K3263" s="6">
        <v>799</v>
      </c>
      <c r="M3263" s="6">
        <f>SUM(H3263,J3263)</f>
        <v>72839.129806486337</v>
      </c>
      <c r="N3263" s="6">
        <f>K3263</f>
        <v>799</v>
      </c>
      <c r="O3263" s="6">
        <f>SUM(M3263:N3263)</f>
        <v>73638.129806486337</v>
      </c>
      <c r="P3263" s="8">
        <f>VLOOKUP(F3263,'LEAID Match'!$A$2:$B$436,2,FALSE)</f>
        <v>1800077</v>
      </c>
      <c r="Q3263" s="6">
        <f>COUNTIF($P$2:$P$3691,P3263)</f>
        <v>9</v>
      </c>
    </row>
    <row r="3264" spans="1:17" x14ac:dyDescent="0.2">
      <c r="A3264" s="16">
        <f>P3264</f>
        <v>1800077</v>
      </c>
      <c r="B3264">
        <v>2022</v>
      </c>
      <c r="C3264" t="s">
        <v>904</v>
      </c>
      <c r="D3264" t="s">
        <v>906</v>
      </c>
      <c r="E3264" t="s">
        <v>4170</v>
      </c>
      <c r="F3264" t="s">
        <v>808</v>
      </c>
      <c r="G3264" t="s">
        <v>348</v>
      </c>
      <c r="H3264" s="6">
        <v>77334</v>
      </c>
      <c r="I3264" s="6">
        <v>3.6719620461171161E-4</v>
      </c>
      <c r="J3264" s="6">
        <v>809.66763116882407</v>
      </c>
      <c r="K3264" s="6">
        <v>775</v>
      </c>
      <c r="M3264" s="6">
        <f>SUM(H3264,J3264)</f>
        <v>78143.667631168821</v>
      </c>
      <c r="N3264" s="6">
        <f>K3264</f>
        <v>775</v>
      </c>
      <c r="O3264" s="6">
        <f>SUM(M3264:N3264)</f>
        <v>78918.667631168821</v>
      </c>
      <c r="P3264" s="8">
        <f>VLOOKUP(F3264,'LEAID Match'!$A$2:$B$436,2,FALSE)</f>
        <v>1800077</v>
      </c>
      <c r="Q3264" s="6">
        <f>COUNTIF($P$2:$P$3691,P3264)</f>
        <v>9</v>
      </c>
    </row>
    <row r="3265" spans="1:17" x14ac:dyDescent="0.2">
      <c r="A3265" s="16">
        <f>P3265</f>
        <v>1800077</v>
      </c>
      <c r="B3265">
        <v>2023</v>
      </c>
      <c r="C3265" t="s">
        <v>904</v>
      </c>
      <c r="D3265" t="s">
        <v>906</v>
      </c>
      <c r="E3265" t="s">
        <v>4171</v>
      </c>
      <c r="F3265" t="s">
        <v>808</v>
      </c>
      <c r="G3265" t="s">
        <v>348</v>
      </c>
      <c r="H3265" s="6">
        <v>90529</v>
      </c>
      <c r="I3265" s="6">
        <v>3.7021386861252976E-4</v>
      </c>
      <c r="J3265" s="6">
        <v>913.31761386711094</v>
      </c>
      <c r="K3265" s="6">
        <v>1694</v>
      </c>
      <c r="M3265" s="6">
        <f>SUM(H3265,J3265)</f>
        <v>91442.317613867112</v>
      </c>
      <c r="N3265" s="6">
        <f>K3265</f>
        <v>1694</v>
      </c>
      <c r="O3265" s="6">
        <f>SUM(M3265:N3265)</f>
        <v>93136.317613867112</v>
      </c>
      <c r="P3265" s="8">
        <f>VLOOKUP(F3265,'LEAID Match'!$A$2:$B$436,2,FALSE)</f>
        <v>1800077</v>
      </c>
      <c r="Q3265" s="6">
        <f>COUNTIF($P$2:$P$3691,P3265)</f>
        <v>9</v>
      </c>
    </row>
    <row r="3266" spans="1:17" x14ac:dyDescent="0.2">
      <c r="A3266" s="16">
        <f>P3266</f>
        <v>1800075</v>
      </c>
      <c r="B3266">
        <v>2015</v>
      </c>
      <c r="C3266" t="s">
        <v>904</v>
      </c>
      <c r="D3266" t="s">
        <v>906</v>
      </c>
      <c r="E3266" t="s">
        <v>4172</v>
      </c>
      <c r="F3266" t="s">
        <v>849</v>
      </c>
      <c r="G3266" t="s">
        <v>349</v>
      </c>
      <c r="H3266" s="6">
        <v>177</v>
      </c>
      <c r="I3266" s="6">
        <v>8.6069914932288997E-7</v>
      </c>
      <c r="J3266" s="6">
        <v>5.001522756715314</v>
      </c>
      <c r="K3266" s="6">
        <v>727.82097185382497</v>
      </c>
      <c r="M3266" s="6">
        <f>SUM(H3266,J3266)</f>
        <v>182.0015227567153</v>
      </c>
      <c r="N3266" s="6">
        <f>K3266</f>
        <v>727.82097185382497</v>
      </c>
      <c r="O3266" s="6">
        <f>SUM(M3266:N3266)</f>
        <v>909.82249461054028</v>
      </c>
      <c r="P3266" s="8">
        <f>VLOOKUP(F3266,'LEAID Match'!$A$2:$B$436,2,FALSE)</f>
        <v>1800075</v>
      </c>
      <c r="Q3266" s="6">
        <f>COUNTIF($P$2:$P$3691,P3266)</f>
        <v>9</v>
      </c>
    </row>
    <row r="3267" spans="1:17" x14ac:dyDescent="0.2">
      <c r="A3267" s="16">
        <f>P3267</f>
        <v>1800075</v>
      </c>
      <c r="B3267">
        <v>2016</v>
      </c>
      <c r="C3267" t="s">
        <v>904</v>
      </c>
      <c r="D3267" t="s">
        <v>906</v>
      </c>
      <c r="E3267" t="s">
        <v>4173</v>
      </c>
      <c r="F3267" t="s">
        <v>849</v>
      </c>
      <c r="G3267" t="s">
        <v>349</v>
      </c>
      <c r="H3267" s="6" t="s">
        <v>187</v>
      </c>
      <c r="I3267" s="6">
        <v>0</v>
      </c>
      <c r="J3267" s="6">
        <v>0</v>
      </c>
      <c r="K3267" s="6">
        <v>0</v>
      </c>
      <c r="M3267" s="6">
        <f>SUM(H3267,J3267)</f>
        <v>0</v>
      </c>
      <c r="N3267" s="6">
        <f>K3267</f>
        <v>0</v>
      </c>
      <c r="O3267" s="6">
        <f>SUM(M3267:N3267)</f>
        <v>0</v>
      </c>
      <c r="P3267" s="8">
        <f>VLOOKUP(F3267,'LEAID Match'!$A$2:$B$436,2,FALSE)</f>
        <v>1800075</v>
      </c>
      <c r="Q3267" s="6">
        <f>COUNTIF($P$2:$P$3691,P3267)</f>
        <v>9</v>
      </c>
    </row>
    <row r="3268" spans="1:17" x14ac:dyDescent="0.2">
      <c r="A3268" s="16">
        <f>P3268</f>
        <v>1800075</v>
      </c>
      <c r="B3268">
        <v>2017</v>
      </c>
      <c r="C3268" t="s">
        <v>904</v>
      </c>
      <c r="D3268" t="s">
        <v>906</v>
      </c>
      <c r="E3268" t="s">
        <v>4174</v>
      </c>
      <c r="F3268" t="s">
        <v>849</v>
      </c>
      <c r="G3268" t="s">
        <v>349</v>
      </c>
      <c r="H3268" s="6" t="s">
        <v>187</v>
      </c>
      <c r="I3268" s="6">
        <v>0</v>
      </c>
      <c r="J3268" s="6">
        <v>0</v>
      </c>
      <c r="K3268" s="6">
        <v>0</v>
      </c>
      <c r="M3268" s="6">
        <f>SUM(H3268,J3268)</f>
        <v>0</v>
      </c>
      <c r="N3268" s="6">
        <f>K3268</f>
        <v>0</v>
      </c>
      <c r="O3268" s="6">
        <f>SUM(M3268:N3268)</f>
        <v>0</v>
      </c>
      <c r="P3268" s="8">
        <f>VLOOKUP(F3268,'LEAID Match'!$A$2:$B$436,2,FALSE)</f>
        <v>1800075</v>
      </c>
      <c r="Q3268" s="6">
        <f>COUNTIF($P$2:$P$3691,P3268)</f>
        <v>9</v>
      </c>
    </row>
    <row r="3269" spans="1:17" x14ac:dyDescent="0.2">
      <c r="A3269" s="16">
        <f>P3269</f>
        <v>1800075</v>
      </c>
      <c r="B3269">
        <v>2018</v>
      </c>
      <c r="C3269" t="s">
        <v>904</v>
      </c>
      <c r="D3269" t="s">
        <v>906</v>
      </c>
      <c r="E3269" t="s">
        <v>4175</v>
      </c>
      <c r="F3269" t="s">
        <v>849</v>
      </c>
      <c r="G3269" t="s">
        <v>349</v>
      </c>
      <c r="H3269" s="6" t="s">
        <v>187</v>
      </c>
      <c r="I3269" s="6">
        <v>0</v>
      </c>
      <c r="J3269" s="6">
        <v>0</v>
      </c>
      <c r="K3269" s="6">
        <v>0</v>
      </c>
      <c r="M3269" s="6">
        <f>SUM(H3269,J3269)</f>
        <v>0</v>
      </c>
      <c r="N3269" s="6">
        <f>K3269</f>
        <v>0</v>
      </c>
      <c r="O3269" s="6">
        <f>SUM(M3269:N3269)</f>
        <v>0</v>
      </c>
      <c r="P3269" s="8">
        <f>VLOOKUP(F3269,'LEAID Match'!$A$2:$B$436,2,FALSE)</f>
        <v>1800075</v>
      </c>
      <c r="Q3269" s="6">
        <f>COUNTIF($P$2:$P$3691,P3269)</f>
        <v>9</v>
      </c>
    </row>
    <row r="3270" spans="1:17" x14ac:dyDescent="0.2">
      <c r="A3270" s="16">
        <f>P3270</f>
        <v>1800075</v>
      </c>
      <c r="B3270">
        <v>2019</v>
      </c>
      <c r="C3270" t="s">
        <v>904</v>
      </c>
      <c r="D3270" t="s">
        <v>906</v>
      </c>
      <c r="E3270" t="s">
        <v>4176</v>
      </c>
      <c r="F3270" t="s">
        <v>849</v>
      </c>
      <c r="G3270" t="s">
        <v>349</v>
      </c>
      <c r="H3270" s="6" t="s">
        <v>187</v>
      </c>
      <c r="I3270" s="6">
        <v>0</v>
      </c>
      <c r="J3270" s="6">
        <v>0</v>
      </c>
      <c r="K3270" s="6">
        <v>0</v>
      </c>
      <c r="M3270" s="6">
        <f>SUM(H3270,J3270)</f>
        <v>0</v>
      </c>
      <c r="N3270" s="6">
        <f>K3270</f>
        <v>0</v>
      </c>
      <c r="O3270" s="6">
        <f>SUM(M3270:N3270)</f>
        <v>0</v>
      </c>
      <c r="P3270" s="8">
        <f>VLOOKUP(F3270,'LEAID Match'!$A$2:$B$436,2,FALSE)</f>
        <v>1800075</v>
      </c>
      <c r="Q3270" s="6">
        <f>COUNTIF($P$2:$P$3691,P3270)</f>
        <v>9</v>
      </c>
    </row>
    <row r="3271" spans="1:17" x14ac:dyDescent="0.2">
      <c r="A3271" s="16">
        <f>P3271</f>
        <v>1800075</v>
      </c>
      <c r="B3271">
        <v>2020</v>
      </c>
      <c r="C3271" t="s">
        <v>904</v>
      </c>
      <c r="D3271" t="s">
        <v>906</v>
      </c>
      <c r="E3271" t="s">
        <v>4177</v>
      </c>
      <c r="F3271" t="s">
        <v>849</v>
      </c>
      <c r="G3271" t="s">
        <v>349</v>
      </c>
      <c r="H3271" s="6" t="s">
        <v>187</v>
      </c>
      <c r="I3271" s="6">
        <v>0</v>
      </c>
      <c r="J3271" s="6">
        <v>0</v>
      </c>
      <c r="K3271" s="6">
        <v>0</v>
      </c>
      <c r="M3271" s="6">
        <f>SUM(H3271,J3271)</f>
        <v>0</v>
      </c>
      <c r="N3271" s="6">
        <f>K3271</f>
        <v>0</v>
      </c>
      <c r="O3271" s="6">
        <f>SUM(M3271:N3271)</f>
        <v>0</v>
      </c>
      <c r="P3271" s="8">
        <f>VLOOKUP(F3271,'LEAID Match'!$A$2:$B$436,2,FALSE)</f>
        <v>1800075</v>
      </c>
      <c r="Q3271" s="6">
        <f>COUNTIF($P$2:$P$3691,P3271)</f>
        <v>9</v>
      </c>
    </row>
    <row r="3272" spans="1:17" x14ac:dyDescent="0.2">
      <c r="A3272" s="16">
        <f>P3272</f>
        <v>1800075</v>
      </c>
      <c r="B3272">
        <v>2021</v>
      </c>
      <c r="C3272" t="s">
        <v>904</v>
      </c>
      <c r="D3272" t="s">
        <v>906</v>
      </c>
      <c r="E3272" t="s">
        <v>4178</v>
      </c>
      <c r="F3272" t="s">
        <v>849</v>
      </c>
      <c r="G3272" t="s">
        <v>349</v>
      </c>
      <c r="H3272" s="6" t="s">
        <v>187</v>
      </c>
      <c r="I3272" s="6">
        <v>0</v>
      </c>
      <c r="J3272" s="6">
        <v>0</v>
      </c>
      <c r="K3272" s="6">
        <v>0</v>
      </c>
      <c r="M3272" s="6">
        <f>SUM(H3272,J3272)</f>
        <v>0</v>
      </c>
      <c r="N3272" s="6">
        <f>K3272</f>
        <v>0</v>
      </c>
      <c r="O3272" s="6">
        <f>SUM(M3272:N3272)</f>
        <v>0</v>
      </c>
      <c r="P3272" s="8">
        <f>VLOOKUP(F3272,'LEAID Match'!$A$2:$B$436,2,FALSE)</f>
        <v>1800075</v>
      </c>
      <c r="Q3272" s="6">
        <f>COUNTIF($P$2:$P$3691,P3272)</f>
        <v>9</v>
      </c>
    </row>
    <row r="3273" spans="1:17" x14ac:dyDescent="0.2">
      <c r="A3273" s="16">
        <f>P3273</f>
        <v>1800075</v>
      </c>
      <c r="B3273">
        <v>2022</v>
      </c>
      <c r="C3273" t="s">
        <v>904</v>
      </c>
      <c r="D3273" t="s">
        <v>906</v>
      </c>
      <c r="E3273" t="s">
        <v>4179</v>
      </c>
      <c r="F3273" t="s">
        <v>849</v>
      </c>
      <c r="G3273" t="s">
        <v>349</v>
      </c>
      <c r="H3273" s="6" t="s">
        <v>187</v>
      </c>
      <c r="I3273" s="6">
        <v>0</v>
      </c>
      <c r="J3273" s="6">
        <v>0</v>
      </c>
      <c r="K3273" s="6">
        <v>0</v>
      </c>
      <c r="M3273" s="6">
        <f>SUM(H3273,J3273)</f>
        <v>0</v>
      </c>
      <c r="N3273" s="6">
        <f>K3273</f>
        <v>0</v>
      </c>
      <c r="O3273" s="6">
        <f>SUM(M3273:N3273)</f>
        <v>0</v>
      </c>
      <c r="P3273" s="8">
        <f>VLOOKUP(F3273,'LEAID Match'!$A$2:$B$436,2,FALSE)</f>
        <v>1800075</v>
      </c>
      <c r="Q3273" s="6">
        <f>COUNTIF($P$2:$P$3691,P3273)</f>
        <v>9</v>
      </c>
    </row>
    <row r="3274" spans="1:17" x14ac:dyDescent="0.2">
      <c r="A3274" s="16">
        <f>P3274</f>
        <v>1800075</v>
      </c>
      <c r="B3274">
        <v>2023</v>
      </c>
      <c r="C3274" t="s">
        <v>904</v>
      </c>
      <c r="D3274" t="s">
        <v>906</v>
      </c>
      <c r="E3274" t="s">
        <v>4180</v>
      </c>
      <c r="F3274" t="s">
        <v>849</v>
      </c>
      <c r="G3274" t="s">
        <v>349</v>
      </c>
      <c r="H3274" s="6" t="s">
        <v>187</v>
      </c>
      <c r="I3274" s="6">
        <v>0</v>
      </c>
      <c r="J3274" s="6">
        <v>0</v>
      </c>
      <c r="K3274" s="6">
        <v>0</v>
      </c>
      <c r="M3274" s="6">
        <f>SUM(H3274,J3274)</f>
        <v>0</v>
      </c>
      <c r="N3274" s="6">
        <f>K3274</f>
        <v>0</v>
      </c>
      <c r="O3274" s="6">
        <f>SUM(M3274:N3274)</f>
        <v>0</v>
      </c>
      <c r="P3274" s="8">
        <f>VLOOKUP(F3274,'LEAID Match'!$A$2:$B$436,2,FALSE)</f>
        <v>1800075</v>
      </c>
      <c r="Q3274" s="6">
        <f>COUNTIF($P$2:$P$3691,P3274)</f>
        <v>9</v>
      </c>
    </row>
    <row r="3275" spans="1:17" x14ac:dyDescent="0.2">
      <c r="A3275" s="16">
        <f>P3275</f>
        <v>1800087</v>
      </c>
      <c r="B3275">
        <v>2015</v>
      </c>
      <c r="C3275" t="s">
        <v>904</v>
      </c>
      <c r="D3275" t="s">
        <v>906</v>
      </c>
      <c r="E3275" t="s">
        <v>4181</v>
      </c>
      <c r="F3275" t="s">
        <v>809</v>
      </c>
      <c r="G3275" t="s">
        <v>350</v>
      </c>
      <c r="H3275" s="6">
        <v>64073</v>
      </c>
      <c r="I3275" s="6">
        <v>3.1156822934782781E-4</v>
      </c>
      <c r="J3275" s="6">
        <v>1810.5229807402275</v>
      </c>
      <c r="K3275" s="6">
        <v>263467.07982819201</v>
      </c>
      <c r="M3275" s="6">
        <f>SUM(H3275,J3275)</f>
        <v>65883.522980740221</v>
      </c>
      <c r="N3275" s="6">
        <f>K3275</f>
        <v>263467.07982819201</v>
      </c>
      <c r="O3275" s="6">
        <f>SUM(M3275:N3275)</f>
        <v>329350.60280893225</v>
      </c>
      <c r="P3275" s="8">
        <f>VLOOKUP(F3275,'LEAID Match'!$A$2:$B$436,2,FALSE)</f>
        <v>1800087</v>
      </c>
      <c r="Q3275" s="6">
        <f>COUNTIF($P$2:$P$3691,P3275)</f>
        <v>9</v>
      </c>
    </row>
    <row r="3276" spans="1:17" x14ac:dyDescent="0.2">
      <c r="A3276" s="16">
        <f>P3276</f>
        <v>1800087</v>
      </c>
      <c r="B3276">
        <v>2016</v>
      </c>
      <c r="C3276" t="s">
        <v>904</v>
      </c>
      <c r="D3276" t="s">
        <v>906</v>
      </c>
      <c r="E3276" t="s">
        <v>4182</v>
      </c>
      <c r="F3276" t="s">
        <v>809</v>
      </c>
      <c r="G3276" t="s">
        <v>350</v>
      </c>
      <c r="H3276" s="6">
        <v>53960</v>
      </c>
      <c r="I3276" s="6">
        <v>2.5038102716514891E-4</v>
      </c>
      <c r="J3276" s="6">
        <v>1263.9234251296716</v>
      </c>
      <c r="K3276" s="6">
        <v>222213.16160906901</v>
      </c>
      <c r="M3276" s="6">
        <f>SUM(H3276,J3276)</f>
        <v>55223.923425129673</v>
      </c>
      <c r="N3276" s="6">
        <f>K3276</f>
        <v>222213.16160906901</v>
      </c>
      <c r="O3276" s="6">
        <f>SUM(M3276:N3276)</f>
        <v>277437.08503419871</v>
      </c>
      <c r="P3276" s="8">
        <f>VLOOKUP(F3276,'LEAID Match'!$A$2:$B$436,2,FALSE)</f>
        <v>1800087</v>
      </c>
      <c r="Q3276" s="6">
        <f>COUNTIF($P$2:$P$3691,P3276)</f>
        <v>9</v>
      </c>
    </row>
    <row r="3277" spans="1:17" x14ac:dyDescent="0.2">
      <c r="A3277" s="16">
        <f>P3277</f>
        <v>1800087</v>
      </c>
      <c r="B3277">
        <v>2017</v>
      </c>
      <c r="C3277" t="s">
        <v>904</v>
      </c>
      <c r="D3277" t="s">
        <v>906</v>
      </c>
      <c r="E3277" t="s">
        <v>4183</v>
      </c>
      <c r="F3277" t="s">
        <v>809</v>
      </c>
      <c r="G3277" t="s">
        <v>350</v>
      </c>
      <c r="H3277" s="6">
        <v>41287</v>
      </c>
      <c r="I3277" s="6">
        <v>1.818043238305644E-4</v>
      </c>
      <c r="J3277" s="6">
        <v>822.66456533330393</v>
      </c>
      <c r="K3277" s="6">
        <v>158351.566056421</v>
      </c>
      <c r="M3277" s="6">
        <f>SUM(H3277,J3277)</f>
        <v>42109.664565333303</v>
      </c>
      <c r="N3277" s="6">
        <f>K3277</f>
        <v>158351.566056421</v>
      </c>
      <c r="O3277" s="6">
        <f>SUM(M3277:N3277)</f>
        <v>200461.23062175431</v>
      </c>
      <c r="P3277" s="8">
        <f>VLOOKUP(F3277,'LEAID Match'!$A$2:$B$436,2,FALSE)</f>
        <v>1800087</v>
      </c>
      <c r="Q3277" s="6">
        <f>COUNTIF($P$2:$P$3691,P3277)</f>
        <v>9</v>
      </c>
    </row>
    <row r="3278" spans="1:17" x14ac:dyDescent="0.2">
      <c r="A3278" s="16">
        <f>P3278</f>
        <v>1800087</v>
      </c>
      <c r="B3278">
        <v>2018</v>
      </c>
      <c r="C3278" t="s">
        <v>904</v>
      </c>
      <c r="D3278" t="s">
        <v>906</v>
      </c>
      <c r="E3278" t="s">
        <v>4184</v>
      </c>
      <c r="F3278" t="s">
        <v>809</v>
      </c>
      <c r="G3278" t="s">
        <v>350</v>
      </c>
      <c r="H3278" s="6">
        <v>38719</v>
      </c>
      <c r="I3278" s="6">
        <v>1.6426035575656248E-4</v>
      </c>
      <c r="J3278" s="6">
        <v>684.63716279335245</v>
      </c>
      <c r="K3278" s="6" t="s">
        <v>187</v>
      </c>
      <c r="M3278" s="6">
        <f>SUM(H3278,J3278)</f>
        <v>39403.637162793355</v>
      </c>
      <c r="N3278" s="6" t="str">
        <f>K3278</f>
        <v>-</v>
      </c>
      <c r="O3278" s="6">
        <f>SUM(M3278:N3278)</f>
        <v>39403.637162793355</v>
      </c>
      <c r="P3278" s="8">
        <f>VLOOKUP(F3278,'LEAID Match'!$A$2:$B$436,2,FALSE)</f>
        <v>1800087</v>
      </c>
      <c r="Q3278" s="6">
        <f>COUNTIF($P$2:$P$3691,P3278)</f>
        <v>9</v>
      </c>
    </row>
    <row r="3279" spans="1:17" x14ac:dyDescent="0.2">
      <c r="A3279" s="16">
        <f>P3279</f>
        <v>1800087</v>
      </c>
      <c r="B3279">
        <v>2019</v>
      </c>
      <c r="C3279" t="s">
        <v>904</v>
      </c>
      <c r="D3279" t="s">
        <v>906</v>
      </c>
      <c r="E3279" t="s">
        <v>4185</v>
      </c>
      <c r="F3279" t="s">
        <v>809</v>
      </c>
      <c r="G3279" t="s">
        <v>350</v>
      </c>
      <c r="H3279" s="6">
        <v>2907</v>
      </c>
      <c r="I3279" s="6">
        <v>7.3953922340886936E-6</v>
      </c>
      <c r="J3279" s="6">
        <v>25.920849780480872</v>
      </c>
      <c r="K3279" s="6">
        <v>6980.51072975631</v>
      </c>
      <c r="M3279" s="6">
        <f>SUM(H3279,J3279)</f>
        <v>2932.9208497804807</v>
      </c>
      <c r="N3279" s="6">
        <f>K3279</f>
        <v>6980.51072975631</v>
      </c>
      <c r="O3279" s="6">
        <f>SUM(M3279:N3279)</f>
        <v>9913.4315795367911</v>
      </c>
      <c r="P3279" s="8">
        <f>VLOOKUP(F3279,'LEAID Match'!$A$2:$B$436,2,FALSE)</f>
        <v>1800087</v>
      </c>
      <c r="Q3279" s="6">
        <f>COUNTIF($P$2:$P$3691,P3279)</f>
        <v>9</v>
      </c>
    </row>
    <row r="3280" spans="1:17" x14ac:dyDescent="0.2">
      <c r="A3280" s="16">
        <f>P3280</f>
        <v>1800087</v>
      </c>
      <c r="B3280">
        <v>2020</v>
      </c>
      <c r="C3280" t="s">
        <v>904</v>
      </c>
      <c r="D3280" t="s">
        <v>906</v>
      </c>
      <c r="E3280" t="s">
        <v>4186</v>
      </c>
      <c r="F3280" t="s">
        <v>809</v>
      </c>
      <c r="G3280" t="s">
        <v>350</v>
      </c>
      <c r="H3280" s="6" t="s">
        <v>187</v>
      </c>
      <c r="I3280" s="6">
        <v>0</v>
      </c>
      <c r="J3280" s="6">
        <v>0</v>
      </c>
      <c r="K3280" s="6">
        <v>0</v>
      </c>
      <c r="M3280" s="6">
        <f>SUM(H3280,J3280)</f>
        <v>0</v>
      </c>
      <c r="N3280" s="6">
        <f>K3280</f>
        <v>0</v>
      </c>
      <c r="O3280" s="6">
        <f>SUM(M3280:N3280)</f>
        <v>0</v>
      </c>
      <c r="P3280" s="8">
        <f>VLOOKUP(F3280,'LEAID Match'!$A$2:$B$436,2,FALSE)</f>
        <v>1800087</v>
      </c>
      <c r="Q3280" s="6">
        <f>COUNTIF($P$2:$P$3691,P3280)</f>
        <v>9</v>
      </c>
    </row>
    <row r="3281" spans="1:17" x14ac:dyDescent="0.2">
      <c r="A3281" s="16">
        <f>P3281</f>
        <v>1800087</v>
      </c>
      <c r="B3281">
        <v>2021</v>
      </c>
      <c r="C3281" t="s">
        <v>904</v>
      </c>
      <c r="D3281" t="s">
        <v>906</v>
      </c>
      <c r="E3281" t="s">
        <v>4187</v>
      </c>
      <c r="F3281" t="s">
        <v>809</v>
      </c>
      <c r="G3281" t="s">
        <v>350</v>
      </c>
      <c r="H3281" s="6" t="s">
        <v>187</v>
      </c>
      <c r="I3281" s="6">
        <v>0</v>
      </c>
      <c r="J3281" s="6">
        <v>0</v>
      </c>
      <c r="K3281" s="6">
        <v>0</v>
      </c>
      <c r="M3281" s="6">
        <f>SUM(H3281,J3281)</f>
        <v>0</v>
      </c>
      <c r="N3281" s="6">
        <f>K3281</f>
        <v>0</v>
      </c>
      <c r="O3281" s="6">
        <f>SUM(M3281:N3281)</f>
        <v>0</v>
      </c>
      <c r="P3281" s="8">
        <f>VLOOKUP(F3281,'LEAID Match'!$A$2:$B$436,2,FALSE)</f>
        <v>1800087</v>
      </c>
      <c r="Q3281" s="6">
        <f>COUNTIF($P$2:$P$3691,P3281)</f>
        <v>9</v>
      </c>
    </row>
    <row r="3282" spans="1:17" x14ac:dyDescent="0.2">
      <c r="A3282" s="16">
        <f>P3282</f>
        <v>1800087</v>
      </c>
      <c r="B3282">
        <v>2022</v>
      </c>
      <c r="C3282" t="s">
        <v>904</v>
      </c>
      <c r="D3282" t="s">
        <v>906</v>
      </c>
      <c r="E3282" t="s">
        <v>4188</v>
      </c>
      <c r="F3282" t="s">
        <v>809</v>
      </c>
      <c r="G3282" t="s">
        <v>350</v>
      </c>
      <c r="H3282" s="6" t="s">
        <v>187</v>
      </c>
      <c r="I3282" s="6">
        <v>0</v>
      </c>
      <c r="J3282" s="6">
        <v>0</v>
      </c>
      <c r="K3282" s="6">
        <v>0</v>
      </c>
      <c r="M3282" s="6">
        <f>SUM(H3282,J3282)</f>
        <v>0</v>
      </c>
      <c r="N3282" s="6">
        <f>K3282</f>
        <v>0</v>
      </c>
      <c r="O3282" s="6">
        <f>SUM(M3282:N3282)</f>
        <v>0</v>
      </c>
      <c r="P3282" s="8">
        <f>VLOOKUP(F3282,'LEAID Match'!$A$2:$B$436,2,FALSE)</f>
        <v>1800087</v>
      </c>
      <c r="Q3282" s="6">
        <f>COUNTIF($P$2:$P$3691,P3282)</f>
        <v>9</v>
      </c>
    </row>
    <row r="3283" spans="1:17" x14ac:dyDescent="0.2">
      <c r="A3283" s="16">
        <f>P3283</f>
        <v>1800087</v>
      </c>
      <c r="B3283">
        <v>2023</v>
      </c>
      <c r="C3283" t="s">
        <v>904</v>
      </c>
      <c r="D3283" t="s">
        <v>906</v>
      </c>
      <c r="E3283" t="s">
        <v>4189</v>
      </c>
      <c r="F3283" t="s">
        <v>809</v>
      </c>
      <c r="G3283" t="s">
        <v>350</v>
      </c>
      <c r="H3283" s="6" t="s">
        <v>187</v>
      </c>
      <c r="I3283" s="6">
        <v>0</v>
      </c>
      <c r="J3283" s="6">
        <v>0</v>
      </c>
      <c r="K3283" s="6">
        <v>0</v>
      </c>
      <c r="M3283" s="6">
        <f>SUM(H3283,J3283)</f>
        <v>0</v>
      </c>
      <c r="N3283" s="6">
        <f>K3283</f>
        <v>0</v>
      </c>
      <c r="O3283" s="6">
        <f>SUM(M3283:N3283)</f>
        <v>0</v>
      </c>
      <c r="P3283" s="8">
        <f>VLOOKUP(F3283,'LEAID Match'!$A$2:$B$436,2,FALSE)</f>
        <v>1800087</v>
      </c>
      <c r="Q3283" s="6">
        <f>COUNTIF($P$2:$P$3691,P3283)</f>
        <v>9</v>
      </c>
    </row>
    <row r="3284" spans="1:17" x14ac:dyDescent="0.2">
      <c r="A3284" s="16">
        <f>P3284</f>
        <v>1800085</v>
      </c>
      <c r="B3284">
        <v>2015</v>
      </c>
      <c r="C3284" t="s">
        <v>904</v>
      </c>
      <c r="D3284" t="s">
        <v>906</v>
      </c>
      <c r="E3284" t="s">
        <v>4190</v>
      </c>
      <c r="F3284" t="s">
        <v>850</v>
      </c>
      <c r="G3284" t="s">
        <v>351</v>
      </c>
      <c r="H3284" s="6" t="s">
        <v>187</v>
      </c>
      <c r="I3284" s="6">
        <v>0</v>
      </c>
      <c r="J3284" s="6">
        <v>0</v>
      </c>
      <c r="K3284" s="6">
        <v>0</v>
      </c>
      <c r="M3284" s="6">
        <f>SUM(H3284,J3284)</f>
        <v>0</v>
      </c>
      <c r="N3284" s="6">
        <f>K3284</f>
        <v>0</v>
      </c>
      <c r="O3284" s="6">
        <f>SUM(M3284:N3284)</f>
        <v>0</v>
      </c>
      <c r="P3284" s="8">
        <f>VLOOKUP(F3284,'LEAID Match'!$A$2:$B$436,2,FALSE)</f>
        <v>1800085</v>
      </c>
      <c r="Q3284" s="6">
        <f>COUNTIF($P$2:$P$3691,P3284)</f>
        <v>9</v>
      </c>
    </row>
    <row r="3285" spans="1:17" x14ac:dyDescent="0.2">
      <c r="A3285" s="16">
        <f>P3285</f>
        <v>1800085</v>
      </c>
      <c r="B3285">
        <v>2016</v>
      </c>
      <c r="C3285" t="s">
        <v>904</v>
      </c>
      <c r="D3285" t="s">
        <v>906</v>
      </c>
      <c r="E3285" t="s">
        <v>4191</v>
      </c>
      <c r="F3285" t="s">
        <v>850</v>
      </c>
      <c r="G3285" t="s">
        <v>351</v>
      </c>
      <c r="H3285" s="6" t="s">
        <v>187</v>
      </c>
      <c r="I3285" s="6">
        <v>0</v>
      </c>
      <c r="J3285" s="6">
        <v>0</v>
      </c>
      <c r="K3285" s="6">
        <v>0</v>
      </c>
      <c r="M3285" s="6">
        <f>SUM(H3285,J3285)</f>
        <v>0</v>
      </c>
      <c r="N3285" s="6">
        <f>K3285</f>
        <v>0</v>
      </c>
      <c r="O3285" s="6">
        <f>SUM(M3285:N3285)</f>
        <v>0</v>
      </c>
      <c r="P3285" s="8">
        <f>VLOOKUP(F3285,'LEAID Match'!$A$2:$B$436,2,FALSE)</f>
        <v>1800085</v>
      </c>
      <c r="Q3285" s="6">
        <f>COUNTIF($P$2:$P$3691,P3285)</f>
        <v>9</v>
      </c>
    </row>
    <row r="3286" spans="1:17" x14ac:dyDescent="0.2">
      <c r="A3286" s="16">
        <f>P3286</f>
        <v>1800085</v>
      </c>
      <c r="B3286">
        <v>2017</v>
      </c>
      <c r="C3286" t="s">
        <v>904</v>
      </c>
      <c r="D3286" t="s">
        <v>906</v>
      </c>
      <c r="E3286" t="s">
        <v>4192</v>
      </c>
      <c r="F3286" t="s">
        <v>850</v>
      </c>
      <c r="G3286" t="s">
        <v>351</v>
      </c>
      <c r="H3286" s="6" t="s">
        <v>187</v>
      </c>
      <c r="I3286" s="6">
        <v>0</v>
      </c>
      <c r="J3286" s="6">
        <v>0</v>
      </c>
      <c r="K3286" s="6">
        <v>0</v>
      </c>
      <c r="M3286" s="6">
        <f>SUM(H3286,J3286)</f>
        <v>0</v>
      </c>
      <c r="N3286" s="6">
        <f>K3286</f>
        <v>0</v>
      </c>
      <c r="O3286" s="6">
        <f>SUM(M3286:N3286)</f>
        <v>0</v>
      </c>
      <c r="P3286" s="8">
        <f>VLOOKUP(F3286,'LEAID Match'!$A$2:$B$436,2,FALSE)</f>
        <v>1800085</v>
      </c>
      <c r="Q3286" s="6">
        <f>COUNTIF($P$2:$P$3691,P3286)</f>
        <v>9</v>
      </c>
    </row>
    <row r="3287" spans="1:17" x14ac:dyDescent="0.2">
      <c r="A3287" s="16">
        <f>P3287</f>
        <v>1800085</v>
      </c>
      <c r="B3287">
        <v>2018</v>
      </c>
      <c r="C3287" t="s">
        <v>904</v>
      </c>
      <c r="D3287" t="s">
        <v>906</v>
      </c>
      <c r="E3287" t="s">
        <v>4193</v>
      </c>
      <c r="F3287" t="s">
        <v>850</v>
      </c>
      <c r="G3287" t="s">
        <v>351</v>
      </c>
      <c r="H3287" s="6" t="s">
        <v>187</v>
      </c>
      <c r="I3287" s="6">
        <v>0</v>
      </c>
      <c r="J3287" s="6">
        <v>0</v>
      </c>
      <c r="K3287" s="6">
        <v>0</v>
      </c>
      <c r="M3287" s="6">
        <f>SUM(H3287,J3287)</f>
        <v>0</v>
      </c>
      <c r="N3287" s="6">
        <f>K3287</f>
        <v>0</v>
      </c>
      <c r="O3287" s="6">
        <f>SUM(M3287:N3287)</f>
        <v>0</v>
      </c>
      <c r="P3287" s="8">
        <f>VLOOKUP(F3287,'LEAID Match'!$A$2:$B$436,2,FALSE)</f>
        <v>1800085</v>
      </c>
      <c r="Q3287" s="6">
        <f>COUNTIF($P$2:$P$3691,P3287)</f>
        <v>9</v>
      </c>
    </row>
    <row r="3288" spans="1:17" x14ac:dyDescent="0.2">
      <c r="A3288" s="16">
        <f>P3288</f>
        <v>1800085</v>
      </c>
      <c r="B3288">
        <v>2019</v>
      </c>
      <c r="C3288" t="s">
        <v>904</v>
      </c>
      <c r="D3288" t="s">
        <v>906</v>
      </c>
      <c r="E3288" t="s">
        <v>4194</v>
      </c>
      <c r="F3288" t="s">
        <v>850</v>
      </c>
      <c r="G3288" t="s">
        <v>351</v>
      </c>
      <c r="H3288" s="6" t="s">
        <v>187</v>
      </c>
      <c r="I3288" s="6">
        <v>0</v>
      </c>
      <c r="J3288" s="6">
        <v>0</v>
      </c>
      <c r="K3288" s="6">
        <v>0</v>
      </c>
      <c r="M3288" s="6">
        <f>SUM(H3288,J3288)</f>
        <v>0</v>
      </c>
      <c r="N3288" s="6">
        <f>K3288</f>
        <v>0</v>
      </c>
      <c r="O3288" s="6">
        <f>SUM(M3288:N3288)</f>
        <v>0</v>
      </c>
      <c r="P3288" s="8">
        <f>VLOOKUP(F3288,'LEAID Match'!$A$2:$B$436,2,FALSE)</f>
        <v>1800085</v>
      </c>
      <c r="Q3288" s="6">
        <f>COUNTIF($P$2:$P$3691,P3288)</f>
        <v>9</v>
      </c>
    </row>
    <row r="3289" spans="1:17" x14ac:dyDescent="0.2">
      <c r="A3289" s="16">
        <f>P3289</f>
        <v>1800085</v>
      </c>
      <c r="B3289">
        <v>2020</v>
      </c>
      <c r="C3289" t="s">
        <v>904</v>
      </c>
      <c r="D3289" t="s">
        <v>906</v>
      </c>
      <c r="E3289" t="s">
        <v>4195</v>
      </c>
      <c r="F3289" t="s">
        <v>850</v>
      </c>
      <c r="G3289" t="s">
        <v>351</v>
      </c>
      <c r="H3289" s="6" t="s">
        <v>187</v>
      </c>
      <c r="I3289" s="6">
        <v>0</v>
      </c>
      <c r="J3289" s="6">
        <v>0</v>
      </c>
      <c r="K3289" s="6">
        <v>0</v>
      </c>
      <c r="M3289" s="6">
        <f>SUM(H3289,J3289)</f>
        <v>0</v>
      </c>
      <c r="N3289" s="6">
        <f>K3289</f>
        <v>0</v>
      </c>
      <c r="O3289" s="6">
        <f>SUM(M3289:N3289)</f>
        <v>0</v>
      </c>
      <c r="P3289" s="8">
        <f>VLOOKUP(F3289,'LEAID Match'!$A$2:$B$436,2,FALSE)</f>
        <v>1800085</v>
      </c>
      <c r="Q3289" s="6">
        <f>COUNTIF($P$2:$P$3691,P3289)</f>
        <v>9</v>
      </c>
    </row>
    <row r="3290" spans="1:17" x14ac:dyDescent="0.2">
      <c r="A3290" s="16">
        <f>P3290</f>
        <v>1800085</v>
      </c>
      <c r="B3290">
        <v>2021</v>
      </c>
      <c r="C3290" t="s">
        <v>904</v>
      </c>
      <c r="D3290" t="s">
        <v>906</v>
      </c>
      <c r="E3290" t="s">
        <v>4196</v>
      </c>
      <c r="F3290" t="s">
        <v>850</v>
      </c>
      <c r="G3290" t="s">
        <v>351</v>
      </c>
      <c r="H3290" s="6" t="s">
        <v>187</v>
      </c>
      <c r="I3290" s="6">
        <v>0</v>
      </c>
      <c r="J3290" s="6">
        <v>0</v>
      </c>
      <c r="K3290" s="6">
        <v>0</v>
      </c>
      <c r="M3290" s="6">
        <f>SUM(H3290,J3290)</f>
        <v>0</v>
      </c>
      <c r="N3290" s="6">
        <f>K3290</f>
        <v>0</v>
      </c>
      <c r="O3290" s="6">
        <f>SUM(M3290:N3290)</f>
        <v>0</v>
      </c>
      <c r="P3290" s="8">
        <f>VLOOKUP(F3290,'LEAID Match'!$A$2:$B$436,2,FALSE)</f>
        <v>1800085</v>
      </c>
      <c r="Q3290" s="6">
        <f>COUNTIF($P$2:$P$3691,P3290)</f>
        <v>9</v>
      </c>
    </row>
    <row r="3291" spans="1:17" x14ac:dyDescent="0.2">
      <c r="A3291" s="16">
        <f>P3291</f>
        <v>1800085</v>
      </c>
      <c r="B3291">
        <v>2022</v>
      </c>
      <c r="C3291" t="s">
        <v>904</v>
      </c>
      <c r="D3291" t="s">
        <v>906</v>
      </c>
      <c r="E3291" t="s">
        <v>4197</v>
      </c>
      <c r="F3291" t="s">
        <v>850</v>
      </c>
      <c r="G3291" t="s">
        <v>351</v>
      </c>
      <c r="H3291" s="6" t="s">
        <v>187</v>
      </c>
      <c r="I3291" s="6">
        <v>0</v>
      </c>
      <c r="J3291" s="6">
        <v>0</v>
      </c>
      <c r="K3291" s="6">
        <v>0</v>
      </c>
      <c r="M3291" s="6">
        <f>SUM(H3291,J3291)</f>
        <v>0</v>
      </c>
      <c r="N3291" s="6">
        <f>K3291</f>
        <v>0</v>
      </c>
      <c r="O3291" s="6">
        <f>SUM(M3291:N3291)</f>
        <v>0</v>
      </c>
      <c r="P3291" s="8">
        <f>VLOOKUP(F3291,'LEAID Match'!$A$2:$B$436,2,FALSE)</f>
        <v>1800085</v>
      </c>
      <c r="Q3291" s="6">
        <f>COUNTIF($P$2:$P$3691,P3291)</f>
        <v>9</v>
      </c>
    </row>
    <row r="3292" spans="1:17" x14ac:dyDescent="0.2">
      <c r="A3292" s="16">
        <f>P3292</f>
        <v>1800085</v>
      </c>
      <c r="B3292">
        <v>2023</v>
      </c>
      <c r="C3292" t="s">
        <v>904</v>
      </c>
      <c r="D3292" t="s">
        <v>906</v>
      </c>
      <c r="E3292" t="s">
        <v>4198</v>
      </c>
      <c r="F3292" t="s">
        <v>850</v>
      </c>
      <c r="G3292" t="s">
        <v>351</v>
      </c>
      <c r="H3292" s="6" t="s">
        <v>187</v>
      </c>
      <c r="I3292" s="6">
        <v>0</v>
      </c>
      <c r="J3292" s="6">
        <v>0</v>
      </c>
      <c r="K3292" s="6">
        <v>0</v>
      </c>
      <c r="M3292" s="6">
        <f>SUM(H3292,J3292)</f>
        <v>0</v>
      </c>
      <c r="N3292" s="6">
        <f>K3292</f>
        <v>0</v>
      </c>
      <c r="O3292" s="6">
        <f>SUM(M3292:N3292)</f>
        <v>0</v>
      </c>
      <c r="P3292" s="8">
        <f>VLOOKUP(F3292,'LEAID Match'!$A$2:$B$436,2,FALSE)</f>
        <v>1800085</v>
      </c>
      <c r="Q3292" s="6">
        <f>COUNTIF($P$2:$P$3691,P3292)</f>
        <v>9</v>
      </c>
    </row>
    <row r="3293" spans="1:17" x14ac:dyDescent="0.2">
      <c r="A3293" s="16">
        <f>P3293</f>
        <v>1800083</v>
      </c>
      <c r="B3293">
        <v>2015</v>
      </c>
      <c r="C3293" t="s">
        <v>904</v>
      </c>
      <c r="D3293" t="s">
        <v>906</v>
      </c>
      <c r="E3293" t="s">
        <v>4199</v>
      </c>
      <c r="F3293" t="s">
        <v>810</v>
      </c>
      <c r="G3293" t="s">
        <v>352</v>
      </c>
      <c r="H3293" s="6">
        <v>20736</v>
      </c>
      <c r="I3293" s="6">
        <v>1.008330935613528E-4</v>
      </c>
      <c r="J3293" s="6">
        <v>585.94110668502117</v>
      </c>
      <c r="K3293" s="6">
        <v>85266.077244976899</v>
      </c>
      <c r="M3293" s="6">
        <f>SUM(H3293,J3293)</f>
        <v>21321.941106685023</v>
      </c>
      <c r="N3293" s="6">
        <f>K3293</f>
        <v>85266.077244976899</v>
      </c>
      <c r="O3293" s="6">
        <f>SUM(M3293:N3293)</f>
        <v>106588.01835166191</v>
      </c>
      <c r="P3293" s="8">
        <f>VLOOKUP(F3293,'LEAID Match'!$A$2:$B$436,2,FALSE)</f>
        <v>1800083</v>
      </c>
      <c r="Q3293" s="6">
        <f>COUNTIF($P$2:$P$3691,P3293)</f>
        <v>9</v>
      </c>
    </row>
    <row r="3294" spans="1:17" x14ac:dyDescent="0.2">
      <c r="A3294" s="16">
        <f>P3294</f>
        <v>1800083</v>
      </c>
      <c r="B3294">
        <v>2016</v>
      </c>
      <c r="C3294" t="s">
        <v>904</v>
      </c>
      <c r="D3294" t="s">
        <v>906</v>
      </c>
      <c r="E3294" t="s">
        <v>4200</v>
      </c>
      <c r="F3294" t="s">
        <v>810</v>
      </c>
      <c r="G3294" t="s">
        <v>352</v>
      </c>
      <c r="H3294" s="6">
        <v>20041</v>
      </c>
      <c r="I3294" s="6">
        <v>9.2992701360577275E-5</v>
      </c>
      <c r="J3294" s="6">
        <v>469.42715646819408</v>
      </c>
      <c r="K3294" s="6">
        <v>82531.022457512299</v>
      </c>
      <c r="M3294" s="6">
        <f>SUM(H3294,J3294)</f>
        <v>20510.427156468195</v>
      </c>
      <c r="N3294" s="6">
        <f>K3294</f>
        <v>82531.022457512299</v>
      </c>
      <c r="O3294" s="6">
        <f>SUM(M3294:N3294)</f>
        <v>103041.4496139805</v>
      </c>
      <c r="P3294" s="8">
        <f>VLOOKUP(F3294,'LEAID Match'!$A$2:$B$436,2,FALSE)</f>
        <v>1800083</v>
      </c>
      <c r="Q3294" s="6">
        <f>COUNTIF($P$2:$P$3691,P3294)</f>
        <v>9</v>
      </c>
    </row>
    <row r="3295" spans="1:17" x14ac:dyDescent="0.2">
      <c r="A3295" s="16">
        <f>P3295</f>
        <v>1800083</v>
      </c>
      <c r="B3295">
        <v>2017</v>
      </c>
      <c r="C3295" t="s">
        <v>904</v>
      </c>
      <c r="D3295" t="s">
        <v>906</v>
      </c>
      <c r="E3295" t="s">
        <v>4201</v>
      </c>
      <c r="F3295" t="s">
        <v>810</v>
      </c>
      <c r="G3295" t="s">
        <v>352</v>
      </c>
      <c r="H3295" s="6">
        <v>21997</v>
      </c>
      <c r="I3295" s="6">
        <v>9.6862201450842277E-5</v>
      </c>
      <c r="J3295" s="6">
        <v>438.30146156506129</v>
      </c>
      <c r="K3295" s="6">
        <v>84366.977463683594</v>
      </c>
      <c r="M3295" s="6">
        <f>SUM(H3295,J3295)</f>
        <v>22435.301461565061</v>
      </c>
      <c r="N3295" s="6">
        <f>K3295</f>
        <v>84366.977463683594</v>
      </c>
      <c r="O3295" s="6">
        <f>SUM(M3295:N3295)</f>
        <v>106802.27892524865</v>
      </c>
      <c r="P3295" s="8">
        <f>VLOOKUP(F3295,'LEAID Match'!$A$2:$B$436,2,FALSE)</f>
        <v>1800083</v>
      </c>
      <c r="Q3295" s="6">
        <f>COUNTIF($P$2:$P$3691,P3295)</f>
        <v>9</v>
      </c>
    </row>
    <row r="3296" spans="1:17" x14ac:dyDescent="0.2">
      <c r="A3296" s="16">
        <f>P3296</f>
        <v>1800083</v>
      </c>
      <c r="B3296">
        <v>2018</v>
      </c>
      <c r="C3296" t="s">
        <v>904</v>
      </c>
      <c r="D3296" t="s">
        <v>906</v>
      </c>
      <c r="E3296" t="s">
        <v>4202</v>
      </c>
      <c r="F3296" t="s">
        <v>810</v>
      </c>
      <c r="G3296" t="s">
        <v>352</v>
      </c>
      <c r="H3296" s="6">
        <v>22553</v>
      </c>
      <c r="I3296" s="6">
        <v>9.567818909005278E-5</v>
      </c>
      <c r="J3296" s="6">
        <v>398.78669212733996</v>
      </c>
      <c r="K3296" s="6">
        <v>36165</v>
      </c>
      <c r="M3296" s="6">
        <f>SUM(H3296,J3296)</f>
        <v>22951.786692127342</v>
      </c>
      <c r="N3296" s="6">
        <f>K3296</f>
        <v>36165</v>
      </c>
      <c r="O3296" s="6">
        <f>SUM(M3296:N3296)</f>
        <v>59116.786692127338</v>
      </c>
      <c r="P3296" s="8">
        <f>VLOOKUP(F3296,'LEAID Match'!$A$2:$B$436,2,FALSE)</f>
        <v>1800083</v>
      </c>
      <c r="Q3296" s="6">
        <f>COUNTIF($P$2:$P$3691,P3296)</f>
        <v>9</v>
      </c>
    </row>
    <row r="3297" spans="1:17" x14ac:dyDescent="0.2">
      <c r="A3297" s="16">
        <f>P3297</f>
        <v>1800083</v>
      </c>
      <c r="B3297">
        <v>2019</v>
      </c>
      <c r="C3297" t="s">
        <v>904</v>
      </c>
      <c r="D3297" t="s">
        <v>906</v>
      </c>
      <c r="E3297" t="s">
        <v>4203</v>
      </c>
      <c r="F3297" t="s">
        <v>810</v>
      </c>
      <c r="G3297" t="s">
        <v>352</v>
      </c>
      <c r="H3297" s="6">
        <v>26488</v>
      </c>
      <c r="I3297" s="6">
        <v>6.7385328344183459E-5</v>
      </c>
      <c r="J3297" s="6">
        <v>236.18557584636304</v>
      </c>
      <c r="K3297" s="6">
        <v>63605.011424074699</v>
      </c>
      <c r="M3297" s="6">
        <f>SUM(H3297,J3297)</f>
        <v>26724.185575846364</v>
      </c>
      <c r="N3297" s="6">
        <f>K3297</f>
        <v>63605.011424074699</v>
      </c>
      <c r="O3297" s="6">
        <f>SUM(M3297:N3297)</f>
        <v>90329.196999921056</v>
      </c>
      <c r="P3297" s="8">
        <f>VLOOKUP(F3297,'LEAID Match'!$A$2:$B$436,2,FALSE)</f>
        <v>1800083</v>
      </c>
      <c r="Q3297" s="6">
        <f>COUNTIF($P$2:$P$3691,P3297)</f>
        <v>9</v>
      </c>
    </row>
    <row r="3298" spans="1:17" x14ac:dyDescent="0.2">
      <c r="A3298" s="16">
        <f>P3298</f>
        <v>1800083</v>
      </c>
      <c r="B3298">
        <v>2020</v>
      </c>
      <c r="C3298" t="s">
        <v>904</v>
      </c>
      <c r="D3298" t="s">
        <v>906</v>
      </c>
      <c r="E3298" t="s">
        <v>4204</v>
      </c>
      <c r="F3298" t="s">
        <v>810</v>
      </c>
      <c r="G3298" t="s">
        <v>352</v>
      </c>
      <c r="H3298" s="6">
        <v>20856</v>
      </c>
      <c r="I3298" s="6">
        <v>1.1050984790790752E-4</v>
      </c>
      <c r="J3298" s="6">
        <v>260.36120167103013</v>
      </c>
      <c r="K3298" s="6">
        <v>41273</v>
      </c>
      <c r="M3298" s="6">
        <f>SUM(H3298,J3298)</f>
        <v>21116.361201671029</v>
      </c>
      <c r="N3298" s="6">
        <f>K3298</f>
        <v>41273</v>
      </c>
      <c r="O3298" s="6">
        <f>SUM(M3298:N3298)</f>
        <v>62389.361201671025</v>
      </c>
      <c r="P3298" s="8">
        <f>VLOOKUP(F3298,'LEAID Match'!$A$2:$B$436,2,FALSE)</f>
        <v>1800083</v>
      </c>
      <c r="Q3298" s="6">
        <f>COUNTIF($P$2:$P$3691,P3298)</f>
        <v>9</v>
      </c>
    </row>
    <row r="3299" spans="1:17" x14ac:dyDescent="0.2">
      <c r="A3299" s="16">
        <f>P3299</f>
        <v>1800083</v>
      </c>
      <c r="B3299">
        <v>2021</v>
      </c>
      <c r="C3299" t="s">
        <v>904</v>
      </c>
      <c r="D3299" t="s">
        <v>906</v>
      </c>
      <c r="E3299" t="s">
        <v>4205</v>
      </c>
      <c r="F3299" t="s">
        <v>810</v>
      </c>
      <c r="G3299" t="s">
        <v>352</v>
      </c>
      <c r="H3299" s="6">
        <v>23307</v>
      </c>
      <c r="I3299" s="6">
        <v>1.1513874752606935E-4</v>
      </c>
      <c r="J3299" s="6">
        <v>259.52273692376031</v>
      </c>
      <c r="K3299" s="6">
        <v>85513</v>
      </c>
      <c r="M3299" s="6">
        <f>SUM(H3299,J3299)</f>
        <v>23566.522736923762</v>
      </c>
      <c r="N3299" s="6">
        <f>K3299</f>
        <v>85513</v>
      </c>
      <c r="O3299" s="6">
        <f>SUM(M3299:N3299)</f>
        <v>109079.52273692377</v>
      </c>
      <c r="P3299" s="8">
        <f>VLOOKUP(F3299,'LEAID Match'!$A$2:$B$436,2,FALSE)</f>
        <v>1800083</v>
      </c>
      <c r="Q3299" s="6">
        <f>COUNTIF($P$2:$P$3691,P3299)</f>
        <v>9</v>
      </c>
    </row>
    <row r="3300" spans="1:17" x14ac:dyDescent="0.2">
      <c r="A3300" s="16">
        <f>P3300</f>
        <v>1800083</v>
      </c>
      <c r="B3300">
        <v>2022</v>
      </c>
      <c r="C3300" t="s">
        <v>904</v>
      </c>
      <c r="D3300" t="s">
        <v>906</v>
      </c>
      <c r="E3300" t="s">
        <v>4206</v>
      </c>
      <c r="F3300" t="s">
        <v>810</v>
      </c>
      <c r="G3300" t="s">
        <v>352</v>
      </c>
      <c r="H3300" s="6">
        <v>25694</v>
      </c>
      <c r="I3300" s="6">
        <v>1.2199988725907515E-4</v>
      </c>
      <c r="J3300" s="6">
        <v>269.0097514062607</v>
      </c>
      <c r="K3300" s="6">
        <v>96591</v>
      </c>
      <c r="M3300" s="6">
        <f>SUM(H3300,J3300)</f>
        <v>25963.009751406262</v>
      </c>
      <c r="N3300" s="6">
        <f>K3300</f>
        <v>96591</v>
      </c>
      <c r="O3300" s="6">
        <f>SUM(M3300:N3300)</f>
        <v>122554.00975140627</v>
      </c>
      <c r="P3300" s="8">
        <f>VLOOKUP(F3300,'LEAID Match'!$A$2:$B$436,2,FALSE)</f>
        <v>1800083</v>
      </c>
      <c r="Q3300" s="6">
        <f>COUNTIF($P$2:$P$3691,P3300)</f>
        <v>9</v>
      </c>
    </row>
    <row r="3301" spans="1:17" x14ac:dyDescent="0.2">
      <c r="A3301" s="16">
        <f>P3301</f>
        <v>1800083</v>
      </c>
      <c r="B3301">
        <v>2023</v>
      </c>
      <c r="C3301" t="s">
        <v>904</v>
      </c>
      <c r="D3301" t="s">
        <v>906</v>
      </c>
      <c r="E3301" t="s">
        <v>4207</v>
      </c>
      <c r="F3301" t="s">
        <v>810</v>
      </c>
      <c r="G3301" t="s">
        <v>352</v>
      </c>
      <c r="H3301" s="6">
        <v>30771</v>
      </c>
      <c r="I3301" s="6">
        <v>1.2583648279640948E-4</v>
      </c>
      <c r="J3301" s="6">
        <v>310.43860305874216</v>
      </c>
      <c r="K3301" s="6">
        <v>444252</v>
      </c>
      <c r="M3301" s="6">
        <f>SUM(H3301,J3301)</f>
        <v>31081.438603058741</v>
      </c>
      <c r="N3301" s="6">
        <f>K3301</f>
        <v>444252</v>
      </c>
      <c r="O3301" s="6">
        <f>SUM(M3301:N3301)</f>
        <v>475333.43860305875</v>
      </c>
      <c r="P3301" s="8">
        <f>VLOOKUP(F3301,'LEAID Match'!$A$2:$B$436,2,FALSE)</f>
        <v>1800083</v>
      </c>
      <c r="Q3301" s="6">
        <f>COUNTIF($P$2:$P$3691,P3301)</f>
        <v>9</v>
      </c>
    </row>
    <row r="3302" spans="1:17" x14ac:dyDescent="0.2">
      <c r="A3302" s="16">
        <f>P3302</f>
        <v>1800088</v>
      </c>
      <c r="B3302">
        <v>2015</v>
      </c>
      <c r="C3302" t="s">
        <v>904</v>
      </c>
      <c r="D3302" t="s">
        <v>906</v>
      </c>
      <c r="E3302" t="s">
        <v>4208</v>
      </c>
      <c r="F3302" t="s">
        <v>851</v>
      </c>
      <c r="G3302" t="s">
        <v>353</v>
      </c>
      <c r="H3302" s="6">
        <v>87899</v>
      </c>
      <c r="I3302" s="6">
        <v>4.2742708771939379E-4</v>
      </c>
      <c r="J3302" s="6">
        <v>2483.7788067373972</v>
      </c>
      <c r="K3302" s="6">
        <v>361439.18420892197</v>
      </c>
      <c r="M3302" s="6">
        <f>SUM(H3302,J3302)</f>
        <v>90382.778806737391</v>
      </c>
      <c r="N3302" s="6">
        <f>K3302</f>
        <v>361439.18420892197</v>
      </c>
      <c r="O3302" s="6">
        <f>SUM(M3302:N3302)</f>
        <v>451821.96301565936</v>
      </c>
      <c r="P3302" s="8">
        <f>VLOOKUP(F3302,'LEAID Match'!$A$2:$B$436,2,FALSE)</f>
        <v>1800088</v>
      </c>
      <c r="Q3302" s="6">
        <f>COUNTIF($P$2:$P$3691,P3302)</f>
        <v>9</v>
      </c>
    </row>
    <row r="3303" spans="1:17" x14ac:dyDescent="0.2">
      <c r="A3303" s="16">
        <f>P3303</f>
        <v>1800088</v>
      </c>
      <c r="B3303">
        <v>2016</v>
      </c>
      <c r="C3303" t="s">
        <v>904</v>
      </c>
      <c r="D3303" t="s">
        <v>906</v>
      </c>
      <c r="E3303" t="s">
        <v>4209</v>
      </c>
      <c r="F3303" t="s">
        <v>851</v>
      </c>
      <c r="G3303" t="s">
        <v>353</v>
      </c>
      <c r="H3303" s="6">
        <v>100410</v>
      </c>
      <c r="I3303" s="6">
        <v>4.6591473198021879E-4</v>
      </c>
      <c r="J3303" s="6">
        <v>2351.9375670361446</v>
      </c>
      <c r="K3303" s="6">
        <v>413499.32463244401</v>
      </c>
      <c r="M3303" s="6">
        <f>SUM(H3303,J3303)</f>
        <v>102761.93756703615</v>
      </c>
      <c r="N3303" s="6">
        <f>K3303</f>
        <v>413499.32463244401</v>
      </c>
      <c r="O3303" s="6">
        <f>SUM(M3303:N3303)</f>
        <v>516261.26219948014</v>
      </c>
      <c r="P3303" s="8">
        <f>VLOOKUP(F3303,'LEAID Match'!$A$2:$B$436,2,FALSE)</f>
        <v>1800088</v>
      </c>
      <c r="Q3303" s="6">
        <f>COUNTIF($P$2:$P$3691,P3303)</f>
        <v>9</v>
      </c>
    </row>
    <row r="3304" spans="1:17" x14ac:dyDescent="0.2">
      <c r="A3304" s="16">
        <f>P3304</f>
        <v>1800088</v>
      </c>
      <c r="B3304">
        <v>2017</v>
      </c>
      <c r="C3304" t="s">
        <v>904</v>
      </c>
      <c r="D3304" t="s">
        <v>906</v>
      </c>
      <c r="E3304" t="s">
        <v>4210</v>
      </c>
      <c r="F3304" t="s">
        <v>851</v>
      </c>
      <c r="G3304" t="s">
        <v>353</v>
      </c>
      <c r="H3304" s="6">
        <v>99862</v>
      </c>
      <c r="I3304" s="6">
        <v>4.3973510757303318E-4</v>
      </c>
      <c r="J3304" s="6">
        <v>1989.8013617679751</v>
      </c>
      <c r="K3304" s="6">
        <v>383009.278696111</v>
      </c>
      <c r="M3304" s="6">
        <f>SUM(H3304,J3304)</f>
        <v>101851.80136176797</v>
      </c>
      <c r="N3304" s="6">
        <f>K3304</f>
        <v>383009.278696111</v>
      </c>
      <c r="O3304" s="6">
        <f>SUM(M3304:N3304)</f>
        <v>484861.08005787898</v>
      </c>
      <c r="P3304" s="8">
        <f>VLOOKUP(F3304,'LEAID Match'!$A$2:$B$436,2,FALSE)</f>
        <v>1800088</v>
      </c>
      <c r="Q3304" s="6">
        <f>COUNTIF($P$2:$P$3691,P3304)</f>
        <v>9</v>
      </c>
    </row>
    <row r="3305" spans="1:17" x14ac:dyDescent="0.2">
      <c r="A3305" s="16">
        <f>P3305</f>
        <v>1800088</v>
      </c>
      <c r="B3305">
        <v>2018</v>
      </c>
      <c r="C3305" t="s">
        <v>904</v>
      </c>
      <c r="D3305" t="s">
        <v>906</v>
      </c>
      <c r="E3305" t="s">
        <v>4211</v>
      </c>
      <c r="F3305" t="s">
        <v>851</v>
      </c>
      <c r="G3305" t="s">
        <v>353</v>
      </c>
      <c r="H3305" s="6">
        <v>107138</v>
      </c>
      <c r="I3305" s="6">
        <v>4.54519124849469E-4</v>
      </c>
      <c r="J3305" s="6">
        <v>1894.4357123725867</v>
      </c>
      <c r="K3305" s="6">
        <v>0</v>
      </c>
      <c r="M3305" s="6">
        <f>SUM(H3305,J3305)</f>
        <v>109032.43571237259</v>
      </c>
      <c r="N3305" s="6">
        <f>K3305</f>
        <v>0</v>
      </c>
      <c r="O3305" s="6">
        <f>SUM(M3305:N3305)</f>
        <v>109032.43571237259</v>
      </c>
      <c r="P3305" s="8">
        <f>VLOOKUP(F3305,'LEAID Match'!$A$2:$B$436,2,FALSE)</f>
        <v>1800088</v>
      </c>
      <c r="Q3305" s="6">
        <f>COUNTIF($P$2:$P$3691,P3305)</f>
        <v>9</v>
      </c>
    </row>
    <row r="3306" spans="1:17" x14ac:dyDescent="0.2">
      <c r="A3306" s="16">
        <f>P3306</f>
        <v>1800088</v>
      </c>
      <c r="B3306">
        <v>2019</v>
      </c>
      <c r="C3306" t="s">
        <v>904</v>
      </c>
      <c r="D3306" t="s">
        <v>906</v>
      </c>
      <c r="E3306" t="s">
        <v>4212</v>
      </c>
      <c r="F3306" t="s">
        <v>851</v>
      </c>
      <c r="G3306" t="s">
        <v>353</v>
      </c>
      <c r="H3306" s="6">
        <v>108291</v>
      </c>
      <c r="I3306" s="6">
        <v>2.7549171669133084E-4</v>
      </c>
      <c r="J3306" s="6">
        <v>965.59846700311459</v>
      </c>
      <c r="K3306" s="6">
        <v>260036.63138494699</v>
      </c>
      <c r="M3306" s="6">
        <f>SUM(H3306,J3306)</f>
        <v>109256.59846700312</v>
      </c>
      <c r="N3306" s="6">
        <f>K3306</f>
        <v>260036.63138494699</v>
      </c>
      <c r="O3306" s="6">
        <f>SUM(M3306:N3306)</f>
        <v>369293.22985195008</v>
      </c>
      <c r="P3306" s="8">
        <f>VLOOKUP(F3306,'LEAID Match'!$A$2:$B$436,2,FALSE)</f>
        <v>1800088</v>
      </c>
      <c r="Q3306" s="6">
        <f>COUNTIF($P$2:$P$3691,P3306)</f>
        <v>9</v>
      </c>
    </row>
    <row r="3307" spans="1:17" x14ac:dyDescent="0.2">
      <c r="A3307" s="16">
        <f>P3307</f>
        <v>1800088</v>
      </c>
      <c r="B3307">
        <v>2020</v>
      </c>
      <c r="C3307" t="s">
        <v>904</v>
      </c>
      <c r="D3307" t="s">
        <v>906</v>
      </c>
      <c r="E3307" t="s">
        <v>4213</v>
      </c>
      <c r="F3307" t="s">
        <v>851</v>
      </c>
      <c r="G3307" t="s">
        <v>353</v>
      </c>
      <c r="H3307" s="6">
        <v>82390</v>
      </c>
      <c r="I3307" s="6">
        <v>4.3656052786404399E-4</v>
      </c>
      <c r="J3307" s="6">
        <v>1028.5366036476876</v>
      </c>
      <c r="K3307" s="6">
        <v>0</v>
      </c>
      <c r="M3307" s="6">
        <f>SUM(H3307,J3307)</f>
        <v>83418.536603647692</v>
      </c>
      <c r="N3307" s="6">
        <f>K3307</f>
        <v>0</v>
      </c>
      <c r="O3307" s="6">
        <f>SUM(M3307:N3307)</f>
        <v>83418.536603647692</v>
      </c>
      <c r="P3307" s="8">
        <f>VLOOKUP(F3307,'LEAID Match'!$A$2:$B$436,2,FALSE)</f>
        <v>1800088</v>
      </c>
      <c r="Q3307" s="6">
        <f>COUNTIF($P$2:$P$3691,P3307)</f>
        <v>9</v>
      </c>
    </row>
    <row r="3308" spans="1:17" x14ac:dyDescent="0.2">
      <c r="A3308" s="16">
        <f>P3308</f>
        <v>1800088</v>
      </c>
      <c r="B3308">
        <v>2021</v>
      </c>
      <c r="C3308" t="s">
        <v>904</v>
      </c>
      <c r="D3308" t="s">
        <v>906</v>
      </c>
      <c r="E3308" t="s">
        <v>4214</v>
      </c>
      <c r="F3308" t="s">
        <v>851</v>
      </c>
      <c r="G3308" t="s">
        <v>353</v>
      </c>
      <c r="H3308" s="6">
        <v>91582</v>
      </c>
      <c r="I3308" s="6">
        <v>4.5242359702803809E-4</v>
      </c>
      <c r="J3308" s="6">
        <v>1019.7627877011979</v>
      </c>
      <c r="K3308" s="6">
        <v>27652</v>
      </c>
      <c r="M3308" s="6">
        <f>SUM(H3308,J3308)</f>
        <v>92601.762787701198</v>
      </c>
      <c r="N3308" s="6">
        <f>K3308</f>
        <v>27652</v>
      </c>
      <c r="O3308" s="6">
        <f>SUM(M3308:N3308)</f>
        <v>120253.7627877012</v>
      </c>
      <c r="P3308" s="8">
        <f>VLOOKUP(F3308,'LEAID Match'!$A$2:$B$436,2,FALSE)</f>
        <v>1800088</v>
      </c>
      <c r="Q3308" s="6">
        <f>COUNTIF($P$2:$P$3691,P3308)</f>
        <v>9</v>
      </c>
    </row>
    <row r="3309" spans="1:17" x14ac:dyDescent="0.2">
      <c r="A3309" s="16">
        <f>P3309</f>
        <v>1800088</v>
      </c>
      <c r="B3309">
        <v>2022</v>
      </c>
      <c r="C3309" t="s">
        <v>904</v>
      </c>
      <c r="D3309" t="s">
        <v>906</v>
      </c>
      <c r="E3309" t="s">
        <v>4215</v>
      </c>
      <c r="F3309" t="s">
        <v>851</v>
      </c>
      <c r="G3309" t="s">
        <v>353</v>
      </c>
      <c r="H3309" s="6">
        <v>107393</v>
      </c>
      <c r="I3309" s="6">
        <v>5.0992192311099312E-4</v>
      </c>
      <c r="J3309" s="6">
        <v>1124.3778404597399</v>
      </c>
      <c r="K3309" s="6">
        <v>38915</v>
      </c>
      <c r="M3309" s="6">
        <f>SUM(H3309,J3309)</f>
        <v>108517.37784045974</v>
      </c>
      <c r="N3309" s="6">
        <f>K3309</f>
        <v>38915</v>
      </c>
      <c r="O3309" s="6">
        <f>SUM(M3309:N3309)</f>
        <v>147432.37784045975</v>
      </c>
      <c r="P3309" s="8">
        <f>VLOOKUP(F3309,'LEAID Match'!$A$2:$B$436,2,FALSE)</f>
        <v>1800088</v>
      </c>
      <c r="Q3309" s="6">
        <f>COUNTIF($P$2:$P$3691,P3309)</f>
        <v>9</v>
      </c>
    </row>
    <row r="3310" spans="1:17" x14ac:dyDescent="0.2">
      <c r="A3310" s="16">
        <f>P3310</f>
        <v>1800088</v>
      </c>
      <c r="B3310">
        <v>2023</v>
      </c>
      <c r="C3310" t="s">
        <v>904</v>
      </c>
      <c r="D3310" t="s">
        <v>906</v>
      </c>
      <c r="E3310" t="s">
        <v>4216</v>
      </c>
      <c r="F3310" t="s">
        <v>851</v>
      </c>
      <c r="G3310" t="s">
        <v>353</v>
      </c>
      <c r="H3310" s="6">
        <v>120488</v>
      </c>
      <c r="I3310" s="6">
        <v>4.9272971756438803E-4</v>
      </c>
      <c r="J3310" s="6">
        <v>1215.5642132313453</v>
      </c>
      <c r="K3310" s="6">
        <v>156695</v>
      </c>
      <c r="M3310" s="6">
        <f>SUM(H3310,J3310)</f>
        <v>121703.56421323135</v>
      </c>
      <c r="N3310" s="6">
        <f>K3310</f>
        <v>156695</v>
      </c>
      <c r="O3310" s="6">
        <f>SUM(M3310:N3310)</f>
        <v>278398.56421323132</v>
      </c>
      <c r="P3310" s="8">
        <f>VLOOKUP(F3310,'LEAID Match'!$A$2:$B$436,2,FALSE)</f>
        <v>1800088</v>
      </c>
      <c r="Q3310" s="6">
        <f>COUNTIF($P$2:$P$3691,P3310)</f>
        <v>9</v>
      </c>
    </row>
    <row r="3311" spans="1:17" x14ac:dyDescent="0.2">
      <c r="A3311" s="16">
        <f>P3311</f>
        <v>1800027</v>
      </c>
      <c r="B3311">
        <v>2015</v>
      </c>
      <c r="C3311" t="s">
        <v>904</v>
      </c>
      <c r="D3311" t="s">
        <v>906</v>
      </c>
      <c r="E3311" t="s">
        <v>4217</v>
      </c>
      <c r="F3311" t="s">
        <v>852</v>
      </c>
      <c r="G3311" t="s">
        <v>354</v>
      </c>
      <c r="H3311" s="6">
        <v>117299</v>
      </c>
      <c r="I3311" s="6">
        <v>5.7039067523404331E-4</v>
      </c>
      <c r="J3311" s="6">
        <v>3314.5402137850256</v>
      </c>
      <c r="K3311" s="6">
        <v>482331.48122870998</v>
      </c>
      <c r="M3311" s="6">
        <f>SUM(H3311,J3311)</f>
        <v>120613.54021378503</v>
      </c>
      <c r="N3311" s="6">
        <f>K3311</f>
        <v>482331.48122870998</v>
      </c>
      <c r="O3311" s="6">
        <f>SUM(M3311:N3311)</f>
        <v>602945.02144249505</v>
      </c>
      <c r="P3311" s="8">
        <f>VLOOKUP(F3311,'LEAID Match'!$A$2:$B$436,2,FALSE)</f>
        <v>1800027</v>
      </c>
      <c r="Q3311" s="6">
        <f>COUNTIF($P$2:$P$3691,P3311)</f>
        <v>9</v>
      </c>
    </row>
    <row r="3312" spans="1:17" x14ac:dyDescent="0.2">
      <c r="A3312" s="16">
        <f>P3312</f>
        <v>1800027</v>
      </c>
      <c r="B3312">
        <v>2016</v>
      </c>
      <c r="C3312" t="s">
        <v>904</v>
      </c>
      <c r="D3312" t="s">
        <v>906</v>
      </c>
      <c r="E3312" t="s">
        <v>4218</v>
      </c>
      <c r="F3312" t="s">
        <v>852</v>
      </c>
      <c r="G3312" t="s">
        <v>354</v>
      </c>
      <c r="H3312" s="6">
        <v>98251</v>
      </c>
      <c r="I3312" s="6">
        <v>4.5589670681992308E-4</v>
      </c>
      <c r="J3312" s="6">
        <v>2301.3665760269719</v>
      </c>
      <c r="K3312" s="6">
        <v>404608.32730268099</v>
      </c>
      <c r="M3312" s="6">
        <f>SUM(H3312,J3312)</f>
        <v>100552.36657602697</v>
      </c>
      <c r="N3312" s="6">
        <f>K3312</f>
        <v>404608.32730268099</v>
      </c>
      <c r="O3312" s="6">
        <f>SUM(M3312:N3312)</f>
        <v>505160.69387870794</v>
      </c>
      <c r="P3312" s="8">
        <f>VLOOKUP(F3312,'LEAID Match'!$A$2:$B$436,2,FALSE)</f>
        <v>1800027</v>
      </c>
      <c r="Q3312" s="6">
        <f>COUNTIF($P$2:$P$3691,P3312)</f>
        <v>9</v>
      </c>
    </row>
    <row r="3313" spans="1:17" x14ac:dyDescent="0.2">
      <c r="A3313" s="16">
        <f>P3313</f>
        <v>1800027</v>
      </c>
      <c r="B3313">
        <v>2017</v>
      </c>
      <c r="C3313" t="s">
        <v>904</v>
      </c>
      <c r="D3313" t="s">
        <v>906</v>
      </c>
      <c r="E3313" t="s">
        <v>4219</v>
      </c>
      <c r="F3313" t="s">
        <v>852</v>
      </c>
      <c r="G3313" t="s">
        <v>354</v>
      </c>
      <c r="H3313" s="6">
        <v>108935</v>
      </c>
      <c r="I3313" s="6">
        <v>4.7968740805780349E-4</v>
      </c>
      <c r="J3313" s="6">
        <v>2170.5855214615608</v>
      </c>
      <c r="K3313" s="6">
        <v>417807.73241834599</v>
      </c>
      <c r="M3313" s="6">
        <f>SUM(H3313,J3313)</f>
        <v>111105.58552146156</v>
      </c>
      <c r="N3313" s="6">
        <f>K3313</f>
        <v>417807.73241834599</v>
      </c>
      <c r="O3313" s="6">
        <f>SUM(M3313:N3313)</f>
        <v>528913.31793980754</v>
      </c>
      <c r="P3313" s="8">
        <f>VLOOKUP(F3313,'LEAID Match'!$A$2:$B$436,2,FALSE)</f>
        <v>1800027</v>
      </c>
      <c r="Q3313" s="6">
        <f>COUNTIF($P$2:$P$3691,P3313)</f>
        <v>9</v>
      </c>
    </row>
    <row r="3314" spans="1:17" x14ac:dyDescent="0.2">
      <c r="A3314" s="16">
        <f>P3314</f>
        <v>1800027</v>
      </c>
      <c r="B3314">
        <v>2018</v>
      </c>
      <c r="C3314" t="s">
        <v>904</v>
      </c>
      <c r="D3314" t="s">
        <v>906</v>
      </c>
      <c r="E3314" t="s">
        <v>4220</v>
      </c>
      <c r="F3314" t="s">
        <v>852</v>
      </c>
      <c r="G3314" t="s">
        <v>354</v>
      </c>
      <c r="H3314" s="6">
        <v>106461</v>
      </c>
      <c r="I3314" s="6">
        <v>4.5164703980473146E-4</v>
      </c>
      <c r="J3314" s="6">
        <v>1882.4648619061206</v>
      </c>
      <c r="K3314" s="6">
        <v>0</v>
      </c>
      <c r="M3314" s="6">
        <f>SUM(H3314,J3314)</f>
        <v>108343.46486190612</v>
      </c>
      <c r="N3314" s="6">
        <f>K3314</f>
        <v>0</v>
      </c>
      <c r="O3314" s="6">
        <f>SUM(M3314:N3314)</f>
        <v>108343.46486190612</v>
      </c>
      <c r="P3314" s="8">
        <f>VLOOKUP(F3314,'LEAID Match'!$A$2:$B$436,2,FALSE)</f>
        <v>1800027</v>
      </c>
      <c r="Q3314" s="6">
        <f>COUNTIF($P$2:$P$3691,P3314)</f>
        <v>9</v>
      </c>
    </row>
    <row r="3315" spans="1:17" x14ac:dyDescent="0.2">
      <c r="A3315" s="16">
        <f>P3315</f>
        <v>1800027</v>
      </c>
      <c r="B3315">
        <v>2019</v>
      </c>
      <c r="C3315" t="s">
        <v>904</v>
      </c>
      <c r="D3315" t="s">
        <v>906</v>
      </c>
      <c r="E3315" t="s">
        <v>4221</v>
      </c>
      <c r="F3315" t="s">
        <v>852</v>
      </c>
      <c r="G3315" t="s">
        <v>354</v>
      </c>
      <c r="H3315" s="6">
        <v>135223</v>
      </c>
      <c r="I3315" s="6">
        <v>3.440065786275113E-4</v>
      </c>
      <c r="J3315" s="6">
        <v>1205.7430580894272</v>
      </c>
      <c r="K3315" s="6">
        <v>324707.809566507</v>
      </c>
      <c r="M3315" s="6">
        <f>SUM(H3315,J3315)</f>
        <v>136428.74305808943</v>
      </c>
      <c r="N3315" s="6">
        <f>K3315</f>
        <v>324707.809566507</v>
      </c>
      <c r="O3315" s="6">
        <f>SUM(M3315:N3315)</f>
        <v>461136.5526245964</v>
      </c>
      <c r="P3315" s="8">
        <f>VLOOKUP(F3315,'LEAID Match'!$A$2:$B$436,2,FALSE)</f>
        <v>1800027</v>
      </c>
      <c r="Q3315" s="6">
        <f>COUNTIF($P$2:$P$3691,P3315)</f>
        <v>9</v>
      </c>
    </row>
    <row r="3316" spans="1:17" x14ac:dyDescent="0.2">
      <c r="A3316" s="16">
        <f>P3316</f>
        <v>1800027</v>
      </c>
      <c r="B3316">
        <v>2020</v>
      </c>
      <c r="C3316" t="s">
        <v>904</v>
      </c>
      <c r="D3316" t="s">
        <v>906</v>
      </c>
      <c r="E3316" t="s">
        <v>4222</v>
      </c>
      <c r="F3316" t="s">
        <v>852</v>
      </c>
      <c r="G3316" t="s">
        <v>354</v>
      </c>
      <c r="H3316" s="6">
        <v>110866</v>
      </c>
      <c r="I3316" s="6">
        <v>5.8744652848859201E-4</v>
      </c>
      <c r="J3316" s="6">
        <v>1384.0240211191228</v>
      </c>
      <c r="K3316" s="6">
        <v>0</v>
      </c>
      <c r="M3316" s="6">
        <f>SUM(H3316,J3316)</f>
        <v>112250.02402111913</v>
      </c>
      <c r="N3316" s="6">
        <f>K3316</f>
        <v>0</v>
      </c>
      <c r="O3316" s="6">
        <f>SUM(M3316:N3316)</f>
        <v>112250.02402111913</v>
      </c>
      <c r="P3316" s="8">
        <f>VLOOKUP(F3316,'LEAID Match'!$A$2:$B$436,2,FALSE)</f>
        <v>1800027</v>
      </c>
      <c r="Q3316" s="6">
        <f>COUNTIF($P$2:$P$3691,P3316)</f>
        <v>9</v>
      </c>
    </row>
    <row r="3317" spans="1:17" x14ac:dyDescent="0.2">
      <c r="A3317" s="16">
        <f>P3317</f>
        <v>1800027</v>
      </c>
      <c r="B3317">
        <v>2021</v>
      </c>
      <c r="C3317" t="s">
        <v>904</v>
      </c>
      <c r="D3317" t="s">
        <v>906</v>
      </c>
      <c r="E3317" t="s">
        <v>4223</v>
      </c>
      <c r="F3317" t="s">
        <v>852</v>
      </c>
      <c r="G3317" t="s">
        <v>354</v>
      </c>
      <c r="H3317" s="6">
        <v>125366</v>
      </c>
      <c r="I3317" s="6">
        <v>6.1931969890390058E-4</v>
      </c>
      <c r="J3317" s="6">
        <v>1395.946601329392</v>
      </c>
      <c r="K3317" s="6">
        <v>0</v>
      </c>
      <c r="M3317" s="6">
        <f>SUM(H3317,J3317)</f>
        <v>126761.94660132939</v>
      </c>
      <c r="N3317" s="6">
        <f>K3317</f>
        <v>0</v>
      </c>
      <c r="O3317" s="6">
        <f>SUM(M3317:N3317)</f>
        <v>126761.94660132939</v>
      </c>
      <c r="P3317" s="8">
        <f>VLOOKUP(F3317,'LEAID Match'!$A$2:$B$436,2,FALSE)</f>
        <v>1800027</v>
      </c>
      <c r="Q3317" s="6">
        <f>COUNTIF($P$2:$P$3691,P3317)</f>
        <v>9</v>
      </c>
    </row>
    <row r="3318" spans="1:17" x14ac:dyDescent="0.2">
      <c r="A3318" s="16">
        <f>P3318</f>
        <v>1800027</v>
      </c>
      <c r="B3318">
        <v>2022</v>
      </c>
      <c r="C3318" t="s">
        <v>904</v>
      </c>
      <c r="D3318" t="s">
        <v>906</v>
      </c>
      <c r="E3318" t="s">
        <v>4224</v>
      </c>
      <c r="F3318" t="s">
        <v>852</v>
      </c>
      <c r="G3318" t="s">
        <v>354</v>
      </c>
      <c r="H3318" s="6">
        <v>143543</v>
      </c>
      <c r="I3318" s="6">
        <v>6.8156884162954093E-4</v>
      </c>
      <c r="J3318" s="6">
        <v>1502.8592957931378</v>
      </c>
      <c r="K3318" s="6">
        <v>0</v>
      </c>
      <c r="M3318" s="6">
        <f>SUM(H3318,J3318)</f>
        <v>145045.85929579314</v>
      </c>
      <c r="N3318" s="6">
        <f>K3318</f>
        <v>0</v>
      </c>
      <c r="O3318" s="6">
        <f>SUM(M3318:N3318)</f>
        <v>145045.85929579314</v>
      </c>
      <c r="P3318" s="8">
        <f>VLOOKUP(F3318,'LEAID Match'!$A$2:$B$436,2,FALSE)</f>
        <v>1800027</v>
      </c>
      <c r="Q3318" s="6">
        <f>COUNTIF($P$2:$P$3691,P3318)</f>
        <v>9</v>
      </c>
    </row>
    <row r="3319" spans="1:17" x14ac:dyDescent="0.2">
      <c r="A3319" s="16">
        <f>P3319</f>
        <v>1800027</v>
      </c>
      <c r="B3319">
        <v>2023</v>
      </c>
      <c r="C3319" t="s">
        <v>904</v>
      </c>
      <c r="D3319" t="s">
        <v>906</v>
      </c>
      <c r="E3319" t="s">
        <v>4225</v>
      </c>
      <c r="F3319" t="s">
        <v>852</v>
      </c>
      <c r="G3319" t="s">
        <v>354</v>
      </c>
      <c r="H3319" s="6">
        <v>141809</v>
      </c>
      <c r="I3319" s="6">
        <v>5.7992089268714148E-4</v>
      </c>
      <c r="J3319" s="6">
        <v>1430.6648422591779</v>
      </c>
      <c r="K3319" s="6">
        <v>2541</v>
      </c>
      <c r="M3319" s="6">
        <f>SUM(H3319,J3319)</f>
        <v>143239.66484225917</v>
      </c>
      <c r="N3319" s="6">
        <f>K3319</f>
        <v>2541</v>
      </c>
      <c r="O3319" s="6">
        <f>SUM(M3319:N3319)</f>
        <v>145780.66484225917</v>
      </c>
      <c r="P3319" s="8">
        <f>VLOOKUP(F3319,'LEAID Match'!$A$2:$B$436,2,FALSE)</f>
        <v>1800027</v>
      </c>
      <c r="Q3319" s="6">
        <f>COUNTIF($P$2:$P$3691,P3319)</f>
        <v>9</v>
      </c>
    </row>
    <row r="3320" spans="1:17" x14ac:dyDescent="0.2">
      <c r="A3320" s="16">
        <f>P3320</f>
        <v>1800094</v>
      </c>
      <c r="B3320">
        <v>2015</v>
      </c>
      <c r="C3320" t="s">
        <v>904</v>
      </c>
      <c r="D3320" t="s">
        <v>906</v>
      </c>
      <c r="E3320" t="s">
        <v>4226</v>
      </c>
      <c r="F3320" t="s">
        <v>853</v>
      </c>
      <c r="G3320" t="s">
        <v>355</v>
      </c>
      <c r="H3320" s="6">
        <v>147720</v>
      </c>
      <c r="I3320" s="6">
        <v>7.1831908665523901E-4</v>
      </c>
      <c r="J3320" s="6">
        <v>4174.1522125535939</v>
      </c>
      <c r="K3320" s="6">
        <v>607422.11278105597</v>
      </c>
      <c r="M3320" s="6">
        <f>SUM(H3320,J3320)</f>
        <v>151894.1522125536</v>
      </c>
      <c r="N3320" s="6">
        <f>K3320</f>
        <v>607422.11278105597</v>
      </c>
      <c r="O3320" s="6">
        <f>SUM(M3320:N3320)</f>
        <v>759316.26499360963</v>
      </c>
      <c r="P3320" s="8">
        <f>VLOOKUP(F3320,'LEAID Match'!$A$2:$B$436,2,FALSE)</f>
        <v>1800094</v>
      </c>
      <c r="Q3320" s="6">
        <f>COUNTIF($P$2:$P$3691,P3320)</f>
        <v>9</v>
      </c>
    </row>
    <row r="3321" spans="1:17" x14ac:dyDescent="0.2">
      <c r="A3321" s="16">
        <f>P3321</f>
        <v>1800094</v>
      </c>
      <c r="B3321">
        <v>2016</v>
      </c>
      <c r="C3321" t="s">
        <v>904</v>
      </c>
      <c r="D3321" t="s">
        <v>906</v>
      </c>
      <c r="E3321" t="s">
        <v>4227</v>
      </c>
      <c r="F3321" t="s">
        <v>853</v>
      </c>
      <c r="G3321" t="s">
        <v>355</v>
      </c>
      <c r="H3321" s="6">
        <v>158954</v>
      </c>
      <c r="I3321" s="6">
        <v>7.3756608213508307E-4</v>
      </c>
      <c r="J3321" s="6">
        <v>3723.2335826178992</v>
      </c>
      <c r="K3321" s="6">
        <v>654589.89789488597</v>
      </c>
      <c r="M3321" s="6">
        <f>SUM(H3321,J3321)</f>
        <v>162677.23358261789</v>
      </c>
      <c r="N3321" s="6">
        <f>K3321</f>
        <v>654589.89789488597</v>
      </c>
      <c r="O3321" s="6">
        <f>SUM(M3321:N3321)</f>
        <v>817267.1314775038</v>
      </c>
      <c r="P3321" s="8">
        <f>VLOOKUP(F3321,'LEAID Match'!$A$2:$B$436,2,FALSE)</f>
        <v>1800094</v>
      </c>
      <c r="Q3321" s="6">
        <f>COUNTIF($P$2:$P$3691,P3321)</f>
        <v>9</v>
      </c>
    </row>
    <row r="3322" spans="1:17" x14ac:dyDescent="0.2">
      <c r="A3322" s="16">
        <f>P3322</f>
        <v>1800094</v>
      </c>
      <c r="B3322">
        <v>2017</v>
      </c>
      <c r="C3322" t="s">
        <v>904</v>
      </c>
      <c r="D3322" t="s">
        <v>906</v>
      </c>
      <c r="E3322" t="s">
        <v>4228</v>
      </c>
      <c r="F3322" t="s">
        <v>853</v>
      </c>
      <c r="G3322" t="s">
        <v>355</v>
      </c>
      <c r="H3322" s="6">
        <v>172646</v>
      </c>
      <c r="I3322" s="6">
        <v>7.6023419701241597E-4</v>
      </c>
      <c r="J3322" s="6">
        <v>3440.0597414811823</v>
      </c>
      <c r="K3322" s="6">
        <v>662163.98559781397</v>
      </c>
      <c r="M3322" s="6">
        <f>SUM(H3322,J3322)</f>
        <v>176086.05974148118</v>
      </c>
      <c r="N3322" s="6">
        <f>K3322</f>
        <v>662163.98559781397</v>
      </c>
      <c r="O3322" s="6">
        <f>SUM(M3322:N3322)</f>
        <v>838250.04533929517</v>
      </c>
      <c r="P3322" s="8">
        <f>VLOOKUP(F3322,'LEAID Match'!$A$2:$B$436,2,FALSE)</f>
        <v>1800094</v>
      </c>
      <c r="Q3322" s="6">
        <f>COUNTIF($P$2:$P$3691,P3322)</f>
        <v>9</v>
      </c>
    </row>
    <row r="3323" spans="1:17" x14ac:dyDescent="0.2">
      <c r="A3323" s="16">
        <f>P3323</f>
        <v>1800094</v>
      </c>
      <c r="B3323">
        <v>2018</v>
      </c>
      <c r="C3323" t="s">
        <v>904</v>
      </c>
      <c r="D3323" t="s">
        <v>906</v>
      </c>
      <c r="E3323" t="s">
        <v>4229</v>
      </c>
      <c r="F3323" t="s">
        <v>853</v>
      </c>
      <c r="G3323" t="s">
        <v>355</v>
      </c>
      <c r="H3323" s="6">
        <v>172503</v>
      </c>
      <c r="I3323" s="6">
        <v>7.3182169345991103E-4</v>
      </c>
      <c r="J3323" s="6">
        <v>3050.232818340909</v>
      </c>
      <c r="K3323" s="6">
        <v>0</v>
      </c>
      <c r="M3323" s="6">
        <f>SUM(H3323,J3323)</f>
        <v>175553.23281834091</v>
      </c>
      <c r="N3323" s="6">
        <f>K3323</f>
        <v>0</v>
      </c>
      <c r="O3323" s="6">
        <f>SUM(M3323:N3323)</f>
        <v>175553.23281834091</v>
      </c>
      <c r="P3323" s="8">
        <f>VLOOKUP(F3323,'LEAID Match'!$A$2:$B$436,2,FALSE)</f>
        <v>1800094</v>
      </c>
      <c r="Q3323" s="6">
        <f>COUNTIF($P$2:$P$3691,P3323)</f>
        <v>9</v>
      </c>
    </row>
    <row r="3324" spans="1:17" x14ac:dyDescent="0.2">
      <c r="A3324" s="16">
        <f>P3324</f>
        <v>1800094</v>
      </c>
      <c r="B3324">
        <v>2019</v>
      </c>
      <c r="C3324" t="s">
        <v>904</v>
      </c>
      <c r="D3324" t="s">
        <v>906</v>
      </c>
      <c r="E3324" t="s">
        <v>4230</v>
      </c>
      <c r="F3324" t="s">
        <v>853</v>
      </c>
      <c r="G3324" t="s">
        <v>355</v>
      </c>
      <c r="H3324" s="6">
        <v>177130</v>
      </c>
      <c r="I3324" s="6">
        <v>4.5061775934782604E-4</v>
      </c>
      <c r="J3324" s="6">
        <v>1579.4152465141303</v>
      </c>
      <c r="K3324" s="6">
        <v>425338.103048413</v>
      </c>
      <c r="M3324" s="6">
        <f>SUM(H3324,J3324)</f>
        <v>178709.41524651414</v>
      </c>
      <c r="N3324" s="6">
        <f>K3324</f>
        <v>425338.103048413</v>
      </c>
      <c r="O3324" s="6">
        <f>SUM(M3324:N3324)</f>
        <v>604047.5182949272</v>
      </c>
      <c r="P3324" s="8">
        <f>VLOOKUP(F3324,'LEAID Match'!$A$2:$B$436,2,FALSE)</f>
        <v>1800094</v>
      </c>
      <c r="Q3324" s="6">
        <f>COUNTIF($P$2:$P$3691,P3324)</f>
        <v>9</v>
      </c>
    </row>
    <row r="3325" spans="1:17" x14ac:dyDescent="0.2">
      <c r="A3325" s="16">
        <f>P3325</f>
        <v>1800094</v>
      </c>
      <c r="B3325">
        <v>2020</v>
      </c>
      <c r="C3325" t="s">
        <v>904</v>
      </c>
      <c r="D3325" t="s">
        <v>906</v>
      </c>
      <c r="E3325" t="s">
        <v>4231</v>
      </c>
      <c r="F3325" t="s">
        <v>853</v>
      </c>
      <c r="G3325" t="s">
        <v>355</v>
      </c>
      <c r="H3325" s="6">
        <v>141901</v>
      </c>
      <c r="I3325" s="6">
        <v>7.5189192213175992E-4</v>
      </c>
      <c r="J3325" s="6">
        <v>1771.4573685424264</v>
      </c>
      <c r="K3325" s="6">
        <v>0</v>
      </c>
      <c r="M3325" s="6">
        <f>SUM(H3325,J3325)</f>
        <v>143672.45736854244</v>
      </c>
      <c r="N3325" s="6">
        <f>K3325</f>
        <v>0</v>
      </c>
      <c r="O3325" s="6">
        <f>SUM(M3325:N3325)</f>
        <v>143672.45736854244</v>
      </c>
      <c r="P3325" s="8">
        <f>VLOOKUP(F3325,'LEAID Match'!$A$2:$B$436,2,FALSE)</f>
        <v>1800094</v>
      </c>
      <c r="Q3325" s="6">
        <f>COUNTIF($P$2:$P$3691,P3325)</f>
        <v>9</v>
      </c>
    </row>
    <row r="3326" spans="1:17" x14ac:dyDescent="0.2">
      <c r="A3326" s="16">
        <f>P3326</f>
        <v>1800094</v>
      </c>
      <c r="B3326">
        <v>2021</v>
      </c>
      <c r="C3326" t="s">
        <v>904</v>
      </c>
      <c r="D3326" t="s">
        <v>906</v>
      </c>
      <c r="E3326" t="s">
        <v>4232</v>
      </c>
      <c r="F3326" t="s">
        <v>853</v>
      </c>
      <c r="G3326" t="s">
        <v>355</v>
      </c>
      <c r="H3326" s="6">
        <v>152009</v>
      </c>
      <c r="I3326" s="6">
        <v>7.5093859667440155E-4</v>
      </c>
      <c r="J3326" s="6">
        <v>1692.615596904101</v>
      </c>
      <c r="K3326" s="6">
        <v>0</v>
      </c>
      <c r="M3326" s="6">
        <f>SUM(H3326,J3326)</f>
        <v>153701.6155969041</v>
      </c>
      <c r="N3326" s="6">
        <f>K3326</f>
        <v>0</v>
      </c>
      <c r="O3326" s="6">
        <f>SUM(M3326:N3326)</f>
        <v>153701.6155969041</v>
      </c>
      <c r="P3326" s="8">
        <f>VLOOKUP(F3326,'LEAID Match'!$A$2:$B$436,2,FALSE)</f>
        <v>1800094</v>
      </c>
      <c r="Q3326" s="6">
        <f>COUNTIF($P$2:$P$3691,P3326)</f>
        <v>9</v>
      </c>
    </row>
    <row r="3327" spans="1:17" x14ac:dyDescent="0.2">
      <c r="A3327" s="16">
        <f>P3327</f>
        <v>1800094</v>
      </c>
      <c r="B3327">
        <v>2022</v>
      </c>
      <c r="C3327" t="s">
        <v>904</v>
      </c>
      <c r="D3327" t="s">
        <v>906</v>
      </c>
      <c r="E3327" t="s">
        <v>4233</v>
      </c>
      <c r="F3327" t="s">
        <v>853</v>
      </c>
      <c r="G3327" t="s">
        <v>355</v>
      </c>
      <c r="H3327" s="6">
        <v>162297</v>
      </c>
      <c r="I3327" s="6">
        <v>7.7061631908173576E-4</v>
      </c>
      <c r="J3327" s="6">
        <v>1699.2089835752274</v>
      </c>
      <c r="K3327" s="6">
        <v>0</v>
      </c>
      <c r="M3327" s="6">
        <f>SUM(H3327,J3327)</f>
        <v>163996.20898357523</v>
      </c>
      <c r="N3327" s="6">
        <f>K3327</f>
        <v>0</v>
      </c>
      <c r="O3327" s="6">
        <f>SUM(M3327:N3327)</f>
        <v>163996.20898357523</v>
      </c>
      <c r="P3327" s="8">
        <f>VLOOKUP(F3327,'LEAID Match'!$A$2:$B$436,2,FALSE)</f>
        <v>1800094</v>
      </c>
      <c r="Q3327" s="6">
        <f>COUNTIF($P$2:$P$3691,P3327)</f>
        <v>9</v>
      </c>
    </row>
    <row r="3328" spans="1:17" x14ac:dyDescent="0.2">
      <c r="A3328" s="16">
        <f>P3328</f>
        <v>1800094</v>
      </c>
      <c r="B3328">
        <v>2023</v>
      </c>
      <c r="C3328" t="s">
        <v>904</v>
      </c>
      <c r="D3328" t="s">
        <v>906</v>
      </c>
      <c r="E3328" t="s">
        <v>4234</v>
      </c>
      <c r="F3328" t="s">
        <v>853</v>
      </c>
      <c r="G3328" t="s">
        <v>355</v>
      </c>
      <c r="H3328" s="6">
        <v>160470</v>
      </c>
      <c r="I3328" s="6">
        <v>6.5623412935360661E-4</v>
      </c>
      <c r="J3328" s="6">
        <v>1618.9295971153474</v>
      </c>
      <c r="K3328" s="6">
        <v>0</v>
      </c>
      <c r="M3328" s="6">
        <f>SUM(H3328,J3328)</f>
        <v>162088.92959711535</v>
      </c>
      <c r="N3328" s="6">
        <f>K3328</f>
        <v>0</v>
      </c>
      <c r="O3328" s="6">
        <f>SUM(M3328:N3328)</f>
        <v>162088.92959711535</v>
      </c>
      <c r="P3328" s="8">
        <f>VLOOKUP(F3328,'LEAID Match'!$A$2:$B$436,2,FALSE)</f>
        <v>1800094</v>
      </c>
      <c r="Q3328" s="6">
        <f>COUNTIF($P$2:$P$3691,P3328)</f>
        <v>9</v>
      </c>
    </row>
    <row r="3329" spans="1:17" x14ac:dyDescent="0.2">
      <c r="A3329" s="16">
        <f>P3329</f>
        <v>1800086</v>
      </c>
      <c r="B3329">
        <v>2015</v>
      </c>
      <c r="C3329" t="s">
        <v>904</v>
      </c>
      <c r="D3329" t="s">
        <v>906</v>
      </c>
      <c r="E3329" t="s">
        <v>4235</v>
      </c>
      <c r="F3329" t="s">
        <v>811</v>
      </c>
      <c r="G3329" t="s">
        <v>356</v>
      </c>
      <c r="H3329" s="6">
        <v>38501</v>
      </c>
      <c r="I3329" s="6">
        <v>1.8721908445243267E-4</v>
      </c>
      <c r="J3329" s="6">
        <v>1087.9300997530863</v>
      </c>
      <c r="K3329" s="6">
        <v>158315.45331832799</v>
      </c>
      <c r="M3329" s="6">
        <f>SUM(H3329,J3329)</f>
        <v>39588.930099753088</v>
      </c>
      <c r="N3329" s="6">
        <f>K3329</f>
        <v>158315.45331832799</v>
      </c>
      <c r="O3329" s="6">
        <f>SUM(M3329:N3329)</f>
        <v>197904.38341808107</v>
      </c>
      <c r="P3329" s="8">
        <f>VLOOKUP(F3329,'LEAID Match'!$A$2:$B$436,2,FALSE)</f>
        <v>1800086</v>
      </c>
      <c r="Q3329" s="6">
        <f>COUNTIF($P$2:$P$3691,P3329)</f>
        <v>9</v>
      </c>
    </row>
    <row r="3330" spans="1:17" x14ac:dyDescent="0.2">
      <c r="A3330" s="16">
        <f>P3330</f>
        <v>1800086</v>
      </c>
      <c r="B3330">
        <v>2016</v>
      </c>
      <c r="C3330" t="s">
        <v>904</v>
      </c>
      <c r="D3330" t="s">
        <v>906</v>
      </c>
      <c r="E3330" t="s">
        <v>4236</v>
      </c>
      <c r="F3330" t="s">
        <v>811</v>
      </c>
      <c r="G3330" t="s">
        <v>356</v>
      </c>
      <c r="H3330" s="6">
        <v>37169</v>
      </c>
      <c r="I3330" s="6">
        <v>1.7246872495740216E-4</v>
      </c>
      <c r="J3330" s="6">
        <v>870.62212358496618</v>
      </c>
      <c r="K3330" s="6">
        <v>153065.99339969401</v>
      </c>
      <c r="M3330" s="6">
        <f>SUM(H3330,J3330)</f>
        <v>38039.622123584966</v>
      </c>
      <c r="N3330" s="6">
        <f>K3330</f>
        <v>153065.99339969401</v>
      </c>
      <c r="O3330" s="6">
        <f>SUM(M3330:N3330)</f>
        <v>191105.61552327898</v>
      </c>
      <c r="P3330" s="8">
        <f>VLOOKUP(F3330,'LEAID Match'!$A$2:$B$436,2,FALSE)</f>
        <v>1800086</v>
      </c>
      <c r="Q3330" s="6">
        <f>COUNTIF($P$2:$P$3691,P3330)</f>
        <v>9</v>
      </c>
    </row>
    <row r="3331" spans="1:17" x14ac:dyDescent="0.2">
      <c r="A3331" s="16">
        <f>P3331</f>
        <v>1800086</v>
      </c>
      <c r="B3331">
        <v>2017</v>
      </c>
      <c r="C3331" t="s">
        <v>904</v>
      </c>
      <c r="D3331" t="s">
        <v>906</v>
      </c>
      <c r="E3331" t="s">
        <v>4237</v>
      </c>
      <c r="F3331" t="s">
        <v>811</v>
      </c>
      <c r="G3331" t="s">
        <v>356</v>
      </c>
      <c r="H3331" s="6">
        <v>27978</v>
      </c>
      <c r="I3331" s="6">
        <v>1.2319910315914285E-4</v>
      </c>
      <c r="J3331" s="6">
        <v>557.47594179512134</v>
      </c>
      <c r="K3331" s="6">
        <v>107306.41885161299</v>
      </c>
      <c r="M3331" s="6">
        <f>SUM(H3331,J3331)</f>
        <v>28535.475941795121</v>
      </c>
      <c r="N3331" s="6">
        <f>K3331</f>
        <v>107306.41885161299</v>
      </c>
      <c r="O3331" s="6">
        <f>SUM(M3331:N3331)</f>
        <v>135841.89479340811</v>
      </c>
      <c r="P3331" s="8">
        <f>VLOOKUP(F3331,'LEAID Match'!$A$2:$B$436,2,FALSE)</f>
        <v>1800086</v>
      </c>
      <c r="Q3331" s="6">
        <f>COUNTIF($P$2:$P$3691,P3331)</f>
        <v>9</v>
      </c>
    </row>
    <row r="3332" spans="1:17" x14ac:dyDescent="0.2">
      <c r="A3332" s="16">
        <f>P3332</f>
        <v>1800086</v>
      </c>
      <c r="B3332">
        <v>2018</v>
      </c>
      <c r="C3332" t="s">
        <v>904</v>
      </c>
      <c r="D3332" t="s">
        <v>906</v>
      </c>
      <c r="E3332" t="s">
        <v>4238</v>
      </c>
      <c r="F3332" t="s">
        <v>811</v>
      </c>
      <c r="G3332" t="s">
        <v>356</v>
      </c>
      <c r="H3332" s="6">
        <v>26509</v>
      </c>
      <c r="I3332" s="6">
        <v>1.1246100805162104E-4</v>
      </c>
      <c r="J3332" s="6">
        <v>468.73748155915649</v>
      </c>
      <c r="K3332" s="6">
        <v>184</v>
      </c>
      <c r="M3332" s="6">
        <f>SUM(H3332,J3332)</f>
        <v>26977.737481559157</v>
      </c>
      <c r="N3332" s="6">
        <f>K3332</f>
        <v>184</v>
      </c>
      <c r="O3332" s="6">
        <f>SUM(M3332:N3332)</f>
        <v>27161.737481559157</v>
      </c>
      <c r="P3332" s="8">
        <f>VLOOKUP(F3332,'LEAID Match'!$A$2:$B$436,2,FALSE)</f>
        <v>1800086</v>
      </c>
      <c r="Q3332" s="6">
        <f>COUNTIF($P$2:$P$3691,P3332)</f>
        <v>9</v>
      </c>
    </row>
    <row r="3333" spans="1:17" x14ac:dyDescent="0.2">
      <c r="A3333" s="16">
        <f>P3333</f>
        <v>1800086</v>
      </c>
      <c r="B3333">
        <v>2019</v>
      </c>
      <c r="C3333" t="s">
        <v>904</v>
      </c>
      <c r="D3333" t="s">
        <v>906</v>
      </c>
      <c r="E3333" t="s">
        <v>4239</v>
      </c>
      <c r="F3333" t="s">
        <v>811</v>
      </c>
      <c r="G3333" t="s">
        <v>356</v>
      </c>
      <c r="H3333" s="6">
        <v>25644</v>
      </c>
      <c r="I3333" s="6">
        <v>6.5238196921558461E-5</v>
      </c>
      <c r="J3333" s="6">
        <v>228.6598802100624</v>
      </c>
      <c r="K3333" s="6">
        <v>61578.334074259001</v>
      </c>
      <c r="M3333" s="6">
        <f>SUM(H3333,J3333)</f>
        <v>25872.659880210063</v>
      </c>
      <c r="N3333" s="6">
        <f>K3333</f>
        <v>61578.334074259001</v>
      </c>
      <c r="O3333" s="6">
        <f>SUM(M3333:N3333)</f>
        <v>87450.993954469071</v>
      </c>
      <c r="P3333" s="8">
        <f>VLOOKUP(F3333,'LEAID Match'!$A$2:$B$436,2,FALSE)</f>
        <v>1800086</v>
      </c>
      <c r="Q3333" s="6">
        <f>COUNTIF($P$2:$P$3691,P3333)</f>
        <v>9</v>
      </c>
    </row>
    <row r="3334" spans="1:17" x14ac:dyDescent="0.2">
      <c r="A3334" s="16">
        <f>P3334</f>
        <v>1800086</v>
      </c>
      <c r="B3334">
        <v>2020</v>
      </c>
      <c r="C3334" t="s">
        <v>904</v>
      </c>
      <c r="D3334" t="s">
        <v>906</v>
      </c>
      <c r="E3334" t="s">
        <v>4240</v>
      </c>
      <c r="F3334" t="s">
        <v>811</v>
      </c>
      <c r="G3334" t="s">
        <v>356</v>
      </c>
      <c r="H3334" s="6">
        <v>24754</v>
      </c>
      <c r="I3334" s="6">
        <v>1.3116421054432025E-4</v>
      </c>
      <c r="J3334" s="6">
        <v>309.02288004241854</v>
      </c>
      <c r="K3334" s="6">
        <v>194</v>
      </c>
      <c r="M3334" s="6">
        <f>SUM(H3334,J3334)</f>
        <v>25063.022880042419</v>
      </c>
      <c r="N3334" s="6">
        <f>K3334</f>
        <v>194</v>
      </c>
      <c r="O3334" s="6">
        <f>SUM(M3334:N3334)</f>
        <v>25257.022880042419</v>
      </c>
      <c r="P3334" s="8">
        <f>VLOOKUP(F3334,'LEAID Match'!$A$2:$B$436,2,FALSE)</f>
        <v>1800086</v>
      </c>
      <c r="Q3334" s="6">
        <f>COUNTIF($P$2:$P$3691,P3334)</f>
        <v>9</v>
      </c>
    </row>
    <row r="3335" spans="1:17" x14ac:dyDescent="0.2">
      <c r="A3335" s="16">
        <f>P3335</f>
        <v>1800086</v>
      </c>
      <c r="B3335">
        <v>2021</v>
      </c>
      <c r="C3335" t="s">
        <v>904</v>
      </c>
      <c r="D3335" t="s">
        <v>906</v>
      </c>
      <c r="E3335" t="s">
        <v>4241</v>
      </c>
      <c r="F3335" t="s">
        <v>811</v>
      </c>
      <c r="G3335" t="s">
        <v>356</v>
      </c>
      <c r="H3335" s="6">
        <v>15719</v>
      </c>
      <c r="I3335" s="6">
        <v>7.7653321850185958E-5</v>
      </c>
      <c r="J3335" s="6">
        <v>175.03058745031916</v>
      </c>
      <c r="K3335" s="6">
        <v>320</v>
      </c>
      <c r="M3335" s="6">
        <f>SUM(H3335,J3335)</f>
        <v>15894.030587450319</v>
      </c>
      <c r="N3335" s="6">
        <f>K3335</f>
        <v>320</v>
      </c>
      <c r="O3335" s="6">
        <f>SUM(M3335:N3335)</f>
        <v>16214.030587450319</v>
      </c>
      <c r="P3335" s="8">
        <f>VLOOKUP(F3335,'LEAID Match'!$A$2:$B$436,2,FALSE)</f>
        <v>1800086</v>
      </c>
      <c r="Q3335" s="6">
        <f>COUNTIF($P$2:$P$3691,P3335)</f>
        <v>9</v>
      </c>
    </row>
    <row r="3336" spans="1:17" x14ac:dyDescent="0.2">
      <c r="A3336" s="16">
        <f>P3336</f>
        <v>1800086</v>
      </c>
      <c r="B3336">
        <v>2022</v>
      </c>
      <c r="C3336" t="s">
        <v>904</v>
      </c>
      <c r="D3336" t="s">
        <v>906</v>
      </c>
      <c r="E3336" t="s">
        <v>4242</v>
      </c>
      <c r="F3336" t="s">
        <v>811</v>
      </c>
      <c r="G3336" t="s">
        <v>356</v>
      </c>
      <c r="H3336" s="6">
        <v>12755</v>
      </c>
      <c r="I3336" s="6">
        <v>6.0563110531233108E-5</v>
      </c>
      <c r="J3336" s="6">
        <v>133.541658721369</v>
      </c>
      <c r="K3336" s="6">
        <v>310</v>
      </c>
      <c r="M3336" s="6">
        <f>SUM(H3336,J3336)</f>
        <v>12888.541658721369</v>
      </c>
      <c r="N3336" s="6">
        <f>K3336</f>
        <v>310</v>
      </c>
      <c r="O3336" s="6">
        <f>SUM(M3336:N3336)</f>
        <v>13198.541658721369</v>
      </c>
      <c r="P3336" s="8">
        <f>VLOOKUP(F3336,'LEAID Match'!$A$2:$B$436,2,FALSE)</f>
        <v>1800086</v>
      </c>
      <c r="Q3336" s="6">
        <f>COUNTIF($P$2:$P$3691,P3336)</f>
        <v>9</v>
      </c>
    </row>
    <row r="3337" spans="1:17" x14ac:dyDescent="0.2">
      <c r="A3337" s="16">
        <f>P3337</f>
        <v>1800086</v>
      </c>
      <c r="B3337">
        <v>2023</v>
      </c>
      <c r="C3337" t="s">
        <v>904</v>
      </c>
      <c r="D3337" t="s">
        <v>906</v>
      </c>
      <c r="E3337" t="s">
        <v>4243</v>
      </c>
      <c r="F3337" t="s">
        <v>811</v>
      </c>
      <c r="G3337" t="s">
        <v>356</v>
      </c>
      <c r="H3337" s="6">
        <v>28442</v>
      </c>
      <c r="I3337" s="6">
        <v>1.1631215247133594E-4</v>
      </c>
      <c r="J3337" s="6">
        <v>286.94208014678577</v>
      </c>
      <c r="K3337" s="6">
        <v>847</v>
      </c>
      <c r="M3337" s="6">
        <f>SUM(H3337,J3337)</f>
        <v>28728.942080146786</v>
      </c>
      <c r="N3337" s="6">
        <f>K3337</f>
        <v>847</v>
      </c>
      <c r="O3337" s="6">
        <f>SUM(M3337:N3337)</f>
        <v>29575.942080146786</v>
      </c>
      <c r="P3337" s="8">
        <f>VLOOKUP(F3337,'LEAID Match'!$A$2:$B$436,2,FALSE)</f>
        <v>1800086</v>
      </c>
      <c r="Q3337" s="6">
        <f>COUNTIF($P$2:$P$3691,P3337)</f>
        <v>9</v>
      </c>
    </row>
    <row r="3338" spans="1:17" x14ac:dyDescent="0.2">
      <c r="A3338" s="16">
        <f>P3338</f>
        <v>1800082</v>
      </c>
      <c r="B3338">
        <v>2015</v>
      </c>
      <c r="C3338" t="s">
        <v>904</v>
      </c>
      <c r="D3338" t="s">
        <v>906</v>
      </c>
      <c r="E3338" t="s">
        <v>4244</v>
      </c>
      <c r="F3338" t="s">
        <v>812</v>
      </c>
      <c r="G3338" t="s">
        <v>357</v>
      </c>
      <c r="H3338" s="6">
        <v>95898</v>
      </c>
      <c r="I3338" s="6">
        <v>4.6632388147890678E-4</v>
      </c>
      <c r="J3338" s="6">
        <v>2709.8080752739274</v>
      </c>
      <c r="K3338" s="6">
        <v>394330.935360667</v>
      </c>
      <c r="M3338" s="6">
        <f>SUM(H3338,J3338)</f>
        <v>98607.808075273933</v>
      </c>
      <c r="N3338" s="6">
        <f>K3338</f>
        <v>394330.935360667</v>
      </c>
      <c r="O3338" s="6">
        <f>SUM(M3338:N3338)</f>
        <v>492938.74343594094</v>
      </c>
      <c r="P3338" s="8">
        <f>VLOOKUP(F3338,'LEAID Match'!$A$2:$B$436,2,FALSE)</f>
        <v>1800082</v>
      </c>
      <c r="Q3338" s="6">
        <f>COUNTIF($P$2:$P$3691,P3338)</f>
        <v>9</v>
      </c>
    </row>
    <row r="3339" spans="1:17" x14ac:dyDescent="0.2">
      <c r="A3339" s="16">
        <f>P3339</f>
        <v>1800082</v>
      </c>
      <c r="B3339">
        <v>2016</v>
      </c>
      <c r="C3339" t="s">
        <v>904</v>
      </c>
      <c r="D3339" t="s">
        <v>906</v>
      </c>
      <c r="E3339" t="s">
        <v>4245</v>
      </c>
      <c r="F3339" t="s">
        <v>812</v>
      </c>
      <c r="G3339" t="s">
        <v>357</v>
      </c>
      <c r="H3339" s="6">
        <v>108121</v>
      </c>
      <c r="I3339" s="6">
        <v>5.0169471901636523E-4</v>
      </c>
      <c r="J3339" s="6">
        <v>2532.5549415946116</v>
      </c>
      <c r="K3339" s="6">
        <v>445254.06312702398</v>
      </c>
      <c r="M3339" s="6">
        <f>SUM(H3339,J3339)</f>
        <v>110653.55494159462</v>
      </c>
      <c r="N3339" s="6">
        <f>K3339</f>
        <v>445254.06312702398</v>
      </c>
      <c r="O3339" s="6">
        <f>SUM(M3339:N3339)</f>
        <v>555907.61806861858</v>
      </c>
      <c r="P3339" s="8">
        <f>VLOOKUP(F3339,'LEAID Match'!$A$2:$B$436,2,FALSE)</f>
        <v>1800082</v>
      </c>
      <c r="Q3339" s="6">
        <f>COUNTIF($P$2:$P$3691,P3339)</f>
        <v>9</v>
      </c>
    </row>
    <row r="3340" spans="1:17" x14ac:dyDescent="0.2">
      <c r="A3340" s="16">
        <f>P3340</f>
        <v>1800082</v>
      </c>
      <c r="B3340">
        <v>2017</v>
      </c>
      <c r="C3340" t="s">
        <v>904</v>
      </c>
      <c r="D3340" t="s">
        <v>906</v>
      </c>
      <c r="E3340" t="s">
        <v>4246</v>
      </c>
      <c r="F3340" t="s">
        <v>812</v>
      </c>
      <c r="G3340" t="s">
        <v>357</v>
      </c>
      <c r="H3340" s="6">
        <v>108321</v>
      </c>
      <c r="I3340" s="6">
        <v>4.7698370338485638E-4</v>
      </c>
      <c r="J3340" s="6">
        <v>2158.351257816475</v>
      </c>
      <c r="K3340" s="6">
        <v>415452.805648209</v>
      </c>
      <c r="M3340" s="6">
        <f>SUM(H3340,J3340)</f>
        <v>110479.35125781648</v>
      </c>
      <c r="N3340" s="6">
        <f>K3340</f>
        <v>415452.805648209</v>
      </c>
      <c r="O3340" s="6">
        <f>SUM(M3340:N3340)</f>
        <v>525932.15690602548</v>
      </c>
      <c r="P3340" s="8">
        <f>VLOOKUP(F3340,'LEAID Match'!$A$2:$B$436,2,FALSE)</f>
        <v>1800082</v>
      </c>
      <c r="Q3340" s="6">
        <f>COUNTIF($P$2:$P$3691,P3340)</f>
        <v>9</v>
      </c>
    </row>
    <row r="3341" spans="1:17" x14ac:dyDescent="0.2">
      <c r="A3341" s="16">
        <f>P3341</f>
        <v>1800082</v>
      </c>
      <c r="B3341">
        <v>2018</v>
      </c>
      <c r="C3341" t="s">
        <v>904</v>
      </c>
      <c r="D3341" t="s">
        <v>906</v>
      </c>
      <c r="E3341" t="s">
        <v>4247</v>
      </c>
      <c r="F3341" t="s">
        <v>812</v>
      </c>
      <c r="G3341" t="s">
        <v>357</v>
      </c>
      <c r="H3341" s="6">
        <v>114002</v>
      </c>
      <c r="I3341" s="6">
        <v>4.8363875815386851E-4</v>
      </c>
      <c r="J3341" s="6">
        <v>2015.806343985324</v>
      </c>
      <c r="K3341" s="6">
        <v>18633</v>
      </c>
      <c r="M3341" s="6">
        <f>SUM(H3341,J3341)</f>
        <v>116017.80634398533</v>
      </c>
      <c r="N3341" s="6">
        <f>K3341</f>
        <v>18633</v>
      </c>
      <c r="O3341" s="6">
        <f>SUM(M3341:N3341)</f>
        <v>134650.80634398531</v>
      </c>
      <c r="P3341" s="8">
        <f>VLOOKUP(F3341,'LEAID Match'!$A$2:$B$436,2,FALSE)</f>
        <v>1800082</v>
      </c>
      <c r="Q3341" s="6">
        <f>COUNTIF($P$2:$P$3691,P3341)</f>
        <v>9</v>
      </c>
    </row>
    <row r="3342" spans="1:17" x14ac:dyDescent="0.2">
      <c r="A3342" s="16">
        <f>P3342</f>
        <v>1800082</v>
      </c>
      <c r="B3342">
        <v>2019</v>
      </c>
      <c r="C3342" t="s">
        <v>904</v>
      </c>
      <c r="D3342" t="s">
        <v>906</v>
      </c>
      <c r="E3342" t="s">
        <v>4248</v>
      </c>
      <c r="F3342" t="s">
        <v>812</v>
      </c>
      <c r="G3342" t="s">
        <v>357</v>
      </c>
      <c r="H3342" s="6">
        <v>130184</v>
      </c>
      <c r="I3342" s="6">
        <v>3.3118738995617557E-4</v>
      </c>
      <c r="J3342" s="6">
        <v>1160.8118017963955</v>
      </c>
      <c r="K3342" s="6">
        <v>312607.77737963398</v>
      </c>
      <c r="M3342" s="6">
        <f>SUM(H3342,J3342)</f>
        <v>131344.8118017964</v>
      </c>
      <c r="N3342" s="6">
        <f>K3342</f>
        <v>312607.77737963398</v>
      </c>
      <c r="O3342" s="6">
        <f>SUM(M3342:N3342)</f>
        <v>443952.58918143041</v>
      </c>
      <c r="P3342" s="8">
        <f>VLOOKUP(F3342,'LEAID Match'!$A$2:$B$436,2,FALSE)</f>
        <v>1800082</v>
      </c>
      <c r="Q3342" s="6">
        <f>COUNTIF($P$2:$P$3691,P3342)</f>
        <v>9</v>
      </c>
    </row>
    <row r="3343" spans="1:17" x14ac:dyDescent="0.2">
      <c r="A3343" s="16">
        <f>P3343</f>
        <v>1800082</v>
      </c>
      <c r="B3343">
        <v>2020</v>
      </c>
      <c r="C3343" t="s">
        <v>904</v>
      </c>
      <c r="D3343" t="s">
        <v>906</v>
      </c>
      <c r="E3343" t="s">
        <v>4249</v>
      </c>
      <c r="F3343" t="s">
        <v>812</v>
      </c>
      <c r="G3343" t="s">
        <v>357</v>
      </c>
      <c r="H3343" s="6">
        <v>94946</v>
      </c>
      <c r="I3343" s="6">
        <v>5.0309110181550579E-4</v>
      </c>
      <c r="J3343" s="6">
        <v>1185.2826358773316</v>
      </c>
      <c r="K3343" s="6">
        <v>23210</v>
      </c>
      <c r="M3343" s="6">
        <f>SUM(H3343,J3343)</f>
        <v>96131.282635877331</v>
      </c>
      <c r="N3343" s="6">
        <f>K3343</f>
        <v>23210</v>
      </c>
      <c r="O3343" s="6">
        <f>SUM(M3343:N3343)</f>
        <v>119341.28263587733</v>
      </c>
      <c r="P3343" s="8">
        <f>VLOOKUP(F3343,'LEAID Match'!$A$2:$B$436,2,FALSE)</f>
        <v>1800082</v>
      </c>
      <c r="Q3343" s="6">
        <f>COUNTIF($P$2:$P$3691,P3343)</f>
        <v>9</v>
      </c>
    </row>
    <row r="3344" spans="1:17" x14ac:dyDescent="0.2">
      <c r="A3344" s="16">
        <f>P3344</f>
        <v>1800082</v>
      </c>
      <c r="B3344">
        <v>2021</v>
      </c>
      <c r="C3344" t="s">
        <v>904</v>
      </c>
      <c r="D3344" t="s">
        <v>906</v>
      </c>
      <c r="E3344" t="s">
        <v>4250</v>
      </c>
      <c r="F3344" t="s">
        <v>812</v>
      </c>
      <c r="G3344" t="s">
        <v>357</v>
      </c>
      <c r="H3344" s="6">
        <v>96804</v>
      </c>
      <c r="I3344" s="6">
        <v>4.7822076266845228E-4</v>
      </c>
      <c r="J3344" s="6">
        <v>1077.9095990546914</v>
      </c>
      <c r="K3344" s="6">
        <v>46992</v>
      </c>
      <c r="M3344" s="6">
        <f>SUM(H3344,J3344)</f>
        <v>97881.909599054692</v>
      </c>
      <c r="N3344" s="6">
        <f>K3344</f>
        <v>46992</v>
      </c>
      <c r="O3344" s="6">
        <f>SUM(M3344:N3344)</f>
        <v>144873.90959905469</v>
      </c>
      <c r="P3344" s="8">
        <f>VLOOKUP(F3344,'LEAID Match'!$A$2:$B$436,2,FALSE)</f>
        <v>1800082</v>
      </c>
      <c r="Q3344" s="6">
        <f>COUNTIF($P$2:$P$3691,P3344)</f>
        <v>9</v>
      </c>
    </row>
    <row r="3345" spans="1:17" x14ac:dyDescent="0.2">
      <c r="A3345" s="16">
        <f>P3345</f>
        <v>1800082</v>
      </c>
      <c r="B3345">
        <v>2022</v>
      </c>
      <c r="C3345" t="s">
        <v>904</v>
      </c>
      <c r="D3345" t="s">
        <v>906</v>
      </c>
      <c r="E3345" t="s">
        <v>4251</v>
      </c>
      <c r="F3345" t="s">
        <v>812</v>
      </c>
      <c r="G3345" t="s">
        <v>357</v>
      </c>
      <c r="H3345" s="6">
        <v>102697</v>
      </c>
      <c r="I3345" s="6">
        <v>4.8762444235406091E-4</v>
      </c>
      <c r="J3345" s="6">
        <v>1075.2118953907043</v>
      </c>
      <c r="K3345" s="6">
        <v>50853</v>
      </c>
      <c r="M3345" s="6">
        <f>SUM(H3345,J3345)</f>
        <v>103772.2118953907</v>
      </c>
      <c r="N3345" s="6">
        <f>K3345</f>
        <v>50853</v>
      </c>
      <c r="O3345" s="6">
        <f>SUM(M3345:N3345)</f>
        <v>154625.2118953907</v>
      </c>
      <c r="P3345" s="8">
        <f>VLOOKUP(F3345,'LEAID Match'!$A$2:$B$436,2,FALSE)</f>
        <v>1800082</v>
      </c>
      <c r="Q3345" s="6">
        <f>COUNTIF($P$2:$P$3691,P3345)</f>
        <v>9</v>
      </c>
    </row>
    <row r="3346" spans="1:17" x14ac:dyDescent="0.2">
      <c r="A3346" s="16">
        <f>P3346</f>
        <v>1800082</v>
      </c>
      <c r="B3346">
        <v>2023</v>
      </c>
      <c r="C3346" t="s">
        <v>904</v>
      </c>
      <c r="D3346" t="s">
        <v>906</v>
      </c>
      <c r="E3346" t="s">
        <v>4252</v>
      </c>
      <c r="F3346" t="s">
        <v>812</v>
      </c>
      <c r="G3346" t="s">
        <v>357</v>
      </c>
      <c r="H3346" s="6">
        <v>119066</v>
      </c>
      <c r="I3346" s="6">
        <v>4.8691451888587596E-4</v>
      </c>
      <c r="J3346" s="6">
        <v>1201.2181180914561</v>
      </c>
      <c r="K3346" s="6">
        <v>247324</v>
      </c>
      <c r="M3346" s="6">
        <f>SUM(H3346,J3346)</f>
        <v>120267.21811809146</v>
      </c>
      <c r="N3346" s="6">
        <f>K3346</f>
        <v>247324</v>
      </c>
      <c r="O3346" s="6">
        <f>SUM(M3346:N3346)</f>
        <v>367591.21811809146</v>
      </c>
      <c r="P3346" s="8">
        <f>VLOOKUP(F3346,'LEAID Match'!$A$2:$B$436,2,FALSE)</f>
        <v>1800082</v>
      </c>
      <c r="Q3346" s="6">
        <f>COUNTIF($P$2:$P$3691,P3346)</f>
        <v>9</v>
      </c>
    </row>
    <row r="3347" spans="1:17" x14ac:dyDescent="0.2">
      <c r="A3347" s="16">
        <f>P3347</f>
        <v>0</v>
      </c>
      <c r="B3347">
        <v>2015</v>
      </c>
      <c r="C3347" t="s">
        <v>904</v>
      </c>
      <c r="D3347" t="s">
        <v>906</v>
      </c>
      <c r="E3347" t="s">
        <v>4253</v>
      </c>
      <c r="F3347" t="s">
        <v>813</v>
      </c>
      <c r="G3347" t="s">
        <v>358</v>
      </c>
      <c r="H3347" s="6">
        <v>62370</v>
      </c>
      <c r="I3347" s="6">
        <v>3.0328703922750645E-4</v>
      </c>
      <c r="J3347" s="6">
        <v>1762.4009849510401</v>
      </c>
      <c r="K3347" s="6">
        <v>256464.37296340699</v>
      </c>
      <c r="M3347" s="6">
        <f>SUM(H3347,J3347)</f>
        <v>64132.40098495104</v>
      </c>
      <c r="N3347" s="6">
        <f>K3347</f>
        <v>256464.37296340699</v>
      </c>
      <c r="O3347" s="6">
        <f>SUM(M3347:N3347)</f>
        <v>320596.77394835802</v>
      </c>
      <c r="P3347" s="8">
        <f>VLOOKUP(F3347,'LEAID Match'!$A$2:$B$436,2,FALSE)</f>
        <v>0</v>
      </c>
      <c r="Q3347" s="6">
        <f>COUNTIF($P$2:$P$3691,P3347)</f>
        <v>371</v>
      </c>
    </row>
    <row r="3348" spans="1:17" x14ac:dyDescent="0.2">
      <c r="A3348" s="16">
        <f>P3348</f>
        <v>0</v>
      </c>
      <c r="B3348">
        <v>2016</v>
      </c>
      <c r="C3348" t="s">
        <v>904</v>
      </c>
      <c r="D3348" t="s">
        <v>906</v>
      </c>
      <c r="E3348" t="s">
        <v>4254</v>
      </c>
      <c r="F3348" t="s">
        <v>813</v>
      </c>
      <c r="G3348" t="s">
        <v>358</v>
      </c>
      <c r="H3348" s="6">
        <v>112124</v>
      </c>
      <c r="I3348" s="6">
        <v>5.2026913064983618E-4</v>
      </c>
      <c r="J3348" s="6">
        <v>2626.3185715203731</v>
      </c>
      <c r="K3348" s="6">
        <v>461738.853451729</v>
      </c>
      <c r="M3348" s="6">
        <f>SUM(H3348,J3348)</f>
        <v>114750.31857152037</v>
      </c>
      <c r="N3348" s="6">
        <f>K3348</f>
        <v>461738.853451729</v>
      </c>
      <c r="O3348" s="6">
        <f>SUM(M3348:N3348)</f>
        <v>576489.17202324932</v>
      </c>
      <c r="P3348" s="8">
        <f>VLOOKUP(F3348,'LEAID Match'!$A$2:$B$436,2,FALSE)</f>
        <v>0</v>
      </c>
      <c r="Q3348" s="6">
        <f>COUNTIF($P$2:$P$3691,P3348)</f>
        <v>371</v>
      </c>
    </row>
    <row r="3349" spans="1:17" x14ac:dyDescent="0.2">
      <c r="A3349" s="16">
        <f>P3349</f>
        <v>0</v>
      </c>
      <c r="B3349">
        <v>2017</v>
      </c>
      <c r="C3349" t="s">
        <v>904</v>
      </c>
      <c r="D3349" t="s">
        <v>906</v>
      </c>
      <c r="E3349" t="s">
        <v>4255</v>
      </c>
      <c r="F3349" t="s">
        <v>813</v>
      </c>
      <c r="G3349" t="s">
        <v>358</v>
      </c>
      <c r="H3349" s="6">
        <v>131415</v>
      </c>
      <c r="I3349" s="6">
        <v>5.7867646513899338E-4</v>
      </c>
      <c r="J3349" s="6">
        <v>2618.5110047539451</v>
      </c>
      <c r="K3349" s="6">
        <v>504027.20113606303</v>
      </c>
      <c r="M3349" s="6">
        <f>SUM(H3349,J3349)</f>
        <v>134033.51100475393</v>
      </c>
      <c r="N3349" s="6">
        <f>K3349</f>
        <v>504027.20113606303</v>
      </c>
      <c r="O3349" s="6">
        <f>SUM(M3349:N3349)</f>
        <v>638060.71214081696</v>
      </c>
      <c r="P3349" s="8">
        <f>VLOOKUP(F3349,'LEAID Match'!$A$2:$B$436,2,FALSE)</f>
        <v>0</v>
      </c>
      <c r="Q3349" s="6">
        <f>COUNTIF($P$2:$P$3691,P3349)</f>
        <v>371</v>
      </c>
    </row>
    <row r="3350" spans="1:17" x14ac:dyDescent="0.2">
      <c r="A3350" s="16">
        <f>P3350</f>
        <v>0</v>
      </c>
      <c r="B3350">
        <v>2018</v>
      </c>
      <c r="C3350" t="s">
        <v>904</v>
      </c>
      <c r="D3350" t="s">
        <v>906</v>
      </c>
      <c r="E3350" t="s">
        <v>4256</v>
      </c>
      <c r="F3350" t="s">
        <v>813</v>
      </c>
      <c r="G3350" t="s">
        <v>358</v>
      </c>
      <c r="H3350" s="6">
        <v>158268</v>
      </c>
      <c r="I3350" s="6">
        <v>6.7143154484567346E-4</v>
      </c>
      <c r="J3350" s="6">
        <v>2798.5266789167672</v>
      </c>
      <c r="K3350" s="6">
        <v>91056</v>
      </c>
      <c r="M3350" s="6">
        <f>SUM(H3350,J3350)</f>
        <v>161066.52667891677</v>
      </c>
      <c r="N3350" s="6">
        <f>K3350</f>
        <v>91056</v>
      </c>
      <c r="O3350" s="6">
        <f>SUM(M3350:N3350)</f>
        <v>252122.52667891677</v>
      </c>
      <c r="P3350" s="8">
        <f>VLOOKUP(F3350,'LEAID Match'!$A$2:$B$436,2,FALSE)</f>
        <v>0</v>
      </c>
      <c r="Q3350" s="6">
        <f>COUNTIF($P$2:$P$3691,P3350)</f>
        <v>371</v>
      </c>
    </row>
    <row r="3351" spans="1:17" x14ac:dyDescent="0.2">
      <c r="A3351" s="16">
        <f>P3351</f>
        <v>0</v>
      </c>
      <c r="B3351">
        <v>2019</v>
      </c>
      <c r="C3351" t="s">
        <v>904</v>
      </c>
      <c r="D3351" t="s">
        <v>906</v>
      </c>
      <c r="E3351" t="s">
        <v>4257</v>
      </c>
      <c r="F3351" t="s">
        <v>813</v>
      </c>
      <c r="G3351" t="s">
        <v>358</v>
      </c>
      <c r="H3351" s="6">
        <v>171069</v>
      </c>
      <c r="I3351" s="6">
        <v>4.3519860821923586E-4</v>
      </c>
      <c r="J3351" s="6">
        <v>1525.3711218084218</v>
      </c>
      <c r="K3351" s="6">
        <v>410783.96629813599</v>
      </c>
      <c r="M3351" s="6">
        <f>SUM(H3351,J3351)</f>
        <v>172594.37112180842</v>
      </c>
      <c r="N3351" s="6">
        <f>K3351</f>
        <v>410783.96629813599</v>
      </c>
      <c r="O3351" s="6">
        <f>SUM(M3351:N3351)</f>
        <v>583378.33741994435</v>
      </c>
      <c r="P3351" s="8">
        <f>VLOOKUP(F3351,'LEAID Match'!$A$2:$B$436,2,FALSE)</f>
        <v>0</v>
      </c>
      <c r="Q3351" s="6">
        <f>COUNTIF($P$2:$P$3691,P3351)</f>
        <v>371</v>
      </c>
    </row>
    <row r="3352" spans="1:17" x14ac:dyDescent="0.2">
      <c r="A3352" s="16">
        <f>P3352</f>
        <v>0</v>
      </c>
      <c r="B3352">
        <v>2020</v>
      </c>
      <c r="C3352" t="s">
        <v>904</v>
      </c>
      <c r="D3352" t="s">
        <v>906</v>
      </c>
      <c r="E3352" t="s">
        <v>4258</v>
      </c>
      <c r="F3352" t="s">
        <v>813</v>
      </c>
      <c r="G3352" t="s">
        <v>358</v>
      </c>
      <c r="H3352" s="6">
        <v>133195</v>
      </c>
      <c r="I3352" s="6">
        <v>7.0576137284684233E-4</v>
      </c>
      <c r="J3352" s="6">
        <v>1662.7737944271605</v>
      </c>
      <c r="K3352" s="6">
        <v>102163</v>
      </c>
      <c r="M3352" s="6">
        <f>SUM(H3352,J3352)</f>
        <v>134857.77379442716</v>
      </c>
      <c r="N3352" s="6">
        <f>K3352</f>
        <v>102163</v>
      </c>
      <c r="O3352" s="6">
        <f>SUM(M3352:N3352)</f>
        <v>237020.77379442716</v>
      </c>
      <c r="P3352" s="8">
        <f>VLOOKUP(F3352,'LEAID Match'!$A$2:$B$436,2,FALSE)</f>
        <v>0</v>
      </c>
      <c r="Q3352" s="6">
        <f>COUNTIF($P$2:$P$3691,P3352)</f>
        <v>371</v>
      </c>
    </row>
    <row r="3353" spans="1:17" x14ac:dyDescent="0.2">
      <c r="A3353" s="16">
        <f>P3353</f>
        <v>0</v>
      </c>
      <c r="B3353">
        <v>2021</v>
      </c>
      <c r="C3353" t="s">
        <v>904</v>
      </c>
      <c r="D3353" t="s">
        <v>906</v>
      </c>
      <c r="E3353" t="s">
        <v>4259</v>
      </c>
      <c r="F3353" t="s">
        <v>813</v>
      </c>
      <c r="G3353" t="s">
        <v>358</v>
      </c>
      <c r="H3353" s="6">
        <v>144567</v>
      </c>
      <c r="I3353" s="6">
        <v>7.1417442457636195E-4</v>
      </c>
      <c r="J3353" s="6">
        <v>1609.7491529951199</v>
      </c>
      <c r="K3353" s="6">
        <v>172465</v>
      </c>
      <c r="M3353" s="6">
        <f>SUM(H3353,J3353)</f>
        <v>146176.74915299512</v>
      </c>
      <c r="N3353" s="6">
        <f>K3353</f>
        <v>172465</v>
      </c>
      <c r="O3353" s="6">
        <f>SUM(M3353:N3353)</f>
        <v>318641.74915299512</v>
      </c>
      <c r="P3353" s="8">
        <f>VLOOKUP(F3353,'LEAID Match'!$A$2:$B$436,2,FALSE)</f>
        <v>0</v>
      </c>
      <c r="Q3353" s="6">
        <f>COUNTIF($P$2:$P$3691,P3353)</f>
        <v>371</v>
      </c>
    </row>
    <row r="3354" spans="1:17" x14ac:dyDescent="0.2">
      <c r="A3354" s="16">
        <f>P3354</f>
        <v>0</v>
      </c>
      <c r="B3354">
        <v>2022</v>
      </c>
      <c r="C3354" t="s">
        <v>904</v>
      </c>
      <c r="D3354" t="s">
        <v>906</v>
      </c>
      <c r="E3354" t="s">
        <v>4260</v>
      </c>
      <c r="F3354" t="s">
        <v>813</v>
      </c>
      <c r="G3354" t="s">
        <v>358</v>
      </c>
      <c r="H3354" s="6">
        <v>151698</v>
      </c>
      <c r="I3354" s="6">
        <v>7.2029029724555082E-4</v>
      </c>
      <c r="J3354" s="6">
        <v>1588.2401054264396</v>
      </c>
      <c r="K3354" s="6">
        <v>170235</v>
      </c>
      <c r="M3354" s="6">
        <f>SUM(H3354,J3354)</f>
        <v>153286.24010542643</v>
      </c>
      <c r="N3354" s="6">
        <f>K3354</f>
        <v>170235</v>
      </c>
      <c r="O3354" s="6">
        <f>SUM(M3354:N3354)</f>
        <v>323521.2401054264</v>
      </c>
      <c r="P3354" s="8">
        <f>VLOOKUP(F3354,'LEAID Match'!$A$2:$B$436,2,FALSE)</f>
        <v>0</v>
      </c>
      <c r="Q3354" s="6">
        <f>COUNTIF($P$2:$P$3691,P3354)</f>
        <v>371</v>
      </c>
    </row>
    <row r="3355" spans="1:17" x14ac:dyDescent="0.2">
      <c r="A3355" s="16">
        <f>P3355</f>
        <v>0</v>
      </c>
      <c r="B3355">
        <v>2023</v>
      </c>
      <c r="C3355" t="s">
        <v>904</v>
      </c>
      <c r="D3355" t="s">
        <v>906</v>
      </c>
      <c r="E3355" t="s">
        <v>4261</v>
      </c>
      <c r="F3355" t="s">
        <v>813</v>
      </c>
      <c r="G3355" t="s">
        <v>358</v>
      </c>
      <c r="H3355" s="6">
        <v>198677</v>
      </c>
      <c r="I3355" s="6">
        <v>8.1247976642105375E-4</v>
      </c>
      <c r="J3355" s="6">
        <v>2004.3875837607395</v>
      </c>
      <c r="K3355" s="6">
        <v>747901</v>
      </c>
      <c r="M3355" s="6">
        <f>SUM(H3355,J3355)</f>
        <v>200681.38758376075</v>
      </c>
      <c r="N3355" s="6">
        <f>K3355</f>
        <v>747901</v>
      </c>
      <c r="O3355" s="6">
        <f>SUM(M3355:N3355)</f>
        <v>948582.38758376078</v>
      </c>
      <c r="P3355" s="8">
        <f>VLOOKUP(F3355,'LEAID Match'!$A$2:$B$436,2,FALSE)</f>
        <v>0</v>
      </c>
      <c r="Q3355" s="6">
        <f>COUNTIF($P$2:$P$3691,P3355)</f>
        <v>371</v>
      </c>
    </row>
    <row r="3356" spans="1:17" x14ac:dyDescent="0.2">
      <c r="A3356" s="16">
        <f>P3356</f>
        <v>1800102</v>
      </c>
      <c r="B3356">
        <v>2015</v>
      </c>
      <c r="C3356" t="s">
        <v>904</v>
      </c>
      <c r="D3356" t="s">
        <v>906</v>
      </c>
      <c r="E3356" t="s">
        <v>4262</v>
      </c>
      <c r="F3356" t="s">
        <v>814</v>
      </c>
      <c r="G3356" t="s">
        <v>359</v>
      </c>
      <c r="H3356" s="6">
        <v>19555</v>
      </c>
      <c r="I3356" s="6">
        <v>9.5090236525475217E-5</v>
      </c>
      <c r="J3356" s="6">
        <v>552.56936444953647</v>
      </c>
      <c r="K3356" s="6">
        <v>80409.825449726195</v>
      </c>
      <c r="M3356" s="6">
        <f>SUM(H3356,J3356)</f>
        <v>20107.569364449537</v>
      </c>
      <c r="N3356" s="6">
        <f>K3356</f>
        <v>80409.825449726195</v>
      </c>
      <c r="O3356" s="6">
        <f>SUM(M3356:N3356)</f>
        <v>100517.39481417573</v>
      </c>
      <c r="P3356" s="8">
        <f>VLOOKUP(F3356,'LEAID Match'!$A$2:$B$436,2,FALSE)</f>
        <v>1800102</v>
      </c>
      <c r="Q3356" s="6">
        <f>COUNTIF($P$2:$P$3691,P3356)</f>
        <v>9</v>
      </c>
    </row>
    <row r="3357" spans="1:17" x14ac:dyDescent="0.2">
      <c r="A3357" s="16">
        <f>P3357</f>
        <v>1800102</v>
      </c>
      <c r="B3357">
        <v>2016</v>
      </c>
      <c r="C3357" t="s">
        <v>904</v>
      </c>
      <c r="D3357" t="s">
        <v>906</v>
      </c>
      <c r="E3357" t="s">
        <v>4263</v>
      </c>
      <c r="F3357" t="s">
        <v>814</v>
      </c>
      <c r="G3357" t="s">
        <v>359</v>
      </c>
      <c r="H3357" s="6">
        <v>23061</v>
      </c>
      <c r="I3357" s="6">
        <v>1.0700587226566901E-4</v>
      </c>
      <c r="J3357" s="6">
        <v>540.1656431970971</v>
      </c>
      <c r="K3357" s="6">
        <v>94967.711635781205</v>
      </c>
      <c r="M3357" s="6">
        <f>SUM(H3357,J3357)</f>
        <v>23601.165643197099</v>
      </c>
      <c r="N3357" s="6">
        <f>K3357</f>
        <v>94967.711635781205</v>
      </c>
      <c r="O3357" s="6">
        <f>SUM(M3357:N3357)</f>
        <v>118568.8772789783</v>
      </c>
      <c r="P3357" s="8">
        <f>VLOOKUP(F3357,'LEAID Match'!$A$2:$B$436,2,FALSE)</f>
        <v>1800102</v>
      </c>
      <c r="Q3357" s="6">
        <f>COUNTIF($P$2:$P$3691,P3357)</f>
        <v>9</v>
      </c>
    </row>
    <row r="3358" spans="1:17" x14ac:dyDescent="0.2">
      <c r="A3358" s="16">
        <f>P3358</f>
        <v>1800102</v>
      </c>
      <c r="B3358">
        <v>2017</v>
      </c>
      <c r="C3358" t="s">
        <v>904</v>
      </c>
      <c r="D3358" t="s">
        <v>906</v>
      </c>
      <c r="E3358" t="s">
        <v>4264</v>
      </c>
      <c r="F3358" t="s">
        <v>814</v>
      </c>
      <c r="G3358" t="s">
        <v>359</v>
      </c>
      <c r="H3358" s="6">
        <v>29760</v>
      </c>
      <c r="I3358" s="6">
        <v>1.3104601150961794E-4</v>
      </c>
      <c r="J3358" s="6">
        <v>592.9832020810212</v>
      </c>
      <c r="K3358" s="6">
        <v>114141.07602487699</v>
      </c>
      <c r="M3358" s="6">
        <f>SUM(H3358,J3358)</f>
        <v>30352.983202081021</v>
      </c>
      <c r="N3358" s="6">
        <f>K3358</f>
        <v>114141.07602487699</v>
      </c>
      <c r="O3358" s="6">
        <f>SUM(M3358:N3358)</f>
        <v>144494.05922695802</v>
      </c>
      <c r="P3358" s="8">
        <f>VLOOKUP(F3358,'LEAID Match'!$A$2:$B$436,2,FALSE)</f>
        <v>1800102</v>
      </c>
      <c r="Q3358" s="6">
        <f>COUNTIF($P$2:$P$3691,P3358)</f>
        <v>9</v>
      </c>
    </row>
    <row r="3359" spans="1:17" x14ac:dyDescent="0.2">
      <c r="A3359" s="16">
        <f>P3359</f>
        <v>1800102</v>
      </c>
      <c r="B3359">
        <v>2018</v>
      </c>
      <c r="C3359" t="s">
        <v>904</v>
      </c>
      <c r="D3359" t="s">
        <v>906</v>
      </c>
      <c r="E3359" t="s">
        <v>4265</v>
      </c>
      <c r="F3359" t="s">
        <v>814</v>
      </c>
      <c r="G3359" t="s">
        <v>359</v>
      </c>
      <c r="H3359" s="6">
        <v>26328</v>
      </c>
      <c r="I3359" s="6">
        <v>1.1169313893330863E-4</v>
      </c>
      <c r="J3359" s="6">
        <v>465.53700307403034</v>
      </c>
      <c r="K3359" s="6">
        <v>0</v>
      </c>
      <c r="M3359" s="6">
        <f>SUM(H3359,J3359)</f>
        <v>26793.537003074031</v>
      </c>
      <c r="N3359" s="6">
        <f>K3359</f>
        <v>0</v>
      </c>
      <c r="O3359" s="6">
        <f>SUM(M3359:N3359)</f>
        <v>26793.537003074031</v>
      </c>
      <c r="P3359" s="8">
        <f>VLOOKUP(F3359,'LEAID Match'!$A$2:$B$436,2,FALSE)</f>
        <v>1800102</v>
      </c>
      <c r="Q3359" s="6">
        <f>COUNTIF($P$2:$P$3691,P3359)</f>
        <v>9</v>
      </c>
    </row>
    <row r="3360" spans="1:17" x14ac:dyDescent="0.2">
      <c r="A3360" s="16">
        <f>P3360</f>
        <v>1800102</v>
      </c>
      <c r="B3360">
        <v>2019</v>
      </c>
      <c r="C3360" t="s">
        <v>904</v>
      </c>
      <c r="D3360" t="s">
        <v>906</v>
      </c>
      <c r="E3360" t="s">
        <v>4266</v>
      </c>
      <c r="F3360" t="s">
        <v>814</v>
      </c>
      <c r="G3360" t="s">
        <v>359</v>
      </c>
      <c r="H3360" s="6">
        <v>19672</v>
      </c>
      <c r="I3360" s="6">
        <v>5.0045461310283036E-5</v>
      </c>
      <c r="J3360" s="6">
        <v>175.40934189254205</v>
      </c>
      <c r="K3360" s="6">
        <v>47237.910930776103</v>
      </c>
      <c r="M3360" s="6">
        <f>SUM(H3360,J3360)</f>
        <v>19847.40934189254</v>
      </c>
      <c r="N3360" s="6">
        <f>K3360</f>
        <v>47237.910930776103</v>
      </c>
      <c r="O3360" s="6">
        <f>SUM(M3360:N3360)</f>
        <v>67085.320272668643</v>
      </c>
      <c r="P3360" s="8">
        <f>VLOOKUP(F3360,'LEAID Match'!$A$2:$B$436,2,FALSE)</f>
        <v>1800102</v>
      </c>
      <c r="Q3360" s="6">
        <f>COUNTIF($P$2:$P$3691,P3360)</f>
        <v>9</v>
      </c>
    </row>
    <row r="3361" spans="1:17" x14ac:dyDescent="0.2">
      <c r="A3361" s="16">
        <f>P3361</f>
        <v>1800102</v>
      </c>
      <c r="B3361">
        <v>2020</v>
      </c>
      <c r="C3361" t="s">
        <v>904</v>
      </c>
      <c r="D3361" t="s">
        <v>906</v>
      </c>
      <c r="E3361" t="s">
        <v>4267</v>
      </c>
      <c r="F3361" t="s">
        <v>814</v>
      </c>
      <c r="G3361" t="s">
        <v>359</v>
      </c>
      <c r="H3361" s="6">
        <v>21036</v>
      </c>
      <c r="I3361" s="6">
        <v>1.1146361529491479E-4</v>
      </c>
      <c r="J3361" s="6">
        <v>262.60827763481927</v>
      </c>
      <c r="K3361" s="6">
        <v>45837</v>
      </c>
      <c r="M3361" s="6">
        <f>SUM(H3361,J3361)</f>
        <v>21298.608277634819</v>
      </c>
      <c r="N3361" s="6">
        <f>K3361</f>
        <v>45837</v>
      </c>
      <c r="O3361" s="6">
        <f>SUM(M3361:N3361)</f>
        <v>67135.608277634819</v>
      </c>
      <c r="P3361" s="8">
        <f>VLOOKUP(F3361,'LEAID Match'!$A$2:$B$436,2,FALSE)</f>
        <v>1800102</v>
      </c>
      <c r="Q3361" s="6">
        <f>COUNTIF($P$2:$P$3691,P3361)</f>
        <v>9</v>
      </c>
    </row>
    <row r="3362" spans="1:17" x14ac:dyDescent="0.2">
      <c r="A3362" s="16">
        <f>P3362</f>
        <v>1800102</v>
      </c>
      <c r="B3362">
        <v>2021</v>
      </c>
      <c r="C3362" t="s">
        <v>904</v>
      </c>
      <c r="D3362" t="s">
        <v>906</v>
      </c>
      <c r="E3362" t="s">
        <v>4268</v>
      </c>
      <c r="F3362" t="s">
        <v>814</v>
      </c>
      <c r="G3362" t="s">
        <v>359</v>
      </c>
      <c r="H3362" s="6">
        <v>21399</v>
      </c>
      <c r="I3362" s="6">
        <v>1.0571305008411028E-4</v>
      </c>
      <c r="J3362" s="6">
        <v>238.27721488958457</v>
      </c>
      <c r="K3362" s="6">
        <v>114284</v>
      </c>
      <c r="M3362" s="6">
        <f>SUM(H3362,J3362)</f>
        <v>21637.277214889586</v>
      </c>
      <c r="N3362" s="6">
        <f>K3362</f>
        <v>114284</v>
      </c>
      <c r="O3362" s="6">
        <f>SUM(M3362:N3362)</f>
        <v>135921.27721488959</v>
      </c>
      <c r="P3362" s="8">
        <f>VLOOKUP(F3362,'LEAID Match'!$A$2:$B$436,2,FALSE)</f>
        <v>1800102</v>
      </c>
      <c r="Q3362" s="6">
        <f>COUNTIF($P$2:$P$3691,P3362)</f>
        <v>9</v>
      </c>
    </row>
    <row r="3363" spans="1:17" x14ac:dyDescent="0.2">
      <c r="A3363" s="16">
        <f>P3363</f>
        <v>1800102</v>
      </c>
      <c r="B3363">
        <v>2022</v>
      </c>
      <c r="C3363" t="s">
        <v>904</v>
      </c>
      <c r="D3363" t="s">
        <v>906</v>
      </c>
      <c r="E3363" t="s">
        <v>4269</v>
      </c>
      <c r="F3363" t="s">
        <v>814</v>
      </c>
      <c r="G3363" t="s">
        <v>359</v>
      </c>
      <c r="H3363" s="6" t="s">
        <v>187</v>
      </c>
      <c r="I3363" s="6">
        <v>0</v>
      </c>
      <c r="J3363" s="6">
        <v>0</v>
      </c>
      <c r="K3363" s="6">
        <v>1395</v>
      </c>
      <c r="M3363" s="6">
        <f>SUM(H3363,J3363)</f>
        <v>0</v>
      </c>
      <c r="N3363" s="6">
        <f>K3363</f>
        <v>1395</v>
      </c>
      <c r="O3363" s="6">
        <f>SUM(M3363:N3363)</f>
        <v>1395</v>
      </c>
      <c r="P3363" s="8">
        <f>VLOOKUP(F3363,'LEAID Match'!$A$2:$B$436,2,FALSE)</f>
        <v>1800102</v>
      </c>
      <c r="Q3363" s="6">
        <f>COUNTIF($P$2:$P$3691,P3363)</f>
        <v>9</v>
      </c>
    </row>
    <row r="3364" spans="1:17" x14ac:dyDescent="0.2">
      <c r="A3364" s="16">
        <f>P3364</f>
        <v>1800102</v>
      </c>
      <c r="B3364">
        <v>2023</v>
      </c>
      <c r="C3364" t="s">
        <v>904</v>
      </c>
      <c r="D3364" t="s">
        <v>906</v>
      </c>
      <c r="E3364" t="s">
        <v>4270</v>
      </c>
      <c r="F3364" t="s">
        <v>814</v>
      </c>
      <c r="G3364" t="s">
        <v>359</v>
      </c>
      <c r="H3364" s="6" t="s">
        <v>187</v>
      </c>
      <c r="I3364" s="6">
        <v>0</v>
      </c>
      <c r="J3364" s="6">
        <v>0</v>
      </c>
      <c r="K3364" s="6">
        <v>6353</v>
      </c>
      <c r="M3364" s="6">
        <f>SUM(H3364,J3364)</f>
        <v>0</v>
      </c>
      <c r="N3364" s="6">
        <f>K3364</f>
        <v>6353</v>
      </c>
      <c r="O3364" s="6">
        <f>SUM(M3364:N3364)</f>
        <v>6353</v>
      </c>
      <c r="P3364" s="8">
        <f>VLOOKUP(F3364,'LEAID Match'!$A$2:$B$436,2,FALSE)</f>
        <v>1800102</v>
      </c>
      <c r="Q3364" s="6">
        <f>COUNTIF($P$2:$P$3691,P3364)</f>
        <v>9</v>
      </c>
    </row>
    <row r="3365" spans="1:17" x14ac:dyDescent="0.2">
      <c r="A3365" s="16">
        <f>P3365</f>
        <v>0</v>
      </c>
      <c r="B3365">
        <v>2015</v>
      </c>
      <c r="C3365" t="s">
        <v>904</v>
      </c>
      <c r="D3365" t="s">
        <v>906</v>
      </c>
      <c r="E3365" t="s">
        <v>4271</v>
      </c>
      <c r="F3365" t="s">
        <v>815</v>
      </c>
      <c r="G3365" t="s">
        <v>360</v>
      </c>
      <c r="H3365" s="6">
        <v>108347</v>
      </c>
      <c r="I3365" s="6">
        <v>5.2685972164795002E-4</v>
      </c>
      <c r="J3365" s="6">
        <v>3061.5818424962376</v>
      </c>
      <c r="K3365" s="6">
        <v>445521.01038105198</v>
      </c>
      <c r="M3365" s="6">
        <f>SUM(H3365,J3365)</f>
        <v>111408.58184249623</v>
      </c>
      <c r="N3365" s="6">
        <f>K3365</f>
        <v>445521.01038105198</v>
      </c>
      <c r="O3365" s="6">
        <f>SUM(M3365:N3365)</f>
        <v>556929.59222354821</v>
      </c>
      <c r="P3365" s="8">
        <f>VLOOKUP(F3365,'LEAID Match'!$A$2:$B$436,2,FALSE)</f>
        <v>0</v>
      </c>
      <c r="Q3365" s="6">
        <f>COUNTIF($P$2:$P$3691,P3365)</f>
        <v>371</v>
      </c>
    </row>
    <row r="3366" spans="1:17" x14ac:dyDescent="0.2">
      <c r="A3366" s="16">
        <f>P3366</f>
        <v>0</v>
      </c>
      <c r="B3366">
        <v>2016</v>
      </c>
      <c r="C3366" t="s">
        <v>904</v>
      </c>
      <c r="D3366" t="s">
        <v>906</v>
      </c>
      <c r="E3366" t="s">
        <v>4272</v>
      </c>
      <c r="F3366" t="s">
        <v>815</v>
      </c>
      <c r="G3366" t="s">
        <v>360</v>
      </c>
      <c r="H3366" s="6">
        <v>149807</v>
      </c>
      <c r="I3366" s="6">
        <v>6.9512287873479365E-4</v>
      </c>
      <c r="J3366" s="6">
        <v>3508.9802918532382</v>
      </c>
      <c r="K3366" s="6">
        <v>616921.55487712903</v>
      </c>
      <c r="M3366" s="6">
        <f>SUM(H3366,J3366)</f>
        <v>153315.98029185325</v>
      </c>
      <c r="N3366" s="6">
        <f>K3366</f>
        <v>616921.55487712903</v>
      </c>
      <c r="O3366" s="6">
        <f>SUM(M3366:N3366)</f>
        <v>770237.53516898234</v>
      </c>
      <c r="P3366" s="8">
        <f>VLOOKUP(F3366,'LEAID Match'!$A$2:$B$436,2,FALSE)</f>
        <v>0</v>
      </c>
      <c r="Q3366" s="6">
        <f>COUNTIF($P$2:$P$3691,P3366)</f>
        <v>371</v>
      </c>
    </row>
    <row r="3367" spans="1:17" x14ac:dyDescent="0.2">
      <c r="A3367" s="16">
        <f>P3367</f>
        <v>0</v>
      </c>
      <c r="B3367">
        <v>2017</v>
      </c>
      <c r="C3367" t="s">
        <v>904</v>
      </c>
      <c r="D3367" t="s">
        <v>906</v>
      </c>
      <c r="E3367" t="s">
        <v>4273</v>
      </c>
      <c r="F3367" t="s">
        <v>815</v>
      </c>
      <c r="G3367" t="s">
        <v>360</v>
      </c>
      <c r="H3367" s="6">
        <v>155980</v>
      </c>
      <c r="I3367" s="6">
        <v>6.8684666919590753E-4</v>
      </c>
      <c r="J3367" s="6">
        <v>3107.9811781114818</v>
      </c>
      <c r="K3367" s="6">
        <v>598243.448869635</v>
      </c>
      <c r="M3367" s="6">
        <f>SUM(H3367,J3367)</f>
        <v>159087.98117811148</v>
      </c>
      <c r="N3367" s="6">
        <f>K3367</f>
        <v>598243.448869635</v>
      </c>
      <c r="O3367" s="6">
        <f>SUM(M3367:N3367)</f>
        <v>757331.43004774651</v>
      </c>
      <c r="P3367" s="8">
        <f>VLOOKUP(F3367,'LEAID Match'!$A$2:$B$436,2,FALSE)</f>
        <v>0</v>
      </c>
      <c r="Q3367" s="6">
        <f>COUNTIF($P$2:$P$3691,P3367)</f>
        <v>371</v>
      </c>
    </row>
    <row r="3368" spans="1:17" x14ac:dyDescent="0.2">
      <c r="A3368" s="16">
        <f>P3368</f>
        <v>0</v>
      </c>
      <c r="B3368">
        <v>2018</v>
      </c>
      <c r="C3368" t="s">
        <v>904</v>
      </c>
      <c r="D3368" t="s">
        <v>906</v>
      </c>
      <c r="E3368" t="s">
        <v>4274</v>
      </c>
      <c r="F3368" t="s">
        <v>815</v>
      </c>
      <c r="G3368" t="s">
        <v>360</v>
      </c>
      <c r="H3368" s="6">
        <v>202328</v>
      </c>
      <c r="I3368" s="6">
        <v>8.583504031486808E-4</v>
      </c>
      <c r="J3368" s="6">
        <v>3577.6044803237014</v>
      </c>
      <c r="K3368" s="6">
        <v>34513</v>
      </c>
      <c r="M3368" s="6">
        <f>SUM(H3368,J3368)</f>
        <v>205905.6044803237</v>
      </c>
      <c r="N3368" s="6">
        <f>K3368</f>
        <v>34513</v>
      </c>
      <c r="O3368" s="6">
        <f>SUM(M3368:N3368)</f>
        <v>240418.6044803237</v>
      </c>
      <c r="P3368" s="8">
        <f>VLOOKUP(F3368,'LEAID Match'!$A$2:$B$436,2,FALSE)</f>
        <v>0</v>
      </c>
      <c r="Q3368" s="6">
        <f>COUNTIF($P$2:$P$3691,P3368)</f>
        <v>371</v>
      </c>
    </row>
    <row r="3369" spans="1:17" x14ac:dyDescent="0.2">
      <c r="A3369" s="16">
        <f>P3369</f>
        <v>0</v>
      </c>
      <c r="B3369">
        <v>2019</v>
      </c>
      <c r="C3369" t="s">
        <v>904</v>
      </c>
      <c r="D3369" t="s">
        <v>906</v>
      </c>
      <c r="E3369" t="s">
        <v>4275</v>
      </c>
      <c r="F3369" t="s">
        <v>815</v>
      </c>
      <c r="G3369" t="s">
        <v>360</v>
      </c>
      <c r="H3369" s="6">
        <v>249042</v>
      </c>
      <c r="I3369" s="6">
        <v>6.3356149733812049E-4</v>
      </c>
      <c r="J3369" s="6">
        <v>2220.6330481701125</v>
      </c>
      <c r="K3369" s="6">
        <v>598018.69733745197</v>
      </c>
      <c r="M3369" s="6">
        <f>SUM(H3369,J3369)</f>
        <v>251262.6330481701</v>
      </c>
      <c r="N3369" s="6">
        <f>K3369</f>
        <v>598018.69733745197</v>
      </c>
      <c r="O3369" s="6">
        <f>SUM(M3369:N3369)</f>
        <v>849281.3303856221</v>
      </c>
      <c r="P3369" s="8">
        <f>VLOOKUP(F3369,'LEAID Match'!$A$2:$B$436,2,FALSE)</f>
        <v>0</v>
      </c>
      <c r="Q3369" s="6">
        <f>COUNTIF($P$2:$P$3691,P3369)</f>
        <v>371</v>
      </c>
    </row>
    <row r="3370" spans="1:17" x14ac:dyDescent="0.2">
      <c r="A3370" s="16">
        <f>P3370</f>
        <v>0</v>
      </c>
      <c r="B3370">
        <v>2020</v>
      </c>
      <c r="C3370" t="s">
        <v>904</v>
      </c>
      <c r="D3370" t="s">
        <v>906</v>
      </c>
      <c r="E3370" t="s">
        <v>4276</v>
      </c>
      <c r="F3370" t="s">
        <v>815</v>
      </c>
      <c r="G3370" t="s">
        <v>360</v>
      </c>
      <c r="H3370" s="6">
        <v>165066</v>
      </c>
      <c r="I3370" s="6">
        <v>8.7463648613188836E-4</v>
      </c>
      <c r="J3370" s="6">
        <v>2060.643561326729</v>
      </c>
      <c r="K3370" s="6">
        <v>33407</v>
      </c>
      <c r="M3370" s="6">
        <f>SUM(H3370,J3370)</f>
        <v>167126.64356132672</v>
      </c>
      <c r="N3370" s="6">
        <f>K3370</f>
        <v>33407</v>
      </c>
      <c r="O3370" s="6">
        <f>SUM(M3370:N3370)</f>
        <v>200533.64356132672</v>
      </c>
      <c r="P3370" s="8">
        <f>VLOOKUP(F3370,'LEAID Match'!$A$2:$B$436,2,FALSE)</f>
        <v>0</v>
      </c>
      <c r="Q3370" s="6">
        <f>COUNTIF($P$2:$P$3691,P3370)</f>
        <v>371</v>
      </c>
    </row>
    <row r="3371" spans="1:17" x14ac:dyDescent="0.2">
      <c r="A3371" s="16">
        <f>P3371</f>
        <v>0</v>
      </c>
      <c r="B3371">
        <v>2021</v>
      </c>
      <c r="C3371" t="s">
        <v>904</v>
      </c>
      <c r="D3371" t="s">
        <v>906</v>
      </c>
      <c r="E3371" t="s">
        <v>4277</v>
      </c>
      <c r="F3371" t="s">
        <v>815</v>
      </c>
      <c r="G3371" t="s">
        <v>360</v>
      </c>
      <c r="H3371" s="6">
        <v>2213</v>
      </c>
      <c r="I3371" s="6">
        <v>1.0932425806632834E-5</v>
      </c>
      <c r="J3371" s="6">
        <v>24.641687768150408</v>
      </c>
      <c r="K3371" s="6">
        <v>4795</v>
      </c>
      <c r="M3371" s="6">
        <f>SUM(H3371,J3371)</f>
        <v>2237.6416877681504</v>
      </c>
      <c r="N3371" s="6">
        <f>K3371</f>
        <v>4795</v>
      </c>
      <c r="O3371" s="6">
        <f>SUM(M3371:N3371)</f>
        <v>7032.6416877681504</v>
      </c>
      <c r="P3371" s="8">
        <f>VLOOKUP(F3371,'LEAID Match'!$A$2:$B$436,2,FALSE)</f>
        <v>0</v>
      </c>
      <c r="Q3371" s="6">
        <f>COUNTIF($P$2:$P$3691,P3371)</f>
        <v>371</v>
      </c>
    </row>
    <row r="3372" spans="1:17" x14ac:dyDescent="0.2">
      <c r="A3372" s="16">
        <f>P3372</f>
        <v>0</v>
      </c>
      <c r="B3372">
        <v>2022</v>
      </c>
      <c r="C3372" t="s">
        <v>904</v>
      </c>
      <c r="D3372" t="s">
        <v>906</v>
      </c>
      <c r="E3372" t="s">
        <v>4278</v>
      </c>
      <c r="F3372" t="s">
        <v>815</v>
      </c>
      <c r="G3372" t="s">
        <v>360</v>
      </c>
      <c r="H3372" s="6">
        <v>-318</v>
      </c>
      <c r="I3372" s="6">
        <v>-1.5099231006610843E-6</v>
      </c>
      <c r="J3372" s="6">
        <v>-3.3293804369576909</v>
      </c>
      <c r="K3372" s="6">
        <v>8837</v>
      </c>
      <c r="M3372" s="6">
        <f>SUM(H3372,J3372)</f>
        <v>-321.32938043695771</v>
      </c>
      <c r="N3372" s="6">
        <f>K3372</f>
        <v>8837</v>
      </c>
      <c r="O3372" s="6">
        <f>SUM(M3372:N3372)</f>
        <v>8515.6706195630431</v>
      </c>
      <c r="P3372" s="8">
        <f>VLOOKUP(F3372,'LEAID Match'!$A$2:$B$436,2,FALSE)</f>
        <v>0</v>
      </c>
      <c r="Q3372" s="6">
        <f>COUNTIF($P$2:$P$3691,P3372)</f>
        <v>371</v>
      </c>
    </row>
    <row r="3373" spans="1:17" x14ac:dyDescent="0.2">
      <c r="A3373" s="16">
        <f>P3373</f>
        <v>0</v>
      </c>
      <c r="B3373">
        <v>2023</v>
      </c>
      <c r="C3373" t="s">
        <v>904</v>
      </c>
      <c r="D3373" t="s">
        <v>906</v>
      </c>
      <c r="E3373" t="s">
        <v>4279</v>
      </c>
      <c r="F3373" t="s">
        <v>815</v>
      </c>
      <c r="G3373" t="s">
        <v>360</v>
      </c>
      <c r="H3373" s="6" t="s">
        <v>187</v>
      </c>
      <c r="I3373" s="6">
        <v>0</v>
      </c>
      <c r="J3373" s="6">
        <v>0</v>
      </c>
      <c r="K3373" s="6">
        <v>19058</v>
      </c>
      <c r="M3373" s="6">
        <f>SUM(H3373,J3373)</f>
        <v>0</v>
      </c>
      <c r="N3373" s="6">
        <f>K3373</f>
        <v>19058</v>
      </c>
      <c r="O3373" s="6">
        <f>SUM(M3373:N3373)</f>
        <v>19058</v>
      </c>
      <c r="P3373" s="8">
        <f>VLOOKUP(F3373,'LEAID Match'!$A$2:$B$436,2,FALSE)</f>
        <v>0</v>
      </c>
      <c r="Q3373" s="6">
        <f>COUNTIF($P$2:$P$3691,P3373)</f>
        <v>371</v>
      </c>
    </row>
    <row r="3374" spans="1:17" x14ac:dyDescent="0.2">
      <c r="A3374" s="16">
        <f>P3374</f>
        <v>0</v>
      </c>
      <c r="B3374">
        <v>2015</v>
      </c>
      <c r="C3374" t="s">
        <v>904</v>
      </c>
      <c r="D3374" t="s">
        <v>906</v>
      </c>
      <c r="E3374" t="s">
        <v>4280</v>
      </c>
      <c r="F3374" t="s">
        <v>816</v>
      </c>
      <c r="G3374" t="s">
        <v>361</v>
      </c>
      <c r="H3374" s="6">
        <v>88526</v>
      </c>
      <c r="I3374" s="6">
        <v>4.3047600504496131E-4</v>
      </c>
      <c r="J3374" s="6">
        <v>2501.4960653162702</v>
      </c>
      <c r="K3374" s="6">
        <v>364017.3974821</v>
      </c>
      <c r="M3374" s="6">
        <f>SUM(H3374,J3374)</f>
        <v>91027.496065316271</v>
      </c>
      <c r="N3374" s="6">
        <f>K3374</f>
        <v>364017.3974821</v>
      </c>
      <c r="O3374" s="6">
        <f>SUM(M3374:N3374)</f>
        <v>455044.89354741626</v>
      </c>
      <c r="P3374" s="8">
        <f>VLOOKUP(F3374,'LEAID Match'!$A$2:$B$436,2,FALSE)</f>
        <v>0</v>
      </c>
      <c r="Q3374" s="6">
        <f>COUNTIF($P$2:$P$3691,P3374)</f>
        <v>371</v>
      </c>
    </row>
    <row r="3375" spans="1:17" x14ac:dyDescent="0.2">
      <c r="A3375" s="16">
        <f>P3375</f>
        <v>0</v>
      </c>
      <c r="B3375">
        <v>2016</v>
      </c>
      <c r="C3375" t="s">
        <v>904</v>
      </c>
      <c r="D3375" t="s">
        <v>906</v>
      </c>
      <c r="E3375" t="s">
        <v>4281</v>
      </c>
      <c r="F3375" t="s">
        <v>816</v>
      </c>
      <c r="G3375" t="s">
        <v>361</v>
      </c>
      <c r="H3375" s="6">
        <v>120711</v>
      </c>
      <c r="I3375" s="6">
        <v>5.601138652730225E-4</v>
      </c>
      <c r="J3375" s="6">
        <v>2827.4547918982175</v>
      </c>
      <c r="K3375" s="6">
        <v>497101.05542980699</v>
      </c>
      <c r="M3375" s="6">
        <f>SUM(H3375,J3375)</f>
        <v>123538.45479189821</v>
      </c>
      <c r="N3375" s="6">
        <f>K3375</f>
        <v>497101.05542980699</v>
      </c>
      <c r="O3375" s="6">
        <f>SUM(M3375:N3375)</f>
        <v>620639.51022170519</v>
      </c>
      <c r="P3375" s="8">
        <f>VLOOKUP(F3375,'LEAID Match'!$A$2:$B$436,2,FALSE)</f>
        <v>0</v>
      </c>
      <c r="Q3375" s="6">
        <f>COUNTIF($P$2:$P$3691,P3375)</f>
        <v>371</v>
      </c>
    </row>
    <row r="3376" spans="1:17" x14ac:dyDescent="0.2">
      <c r="A3376" s="16">
        <f>P3376</f>
        <v>0</v>
      </c>
      <c r="B3376">
        <v>2017</v>
      </c>
      <c r="C3376" t="s">
        <v>904</v>
      </c>
      <c r="D3376" t="s">
        <v>906</v>
      </c>
      <c r="E3376" t="s">
        <v>4282</v>
      </c>
      <c r="F3376" t="s">
        <v>816</v>
      </c>
      <c r="G3376" t="s">
        <v>361</v>
      </c>
      <c r="H3376" s="6">
        <v>109460</v>
      </c>
      <c r="I3376" s="6">
        <v>4.8199920765600745E-4</v>
      </c>
      <c r="J3376" s="6">
        <v>2181.0464146434338</v>
      </c>
      <c r="K3376" s="6">
        <v>419821.309868382</v>
      </c>
      <c r="M3376" s="6">
        <f>SUM(H3376,J3376)</f>
        <v>111641.04641464344</v>
      </c>
      <c r="N3376" s="6">
        <f>K3376</f>
        <v>419821.309868382</v>
      </c>
      <c r="O3376" s="6">
        <f>SUM(M3376:N3376)</f>
        <v>531462.35628302547</v>
      </c>
      <c r="P3376" s="8">
        <f>VLOOKUP(F3376,'LEAID Match'!$A$2:$B$436,2,FALSE)</f>
        <v>0</v>
      </c>
      <c r="Q3376" s="6">
        <f>COUNTIF($P$2:$P$3691,P3376)</f>
        <v>371</v>
      </c>
    </row>
    <row r="3377" spans="1:17" x14ac:dyDescent="0.2">
      <c r="A3377" s="16">
        <f>P3377</f>
        <v>0</v>
      </c>
      <c r="B3377">
        <v>2018</v>
      </c>
      <c r="C3377" t="s">
        <v>904</v>
      </c>
      <c r="D3377" t="s">
        <v>906</v>
      </c>
      <c r="E3377" t="s">
        <v>4283</v>
      </c>
      <c r="F3377" t="s">
        <v>816</v>
      </c>
      <c r="G3377" t="s">
        <v>361</v>
      </c>
      <c r="H3377" s="6">
        <v>99541</v>
      </c>
      <c r="I3377" s="6">
        <v>4.2228983373444526E-4</v>
      </c>
      <c r="J3377" s="6">
        <v>1760.1040270051678</v>
      </c>
      <c r="K3377" s="6">
        <v>7160</v>
      </c>
      <c r="M3377" s="6">
        <f>SUM(H3377,J3377)</f>
        <v>101301.10402700517</v>
      </c>
      <c r="N3377" s="6">
        <f>K3377</f>
        <v>7160</v>
      </c>
      <c r="O3377" s="6">
        <f>SUM(M3377:N3377)</f>
        <v>108461.10402700517</v>
      </c>
      <c r="P3377" s="8">
        <f>VLOOKUP(F3377,'LEAID Match'!$A$2:$B$436,2,FALSE)</f>
        <v>0</v>
      </c>
      <c r="Q3377" s="6">
        <f>COUNTIF($P$2:$P$3691,P3377)</f>
        <v>371</v>
      </c>
    </row>
    <row r="3378" spans="1:17" x14ac:dyDescent="0.2">
      <c r="A3378" s="16">
        <f>P3378</f>
        <v>0</v>
      </c>
      <c r="B3378">
        <v>2019</v>
      </c>
      <c r="C3378" t="s">
        <v>904</v>
      </c>
      <c r="D3378" t="s">
        <v>906</v>
      </c>
      <c r="E3378" t="s">
        <v>4284</v>
      </c>
      <c r="F3378" t="s">
        <v>816</v>
      </c>
      <c r="G3378" t="s">
        <v>361</v>
      </c>
      <c r="H3378" s="6">
        <v>90619</v>
      </c>
      <c r="I3378" s="6">
        <v>2.3053424453418759E-4</v>
      </c>
      <c r="J3378" s="6">
        <v>808.02252709232755</v>
      </c>
      <c r="K3378" s="6">
        <v>217601.27341581901</v>
      </c>
      <c r="M3378" s="6">
        <f>SUM(H3378,J3378)</f>
        <v>91427.022527092326</v>
      </c>
      <c r="N3378" s="6">
        <f>K3378</f>
        <v>217601.27341581901</v>
      </c>
      <c r="O3378" s="6">
        <f>SUM(M3378:N3378)</f>
        <v>309028.29594291135</v>
      </c>
      <c r="P3378" s="8">
        <f>VLOOKUP(F3378,'LEAID Match'!$A$2:$B$436,2,FALSE)</f>
        <v>0</v>
      </c>
      <c r="Q3378" s="6">
        <f>COUNTIF($P$2:$P$3691,P3378)</f>
        <v>371</v>
      </c>
    </row>
    <row r="3379" spans="1:17" x14ac:dyDescent="0.2">
      <c r="A3379" s="16">
        <f>P3379</f>
        <v>0</v>
      </c>
      <c r="B3379">
        <v>2020</v>
      </c>
      <c r="C3379" t="s">
        <v>904</v>
      </c>
      <c r="D3379" t="s">
        <v>906</v>
      </c>
      <c r="E3379" t="s">
        <v>4285</v>
      </c>
      <c r="F3379" t="s">
        <v>816</v>
      </c>
      <c r="G3379" t="s">
        <v>361</v>
      </c>
      <c r="H3379" s="6">
        <v>37398</v>
      </c>
      <c r="I3379" s="6">
        <v>1.9816107077387445E-4</v>
      </c>
      <c r="J3379" s="6">
        <v>466.86748274324822</v>
      </c>
      <c r="K3379" s="6">
        <v>1068</v>
      </c>
      <c r="M3379" s="6">
        <f>SUM(H3379,J3379)</f>
        <v>37864.867482743248</v>
      </c>
      <c r="N3379" s="6">
        <f>K3379</f>
        <v>1068</v>
      </c>
      <c r="O3379" s="6">
        <f>SUM(M3379:N3379)</f>
        <v>38932.867482743248</v>
      </c>
      <c r="P3379" s="8">
        <f>VLOOKUP(F3379,'LEAID Match'!$A$2:$B$436,2,FALSE)</f>
        <v>0</v>
      </c>
      <c r="Q3379" s="6">
        <f>COUNTIF($P$2:$P$3691,P3379)</f>
        <v>371</v>
      </c>
    </row>
    <row r="3380" spans="1:17" x14ac:dyDescent="0.2">
      <c r="A3380" s="16">
        <f>P3380</f>
        <v>0</v>
      </c>
      <c r="B3380">
        <v>2021</v>
      </c>
      <c r="C3380" t="s">
        <v>904</v>
      </c>
      <c r="D3380" t="s">
        <v>906</v>
      </c>
      <c r="E3380" t="s">
        <v>4286</v>
      </c>
      <c r="F3380" t="s">
        <v>816</v>
      </c>
      <c r="G3380" t="s">
        <v>361</v>
      </c>
      <c r="H3380" s="6" t="s">
        <v>187</v>
      </c>
      <c r="I3380" s="6">
        <v>0</v>
      </c>
      <c r="J3380" s="6">
        <v>0</v>
      </c>
      <c r="K3380" s="6">
        <v>1598</v>
      </c>
      <c r="M3380" s="6">
        <f>SUM(H3380,J3380)</f>
        <v>0</v>
      </c>
      <c r="N3380" s="6">
        <f>K3380</f>
        <v>1598</v>
      </c>
      <c r="O3380" s="6">
        <f>SUM(M3380:N3380)</f>
        <v>1598</v>
      </c>
      <c r="P3380" s="8">
        <f>VLOOKUP(F3380,'LEAID Match'!$A$2:$B$436,2,FALSE)</f>
        <v>0</v>
      </c>
      <c r="Q3380" s="6">
        <f>COUNTIF($P$2:$P$3691,P3380)</f>
        <v>371</v>
      </c>
    </row>
    <row r="3381" spans="1:17" x14ac:dyDescent="0.2">
      <c r="A3381" s="16">
        <f>P3381</f>
        <v>0</v>
      </c>
      <c r="B3381">
        <v>2022</v>
      </c>
      <c r="C3381" t="s">
        <v>904</v>
      </c>
      <c r="D3381" t="s">
        <v>906</v>
      </c>
      <c r="E3381" t="s">
        <v>4287</v>
      </c>
      <c r="F3381" t="s">
        <v>816</v>
      </c>
      <c r="G3381" t="s">
        <v>361</v>
      </c>
      <c r="H3381" s="6" t="s">
        <v>187</v>
      </c>
      <c r="I3381" s="6">
        <v>0</v>
      </c>
      <c r="J3381" s="6">
        <v>0</v>
      </c>
      <c r="K3381" s="6">
        <v>1550</v>
      </c>
      <c r="M3381" s="6">
        <f>SUM(H3381,J3381)</f>
        <v>0</v>
      </c>
      <c r="N3381" s="6">
        <f>K3381</f>
        <v>1550</v>
      </c>
      <c r="O3381" s="6">
        <f>SUM(M3381:N3381)</f>
        <v>1550</v>
      </c>
      <c r="P3381" s="8">
        <f>VLOOKUP(F3381,'LEAID Match'!$A$2:$B$436,2,FALSE)</f>
        <v>0</v>
      </c>
      <c r="Q3381" s="6">
        <f>COUNTIF($P$2:$P$3691,P3381)</f>
        <v>371</v>
      </c>
    </row>
    <row r="3382" spans="1:17" x14ac:dyDescent="0.2">
      <c r="A3382" s="16">
        <f>P3382</f>
        <v>0</v>
      </c>
      <c r="B3382">
        <v>2023</v>
      </c>
      <c r="C3382" t="s">
        <v>904</v>
      </c>
      <c r="D3382" t="s">
        <v>906</v>
      </c>
      <c r="E3382" t="s">
        <v>4288</v>
      </c>
      <c r="F3382" t="s">
        <v>816</v>
      </c>
      <c r="G3382" t="s">
        <v>361</v>
      </c>
      <c r="H3382" s="6" t="s">
        <v>187</v>
      </c>
      <c r="I3382" s="6">
        <v>0</v>
      </c>
      <c r="J3382" s="6">
        <v>0</v>
      </c>
      <c r="K3382" s="6">
        <v>3388</v>
      </c>
      <c r="M3382" s="6">
        <f>SUM(H3382,J3382)</f>
        <v>0</v>
      </c>
      <c r="N3382" s="6">
        <f>K3382</f>
        <v>3388</v>
      </c>
      <c r="O3382" s="6">
        <f>SUM(M3382:N3382)</f>
        <v>3388</v>
      </c>
      <c r="P3382" s="8">
        <f>VLOOKUP(F3382,'LEAID Match'!$A$2:$B$436,2,FALSE)</f>
        <v>0</v>
      </c>
      <c r="Q3382" s="6">
        <f>COUNTIF($P$2:$P$3691,P3382)</f>
        <v>371</v>
      </c>
    </row>
    <row r="3383" spans="1:17" x14ac:dyDescent="0.2">
      <c r="A3383" s="16">
        <f>P3383</f>
        <v>0</v>
      </c>
      <c r="B3383">
        <v>2015</v>
      </c>
      <c r="C3383" t="s">
        <v>904</v>
      </c>
      <c r="D3383" t="s">
        <v>906</v>
      </c>
      <c r="E3383" t="s">
        <v>4289</v>
      </c>
      <c r="F3383" t="s">
        <v>817</v>
      </c>
      <c r="G3383" t="s">
        <v>362</v>
      </c>
      <c r="H3383" s="6">
        <v>88995</v>
      </c>
      <c r="I3383" s="6">
        <v>4.3275661465531407E-4</v>
      </c>
      <c r="J3383" s="6">
        <v>2514.7486877620299</v>
      </c>
      <c r="K3383" s="6">
        <v>365945.917458368</v>
      </c>
      <c r="M3383" s="6">
        <f>SUM(H3383,J3383)</f>
        <v>91509.748687762025</v>
      </c>
      <c r="N3383" s="6">
        <f>K3383</f>
        <v>365945.917458368</v>
      </c>
      <c r="O3383" s="6">
        <f>SUM(M3383:N3383)</f>
        <v>457455.66614613001</v>
      </c>
      <c r="P3383" s="8">
        <f>VLOOKUP(F3383,'LEAID Match'!$A$2:$B$436,2,FALSE)</f>
        <v>0</v>
      </c>
      <c r="Q3383" s="6">
        <f>COUNTIF($P$2:$P$3691,P3383)</f>
        <v>371</v>
      </c>
    </row>
    <row r="3384" spans="1:17" x14ac:dyDescent="0.2">
      <c r="A3384" s="16">
        <f>P3384</f>
        <v>0</v>
      </c>
      <c r="B3384">
        <v>2016</v>
      </c>
      <c r="C3384" t="s">
        <v>904</v>
      </c>
      <c r="D3384" t="s">
        <v>906</v>
      </c>
      <c r="E3384" t="s">
        <v>4290</v>
      </c>
      <c r="F3384" t="s">
        <v>817</v>
      </c>
      <c r="G3384" t="s">
        <v>362</v>
      </c>
      <c r="H3384" s="6">
        <v>-3474</v>
      </c>
      <c r="I3384" s="6">
        <v>-1.6119786663671747E-5</v>
      </c>
      <c r="J3384" s="6">
        <v>-81.372683078214976</v>
      </c>
      <c r="K3384" s="6">
        <v>-14306.310664008601</v>
      </c>
      <c r="M3384" s="6">
        <f>SUM(H3384,J3384)</f>
        <v>-3555.3726830782148</v>
      </c>
      <c r="N3384" s="6">
        <f>K3384</f>
        <v>-14306.310664008601</v>
      </c>
      <c r="O3384" s="6">
        <f>SUM(M3384:N3384)</f>
        <v>-17861.683347086815</v>
      </c>
      <c r="P3384" s="8">
        <f>VLOOKUP(F3384,'LEAID Match'!$A$2:$B$436,2,FALSE)</f>
        <v>0</v>
      </c>
      <c r="Q3384" s="6">
        <f>COUNTIF($P$2:$P$3691,P3384)</f>
        <v>371</v>
      </c>
    </row>
    <row r="3385" spans="1:17" x14ac:dyDescent="0.2">
      <c r="A3385" s="16">
        <f>P3385</f>
        <v>0</v>
      </c>
      <c r="B3385">
        <v>2017</v>
      </c>
      <c r="C3385" t="s">
        <v>904</v>
      </c>
      <c r="D3385" t="s">
        <v>906</v>
      </c>
      <c r="E3385" t="s">
        <v>4291</v>
      </c>
      <c r="F3385" t="s">
        <v>817</v>
      </c>
      <c r="G3385" t="s">
        <v>362</v>
      </c>
      <c r="H3385" s="6" t="s">
        <v>187</v>
      </c>
      <c r="I3385" s="6">
        <v>0</v>
      </c>
      <c r="J3385" s="6">
        <v>0</v>
      </c>
      <c r="K3385" s="6">
        <v>0</v>
      </c>
      <c r="M3385" s="6">
        <f>SUM(H3385,J3385)</f>
        <v>0</v>
      </c>
      <c r="N3385" s="6">
        <f>K3385</f>
        <v>0</v>
      </c>
      <c r="O3385" s="6">
        <f>SUM(M3385:N3385)</f>
        <v>0</v>
      </c>
      <c r="P3385" s="8">
        <f>VLOOKUP(F3385,'LEAID Match'!$A$2:$B$436,2,FALSE)</f>
        <v>0</v>
      </c>
      <c r="Q3385" s="6">
        <f>COUNTIF($P$2:$P$3691,P3385)</f>
        <v>371</v>
      </c>
    </row>
    <row r="3386" spans="1:17" x14ac:dyDescent="0.2">
      <c r="A3386" s="16">
        <f>P3386</f>
        <v>0</v>
      </c>
      <c r="B3386">
        <v>2018</v>
      </c>
      <c r="C3386" t="s">
        <v>904</v>
      </c>
      <c r="D3386" t="s">
        <v>906</v>
      </c>
      <c r="E3386" t="s">
        <v>4292</v>
      </c>
      <c r="F3386" t="s">
        <v>817</v>
      </c>
      <c r="G3386" t="s">
        <v>362</v>
      </c>
      <c r="H3386" s="6" t="s">
        <v>187</v>
      </c>
      <c r="I3386" s="6">
        <v>0</v>
      </c>
      <c r="J3386" s="6">
        <v>0</v>
      </c>
      <c r="K3386" s="6">
        <v>643</v>
      </c>
      <c r="M3386" s="6">
        <f>SUM(H3386,J3386)</f>
        <v>0</v>
      </c>
      <c r="N3386" s="6">
        <f>K3386</f>
        <v>643</v>
      </c>
      <c r="O3386" s="6">
        <f>SUM(M3386:N3386)</f>
        <v>643</v>
      </c>
      <c r="P3386" s="8">
        <f>VLOOKUP(F3386,'LEAID Match'!$A$2:$B$436,2,FALSE)</f>
        <v>0</v>
      </c>
      <c r="Q3386" s="6">
        <f>COUNTIF($P$2:$P$3691,P3386)</f>
        <v>371</v>
      </c>
    </row>
    <row r="3387" spans="1:17" x14ac:dyDescent="0.2">
      <c r="A3387" s="16">
        <f>P3387</f>
        <v>0</v>
      </c>
      <c r="B3387">
        <v>2019</v>
      </c>
      <c r="C3387" t="s">
        <v>904</v>
      </c>
      <c r="D3387" t="s">
        <v>906</v>
      </c>
      <c r="E3387" t="s">
        <v>4293</v>
      </c>
      <c r="F3387" t="s">
        <v>817</v>
      </c>
      <c r="G3387" t="s">
        <v>362</v>
      </c>
      <c r="H3387" s="6" t="s">
        <v>187</v>
      </c>
      <c r="I3387" s="6">
        <v>0</v>
      </c>
      <c r="J3387" s="6">
        <v>0</v>
      </c>
      <c r="K3387" s="6">
        <v>0</v>
      </c>
      <c r="M3387" s="6">
        <f>SUM(H3387,J3387)</f>
        <v>0</v>
      </c>
      <c r="N3387" s="6">
        <f>K3387</f>
        <v>0</v>
      </c>
      <c r="O3387" s="6">
        <f>SUM(M3387:N3387)</f>
        <v>0</v>
      </c>
      <c r="P3387" s="8">
        <f>VLOOKUP(F3387,'LEAID Match'!$A$2:$B$436,2,FALSE)</f>
        <v>0</v>
      </c>
      <c r="Q3387" s="6">
        <f>COUNTIF($P$2:$P$3691,P3387)</f>
        <v>371</v>
      </c>
    </row>
    <row r="3388" spans="1:17" x14ac:dyDescent="0.2">
      <c r="A3388" s="16">
        <f>P3388</f>
        <v>0</v>
      </c>
      <c r="B3388">
        <v>2020</v>
      </c>
      <c r="C3388" t="s">
        <v>904</v>
      </c>
      <c r="D3388" t="s">
        <v>906</v>
      </c>
      <c r="E3388" t="s">
        <v>4294</v>
      </c>
      <c r="F3388" t="s">
        <v>817</v>
      </c>
      <c r="G3388" t="s">
        <v>362</v>
      </c>
      <c r="H3388" s="6" t="s">
        <v>187</v>
      </c>
      <c r="I3388" s="6">
        <v>0</v>
      </c>
      <c r="J3388" s="6">
        <v>0</v>
      </c>
      <c r="K3388" s="6">
        <v>680</v>
      </c>
      <c r="M3388" s="6">
        <f>SUM(H3388,J3388)</f>
        <v>0</v>
      </c>
      <c r="N3388" s="6">
        <f>K3388</f>
        <v>680</v>
      </c>
      <c r="O3388" s="6">
        <f>SUM(M3388:N3388)</f>
        <v>680</v>
      </c>
      <c r="P3388" s="8">
        <f>VLOOKUP(F3388,'LEAID Match'!$A$2:$B$436,2,FALSE)</f>
        <v>0</v>
      </c>
      <c r="Q3388" s="6">
        <f>COUNTIF($P$2:$P$3691,P3388)</f>
        <v>371</v>
      </c>
    </row>
    <row r="3389" spans="1:17" x14ac:dyDescent="0.2">
      <c r="A3389" s="16">
        <f>P3389</f>
        <v>0</v>
      </c>
      <c r="B3389">
        <v>2021</v>
      </c>
      <c r="C3389" t="s">
        <v>904</v>
      </c>
      <c r="D3389" t="s">
        <v>906</v>
      </c>
      <c r="E3389" t="s">
        <v>4295</v>
      </c>
      <c r="F3389" t="s">
        <v>817</v>
      </c>
      <c r="G3389" t="s">
        <v>362</v>
      </c>
      <c r="H3389" s="6" t="s">
        <v>187</v>
      </c>
      <c r="I3389" s="6">
        <v>0</v>
      </c>
      <c r="J3389" s="6">
        <v>0</v>
      </c>
      <c r="K3389" s="6">
        <v>1119</v>
      </c>
      <c r="M3389" s="6">
        <f>SUM(H3389,J3389)</f>
        <v>0</v>
      </c>
      <c r="N3389" s="6">
        <f>K3389</f>
        <v>1119</v>
      </c>
      <c r="O3389" s="6">
        <f>SUM(M3389:N3389)</f>
        <v>1119</v>
      </c>
      <c r="P3389" s="8">
        <f>VLOOKUP(F3389,'LEAID Match'!$A$2:$B$436,2,FALSE)</f>
        <v>0</v>
      </c>
      <c r="Q3389" s="6">
        <f>COUNTIF($P$2:$P$3691,P3389)</f>
        <v>371</v>
      </c>
    </row>
    <row r="3390" spans="1:17" x14ac:dyDescent="0.2">
      <c r="A3390" s="16">
        <f>P3390</f>
        <v>0</v>
      </c>
      <c r="B3390">
        <v>2022</v>
      </c>
      <c r="C3390" t="s">
        <v>904</v>
      </c>
      <c r="D3390" t="s">
        <v>906</v>
      </c>
      <c r="E3390" t="s">
        <v>4296</v>
      </c>
      <c r="F3390" t="s">
        <v>817</v>
      </c>
      <c r="G3390" t="s">
        <v>362</v>
      </c>
      <c r="H3390" s="6" t="s">
        <v>187</v>
      </c>
      <c r="I3390" s="6">
        <v>0</v>
      </c>
      <c r="J3390" s="6">
        <v>0</v>
      </c>
      <c r="K3390" s="6">
        <v>1085</v>
      </c>
      <c r="M3390" s="6">
        <f>SUM(H3390,J3390)</f>
        <v>0</v>
      </c>
      <c r="N3390" s="6">
        <f>K3390</f>
        <v>1085</v>
      </c>
      <c r="O3390" s="6">
        <f>SUM(M3390:N3390)</f>
        <v>1085</v>
      </c>
      <c r="P3390" s="8">
        <f>VLOOKUP(F3390,'LEAID Match'!$A$2:$B$436,2,FALSE)</f>
        <v>0</v>
      </c>
      <c r="Q3390" s="6">
        <f>COUNTIF($P$2:$P$3691,P3390)</f>
        <v>371</v>
      </c>
    </row>
    <row r="3391" spans="1:17" x14ac:dyDescent="0.2">
      <c r="A3391" s="16">
        <f>P3391</f>
        <v>0</v>
      </c>
      <c r="B3391">
        <v>2023</v>
      </c>
      <c r="C3391" t="s">
        <v>904</v>
      </c>
      <c r="D3391" t="s">
        <v>906</v>
      </c>
      <c r="E3391" t="s">
        <v>4297</v>
      </c>
      <c r="F3391" t="s">
        <v>817</v>
      </c>
      <c r="G3391" t="s">
        <v>362</v>
      </c>
      <c r="H3391" s="6" t="s">
        <v>187</v>
      </c>
      <c r="I3391" s="6">
        <v>0</v>
      </c>
      <c r="J3391" s="6">
        <v>0</v>
      </c>
      <c r="K3391" s="6">
        <v>2541</v>
      </c>
      <c r="M3391" s="6">
        <f>SUM(H3391,J3391)</f>
        <v>0</v>
      </c>
      <c r="N3391" s="6">
        <f>K3391</f>
        <v>2541</v>
      </c>
      <c r="O3391" s="6">
        <f>SUM(M3391:N3391)</f>
        <v>2541</v>
      </c>
      <c r="P3391" s="8">
        <f>VLOOKUP(F3391,'LEAID Match'!$A$2:$B$436,2,FALSE)</f>
        <v>0</v>
      </c>
      <c r="Q3391" s="6">
        <f>COUNTIF($P$2:$P$3691,P3391)</f>
        <v>371</v>
      </c>
    </row>
    <row r="3392" spans="1:17" x14ac:dyDescent="0.2">
      <c r="A3392" s="16">
        <f>P3392</f>
        <v>1800121</v>
      </c>
      <c r="B3392">
        <v>2015</v>
      </c>
      <c r="C3392" t="s">
        <v>904</v>
      </c>
      <c r="D3392" t="s">
        <v>906</v>
      </c>
      <c r="E3392" t="s">
        <v>4298</v>
      </c>
      <c r="F3392" t="s">
        <v>818</v>
      </c>
      <c r="G3392" t="s">
        <v>363</v>
      </c>
      <c r="H3392" s="6">
        <v>18119</v>
      </c>
      <c r="I3392" s="6">
        <v>8.8107389189725669E-5</v>
      </c>
      <c r="J3392" s="6">
        <v>511.99203858149588</v>
      </c>
      <c r="K3392" s="6">
        <v>74505.018017059003</v>
      </c>
      <c r="M3392" s="6">
        <f>SUM(H3392,J3392)</f>
        <v>18630.992038581495</v>
      </c>
      <c r="N3392" s="6">
        <f>K3392</f>
        <v>74505.018017059003</v>
      </c>
      <c r="O3392" s="6">
        <f>SUM(M3392:N3392)</f>
        <v>93136.010055640494</v>
      </c>
      <c r="P3392" s="8">
        <f>VLOOKUP(F3392,'LEAID Match'!$A$2:$B$436,2,FALSE)</f>
        <v>1800121</v>
      </c>
      <c r="Q3392" s="6">
        <f>COUNTIF($P$2:$P$3691,P3392)</f>
        <v>9</v>
      </c>
    </row>
    <row r="3393" spans="1:17" x14ac:dyDescent="0.2">
      <c r="A3393" s="16">
        <f>P3393</f>
        <v>1800121</v>
      </c>
      <c r="B3393">
        <v>2016</v>
      </c>
      <c r="C3393" t="s">
        <v>904</v>
      </c>
      <c r="D3393" t="s">
        <v>906</v>
      </c>
      <c r="E3393" t="s">
        <v>4299</v>
      </c>
      <c r="F3393" t="s">
        <v>818</v>
      </c>
      <c r="G3393" t="s">
        <v>363</v>
      </c>
      <c r="H3393" s="6">
        <v>19654</v>
      </c>
      <c r="I3393" s="6">
        <v>9.1196973830686378E-5</v>
      </c>
      <c r="J3393" s="6">
        <v>460.36232389730486</v>
      </c>
      <c r="K3393" s="6">
        <v>80937.314274734104</v>
      </c>
      <c r="M3393" s="6">
        <f>SUM(H3393,J3393)</f>
        <v>20114.362323897305</v>
      </c>
      <c r="N3393" s="6">
        <f>K3393</f>
        <v>80937.314274734104</v>
      </c>
      <c r="O3393" s="6">
        <f>SUM(M3393:N3393)</f>
        <v>101051.67659863141</v>
      </c>
      <c r="P3393" s="8">
        <f>VLOOKUP(F3393,'LEAID Match'!$A$2:$B$436,2,FALSE)</f>
        <v>1800121</v>
      </c>
      <c r="Q3393" s="6">
        <f>COUNTIF($P$2:$P$3691,P3393)</f>
        <v>9</v>
      </c>
    </row>
    <row r="3394" spans="1:17" x14ac:dyDescent="0.2">
      <c r="A3394" s="16">
        <f>P3394</f>
        <v>1800121</v>
      </c>
      <c r="B3394">
        <v>2017</v>
      </c>
      <c r="C3394" t="s">
        <v>904</v>
      </c>
      <c r="D3394" t="s">
        <v>906</v>
      </c>
      <c r="E3394" t="s">
        <v>4300</v>
      </c>
      <c r="F3394" t="s">
        <v>818</v>
      </c>
      <c r="G3394" t="s">
        <v>363</v>
      </c>
      <c r="H3394" s="6">
        <v>19732</v>
      </c>
      <c r="I3394" s="6">
        <v>8.6888437470019532E-5</v>
      </c>
      <c r="J3394" s="6">
        <v>393.17017955183837</v>
      </c>
      <c r="K3394" s="6">
        <v>75679.829036387004</v>
      </c>
      <c r="M3394" s="6">
        <f>SUM(H3394,J3394)</f>
        <v>20125.170179551838</v>
      </c>
      <c r="N3394" s="6">
        <f>K3394</f>
        <v>75679.829036387004</v>
      </c>
      <c r="O3394" s="6">
        <f>SUM(M3394:N3394)</f>
        <v>95804.999215938849</v>
      </c>
      <c r="P3394" s="8">
        <f>VLOOKUP(F3394,'LEAID Match'!$A$2:$B$436,2,FALSE)</f>
        <v>1800121</v>
      </c>
      <c r="Q3394" s="6">
        <f>COUNTIF($P$2:$P$3691,P3394)</f>
        <v>9</v>
      </c>
    </row>
    <row r="3395" spans="1:17" x14ac:dyDescent="0.2">
      <c r="A3395" s="16">
        <f>P3395</f>
        <v>1800121</v>
      </c>
      <c r="B3395">
        <v>2018</v>
      </c>
      <c r="C3395" t="s">
        <v>904</v>
      </c>
      <c r="D3395" t="s">
        <v>906</v>
      </c>
      <c r="E3395" t="s">
        <v>4301</v>
      </c>
      <c r="F3395" t="s">
        <v>818</v>
      </c>
      <c r="G3395" t="s">
        <v>363</v>
      </c>
      <c r="H3395" s="6">
        <v>24546</v>
      </c>
      <c r="I3395" s="6">
        <v>1.0413323413312799E-4</v>
      </c>
      <c r="J3395" s="6">
        <v>434.02731986687746</v>
      </c>
      <c r="K3395" s="6">
        <v>14411</v>
      </c>
      <c r="M3395" s="6">
        <f>SUM(H3395,J3395)</f>
        <v>24980.027319866876</v>
      </c>
      <c r="N3395" s="6">
        <f>K3395</f>
        <v>14411</v>
      </c>
      <c r="O3395" s="6">
        <f>SUM(M3395:N3395)</f>
        <v>39391.027319866873</v>
      </c>
      <c r="P3395" s="8">
        <f>VLOOKUP(F3395,'LEAID Match'!$A$2:$B$436,2,FALSE)</f>
        <v>1800121</v>
      </c>
      <c r="Q3395" s="6">
        <f>COUNTIF($P$2:$P$3691,P3395)</f>
        <v>9</v>
      </c>
    </row>
    <row r="3396" spans="1:17" x14ac:dyDescent="0.2">
      <c r="A3396" s="16">
        <f>P3396</f>
        <v>1800121</v>
      </c>
      <c r="B3396">
        <v>2019</v>
      </c>
      <c r="C3396" t="s">
        <v>904</v>
      </c>
      <c r="D3396" t="s">
        <v>906</v>
      </c>
      <c r="E3396" t="s">
        <v>4302</v>
      </c>
      <c r="F3396" t="s">
        <v>818</v>
      </c>
      <c r="G3396" t="s">
        <v>363</v>
      </c>
      <c r="H3396" s="6">
        <v>14848</v>
      </c>
      <c r="I3396" s="6">
        <v>3.7773231472909842E-5</v>
      </c>
      <c r="J3396" s="6">
        <v>132.39517631254898</v>
      </c>
      <c r="K3396" s="6">
        <v>35654.153187279597</v>
      </c>
      <c r="M3396" s="6">
        <f>SUM(H3396,J3396)</f>
        <v>14980.39517631255</v>
      </c>
      <c r="N3396" s="6">
        <f>K3396</f>
        <v>35654.153187279597</v>
      </c>
      <c r="O3396" s="6">
        <f>SUM(M3396:N3396)</f>
        <v>50634.548363592148</v>
      </c>
      <c r="P3396" s="8">
        <f>VLOOKUP(F3396,'LEAID Match'!$A$2:$B$436,2,FALSE)</f>
        <v>1800121</v>
      </c>
      <c r="Q3396" s="6">
        <f>COUNTIF($P$2:$P$3691,P3396)</f>
        <v>9</v>
      </c>
    </row>
    <row r="3397" spans="1:17" x14ac:dyDescent="0.2">
      <c r="A3397" s="16">
        <f>P3397</f>
        <v>1800121</v>
      </c>
      <c r="B3397">
        <v>2020</v>
      </c>
      <c r="C3397" t="s">
        <v>904</v>
      </c>
      <c r="D3397" t="s">
        <v>906</v>
      </c>
      <c r="E3397" t="s">
        <v>4303</v>
      </c>
      <c r="F3397" t="s">
        <v>818</v>
      </c>
      <c r="G3397" t="s">
        <v>363</v>
      </c>
      <c r="H3397" s="6" t="s">
        <v>187</v>
      </c>
      <c r="I3397" s="6">
        <v>0</v>
      </c>
      <c r="J3397" s="6">
        <v>0</v>
      </c>
      <c r="K3397" s="6" t="s">
        <v>187</v>
      </c>
      <c r="M3397" s="6">
        <f>SUM(H3397,J3397)</f>
        <v>0</v>
      </c>
      <c r="N3397" s="6" t="str">
        <f>K3397</f>
        <v>-</v>
      </c>
      <c r="O3397" s="6">
        <f>SUM(M3397:N3397)</f>
        <v>0</v>
      </c>
      <c r="P3397" s="8">
        <f>VLOOKUP(F3397,'LEAID Match'!$A$2:$B$436,2,FALSE)</f>
        <v>1800121</v>
      </c>
      <c r="Q3397" s="6">
        <f>COUNTIF($P$2:$P$3691,P3397)</f>
        <v>9</v>
      </c>
    </row>
    <row r="3398" spans="1:17" x14ac:dyDescent="0.2">
      <c r="A3398" s="16">
        <f>P3398</f>
        <v>1800121</v>
      </c>
      <c r="B3398">
        <v>2021</v>
      </c>
      <c r="C3398" t="s">
        <v>904</v>
      </c>
      <c r="D3398" t="s">
        <v>906</v>
      </c>
      <c r="E3398" t="s">
        <v>4304</v>
      </c>
      <c r="F3398" t="s">
        <v>818</v>
      </c>
      <c r="G3398" t="s">
        <v>363</v>
      </c>
      <c r="H3398" s="6" t="s">
        <v>187</v>
      </c>
      <c r="I3398" s="6">
        <v>0</v>
      </c>
      <c r="J3398" s="6">
        <v>0</v>
      </c>
      <c r="K3398" s="6" t="s">
        <v>187</v>
      </c>
      <c r="M3398" s="6">
        <f>SUM(H3398,J3398)</f>
        <v>0</v>
      </c>
      <c r="N3398" s="6" t="str">
        <f>K3398</f>
        <v>-</v>
      </c>
      <c r="O3398" s="6">
        <f>SUM(M3398:N3398)</f>
        <v>0</v>
      </c>
      <c r="P3398" s="8">
        <f>VLOOKUP(F3398,'LEAID Match'!$A$2:$B$436,2,FALSE)</f>
        <v>1800121</v>
      </c>
      <c r="Q3398" s="6">
        <f>COUNTIF($P$2:$P$3691,P3398)</f>
        <v>9</v>
      </c>
    </row>
    <row r="3399" spans="1:17" x14ac:dyDescent="0.2">
      <c r="A3399" s="16">
        <f>P3399</f>
        <v>1800121</v>
      </c>
      <c r="B3399">
        <v>2022</v>
      </c>
      <c r="C3399" t="s">
        <v>904</v>
      </c>
      <c r="D3399" t="s">
        <v>906</v>
      </c>
      <c r="E3399" t="s">
        <v>4305</v>
      </c>
      <c r="F3399" t="s">
        <v>818</v>
      </c>
      <c r="G3399" t="s">
        <v>363</v>
      </c>
      <c r="H3399" s="6" t="s">
        <v>187</v>
      </c>
      <c r="I3399" s="6">
        <v>0</v>
      </c>
      <c r="J3399" s="6">
        <v>0</v>
      </c>
      <c r="K3399" s="6" t="s">
        <v>187</v>
      </c>
      <c r="M3399" s="6">
        <f>SUM(H3399,J3399)</f>
        <v>0</v>
      </c>
      <c r="N3399" s="6" t="str">
        <f>K3399</f>
        <v>-</v>
      </c>
      <c r="O3399" s="6">
        <f>SUM(M3399:N3399)</f>
        <v>0</v>
      </c>
      <c r="P3399" s="8">
        <f>VLOOKUP(F3399,'LEAID Match'!$A$2:$B$436,2,FALSE)</f>
        <v>1800121</v>
      </c>
      <c r="Q3399" s="6">
        <f>COUNTIF($P$2:$P$3691,P3399)</f>
        <v>9</v>
      </c>
    </row>
    <row r="3400" spans="1:17" x14ac:dyDescent="0.2">
      <c r="A3400" s="16">
        <f>P3400</f>
        <v>1800121</v>
      </c>
      <c r="B3400">
        <v>2023</v>
      </c>
      <c r="C3400" t="s">
        <v>904</v>
      </c>
      <c r="D3400" t="s">
        <v>906</v>
      </c>
      <c r="E3400" t="s">
        <v>4306</v>
      </c>
      <c r="F3400" t="s">
        <v>818</v>
      </c>
      <c r="G3400" t="s">
        <v>363</v>
      </c>
      <c r="H3400" s="6" t="s">
        <v>187</v>
      </c>
      <c r="I3400" s="6">
        <v>0</v>
      </c>
      <c r="J3400" s="6">
        <v>0</v>
      </c>
      <c r="K3400" s="6">
        <v>2541</v>
      </c>
      <c r="M3400" s="6">
        <f>SUM(H3400,J3400)</f>
        <v>0</v>
      </c>
      <c r="N3400" s="6">
        <f>K3400</f>
        <v>2541</v>
      </c>
      <c r="O3400" s="6">
        <f>SUM(M3400:N3400)</f>
        <v>2541</v>
      </c>
      <c r="P3400" s="8">
        <f>VLOOKUP(F3400,'LEAID Match'!$A$2:$B$436,2,FALSE)</f>
        <v>1800121</v>
      </c>
      <c r="Q3400" s="6">
        <f>COUNTIF($P$2:$P$3691,P3400)</f>
        <v>9</v>
      </c>
    </row>
    <row r="3401" spans="1:17" x14ac:dyDescent="0.2">
      <c r="A3401" s="16">
        <f>P3401</f>
        <v>1800124</v>
      </c>
      <c r="B3401">
        <v>2015</v>
      </c>
      <c r="C3401" t="s">
        <v>904</v>
      </c>
      <c r="D3401" t="s">
        <v>906</v>
      </c>
      <c r="E3401" t="s">
        <v>4307</v>
      </c>
      <c r="F3401" t="s">
        <v>819</v>
      </c>
      <c r="G3401" t="s">
        <v>364</v>
      </c>
      <c r="H3401" s="6">
        <v>16977</v>
      </c>
      <c r="I3401" s="6">
        <v>8.2554177729122607E-5</v>
      </c>
      <c r="J3401" s="6">
        <v>479.72232678393146</v>
      </c>
      <c r="K3401" s="6">
        <v>69809.133554589702</v>
      </c>
      <c r="M3401" s="6">
        <f>SUM(H3401,J3401)</f>
        <v>17456.722326783933</v>
      </c>
      <c r="N3401" s="6">
        <f>K3401</f>
        <v>69809.133554589702</v>
      </c>
      <c r="O3401" s="6">
        <f>SUM(M3401:N3401)</f>
        <v>87265.855881373631</v>
      </c>
      <c r="P3401" s="8">
        <f>VLOOKUP(F3401,'LEAID Match'!$A$2:$B$436,2,FALSE)</f>
        <v>1800124</v>
      </c>
      <c r="Q3401" s="6">
        <f>COUNTIF($P$2:$P$3691,P3401)</f>
        <v>9</v>
      </c>
    </row>
    <row r="3402" spans="1:17" x14ac:dyDescent="0.2">
      <c r="A3402" s="16">
        <f>P3402</f>
        <v>1800124</v>
      </c>
      <c r="B3402">
        <v>2016</v>
      </c>
      <c r="C3402" t="s">
        <v>904</v>
      </c>
      <c r="D3402" t="s">
        <v>906</v>
      </c>
      <c r="E3402" t="s">
        <v>4308</v>
      </c>
      <c r="F3402" t="s">
        <v>819</v>
      </c>
      <c r="G3402" t="s">
        <v>364</v>
      </c>
      <c r="H3402" s="6">
        <v>24695</v>
      </c>
      <c r="I3402" s="6">
        <v>1.1458783294743056E-4</v>
      </c>
      <c r="J3402" s="6">
        <v>578.43938071862942</v>
      </c>
      <c r="K3402" s="6">
        <v>101696.701740844</v>
      </c>
      <c r="M3402" s="6">
        <f>SUM(H3402,J3402)</f>
        <v>25273.439380718628</v>
      </c>
      <c r="N3402" s="6">
        <f>K3402</f>
        <v>101696.701740844</v>
      </c>
      <c r="O3402" s="6">
        <f>SUM(M3402:N3402)</f>
        <v>126970.14112156263</v>
      </c>
      <c r="P3402" s="8">
        <f>VLOOKUP(F3402,'LEAID Match'!$A$2:$B$436,2,FALSE)</f>
        <v>1800124</v>
      </c>
      <c r="Q3402" s="6">
        <f>COUNTIF($P$2:$P$3691,P3402)</f>
        <v>9</v>
      </c>
    </row>
    <row r="3403" spans="1:17" x14ac:dyDescent="0.2">
      <c r="A3403" s="16">
        <f>P3403</f>
        <v>1800124</v>
      </c>
      <c r="B3403">
        <v>2017</v>
      </c>
      <c r="C3403" t="s">
        <v>904</v>
      </c>
      <c r="D3403" t="s">
        <v>906</v>
      </c>
      <c r="E3403" t="s">
        <v>4309</v>
      </c>
      <c r="F3403" t="s">
        <v>819</v>
      </c>
      <c r="G3403" t="s">
        <v>364</v>
      </c>
      <c r="H3403" s="6">
        <v>12995</v>
      </c>
      <c r="I3403" s="6">
        <v>5.7222544340305282E-5</v>
      </c>
      <c r="J3403" s="6">
        <v>258.93201313988141</v>
      </c>
      <c r="K3403" s="6">
        <v>49840.836120405897</v>
      </c>
      <c r="M3403" s="6">
        <f>SUM(H3403,J3403)</f>
        <v>13253.932013139882</v>
      </c>
      <c r="N3403" s="6">
        <f>K3403</f>
        <v>49840.836120405897</v>
      </c>
      <c r="O3403" s="6">
        <f>SUM(M3403:N3403)</f>
        <v>63094.768133545775</v>
      </c>
      <c r="P3403" s="8">
        <f>VLOOKUP(F3403,'LEAID Match'!$A$2:$B$436,2,FALSE)</f>
        <v>1800124</v>
      </c>
      <c r="Q3403" s="6">
        <f>COUNTIF($P$2:$P$3691,P3403)</f>
        <v>9</v>
      </c>
    </row>
    <row r="3404" spans="1:17" x14ac:dyDescent="0.2">
      <c r="A3404" s="16">
        <f>P3404</f>
        <v>1800124</v>
      </c>
      <c r="B3404">
        <v>2018</v>
      </c>
      <c r="C3404" t="s">
        <v>904</v>
      </c>
      <c r="D3404" t="s">
        <v>906</v>
      </c>
      <c r="E3404" t="s">
        <v>4310</v>
      </c>
      <c r="F3404" t="s">
        <v>819</v>
      </c>
      <c r="G3404" t="s">
        <v>364</v>
      </c>
      <c r="H3404" s="6">
        <v>31715</v>
      </c>
      <c r="I3404" s="6">
        <v>1.345467905374462E-4</v>
      </c>
      <c r="J3404" s="6">
        <v>560.79102296007579</v>
      </c>
      <c r="K3404" s="6">
        <v>34329</v>
      </c>
      <c r="M3404" s="6">
        <f>SUM(H3404,J3404)</f>
        <v>32275.791022960075</v>
      </c>
      <c r="N3404" s="6">
        <f>K3404</f>
        <v>34329</v>
      </c>
      <c r="O3404" s="6">
        <f>SUM(M3404:N3404)</f>
        <v>66604.791022960067</v>
      </c>
      <c r="P3404" s="8">
        <f>VLOOKUP(F3404,'LEAID Match'!$A$2:$B$436,2,FALSE)</f>
        <v>1800124</v>
      </c>
      <c r="Q3404" s="6">
        <f>COUNTIF($P$2:$P$3691,P3404)</f>
        <v>9</v>
      </c>
    </row>
    <row r="3405" spans="1:17" x14ac:dyDescent="0.2">
      <c r="A3405" s="16">
        <f>P3405</f>
        <v>1800124</v>
      </c>
      <c r="B3405">
        <v>2019</v>
      </c>
      <c r="C3405" t="s">
        <v>904</v>
      </c>
      <c r="D3405" t="s">
        <v>906</v>
      </c>
      <c r="E3405" t="s">
        <v>4311</v>
      </c>
      <c r="F3405" t="s">
        <v>819</v>
      </c>
      <c r="G3405" t="s">
        <v>364</v>
      </c>
      <c r="H3405" s="6">
        <v>50357</v>
      </c>
      <c r="I3405" s="6">
        <v>1.2810793489233035E-4</v>
      </c>
      <c r="J3405" s="6">
        <v>449.01831179761786</v>
      </c>
      <c r="K3405" s="6">
        <v>120921.07974487</v>
      </c>
      <c r="M3405" s="6">
        <f>SUM(H3405,J3405)</f>
        <v>50806.018311797619</v>
      </c>
      <c r="N3405" s="6">
        <f>K3405</f>
        <v>120921.07974487</v>
      </c>
      <c r="O3405" s="6">
        <f>SUM(M3405:N3405)</f>
        <v>171727.09805666763</v>
      </c>
      <c r="P3405" s="8">
        <f>VLOOKUP(F3405,'LEAID Match'!$A$2:$B$436,2,FALSE)</f>
        <v>1800124</v>
      </c>
      <c r="Q3405" s="6">
        <f>COUNTIF($P$2:$P$3691,P3405)</f>
        <v>9</v>
      </c>
    </row>
    <row r="3406" spans="1:17" x14ac:dyDescent="0.2">
      <c r="A3406" s="16">
        <f>P3406</f>
        <v>1800124</v>
      </c>
      <c r="B3406">
        <v>2020</v>
      </c>
      <c r="C3406" t="s">
        <v>904</v>
      </c>
      <c r="D3406" t="s">
        <v>906</v>
      </c>
      <c r="E3406" t="s">
        <v>4312</v>
      </c>
      <c r="F3406" t="s">
        <v>819</v>
      </c>
      <c r="G3406" t="s">
        <v>364</v>
      </c>
      <c r="H3406" s="6">
        <v>53291</v>
      </c>
      <c r="I3406" s="6">
        <v>2.8237343233890967E-4</v>
      </c>
      <c r="J3406" s="6">
        <v>665.27180659047121</v>
      </c>
      <c r="K3406" s="6">
        <v>78759</v>
      </c>
      <c r="M3406" s="6">
        <f>SUM(H3406,J3406)</f>
        <v>53956.27180659047</v>
      </c>
      <c r="N3406" s="6">
        <f>K3406</f>
        <v>78759</v>
      </c>
      <c r="O3406" s="6">
        <f>SUM(M3406:N3406)</f>
        <v>132715.27180659046</v>
      </c>
      <c r="P3406" s="8">
        <f>VLOOKUP(F3406,'LEAID Match'!$A$2:$B$436,2,FALSE)</f>
        <v>1800124</v>
      </c>
      <c r="Q3406" s="6">
        <f>COUNTIF($P$2:$P$3691,P3406)</f>
        <v>9</v>
      </c>
    </row>
    <row r="3407" spans="1:17" x14ac:dyDescent="0.2">
      <c r="A3407" s="16">
        <f>P3407</f>
        <v>1800124</v>
      </c>
      <c r="B3407">
        <v>2021</v>
      </c>
      <c r="C3407" t="s">
        <v>904</v>
      </c>
      <c r="D3407" t="s">
        <v>906</v>
      </c>
      <c r="E3407" t="s">
        <v>4313</v>
      </c>
      <c r="F3407" t="s">
        <v>819</v>
      </c>
      <c r="G3407" t="s">
        <v>364</v>
      </c>
      <c r="H3407" s="6">
        <v>66144</v>
      </c>
      <c r="I3407" s="6">
        <v>3.267575113212482E-4</v>
      </c>
      <c r="J3407" s="6">
        <v>736.51143051809345</v>
      </c>
      <c r="K3407" s="6">
        <v>128190</v>
      </c>
      <c r="M3407" s="6">
        <f>SUM(H3407,J3407)</f>
        <v>66880.51143051809</v>
      </c>
      <c r="N3407" s="6">
        <f>K3407</f>
        <v>128190</v>
      </c>
      <c r="O3407" s="6">
        <f>SUM(M3407:N3407)</f>
        <v>195070.51143051809</v>
      </c>
      <c r="P3407" s="8">
        <f>VLOOKUP(F3407,'LEAID Match'!$A$2:$B$436,2,FALSE)</f>
        <v>1800124</v>
      </c>
      <c r="Q3407" s="6">
        <f>COUNTIF($P$2:$P$3691,P3407)</f>
        <v>9</v>
      </c>
    </row>
    <row r="3408" spans="1:17" x14ac:dyDescent="0.2">
      <c r="A3408" s="16">
        <f>P3408</f>
        <v>1800124</v>
      </c>
      <c r="B3408">
        <v>2022</v>
      </c>
      <c r="C3408" t="s">
        <v>904</v>
      </c>
      <c r="D3408" t="s">
        <v>906</v>
      </c>
      <c r="E3408" t="s">
        <v>4314</v>
      </c>
      <c r="F3408" t="s">
        <v>819</v>
      </c>
      <c r="G3408" t="s">
        <v>364</v>
      </c>
      <c r="H3408" s="6">
        <v>86488</v>
      </c>
      <c r="I3408" s="6">
        <v>4.1066109789300581E-4</v>
      </c>
      <c r="J3408" s="6">
        <v>905.50772085407777</v>
      </c>
      <c r="K3408" s="6">
        <v>212406</v>
      </c>
      <c r="M3408" s="6">
        <f>SUM(H3408,J3408)</f>
        <v>87393.507720854075</v>
      </c>
      <c r="N3408" s="6">
        <f>K3408</f>
        <v>212406</v>
      </c>
      <c r="O3408" s="6">
        <f>SUM(M3408:N3408)</f>
        <v>299799.50772085408</v>
      </c>
      <c r="P3408" s="8">
        <f>VLOOKUP(F3408,'LEAID Match'!$A$2:$B$436,2,FALSE)</f>
        <v>1800124</v>
      </c>
      <c r="Q3408" s="6">
        <f>COUNTIF($P$2:$P$3691,P3408)</f>
        <v>9</v>
      </c>
    </row>
    <row r="3409" spans="1:17" x14ac:dyDescent="0.2">
      <c r="A3409" s="16">
        <f>P3409</f>
        <v>1800124</v>
      </c>
      <c r="B3409">
        <v>2023</v>
      </c>
      <c r="C3409" t="s">
        <v>904</v>
      </c>
      <c r="D3409" t="s">
        <v>906</v>
      </c>
      <c r="E3409" t="s">
        <v>4315</v>
      </c>
      <c r="F3409" t="s">
        <v>819</v>
      </c>
      <c r="G3409" t="s">
        <v>364</v>
      </c>
      <c r="H3409" s="6">
        <v>100910</v>
      </c>
      <c r="I3409" s="6">
        <v>4.1266645474588668E-4</v>
      </c>
      <c r="J3409" s="6">
        <v>1018.0481438581024</v>
      </c>
      <c r="K3409" s="6">
        <v>531916</v>
      </c>
      <c r="M3409" s="6">
        <f>SUM(H3409,J3409)</f>
        <v>101928.0481438581</v>
      </c>
      <c r="N3409" s="6">
        <f>K3409</f>
        <v>531916</v>
      </c>
      <c r="O3409" s="6">
        <f>SUM(M3409:N3409)</f>
        <v>633844.04814385809</v>
      </c>
      <c r="P3409" s="8">
        <f>VLOOKUP(F3409,'LEAID Match'!$A$2:$B$436,2,FALSE)</f>
        <v>1800124</v>
      </c>
      <c r="Q3409" s="6">
        <f>COUNTIF($P$2:$P$3691,P3409)</f>
        <v>9</v>
      </c>
    </row>
    <row r="3410" spans="1:17" x14ac:dyDescent="0.2">
      <c r="A3410" s="16">
        <f>P3410</f>
        <v>1800123</v>
      </c>
      <c r="B3410">
        <v>2015</v>
      </c>
      <c r="C3410" t="s">
        <v>904</v>
      </c>
      <c r="D3410" t="s">
        <v>906</v>
      </c>
      <c r="E3410" t="s">
        <v>4316</v>
      </c>
      <c r="F3410" t="s">
        <v>854</v>
      </c>
      <c r="G3410" t="s">
        <v>365</v>
      </c>
      <c r="H3410" s="6">
        <v>3465</v>
      </c>
      <c r="I3410" s="6">
        <v>1.6849279957083693E-5</v>
      </c>
      <c r="J3410" s="6">
        <v>97.911165830613342</v>
      </c>
      <c r="K3410" s="6">
        <v>14248.020720189201</v>
      </c>
      <c r="M3410" s="6">
        <f>SUM(H3410,J3410)</f>
        <v>3562.9111658306133</v>
      </c>
      <c r="N3410" s="6">
        <f>K3410</f>
        <v>14248.020720189201</v>
      </c>
      <c r="O3410" s="6">
        <f>SUM(M3410:N3410)</f>
        <v>17810.931886019815</v>
      </c>
      <c r="P3410" s="8">
        <f>VLOOKUP(F3410,'LEAID Match'!$A$2:$B$436,2,FALSE)</f>
        <v>1800123</v>
      </c>
      <c r="Q3410" s="6">
        <f>COUNTIF($P$2:$P$3691,P3410)</f>
        <v>9</v>
      </c>
    </row>
    <row r="3411" spans="1:17" x14ac:dyDescent="0.2">
      <c r="A3411" s="16">
        <f>P3411</f>
        <v>1800123</v>
      </c>
      <c r="B3411">
        <v>2016</v>
      </c>
      <c r="C3411" t="s">
        <v>904</v>
      </c>
      <c r="D3411" t="s">
        <v>906</v>
      </c>
      <c r="E3411" t="s">
        <v>4317</v>
      </c>
      <c r="F3411" t="s">
        <v>854</v>
      </c>
      <c r="G3411" t="s">
        <v>365</v>
      </c>
      <c r="H3411" s="6">
        <v>5327</v>
      </c>
      <c r="I3411" s="6">
        <v>2.4717934242193261E-5</v>
      </c>
      <c r="J3411" s="6">
        <v>124.77613205459159</v>
      </c>
      <c r="K3411" s="6">
        <v>21937.166639946499</v>
      </c>
      <c r="M3411" s="6">
        <f>SUM(H3411,J3411)</f>
        <v>5451.7761320545915</v>
      </c>
      <c r="N3411" s="6">
        <f>K3411</f>
        <v>21937.166639946499</v>
      </c>
      <c r="O3411" s="6">
        <f>SUM(M3411:N3411)</f>
        <v>27388.94277200109</v>
      </c>
      <c r="P3411" s="8">
        <f>VLOOKUP(F3411,'LEAID Match'!$A$2:$B$436,2,FALSE)</f>
        <v>1800123</v>
      </c>
      <c r="Q3411" s="6">
        <f>COUNTIF($P$2:$P$3691,P3411)</f>
        <v>9</v>
      </c>
    </row>
    <row r="3412" spans="1:17" x14ac:dyDescent="0.2">
      <c r="A3412" s="16">
        <f>P3412</f>
        <v>1800123</v>
      </c>
      <c r="B3412">
        <v>2017</v>
      </c>
      <c r="C3412" t="s">
        <v>904</v>
      </c>
      <c r="D3412" t="s">
        <v>906</v>
      </c>
      <c r="E3412" t="s">
        <v>4318</v>
      </c>
      <c r="F3412" t="s">
        <v>854</v>
      </c>
      <c r="G3412" t="s">
        <v>365</v>
      </c>
      <c r="H3412" s="6">
        <v>2274</v>
      </c>
      <c r="I3412" s="6">
        <v>1.0013394831077662E-5</v>
      </c>
      <c r="J3412" s="6">
        <v>45.310611610626424</v>
      </c>
      <c r="K3412" s="6">
        <v>8721.6668978686394</v>
      </c>
      <c r="M3412" s="6">
        <f>SUM(H3412,J3412)</f>
        <v>2319.3106116106264</v>
      </c>
      <c r="N3412" s="6">
        <f>K3412</f>
        <v>8721.6668978686394</v>
      </c>
      <c r="O3412" s="6">
        <f>SUM(M3412:N3412)</f>
        <v>11040.977509479266</v>
      </c>
      <c r="P3412" s="8">
        <f>VLOOKUP(F3412,'LEAID Match'!$A$2:$B$436,2,FALSE)</f>
        <v>1800123</v>
      </c>
      <c r="Q3412" s="6">
        <f>COUNTIF($P$2:$P$3691,P3412)</f>
        <v>9</v>
      </c>
    </row>
    <row r="3413" spans="1:17" x14ac:dyDescent="0.2">
      <c r="A3413" s="16">
        <f>P3413</f>
        <v>1800123</v>
      </c>
      <c r="B3413">
        <v>2018</v>
      </c>
      <c r="C3413" t="s">
        <v>904</v>
      </c>
      <c r="D3413" t="s">
        <v>906</v>
      </c>
      <c r="E3413" t="s">
        <v>4319</v>
      </c>
      <c r="F3413" t="s">
        <v>854</v>
      </c>
      <c r="G3413" t="s">
        <v>365</v>
      </c>
      <c r="H3413" s="6">
        <v>6302</v>
      </c>
      <c r="I3413" s="6">
        <v>2.6735420903893611E-5</v>
      </c>
      <c r="J3413" s="6">
        <v>111.43323432742856</v>
      </c>
      <c r="K3413" s="6">
        <v>0</v>
      </c>
      <c r="M3413" s="6">
        <f>SUM(H3413,J3413)</f>
        <v>6413.4332343274282</v>
      </c>
      <c r="N3413" s="6">
        <f>K3413</f>
        <v>0</v>
      </c>
      <c r="O3413" s="6">
        <f>SUM(M3413:N3413)</f>
        <v>6413.4332343274282</v>
      </c>
      <c r="P3413" s="8">
        <f>VLOOKUP(F3413,'LEAID Match'!$A$2:$B$436,2,FALSE)</f>
        <v>1800123</v>
      </c>
      <c r="Q3413" s="6">
        <f>COUNTIF($P$2:$P$3691,P3413)</f>
        <v>9</v>
      </c>
    </row>
    <row r="3414" spans="1:17" x14ac:dyDescent="0.2">
      <c r="A3414" s="16">
        <f>P3414</f>
        <v>1800123</v>
      </c>
      <c r="B3414">
        <v>2019</v>
      </c>
      <c r="C3414" t="s">
        <v>904</v>
      </c>
      <c r="D3414" t="s">
        <v>906</v>
      </c>
      <c r="E3414" t="s">
        <v>4320</v>
      </c>
      <c r="F3414" t="s">
        <v>854</v>
      </c>
      <c r="G3414" t="s">
        <v>365</v>
      </c>
      <c r="H3414" s="6">
        <v>10681</v>
      </c>
      <c r="I3414" s="6">
        <v>2.7172406072343079E-5</v>
      </c>
      <c r="J3414" s="6">
        <v>95.239283283562486</v>
      </c>
      <c r="K3414" s="6">
        <v>25648.0340916846</v>
      </c>
      <c r="M3414" s="6">
        <f>SUM(H3414,J3414)</f>
        <v>10776.239283283563</v>
      </c>
      <c r="N3414" s="6">
        <f>K3414</f>
        <v>25648.0340916846</v>
      </c>
      <c r="O3414" s="6">
        <f>SUM(M3414:N3414)</f>
        <v>36424.273374968165</v>
      </c>
      <c r="P3414" s="8">
        <f>VLOOKUP(F3414,'LEAID Match'!$A$2:$B$436,2,FALSE)</f>
        <v>1800123</v>
      </c>
      <c r="Q3414" s="6">
        <f>COUNTIF($P$2:$P$3691,P3414)</f>
        <v>9</v>
      </c>
    </row>
    <row r="3415" spans="1:17" x14ac:dyDescent="0.2">
      <c r="A3415" s="16">
        <f>P3415</f>
        <v>1800123</v>
      </c>
      <c r="B3415">
        <v>2020</v>
      </c>
      <c r="C3415" t="s">
        <v>904</v>
      </c>
      <c r="D3415" t="s">
        <v>906</v>
      </c>
      <c r="E3415" t="s">
        <v>4321</v>
      </c>
      <c r="F3415" t="s">
        <v>854</v>
      </c>
      <c r="G3415" t="s">
        <v>365</v>
      </c>
      <c r="H3415" s="6">
        <v>4073</v>
      </c>
      <c r="I3415" s="6">
        <v>2.1581636484891992E-5</v>
      </c>
      <c r="J3415" s="6">
        <v>50.846335558405535</v>
      </c>
      <c r="K3415" s="6">
        <v>0</v>
      </c>
      <c r="M3415" s="6">
        <f>SUM(H3415,J3415)</f>
        <v>4123.8463355584054</v>
      </c>
      <c r="N3415" s="6">
        <f>K3415</f>
        <v>0</v>
      </c>
      <c r="O3415" s="6">
        <f>SUM(M3415:N3415)</f>
        <v>4123.8463355584054</v>
      </c>
      <c r="P3415" s="8">
        <f>VLOOKUP(F3415,'LEAID Match'!$A$2:$B$436,2,FALSE)</f>
        <v>1800123</v>
      </c>
      <c r="Q3415" s="6">
        <f>COUNTIF($P$2:$P$3691,P3415)</f>
        <v>9</v>
      </c>
    </row>
    <row r="3416" spans="1:17" x14ac:dyDescent="0.2">
      <c r="A3416" s="16">
        <f>P3416</f>
        <v>1800123</v>
      </c>
      <c r="B3416">
        <v>2021</v>
      </c>
      <c r="C3416" t="s">
        <v>904</v>
      </c>
      <c r="D3416" t="s">
        <v>906</v>
      </c>
      <c r="E3416" t="s">
        <v>4322</v>
      </c>
      <c r="F3416" t="s">
        <v>854</v>
      </c>
      <c r="G3416" t="s">
        <v>365</v>
      </c>
      <c r="H3416" s="6">
        <v>2690</v>
      </c>
      <c r="I3416" s="6">
        <v>1.3288850167122605E-5</v>
      </c>
      <c r="J3416" s="6">
        <v>29.953068276694353</v>
      </c>
      <c r="K3416" s="6">
        <v>0</v>
      </c>
      <c r="M3416" s="6">
        <f>SUM(H3416,J3416)</f>
        <v>2719.9530682766945</v>
      </c>
      <c r="N3416" s="6">
        <f>K3416</f>
        <v>0</v>
      </c>
      <c r="O3416" s="6">
        <f>SUM(M3416:N3416)</f>
        <v>2719.9530682766945</v>
      </c>
      <c r="P3416" s="8">
        <f>VLOOKUP(F3416,'LEAID Match'!$A$2:$B$436,2,FALSE)</f>
        <v>1800123</v>
      </c>
      <c r="Q3416" s="6">
        <f>COUNTIF($P$2:$P$3691,P3416)</f>
        <v>9</v>
      </c>
    </row>
    <row r="3417" spans="1:17" x14ac:dyDescent="0.2">
      <c r="A3417" s="16">
        <f>P3417</f>
        <v>1800123</v>
      </c>
      <c r="B3417">
        <v>2022</v>
      </c>
      <c r="C3417" t="s">
        <v>904</v>
      </c>
      <c r="D3417" t="s">
        <v>906</v>
      </c>
      <c r="E3417" t="s">
        <v>4323</v>
      </c>
      <c r="F3417" t="s">
        <v>854</v>
      </c>
      <c r="G3417" t="s">
        <v>365</v>
      </c>
      <c r="H3417" s="6">
        <v>3816</v>
      </c>
      <c r="I3417" s="6">
        <v>1.811907720793301E-5</v>
      </c>
      <c r="J3417" s="6">
        <v>39.952565243492288</v>
      </c>
      <c r="K3417" s="6">
        <v>0</v>
      </c>
      <c r="M3417" s="6">
        <f>SUM(H3417,J3417)</f>
        <v>3855.9525652434922</v>
      </c>
      <c r="N3417" s="6">
        <f>K3417</f>
        <v>0</v>
      </c>
      <c r="O3417" s="6">
        <f>SUM(M3417:N3417)</f>
        <v>3855.9525652434922</v>
      </c>
      <c r="P3417" s="8">
        <f>VLOOKUP(F3417,'LEAID Match'!$A$2:$B$436,2,FALSE)</f>
        <v>1800123</v>
      </c>
      <c r="Q3417" s="6">
        <f>COUNTIF($P$2:$P$3691,P3417)</f>
        <v>9</v>
      </c>
    </row>
    <row r="3418" spans="1:17" x14ac:dyDescent="0.2">
      <c r="A3418" s="16">
        <f>P3418</f>
        <v>1800123</v>
      </c>
      <c r="B3418">
        <v>2023</v>
      </c>
      <c r="C3418" t="s">
        <v>904</v>
      </c>
      <c r="D3418" t="s">
        <v>906</v>
      </c>
      <c r="E3418" t="s">
        <v>4324</v>
      </c>
      <c r="F3418" t="s">
        <v>854</v>
      </c>
      <c r="G3418" t="s">
        <v>365</v>
      </c>
      <c r="H3418" s="6">
        <v>3936</v>
      </c>
      <c r="I3418" s="6">
        <v>1.6096077354868794E-5</v>
      </c>
      <c r="J3418" s="6">
        <v>39.709022834461315</v>
      </c>
      <c r="K3418" s="6">
        <v>0</v>
      </c>
      <c r="M3418" s="6">
        <f>SUM(H3418,J3418)</f>
        <v>3975.7090228344614</v>
      </c>
      <c r="N3418" s="6">
        <f>K3418</f>
        <v>0</v>
      </c>
      <c r="O3418" s="6">
        <f>SUM(M3418:N3418)</f>
        <v>3975.7090228344614</v>
      </c>
      <c r="P3418" s="8">
        <f>VLOOKUP(F3418,'LEAID Match'!$A$2:$B$436,2,FALSE)</f>
        <v>1800123</v>
      </c>
      <c r="Q3418" s="6">
        <f>COUNTIF($P$2:$P$3691,P3418)</f>
        <v>9</v>
      </c>
    </row>
    <row r="3419" spans="1:17" x14ac:dyDescent="0.2">
      <c r="A3419" s="16">
        <f>P3419</f>
        <v>1800143</v>
      </c>
      <c r="B3419">
        <v>2015</v>
      </c>
      <c r="C3419" t="s">
        <v>904</v>
      </c>
      <c r="D3419" t="s">
        <v>906</v>
      </c>
      <c r="E3419" t="s">
        <v>4325</v>
      </c>
      <c r="F3419" t="s">
        <v>855</v>
      </c>
      <c r="G3419" t="s">
        <v>366</v>
      </c>
      <c r="H3419" s="6">
        <v>63142</v>
      </c>
      <c r="I3419" s="6">
        <v>3.0704104907653058E-4</v>
      </c>
      <c r="J3419" s="6">
        <v>1784.2155361837192</v>
      </c>
      <c r="K3419" s="6">
        <v>259638.82375589901</v>
      </c>
      <c r="M3419" s="6">
        <f>SUM(H3419,J3419)</f>
        <v>64926.215536183721</v>
      </c>
      <c r="N3419" s="6">
        <f>K3419</f>
        <v>259638.82375589901</v>
      </c>
      <c r="O3419" s="6">
        <f>SUM(M3419:N3419)</f>
        <v>324565.03929208271</v>
      </c>
      <c r="P3419" s="8">
        <f>VLOOKUP(F3419,'LEAID Match'!$A$2:$B$436,2,FALSE)</f>
        <v>1800143</v>
      </c>
      <c r="Q3419" s="6">
        <f>COUNTIF($P$2:$P$3691,P3419)</f>
        <v>9</v>
      </c>
    </row>
    <row r="3420" spans="1:17" x14ac:dyDescent="0.2">
      <c r="A3420" s="16">
        <f>P3420</f>
        <v>1800143</v>
      </c>
      <c r="B3420">
        <v>2016</v>
      </c>
      <c r="C3420" t="s">
        <v>904</v>
      </c>
      <c r="D3420" t="s">
        <v>906</v>
      </c>
      <c r="E3420" t="s">
        <v>4326</v>
      </c>
      <c r="F3420" t="s">
        <v>855</v>
      </c>
      <c r="G3420" t="s">
        <v>366</v>
      </c>
      <c r="H3420" s="6">
        <v>73103</v>
      </c>
      <c r="I3420" s="6">
        <v>3.3920689823672875E-4</v>
      </c>
      <c r="J3420" s="6">
        <v>1712.3164222990067</v>
      </c>
      <c r="K3420" s="6">
        <v>301046.12218509603</v>
      </c>
      <c r="M3420" s="6">
        <f>SUM(H3420,J3420)</f>
        <v>74815.316422299002</v>
      </c>
      <c r="N3420" s="6">
        <f>K3420</f>
        <v>301046.12218509603</v>
      </c>
      <c r="O3420" s="6">
        <f>SUM(M3420:N3420)</f>
        <v>375861.43860739504</v>
      </c>
      <c r="P3420" s="8">
        <f>VLOOKUP(F3420,'LEAID Match'!$A$2:$B$436,2,FALSE)</f>
        <v>1800143</v>
      </c>
      <c r="Q3420" s="6">
        <f>COUNTIF($P$2:$P$3691,P3420)</f>
        <v>9</v>
      </c>
    </row>
    <row r="3421" spans="1:17" x14ac:dyDescent="0.2">
      <c r="A3421" s="16">
        <f>P3421</f>
        <v>1800143</v>
      </c>
      <c r="B3421">
        <v>2017</v>
      </c>
      <c r="C3421" t="s">
        <v>904</v>
      </c>
      <c r="D3421" t="s">
        <v>906</v>
      </c>
      <c r="E3421" t="s">
        <v>4327</v>
      </c>
      <c r="F3421" t="s">
        <v>855</v>
      </c>
      <c r="G3421" t="s">
        <v>366</v>
      </c>
      <c r="H3421" s="6">
        <v>63008</v>
      </c>
      <c r="I3421" s="6">
        <v>2.7745117920692232E-4</v>
      </c>
      <c r="J3421" s="6">
        <v>1255.4665859113236</v>
      </c>
      <c r="K3421" s="6">
        <v>241659.97708922901</v>
      </c>
      <c r="M3421" s="6">
        <f>SUM(H3421,J3421)</f>
        <v>64263.466585911323</v>
      </c>
      <c r="N3421" s="6">
        <f>K3421</f>
        <v>241659.97708922901</v>
      </c>
      <c r="O3421" s="6">
        <f>SUM(M3421:N3421)</f>
        <v>305923.44367514033</v>
      </c>
      <c r="P3421" s="8">
        <f>VLOOKUP(F3421,'LEAID Match'!$A$2:$B$436,2,FALSE)</f>
        <v>1800143</v>
      </c>
      <c r="Q3421" s="6">
        <f>COUNTIF($P$2:$P$3691,P3421)</f>
        <v>9</v>
      </c>
    </row>
    <row r="3422" spans="1:17" x14ac:dyDescent="0.2">
      <c r="A3422" s="16">
        <f>P3422</f>
        <v>1800143</v>
      </c>
      <c r="B3422">
        <v>2018</v>
      </c>
      <c r="C3422" t="s">
        <v>904</v>
      </c>
      <c r="D3422" t="s">
        <v>906</v>
      </c>
      <c r="E3422" t="s">
        <v>4328</v>
      </c>
      <c r="F3422" t="s">
        <v>855</v>
      </c>
      <c r="G3422" t="s">
        <v>366</v>
      </c>
      <c r="H3422" s="6">
        <v>10531</v>
      </c>
      <c r="I3422" s="6">
        <v>4.4676407099159569E-5</v>
      </c>
      <c r="J3422" s="6">
        <v>186.21126478929708</v>
      </c>
      <c r="K3422" s="6">
        <v>0</v>
      </c>
      <c r="M3422" s="6">
        <f>SUM(H3422,J3422)</f>
        <v>10717.211264789297</v>
      </c>
      <c r="N3422" s="6">
        <f>K3422</f>
        <v>0</v>
      </c>
      <c r="O3422" s="6">
        <f>SUM(M3422:N3422)</f>
        <v>10717.211264789297</v>
      </c>
      <c r="P3422" s="8">
        <f>VLOOKUP(F3422,'LEAID Match'!$A$2:$B$436,2,FALSE)</f>
        <v>1800143</v>
      </c>
      <c r="Q3422" s="6">
        <f>COUNTIF($P$2:$P$3691,P3422)</f>
        <v>9</v>
      </c>
    </row>
    <row r="3423" spans="1:17" x14ac:dyDescent="0.2">
      <c r="A3423" s="16">
        <f>P3423</f>
        <v>1800143</v>
      </c>
      <c r="B3423">
        <v>2019</v>
      </c>
      <c r="C3423" t="s">
        <v>904</v>
      </c>
      <c r="D3423" t="s">
        <v>906</v>
      </c>
      <c r="E3423" t="s">
        <v>4329</v>
      </c>
      <c r="F3423" t="s">
        <v>855</v>
      </c>
      <c r="G3423" t="s">
        <v>366</v>
      </c>
      <c r="H3423" s="6">
        <v>-4504</v>
      </c>
      <c r="I3423" s="6">
        <v>-1.1458151572870821E-5</v>
      </c>
      <c r="J3423" s="6">
        <v>-40.160821262912229</v>
      </c>
      <c r="K3423" s="6">
        <v>-10815.349269632699</v>
      </c>
      <c r="M3423" s="6">
        <f>SUM(H3423,J3423)</f>
        <v>-4544.1608212629126</v>
      </c>
      <c r="N3423" s="6">
        <f>K3423</f>
        <v>-10815.349269632699</v>
      </c>
      <c r="O3423" s="6">
        <f>SUM(M3423:N3423)</f>
        <v>-15359.510090895612</v>
      </c>
      <c r="P3423" s="8">
        <f>VLOOKUP(F3423,'LEAID Match'!$A$2:$B$436,2,FALSE)</f>
        <v>1800143</v>
      </c>
      <c r="Q3423" s="6">
        <f>COUNTIF($P$2:$P$3691,P3423)</f>
        <v>9</v>
      </c>
    </row>
    <row r="3424" spans="1:17" x14ac:dyDescent="0.2">
      <c r="A3424" s="16">
        <f>P3424</f>
        <v>1800143</v>
      </c>
      <c r="B3424">
        <v>2020</v>
      </c>
      <c r="C3424" t="s">
        <v>904</v>
      </c>
      <c r="D3424" t="s">
        <v>906</v>
      </c>
      <c r="E3424" t="s">
        <v>4330</v>
      </c>
      <c r="F3424" t="s">
        <v>855</v>
      </c>
      <c r="G3424" t="s">
        <v>366</v>
      </c>
      <c r="H3424" s="6" t="s">
        <v>187</v>
      </c>
      <c r="I3424" s="6">
        <v>0</v>
      </c>
      <c r="J3424" s="6">
        <v>0</v>
      </c>
      <c r="K3424" s="6">
        <v>0</v>
      </c>
      <c r="M3424" s="6">
        <f>SUM(H3424,J3424)</f>
        <v>0</v>
      </c>
      <c r="N3424" s="6">
        <f>K3424</f>
        <v>0</v>
      </c>
      <c r="O3424" s="6">
        <f>SUM(M3424:N3424)</f>
        <v>0</v>
      </c>
      <c r="P3424" s="8">
        <f>VLOOKUP(F3424,'LEAID Match'!$A$2:$B$436,2,FALSE)</f>
        <v>1800143</v>
      </c>
      <c r="Q3424" s="6">
        <f>COUNTIF($P$2:$P$3691,P3424)</f>
        <v>9</v>
      </c>
    </row>
    <row r="3425" spans="1:17" x14ac:dyDescent="0.2">
      <c r="A3425" s="16">
        <f>P3425</f>
        <v>1800143</v>
      </c>
      <c r="B3425">
        <v>2021</v>
      </c>
      <c r="C3425" t="s">
        <v>904</v>
      </c>
      <c r="D3425" t="s">
        <v>906</v>
      </c>
      <c r="E3425" t="s">
        <v>4331</v>
      </c>
      <c r="F3425" t="s">
        <v>855</v>
      </c>
      <c r="G3425" t="s">
        <v>366</v>
      </c>
      <c r="H3425" s="6" t="s">
        <v>187</v>
      </c>
      <c r="I3425" s="6">
        <v>0</v>
      </c>
      <c r="J3425" s="6">
        <v>0</v>
      </c>
      <c r="K3425" s="6">
        <v>0</v>
      </c>
      <c r="M3425" s="6">
        <f>SUM(H3425,J3425)</f>
        <v>0</v>
      </c>
      <c r="N3425" s="6">
        <f>K3425</f>
        <v>0</v>
      </c>
      <c r="O3425" s="6">
        <f>SUM(M3425:N3425)</f>
        <v>0</v>
      </c>
      <c r="P3425" s="8">
        <f>VLOOKUP(F3425,'LEAID Match'!$A$2:$B$436,2,FALSE)</f>
        <v>1800143</v>
      </c>
      <c r="Q3425" s="6">
        <f>COUNTIF($P$2:$P$3691,P3425)</f>
        <v>9</v>
      </c>
    </row>
    <row r="3426" spans="1:17" x14ac:dyDescent="0.2">
      <c r="A3426" s="16">
        <f>P3426</f>
        <v>1800143</v>
      </c>
      <c r="B3426">
        <v>2022</v>
      </c>
      <c r="C3426" t="s">
        <v>904</v>
      </c>
      <c r="D3426" t="s">
        <v>906</v>
      </c>
      <c r="E3426" t="s">
        <v>4332</v>
      </c>
      <c r="F3426" t="s">
        <v>855</v>
      </c>
      <c r="G3426" t="s">
        <v>366</v>
      </c>
      <c r="H3426" s="6" t="s">
        <v>187</v>
      </c>
      <c r="I3426" s="6">
        <v>0</v>
      </c>
      <c r="J3426" s="6">
        <v>0</v>
      </c>
      <c r="K3426" s="6">
        <v>0</v>
      </c>
      <c r="M3426" s="6">
        <f>SUM(H3426,J3426)</f>
        <v>0</v>
      </c>
      <c r="N3426" s="6">
        <f>K3426</f>
        <v>0</v>
      </c>
      <c r="O3426" s="6">
        <f>SUM(M3426:N3426)</f>
        <v>0</v>
      </c>
      <c r="P3426" s="8">
        <f>VLOOKUP(F3426,'LEAID Match'!$A$2:$B$436,2,FALSE)</f>
        <v>1800143</v>
      </c>
      <c r="Q3426" s="6">
        <f>COUNTIF($P$2:$P$3691,P3426)</f>
        <v>9</v>
      </c>
    </row>
    <row r="3427" spans="1:17" x14ac:dyDescent="0.2">
      <c r="A3427" s="16">
        <f>P3427</f>
        <v>1800143</v>
      </c>
      <c r="B3427">
        <v>2023</v>
      </c>
      <c r="C3427" t="s">
        <v>904</v>
      </c>
      <c r="D3427" t="s">
        <v>906</v>
      </c>
      <c r="E3427" t="s">
        <v>4333</v>
      </c>
      <c r="F3427" t="s">
        <v>855</v>
      </c>
      <c r="G3427" t="s">
        <v>366</v>
      </c>
      <c r="H3427" s="6" t="s">
        <v>187</v>
      </c>
      <c r="I3427" s="6">
        <v>0</v>
      </c>
      <c r="J3427" s="6">
        <v>0</v>
      </c>
      <c r="K3427" s="6">
        <v>0</v>
      </c>
      <c r="M3427" s="6">
        <f>SUM(H3427,J3427)</f>
        <v>0</v>
      </c>
      <c r="N3427" s="6">
        <f>K3427</f>
        <v>0</v>
      </c>
      <c r="O3427" s="6">
        <f>SUM(M3427:N3427)</f>
        <v>0</v>
      </c>
      <c r="P3427" s="8">
        <f>VLOOKUP(F3427,'LEAID Match'!$A$2:$B$436,2,FALSE)</f>
        <v>1800143</v>
      </c>
      <c r="Q3427" s="6">
        <f>COUNTIF($P$2:$P$3691,P3427)</f>
        <v>9</v>
      </c>
    </row>
    <row r="3428" spans="1:17" x14ac:dyDescent="0.2">
      <c r="A3428" s="16">
        <f>P3428</f>
        <v>0</v>
      </c>
      <c r="B3428">
        <v>2015</v>
      </c>
      <c r="C3428" t="s">
        <v>904</v>
      </c>
      <c r="D3428" t="s">
        <v>906</v>
      </c>
      <c r="E3428" t="s">
        <v>4334</v>
      </c>
      <c r="F3428" t="s">
        <v>856</v>
      </c>
      <c r="G3428" t="s">
        <v>367</v>
      </c>
      <c r="H3428" s="6">
        <v>913</v>
      </c>
      <c r="I3428" s="6">
        <v>4.4396515442474493E-6</v>
      </c>
      <c r="J3428" s="6">
        <v>25.798815123621928</v>
      </c>
      <c r="K3428" s="6">
        <v>3754.2403802403501</v>
      </c>
      <c r="M3428" s="6">
        <f>SUM(H3428,J3428)</f>
        <v>938.79881512362192</v>
      </c>
      <c r="N3428" s="6">
        <f>K3428</f>
        <v>3754.2403802403501</v>
      </c>
      <c r="O3428" s="6">
        <f>SUM(M3428:N3428)</f>
        <v>4693.0391953639719</v>
      </c>
      <c r="P3428" s="8">
        <f>VLOOKUP(F3428,'LEAID Match'!$A$2:$B$436,2,FALSE)</f>
        <v>0</v>
      </c>
      <c r="Q3428" s="6">
        <f>COUNTIF($P$2:$P$3691,P3428)</f>
        <v>371</v>
      </c>
    </row>
    <row r="3429" spans="1:17" x14ac:dyDescent="0.2">
      <c r="A3429" s="16">
        <f>P3429</f>
        <v>0</v>
      </c>
      <c r="B3429">
        <v>2016</v>
      </c>
      <c r="C3429" t="s">
        <v>904</v>
      </c>
      <c r="D3429" t="s">
        <v>906</v>
      </c>
      <c r="E3429" t="s">
        <v>4335</v>
      </c>
      <c r="F3429" t="s">
        <v>856</v>
      </c>
      <c r="G3429" t="s">
        <v>367</v>
      </c>
      <c r="H3429" s="6">
        <v>14142</v>
      </c>
      <c r="I3429" s="6">
        <v>6.5620616867485842E-5</v>
      </c>
      <c r="J3429" s="6">
        <v>331.25287394706851</v>
      </c>
      <c r="K3429" s="6">
        <v>58238.297469893601</v>
      </c>
      <c r="M3429" s="6">
        <f>SUM(H3429,J3429)</f>
        <v>14473.252873947069</v>
      </c>
      <c r="N3429" s="6">
        <f>K3429</f>
        <v>58238.297469893601</v>
      </c>
      <c r="O3429" s="6">
        <f>SUM(M3429:N3429)</f>
        <v>72711.550343840674</v>
      </c>
      <c r="P3429" s="8">
        <f>VLOOKUP(F3429,'LEAID Match'!$A$2:$B$436,2,FALSE)</f>
        <v>0</v>
      </c>
      <c r="Q3429" s="6">
        <f>COUNTIF($P$2:$P$3691,P3429)</f>
        <v>371</v>
      </c>
    </row>
    <row r="3430" spans="1:17" x14ac:dyDescent="0.2">
      <c r="A3430" s="16">
        <f>P3430</f>
        <v>0</v>
      </c>
      <c r="B3430">
        <v>2017</v>
      </c>
      <c r="C3430" t="s">
        <v>904</v>
      </c>
      <c r="D3430" t="s">
        <v>906</v>
      </c>
      <c r="E3430" t="s">
        <v>4336</v>
      </c>
      <c r="F3430" t="s">
        <v>856</v>
      </c>
      <c r="G3430" t="s">
        <v>367</v>
      </c>
      <c r="H3430" s="6">
        <v>3803</v>
      </c>
      <c r="I3430" s="6">
        <v>1.6746235946608773E-5</v>
      </c>
      <c r="J3430" s="6">
        <v>75.776717658404692</v>
      </c>
      <c r="K3430" s="6">
        <v>14585.971509496199</v>
      </c>
      <c r="M3430" s="6">
        <f>SUM(H3430,J3430)</f>
        <v>3878.7767176584048</v>
      </c>
      <c r="N3430" s="6">
        <f>K3430</f>
        <v>14585.971509496199</v>
      </c>
      <c r="O3430" s="6">
        <f>SUM(M3430:N3430)</f>
        <v>18464.748227154603</v>
      </c>
      <c r="P3430" s="8">
        <f>VLOOKUP(F3430,'LEAID Match'!$A$2:$B$436,2,FALSE)</f>
        <v>0</v>
      </c>
      <c r="Q3430" s="6">
        <f>COUNTIF($P$2:$P$3691,P3430)</f>
        <v>371</v>
      </c>
    </row>
    <row r="3431" spans="1:17" x14ac:dyDescent="0.2">
      <c r="A3431" s="16">
        <f>P3431</f>
        <v>0</v>
      </c>
      <c r="B3431">
        <v>2018</v>
      </c>
      <c r="C3431" t="s">
        <v>904</v>
      </c>
      <c r="D3431" t="s">
        <v>906</v>
      </c>
      <c r="E3431" t="s">
        <v>4337</v>
      </c>
      <c r="F3431" t="s">
        <v>856</v>
      </c>
      <c r="G3431" t="s">
        <v>367</v>
      </c>
      <c r="H3431" s="6">
        <v>313</v>
      </c>
      <c r="I3431" s="6">
        <v>1.327862066473929E-6</v>
      </c>
      <c r="J3431" s="6">
        <v>5.5345290930633357</v>
      </c>
      <c r="K3431" s="6">
        <v>0</v>
      </c>
      <c r="M3431" s="6">
        <f>SUM(H3431,J3431)</f>
        <v>318.53452909306333</v>
      </c>
      <c r="N3431" s="6">
        <f>K3431</f>
        <v>0</v>
      </c>
      <c r="O3431" s="6">
        <f>SUM(M3431:N3431)</f>
        <v>318.53452909306333</v>
      </c>
      <c r="P3431" s="8">
        <f>VLOOKUP(F3431,'LEAID Match'!$A$2:$B$436,2,FALSE)</f>
        <v>0</v>
      </c>
      <c r="Q3431" s="6">
        <f>COUNTIF($P$2:$P$3691,P3431)</f>
        <v>371</v>
      </c>
    </row>
    <row r="3432" spans="1:17" x14ac:dyDescent="0.2">
      <c r="A3432" s="16">
        <f>P3432</f>
        <v>0</v>
      </c>
      <c r="B3432">
        <v>2019</v>
      </c>
      <c r="C3432" t="s">
        <v>904</v>
      </c>
      <c r="D3432" t="s">
        <v>906</v>
      </c>
      <c r="E3432" t="s">
        <v>4338</v>
      </c>
      <c r="F3432" t="s">
        <v>856</v>
      </c>
      <c r="G3432" t="s">
        <v>367</v>
      </c>
      <c r="H3432" s="6" t="s">
        <v>187</v>
      </c>
      <c r="I3432" s="6">
        <v>0</v>
      </c>
      <c r="J3432" s="6">
        <v>0</v>
      </c>
      <c r="K3432" s="6">
        <v>0</v>
      </c>
      <c r="M3432" s="6">
        <f>SUM(H3432,J3432)</f>
        <v>0</v>
      </c>
      <c r="N3432" s="6">
        <f>K3432</f>
        <v>0</v>
      </c>
      <c r="O3432" s="6">
        <f>SUM(M3432:N3432)</f>
        <v>0</v>
      </c>
      <c r="P3432" s="8">
        <f>VLOOKUP(F3432,'LEAID Match'!$A$2:$B$436,2,FALSE)</f>
        <v>0</v>
      </c>
      <c r="Q3432" s="6">
        <f>COUNTIF($P$2:$P$3691,P3432)</f>
        <v>371</v>
      </c>
    </row>
    <row r="3433" spans="1:17" x14ac:dyDescent="0.2">
      <c r="A3433" s="16">
        <f>P3433</f>
        <v>0</v>
      </c>
      <c r="B3433">
        <v>2020</v>
      </c>
      <c r="C3433" t="s">
        <v>904</v>
      </c>
      <c r="D3433" t="s">
        <v>906</v>
      </c>
      <c r="E3433" t="s">
        <v>4339</v>
      </c>
      <c r="F3433" t="s">
        <v>856</v>
      </c>
      <c r="G3433" t="s">
        <v>367</v>
      </c>
      <c r="H3433" s="6" t="s">
        <v>187</v>
      </c>
      <c r="I3433" s="6">
        <v>0</v>
      </c>
      <c r="J3433" s="6">
        <v>0</v>
      </c>
      <c r="K3433" s="6">
        <v>0</v>
      </c>
      <c r="M3433" s="6">
        <f>SUM(H3433,J3433)</f>
        <v>0</v>
      </c>
      <c r="N3433" s="6">
        <f>K3433</f>
        <v>0</v>
      </c>
      <c r="O3433" s="6">
        <f>SUM(M3433:N3433)</f>
        <v>0</v>
      </c>
      <c r="P3433" s="8">
        <f>VLOOKUP(F3433,'LEAID Match'!$A$2:$B$436,2,FALSE)</f>
        <v>0</v>
      </c>
      <c r="Q3433" s="6">
        <f>COUNTIF($P$2:$P$3691,P3433)</f>
        <v>371</v>
      </c>
    </row>
    <row r="3434" spans="1:17" x14ac:dyDescent="0.2">
      <c r="A3434" s="16">
        <f>P3434</f>
        <v>0</v>
      </c>
      <c r="B3434">
        <v>2021</v>
      </c>
      <c r="C3434" t="s">
        <v>904</v>
      </c>
      <c r="D3434" t="s">
        <v>906</v>
      </c>
      <c r="E3434" t="s">
        <v>4340</v>
      </c>
      <c r="F3434" t="s">
        <v>856</v>
      </c>
      <c r="G3434" t="s">
        <v>367</v>
      </c>
      <c r="H3434" s="6" t="s">
        <v>187</v>
      </c>
      <c r="I3434" s="6">
        <v>0</v>
      </c>
      <c r="J3434" s="6">
        <v>0</v>
      </c>
      <c r="K3434" s="6">
        <v>0</v>
      </c>
      <c r="M3434" s="6">
        <f>SUM(H3434,J3434)</f>
        <v>0</v>
      </c>
      <c r="N3434" s="6">
        <f>K3434</f>
        <v>0</v>
      </c>
      <c r="O3434" s="6">
        <f>SUM(M3434:N3434)</f>
        <v>0</v>
      </c>
      <c r="P3434" s="8">
        <f>VLOOKUP(F3434,'LEAID Match'!$A$2:$B$436,2,FALSE)</f>
        <v>0</v>
      </c>
      <c r="Q3434" s="6">
        <f>COUNTIF($P$2:$P$3691,P3434)</f>
        <v>371</v>
      </c>
    </row>
    <row r="3435" spans="1:17" x14ac:dyDescent="0.2">
      <c r="A3435" s="16">
        <f>P3435</f>
        <v>0</v>
      </c>
      <c r="B3435">
        <v>2022</v>
      </c>
      <c r="C3435" t="s">
        <v>904</v>
      </c>
      <c r="D3435" t="s">
        <v>906</v>
      </c>
      <c r="E3435" t="s">
        <v>4341</v>
      </c>
      <c r="F3435" t="s">
        <v>856</v>
      </c>
      <c r="G3435" t="s">
        <v>367</v>
      </c>
      <c r="H3435" s="6" t="s">
        <v>187</v>
      </c>
      <c r="I3435" s="6">
        <v>0</v>
      </c>
      <c r="J3435" s="6">
        <v>0</v>
      </c>
      <c r="K3435" s="6">
        <v>0</v>
      </c>
      <c r="M3435" s="6">
        <f>SUM(H3435,J3435)</f>
        <v>0</v>
      </c>
      <c r="N3435" s="6">
        <f>K3435</f>
        <v>0</v>
      </c>
      <c r="O3435" s="6">
        <f>SUM(M3435:N3435)</f>
        <v>0</v>
      </c>
      <c r="P3435" s="8">
        <f>VLOOKUP(F3435,'LEAID Match'!$A$2:$B$436,2,FALSE)</f>
        <v>0</v>
      </c>
      <c r="Q3435" s="6">
        <f>COUNTIF($P$2:$P$3691,P3435)</f>
        <v>371</v>
      </c>
    </row>
    <row r="3436" spans="1:17" x14ac:dyDescent="0.2">
      <c r="A3436" s="16">
        <f>P3436</f>
        <v>0</v>
      </c>
      <c r="B3436">
        <v>2023</v>
      </c>
      <c r="C3436" t="s">
        <v>904</v>
      </c>
      <c r="D3436" t="s">
        <v>906</v>
      </c>
      <c r="E3436" t="s">
        <v>4342</v>
      </c>
      <c r="F3436" t="s">
        <v>856</v>
      </c>
      <c r="G3436" t="s">
        <v>367</v>
      </c>
      <c r="H3436" s="6" t="s">
        <v>187</v>
      </c>
      <c r="I3436" s="6">
        <v>0</v>
      </c>
      <c r="J3436" s="6">
        <v>0</v>
      </c>
      <c r="K3436" s="6">
        <v>0</v>
      </c>
      <c r="M3436" s="6">
        <f>SUM(H3436,J3436)</f>
        <v>0</v>
      </c>
      <c r="N3436" s="6">
        <f>K3436</f>
        <v>0</v>
      </c>
      <c r="O3436" s="6">
        <f>SUM(M3436:N3436)</f>
        <v>0</v>
      </c>
      <c r="P3436" s="8">
        <f>VLOOKUP(F3436,'LEAID Match'!$A$2:$B$436,2,FALSE)</f>
        <v>0</v>
      </c>
      <c r="Q3436" s="6">
        <f>COUNTIF($P$2:$P$3691,P3436)</f>
        <v>371</v>
      </c>
    </row>
    <row r="3437" spans="1:17" x14ac:dyDescent="0.2">
      <c r="A3437" s="16">
        <f>P3437</f>
        <v>1800158</v>
      </c>
      <c r="B3437">
        <v>2016</v>
      </c>
      <c r="C3437" t="s">
        <v>904</v>
      </c>
      <c r="D3437" t="s">
        <v>906</v>
      </c>
      <c r="E3437" t="s">
        <v>4343</v>
      </c>
      <c r="F3437" t="s">
        <v>857</v>
      </c>
      <c r="G3437" t="s">
        <v>373</v>
      </c>
      <c r="H3437" s="6">
        <v>77001</v>
      </c>
      <c r="I3437" s="6">
        <v>3.5729409697449281E-4</v>
      </c>
      <c r="J3437" s="6">
        <v>1803.6206015272396</v>
      </c>
      <c r="K3437" s="6">
        <v>317098.51106486202</v>
      </c>
      <c r="M3437" s="6">
        <f>SUM(H3437,J3437)</f>
        <v>78804.620601527233</v>
      </c>
      <c r="N3437" s="6">
        <f>K3437</f>
        <v>317098.51106486202</v>
      </c>
      <c r="O3437" s="6">
        <f>SUM(M3437:N3437)</f>
        <v>395903.13166638924</v>
      </c>
      <c r="P3437" s="8">
        <f>VLOOKUP(F3437,'LEAID Match'!$A$2:$B$436,2,FALSE)</f>
        <v>1800158</v>
      </c>
      <c r="Q3437" s="6">
        <f>COUNTIF($P$2:$P$3691,P3437)</f>
        <v>8</v>
      </c>
    </row>
    <row r="3438" spans="1:17" x14ac:dyDescent="0.2">
      <c r="A3438" s="16">
        <f>P3438</f>
        <v>1800158</v>
      </c>
      <c r="B3438">
        <v>2017</v>
      </c>
      <c r="C3438" t="s">
        <v>904</v>
      </c>
      <c r="D3438" t="s">
        <v>906</v>
      </c>
      <c r="E3438" t="s">
        <v>4344</v>
      </c>
      <c r="F3438" t="s">
        <v>857</v>
      </c>
      <c r="G3438" t="s">
        <v>373</v>
      </c>
      <c r="H3438" s="6">
        <v>64752</v>
      </c>
      <c r="I3438" s="6">
        <v>2.8513075730076553E-4</v>
      </c>
      <c r="J3438" s="6">
        <v>1290.216676785964</v>
      </c>
      <c r="K3438" s="6">
        <v>248348.88960896601</v>
      </c>
      <c r="M3438" s="6">
        <f>SUM(H3438,J3438)</f>
        <v>66042.21667678596</v>
      </c>
      <c r="N3438" s="6">
        <f>K3438</f>
        <v>248348.88960896601</v>
      </c>
      <c r="O3438" s="6">
        <f>SUM(M3438:N3438)</f>
        <v>314391.10628575197</v>
      </c>
      <c r="P3438" s="8">
        <f>VLOOKUP(F3438,'LEAID Match'!$A$2:$B$436,2,FALSE)</f>
        <v>1800158</v>
      </c>
      <c r="Q3438" s="6">
        <f>COUNTIF($P$2:$P$3691,P3438)</f>
        <v>8</v>
      </c>
    </row>
    <row r="3439" spans="1:17" x14ac:dyDescent="0.2">
      <c r="A3439" s="16">
        <f>P3439</f>
        <v>1800158</v>
      </c>
      <c r="B3439">
        <v>2018</v>
      </c>
      <c r="C3439" t="s">
        <v>904</v>
      </c>
      <c r="D3439" t="s">
        <v>906</v>
      </c>
      <c r="E3439" t="s">
        <v>4345</v>
      </c>
      <c r="F3439" t="s">
        <v>857</v>
      </c>
      <c r="G3439" t="s">
        <v>373</v>
      </c>
      <c r="H3439" s="6">
        <v>46271</v>
      </c>
      <c r="I3439" s="6">
        <v>1.96298740184713E-4</v>
      </c>
      <c r="J3439" s="6">
        <v>818.17314908988374</v>
      </c>
      <c r="K3439" s="6">
        <v>0</v>
      </c>
      <c r="M3439" s="6">
        <f>SUM(H3439,J3439)</f>
        <v>47089.173149089882</v>
      </c>
      <c r="N3439" s="6">
        <f>K3439</f>
        <v>0</v>
      </c>
      <c r="O3439" s="6">
        <f>SUM(M3439:N3439)</f>
        <v>47089.173149089882</v>
      </c>
      <c r="P3439" s="8">
        <f>VLOOKUP(F3439,'LEAID Match'!$A$2:$B$436,2,FALSE)</f>
        <v>1800158</v>
      </c>
      <c r="Q3439" s="6">
        <f>COUNTIF($P$2:$P$3691,P3439)</f>
        <v>8</v>
      </c>
    </row>
    <row r="3440" spans="1:17" x14ac:dyDescent="0.2">
      <c r="A3440" s="16">
        <f>P3440</f>
        <v>1800158</v>
      </c>
      <c r="B3440">
        <v>2019</v>
      </c>
      <c r="C3440" t="s">
        <v>904</v>
      </c>
      <c r="D3440" t="s">
        <v>906</v>
      </c>
      <c r="E3440" t="s">
        <v>4346</v>
      </c>
      <c r="F3440" t="s">
        <v>857</v>
      </c>
      <c r="G3440" t="s">
        <v>373</v>
      </c>
      <c r="H3440" s="6">
        <v>1259</v>
      </c>
      <c r="I3440" s="6">
        <v>3.2028891719015015E-6</v>
      </c>
      <c r="J3440" s="6">
        <v>11.226126547514763</v>
      </c>
      <c r="K3440" s="6">
        <v>3023.2070893578202</v>
      </c>
      <c r="M3440" s="6">
        <f>SUM(H3440,J3440)</f>
        <v>1270.2261265475147</v>
      </c>
      <c r="N3440" s="6">
        <f>K3440</f>
        <v>3023.2070893578202</v>
      </c>
      <c r="O3440" s="6">
        <f>SUM(M3440:N3440)</f>
        <v>4293.4332159053347</v>
      </c>
      <c r="P3440" s="8">
        <f>VLOOKUP(F3440,'LEAID Match'!$A$2:$B$436,2,FALSE)</f>
        <v>1800158</v>
      </c>
      <c r="Q3440" s="6">
        <f>COUNTIF($P$2:$P$3691,P3440)</f>
        <v>8</v>
      </c>
    </row>
    <row r="3441" spans="1:17" x14ac:dyDescent="0.2">
      <c r="A3441" s="16">
        <f>P3441</f>
        <v>1800158</v>
      </c>
      <c r="B3441">
        <v>2020</v>
      </c>
      <c r="C3441" t="s">
        <v>904</v>
      </c>
      <c r="D3441" t="s">
        <v>906</v>
      </c>
      <c r="E3441" t="s">
        <v>4347</v>
      </c>
      <c r="F3441" t="s">
        <v>857</v>
      </c>
      <c r="G3441" t="s">
        <v>373</v>
      </c>
      <c r="H3441" s="6" t="s">
        <v>187</v>
      </c>
      <c r="I3441" s="6">
        <v>0</v>
      </c>
      <c r="J3441" s="6">
        <v>0</v>
      </c>
      <c r="K3441" s="6">
        <v>0</v>
      </c>
      <c r="M3441" s="6">
        <f>SUM(H3441,J3441)</f>
        <v>0</v>
      </c>
      <c r="N3441" s="6">
        <f>K3441</f>
        <v>0</v>
      </c>
      <c r="O3441" s="6">
        <f>SUM(M3441:N3441)</f>
        <v>0</v>
      </c>
      <c r="P3441" s="8">
        <f>VLOOKUP(F3441,'LEAID Match'!$A$2:$B$436,2,FALSE)</f>
        <v>1800158</v>
      </c>
      <c r="Q3441" s="6">
        <f>COUNTIF($P$2:$P$3691,P3441)</f>
        <v>8</v>
      </c>
    </row>
    <row r="3442" spans="1:17" x14ac:dyDescent="0.2">
      <c r="A3442" s="16">
        <f>P3442</f>
        <v>1800158</v>
      </c>
      <c r="B3442">
        <v>2021</v>
      </c>
      <c r="C3442" t="s">
        <v>904</v>
      </c>
      <c r="D3442" t="s">
        <v>906</v>
      </c>
      <c r="E3442" t="s">
        <v>4348</v>
      </c>
      <c r="F3442" t="s">
        <v>857</v>
      </c>
      <c r="G3442" t="s">
        <v>373</v>
      </c>
      <c r="H3442" s="6" t="s">
        <v>187</v>
      </c>
      <c r="I3442" s="6">
        <v>0</v>
      </c>
      <c r="J3442" s="6">
        <v>0</v>
      </c>
      <c r="K3442" s="6">
        <v>0</v>
      </c>
      <c r="M3442" s="6">
        <f>SUM(H3442,J3442)</f>
        <v>0</v>
      </c>
      <c r="N3442" s="6">
        <f>K3442</f>
        <v>0</v>
      </c>
      <c r="O3442" s="6">
        <f>SUM(M3442:N3442)</f>
        <v>0</v>
      </c>
      <c r="P3442" s="8">
        <f>VLOOKUP(F3442,'LEAID Match'!$A$2:$B$436,2,FALSE)</f>
        <v>1800158</v>
      </c>
      <c r="Q3442" s="6">
        <f>COUNTIF($P$2:$P$3691,P3442)</f>
        <v>8</v>
      </c>
    </row>
    <row r="3443" spans="1:17" x14ac:dyDescent="0.2">
      <c r="A3443" s="16">
        <f>P3443</f>
        <v>1800158</v>
      </c>
      <c r="B3443">
        <v>2022</v>
      </c>
      <c r="C3443" t="s">
        <v>904</v>
      </c>
      <c r="D3443" t="s">
        <v>906</v>
      </c>
      <c r="E3443" t="s">
        <v>4349</v>
      </c>
      <c r="F3443" t="s">
        <v>857</v>
      </c>
      <c r="G3443" t="s">
        <v>373</v>
      </c>
      <c r="H3443" s="6" t="s">
        <v>187</v>
      </c>
      <c r="I3443" s="6">
        <v>0</v>
      </c>
      <c r="J3443" s="6">
        <v>0</v>
      </c>
      <c r="K3443" s="6">
        <v>0</v>
      </c>
      <c r="M3443" s="6">
        <f>SUM(H3443,J3443)</f>
        <v>0</v>
      </c>
      <c r="N3443" s="6">
        <f>K3443</f>
        <v>0</v>
      </c>
      <c r="O3443" s="6">
        <f>SUM(M3443:N3443)</f>
        <v>0</v>
      </c>
      <c r="P3443" s="8">
        <f>VLOOKUP(F3443,'LEAID Match'!$A$2:$B$436,2,FALSE)</f>
        <v>1800158</v>
      </c>
      <c r="Q3443" s="6">
        <f>COUNTIF($P$2:$P$3691,P3443)</f>
        <v>8</v>
      </c>
    </row>
    <row r="3444" spans="1:17" x14ac:dyDescent="0.2">
      <c r="A3444" s="16">
        <f>P3444</f>
        <v>1800158</v>
      </c>
      <c r="B3444">
        <v>2023</v>
      </c>
      <c r="C3444" t="s">
        <v>904</v>
      </c>
      <c r="D3444" t="s">
        <v>906</v>
      </c>
      <c r="E3444" t="s">
        <v>4350</v>
      </c>
      <c r="F3444" t="s">
        <v>857</v>
      </c>
      <c r="G3444" t="s">
        <v>373</v>
      </c>
      <c r="H3444" s="6" t="s">
        <v>187</v>
      </c>
      <c r="I3444" s="6">
        <v>0</v>
      </c>
      <c r="J3444" s="6">
        <v>0</v>
      </c>
      <c r="K3444" s="6">
        <v>0</v>
      </c>
      <c r="M3444" s="6">
        <f>SUM(H3444,J3444)</f>
        <v>0</v>
      </c>
      <c r="N3444" s="6">
        <f>K3444</f>
        <v>0</v>
      </c>
      <c r="O3444" s="6">
        <f>SUM(M3444:N3444)</f>
        <v>0</v>
      </c>
      <c r="P3444" s="8">
        <f>VLOOKUP(F3444,'LEAID Match'!$A$2:$B$436,2,FALSE)</f>
        <v>1800158</v>
      </c>
      <c r="Q3444" s="6">
        <f>COUNTIF($P$2:$P$3691,P3444)</f>
        <v>8</v>
      </c>
    </row>
    <row r="3445" spans="1:17" x14ac:dyDescent="0.2">
      <c r="A3445" s="16">
        <f>P3445</f>
        <v>1800165</v>
      </c>
      <c r="B3445">
        <v>2016</v>
      </c>
      <c r="C3445" t="s">
        <v>904</v>
      </c>
      <c r="D3445" t="s">
        <v>906</v>
      </c>
      <c r="E3445" t="s">
        <v>4351</v>
      </c>
      <c r="F3445" t="s">
        <v>820</v>
      </c>
      <c r="G3445" t="s">
        <v>374</v>
      </c>
      <c r="H3445" s="6">
        <v>44914</v>
      </c>
      <c r="I3445" s="6">
        <v>2.0840647616930132E-4</v>
      </c>
      <c r="J3445" s="6">
        <v>1052.0358917026331</v>
      </c>
      <c r="K3445" s="6">
        <v>184960.74760025399</v>
      </c>
      <c r="M3445" s="6">
        <f>SUM(H3445,J3445)</f>
        <v>45966.035891702631</v>
      </c>
      <c r="N3445" s="6">
        <f>K3445</f>
        <v>184960.74760025399</v>
      </c>
      <c r="O3445" s="6">
        <f>SUM(M3445:N3445)</f>
        <v>230926.78349195662</v>
      </c>
      <c r="P3445" s="8">
        <f>VLOOKUP(F3445,'LEAID Match'!$A$2:$B$436,2,FALSE)</f>
        <v>1800165</v>
      </c>
      <c r="Q3445" s="6">
        <f>COUNTIF($P$2:$P$3691,P3445)</f>
        <v>8</v>
      </c>
    </row>
    <row r="3446" spans="1:17" x14ac:dyDescent="0.2">
      <c r="A3446" s="16">
        <f>P3446</f>
        <v>1800165</v>
      </c>
      <c r="B3446">
        <v>2017</v>
      </c>
      <c r="C3446" t="s">
        <v>904</v>
      </c>
      <c r="D3446" t="s">
        <v>906</v>
      </c>
      <c r="E3446" t="s">
        <v>4352</v>
      </c>
      <c r="F3446" t="s">
        <v>820</v>
      </c>
      <c r="G3446" t="s">
        <v>374</v>
      </c>
      <c r="H3446" s="6">
        <v>63067</v>
      </c>
      <c r="I3446" s="6">
        <v>2.7771098144748239E-4</v>
      </c>
      <c r="J3446" s="6">
        <v>1256.6421910498577</v>
      </c>
      <c r="K3446" s="6">
        <v>241886.26484075701</v>
      </c>
      <c r="M3446" s="6">
        <f>SUM(H3446,J3446)</f>
        <v>64323.642191049861</v>
      </c>
      <c r="N3446" s="6">
        <f>K3446</f>
        <v>241886.26484075701</v>
      </c>
      <c r="O3446" s="6">
        <f>SUM(M3446:N3446)</f>
        <v>306209.90703180688</v>
      </c>
      <c r="P3446" s="8">
        <f>VLOOKUP(F3446,'LEAID Match'!$A$2:$B$436,2,FALSE)</f>
        <v>1800165</v>
      </c>
      <c r="Q3446" s="6">
        <f>COUNTIF($P$2:$P$3691,P3446)</f>
        <v>8</v>
      </c>
    </row>
    <row r="3447" spans="1:17" x14ac:dyDescent="0.2">
      <c r="A3447" s="16">
        <f>P3447</f>
        <v>1800165</v>
      </c>
      <c r="B3447">
        <v>2018</v>
      </c>
      <c r="C3447" t="s">
        <v>904</v>
      </c>
      <c r="D3447" t="s">
        <v>906</v>
      </c>
      <c r="E3447" t="s">
        <v>4353</v>
      </c>
      <c r="F3447" t="s">
        <v>820</v>
      </c>
      <c r="G3447" t="s">
        <v>374</v>
      </c>
      <c r="H3447" s="6">
        <v>72811</v>
      </c>
      <c r="I3447" s="6">
        <v>3.0889126173173562E-4</v>
      </c>
      <c r="J3447" s="6">
        <v>1287.458778897874</v>
      </c>
      <c r="K3447" s="6">
        <v>2570</v>
      </c>
      <c r="M3447" s="6">
        <f>SUM(H3447,J3447)</f>
        <v>74098.458778897868</v>
      </c>
      <c r="N3447" s="6">
        <f>K3447</f>
        <v>2570</v>
      </c>
      <c r="O3447" s="6">
        <f>SUM(M3447:N3447)</f>
        <v>76668.458778897868</v>
      </c>
      <c r="P3447" s="8">
        <f>VLOOKUP(F3447,'LEAID Match'!$A$2:$B$436,2,FALSE)</f>
        <v>1800165</v>
      </c>
      <c r="Q3447" s="6">
        <f>COUNTIF($P$2:$P$3691,P3447)</f>
        <v>8</v>
      </c>
    </row>
    <row r="3448" spans="1:17" x14ac:dyDescent="0.2">
      <c r="A3448" s="16">
        <f>P3448</f>
        <v>1800165</v>
      </c>
      <c r="B3448">
        <v>2019</v>
      </c>
      <c r="C3448" t="s">
        <v>904</v>
      </c>
      <c r="D3448" t="s">
        <v>906</v>
      </c>
      <c r="E3448" t="s">
        <v>4354</v>
      </c>
      <c r="F3448" t="s">
        <v>820</v>
      </c>
      <c r="G3448" t="s">
        <v>374</v>
      </c>
      <c r="H3448" s="6">
        <v>91267</v>
      </c>
      <c r="I3448" s="6">
        <v>2.3218275301980487E-4</v>
      </c>
      <c r="J3448" s="6">
        <v>813.80054933441602</v>
      </c>
      <c r="K3448" s="6">
        <v>219157.30057539299</v>
      </c>
      <c r="M3448" s="6">
        <f>SUM(H3448,J3448)</f>
        <v>92080.80054933441</v>
      </c>
      <c r="N3448" s="6">
        <f>K3448</f>
        <v>219157.30057539299</v>
      </c>
      <c r="O3448" s="6">
        <f>SUM(M3448:N3448)</f>
        <v>311238.1011247274</v>
      </c>
      <c r="P3448" s="8">
        <f>VLOOKUP(F3448,'LEAID Match'!$A$2:$B$436,2,FALSE)</f>
        <v>1800165</v>
      </c>
      <c r="Q3448" s="6">
        <f>COUNTIF($P$2:$P$3691,P3448)</f>
        <v>8</v>
      </c>
    </row>
    <row r="3449" spans="1:17" x14ac:dyDescent="0.2">
      <c r="A3449" s="16">
        <f>P3449</f>
        <v>1800165</v>
      </c>
      <c r="B3449">
        <v>2020</v>
      </c>
      <c r="C3449" t="s">
        <v>904</v>
      </c>
      <c r="D3449" t="s">
        <v>906</v>
      </c>
      <c r="E3449" t="s">
        <v>4355</v>
      </c>
      <c r="F3449" t="s">
        <v>820</v>
      </c>
      <c r="G3449" t="s">
        <v>374</v>
      </c>
      <c r="H3449" s="6">
        <v>87524</v>
      </c>
      <c r="I3449" s="6">
        <v>4.6376409322457322E-4</v>
      </c>
      <c r="J3449" s="6">
        <v>1092.6282036370944</v>
      </c>
      <c r="K3449" s="6" t="s">
        <v>187</v>
      </c>
      <c r="M3449" s="6">
        <f>SUM(H3449,J3449)</f>
        <v>88616.628203637098</v>
      </c>
      <c r="N3449" s="6" t="str">
        <f>K3449</f>
        <v>-</v>
      </c>
      <c r="O3449" s="6">
        <f>SUM(M3449:N3449)</f>
        <v>88616.628203637098</v>
      </c>
      <c r="P3449" s="8">
        <f>VLOOKUP(F3449,'LEAID Match'!$A$2:$B$436,2,FALSE)</f>
        <v>1800165</v>
      </c>
      <c r="Q3449" s="6">
        <f>COUNTIF($P$2:$P$3691,P3449)</f>
        <v>8</v>
      </c>
    </row>
    <row r="3450" spans="1:17" x14ac:dyDescent="0.2">
      <c r="A3450" s="16">
        <f>P3450</f>
        <v>1800165</v>
      </c>
      <c r="B3450">
        <v>2021</v>
      </c>
      <c r="C3450" t="s">
        <v>904</v>
      </c>
      <c r="D3450" t="s">
        <v>906</v>
      </c>
      <c r="E3450" t="s">
        <v>4356</v>
      </c>
      <c r="F3450" t="s">
        <v>820</v>
      </c>
      <c r="G3450" t="s">
        <v>374</v>
      </c>
      <c r="H3450" s="6">
        <v>92659</v>
      </c>
      <c r="I3450" s="6">
        <v>4.5774407718788607E-4</v>
      </c>
      <c r="J3450" s="6">
        <v>1031.7551499814952</v>
      </c>
      <c r="K3450" s="6" t="s">
        <v>187</v>
      </c>
      <c r="M3450" s="6">
        <f>SUM(H3450,J3450)</f>
        <v>93690.755149981502</v>
      </c>
      <c r="N3450" s="6" t="str">
        <f>K3450</f>
        <v>-</v>
      </c>
      <c r="O3450" s="6">
        <f>SUM(M3450:N3450)</f>
        <v>93690.755149981502</v>
      </c>
      <c r="P3450" s="8">
        <f>VLOOKUP(F3450,'LEAID Match'!$A$2:$B$436,2,FALSE)</f>
        <v>1800165</v>
      </c>
      <c r="Q3450" s="6">
        <f>COUNTIF($P$2:$P$3691,P3450)</f>
        <v>8</v>
      </c>
    </row>
    <row r="3451" spans="1:17" x14ac:dyDescent="0.2">
      <c r="A3451" s="16">
        <f>P3451</f>
        <v>1800165</v>
      </c>
      <c r="B3451">
        <v>2022</v>
      </c>
      <c r="C3451" t="s">
        <v>904</v>
      </c>
      <c r="D3451" t="s">
        <v>906</v>
      </c>
      <c r="E3451" t="s">
        <v>4357</v>
      </c>
      <c r="F3451" t="s">
        <v>820</v>
      </c>
      <c r="G3451" t="s">
        <v>374</v>
      </c>
      <c r="H3451" s="6">
        <v>100819</v>
      </c>
      <c r="I3451" s="6">
        <v>4.7870734932562846E-4</v>
      </c>
      <c r="J3451" s="6">
        <v>1055.5497052630108</v>
      </c>
      <c r="K3451" s="6" t="s">
        <v>187</v>
      </c>
      <c r="M3451" s="6">
        <f>SUM(H3451,J3451)</f>
        <v>101874.54970526301</v>
      </c>
      <c r="N3451" s="6" t="str">
        <f>K3451</f>
        <v>-</v>
      </c>
      <c r="O3451" s="6">
        <f>SUM(M3451:N3451)</f>
        <v>101874.54970526301</v>
      </c>
      <c r="P3451" s="8">
        <f>VLOOKUP(F3451,'LEAID Match'!$A$2:$B$436,2,FALSE)</f>
        <v>1800165</v>
      </c>
      <c r="Q3451" s="6">
        <f>COUNTIF($P$2:$P$3691,P3451)</f>
        <v>8</v>
      </c>
    </row>
    <row r="3452" spans="1:17" x14ac:dyDescent="0.2">
      <c r="A3452" s="16">
        <f>P3452</f>
        <v>1800165</v>
      </c>
      <c r="B3452">
        <v>2023</v>
      </c>
      <c r="C3452" t="s">
        <v>904</v>
      </c>
      <c r="D3452" t="s">
        <v>906</v>
      </c>
      <c r="E3452" t="s">
        <v>4358</v>
      </c>
      <c r="F3452" t="s">
        <v>820</v>
      </c>
      <c r="G3452" t="s">
        <v>374</v>
      </c>
      <c r="H3452" s="6">
        <v>128482</v>
      </c>
      <c r="I3452" s="6">
        <v>5.2542078524091783E-4</v>
      </c>
      <c r="J3452" s="6">
        <v>1296.2130771893442</v>
      </c>
      <c r="K3452" s="6" t="s">
        <v>187</v>
      </c>
      <c r="M3452" s="6">
        <f>SUM(H3452,J3452)</f>
        <v>129778.21307718934</v>
      </c>
      <c r="N3452" s="6" t="str">
        <f>K3452</f>
        <v>-</v>
      </c>
      <c r="O3452" s="6">
        <f>SUM(M3452:N3452)</f>
        <v>129778.21307718934</v>
      </c>
      <c r="P3452" s="8">
        <f>VLOOKUP(F3452,'LEAID Match'!$A$2:$B$436,2,FALSE)</f>
        <v>1800165</v>
      </c>
      <c r="Q3452" s="6">
        <f>COUNTIF($P$2:$P$3691,P3452)</f>
        <v>8</v>
      </c>
    </row>
    <row r="3453" spans="1:17" x14ac:dyDescent="0.2">
      <c r="A3453" s="16">
        <f>P3453</f>
        <v>0</v>
      </c>
      <c r="B3453">
        <v>2016</v>
      </c>
      <c r="C3453" t="s">
        <v>904</v>
      </c>
      <c r="D3453" t="s">
        <v>906</v>
      </c>
      <c r="E3453" t="s">
        <v>4359</v>
      </c>
      <c r="F3453" t="s">
        <v>821</v>
      </c>
      <c r="G3453" t="s">
        <v>375</v>
      </c>
      <c r="H3453" s="6">
        <v>25163</v>
      </c>
      <c r="I3453" s="6">
        <v>1.1675941042543815E-4</v>
      </c>
      <c r="J3453" s="6">
        <v>589.4015038276118</v>
      </c>
      <c r="K3453" s="6">
        <v>103623.976752576</v>
      </c>
      <c r="M3453" s="6">
        <f>SUM(H3453,J3453)</f>
        <v>25752.401503827612</v>
      </c>
      <c r="N3453" s="6">
        <f>K3453</f>
        <v>103623.976752576</v>
      </c>
      <c r="O3453" s="6">
        <f>SUM(M3453:N3453)</f>
        <v>129376.37825640361</v>
      </c>
      <c r="P3453" s="8">
        <f>VLOOKUP(F3453,'LEAID Match'!$A$2:$B$436,2,FALSE)</f>
        <v>0</v>
      </c>
      <c r="Q3453" s="6">
        <f>COUNTIF($P$2:$P$3691,P3453)</f>
        <v>371</v>
      </c>
    </row>
    <row r="3454" spans="1:17" x14ac:dyDescent="0.2">
      <c r="A3454" s="16">
        <f>P3454</f>
        <v>0</v>
      </c>
      <c r="B3454">
        <v>2017</v>
      </c>
      <c r="C3454" t="s">
        <v>904</v>
      </c>
      <c r="D3454" t="s">
        <v>906</v>
      </c>
      <c r="E3454" t="s">
        <v>4360</v>
      </c>
      <c r="F3454" t="s">
        <v>821</v>
      </c>
      <c r="G3454" t="s">
        <v>375</v>
      </c>
      <c r="H3454" s="6">
        <v>28110</v>
      </c>
      <c r="I3454" s="6">
        <v>1.2378035562954842E-4</v>
      </c>
      <c r="J3454" s="6">
        <v>560.10610922370654</v>
      </c>
      <c r="K3454" s="6">
        <v>107812.689753336</v>
      </c>
      <c r="M3454" s="6">
        <f>SUM(H3454,J3454)</f>
        <v>28670.106109223707</v>
      </c>
      <c r="N3454" s="6">
        <f>K3454</f>
        <v>107812.689753336</v>
      </c>
      <c r="O3454" s="6">
        <f>SUM(M3454:N3454)</f>
        <v>136482.79586255969</v>
      </c>
      <c r="P3454" s="8">
        <f>VLOOKUP(F3454,'LEAID Match'!$A$2:$B$436,2,FALSE)</f>
        <v>0</v>
      </c>
      <c r="Q3454" s="6">
        <f>COUNTIF($P$2:$P$3691,P3454)</f>
        <v>371</v>
      </c>
    </row>
    <row r="3455" spans="1:17" x14ac:dyDescent="0.2">
      <c r="A3455" s="16">
        <f>P3455</f>
        <v>0</v>
      </c>
      <c r="B3455">
        <v>2018</v>
      </c>
      <c r="C3455" t="s">
        <v>904</v>
      </c>
      <c r="D3455" t="s">
        <v>906</v>
      </c>
      <c r="E3455" t="s">
        <v>4361</v>
      </c>
      <c r="F3455" t="s">
        <v>821</v>
      </c>
      <c r="G3455" t="s">
        <v>375</v>
      </c>
      <c r="H3455" s="6">
        <v>24595</v>
      </c>
      <c r="I3455" s="6">
        <v>1.0434111030327886E-4</v>
      </c>
      <c r="J3455" s="6">
        <v>434.89374774406627</v>
      </c>
      <c r="K3455" s="6">
        <v>826</v>
      </c>
      <c r="M3455" s="6">
        <f>SUM(H3455,J3455)</f>
        <v>25029.893747744067</v>
      </c>
      <c r="N3455" s="6">
        <f>K3455</f>
        <v>826</v>
      </c>
      <c r="O3455" s="6">
        <f>SUM(M3455:N3455)</f>
        <v>25855.893747744067</v>
      </c>
      <c r="P3455" s="8">
        <f>VLOOKUP(F3455,'LEAID Match'!$A$2:$B$436,2,FALSE)</f>
        <v>0</v>
      </c>
      <c r="Q3455" s="6">
        <f>COUNTIF($P$2:$P$3691,P3455)</f>
        <v>371</v>
      </c>
    </row>
    <row r="3456" spans="1:17" x14ac:dyDescent="0.2">
      <c r="A3456" s="16">
        <f>P3456</f>
        <v>0</v>
      </c>
      <c r="B3456">
        <v>2019</v>
      </c>
      <c r="C3456" t="s">
        <v>904</v>
      </c>
      <c r="D3456" t="s">
        <v>906</v>
      </c>
      <c r="E3456" t="s">
        <v>4362</v>
      </c>
      <c r="F3456" t="s">
        <v>821</v>
      </c>
      <c r="G3456" t="s">
        <v>375</v>
      </c>
      <c r="H3456" s="6">
        <v>21160</v>
      </c>
      <c r="I3456" s="6">
        <v>5.383092524021904E-5</v>
      </c>
      <c r="J3456" s="6">
        <v>188.67739296696774</v>
      </c>
      <c r="K3456" s="6">
        <v>50811.010334242703</v>
      </c>
      <c r="M3456" s="6">
        <f>SUM(H3456,J3456)</f>
        <v>21348.677392966969</v>
      </c>
      <c r="N3456" s="6">
        <f>K3456</f>
        <v>50811.010334242703</v>
      </c>
      <c r="O3456" s="6">
        <f>SUM(M3456:N3456)</f>
        <v>72159.687727209675</v>
      </c>
      <c r="P3456" s="8">
        <f>VLOOKUP(F3456,'LEAID Match'!$A$2:$B$436,2,FALSE)</f>
        <v>0</v>
      </c>
      <c r="Q3456" s="6">
        <f>COUNTIF($P$2:$P$3691,P3456)</f>
        <v>371</v>
      </c>
    </row>
    <row r="3457" spans="1:17" x14ac:dyDescent="0.2">
      <c r="A3457" s="16">
        <f>P3457</f>
        <v>0</v>
      </c>
      <c r="B3457">
        <v>2020</v>
      </c>
      <c r="C3457" t="s">
        <v>904</v>
      </c>
      <c r="D3457" t="s">
        <v>906</v>
      </c>
      <c r="E3457" t="s">
        <v>4363</v>
      </c>
      <c r="F3457" t="s">
        <v>821</v>
      </c>
      <c r="G3457" t="s">
        <v>375</v>
      </c>
      <c r="H3457" s="6">
        <v>1764</v>
      </c>
      <c r="I3457" s="6">
        <v>9.34692039267112E-6</v>
      </c>
      <c r="J3457" s="6">
        <v>22.02134444513316</v>
      </c>
      <c r="K3457" s="6">
        <v>874</v>
      </c>
      <c r="M3457" s="6">
        <f>SUM(H3457,J3457)</f>
        <v>1786.0213444451331</v>
      </c>
      <c r="N3457" s="6">
        <f>K3457</f>
        <v>874</v>
      </c>
      <c r="O3457" s="6">
        <f>SUM(M3457:N3457)</f>
        <v>2660.0213444451329</v>
      </c>
      <c r="P3457" s="8">
        <f>VLOOKUP(F3457,'LEAID Match'!$A$2:$B$436,2,FALSE)</f>
        <v>0</v>
      </c>
      <c r="Q3457" s="6">
        <f>COUNTIF($P$2:$P$3691,P3457)</f>
        <v>371</v>
      </c>
    </row>
    <row r="3458" spans="1:17" x14ac:dyDescent="0.2">
      <c r="A3458" s="16">
        <f>P3458</f>
        <v>0</v>
      </c>
      <c r="B3458">
        <v>2021</v>
      </c>
      <c r="C3458" t="s">
        <v>904</v>
      </c>
      <c r="D3458" t="s">
        <v>906</v>
      </c>
      <c r="E3458" t="s">
        <v>4364</v>
      </c>
      <c r="F3458" t="s">
        <v>821</v>
      </c>
      <c r="G3458" t="s">
        <v>375</v>
      </c>
      <c r="H3458" s="6" t="s">
        <v>187</v>
      </c>
      <c r="I3458" s="6">
        <v>0</v>
      </c>
      <c r="J3458" s="6">
        <v>0</v>
      </c>
      <c r="K3458" s="6">
        <v>1279</v>
      </c>
      <c r="M3458" s="6">
        <f>SUM(H3458,J3458)</f>
        <v>0</v>
      </c>
      <c r="N3458" s="6">
        <f>K3458</f>
        <v>1279</v>
      </c>
      <c r="O3458" s="6">
        <f>SUM(M3458:N3458)</f>
        <v>1279</v>
      </c>
      <c r="P3458" s="8">
        <f>VLOOKUP(F3458,'LEAID Match'!$A$2:$B$436,2,FALSE)</f>
        <v>0</v>
      </c>
      <c r="Q3458" s="6">
        <f>COUNTIF($P$2:$P$3691,P3458)</f>
        <v>371</v>
      </c>
    </row>
    <row r="3459" spans="1:17" x14ac:dyDescent="0.2">
      <c r="A3459" s="16">
        <f>P3459</f>
        <v>0</v>
      </c>
      <c r="B3459">
        <v>2022</v>
      </c>
      <c r="C3459" t="s">
        <v>904</v>
      </c>
      <c r="D3459" t="s">
        <v>906</v>
      </c>
      <c r="E3459" t="s">
        <v>4365</v>
      </c>
      <c r="F3459" t="s">
        <v>821</v>
      </c>
      <c r="G3459" t="s">
        <v>375</v>
      </c>
      <c r="H3459" s="6" t="s">
        <v>187</v>
      </c>
      <c r="I3459" s="6">
        <v>0</v>
      </c>
      <c r="J3459" s="6">
        <v>0</v>
      </c>
      <c r="K3459" s="6">
        <v>1240</v>
      </c>
      <c r="M3459" s="6">
        <f>SUM(H3459,J3459)</f>
        <v>0</v>
      </c>
      <c r="N3459" s="6">
        <f>K3459</f>
        <v>1240</v>
      </c>
      <c r="O3459" s="6">
        <f>SUM(M3459:N3459)</f>
        <v>1240</v>
      </c>
      <c r="P3459" s="8">
        <f>VLOOKUP(F3459,'LEAID Match'!$A$2:$B$436,2,FALSE)</f>
        <v>0</v>
      </c>
      <c r="Q3459" s="6">
        <f>COUNTIF($P$2:$P$3691,P3459)</f>
        <v>371</v>
      </c>
    </row>
    <row r="3460" spans="1:17" x14ac:dyDescent="0.2">
      <c r="A3460" s="16">
        <f>P3460</f>
        <v>0</v>
      </c>
      <c r="B3460">
        <v>2023</v>
      </c>
      <c r="C3460" t="s">
        <v>904</v>
      </c>
      <c r="D3460" t="s">
        <v>906</v>
      </c>
      <c r="E3460" t="s">
        <v>4366</v>
      </c>
      <c r="F3460" t="s">
        <v>821</v>
      </c>
      <c r="G3460" t="s">
        <v>375</v>
      </c>
      <c r="H3460" s="6" t="s">
        <v>187</v>
      </c>
      <c r="I3460" s="6">
        <v>0</v>
      </c>
      <c r="J3460" s="6">
        <v>0</v>
      </c>
      <c r="K3460" s="6">
        <v>2965</v>
      </c>
      <c r="M3460" s="6">
        <f>SUM(H3460,J3460)</f>
        <v>0</v>
      </c>
      <c r="N3460" s="6">
        <f>K3460</f>
        <v>2965</v>
      </c>
      <c r="O3460" s="6">
        <f>SUM(M3460:N3460)</f>
        <v>2965</v>
      </c>
      <c r="P3460" s="8">
        <f>VLOOKUP(F3460,'LEAID Match'!$A$2:$B$436,2,FALSE)</f>
        <v>0</v>
      </c>
      <c r="Q3460" s="6">
        <f>COUNTIF($P$2:$P$3691,P3460)</f>
        <v>371</v>
      </c>
    </row>
    <row r="3461" spans="1:17" x14ac:dyDescent="0.2">
      <c r="A3461" s="16">
        <f>P3461</f>
        <v>1800218</v>
      </c>
      <c r="B3461">
        <v>2016</v>
      </c>
      <c r="C3461" t="s">
        <v>904</v>
      </c>
      <c r="D3461" t="s">
        <v>906</v>
      </c>
      <c r="E3461" t="s">
        <v>4367</v>
      </c>
      <c r="F3461" t="s">
        <v>822</v>
      </c>
      <c r="G3461" t="s">
        <v>376</v>
      </c>
      <c r="H3461" s="6">
        <v>19055</v>
      </c>
      <c r="I3461" s="6">
        <v>8.841754026374931E-5</v>
      </c>
      <c r="J3461" s="6">
        <v>446.33174325140652</v>
      </c>
      <c r="K3461" s="6">
        <v>78470.566984077494</v>
      </c>
      <c r="M3461" s="6">
        <f>SUM(H3461,J3461)</f>
        <v>19501.331743251405</v>
      </c>
      <c r="N3461" s="6">
        <f>K3461</f>
        <v>78470.566984077494</v>
      </c>
      <c r="O3461" s="6">
        <f>SUM(M3461:N3461)</f>
        <v>97971.898727328895</v>
      </c>
      <c r="P3461" s="8">
        <f>VLOOKUP(F3461,'LEAID Match'!$A$2:$B$436,2,FALSE)</f>
        <v>1800218</v>
      </c>
      <c r="Q3461" s="6">
        <f>COUNTIF($P$2:$P$3691,P3461)</f>
        <v>8</v>
      </c>
    </row>
    <row r="3462" spans="1:17" x14ac:dyDescent="0.2">
      <c r="A3462" s="16">
        <f>P3462</f>
        <v>1800218</v>
      </c>
      <c r="B3462">
        <v>2017</v>
      </c>
      <c r="C3462" t="s">
        <v>904</v>
      </c>
      <c r="D3462" t="s">
        <v>906</v>
      </c>
      <c r="E3462" t="s">
        <v>4368</v>
      </c>
      <c r="F3462" t="s">
        <v>822</v>
      </c>
      <c r="G3462" t="s">
        <v>376</v>
      </c>
      <c r="H3462" s="6">
        <v>43350</v>
      </c>
      <c r="I3462" s="6">
        <v>1.9088859539455438E-4</v>
      </c>
      <c r="J3462" s="6">
        <v>863.77089416035858</v>
      </c>
      <c r="K3462" s="6">
        <v>166263.96658865601</v>
      </c>
      <c r="M3462" s="6">
        <f>SUM(H3462,J3462)</f>
        <v>44213.770894160356</v>
      </c>
      <c r="N3462" s="6">
        <f>K3462</f>
        <v>166263.96658865601</v>
      </c>
      <c r="O3462" s="6">
        <f>SUM(M3462:N3462)</f>
        <v>210477.73748281636</v>
      </c>
      <c r="P3462" s="8">
        <f>VLOOKUP(F3462,'LEAID Match'!$A$2:$B$436,2,FALSE)</f>
        <v>1800218</v>
      </c>
      <c r="Q3462" s="6">
        <f>COUNTIF($P$2:$P$3691,P3462)</f>
        <v>8</v>
      </c>
    </row>
    <row r="3463" spans="1:17" x14ac:dyDescent="0.2">
      <c r="A3463" s="16">
        <f>P3463</f>
        <v>1800218</v>
      </c>
      <c r="B3463">
        <v>2018</v>
      </c>
      <c r="C3463" t="s">
        <v>904</v>
      </c>
      <c r="D3463" t="s">
        <v>906</v>
      </c>
      <c r="E3463" t="s">
        <v>4369</v>
      </c>
      <c r="F3463" t="s">
        <v>822</v>
      </c>
      <c r="G3463" t="s">
        <v>376</v>
      </c>
      <c r="H3463" s="6">
        <v>79214</v>
      </c>
      <c r="I3463" s="6">
        <v>3.3605516208838919E-4</v>
      </c>
      <c r="J3463" s="6">
        <v>1400.677915584406</v>
      </c>
      <c r="K3463" s="6">
        <v>93718</v>
      </c>
      <c r="M3463" s="6">
        <f>SUM(H3463,J3463)</f>
        <v>80614.677915584412</v>
      </c>
      <c r="N3463" s="6">
        <f>K3463</f>
        <v>93718</v>
      </c>
      <c r="O3463" s="6">
        <f>SUM(M3463:N3463)</f>
        <v>174332.67791558441</v>
      </c>
      <c r="P3463" s="8">
        <f>VLOOKUP(F3463,'LEAID Match'!$A$2:$B$436,2,FALSE)</f>
        <v>1800218</v>
      </c>
      <c r="Q3463" s="6">
        <f>COUNTIF($P$2:$P$3691,P3463)</f>
        <v>8</v>
      </c>
    </row>
    <row r="3464" spans="1:17" x14ac:dyDescent="0.2">
      <c r="A3464" s="16">
        <f>P3464</f>
        <v>1800218</v>
      </c>
      <c r="B3464">
        <v>2019</v>
      </c>
      <c r="C3464" t="s">
        <v>904</v>
      </c>
      <c r="D3464" t="s">
        <v>906</v>
      </c>
      <c r="E3464" t="s">
        <v>4370</v>
      </c>
      <c r="F3464" t="s">
        <v>822</v>
      </c>
      <c r="G3464" t="s">
        <v>376</v>
      </c>
      <c r="H3464" s="6">
        <v>77722</v>
      </c>
      <c r="I3464" s="6">
        <v>1.9772434648016561E-4</v>
      </c>
      <c r="J3464" s="6">
        <v>693.02383441298048</v>
      </c>
      <c r="K3464" s="6">
        <v>186632.01064262801</v>
      </c>
      <c r="M3464" s="6">
        <f>SUM(H3464,J3464)</f>
        <v>78415.023834412976</v>
      </c>
      <c r="N3464" s="6">
        <f>K3464</f>
        <v>186632.01064262801</v>
      </c>
      <c r="O3464" s="6">
        <f>SUM(M3464:N3464)</f>
        <v>265047.03447704099</v>
      </c>
      <c r="P3464" s="8">
        <f>VLOOKUP(F3464,'LEAID Match'!$A$2:$B$436,2,FALSE)</f>
        <v>1800218</v>
      </c>
      <c r="Q3464" s="6">
        <f>COUNTIF($P$2:$P$3691,P3464)</f>
        <v>8</v>
      </c>
    </row>
    <row r="3465" spans="1:17" x14ac:dyDescent="0.2">
      <c r="A3465" s="16">
        <f>P3465</f>
        <v>1800218</v>
      </c>
      <c r="B3465">
        <v>2020</v>
      </c>
      <c r="C3465" t="s">
        <v>904</v>
      </c>
      <c r="D3465" t="s">
        <v>906</v>
      </c>
      <c r="E3465" t="s">
        <v>4371</v>
      </c>
      <c r="F3465" t="s">
        <v>822</v>
      </c>
      <c r="G3465" t="s">
        <v>376</v>
      </c>
      <c r="H3465" s="6">
        <v>73041</v>
      </c>
      <c r="I3465" s="6">
        <v>3.8702290952442815E-4</v>
      </c>
      <c r="J3465" s="6">
        <v>911.82597483955271</v>
      </c>
      <c r="K3465" s="6">
        <v>89150</v>
      </c>
      <c r="M3465" s="6">
        <f>SUM(H3465,J3465)</f>
        <v>73952.82597483955</v>
      </c>
      <c r="N3465" s="6">
        <f>K3465</f>
        <v>89150</v>
      </c>
      <c r="O3465" s="6">
        <f>SUM(M3465:N3465)</f>
        <v>163102.82597483956</v>
      </c>
      <c r="P3465" s="8">
        <f>VLOOKUP(F3465,'LEAID Match'!$A$2:$B$436,2,FALSE)</f>
        <v>1800218</v>
      </c>
      <c r="Q3465" s="6">
        <f>COUNTIF($P$2:$P$3691,P3465)</f>
        <v>8</v>
      </c>
    </row>
    <row r="3466" spans="1:17" x14ac:dyDescent="0.2">
      <c r="A3466" s="16">
        <f>P3466</f>
        <v>1800218</v>
      </c>
      <c r="B3466">
        <v>2021</v>
      </c>
      <c r="C3466" t="s">
        <v>904</v>
      </c>
      <c r="D3466" t="s">
        <v>906</v>
      </c>
      <c r="E3466" t="s">
        <v>4372</v>
      </c>
      <c r="F3466" t="s">
        <v>822</v>
      </c>
      <c r="G3466" t="s">
        <v>376</v>
      </c>
      <c r="H3466" s="6">
        <v>87346</v>
      </c>
      <c r="I3466" s="6">
        <v>4.3149736308456917E-4</v>
      </c>
      <c r="J3466" s="6">
        <v>972.59505639261886</v>
      </c>
      <c r="K3466" s="6">
        <v>178059</v>
      </c>
      <c r="M3466" s="6">
        <f>SUM(H3466,J3466)</f>
        <v>88318.595056392616</v>
      </c>
      <c r="N3466" s="6">
        <f>K3466</f>
        <v>178059</v>
      </c>
      <c r="O3466" s="6">
        <f>SUM(M3466:N3466)</f>
        <v>266377.5950563926</v>
      </c>
      <c r="P3466" s="8">
        <f>VLOOKUP(F3466,'LEAID Match'!$A$2:$B$436,2,FALSE)</f>
        <v>1800218</v>
      </c>
      <c r="Q3466" s="6">
        <f>COUNTIF($P$2:$P$3691,P3466)</f>
        <v>8</v>
      </c>
    </row>
    <row r="3467" spans="1:17" x14ac:dyDescent="0.2">
      <c r="A3467" s="16">
        <f>P3467</f>
        <v>1800218</v>
      </c>
      <c r="B3467">
        <v>2022</v>
      </c>
      <c r="C3467" t="s">
        <v>904</v>
      </c>
      <c r="D3467" t="s">
        <v>906</v>
      </c>
      <c r="E3467" t="s">
        <v>4373</v>
      </c>
      <c r="F3467" t="s">
        <v>822</v>
      </c>
      <c r="G3467" t="s">
        <v>376</v>
      </c>
      <c r="H3467" s="6">
        <v>124922</v>
      </c>
      <c r="I3467" s="6">
        <v>5.9315287289554708E-4</v>
      </c>
      <c r="J3467" s="6">
        <v>1307.9020847346812</v>
      </c>
      <c r="K3467" s="6">
        <v>177832</v>
      </c>
      <c r="M3467" s="6">
        <f>SUM(H3467,J3467)</f>
        <v>126229.90208473468</v>
      </c>
      <c r="N3467" s="6">
        <f>K3467</f>
        <v>177832</v>
      </c>
      <c r="O3467" s="6">
        <f>SUM(M3467:N3467)</f>
        <v>304061.9020847347</v>
      </c>
      <c r="P3467" s="8">
        <f>VLOOKUP(F3467,'LEAID Match'!$A$2:$B$436,2,FALSE)</f>
        <v>1800218</v>
      </c>
      <c r="Q3467" s="6">
        <f>COUNTIF($P$2:$P$3691,P3467)</f>
        <v>8</v>
      </c>
    </row>
    <row r="3468" spans="1:17" x14ac:dyDescent="0.2">
      <c r="A3468" s="16">
        <f>P3468</f>
        <v>1800218</v>
      </c>
      <c r="B3468">
        <v>2023</v>
      </c>
      <c r="C3468" t="s">
        <v>904</v>
      </c>
      <c r="D3468" t="s">
        <v>906</v>
      </c>
      <c r="E3468" t="s">
        <v>4374</v>
      </c>
      <c r="F3468" t="s">
        <v>822</v>
      </c>
      <c r="G3468" t="s">
        <v>376</v>
      </c>
      <c r="H3468" s="6">
        <v>170812</v>
      </c>
      <c r="I3468" s="6">
        <v>6.9852722691561195E-4</v>
      </c>
      <c r="J3468" s="6">
        <v>1723.2666688008146</v>
      </c>
      <c r="K3468" s="6">
        <v>758489</v>
      </c>
      <c r="M3468" s="6">
        <f>SUM(H3468,J3468)</f>
        <v>172535.26666880082</v>
      </c>
      <c r="N3468" s="6">
        <f>K3468</f>
        <v>758489</v>
      </c>
      <c r="O3468" s="6">
        <f>SUM(M3468:N3468)</f>
        <v>931024.26666880085</v>
      </c>
      <c r="P3468" s="8">
        <f>VLOOKUP(F3468,'LEAID Match'!$A$2:$B$436,2,FALSE)</f>
        <v>1800218</v>
      </c>
      <c r="Q3468" s="6">
        <f>COUNTIF($P$2:$P$3691,P3468)</f>
        <v>8</v>
      </c>
    </row>
    <row r="3469" spans="1:17" x14ac:dyDescent="0.2">
      <c r="A3469" s="16">
        <f>P3469</f>
        <v>0</v>
      </c>
      <c r="B3469">
        <v>2016</v>
      </c>
      <c r="C3469" t="s">
        <v>904</v>
      </c>
      <c r="D3469" t="s">
        <v>906</v>
      </c>
      <c r="E3469" t="s">
        <v>4375</v>
      </c>
      <c r="F3469" t="s">
        <v>823</v>
      </c>
      <c r="G3469" t="s">
        <v>377</v>
      </c>
      <c r="H3469" s="6">
        <v>18036</v>
      </c>
      <c r="I3469" s="6">
        <v>8.3689255113984914E-5</v>
      </c>
      <c r="J3469" s="6">
        <v>422.46335981539585</v>
      </c>
      <c r="K3469" s="6">
        <v>74274.213913661602</v>
      </c>
      <c r="M3469" s="6">
        <f>SUM(H3469,J3469)</f>
        <v>18458.463359815396</v>
      </c>
      <c r="N3469" s="6">
        <f>K3469</f>
        <v>74274.213913661602</v>
      </c>
      <c r="O3469" s="6">
        <f>SUM(M3469:N3469)</f>
        <v>92732.677273476991</v>
      </c>
      <c r="P3469" s="8">
        <f>VLOOKUP(F3469,'LEAID Match'!$A$2:$B$436,2,FALSE)</f>
        <v>0</v>
      </c>
      <c r="Q3469" s="6">
        <f>COUNTIF($P$2:$P$3691,P3469)</f>
        <v>371</v>
      </c>
    </row>
    <row r="3470" spans="1:17" x14ac:dyDescent="0.2">
      <c r="A3470" s="16">
        <f>P3470</f>
        <v>0</v>
      </c>
      <c r="B3470">
        <v>2017</v>
      </c>
      <c r="C3470" t="s">
        <v>904</v>
      </c>
      <c r="D3470" t="s">
        <v>906</v>
      </c>
      <c r="E3470" t="s">
        <v>4376</v>
      </c>
      <c r="F3470" t="s">
        <v>823</v>
      </c>
      <c r="G3470" t="s">
        <v>377</v>
      </c>
      <c r="H3470" s="6">
        <v>26455</v>
      </c>
      <c r="I3470" s="6">
        <v>1.1649268261044835E-4</v>
      </c>
      <c r="J3470" s="6">
        <v>527.12938881227876</v>
      </c>
      <c r="K3470" s="6">
        <v>101465.1265537</v>
      </c>
      <c r="M3470" s="6">
        <f>SUM(H3470,J3470)</f>
        <v>26982.129388812278</v>
      </c>
      <c r="N3470" s="6">
        <f>K3470</f>
        <v>101465.1265537</v>
      </c>
      <c r="O3470" s="6">
        <f>SUM(M3470:N3470)</f>
        <v>128447.25594251227</v>
      </c>
      <c r="P3470" s="8">
        <f>VLOOKUP(F3470,'LEAID Match'!$A$2:$B$436,2,FALSE)</f>
        <v>0</v>
      </c>
      <c r="Q3470" s="6">
        <f>COUNTIF($P$2:$P$3691,P3470)</f>
        <v>371</v>
      </c>
    </row>
    <row r="3471" spans="1:17" x14ac:dyDescent="0.2">
      <c r="A3471" s="16">
        <f>P3471</f>
        <v>0</v>
      </c>
      <c r="B3471">
        <v>2018</v>
      </c>
      <c r="C3471" t="s">
        <v>904</v>
      </c>
      <c r="D3471" t="s">
        <v>906</v>
      </c>
      <c r="E3471" t="s">
        <v>4377</v>
      </c>
      <c r="F3471" t="s">
        <v>823</v>
      </c>
      <c r="G3471" t="s">
        <v>377</v>
      </c>
      <c r="H3471" s="6">
        <v>48533</v>
      </c>
      <c r="I3471" s="6">
        <v>2.058949829782083E-4</v>
      </c>
      <c r="J3471" s="6">
        <v>858.17028905317216</v>
      </c>
      <c r="K3471" s="6">
        <v>21846</v>
      </c>
      <c r="M3471" s="6">
        <f>SUM(H3471,J3471)</f>
        <v>49391.170289053174</v>
      </c>
      <c r="N3471" s="6">
        <f>K3471</f>
        <v>21846</v>
      </c>
      <c r="O3471" s="6">
        <f>SUM(M3471:N3471)</f>
        <v>71237.170289053174</v>
      </c>
      <c r="P3471" s="8">
        <f>VLOOKUP(F3471,'LEAID Match'!$A$2:$B$436,2,FALSE)</f>
        <v>0</v>
      </c>
      <c r="Q3471" s="6">
        <f>COUNTIF($P$2:$P$3691,P3471)</f>
        <v>371</v>
      </c>
    </row>
    <row r="3472" spans="1:17" x14ac:dyDescent="0.2">
      <c r="A3472" s="16">
        <f>P3472</f>
        <v>0</v>
      </c>
      <c r="B3472">
        <v>2019</v>
      </c>
      <c r="C3472" t="s">
        <v>904</v>
      </c>
      <c r="D3472" t="s">
        <v>906</v>
      </c>
      <c r="E3472" t="s">
        <v>4378</v>
      </c>
      <c r="F3472" t="s">
        <v>823</v>
      </c>
      <c r="G3472" t="s">
        <v>377</v>
      </c>
      <c r="H3472" s="6">
        <v>72360</v>
      </c>
      <c r="I3472" s="6">
        <v>1.8408344756059783E-4</v>
      </c>
      <c r="J3472" s="6">
        <v>645.21248369989542</v>
      </c>
      <c r="K3472" s="6">
        <v>173756.366152448</v>
      </c>
      <c r="M3472" s="6">
        <f>SUM(H3472,J3472)</f>
        <v>73005.212483699899</v>
      </c>
      <c r="N3472" s="6">
        <f>K3472</f>
        <v>173756.366152448</v>
      </c>
      <c r="O3472" s="6">
        <f>SUM(M3472:N3472)</f>
        <v>246761.5786361479</v>
      </c>
      <c r="P3472" s="8">
        <f>VLOOKUP(F3472,'LEAID Match'!$A$2:$B$436,2,FALSE)</f>
        <v>0</v>
      </c>
      <c r="Q3472" s="6">
        <f>COUNTIF($P$2:$P$3691,P3472)</f>
        <v>371</v>
      </c>
    </row>
    <row r="3473" spans="1:17" x14ac:dyDescent="0.2">
      <c r="A3473" s="16">
        <f>P3473</f>
        <v>0</v>
      </c>
      <c r="B3473">
        <v>2020</v>
      </c>
      <c r="C3473" t="s">
        <v>904</v>
      </c>
      <c r="D3473" t="s">
        <v>906</v>
      </c>
      <c r="E3473" t="s">
        <v>4379</v>
      </c>
      <c r="F3473" t="s">
        <v>823</v>
      </c>
      <c r="G3473" t="s">
        <v>377</v>
      </c>
      <c r="H3473" s="6">
        <v>59551</v>
      </c>
      <c r="I3473" s="6">
        <v>3.1554334257593984E-4</v>
      </c>
      <c r="J3473" s="6">
        <v>743.42011510891427</v>
      </c>
      <c r="K3473" s="6">
        <v>56714</v>
      </c>
      <c r="M3473" s="6">
        <f>SUM(H3473,J3473)</f>
        <v>60294.420115108915</v>
      </c>
      <c r="N3473" s="6">
        <f>K3473</f>
        <v>56714</v>
      </c>
      <c r="O3473" s="6">
        <f>SUM(M3473:N3473)</f>
        <v>117008.42011510892</v>
      </c>
      <c r="P3473" s="8">
        <f>VLOOKUP(F3473,'LEAID Match'!$A$2:$B$436,2,FALSE)</f>
        <v>0</v>
      </c>
      <c r="Q3473" s="6">
        <f>COUNTIF($P$2:$P$3691,P3473)</f>
        <v>371</v>
      </c>
    </row>
    <row r="3474" spans="1:17" x14ac:dyDescent="0.2">
      <c r="A3474" s="16">
        <f>P3474</f>
        <v>0</v>
      </c>
      <c r="B3474">
        <v>2021</v>
      </c>
      <c r="C3474" t="s">
        <v>904</v>
      </c>
      <c r="D3474" t="s">
        <v>906</v>
      </c>
      <c r="E3474" t="s">
        <v>4380</v>
      </c>
      <c r="F3474" t="s">
        <v>823</v>
      </c>
      <c r="G3474" t="s">
        <v>377</v>
      </c>
      <c r="H3474" s="6">
        <v>62995</v>
      </c>
      <c r="I3474" s="6">
        <v>3.1120115846761657E-4</v>
      </c>
      <c r="J3474" s="6">
        <v>701.4474111860078</v>
      </c>
      <c r="K3474" s="6">
        <v>108050</v>
      </c>
      <c r="M3474" s="6">
        <f>SUM(H3474,J3474)</f>
        <v>63696.447411186011</v>
      </c>
      <c r="N3474" s="6">
        <f>K3474</f>
        <v>108050</v>
      </c>
      <c r="O3474" s="6">
        <f>SUM(M3474:N3474)</f>
        <v>171746.447411186</v>
      </c>
      <c r="P3474" s="8">
        <f>VLOOKUP(F3474,'LEAID Match'!$A$2:$B$436,2,FALSE)</f>
        <v>0</v>
      </c>
      <c r="Q3474" s="6">
        <f>COUNTIF($P$2:$P$3691,P3474)</f>
        <v>371</v>
      </c>
    </row>
    <row r="3475" spans="1:17" x14ac:dyDescent="0.2">
      <c r="A3475" s="16">
        <f>P3475</f>
        <v>0</v>
      </c>
      <c r="B3475">
        <v>2022</v>
      </c>
      <c r="C3475" t="s">
        <v>904</v>
      </c>
      <c r="D3475" t="s">
        <v>906</v>
      </c>
      <c r="E3475" t="s">
        <v>4381</v>
      </c>
      <c r="F3475" t="s">
        <v>823</v>
      </c>
      <c r="G3475" t="s">
        <v>377</v>
      </c>
      <c r="H3475" s="6">
        <v>70357</v>
      </c>
      <c r="I3475" s="6">
        <v>3.3406811192833929E-4</v>
      </c>
      <c r="J3475" s="6">
        <v>736.6201868019881</v>
      </c>
      <c r="K3475" s="6">
        <v>95505</v>
      </c>
      <c r="M3475" s="6">
        <f>SUM(H3475,J3475)</f>
        <v>71093.620186801985</v>
      </c>
      <c r="N3475" s="6">
        <f>K3475</f>
        <v>95505</v>
      </c>
      <c r="O3475" s="6">
        <f>SUM(M3475:N3475)</f>
        <v>166598.620186802</v>
      </c>
      <c r="P3475" s="8">
        <f>VLOOKUP(F3475,'LEAID Match'!$A$2:$B$436,2,FALSE)</f>
        <v>0</v>
      </c>
      <c r="Q3475" s="6">
        <f>COUNTIF($P$2:$P$3691,P3475)</f>
        <v>371</v>
      </c>
    </row>
    <row r="3476" spans="1:17" x14ac:dyDescent="0.2">
      <c r="A3476" s="16">
        <f>P3476</f>
        <v>0</v>
      </c>
      <c r="B3476">
        <v>2023</v>
      </c>
      <c r="C3476" t="s">
        <v>904</v>
      </c>
      <c r="D3476" t="s">
        <v>906</v>
      </c>
      <c r="E3476" t="s">
        <v>4382</v>
      </c>
      <c r="F3476" t="s">
        <v>823</v>
      </c>
      <c r="G3476" t="s">
        <v>377</v>
      </c>
      <c r="H3476" s="6">
        <v>83302</v>
      </c>
      <c r="I3476" s="6">
        <v>3.4065940950591468E-4</v>
      </c>
      <c r="J3476" s="6">
        <v>840.40676325109155</v>
      </c>
      <c r="K3476" s="6">
        <v>371833</v>
      </c>
      <c r="M3476" s="6">
        <f>SUM(H3476,J3476)</f>
        <v>84142.406763251085</v>
      </c>
      <c r="N3476" s="6">
        <f>K3476</f>
        <v>371833</v>
      </c>
      <c r="O3476" s="6">
        <f>SUM(M3476:N3476)</f>
        <v>455975.40676325106</v>
      </c>
      <c r="P3476" s="8">
        <f>VLOOKUP(F3476,'LEAID Match'!$A$2:$B$436,2,FALSE)</f>
        <v>0</v>
      </c>
      <c r="Q3476" s="6">
        <f>COUNTIF($P$2:$P$3691,P3476)</f>
        <v>371</v>
      </c>
    </row>
    <row r="3477" spans="1:17" x14ac:dyDescent="0.2">
      <c r="A3477" s="16">
        <f>P3477</f>
        <v>1800137</v>
      </c>
      <c r="B3477">
        <v>2016</v>
      </c>
      <c r="C3477" t="s">
        <v>904</v>
      </c>
      <c r="D3477" t="s">
        <v>906</v>
      </c>
      <c r="E3477" t="s">
        <v>4383</v>
      </c>
      <c r="F3477" t="s">
        <v>824</v>
      </c>
      <c r="G3477" t="s">
        <v>378</v>
      </c>
      <c r="H3477" s="6">
        <v>5365</v>
      </c>
      <c r="I3477" s="6">
        <v>2.4894258909210971E-5</v>
      </c>
      <c r="J3477" s="6">
        <v>125.66621897369699</v>
      </c>
      <c r="K3477" s="6">
        <v>22093.654781924699</v>
      </c>
      <c r="M3477" s="6">
        <f>SUM(H3477,J3477)</f>
        <v>5490.6662189736971</v>
      </c>
      <c r="N3477" s="6">
        <f>K3477</f>
        <v>22093.654781924699</v>
      </c>
      <c r="O3477" s="6">
        <f>SUM(M3477:N3477)</f>
        <v>27584.321000898395</v>
      </c>
      <c r="P3477" s="8">
        <f>VLOOKUP(F3477,'LEAID Match'!$A$2:$B$436,2,FALSE)</f>
        <v>1800137</v>
      </c>
      <c r="Q3477" s="6">
        <f>COUNTIF($P$2:$P$3691,P3477)</f>
        <v>8</v>
      </c>
    </row>
    <row r="3478" spans="1:17" x14ac:dyDescent="0.2">
      <c r="A3478" s="16">
        <f>P3478</f>
        <v>1800137</v>
      </c>
      <c r="B3478">
        <v>2017</v>
      </c>
      <c r="C3478" t="s">
        <v>904</v>
      </c>
      <c r="D3478" t="s">
        <v>906</v>
      </c>
      <c r="E3478" t="s">
        <v>4384</v>
      </c>
      <c r="F3478" t="s">
        <v>824</v>
      </c>
      <c r="G3478" t="s">
        <v>378</v>
      </c>
      <c r="H3478" s="6">
        <v>462</v>
      </c>
      <c r="I3478" s="6">
        <v>2.034383646419472E-6</v>
      </c>
      <c r="J3478" s="6">
        <v>9.2055860000481111</v>
      </c>
      <c r="K3478" s="6">
        <v>1771.94815603136</v>
      </c>
      <c r="M3478" s="6">
        <f>SUM(H3478,J3478)</f>
        <v>471.20558600004813</v>
      </c>
      <c r="N3478" s="6">
        <f>K3478</f>
        <v>1771.94815603136</v>
      </c>
      <c r="O3478" s="6">
        <f>SUM(M3478:N3478)</f>
        <v>2243.153742031408</v>
      </c>
      <c r="P3478" s="8">
        <f>VLOOKUP(F3478,'LEAID Match'!$A$2:$B$436,2,FALSE)</f>
        <v>1800137</v>
      </c>
      <c r="Q3478" s="6">
        <f>COUNTIF($P$2:$P$3691,P3478)</f>
        <v>8</v>
      </c>
    </row>
    <row r="3479" spans="1:17" x14ac:dyDescent="0.2">
      <c r="A3479" s="16">
        <f>P3479</f>
        <v>1800137</v>
      </c>
      <c r="B3479">
        <v>2018</v>
      </c>
      <c r="C3479" t="s">
        <v>904</v>
      </c>
      <c r="D3479" t="s">
        <v>906</v>
      </c>
      <c r="E3479" t="s">
        <v>4385</v>
      </c>
      <c r="F3479" t="s">
        <v>824</v>
      </c>
      <c r="G3479" t="s">
        <v>378</v>
      </c>
      <c r="H3479" s="6">
        <v>1650</v>
      </c>
      <c r="I3479" s="6">
        <v>6.999911852019114E-6</v>
      </c>
      <c r="J3479" s="6">
        <v>29.175632599215668</v>
      </c>
      <c r="K3479" s="6">
        <v>11290</v>
      </c>
      <c r="M3479" s="6">
        <f>SUM(H3479,J3479)</f>
        <v>1679.1756325992158</v>
      </c>
      <c r="N3479" s="6">
        <f>K3479</f>
        <v>11290</v>
      </c>
      <c r="O3479" s="6">
        <f>SUM(M3479:N3479)</f>
        <v>12969.175632599216</v>
      </c>
      <c r="P3479" s="8">
        <f>VLOOKUP(F3479,'LEAID Match'!$A$2:$B$436,2,FALSE)</f>
        <v>1800137</v>
      </c>
      <c r="Q3479" s="6">
        <f>COUNTIF($P$2:$P$3691,P3479)</f>
        <v>8</v>
      </c>
    </row>
    <row r="3480" spans="1:17" x14ac:dyDescent="0.2">
      <c r="A3480" s="16">
        <f>P3480</f>
        <v>1800137</v>
      </c>
      <c r="B3480">
        <v>2019</v>
      </c>
      <c r="C3480" t="s">
        <v>904</v>
      </c>
      <c r="D3480" t="s">
        <v>906</v>
      </c>
      <c r="E3480" t="s">
        <v>4386</v>
      </c>
      <c r="F3480" t="s">
        <v>824</v>
      </c>
      <c r="G3480" t="s">
        <v>378</v>
      </c>
      <c r="H3480" s="6">
        <v>115</v>
      </c>
      <c r="I3480" s="6">
        <v>2.9255937630553826E-7</v>
      </c>
      <c r="J3480" s="6">
        <v>1.0254206139509117</v>
      </c>
      <c r="K3480" s="6">
        <v>276.14679529479702</v>
      </c>
      <c r="M3480" s="6">
        <f>SUM(H3480,J3480)</f>
        <v>116.02542061395091</v>
      </c>
      <c r="N3480" s="6">
        <f>K3480</f>
        <v>276.14679529479702</v>
      </c>
      <c r="O3480" s="6">
        <f>SUM(M3480:N3480)</f>
        <v>392.17221590874794</v>
      </c>
      <c r="P3480" s="8">
        <f>VLOOKUP(F3480,'LEAID Match'!$A$2:$B$436,2,FALSE)</f>
        <v>1800137</v>
      </c>
      <c r="Q3480" s="6">
        <f>COUNTIF($P$2:$P$3691,P3480)</f>
        <v>8</v>
      </c>
    </row>
    <row r="3481" spans="1:17" x14ac:dyDescent="0.2">
      <c r="A3481" s="16">
        <f>P3481</f>
        <v>1800137</v>
      </c>
      <c r="B3481">
        <v>2020</v>
      </c>
      <c r="C3481" t="s">
        <v>904</v>
      </c>
      <c r="D3481" t="s">
        <v>906</v>
      </c>
      <c r="E3481" t="s">
        <v>4387</v>
      </c>
      <c r="F3481" t="s">
        <v>824</v>
      </c>
      <c r="G3481" t="s">
        <v>378</v>
      </c>
      <c r="H3481" s="6">
        <v>11746</v>
      </c>
      <c r="I3481" s="6">
        <v>6.223862070992913E-5</v>
      </c>
      <c r="J3481" s="6">
        <v>146.63419039259304</v>
      </c>
      <c r="K3481" s="6">
        <v>8643</v>
      </c>
      <c r="M3481" s="6">
        <f>SUM(H3481,J3481)</f>
        <v>11892.634190392593</v>
      </c>
      <c r="N3481" s="6">
        <f>K3481</f>
        <v>8643</v>
      </c>
      <c r="O3481" s="6">
        <f>SUM(M3481:N3481)</f>
        <v>20535.634190392593</v>
      </c>
      <c r="P3481" s="8">
        <f>VLOOKUP(F3481,'LEAID Match'!$A$2:$B$436,2,FALSE)</f>
        <v>1800137</v>
      </c>
      <c r="Q3481" s="6">
        <f>COUNTIF($P$2:$P$3691,P3481)</f>
        <v>8</v>
      </c>
    </row>
    <row r="3482" spans="1:17" x14ac:dyDescent="0.2">
      <c r="A3482" s="16">
        <f>P3482</f>
        <v>1800137</v>
      </c>
      <c r="B3482">
        <v>2021</v>
      </c>
      <c r="C3482" t="s">
        <v>904</v>
      </c>
      <c r="D3482" t="s">
        <v>906</v>
      </c>
      <c r="E3482" t="s">
        <v>4388</v>
      </c>
      <c r="F3482" t="s">
        <v>824</v>
      </c>
      <c r="G3482" t="s">
        <v>378</v>
      </c>
      <c r="H3482" s="6">
        <v>29099</v>
      </c>
      <c r="I3482" s="6">
        <v>1.4375176617587387E-4</v>
      </c>
      <c r="J3482" s="6">
        <v>324.0164809604197</v>
      </c>
      <c r="K3482" s="6">
        <v>1598</v>
      </c>
      <c r="M3482" s="6">
        <f>SUM(H3482,J3482)</f>
        <v>29423.016480960421</v>
      </c>
      <c r="N3482" s="6">
        <f>K3482</f>
        <v>1598</v>
      </c>
      <c r="O3482" s="6">
        <f>SUM(M3482:N3482)</f>
        <v>31021.016480960421</v>
      </c>
      <c r="P3482" s="8">
        <f>VLOOKUP(F3482,'LEAID Match'!$A$2:$B$436,2,FALSE)</f>
        <v>1800137</v>
      </c>
      <c r="Q3482" s="6">
        <f>COUNTIF($P$2:$P$3691,P3482)</f>
        <v>8</v>
      </c>
    </row>
    <row r="3483" spans="1:17" x14ac:dyDescent="0.2">
      <c r="A3483" s="16">
        <f>P3483</f>
        <v>1800137</v>
      </c>
      <c r="B3483">
        <v>2022</v>
      </c>
      <c r="C3483" t="s">
        <v>904</v>
      </c>
      <c r="D3483" t="s">
        <v>906</v>
      </c>
      <c r="E3483" t="s">
        <v>4389</v>
      </c>
      <c r="F3483" t="s">
        <v>824</v>
      </c>
      <c r="G3483" t="s">
        <v>378</v>
      </c>
      <c r="H3483" s="6">
        <v>10239</v>
      </c>
      <c r="I3483" s="6">
        <v>4.8616674929776229E-5</v>
      </c>
      <c r="J3483" s="6">
        <v>107.19976822015659</v>
      </c>
      <c r="K3483" s="6">
        <v>2016</v>
      </c>
      <c r="M3483" s="6">
        <f>SUM(H3483,J3483)</f>
        <v>10346.199768220156</v>
      </c>
      <c r="N3483" s="6">
        <f>K3483</f>
        <v>2016</v>
      </c>
      <c r="O3483" s="6">
        <f>SUM(M3483:N3483)</f>
        <v>12362.199768220156</v>
      </c>
      <c r="P3483" s="8">
        <f>VLOOKUP(F3483,'LEAID Match'!$A$2:$B$436,2,FALSE)</f>
        <v>1800137</v>
      </c>
      <c r="Q3483" s="6">
        <f>COUNTIF($P$2:$P$3691,P3483)</f>
        <v>8</v>
      </c>
    </row>
    <row r="3484" spans="1:17" x14ac:dyDescent="0.2">
      <c r="A3484" s="16">
        <f>P3484</f>
        <v>1800137</v>
      </c>
      <c r="B3484">
        <v>2023</v>
      </c>
      <c r="C3484" t="s">
        <v>904</v>
      </c>
      <c r="D3484" t="s">
        <v>906</v>
      </c>
      <c r="E3484" t="s">
        <v>4390</v>
      </c>
      <c r="F3484" t="s">
        <v>824</v>
      </c>
      <c r="G3484" t="s">
        <v>378</v>
      </c>
      <c r="H3484" s="6">
        <v>10934</v>
      </c>
      <c r="I3484" s="6">
        <v>4.4714052286111637E-5</v>
      </c>
      <c r="J3484" s="6">
        <v>110.30956698983741</v>
      </c>
      <c r="K3484" s="6">
        <v>4235</v>
      </c>
      <c r="M3484" s="6">
        <f>SUM(H3484,J3484)</f>
        <v>11044.309566989838</v>
      </c>
      <c r="N3484" s="6">
        <f>K3484</f>
        <v>4235</v>
      </c>
      <c r="O3484" s="6">
        <f>SUM(M3484:N3484)</f>
        <v>15279.309566989838</v>
      </c>
      <c r="P3484" s="8">
        <f>VLOOKUP(F3484,'LEAID Match'!$A$2:$B$436,2,FALSE)</f>
        <v>1800137</v>
      </c>
      <c r="Q3484" s="6">
        <f>COUNTIF($P$2:$P$3691,P3484)</f>
        <v>8</v>
      </c>
    </row>
    <row r="3485" spans="1:17" x14ac:dyDescent="0.2">
      <c r="A3485" s="16">
        <f>P3485</f>
        <v>1812720</v>
      </c>
      <c r="B3485">
        <v>2023</v>
      </c>
      <c r="C3485" t="s">
        <v>904</v>
      </c>
      <c r="D3485" t="s">
        <v>906</v>
      </c>
      <c r="E3485" t="s">
        <v>2478</v>
      </c>
      <c r="F3485" t="s">
        <v>538</v>
      </c>
      <c r="G3485" t="s">
        <v>180</v>
      </c>
      <c r="H3485" s="6">
        <v>3387469</v>
      </c>
      <c r="I3485" s="6">
        <v>1.3852886956610782E-2</v>
      </c>
      <c r="J3485" s="6">
        <v>34175.072121958801</v>
      </c>
      <c r="K3485" s="6">
        <v>39775967</v>
      </c>
      <c r="M3485" s="6">
        <f>SUM(H3485,J3485)</f>
        <v>3421644.0721219587</v>
      </c>
      <c r="N3485" s="6">
        <f>K3485</f>
        <v>39775967</v>
      </c>
      <c r="O3485" s="6">
        <f>SUM(M3485:N3485)</f>
        <v>43197611.072121955</v>
      </c>
      <c r="P3485" s="8">
        <f>VLOOKUP(F3485,'LEAID Match'!$A$2:$B$436,2,FALSE)</f>
        <v>1812720</v>
      </c>
      <c r="Q3485" s="6">
        <f>COUNTIF($P$2:$P$3691,P3485)</f>
        <v>9</v>
      </c>
    </row>
    <row r="3486" spans="1:17" x14ac:dyDescent="0.2">
      <c r="A3486" s="16">
        <f>P3486</f>
        <v>0</v>
      </c>
      <c r="B3486">
        <v>2018</v>
      </c>
      <c r="C3486" t="s">
        <v>904</v>
      </c>
      <c r="D3486" t="s">
        <v>906</v>
      </c>
      <c r="E3486" t="s">
        <v>2983</v>
      </c>
      <c r="F3486" t="s">
        <v>749</v>
      </c>
      <c r="G3486" t="s">
        <v>433</v>
      </c>
      <c r="H3486" s="6">
        <v>0</v>
      </c>
      <c r="I3486" s="6">
        <v>0</v>
      </c>
      <c r="J3486" s="6">
        <v>0</v>
      </c>
      <c r="K3486" s="6">
        <v>132728</v>
      </c>
      <c r="M3486" s="6">
        <f>SUM(H3486,J3486)</f>
        <v>0</v>
      </c>
      <c r="N3486" s="6">
        <f>K3486</f>
        <v>132728</v>
      </c>
      <c r="O3486" s="6">
        <f>SUM(M3486:N3486)</f>
        <v>132728</v>
      </c>
      <c r="P3486" s="8">
        <f>VLOOKUP(F3486,'LEAID Match'!$A$2:$B$436,2,FALSE)</f>
        <v>0</v>
      </c>
      <c r="Q3486" s="6">
        <f>COUNTIF($P$2:$P$3691,P3486)</f>
        <v>371</v>
      </c>
    </row>
    <row r="3487" spans="1:17" x14ac:dyDescent="0.2">
      <c r="A3487" s="16">
        <f>P3487</f>
        <v>0</v>
      </c>
      <c r="B3487">
        <v>2020</v>
      </c>
      <c r="C3487" t="s">
        <v>904</v>
      </c>
      <c r="D3487" t="s">
        <v>906</v>
      </c>
      <c r="E3487" t="s">
        <v>2984</v>
      </c>
      <c r="F3487" t="s">
        <v>749</v>
      </c>
      <c r="G3487" t="s">
        <v>433</v>
      </c>
      <c r="H3487" s="6">
        <v>0</v>
      </c>
      <c r="I3487" s="6">
        <v>0</v>
      </c>
      <c r="J3487" s="6">
        <v>0</v>
      </c>
      <c r="K3487" s="6">
        <v>148195</v>
      </c>
      <c r="M3487" s="6">
        <f>SUM(H3487,J3487)</f>
        <v>0</v>
      </c>
      <c r="N3487" s="6">
        <f>K3487</f>
        <v>148195</v>
      </c>
      <c r="O3487" s="6">
        <f>SUM(M3487:N3487)</f>
        <v>148195</v>
      </c>
      <c r="P3487" s="8">
        <f>VLOOKUP(F3487,'LEAID Match'!$A$2:$B$436,2,FALSE)</f>
        <v>0</v>
      </c>
      <c r="Q3487" s="6">
        <f>COUNTIF($P$2:$P$3691,P3487)</f>
        <v>371</v>
      </c>
    </row>
    <row r="3488" spans="1:17" x14ac:dyDescent="0.2">
      <c r="A3488" s="16">
        <f>P3488</f>
        <v>0</v>
      </c>
      <c r="B3488">
        <v>2021</v>
      </c>
      <c r="C3488" t="s">
        <v>904</v>
      </c>
      <c r="D3488" t="s">
        <v>906</v>
      </c>
      <c r="E3488" t="s">
        <v>2985</v>
      </c>
      <c r="F3488" t="s">
        <v>749</v>
      </c>
      <c r="G3488" t="s">
        <v>433</v>
      </c>
      <c r="H3488" s="6" t="s">
        <v>893</v>
      </c>
      <c r="K3488" s="6">
        <v>243273</v>
      </c>
      <c r="M3488" s="6">
        <f>SUM(H3488,J3488)</f>
        <v>0</v>
      </c>
      <c r="N3488" s="6">
        <f>K3488</f>
        <v>243273</v>
      </c>
      <c r="O3488" s="6">
        <f>SUM(M3488:N3488)</f>
        <v>243273</v>
      </c>
      <c r="P3488" s="8">
        <f>VLOOKUP(F3488,'LEAID Match'!$A$2:$B$436,2,FALSE)</f>
        <v>0</v>
      </c>
      <c r="Q3488" s="6">
        <f>COUNTIF($P$2:$P$3691,P3488)</f>
        <v>371</v>
      </c>
    </row>
    <row r="3489" spans="1:17" x14ac:dyDescent="0.2">
      <c r="A3489" s="16">
        <f>P3489</f>
        <v>0</v>
      </c>
      <c r="B3489">
        <v>2022</v>
      </c>
      <c r="C3489" t="s">
        <v>904</v>
      </c>
      <c r="D3489" t="s">
        <v>906</v>
      </c>
      <c r="E3489" t="s">
        <v>2986</v>
      </c>
      <c r="F3489" t="s">
        <v>749</v>
      </c>
      <c r="G3489" t="s">
        <v>433</v>
      </c>
      <c r="H3489" s="6" t="s">
        <v>893</v>
      </c>
      <c r="K3489" s="6">
        <v>239693</v>
      </c>
      <c r="M3489" s="6">
        <f>SUM(H3489,J3489)</f>
        <v>0</v>
      </c>
      <c r="N3489" s="6">
        <f>K3489</f>
        <v>239693</v>
      </c>
      <c r="O3489" s="6">
        <f>SUM(M3489:N3489)</f>
        <v>239693</v>
      </c>
      <c r="P3489" s="8">
        <f>VLOOKUP(F3489,'LEAID Match'!$A$2:$B$436,2,FALSE)</f>
        <v>0</v>
      </c>
      <c r="Q3489" s="6">
        <f>COUNTIF($P$2:$P$3691,P3489)</f>
        <v>371</v>
      </c>
    </row>
    <row r="3490" spans="1:17" x14ac:dyDescent="0.2">
      <c r="A3490" s="16">
        <f>P3490</f>
        <v>0</v>
      </c>
      <c r="B3490">
        <v>2023</v>
      </c>
      <c r="C3490" t="s">
        <v>904</v>
      </c>
      <c r="D3490" t="s">
        <v>906</v>
      </c>
      <c r="E3490" t="s">
        <v>2987</v>
      </c>
      <c r="F3490" t="s">
        <v>749</v>
      </c>
      <c r="G3490" t="s">
        <v>433</v>
      </c>
      <c r="H3490" s="6" t="s">
        <v>893</v>
      </c>
      <c r="K3490" s="6">
        <v>573419</v>
      </c>
      <c r="M3490" s="6">
        <f>SUM(H3490,J3490)</f>
        <v>0</v>
      </c>
      <c r="N3490" s="6">
        <f>K3490</f>
        <v>573419</v>
      </c>
      <c r="O3490" s="6">
        <f>SUM(M3490:N3490)</f>
        <v>573419</v>
      </c>
      <c r="P3490" s="8">
        <f>VLOOKUP(F3490,'LEAID Match'!$A$2:$B$436,2,FALSE)</f>
        <v>0</v>
      </c>
      <c r="Q3490" s="6">
        <f>COUNTIF($P$2:$P$3691,P3490)</f>
        <v>371</v>
      </c>
    </row>
    <row r="3491" spans="1:17" x14ac:dyDescent="0.2">
      <c r="A3491" s="16">
        <f>P3491</f>
        <v>0</v>
      </c>
      <c r="B3491">
        <v>2022</v>
      </c>
      <c r="C3491" t="s">
        <v>904</v>
      </c>
      <c r="D3491" t="s">
        <v>906</v>
      </c>
      <c r="E3491" t="s">
        <v>4125</v>
      </c>
      <c r="F3491" t="s">
        <v>892</v>
      </c>
      <c r="G3491" t="s">
        <v>455</v>
      </c>
      <c r="H3491" s="6" t="s">
        <v>893</v>
      </c>
      <c r="K3491" s="6">
        <v>310</v>
      </c>
      <c r="M3491" s="6">
        <f>SUM(H3491,J3491)</f>
        <v>0</v>
      </c>
      <c r="N3491" s="6">
        <f>K3491</f>
        <v>310</v>
      </c>
      <c r="O3491" s="6">
        <f>SUM(M3491:N3491)</f>
        <v>310</v>
      </c>
      <c r="P3491" s="8"/>
      <c r="Q3491" s="6">
        <f>COUNTIF($P$2:$P$3691,P3491)</f>
        <v>371</v>
      </c>
    </row>
    <row r="3492" spans="1:17" x14ac:dyDescent="0.2">
      <c r="A3492" s="16">
        <f>P3492</f>
        <v>0</v>
      </c>
      <c r="B3492">
        <v>2023</v>
      </c>
      <c r="C3492" t="s">
        <v>904</v>
      </c>
      <c r="D3492" t="s">
        <v>906</v>
      </c>
      <c r="E3492" t="s">
        <v>4126</v>
      </c>
      <c r="F3492" t="s">
        <v>892</v>
      </c>
      <c r="G3492" t="s">
        <v>455</v>
      </c>
      <c r="H3492" s="6" t="s">
        <v>893</v>
      </c>
      <c r="K3492" s="6">
        <v>8047</v>
      </c>
      <c r="M3492" s="6">
        <f>SUM(H3492,J3492)</f>
        <v>0</v>
      </c>
      <c r="N3492" s="6">
        <f>K3492</f>
        <v>8047</v>
      </c>
      <c r="O3492" s="6">
        <f>SUM(M3492:N3492)</f>
        <v>8047</v>
      </c>
      <c r="P3492" s="8"/>
      <c r="Q3492" s="6">
        <f>COUNTIF($P$2:$P$3691,P3492)</f>
        <v>371</v>
      </c>
    </row>
    <row r="3493" spans="1:17" x14ac:dyDescent="0.2">
      <c r="A3493" s="16">
        <f>P3493</f>
        <v>1800170</v>
      </c>
      <c r="B3493">
        <v>2017</v>
      </c>
      <c r="C3493" t="s">
        <v>904</v>
      </c>
      <c r="D3493" t="s">
        <v>906</v>
      </c>
      <c r="E3493" t="s">
        <v>4399</v>
      </c>
      <c r="F3493" t="s">
        <v>859</v>
      </c>
      <c r="G3493" t="s">
        <v>381</v>
      </c>
      <c r="H3493" s="6">
        <v>10297</v>
      </c>
      <c r="I3493" s="6">
        <v>4.5342096119440058E-5</v>
      </c>
      <c r="J3493" s="6">
        <v>205.17298494046625</v>
      </c>
      <c r="K3493" s="6">
        <v>39492.965720032204</v>
      </c>
      <c r="M3493" s="6">
        <f>SUM(H3493,J3493)</f>
        <v>10502.172984940466</v>
      </c>
      <c r="N3493" s="6">
        <f>K3493</f>
        <v>39492.965720032204</v>
      </c>
      <c r="O3493" s="6">
        <f>SUM(M3493:N3493)</f>
        <v>49995.138704972669</v>
      </c>
      <c r="P3493" s="8">
        <f>VLOOKUP(F3493,'LEAID Match'!$A$2:$B$436,2,FALSE)</f>
        <v>1800170</v>
      </c>
      <c r="Q3493" s="6">
        <f>COUNTIF($P$2:$P$3691,P3493)</f>
        <v>7</v>
      </c>
    </row>
    <row r="3494" spans="1:17" x14ac:dyDescent="0.2">
      <c r="A3494" s="16">
        <f>P3494</f>
        <v>1800170</v>
      </c>
      <c r="B3494">
        <v>2018</v>
      </c>
      <c r="C3494" t="s">
        <v>904</v>
      </c>
      <c r="D3494" t="s">
        <v>906</v>
      </c>
      <c r="E3494" t="s">
        <v>4400</v>
      </c>
      <c r="F3494" t="s">
        <v>859</v>
      </c>
      <c r="G3494" t="s">
        <v>381</v>
      </c>
      <c r="H3494" s="6">
        <v>9396</v>
      </c>
      <c r="I3494" s="6">
        <v>3.9861316219134302E-5</v>
      </c>
      <c r="J3494" s="6">
        <v>166.14196600135176</v>
      </c>
      <c r="K3494" s="6">
        <v>0</v>
      </c>
      <c r="M3494" s="6">
        <f>SUM(H3494,J3494)</f>
        <v>9562.1419660013526</v>
      </c>
      <c r="N3494" s="6">
        <f>K3494</f>
        <v>0</v>
      </c>
      <c r="O3494" s="6">
        <f>SUM(M3494:N3494)</f>
        <v>9562.1419660013526</v>
      </c>
      <c r="P3494" s="8">
        <f>VLOOKUP(F3494,'LEAID Match'!$A$2:$B$436,2,FALSE)</f>
        <v>1800170</v>
      </c>
      <c r="Q3494" s="6">
        <f>COUNTIF($P$2:$P$3691,P3494)</f>
        <v>7</v>
      </c>
    </row>
    <row r="3495" spans="1:17" x14ac:dyDescent="0.2">
      <c r="A3495" s="16">
        <f>P3495</f>
        <v>1800170</v>
      </c>
      <c r="B3495">
        <v>2019</v>
      </c>
      <c r="C3495" t="s">
        <v>904</v>
      </c>
      <c r="D3495" t="s">
        <v>906</v>
      </c>
      <c r="E3495" t="s">
        <v>4401</v>
      </c>
      <c r="F3495" t="s">
        <v>859</v>
      </c>
      <c r="G3495" t="s">
        <v>381</v>
      </c>
      <c r="H3495" s="6">
        <v>14652</v>
      </c>
      <c r="I3495" s="6">
        <v>3.7274608535902146E-5</v>
      </c>
      <c r="J3495" s="6">
        <v>130.64750291833701</v>
      </c>
      <c r="K3495" s="6">
        <v>35183.502997037998</v>
      </c>
      <c r="M3495" s="6">
        <f>SUM(H3495,J3495)</f>
        <v>14782.647502918337</v>
      </c>
      <c r="N3495" s="6">
        <f>K3495</f>
        <v>35183.502997037998</v>
      </c>
      <c r="O3495" s="6">
        <f>SUM(M3495:N3495)</f>
        <v>49966.150499956333</v>
      </c>
      <c r="P3495" s="8">
        <f>VLOOKUP(F3495,'LEAID Match'!$A$2:$B$436,2,FALSE)</f>
        <v>1800170</v>
      </c>
      <c r="Q3495" s="6">
        <f>COUNTIF($P$2:$P$3691,P3495)</f>
        <v>7</v>
      </c>
    </row>
    <row r="3496" spans="1:17" x14ac:dyDescent="0.2">
      <c r="A3496" s="16">
        <f>P3496</f>
        <v>1800170</v>
      </c>
      <c r="B3496">
        <v>2020</v>
      </c>
      <c r="C3496" t="s">
        <v>904</v>
      </c>
      <c r="D3496" t="s">
        <v>906</v>
      </c>
      <c r="E3496" t="s">
        <v>4402</v>
      </c>
      <c r="F3496" t="s">
        <v>859</v>
      </c>
      <c r="G3496" t="s">
        <v>381</v>
      </c>
      <c r="H3496" s="6">
        <v>7476</v>
      </c>
      <c r="I3496" s="6">
        <v>3.961313880703475E-5</v>
      </c>
      <c r="J3496" s="6">
        <v>93.328555029373874</v>
      </c>
      <c r="K3496" s="6">
        <v>0</v>
      </c>
      <c r="M3496" s="6">
        <f>SUM(H3496,J3496)</f>
        <v>7569.328555029374</v>
      </c>
      <c r="N3496" s="6">
        <f>K3496</f>
        <v>0</v>
      </c>
      <c r="O3496" s="6">
        <f>SUM(M3496:N3496)</f>
        <v>7569.328555029374</v>
      </c>
      <c r="P3496" s="8">
        <f>VLOOKUP(F3496,'LEAID Match'!$A$2:$B$436,2,FALSE)</f>
        <v>1800170</v>
      </c>
      <c r="Q3496" s="6">
        <f>COUNTIF($P$2:$P$3691,P3496)</f>
        <v>7</v>
      </c>
    </row>
    <row r="3497" spans="1:17" x14ac:dyDescent="0.2">
      <c r="A3497" s="16">
        <f>P3497</f>
        <v>1800170</v>
      </c>
      <c r="B3497">
        <v>2021</v>
      </c>
      <c r="C3497" t="s">
        <v>904</v>
      </c>
      <c r="D3497" t="s">
        <v>906</v>
      </c>
      <c r="E3497" t="s">
        <v>4403</v>
      </c>
      <c r="F3497" t="s">
        <v>859</v>
      </c>
      <c r="G3497" t="s">
        <v>381</v>
      </c>
      <c r="H3497" s="6">
        <v>7845</v>
      </c>
      <c r="I3497" s="6">
        <v>3.8755029576608487E-5</v>
      </c>
      <c r="J3497" s="6">
        <v>87.35383666567553</v>
      </c>
      <c r="K3497" s="6">
        <v>0</v>
      </c>
      <c r="M3497" s="6">
        <f>SUM(H3497,J3497)</f>
        <v>7932.3538366656758</v>
      </c>
      <c r="N3497" s="6">
        <f>K3497</f>
        <v>0</v>
      </c>
      <c r="O3497" s="6">
        <f>SUM(M3497:N3497)</f>
        <v>7932.3538366656758</v>
      </c>
      <c r="P3497" s="8">
        <f>VLOOKUP(F3497,'LEAID Match'!$A$2:$B$436,2,FALSE)</f>
        <v>1800170</v>
      </c>
      <c r="Q3497" s="6">
        <f>COUNTIF($P$2:$P$3691,P3497)</f>
        <v>7</v>
      </c>
    </row>
    <row r="3498" spans="1:17" x14ac:dyDescent="0.2">
      <c r="A3498" s="16">
        <f>P3498</f>
        <v>1800170</v>
      </c>
      <c r="B3498">
        <v>2022</v>
      </c>
      <c r="C3498" t="s">
        <v>904</v>
      </c>
      <c r="D3498" t="s">
        <v>906</v>
      </c>
      <c r="E3498" t="s">
        <v>4404</v>
      </c>
      <c r="F3498" t="s">
        <v>859</v>
      </c>
      <c r="G3498" t="s">
        <v>381</v>
      </c>
      <c r="H3498" s="6">
        <v>7827</v>
      </c>
      <c r="I3498" s="6">
        <v>3.7164050656837441E-5</v>
      </c>
      <c r="J3498" s="6">
        <v>81.946731698326559</v>
      </c>
      <c r="K3498" s="6">
        <v>0</v>
      </c>
      <c r="M3498" s="6">
        <f>SUM(H3498,J3498)</f>
        <v>7908.9467316983264</v>
      </c>
      <c r="N3498" s="6">
        <f>K3498</f>
        <v>0</v>
      </c>
      <c r="O3498" s="6">
        <f>SUM(M3498:N3498)</f>
        <v>7908.9467316983264</v>
      </c>
      <c r="P3498" s="8">
        <f>VLOOKUP(F3498,'LEAID Match'!$A$2:$B$436,2,FALSE)</f>
        <v>1800170</v>
      </c>
      <c r="Q3498" s="6">
        <f>COUNTIF($P$2:$P$3691,P3498)</f>
        <v>7</v>
      </c>
    </row>
    <row r="3499" spans="1:17" x14ac:dyDescent="0.2">
      <c r="A3499" s="16">
        <f>P3499</f>
        <v>1800170</v>
      </c>
      <c r="B3499">
        <v>2023</v>
      </c>
      <c r="C3499" t="s">
        <v>904</v>
      </c>
      <c r="D3499" t="s">
        <v>906</v>
      </c>
      <c r="E3499" t="s">
        <v>4405</v>
      </c>
      <c r="F3499" t="s">
        <v>859</v>
      </c>
      <c r="G3499" t="s">
        <v>381</v>
      </c>
      <c r="H3499" s="6">
        <v>8756</v>
      </c>
      <c r="I3499" s="6">
        <v>3.5807228993707105E-5</v>
      </c>
      <c r="J3499" s="6">
        <v>88.336433927475426</v>
      </c>
      <c r="K3499" s="6">
        <v>0</v>
      </c>
      <c r="M3499" s="6">
        <f>SUM(H3499,J3499)</f>
        <v>8844.3364339274758</v>
      </c>
      <c r="N3499" s="6">
        <f>K3499</f>
        <v>0</v>
      </c>
      <c r="O3499" s="6">
        <f>SUM(M3499:N3499)</f>
        <v>8844.3364339274758</v>
      </c>
      <c r="P3499" s="8">
        <f>VLOOKUP(F3499,'LEAID Match'!$A$2:$B$436,2,FALSE)</f>
        <v>1800170</v>
      </c>
      <c r="Q3499" s="6">
        <f>COUNTIF($P$2:$P$3691,P3499)</f>
        <v>7</v>
      </c>
    </row>
    <row r="3500" spans="1:17" x14ac:dyDescent="0.2">
      <c r="A3500" s="16">
        <f>P3500</f>
        <v>1800176</v>
      </c>
      <c r="B3500">
        <v>2017</v>
      </c>
      <c r="C3500" t="s">
        <v>904</v>
      </c>
      <c r="D3500" t="s">
        <v>906</v>
      </c>
      <c r="E3500" t="s">
        <v>4406</v>
      </c>
      <c r="F3500" t="s">
        <v>825</v>
      </c>
      <c r="G3500" t="s">
        <v>382</v>
      </c>
      <c r="H3500" s="6">
        <v>2428</v>
      </c>
      <c r="I3500" s="6">
        <v>1.0691522713217486E-5</v>
      </c>
      <c r="J3500" s="6">
        <v>48.379140277309119</v>
      </c>
      <c r="K3500" s="6">
        <v>9312.3162832124308</v>
      </c>
      <c r="M3500" s="6">
        <f>SUM(H3500,J3500)</f>
        <v>2476.379140277309</v>
      </c>
      <c r="N3500" s="6">
        <f>K3500</f>
        <v>9312.3162832124308</v>
      </c>
      <c r="O3500" s="6">
        <f>SUM(M3500:N3500)</f>
        <v>11788.69542348974</v>
      </c>
      <c r="P3500" s="8">
        <f>VLOOKUP(F3500,'LEAID Match'!$A$2:$B$436,2,FALSE)</f>
        <v>1800176</v>
      </c>
      <c r="Q3500" s="6">
        <f>COUNTIF($P$2:$P$3691,P3500)</f>
        <v>7</v>
      </c>
    </row>
    <row r="3501" spans="1:17" x14ac:dyDescent="0.2">
      <c r="A3501" s="16">
        <f>P3501</f>
        <v>1800176</v>
      </c>
      <c r="B3501">
        <v>2018</v>
      </c>
      <c r="C3501" t="s">
        <v>904</v>
      </c>
      <c r="D3501" t="s">
        <v>906</v>
      </c>
      <c r="E3501" t="s">
        <v>4407</v>
      </c>
      <c r="F3501" t="s">
        <v>825</v>
      </c>
      <c r="G3501" t="s">
        <v>382</v>
      </c>
      <c r="H3501" s="6">
        <v>2610</v>
      </c>
      <c r="I3501" s="6">
        <v>1.1072587838648418E-5</v>
      </c>
      <c r="J3501" s="6">
        <v>46.150546111486605</v>
      </c>
      <c r="K3501" s="6" t="s">
        <v>187</v>
      </c>
      <c r="M3501" s="6">
        <f>SUM(H3501,J3501)</f>
        <v>2656.1505461114866</v>
      </c>
      <c r="N3501" s="6" t="str">
        <f>K3501</f>
        <v>-</v>
      </c>
      <c r="O3501" s="6">
        <f>SUM(M3501:N3501)</f>
        <v>2656.1505461114866</v>
      </c>
      <c r="P3501" s="8">
        <f>VLOOKUP(F3501,'LEAID Match'!$A$2:$B$436,2,FALSE)</f>
        <v>1800176</v>
      </c>
      <c r="Q3501" s="6">
        <f>COUNTIF($P$2:$P$3691,P3501)</f>
        <v>7</v>
      </c>
    </row>
    <row r="3502" spans="1:17" x14ac:dyDescent="0.2">
      <c r="A3502" s="16">
        <f>P3502</f>
        <v>1800176</v>
      </c>
      <c r="B3502">
        <v>2019</v>
      </c>
      <c r="C3502" t="s">
        <v>904</v>
      </c>
      <c r="D3502" t="s">
        <v>906</v>
      </c>
      <c r="E3502" t="s">
        <v>4408</v>
      </c>
      <c r="F3502" t="s">
        <v>825</v>
      </c>
      <c r="G3502" t="s">
        <v>382</v>
      </c>
      <c r="H3502" s="6">
        <v>9620</v>
      </c>
      <c r="I3502" s="6">
        <v>2.447322782660242E-5</v>
      </c>
      <c r="J3502" s="6">
        <v>85.778663532241481</v>
      </c>
      <c r="K3502" s="6">
        <v>23100.279745529999</v>
      </c>
      <c r="M3502" s="6">
        <f>SUM(H3502,J3502)</f>
        <v>9705.7786635322409</v>
      </c>
      <c r="N3502" s="6">
        <f>K3502</f>
        <v>23100.279745529999</v>
      </c>
      <c r="O3502" s="6">
        <f>SUM(M3502:N3502)</f>
        <v>32806.058409062243</v>
      </c>
      <c r="P3502" s="8">
        <f>VLOOKUP(F3502,'LEAID Match'!$A$2:$B$436,2,FALSE)</f>
        <v>1800176</v>
      </c>
      <c r="Q3502" s="6">
        <f>COUNTIF($P$2:$P$3691,P3502)</f>
        <v>7</v>
      </c>
    </row>
    <row r="3503" spans="1:17" x14ac:dyDescent="0.2">
      <c r="A3503" s="16">
        <f>P3503</f>
        <v>1800176</v>
      </c>
      <c r="B3503">
        <v>2020</v>
      </c>
      <c r="C3503" t="s">
        <v>904</v>
      </c>
      <c r="D3503" t="s">
        <v>906</v>
      </c>
      <c r="E3503" t="s">
        <v>4409</v>
      </c>
      <c r="F3503" t="s">
        <v>825</v>
      </c>
      <c r="G3503" t="s">
        <v>382</v>
      </c>
      <c r="H3503" s="6">
        <v>8397</v>
      </c>
      <c r="I3503" s="6">
        <v>4.4493248603888542E-5</v>
      </c>
      <c r="J3503" s="6">
        <v>104.82609371076141</v>
      </c>
      <c r="K3503" s="6">
        <v>0</v>
      </c>
      <c r="M3503" s="6">
        <f>SUM(H3503,J3503)</f>
        <v>8501.8260937107607</v>
      </c>
      <c r="N3503" s="6">
        <f>K3503</f>
        <v>0</v>
      </c>
      <c r="O3503" s="6">
        <f>SUM(M3503:N3503)</f>
        <v>8501.8260937107607</v>
      </c>
      <c r="P3503" s="8">
        <f>VLOOKUP(F3503,'LEAID Match'!$A$2:$B$436,2,FALSE)</f>
        <v>1800176</v>
      </c>
      <c r="Q3503" s="6">
        <f>COUNTIF($P$2:$P$3691,P3503)</f>
        <v>7</v>
      </c>
    </row>
    <row r="3504" spans="1:17" x14ac:dyDescent="0.2">
      <c r="A3504" s="16">
        <f>P3504</f>
        <v>1800176</v>
      </c>
      <c r="B3504">
        <v>2021</v>
      </c>
      <c r="C3504" t="s">
        <v>904</v>
      </c>
      <c r="D3504" t="s">
        <v>906</v>
      </c>
      <c r="E3504" t="s">
        <v>4410</v>
      </c>
      <c r="F3504" t="s">
        <v>825</v>
      </c>
      <c r="G3504" t="s">
        <v>382</v>
      </c>
      <c r="H3504" s="6">
        <v>6948</v>
      </c>
      <c r="I3504" s="6">
        <v>3.4323766156567981E-5</v>
      </c>
      <c r="J3504" s="6">
        <v>77.36576891690423</v>
      </c>
      <c r="K3504" s="6">
        <v>0</v>
      </c>
      <c r="M3504" s="6">
        <f>SUM(H3504,J3504)</f>
        <v>7025.365768916904</v>
      </c>
      <c r="N3504" s="6">
        <f>K3504</f>
        <v>0</v>
      </c>
      <c r="O3504" s="6">
        <f>SUM(M3504:N3504)</f>
        <v>7025.365768916904</v>
      </c>
      <c r="P3504" s="8">
        <f>VLOOKUP(F3504,'LEAID Match'!$A$2:$B$436,2,FALSE)</f>
        <v>1800176</v>
      </c>
      <c r="Q3504" s="6">
        <f>COUNTIF($P$2:$P$3691,P3504)</f>
        <v>7</v>
      </c>
    </row>
    <row r="3505" spans="1:17" x14ac:dyDescent="0.2">
      <c r="A3505" s="16">
        <f>P3505</f>
        <v>1800176</v>
      </c>
      <c r="B3505">
        <v>2022</v>
      </c>
      <c r="C3505" t="s">
        <v>904</v>
      </c>
      <c r="D3505" t="s">
        <v>906</v>
      </c>
      <c r="E3505" t="s">
        <v>4411</v>
      </c>
      <c r="F3505" t="s">
        <v>825</v>
      </c>
      <c r="G3505" t="s">
        <v>382</v>
      </c>
      <c r="H3505" s="6">
        <v>4986</v>
      </c>
      <c r="I3505" s="6">
        <v>2.3674454653761529E-5</v>
      </c>
      <c r="J3505" s="6">
        <v>52.20217251154417</v>
      </c>
      <c r="K3505" s="6">
        <v>0</v>
      </c>
      <c r="M3505" s="6">
        <f>SUM(H3505,J3505)</f>
        <v>5038.2021725115437</v>
      </c>
      <c r="N3505" s="6">
        <f>K3505</f>
        <v>0</v>
      </c>
      <c r="O3505" s="6">
        <f>SUM(M3505:N3505)</f>
        <v>5038.2021725115437</v>
      </c>
      <c r="P3505" s="8">
        <f>VLOOKUP(F3505,'LEAID Match'!$A$2:$B$436,2,FALSE)</f>
        <v>1800176</v>
      </c>
      <c r="Q3505" s="6">
        <f>COUNTIF($P$2:$P$3691,P3505)</f>
        <v>7</v>
      </c>
    </row>
    <row r="3506" spans="1:17" x14ac:dyDescent="0.2">
      <c r="A3506" s="16">
        <f>P3506</f>
        <v>1800176</v>
      </c>
      <c r="B3506">
        <v>2023</v>
      </c>
      <c r="C3506" t="s">
        <v>904</v>
      </c>
      <c r="D3506" t="s">
        <v>906</v>
      </c>
      <c r="E3506" t="s">
        <v>4412</v>
      </c>
      <c r="F3506" t="s">
        <v>825</v>
      </c>
      <c r="G3506" t="s">
        <v>382</v>
      </c>
      <c r="H3506" s="6">
        <v>5151</v>
      </c>
      <c r="I3506" s="6">
        <v>2.1064759770053139E-5</v>
      </c>
      <c r="J3506" s="6">
        <v>51.966762352721098</v>
      </c>
      <c r="K3506" s="6">
        <v>0</v>
      </c>
      <c r="M3506" s="6">
        <f>SUM(H3506,J3506)</f>
        <v>5202.9667623527212</v>
      </c>
      <c r="N3506" s="6">
        <f>K3506</f>
        <v>0</v>
      </c>
      <c r="O3506" s="6">
        <f>SUM(M3506:N3506)</f>
        <v>5202.9667623527212</v>
      </c>
      <c r="P3506" s="8">
        <f>VLOOKUP(F3506,'LEAID Match'!$A$2:$B$436,2,FALSE)</f>
        <v>1800176</v>
      </c>
      <c r="Q3506" s="6">
        <f>COUNTIF($P$2:$P$3691,P3506)</f>
        <v>7</v>
      </c>
    </row>
    <row r="3507" spans="1:17" x14ac:dyDescent="0.2">
      <c r="A3507" s="16">
        <f>P3507</f>
        <v>0</v>
      </c>
      <c r="B3507">
        <v>2017</v>
      </c>
      <c r="C3507" t="s">
        <v>904</v>
      </c>
      <c r="D3507" t="s">
        <v>906</v>
      </c>
      <c r="E3507" t="s">
        <v>4413</v>
      </c>
      <c r="F3507" t="s">
        <v>826</v>
      </c>
      <c r="G3507" t="s">
        <v>383</v>
      </c>
      <c r="H3507" s="6">
        <v>57773</v>
      </c>
      <c r="I3507" s="6">
        <v>2.543992346419744E-4</v>
      </c>
      <c r="J3507" s="6">
        <v>1151.1565367549342</v>
      </c>
      <c r="K3507" s="6">
        <v>221581.73337315899</v>
      </c>
      <c r="M3507" s="6">
        <f>SUM(H3507,J3507)</f>
        <v>58924.156536754934</v>
      </c>
      <c r="N3507" s="6">
        <f>K3507</f>
        <v>221581.73337315899</v>
      </c>
      <c r="O3507" s="6">
        <f>SUM(M3507:N3507)</f>
        <v>280505.88990991394</v>
      </c>
      <c r="P3507" s="8">
        <f>VLOOKUP(F3507,'LEAID Match'!$A$2:$B$436,2,FALSE)</f>
        <v>0</v>
      </c>
      <c r="Q3507" s="6">
        <f>COUNTIF($P$2:$P$3691,P3507)</f>
        <v>371</v>
      </c>
    </row>
    <row r="3508" spans="1:17" x14ac:dyDescent="0.2">
      <c r="A3508" s="16">
        <f>P3508</f>
        <v>0</v>
      </c>
      <c r="B3508">
        <v>2018</v>
      </c>
      <c r="C3508" t="s">
        <v>904</v>
      </c>
      <c r="D3508" t="s">
        <v>906</v>
      </c>
      <c r="E3508" t="s">
        <v>4414</v>
      </c>
      <c r="F3508" t="s">
        <v>826</v>
      </c>
      <c r="G3508" t="s">
        <v>383</v>
      </c>
      <c r="H3508" s="6">
        <v>75160</v>
      </c>
      <c r="I3508" s="6">
        <v>3.1885659078651916E-4</v>
      </c>
      <c r="J3508" s="6">
        <v>1328.9942703982119</v>
      </c>
      <c r="K3508" s="6">
        <v>88853</v>
      </c>
      <c r="M3508" s="6">
        <f>SUM(H3508,J3508)</f>
        <v>76488.994270398209</v>
      </c>
      <c r="N3508" s="6">
        <f>K3508</f>
        <v>88853</v>
      </c>
      <c r="O3508" s="6">
        <f>SUM(M3508:N3508)</f>
        <v>165341.99427039822</v>
      </c>
      <c r="P3508" s="8">
        <f>VLOOKUP(F3508,'LEAID Match'!$A$2:$B$436,2,FALSE)</f>
        <v>0</v>
      </c>
      <c r="Q3508" s="6">
        <f>COUNTIF($P$2:$P$3691,P3508)</f>
        <v>371</v>
      </c>
    </row>
    <row r="3509" spans="1:17" x14ac:dyDescent="0.2">
      <c r="A3509" s="16">
        <f>P3509</f>
        <v>0</v>
      </c>
      <c r="B3509">
        <v>2019</v>
      </c>
      <c r="C3509" t="s">
        <v>904</v>
      </c>
      <c r="D3509" t="s">
        <v>906</v>
      </c>
      <c r="E3509" t="s">
        <v>4415</v>
      </c>
      <c r="F3509" t="s">
        <v>826</v>
      </c>
      <c r="G3509" t="s">
        <v>383</v>
      </c>
      <c r="H3509" s="6">
        <v>92197</v>
      </c>
      <c r="I3509" s="6">
        <v>2.3454866797601489E-4</v>
      </c>
      <c r="J3509" s="6">
        <v>822.09308125593225</v>
      </c>
      <c r="K3509" s="6">
        <v>221390.48770256</v>
      </c>
      <c r="M3509" s="6">
        <f>SUM(H3509,J3509)</f>
        <v>93019.093081255938</v>
      </c>
      <c r="N3509" s="6">
        <f>K3509</f>
        <v>221390.48770256</v>
      </c>
      <c r="O3509" s="6">
        <f>SUM(M3509:N3509)</f>
        <v>314409.58078381594</v>
      </c>
      <c r="P3509" s="8">
        <f>VLOOKUP(F3509,'LEAID Match'!$A$2:$B$436,2,FALSE)</f>
        <v>0</v>
      </c>
      <c r="Q3509" s="6">
        <f>COUNTIF($P$2:$P$3691,P3509)</f>
        <v>371</v>
      </c>
    </row>
    <row r="3510" spans="1:17" x14ac:dyDescent="0.2">
      <c r="A3510" s="16">
        <f>P3510</f>
        <v>0</v>
      </c>
      <c r="B3510">
        <v>2020</v>
      </c>
      <c r="C3510" t="s">
        <v>904</v>
      </c>
      <c r="D3510" t="s">
        <v>906</v>
      </c>
      <c r="E3510" t="s">
        <v>4416</v>
      </c>
      <c r="F3510" t="s">
        <v>826</v>
      </c>
      <c r="G3510" t="s">
        <v>383</v>
      </c>
      <c r="H3510" s="6">
        <v>73762</v>
      </c>
      <c r="I3510" s="6">
        <v>3.9084327778016279E-4</v>
      </c>
      <c r="J3510" s="6">
        <v>920.82676245006348</v>
      </c>
      <c r="K3510" s="6">
        <v>56326</v>
      </c>
      <c r="M3510" s="6">
        <f>SUM(H3510,J3510)</f>
        <v>74682.826762450059</v>
      </c>
      <c r="N3510" s="6">
        <f>K3510</f>
        <v>56326</v>
      </c>
      <c r="O3510" s="6">
        <f>SUM(M3510:N3510)</f>
        <v>131008.82676245006</v>
      </c>
      <c r="P3510" s="8">
        <f>VLOOKUP(F3510,'LEAID Match'!$A$2:$B$436,2,FALSE)</f>
        <v>0</v>
      </c>
      <c r="Q3510" s="6">
        <f>COUNTIF($P$2:$P$3691,P3510)</f>
        <v>371</v>
      </c>
    </row>
    <row r="3511" spans="1:17" x14ac:dyDescent="0.2">
      <c r="A3511" s="16">
        <f>P3511</f>
        <v>0</v>
      </c>
      <c r="B3511">
        <v>2021</v>
      </c>
      <c r="C3511" t="s">
        <v>904</v>
      </c>
      <c r="D3511" t="s">
        <v>906</v>
      </c>
      <c r="E3511" t="s">
        <v>4417</v>
      </c>
      <c r="F3511" t="s">
        <v>826</v>
      </c>
      <c r="G3511" t="s">
        <v>383</v>
      </c>
      <c r="H3511" s="6">
        <v>83601</v>
      </c>
      <c r="I3511" s="6">
        <v>4.1299671480357506E-4</v>
      </c>
      <c r="J3511" s="6">
        <v>930.89459516725822</v>
      </c>
      <c r="K3511" s="6">
        <v>74644</v>
      </c>
      <c r="M3511" s="6">
        <f>SUM(H3511,J3511)</f>
        <v>84531.894595167265</v>
      </c>
      <c r="N3511" s="6">
        <f>K3511</f>
        <v>74644</v>
      </c>
      <c r="O3511" s="6">
        <f>SUM(M3511:N3511)</f>
        <v>159175.89459516725</v>
      </c>
      <c r="P3511" s="8">
        <f>VLOOKUP(F3511,'LEAID Match'!$A$2:$B$436,2,FALSE)</f>
        <v>0</v>
      </c>
      <c r="Q3511" s="6">
        <f>COUNTIF($P$2:$P$3691,P3511)</f>
        <v>371</v>
      </c>
    </row>
    <row r="3512" spans="1:17" x14ac:dyDescent="0.2">
      <c r="A3512" s="16">
        <f>P3512</f>
        <v>0</v>
      </c>
      <c r="B3512">
        <v>2022</v>
      </c>
      <c r="C3512" t="s">
        <v>904</v>
      </c>
      <c r="D3512" t="s">
        <v>906</v>
      </c>
      <c r="E3512" t="s">
        <v>4418</v>
      </c>
      <c r="F3512" t="s">
        <v>826</v>
      </c>
      <c r="G3512" t="s">
        <v>383</v>
      </c>
      <c r="H3512" s="6">
        <v>88609</v>
      </c>
      <c r="I3512" s="6">
        <v>4.2073200008326418E-4</v>
      </c>
      <c r="J3512" s="6">
        <v>927.71406018359755</v>
      </c>
      <c r="K3512" s="6">
        <v>72869</v>
      </c>
      <c r="M3512" s="6">
        <f>SUM(H3512,J3512)</f>
        <v>89536.7140601836</v>
      </c>
      <c r="N3512" s="6">
        <f>K3512</f>
        <v>72869</v>
      </c>
      <c r="O3512" s="6">
        <f>SUM(M3512:N3512)</f>
        <v>162405.71406018361</v>
      </c>
      <c r="P3512" s="8">
        <f>VLOOKUP(F3512,'LEAID Match'!$A$2:$B$436,2,FALSE)</f>
        <v>0</v>
      </c>
      <c r="Q3512" s="6">
        <f>COUNTIF($P$2:$P$3691,P3512)</f>
        <v>371</v>
      </c>
    </row>
    <row r="3513" spans="1:17" x14ac:dyDescent="0.2">
      <c r="A3513" s="16">
        <f>P3513</f>
        <v>0</v>
      </c>
      <c r="B3513">
        <v>2023</v>
      </c>
      <c r="C3513" t="s">
        <v>904</v>
      </c>
      <c r="D3513" t="s">
        <v>906</v>
      </c>
      <c r="E3513" t="s">
        <v>4419</v>
      </c>
      <c r="F3513" t="s">
        <v>826</v>
      </c>
      <c r="G3513" t="s">
        <v>383</v>
      </c>
      <c r="H3513" s="6">
        <v>116753</v>
      </c>
      <c r="I3513" s="6">
        <v>4.7745561976956206E-4</v>
      </c>
      <c r="J3513" s="6">
        <v>1177.8830139715096</v>
      </c>
      <c r="K3513" s="6">
        <v>319743</v>
      </c>
      <c r="M3513" s="6">
        <f>SUM(H3513,J3513)</f>
        <v>117930.88301397151</v>
      </c>
      <c r="N3513" s="6">
        <f>K3513</f>
        <v>319743</v>
      </c>
      <c r="O3513" s="6">
        <f>SUM(M3513:N3513)</f>
        <v>437673.8830139715</v>
      </c>
      <c r="P3513" s="8">
        <f>VLOOKUP(F3513,'LEAID Match'!$A$2:$B$436,2,FALSE)</f>
        <v>0</v>
      </c>
      <c r="Q3513" s="6">
        <f>COUNTIF($P$2:$P$3691,P3513)</f>
        <v>371</v>
      </c>
    </row>
    <row r="3514" spans="1:17" x14ac:dyDescent="0.2">
      <c r="A3514" s="16">
        <f>P3514</f>
        <v>1800171</v>
      </c>
      <c r="B3514">
        <v>2017</v>
      </c>
      <c r="C3514" t="s">
        <v>904</v>
      </c>
      <c r="D3514" t="s">
        <v>906</v>
      </c>
      <c r="E3514" t="s">
        <v>4420</v>
      </c>
      <c r="F3514" t="s">
        <v>860</v>
      </c>
      <c r="G3514" t="s">
        <v>384</v>
      </c>
      <c r="H3514" s="6">
        <v>4240</v>
      </c>
      <c r="I3514" s="6">
        <v>1.8670533897875677E-5</v>
      </c>
      <c r="J3514" s="6">
        <v>84.484165887887443</v>
      </c>
      <c r="K3514" s="6">
        <v>16262.035025049699</v>
      </c>
      <c r="M3514" s="6">
        <f>SUM(H3514,J3514)</f>
        <v>4324.4841658878877</v>
      </c>
      <c r="N3514" s="6">
        <f>K3514</f>
        <v>16262.035025049699</v>
      </c>
      <c r="O3514" s="6">
        <f>SUM(M3514:N3514)</f>
        <v>20586.519190937586</v>
      </c>
      <c r="P3514" s="8">
        <f>VLOOKUP(F3514,'LEAID Match'!$A$2:$B$436,2,FALSE)</f>
        <v>1800171</v>
      </c>
      <c r="Q3514" s="6">
        <f>COUNTIF($P$2:$P$3691,P3514)</f>
        <v>7</v>
      </c>
    </row>
    <row r="3515" spans="1:17" x14ac:dyDescent="0.2">
      <c r="A3515" s="16">
        <f>P3515</f>
        <v>1800171</v>
      </c>
      <c r="B3515">
        <v>2018</v>
      </c>
      <c r="C3515" t="s">
        <v>904</v>
      </c>
      <c r="D3515" t="s">
        <v>906</v>
      </c>
      <c r="E3515" t="s">
        <v>4421</v>
      </c>
      <c r="F3515" t="s">
        <v>860</v>
      </c>
      <c r="G3515" t="s">
        <v>384</v>
      </c>
      <c r="H3515" s="6">
        <v>6809</v>
      </c>
      <c r="I3515" s="6">
        <v>2.8886302909332211E-5</v>
      </c>
      <c r="J3515" s="6">
        <v>120.39811052609666</v>
      </c>
      <c r="K3515" s="6">
        <v>0</v>
      </c>
      <c r="M3515" s="6">
        <f>SUM(H3515,J3515)</f>
        <v>6929.3981105260964</v>
      </c>
      <c r="N3515" s="6">
        <f>K3515</f>
        <v>0</v>
      </c>
      <c r="O3515" s="6">
        <f>SUM(M3515:N3515)</f>
        <v>6929.3981105260964</v>
      </c>
      <c r="P3515" s="8">
        <f>VLOOKUP(F3515,'LEAID Match'!$A$2:$B$436,2,FALSE)</f>
        <v>1800171</v>
      </c>
      <c r="Q3515" s="6">
        <f>COUNTIF($P$2:$P$3691,P3515)</f>
        <v>7</v>
      </c>
    </row>
    <row r="3516" spans="1:17" x14ac:dyDescent="0.2">
      <c r="A3516" s="16">
        <f>P3516</f>
        <v>1800171</v>
      </c>
      <c r="B3516">
        <v>2019</v>
      </c>
      <c r="C3516" t="s">
        <v>904</v>
      </c>
      <c r="D3516" t="s">
        <v>906</v>
      </c>
      <c r="E3516" t="s">
        <v>4422</v>
      </c>
      <c r="F3516" t="s">
        <v>860</v>
      </c>
      <c r="G3516" t="s">
        <v>384</v>
      </c>
      <c r="H3516" s="6">
        <v>7212</v>
      </c>
      <c r="I3516" s="6">
        <v>1.8347288886222106E-5</v>
      </c>
      <c r="J3516" s="6">
        <v>64.307247546208487</v>
      </c>
      <c r="K3516" s="6">
        <v>17318.005979705002</v>
      </c>
      <c r="M3516" s="6">
        <f>SUM(H3516,J3516)</f>
        <v>7276.3072475462086</v>
      </c>
      <c r="N3516" s="6">
        <f>K3516</f>
        <v>17318.005979705002</v>
      </c>
      <c r="O3516" s="6">
        <f>SUM(M3516:N3516)</f>
        <v>24594.313227251208</v>
      </c>
      <c r="P3516" s="8">
        <f>VLOOKUP(F3516,'LEAID Match'!$A$2:$B$436,2,FALSE)</f>
        <v>1800171</v>
      </c>
      <c r="Q3516" s="6">
        <f>COUNTIF($P$2:$P$3691,P3516)</f>
        <v>7</v>
      </c>
    </row>
    <row r="3517" spans="1:17" x14ac:dyDescent="0.2">
      <c r="A3517" s="16">
        <f>P3517</f>
        <v>1800171</v>
      </c>
      <c r="B3517">
        <v>2020</v>
      </c>
      <c r="C3517" t="s">
        <v>904</v>
      </c>
      <c r="D3517" t="s">
        <v>906</v>
      </c>
      <c r="E3517" t="s">
        <v>4423</v>
      </c>
      <c r="F3517" t="s">
        <v>860</v>
      </c>
      <c r="G3517" t="s">
        <v>384</v>
      </c>
      <c r="H3517" s="6">
        <v>5632</v>
      </c>
      <c r="I3517" s="6">
        <v>2.9842321797915958E-5</v>
      </c>
      <c r="J3517" s="6">
        <v>70.308510155889991</v>
      </c>
      <c r="K3517" s="6">
        <v>0</v>
      </c>
      <c r="M3517" s="6">
        <f>SUM(H3517,J3517)</f>
        <v>5702.30851015589</v>
      </c>
      <c r="N3517" s="6">
        <f>K3517</f>
        <v>0</v>
      </c>
      <c r="O3517" s="6">
        <f>SUM(M3517:N3517)</f>
        <v>5702.30851015589</v>
      </c>
      <c r="P3517" s="8">
        <f>VLOOKUP(F3517,'LEAID Match'!$A$2:$B$436,2,FALSE)</f>
        <v>1800171</v>
      </c>
      <c r="Q3517" s="6">
        <f>COUNTIF($P$2:$P$3691,P3517)</f>
        <v>7</v>
      </c>
    </row>
    <row r="3518" spans="1:17" x14ac:dyDescent="0.2">
      <c r="A3518" s="16">
        <f>P3518</f>
        <v>1800171</v>
      </c>
      <c r="B3518">
        <v>2021</v>
      </c>
      <c r="C3518" t="s">
        <v>904</v>
      </c>
      <c r="D3518" t="s">
        <v>906</v>
      </c>
      <c r="E3518" t="s">
        <v>4424</v>
      </c>
      <c r="F3518" t="s">
        <v>860</v>
      </c>
      <c r="G3518" t="s">
        <v>384</v>
      </c>
      <c r="H3518" s="6">
        <v>5638</v>
      </c>
      <c r="I3518" s="6">
        <v>2.7852244327969237E-5</v>
      </c>
      <c r="J3518" s="6">
        <v>62.778958715242659</v>
      </c>
      <c r="K3518" s="6">
        <v>0</v>
      </c>
      <c r="M3518" s="6">
        <f>SUM(H3518,J3518)</f>
        <v>5700.7789587152429</v>
      </c>
      <c r="N3518" s="6">
        <f>K3518</f>
        <v>0</v>
      </c>
      <c r="O3518" s="6">
        <f>SUM(M3518:N3518)</f>
        <v>5700.7789587152429</v>
      </c>
      <c r="P3518" s="8">
        <f>VLOOKUP(F3518,'LEAID Match'!$A$2:$B$436,2,FALSE)</f>
        <v>1800171</v>
      </c>
      <c r="Q3518" s="6">
        <f>COUNTIF($P$2:$P$3691,P3518)</f>
        <v>7</v>
      </c>
    </row>
    <row r="3519" spans="1:17" x14ac:dyDescent="0.2">
      <c r="A3519" s="16">
        <f>P3519</f>
        <v>1800171</v>
      </c>
      <c r="B3519">
        <v>2022</v>
      </c>
      <c r="C3519" t="s">
        <v>904</v>
      </c>
      <c r="D3519" t="s">
        <v>906</v>
      </c>
      <c r="E3519" t="s">
        <v>4425</v>
      </c>
      <c r="F3519" t="s">
        <v>860</v>
      </c>
      <c r="G3519" t="s">
        <v>384</v>
      </c>
      <c r="H3519" s="6">
        <v>434</v>
      </c>
      <c r="I3519" s="6">
        <v>2.0607126593928004E-6</v>
      </c>
      <c r="J3519" s="6">
        <v>4.5438714139611251</v>
      </c>
      <c r="K3519" s="6">
        <v>0</v>
      </c>
      <c r="M3519" s="6">
        <f>SUM(H3519,J3519)</f>
        <v>438.54387141396114</v>
      </c>
      <c r="N3519" s="6">
        <f>K3519</f>
        <v>0</v>
      </c>
      <c r="O3519" s="6">
        <f>SUM(M3519:N3519)</f>
        <v>438.54387141396114</v>
      </c>
      <c r="P3519" s="8">
        <f>VLOOKUP(F3519,'LEAID Match'!$A$2:$B$436,2,FALSE)</f>
        <v>1800171</v>
      </c>
      <c r="Q3519" s="6">
        <f>COUNTIF($P$2:$P$3691,P3519)</f>
        <v>7</v>
      </c>
    </row>
    <row r="3520" spans="1:17" x14ac:dyDescent="0.2">
      <c r="A3520" s="16">
        <f>P3520</f>
        <v>1800171</v>
      </c>
      <c r="B3520">
        <v>2023</v>
      </c>
      <c r="C3520" t="s">
        <v>904</v>
      </c>
      <c r="D3520" t="s">
        <v>906</v>
      </c>
      <c r="E3520" t="s">
        <v>4426</v>
      </c>
      <c r="F3520" t="s">
        <v>860</v>
      </c>
      <c r="G3520" t="s">
        <v>384</v>
      </c>
      <c r="H3520" s="6" t="s">
        <v>187</v>
      </c>
      <c r="I3520" s="6">
        <v>0</v>
      </c>
      <c r="J3520" s="6">
        <v>0</v>
      </c>
      <c r="K3520" s="6">
        <v>0</v>
      </c>
      <c r="M3520" s="6">
        <f>SUM(H3520,J3520)</f>
        <v>0</v>
      </c>
      <c r="N3520" s="6">
        <f>K3520</f>
        <v>0</v>
      </c>
      <c r="O3520" s="6">
        <f>SUM(M3520:N3520)</f>
        <v>0</v>
      </c>
      <c r="P3520" s="8">
        <f>VLOOKUP(F3520,'LEAID Match'!$A$2:$B$436,2,FALSE)</f>
        <v>1800171</v>
      </c>
      <c r="Q3520" s="6">
        <f>COUNTIF($P$2:$P$3691,P3520)</f>
        <v>7</v>
      </c>
    </row>
    <row r="3521" spans="1:17" x14ac:dyDescent="0.2">
      <c r="A3521" s="16">
        <f>P3521</f>
        <v>1800179</v>
      </c>
      <c r="B3521">
        <v>2017</v>
      </c>
      <c r="C3521" t="s">
        <v>904</v>
      </c>
      <c r="D3521" t="s">
        <v>906</v>
      </c>
      <c r="E3521" t="s">
        <v>4427</v>
      </c>
      <c r="F3521" t="s">
        <v>827</v>
      </c>
      <c r="G3521" t="s">
        <v>385</v>
      </c>
      <c r="H3521" s="6">
        <v>35513</v>
      </c>
      <c r="I3521" s="6">
        <v>1.563789316781271E-4</v>
      </c>
      <c r="J3521" s="6">
        <v>707.61466584352513</v>
      </c>
      <c r="K3521" s="6">
        <v>136206.04949164801</v>
      </c>
      <c r="M3521" s="6">
        <f>SUM(H3521,J3521)</f>
        <v>36220.614665843525</v>
      </c>
      <c r="N3521" s="6">
        <f>K3521</f>
        <v>136206.04949164801</v>
      </c>
      <c r="O3521" s="6">
        <f>SUM(M3521:N3521)</f>
        <v>172426.66415749153</v>
      </c>
      <c r="P3521" s="8">
        <f>VLOOKUP(F3521,'LEAID Match'!$A$2:$B$436,2,FALSE)</f>
        <v>1800179</v>
      </c>
      <c r="Q3521" s="6">
        <f>COUNTIF($P$2:$P$3691,P3521)</f>
        <v>7</v>
      </c>
    </row>
    <row r="3522" spans="1:17" x14ac:dyDescent="0.2">
      <c r="A3522" s="16">
        <f>P3522</f>
        <v>1800179</v>
      </c>
      <c r="B3522">
        <v>2018</v>
      </c>
      <c r="C3522" t="s">
        <v>904</v>
      </c>
      <c r="D3522" t="s">
        <v>906</v>
      </c>
      <c r="E3522" t="s">
        <v>4428</v>
      </c>
      <c r="F3522" t="s">
        <v>827</v>
      </c>
      <c r="G3522" t="s">
        <v>385</v>
      </c>
      <c r="H3522" s="6">
        <v>40037</v>
      </c>
      <c r="I3522" s="6">
        <v>1.6985180049653895E-4</v>
      </c>
      <c r="J3522" s="6">
        <v>707.94230446957431</v>
      </c>
      <c r="K3522" s="6">
        <v>11749</v>
      </c>
      <c r="M3522" s="6">
        <f>SUM(H3522,J3522)</f>
        <v>40744.942304469572</v>
      </c>
      <c r="N3522" s="6">
        <f>K3522</f>
        <v>11749</v>
      </c>
      <c r="O3522" s="6">
        <f>SUM(M3522:N3522)</f>
        <v>52493.942304469572</v>
      </c>
      <c r="P3522" s="8">
        <f>VLOOKUP(F3522,'LEAID Match'!$A$2:$B$436,2,FALSE)</f>
        <v>1800179</v>
      </c>
      <c r="Q3522" s="6">
        <f>COUNTIF($P$2:$P$3691,P3522)</f>
        <v>7</v>
      </c>
    </row>
    <row r="3523" spans="1:17" x14ac:dyDescent="0.2">
      <c r="A3523" s="16">
        <f>P3523</f>
        <v>1800179</v>
      </c>
      <c r="B3523">
        <v>2019</v>
      </c>
      <c r="C3523" t="s">
        <v>904</v>
      </c>
      <c r="D3523" t="s">
        <v>906</v>
      </c>
      <c r="E3523" t="s">
        <v>4429</v>
      </c>
      <c r="F3523" t="s">
        <v>827</v>
      </c>
      <c r="G3523" t="s">
        <v>385</v>
      </c>
      <c r="H3523" s="6">
        <v>67337</v>
      </c>
      <c r="I3523" s="6">
        <v>1.7130496280248723E-4</v>
      </c>
      <c r="J3523" s="6">
        <v>600.42389462271774</v>
      </c>
      <c r="K3523" s="6">
        <v>161694.75438926701</v>
      </c>
      <c r="M3523" s="6">
        <f>SUM(H3523,J3523)</f>
        <v>67937.423894622712</v>
      </c>
      <c r="N3523" s="6">
        <f>K3523</f>
        <v>161694.75438926701</v>
      </c>
      <c r="O3523" s="6">
        <f>SUM(M3523:N3523)</f>
        <v>229632.17828388972</v>
      </c>
      <c r="P3523" s="8">
        <f>VLOOKUP(F3523,'LEAID Match'!$A$2:$B$436,2,FALSE)</f>
        <v>1800179</v>
      </c>
      <c r="Q3523" s="6">
        <f>COUNTIF($P$2:$P$3691,P3523)</f>
        <v>7</v>
      </c>
    </row>
    <row r="3524" spans="1:17" x14ac:dyDescent="0.2">
      <c r="A3524" s="16">
        <f>P3524</f>
        <v>1800179</v>
      </c>
      <c r="B3524">
        <v>2020</v>
      </c>
      <c r="C3524" t="s">
        <v>904</v>
      </c>
      <c r="D3524" t="s">
        <v>906</v>
      </c>
      <c r="E3524" t="s">
        <v>4430</v>
      </c>
      <c r="F3524" t="s">
        <v>827</v>
      </c>
      <c r="G3524" t="s">
        <v>385</v>
      </c>
      <c r="H3524" s="6">
        <v>59648</v>
      </c>
      <c r="I3524" s="6">
        <v>3.1605731722338261E-4</v>
      </c>
      <c r="J3524" s="6">
        <v>744.63103937828942</v>
      </c>
      <c r="K3524" s="6">
        <v>23987</v>
      </c>
      <c r="M3524" s="6">
        <f>SUM(H3524,J3524)</f>
        <v>60392.631039378291</v>
      </c>
      <c r="N3524" s="6">
        <f>K3524</f>
        <v>23987</v>
      </c>
      <c r="O3524" s="6">
        <f>SUM(M3524:N3524)</f>
        <v>84379.631039378291</v>
      </c>
      <c r="P3524" s="8">
        <f>VLOOKUP(F3524,'LEAID Match'!$A$2:$B$436,2,FALSE)</f>
        <v>1800179</v>
      </c>
      <c r="Q3524" s="6">
        <f>COUNTIF($P$2:$P$3691,P3524)</f>
        <v>7</v>
      </c>
    </row>
    <row r="3525" spans="1:17" x14ac:dyDescent="0.2">
      <c r="A3525" s="16">
        <f>P3525</f>
        <v>1800179</v>
      </c>
      <c r="B3525">
        <v>2021</v>
      </c>
      <c r="C3525" t="s">
        <v>904</v>
      </c>
      <c r="D3525" t="s">
        <v>906</v>
      </c>
      <c r="E3525" t="s">
        <v>4431</v>
      </c>
      <c r="F3525" t="s">
        <v>827</v>
      </c>
      <c r="G3525" t="s">
        <v>385</v>
      </c>
      <c r="H3525" s="6">
        <v>50134</v>
      </c>
      <c r="I3525" s="6">
        <v>2.4766662240837349E-4</v>
      </c>
      <c r="J3525" s="6">
        <v>558.24056690847385</v>
      </c>
      <c r="K3525" s="6">
        <v>38201</v>
      </c>
      <c r="M3525" s="6">
        <f>SUM(H3525,J3525)</f>
        <v>50692.240566908476</v>
      </c>
      <c r="N3525" s="6">
        <f>K3525</f>
        <v>38201</v>
      </c>
      <c r="O3525" s="6">
        <f>SUM(M3525:N3525)</f>
        <v>88893.240566908469</v>
      </c>
      <c r="P3525" s="8">
        <f>VLOOKUP(F3525,'LEAID Match'!$A$2:$B$436,2,FALSE)</f>
        <v>1800179</v>
      </c>
      <c r="Q3525" s="6">
        <f>COUNTIF($P$2:$P$3691,P3525)</f>
        <v>7</v>
      </c>
    </row>
    <row r="3526" spans="1:17" x14ac:dyDescent="0.2">
      <c r="A3526" s="16">
        <f>P3526</f>
        <v>1800179</v>
      </c>
      <c r="B3526">
        <v>2022</v>
      </c>
      <c r="C3526" t="s">
        <v>904</v>
      </c>
      <c r="D3526" t="s">
        <v>906</v>
      </c>
      <c r="E3526" t="s">
        <v>4432</v>
      </c>
      <c r="F3526" t="s">
        <v>827</v>
      </c>
      <c r="G3526" t="s">
        <v>385</v>
      </c>
      <c r="H3526" s="6">
        <v>44290</v>
      </c>
      <c r="I3526" s="6">
        <v>2.1029715134679062E-4</v>
      </c>
      <c r="J3526" s="6">
        <v>463.70521871967333</v>
      </c>
      <c r="K3526" s="6">
        <v>44187</v>
      </c>
      <c r="M3526" s="6">
        <f>SUM(H3526,J3526)</f>
        <v>44753.705218719675</v>
      </c>
      <c r="N3526" s="6">
        <f>K3526</f>
        <v>44187</v>
      </c>
      <c r="O3526" s="6">
        <f>SUM(M3526:N3526)</f>
        <v>88940.705218719668</v>
      </c>
      <c r="P3526" s="8">
        <f>VLOOKUP(F3526,'LEAID Match'!$A$2:$B$436,2,FALSE)</f>
        <v>1800179</v>
      </c>
      <c r="Q3526" s="6">
        <f>COUNTIF($P$2:$P$3691,P3526)</f>
        <v>7</v>
      </c>
    </row>
    <row r="3527" spans="1:17" x14ac:dyDescent="0.2">
      <c r="A3527" s="16">
        <f>P3527</f>
        <v>1800179</v>
      </c>
      <c r="B3527">
        <v>2023</v>
      </c>
      <c r="C3527" t="s">
        <v>904</v>
      </c>
      <c r="D3527" t="s">
        <v>906</v>
      </c>
      <c r="E3527" t="s">
        <v>4433</v>
      </c>
      <c r="F3527" t="s">
        <v>827</v>
      </c>
      <c r="G3527" t="s">
        <v>385</v>
      </c>
      <c r="H3527" s="6">
        <v>70314</v>
      </c>
      <c r="I3527" s="6">
        <v>2.8754562579528565E-4</v>
      </c>
      <c r="J3527" s="6">
        <v>709.37505883696974</v>
      </c>
      <c r="K3527" s="6">
        <v>35151</v>
      </c>
      <c r="M3527" s="6">
        <f>SUM(H3527,J3527)</f>
        <v>71023.375058836973</v>
      </c>
      <c r="N3527" s="6">
        <f>K3527</f>
        <v>35151</v>
      </c>
      <c r="O3527" s="6">
        <f>SUM(M3527:N3527)</f>
        <v>106174.37505883697</v>
      </c>
      <c r="P3527" s="8">
        <f>VLOOKUP(F3527,'LEAID Match'!$A$2:$B$436,2,FALSE)</f>
        <v>1800179</v>
      </c>
      <c r="Q3527" s="6">
        <f>COUNTIF($P$2:$P$3691,P3527)</f>
        <v>7</v>
      </c>
    </row>
    <row r="3528" spans="1:17" x14ac:dyDescent="0.2">
      <c r="A3528" s="16">
        <f>P3528</f>
        <v>1800183</v>
      </c>
      <c r="B3528">
        <v>2018</v>
      </c>
      <c r="C3528" t="s">
        <v>904</v>
      </c>
      <c r="D3528" t="s">
        <v>906</v>
      </c>
      <c r="E3528" t="s">
        <v>4434</v>
      </c>
      <c r="F3528" t="s">
        <v>861</v>
      </c>
      <c r="G3528" t="s">
        <v>387</v>
      </c>
      <c r="H3528" s="6">
        <v>43187</v>
      </c>
      <c r="I3528" s="6">
        <v>1.8321526857766635E-4</v>
      </c>
      <c r="J3528" s="6">
        <v>763.6412394317133</v>
      </c>
      <c r="K3528" s="6">
        <v>0</v>
      </c>
      <c r="M3528" s="6">
        <f>SUM(H3528,J3528)</f>
        <v>43950.641239431716</v>
      </c>
      <c r="N3528" s="6">
        <f>K3528</f>
        <v>0</v>
      </c>
      <c r="O3528" s="6">
        <f>SUM(M3528:N3528)</f>
        <v>43950.641239431716</v>
      </c>
      <c r="P3528" s="8">
        <f>VLOOKUP(F3528,'LEAID Match'!$A$2:$B$436,2,FALSE)</f>
        <v>1800183</v>
      </c>
      <c r="Q3528" s="6">
        <f>COUNTIF($P$2:$P$3691,P3528)</f>
        <v>6</v>
      </c>
    </row>
    <row r="3529" spans="1:17" x14ac:dyDescent="0.2">
      <c r="A3529" s="16">
        <f>P3529</f>
        <v>1800183</v>
      </c>
      <c r="B3529">
        <v>2019</v>
      </c>
      <c r="C3529" t="s">
        <v>904</v>
      </c>
      <c r="D3529" t="s">
        <v>906</v>
      </c>
      <c r="E3529" t="s">
        <v>4435</v>
      </c>
      <c r="F3529" t="s">
        <v>861</v>
      </c>
      <c r="G3529" t="s">
        <v>387</v>
      </c>
      <c r="H3529" s="6">
        <v>47281</v>
      </c>
      <c r="I3529" s="6">
        <v>1.2028260757480134E-4</v>
      </c>
      <c r="J3529" s="6">
        <v>421.59053954967868</v>
      </c>
      <c r="K3529" s="6">
        <v>113534.753289855</v>
      </c>
      <c r="M3529" s="6">
        <f>SUM(H3529,J3529)</f>
        <v>47702.590539549681</v>
      </c>
      <c r="N3529" s="6">
        <f>K3529</f>
        <v>113534.753289855</v>
      </c>
      <c r="O3529" s="6">
        <f>SUM(M3529:N3529)</f>
        <v>161237.34382940468</v>
      </c>
      <c r="P3529" s="8">
        <f>VLOOKUP(F3529,'LEAID Match'!$A$2:$B$436,2,FALSE)</f>
        <v>1800183</v>
      </c>
      <c r="Q3529" s="6">
        <f>COUNTIF($P$2:$P$3691,P3529)</f>
        <v>6</v>
      </c>
    </row>
    <row r="3530" spans="1:17" x14ac:dyDescent="0.2">
      <c r="A3530" s="16">
        <f>P3530</f>
        <v>1800183</v>
      </c>
      <c r="B3530">
        <v>2020</v>
      </c>
      <c r="C3530" t="s">
        <v>904</v>
      </c>
      <c r="D3530" t="s">
        <v>906</v>
      </c>
      <c r="E3530" t="s">
        <v>4436</v>
      </c>
      <c r="F3530" t="s">
        <v>861</v>
      </c>
      <c r="G3530" t="s">
        <v>387</v>
      </c>
      <c r="H3530" s="6">
        <v>51330</v>
      </c>
      <c r="I3530" s="6">
        <v>2.7198266652823618E-4</v>
      </c>
      <c r="J3530" s="6">
        <v>640.79116234052447</v>
      </c>
      <c r="K3530" s="6">
        <v>0</v>
      </c>
      <c r="M3530" s="6">
        <f>SUM(H3530,J3530)</f>
        <v>51970.791162340523</v>
      </c>
      <c r="N3530" s="6">
        <f>K3530</f>
        <v>0</v>
      </c>
      <c r="O3530" s="6">
        <f>SUM(M3530:N3530)</f>
        <v>51970.791162340523</v>
      </c>
      <c r="P3530" s="8">
        <f>VLOOKUP(F3530,'LEAID Match'!$A$2:$B$436,2,FALSE)</f>
        <v>1800183</v>
      </c>
      <c r="Q3530" s="6">
        <f>COUNTIF($P$2:$P$3691,P3530)</f>
        <v>6</v>
      </c>
    </row>
    <row r="3531" spans="1:17" x14ac:dyDescent="0.2">
      <c r="A3531" s="16">
        <f>P3531</f>
        <v>1800183</v>
      </c>
      <c r="B3531">
        <v>2021</v>
      </c>
      <c r="C3531" t="s">
        <v>904</v>
      </c>
      <c r="D3531" t="s">
        <v>906</v>
      </c>
      <c r="E3531" t="s">
        <v>4437</v>
      </c>
      <c r="F3531" t="s">
        <v>861</v>
      </c>
      <c r="G3531" t="s">
        <v>387</v>
      </c>
      <c r="H3531" s="6">
        <v>61565</v>
      </c>
      <c r="I3531" s="6">
        <v>3.0413682547914618E-4</v>
      </c>
      <c r="J3531" s="6">
        <v>685.5244046299955</v>
      </c>
      <c r="K3531" s="6">
        <v>0</v>
      </c>
      <c r="M3531" s="6">
        <f>SUM(H3531,J3531)</f>
        <v>62250.524404629992</v>
      </c>
      <c r="N3531" s="6">
        <f>K3531</f>
        <v>0</v>
      </c>
      <c r="O3531" s="6">
        <f>SUM(M3531:N3531)</f>
        <v>62250.524404629992</v>
      </c>
      <c r="P3531" s="8">
        <f>VLOOKUP(F3531,'LEAID Match'!$A$2:$B$436,2,FALSE)</f>
        <v>1800183</v>
      </c>
      <c r="Q3531" s="6">
        <f>COUNTIF($P$2:$P$3691,P3531)</f>
        <v>6</v>
      </c>
    </row>
    <row r="3532" spans="1:17" x14ac:dyDescent="0.2">
      <c r="A3532" s="16">
        <f>P3532</f>
        <v>1800183</v>
      </c>
      <c r="B3532">
        <v>2022</v>
      </c>
      <c r="C3532" t="s">
        <v>904</v>
      </c>
      <c r="D3532" t="s">
        <v>906</v>
      </c>
      <c r="E3532" t="s">
        <v>4438</v>
      </c>
      <c r="F3532" t="s">
        <v>861</v>
      </c>
      <c r="G3532" t="s">
        <v>387</v>
      </c>
      <c r="H3532" s="6">
        <v>88596</v>
      </c>
      <c r="I3532" s="6">
        <v>4.2067027366719941E-4</v>
      </c>
      <c r="J3532" s="6">
        <v>927.57795343617465</v>
      </c>
      <c r="K3532" s="6">
        <v>0</v>
      </c>
      <c r="M3532" s="6">
        <f>SUM(H3532,J3532)</f>
        <v>89523.577953436179</v>
      </c>
      <c r="N3532" s="6">
        <f>K3532</f>
        <v>0</v>
      </c>
      <c r="O3532" s="6">
        <f>SUM(M3532:N3532)</f>
        <v>89523.577953436179</v>
      </c>
      <c r="P3532" s="8">
        <f>VLOOKUP(F3532,'LEAID Match'!$A$2:$B$436,2,FALSE)</f>
        <v>1800183</v>
      </c>
      <c r="Q3532" s="6">
        <f>COUNTIF($P$2:$P$3691,P3532)</f>
        <v>6</v>
      </c>
    </row>
    <row r="3533" spans="1:17" x14ac:dyDescent="0.2">
      <c r="A3533" s="16">
        <f>P3533</f>
        <v>1800183</v>
      </c>
      <c r="B3533">
        <v>2023</v>
      </c>
      <c r="C3533" t="s">
        <v>904</v>
      </c>
      <c r="D3533" t="s">
        <v>906</v>
      </c>
      <c r="E3533" t="s">
        <v>4439</v>
      </c>
      <c r="F3533" t="s">
        <v>861</v>
      </c>
      <c r="G3533" t="s">
        <v>387</v>
      </c>
      <c r="H3533" s="6">
        <v>110022</v>
      </c>
      <c r="I3533" s="6">
        <v>4.4992952813449556E-4</v>
      </c>
      <c r="J3533" s="6">
        <v>1109.9761459078006</v>
      </c>
      <c r="K3533" s="6">
        <v>0</v>
      </c>
      <c r="M3533" s="6">
        <f>SUM(H3533,J3533)</f>
        <v>111131.9761459078</v>
      </c>
      <c r="N3533" s="6">
        <f>K3533</f>
        <v>0</v>
      </c>
      <c r="O3533" s="6">
        <f>SUM(M3533:N3533)</f>
        <v>111131.9761459078</v>
      </c>
      <c r="P3533" s="8">
        <f>VLOOKUP(F3533,'LEAID Match'!$A$2:$B$436,2,FALSE)</f>
        <v>1800183</v>
      </c>
      <c r="Q3533" s="6">
        <f>COUNTIF($P$2:$P$3691,P3533)</f>
        <v>6</v>
      </c>
    </row>
    <row r="3534" spans="1:17" x14ac:dyDescent="0.2">
      <c r="A3534" s="16">
        <f>P3534</f>
        <v>1800177</v>
      </c>
      <c r="B3534">
        <v>2017</v>
      </c>
      <c r="C3534" t="s">
        <v>904</v>
      </c>
      <c r="D3534" t="s">
        <v>906</v>
      </c>
      <c r="E3534" t="s">
        <v>4440</v>
      </c>
      <c r="F3534" t="s">
        <v>862</v>
      </c>
      <c r="G3534" t="s">
        <v>386</v>
      </c>
      <c r="H3534" s="6">
        <v>692</v>
      </c>
      <c r="I3534" s="6">
        <v>3.0471720418231055E-6</v>
      </c>
      <c r="J3534" s="6">
        <v>13.788453489249552</v>
      </c>
      <c r="K3534" s="6">
        <v>2654.0868484279199</v>
      </c>
      <c r="M3534" s="6">
        <f>SUM(H3534,J3534)</f>
        <v>705.7884534892496</v>
      </c>
      <c r="N3534" s="6">
        <f>K3534</f>
        <v>2654.0868484279199</v>
      </c>
      <c r="O3534" s="6">
        <f>SUM(M3534:N3534)</f>
        <v>3359.8753019171695</v>
      </c>
      <c r="P3534" s="8">
        <f>VLOOKUP(F3534,'LEAID Match'!$A$2:$B$436,2,FALSE)</f>
        <v>1800177</v>
      </c>
      <c r="Q3534" s="6">
        <f>COUNTIF($P$2:$P$3691,P3534)</f>
        <v>7</v>
      </c>
    </row>
    <row r="3535" spans="1:17" x14ac:dyDescent="0.2">
      <c r="A3535" s="16">
        <f>P3535</f>
        <v>1800177</v>
      </c>
      <c r="B3535">
        <v>2018</v>
      </c>
      <c r="C3535" t="s">
        <v>904</v>
      </c>
      <c r="D3535" t="s">
        <v>906</v>
      </c>
      <c r="E3535" t="s">
        <v>4441</v>
      </c>
      <c r="F3535" t="s">
        <v>862</v>
      </c>
      <c r="G3535" t="s">
        <v>386</v>
      </c>
      <c r="H3535" s="6">
        <v>58</v>
      </c>
      <c r="I3535" s="6">
        <v>2.4605750752552039E-7</v>
      </c>
      <c r="J3535" s="6">
        <v>1.0255676913663689</v>
      </c>
      <c r="K3535" s="6">
        <v>0</v>
      </c>
      <c r="M3535" s="6">
        <f>SUM(H3535,J3535)</f>
        <v>59.025567691366369</v>
      </c>
      <c r="N3535" s="6">
        <f>K3535</f>
        <v>0</v>
      </c>
      <c r="O3535" s="6">
        <f>SUM(M3535:N3535)</f>
        <v>59.025567691366369</v>
      </c>
      <c r="P3535" s="8">
        <f>VLOOKUP(F3535,'LEAID Match'!$A$2:$B$436,2,FALSE)</f>
        <v>1800177</v>
      </c>
      <c r="Q3535" s="6">
        <f>COUNTIF($P$2:$P$3691,P3535)</f>
        <v>7</v>
      </c>
    </row>
    <row r="3536" spans="1:17" x14ac:dyDescent="0.2">
      <c r="A3536" s="16">
        <f>P3536</f>
        <v>1800177</v>
      </c>
      <c r="B3536">
        <v>2019</v>
      </c>
      <c r="C3536" t="s">
        <v>904</v>
      </c>
      <c r="D3536" t="s">
        <v>906</v>
      </c>
      <c r="E3536" t="s">
        <v>4442</v>
      </c>
      <c r="F3536" t="s">
        <v>862</v>
      </c>
      <c r="G3536" t="s">
        <v>386</v>
      </c>
      <c r="H3536" s="6" t="s">
        <v>187</v>
      </c>
      <c r="I3536" s="6">
        <v>0</v>
      </c>
      <c r="J3536" s="6">
        <v>0</v>
      </c>
      <c r="K3536" s="6">
        <v>0</v>
      </c>
      <c r="M3536" s="6">
        <f>SUM(H3536,J3536)</f>
        <v>0</v>
      </c>
      <c r="N3536" s="6">
        <f>K3536</f>
        <v>0</v>
      </c>
      <c r="O3536" s="6">
        <f>SUM(M3536:N3536)</f>
        <v>0</v>
      </c>
      <c r="P3536" s="8">
        <f>VLOOKUP(F3536,'LEAID Match'!$A$2:$B$436,2,FALSE)</f>
        <v>1800177</v>
      </c>
      <c r="Q3536" s="6">
        <f>COUNTIF($P$2:$P$3691,P3536)</f>
        <v>7</v>
      </c>
    </row>
    <row r="3537" spans="1:17" x14ac:dyDescent="0.2">
      <c r="A3537" s="16">
        <f>P3537</f>
        <v>1800177</v>
      </c>
      <c r="B3537">
        <v>2020</v>
      </c>
      <c r="C3537" t="s">
        <v>904</v>
      </c>
      <c r="D3537" t="s">
        <v>906</v>
      </c>
      <c r="E3537" t="s">
        <v>4443</v>
      </c>
      <c r="F3537" t="s">
        <v>862</v>
      </c>
      <c r="G3537" t="s">
        <v>386</v>
      </c>
      <c r="H3537" s="6">
        <v>2868</v>
      </c>
      <c r="I3537" s="6">
        <v>1.5196693699648964E-5</v>
      </c>
      <c r="J3537" s="6">
        <v>35.803410356372957</v>
      </c>
      <c r="K3537" s="6">
        <v>0</v>
      </c>
      <c r="M3537" s="6">
        <f>SUM(H3537,J3537)</f>
        <v>2903.8034103563728</v>
      </c>
      <c r="N3537" s="6">
        <f>K3537</f>
        <v>0</v>
      </c>
      <c r="O3537" s="6">
        <f>SUM(M3537:N3537)</f>
        <v>2903.8034103563728</v>
      </c>
      <c r="P3537" s="8">
        <f>VLOOKUP(F3537,'LEAID Match'!$A$2:$B$436,2,FALSE)</f>
        <v>1800177</v>
      </c>
      <c r="Q3537" s="6">
        <f>COUNTIF($P$2:$P$3691,P3537)</f>
        <v>7</v>
      </c>
    </row>
    <row r="3538" spans="1:17" x14ac:dyDescent="0.2">
      <c r="A3538" s="16">
        <f>P3538</f>
        <v>1800177</v>
      </c>
      <c r="B3538">
        <v>2021</v>
      </c>
      <c r="C3538" t="s">
        <v>904</v>
      </c>
      <c r="D3538" t="s">
        <v>906</v>
      </c>
      <c r="E3538" t="s">
        <v>4444</v>
      </c>
      <c r="F3538" t="s">
        <v>862</v>
      </c>
      <c r="G3538" t="s">
        <v>386</v>
      </c>
      <c r="H3538" s="6">
        <v>8591</v>
      </c>
      <c r="I3538" s="6">
        <v>4.2440338953810522E-5</v>
      </c>
      <c r="J3538" s="6">
        <v>95.660524001888916</v>
      </c>
      <c r="K3538" s="6">
        <v>0</v>
      </c>
      <c r="M3538" s="6">
        <f>SUM(H3538,J3538)</f>
        <v>8686.6605240018889</v>
      </c>
      <c r="N3538" s="6">
        <f>K3538</f>
        <v>0</v>
      </c>
      <c r="O3538" s="6">
        <f>SUM(M3538:N3538)</f>
        <v>8686.6605240018889</v>
      </c>
      <c r="P3538" s="8">
        <f>VLOOKUP(F3538,'LEAID Match'!$A$2:$B$436,2,FALSE)</f>
        <v>1800177</v>
      </c>
      <c r="Q3538" s="6">
        <f>COUNTIF($P$2:$P$3691,P3538)</f>
        <v>7</v>
      </c>
    </row>
    <row r="3539" spans="1:17" x14ac:dyDescent="0.2">
      <c r="A3539" s="16">
        <f>P3539</f>
        <v>1800177</v>
      </c>
      <c r="B3539">
        <v>2022</v>
      </c>
      <c r="C3539" t="s">
        <v>904</v>
      </c>
      <c r="D3539" t="s">
        <v>906</v>
      </c>
      <c r="E3539" t="s">
        <v>4445</v>
      </c>
      <c r="F3539" t="s">
        <v>862</v>
      </c>
      <c r="G3539" t="s">
        <v>386</v>
      </c>
      <c r="H3539" s="6">
        <v>5982</v>
      </c>
      <c r="I3539" s="6">
        <v>2.8403647761492471E-5</v>
      </c>
      <c r="J3539" s="6">
        <v>62.630043314090898</v>
      </c>
      <c r="K3539" s="6">
        <v>0</v>
      </c>
      <c r="M3539" s="6">
        <f>SUM(H3539,J3539)</f>
        <v>6044.6300433140905</v>
      </c>
      <c r="N3539" s="6">
        <f>K3539</f>
        <v>0</v>
      </c>
      <c r="O3539" s="6">
        <f>SUM(M3539:N3539)</f>
        <v>6044.6300433140905</v>
      </c>
      <c r="P3539" s="8">
        <f>VLOOKUP(F3539,'LEAID Match'!$A$2:$B$436,2,FALSE)</f>
        <v>1800177</v>
      </c>
      <c r="Q3539" s="6">
        <f>COUNTIF($P$2:$P$3691,P3539)</f>
        <v>7</v>
      </c>
    </row>
    <row r="3540" spans="1:17" x14ac:dyDescent="0.2">
      <c r="A3540" s="16">
        <f>P3540</f>
        <v>1800177</v>
      </c>
      <c r="B3540">
        <v>2023</v>
      </c>
      <c r="C3540" t="s">
        <v>904</v>
      </c>
      <c r="D3540" t="s">
        <v>906</v>
      </c>
      <c r="E3540" t="s">
        <v>4446</v>
      </c>
      <c r="F3540" t="s">
        <v>862</v>
      </c>
      <c r="G3540" t="s">
        <v>386</v>
      </c>
      <c r="H3540" s="6" t="s">
        <v>187</v>
      </c>
      <c r="I3540" s="6">
        <v>0</v>
      </c>
      <c r="J3540" s="6">
        <v>0</v>
      </c>
      <c r="K3540" s="6">
        <v>0</v>
      </c>
      <c r="M3540" s="6">
        <f>SUM(H3540,J3540)</f>
        <v>0</v>
      </c>
      <c r="N3540" s="6">
        <f>K3540</f>
        <v>0</v>
      </c>
      <c r="O3540" s="6">
        <f>SUM(M3540:N3540)</f>
        <v>0</v>
      </c>
      <c r="P3540" s="8">
        <f>VLOOKUP(F3540,'LEAID Match'!$A$2:$B$436,2,FALSE)</f>
        <v>1800177</v>
      </c>
      <c r="Q3540" s="6">
        <f>COUNTIF($P$2:$P$3691,P3540)</f>
        <v>7</v>
      </c>
    </row>
    <row r="3541" spans="1:17" x14ac:dyDescent="0.2">
      <c r="A3541" s="16">
        <f>P3541</f>
        <v>0</v>
      </c>
      <c r="B3541">
        <v>2018</v>
      </c>
      <c r="C3541" t="s">
        <v>904</v>
      </c>
      <c r="D3541" t="s">
        <v>906</v>
      </c>
      <c r="E3541" t="s">
        <v>4447</v>
      </c>
      <c r="F3541" t="s">
        <v>828</v>
      </c>
      <c r="G3541" t="s">
        <v>388</v>
      </c>
      <c r="H3541" s="6">
        <v>104192</v>
      </c>
      <c r="I3541" s="6">
        <v>4.4202110041550037E-4</v>
      </c>
      <c r="J3541" s="6">
        <v>1842.3439465318056</v>
      </c>
      <c r="K3541" s="6">
        <v>61408</v>
      </c>
      <c r="M3541" s="6">
        <f>SUM(H3541,J3541)</f>
        <v>106034.34394653181</v>
      </c>
      <c r="N3541" s="6">
        <f>K3541</f>
        <v>61408</v>
      </c>
      <c r="O3541" s="6">
        <f>SUM(M3541:N3541)</f>
        <v>167442.34394653182</v>
      </c>
      <c r="P3541" s="8">
        <f>VLOOKUP(F3541,'LEAID Match'!$A$2:$B$436,2,FALSE)</f>
        <v>0</v>
      </c>
      <c r="Q3541" s="6">
        <f>COUNTIF($P$2:$P$3691,P3541)</f>
        <v>371</v>
      </c>
    </row>
    <row r="3542" spans="1:17" x14ac:dyDescent="0.2">
      <c r="A3542" s="16">
        <f>P3542</f>
        <v>0</v>
      </c>
      <c r="B3542">
        <v>2019</v>
      </c>
      <c r="C3542" t="s">
        <v>904</v>
      </c>
      <c r="D3542" t="s">
        <v>906</v>
      </c>
      <c r="E3542" t="s">
        <v>4448</v>
      </c>
      <c r="F3542" t="s">
        <v>828</v>
      </c>
      <c r="G3542" t="s">
        <v>388</v>
      </c>
      <c r="H3542" s="6">
        <v>124654</v>
      </c>
      <c r="I3542" s="6">
        <v>3.1711909994774408E-4</v>
      </c>
      <c r="J3542" s="6">
        <v>1111.502445316843</v>
      </c>
      <c r="K3542" s="6">
        <v>299328.718440675</v>
      </c>
      <c r="M3542" s="6">
        <f>SUM(H3542,J3542)</f>
        <v>125765.50244531684</v>
      </c>
      <c r="N3542" s="6">
        <f>K3542</f>
        <v>299328.718440675</v>
      </c>
      <c r="O3542" s="6">
        <f>SUM(M3542:N3542)</f>
        <v>425094.22088599182</v>
      </c>
      <c r="P3542" s="8">
        <f>VLOOKUP(F3542,'LEAID Match'!$A$2:$B$436,2,FALSE)</f>
        <v>0</v>
      </c>
      <c r="Q3542" s="6">
        <f>COUNTIF($P$2:$P$3691,P3542)</f>
        <v>371</v>
      </c>
    </row>
    <row r="3543" spans="1:17" x14ac:dyDescent="0.2">
      <c r="A3543" s="16">
        <f>P3543</f>
        <v>0</v>
      </c>
      <c r="B3543">
        <v>2020</v>
      </c>
      <c r="C3543" t="s">
        <v>904</v>
      </c>
      <c r="D3543" t="s">
        <v>906</v>
      </c>
      <c r="E3543" t="s">
        <v>4449</v>
      </c>
      <c r="F3543" t="s">
        <v>828</v>
      </c>
      <c r="G3543" t="s">
        <v>388</v>
      </c>
      <c r="H3543" s="6">
        <v>105446</v>
      </c>
      <c r="I3543" s="6">
        <v>5.5872753272426245E-4</v>
      </c>
      <c r="J3543" s="6">
        <v>1316.3620670983623</v>
      </c>
      <c r="K3543" s="6">
        <v>124111</v>
      </c>
      <c r="M3543" s="6">
        <f>SUM(H3543,J3543)</f>
        <v>106762.36206709837</v>
      </c>
      <c r="N3543" s="6">
        <f>K3543</f>
        <v>124111</v>
      </c>
      <c r="O3543" s="6">
        <f>SUM(M3543:N3543)</f>
        <v>230873.36206709838</v>
      </c>
      <c r="P3543" s="8">
        <f>VLOOKUP(F3543,'LEAID Match'!$A$2:$B$436,2,FALSE)</f>
        <v>0</v>
      </c>
      <c r="Q3543" s="6">
        <f>COUNTIF($P$2:$P$3691,P3543)</f>
        <v>371</v>
      </c>
    </row>
    <row r="3544" spans="1:17" x14ac:dyDescent="0.2">
      <c r="A3544" s="16">
        <f>P3544</f>
        <v>0</v>
      </c>
      <c r="B3544">
        <v>2021</v>
      </c>
      <c r="C3544" t="s">
        <v>904</v>
      </c>
      <c r="D3544" t="s">
        <v>906</v>
      </c>
      <c r="E3544" t="s">
        <v>4450</v>
      </c>
      <c r="F3544" t="s">
        <v>828</v>
      </c>
      <c r="G3544" t="s">
        <v>388</v>
      </c>
      <c r="H3544" s="6">
        <v>108863</v>
      </c>
      <c r="I3544" s="6">
        <v>5.3779334414255327E-4</v>
      </c>
      <c r="J3544" s="6">
        <v>1212.186197697315</v>
      </c>
      <c r="K3544" s="6">
        <v>226010</v>
      </c>
      <c r="M3544" s="6">
        <f>SUM(H3544,J3544)</f>
        <v>110075.18619769732</v>
      </c>
      <c r="N3544" s="6">
        <f>K3544</f>
        <v>226010</v>
      </c>
      <c r="O3544" s="6">
        <f>SUM(M3544:N3544)</f>
        <v>336085.1861976973</v>
      </c>
      <c r="P3544" s="8">
        <f>VLOOKUP(F3544,'LEAID Match'!$A$2:$B$436,2,FALSE)</f>
        <v>0</v>
      </c>
      <c r="Q3544" s="6">
        <f>COUNTIF($P$2:$P$3691,P3544)</f>
        <v>371</v>
      </c>
    </row>
    <row r="3545" spans="1:17" x14ac:dyDescent="0.2">
      <c r="A3545" s="16">
        <f>P3545</f>
        <v>0</v>
      </c>
      <c r="B3545">
        <v>2022</v>
      </c>
      <c r="C3545" t="s">
        <v>904</v>
      </c>
      <c r="D3545" t="s">
        <v>906</v>
      </c>
      <c r="E3545" t="s">
        <v>4451</v>
      </c>
      <c r="F3545" t="s">
        <v>828</v>
      </c>
      <c r="G3545" t="s">
        <v>388</v>
      </c>
      <c r="H3545" s="6">
        <v>107616</v>
      </c>
      <c r="I3545" s="6">
        <v>5.1098076855579633E-4</v>
      </c>
      <c r="J3545" s="6">
        <v>1126.712594665531</v>
      </c>
      <c r="K3545" s="6">
        <v>264035</v>
      </c>
      <c r="M3545" s="6">
        <f>SUM(H3545,J3545)</f>
        <v>108742.71259466553</v>
      </c>
      <c r="N3545" s="6">
        <f>K3545</f>
        <v>264035</v>
      </c>
      <c r="O3545" s="6">
        <f>SUM(M3545:N3545)</f>
        <v>372777.71259466553</v>
      </c>
      <c r="P3545" s="8">
        <f>VLOOKUP(F3545,'LEAID Match'!$A$2:$B$436,2,FALSE)</f>
        <v>0</v>
      </c>
      <c r="Q3545" s="6">
        <f>COUNTIF($P$2:$P$3691,P3545)</f>
        <v>371</v>
      </c>
    </row>
    <row r="3546" spans="1:17" x14ac:dyDescent="0.2">
      <c r="A3546" s="16">
        <f>P3546</f>
        <v>0</v>
      </c>
      <c r="B3546">
        <v>2023</v>
      </c>
      <c r="C3546" t="s">
        <v>904</v>
      </c>
      <c r="D3546" t="s">
        <v>906</v>
      </c>
      <c r="E3546" t="s">
        <v>4452</v>
      </c>
      <c r="F3546" t="s">
        <v>828</v>
      </c>
      <c r="G3546" t="s">
        <v>388</v>
      </c>
      <c r="H3546" s="6">
        <v>158984</v>
      </c>
      <c r="I3546" s="6">
        <v>6.5015720584005599E-4</v>
      </c>
      <c r="J3546" s="6">
        <v>1603.9378268074181</v>
      </c>
      <c r="K3546" s="6">
        <v>1204858</v>
      </c>
      <c r="M3546" s="6">
        <f>SUM(H3546,J3546)</f>
        <v>160587.93782680741</v>
      </c>
      <c r="N3546" s="6">
        <f>K3546</f>
        <v>1204858</v>
      </c>
      <c r="O3546" s="6">
        <f>SUM(M3546:N3546)</f>
        <v>1365445.9378268074</v>
      </c>
      <c r="P3546" s="8">
        <f>VLOOKUP(F3546,'LEAID Match'!$A$2:$B$436,2,FALSE)</f>
        <v>0</v>
      </c>
      <c r="Q3546" s="6">
        <f>COUNTIF($P$2:$P$3691,P3546)</f>
        <v>371</v>
      </c>
    </row>
    <row r="3547" spans="1:17" x14ac:dyDescent="0.2">
      <c r="A3547" s="16">
        <f>P3547</f>
        <v>1800190</v>
      </c>
      <c r="B3547">
        <v>2018</v>
      </c>
      <c r="C3547" t="s">
        <v>904</v>
      </c>
      <c r="D3547" t="s">
        <v>906</v>
      </c>
      <c r="E3547" t="s">
        <v>4453</v>
      </c>
      <c r="F3547" t="s">
        <v>863</v>
      </c>
      <c r="G3547" t="s">
        <v>389</v>
      </c>
      <c r="H3547" s="6">
        <v>57822</v>
      </c>
      <c r="I3547" s="6">
        <v>2.4530236551966621E-4</v>
      </c>
      <c r="J3547" s="6">
        <v>1022.4202594859688</v>
      </c>
      <c r="K3547" s="6">
        <v>0</v>
      </c>
      <c r="M3547" s="6">
        <f>SUM(H3547,J3547)</f>
        <v>58844.420259485967</v>
      </c>
      <c r="N3547" s="6">
        <f>K3547</f>
        <v>0</v>
      </c>
      <c r="O3547" s="6">
        <f>SUM(M3547:N3547)</f>
        <v>58844.420259485967</v>
      </c>
      <c r="P3547" s="8">
        <f>VLOOKUP(F3547,'LEAID Match'!$A$2:$B$436,2,FALSE)</f>
        <v>1800190</v>
      </c>
      <c r="Q3547" s="6">
        <f>COUNTIF($P$2:$P$3691,P3547)</f>
        <v>6</v>
      </c>
    </row>
    <row r="3548" spans="1:17" x14ac:dyDescent="0.2">
      <c r="A3548" s="16">
        <f>P3548</f>
        <v>1800190</v>
      </c>
      <c r="B3548">
        <v>2019</v>
      </c>
      <c r="C3548" t="s">
        <v>904</v>
      </c>
      <c r="D3548" t="s">
        <v>906</v>
      </c>
      <c r="E3548" t="s">
        <v>4454</v>
      </c>
      <c r="F3548" t="s">
        <v>863</v>
      </c>
      <c r="G3548" t="s">
        <v>389</v>
      </c>
      <c r="H3548" s="6">
        <v>44838</v>
      </c>
      <c r="I3548" s="6">
        <v>1.1406762882424108E-4</v>
      </c>
      <c r="J3548" s="6">
        <v>399.80703902896499</v>
      </c>
      <c r="K3548" s="6">
        <v>107668.434847201</v>
      </c>
      <c r="M3548" s="6">
        <f>SUM(H3548,J3548)</f>
        <v>45237.807039028965</v>
      </c>
      <c r="N3548" s="6">
        <f>K3548</f>
        <v>107668.434847201</v>
      </c>
      <c r="O3548" s="6">
        <f>SUM(M3548:N3548)</f>
        <v>152906.24188622995</v>
      </c>
      <c r="P3548" s="8">
        <f>VLOOKUP(F3548,'LEAID Match'!$A$2:$B$436,2,FALSE)</f>
        <v>1800190</v>
      </c>
      <c r="Q3548" s="6">
        <f>COUNTIF($P$2:$P$3691,P3548)</f>
        <v>6</v>
      </c>
    </row>
    <row r="3549" spans="1:17" x14ac:dyDescent="0.2">
      <c r="A3549" s="16">
        <f>P3549</f>
        <v>1800190</v>
      </c>
      <c r="B3549">
        <v>2020</v>
      </c>
      <c r="C3549" t="s">
        <v>904</v>
      </c>
      <c r="D3549" t="s">
        <v>906</v>
      </c>
      <c r="E3549" t="s">
        <v>4455</v>
      </c>
      <c r="F3549" t="s">
        <v>863</v>
      </c>
      <c r="G3549" t="s">
        <v>389</v>
      </c>
      <c r="H3549" s="6">
        <v>15413</v>
      </c>
      <c r="I3549" s="6">
        <v>8.166898186634919E-5</v>
      </c>
      <c r="J3549" s="6">
        <v>192.4121212771187</v>
      </c>
      <c r="K3549" s="6">
        <v>0</v>
      </c>
      <c r="M3549" s="6">
        <f>SUM(H3549,J3549)</f>
        <v>15605.412121277119</v>
      </c>
      <c r="N3549" s="6">
        <f>K3549</f>
        <v>0</v>
      </c>
      <c r="O3549" s="6">
        <f>SUM(M3549:N3549)</f>
        <v>15605.412121277119</v>
      </c>
      <c r="P3549" s="8">
        <f>VLOOKUP(F3549,'LEAID Match'!$A$2:$B$436,2,FALSE)</f>
        <v>1800190</v>
      </c>
      <c r="Q3549" s="6">
        <f>COUNTIF($P$2:$P$3691,P3549)</f>
        <v>6</v>
      </c>
    </row>
    <row r="3550" spans="1:17" x14ac:dyDescent="0.2">
      <c r="A3550" s="16">
        <f>P3550</f>
        <v>1800190</v>
      </c>
      <c r="B3550">
        <v>2021</v>
      </c>
      <c r="C3550" t="s">
        <v>904</v>
      </c>
      <c r="D3550" t="s">
        <v>906</v>
      </c>
      <c r="E3550" t="s">
        <v>4456</v>
      </c>
      <c r="F3550" t="s">
        <v>863</v>
      </c>
      <c r="G3550" t="s">
        <v>389</v>
      </c>
      <c r="H3550" s="6">
        <v>8706</v>
      </c>
      <c r="I3550" s="6">
        <v>4.3008449648687512E-5</v>
      </c>
      <c r="J3550" s="6">
        <v>96.941045508141656</v>
      </c>
      <c r="K3550" s="6">
        <v>0</v>
      </c>
      <c r="M3550" s="6">
        <f>SUM(H3550,J3550)</f>
        <v>8802.9410455081415</v>
      </c>
      <c r="N3550" s="6">
        <f>K3550</f>
        <v>0</v>
      </c>
      <c r="O3550" s="6">
        <f>SUM(M3550:N3550)</f>
        <v>8802.9410455081415</v>
      </c>
      <c r="P3550" s="8">
        <f>VLOOKUP(F3550,'LEAID Match'!$A$2:$B$436,2,FALSE)</f>
        <v>1800190</v>
      </c>
      <c r="Q3550" s="6">
        <f>COUNTIF($P$2:$P$3691,P3550)</f>
        <v>6</v>
      </c>
    </row>
    <row r="3551" spans="1:17" x14ac:dyDescent="0.2">
      <c r="A3551" s="16">
        <f>P3551</f>
        <v>1800190</v>
      </c>
      <c r="B3551">
        <v>2022</v>
      </c>
      <c r="C3551" t="s">
        <v>904</v>
      </c>
      <c r="D3551" t="s">
        <v>906</v>
      </c>
      <c r="E3551" t="s">
        <v>4457</v>
      </c>
      <c r="F3551" t="s">
        <v>863</v>
      </c>
      <c r="G3551" t="s">
        <v>389</v>
      </c>
      <c r="H3551" s="6">
        <v>2740</v>
      </c>
      <c r="I3551" s="6">
        <v>1.3010029232111229E-5</v>
      </c>
      <c r="J3551" s="6">
        <v>28.687114456805261</v>
      </c>
      <c r="K3551" s="6">
        <v>0</v>
      </c>
      <c r="M3551" s="6">
        <f>SUM(H3551,J3551)</f>
        <v>2768.6871144568054</v>
      </c>
      <c r="N3551" s="6">
        <f>K3551</f>
        <v>0</v>
      </c>
      <c r="O3551" s="6">
        <f>SUM(M3551:N3551)</f>
        <v>2768.6871144568054</v>
      </c>
      <c r="P3551" s="8">
        <f>VLOOKUP(F3551,'LEAID Match'!$A$2:$B$436,2,FALSE)</f>
        <v>1800190</v>
      </c>
      <c r="Q3551" s="6">
        <f>COUNTIF($P$2:$P$3691,P3551)</f>
        <v>6</v>
      </c>
    </row>
    <row r="3552" spans="1:17" x14ac:dyDescent="0.2">
      <c r="A3552" s="16">
        <f>P3552</f>
        <v>1800190</v>
      </c>
      <c r="B3552">
        <v>2023</v>
      </c>
      <c r="C3552" t="s">
        <v>904</v>
      </c>
      <c r="D3552" t="s">
        <v>906</v>
      </c>
      <c r="E3552" t="s">
        <v>4458</v>
      </c>
      <c r="F3552" t="s">
        <v>863</v>
      </c>
      <c r="G3552" t="s">
        <v>389</v>
      </c>
      <c r="H3552" s="6">
        <v>1938</v>
      </c>
      <c r="I3552" s="6">
        <v>7.9253551610100931E-6</v>
      </c>
      <c r="J3552" s="6">
        <v>19.551851182211898</v>
      </c>
      <c r="K3552" s="6">
        <v>0</v>
      </c>
      <c r="M3552" s="6">
        <f>SUM(H3552,J3552)</f>
        <v>1957.551851182212</v>
      </c>
      <c r="N3552" s="6">
        <f>K3552</f>
        <v>0</v>
      </c>
      <c r="O3552" s="6">
        <f>SUM(M3552:N3552)</f>
        <v>1957.551851182212</v>
      </c>
      <c r="P3552" s="8">
        <f>VLOOKUP(F3552,'LEAID Match'!$A$2:$B$436,2,FALSE)</f>
        <v>1800190</v>
      </c>
      <c r="Q3552" s="6">
        <f>COUNTIF($P$2:$P$3691,P3552)</f>
        <v>6</v>
      </c>
    </row>
    <row r="3553" spans="1:17" x14ac:dyDescent="0.2">
      <c r="A3553" s="16">
        <f>P3553</f>
        <v>0</v>
      </c>
      <c r="B3553">
        <v>2018</v>
      </c>
      <c r="C3553" t="s">
        <v>904</v>
      </c>
      <c r="D3553" t="s">
        <v>906</v>
      </c>
      <c r="E3553" t="s">
        <v>4459</v>
      </c>
      <c r="F3553" t="s">
        <v>829</v>
      </c>
      <c r="G3553" t="s">
        <v>390</v>
      </c>
      <c r="H3553" s="6">
        <v>104283</v>
      </c>
      <c r="I3553" s="6">
        <v>4.4240715616006624E-4</v>
      </c>
      <c r="J3553" s="6">
        <v>1843.9530268751562</v>
      </c>
      <c r="K3553" s="6">
        <v>18358</v>
      </c>
      <c r="M3553" s="6">
        <f>SUM(H3553,J3553)</f>
        <v>106126.95302687516</v>
      </c>
      <c r="N3553" s="6">
        <f>K3553</f>
        <v>18358</v>
      </c>
      <c r="O3553" s="6">
        <f>SUM(M3553:N3553)</f>
        <v>124484.95302687516</v>
      </c>
      <c r="P3553" s="8">
        <f>VLOOKUP(F3553,'LEAID Match'!$A$2:$B$436,2,FALSE)</f>
        <v>0</v>
      </c>
      <c r="Q3553" s="6">
        <f>COUNTIF($P$2:$P$3691,P3553)</f>
        <v>371</v>
      </c>
    </row>
    <row r="3554" spans="1:17" x14ac:dyDescent="0.2">
      <c r="A3554" s="16">
        <f>P3554</f>
        <v>0</v>
      </c>
      <c r="B3554">
        <v>2019</v>
      </c>
      <c r="C3554" t="s">
        <v>904</v>
      </c>
      <c r="D3554" t="s">
        <v>906</v>
      </c>
      <c r="E3554" t="s">
        <v>4460</v>
      </c>
      <c r="F3554" t="s">
        <v>829</v>
      </c>
      <c r="G3554" t="s">
        <v>390</v>
      </c>
      <c r="H3554" s="6">
        <v>125086</v>
      </c>
      <c r="I3554" s="6">
        <v>3.1821810560482225E-4</v>
      </c>
      <c r="J3554" s="6">
        <v>1115.3544601449021</v>
      </c>
      <c r="K3554" s="6">
        <v>300366.06988039101</v>
      </c>
      <c r="M3554" s="6">
        <f>SUM(H3554,J3554)</f>
        <v>126201.3544601449</v>
      </c>
      <c r="N3554" s="6">
        <f>K3554</f>
        <v>300366.06988039101</v>
      </c>
      <c r="O3554" s="6">
        <f>SUM(M3554:N3554)</f>
        <v>426567.42434053589</v>
      </c>
      <c r="P3554" s="8">
        <f>VLOOKUP(F3554,'LEAID Match'!$A$2:$B$436,2,FALSE)</f>
        <v>0</v>
      </c>
      <c r="Q3554" s="6">
        <f>COUNTIF($P$2:$P$3691,P3554)</f>
        <v>371</v>
      </c>
    </row>
    <row r="3555" spans="1:17" x14ac:dyDescent="0.2">
      <c r="A3555" s="16">
        <f>P3555</f>
        <v>0</v>
      </c>
      <c r="B3555">
        <v>2020</v>
      </c>
      <c r="C3555" t="s">
        <v>904</v>
      </c>
      <c r="D3555" t="s">
        <v>906</v>
      </c>
      <c r="E3555" t="s">
        <v>4461</v>
      </c>
      <c r="F3555" t="s">
        <v>829</v>
      </c>
      <c r="G3555" t="s">
        <v>390</v>
      </c>
      <c r="H3555" s="6">
        <v>101150</v>
      </c>
      <c r="I3555" s="6">
        <v>5.3596428442102253E-4</v>
      </c>
      <c r="J3555" s="6">
        <v>1262.7318540959291</v>
      </c>
      <c r="K3555" s="6">
        <v>27774</v>
      </c>
      <c r="M3555" s="6">
        <f>SUM(H3555,J3555)</f>
        <v>102412.73185409592</v>
      </c>
      <c r="N3555" s="6">
        <f>K3555</f>
        <v>27774</v>
      </c>
      <c r="O3555" s="6">
        <f>SUM(M3555:N3555)</f>
        <v>130186.73185409592</v>
      </c>
      <c r="P3555" s="8">
        <f>VLOOKUP(F3555,'LEAID Match'!$A$2:$B$436,2,FALSE)</f>
        <v>0</v>
      </c>
      <c r="Q3555" s="6">
        <f>COUNTIF($P$2:$P$3691,P3555)</f>
        <v>371</v>
      </c>
    </row>
    <row r="3556" spans="1:17" x14ac:dyDescent="0.2">
      <c r="A3556" s="16">
        <f>P3556</f>
        <v>0</v>
      </c>
      <c r="B3556">
        <v>2021</v>
      </c>
      <c r="C3556" t="s">
        <v>904</v>
      </c>
      <c r="D3556" t="s">
        <v>906</v>
      </c>
      <c r="E3556" t="s">
        <v>4462</v>
      </c>
      <c r="F3556" t="s">
        <v>829</v>
      </c>
      <c r="G3556" t="s">
        <v>390</v>
      </c>
      <c r="H3556" s="6">
        <v>112747</v>
      </c>
      <c r="I3556" s="6">
        <v>5.5698066535039869E-4</v>
      </c>
      <c r="J3556" s="6">
        <v>1255.4344196997986</v>
      </c>
      <c r="K3556" s="6">
        <v>54505</v>
      </c>
      <c r="M3556" s="6">
        <f>SUM(H3556,J3556)</f>
        <v>114002.4344196998</v>
      </c>
      <c r="N3556" s="6">
        <f>K3556</f>
        <v>54505</v>
      </c>
      <c r="O3556" s="6">
        <f>SUM(M3556:N3556)</f>
        <v>168507.4344196998</v>
      </c>
      <c r="P3556" s="8">
        <f>VLOOKUP(F3556,'LEAID Match'!$A$2:$B$436,2,FALSE)</f>
        <v>0</v>
      </c>
      <c r="Q3556" s="6">
        <f>COUNTIF($P$2:$P$3691,P3556)</f>
        <v>371</v>
      </c>
    </row>
    <row r="3557" spans="1:17" x14ac:dyDescent="0.2">
      <c r="A3557" s="16">
        <f>P3557</f>
        <v>0</v>
      </c>
      <c r="B3557">
        <v>2022</v>
      </c>
      <c r="C3557" t="s">
        <v>904</v>
      </c>
      <c r="D3557" t="s">
        <v>906</v>
      </c>
      <c r="E3557" t="s">
        <v>4463</v>
      </c>
      <c r="F3557" t="s">
        <v>829</v>
      </c>
      <c r="G3557" t="s">
        <v>390</v>
      </c>
      <c r="H3557" s="6">
        <v>118115</v>
      </c>
      <c r="I3557" s="6">
        <v>5.6083197180686786E-4</v>
      </c>
      <c r="J3557" s="6">
        <v>1236.6344978341435</v>
      </c>
      <c r="K3557" s="6">
        <v>65427</v>
      </c>
      <c r="M3557" s="6">
        <f>SUM(H3557,J3557)</f>
        <v>119351.63449783414</v>
      </c>
      <c r="N3557" s="6">
        <f>K3557</f>
        <v>65427</v>
      </c>
      <c r="O3557" s="6">
        <f>SUM(M3557:N3557)</f>
        <v>184778.63449783414</v>
      </c>
      <c r="P3557" s="8">
        <f>VLOOKUP(F3557,'LEAID Match'!$A$2:$B$436,2,FALSE)</f>
        <v>0</v>
      </c>
      <c r="Q3557" s="6">
        <f>COUNTIF($P$2:$P$3691,P3557)</f>
        <v>371</v>
      </c>
    </row>
    <row r="3558" spans="1:17" x14ac:dyDescent="0.2">
      <c r="A3558" s="16">
        <f>P3558</f>
        <v>0</v>
      </c>
      <c r="B3558">
        <v>2023</v>
      </c>
      <c r="C3558" t="s">
        <v>904</v>
      </c>
      <c r="D3558" t="s">
        <v>906</v>
      </c>
      <c r="E3558" t="s">
        <v>4464</v>
      </c>
      <c r="F3558" t="s">
        <v>829</v>
      </c>
      <c r="G3558" t="s">
        <v>390</v>
      </c>
      <c r="H3558" s="6">
        <v>157511</v>
      </c>
      <c r="I3558" s="6">
        <v>6.4413344518362268E-4</v>
      </c>
      <c r="J3558" s="6">
        <v>1589.0772092679972</v>
      </c>
      <c r="K3558" s="6">
        <v>451028</v>
      </c>
      <c r="M3558" s="6">
        <f>SUM(H3558,J3558)</f>
        <v>159100.077209268</v>
      </c>
      <c r="N3558" s="6">
        <f>K3558</f>
        <v>451028</v>
      </c>
      <c r="O3558" s="6">
        <f>SUM(M3558:N3558)</f>
        <v>610128.077209268</v>
      </c>
      <c r="P3558" s="8">
        <f>VLOOKUP(F3558,'LEAID Match'!$A$2:$B$436,2,FALSE)</f>
        <v>0</v>
      </c>
      <c r="Q3558" s="6">
        <f>COUNTIF($P$2:$P$3691,P3558)</f>
        <v>371</v>
      </c>
    </row>
    <row r="3559" spans="1:17" x14ac:dyDescent="0.2">
      <c r="A3559" s="16">
        <f>P3559</f>
        <v>1800189</v>
      </c>
      <c r="B3559">
        <v>2018</v>
      </c>
      <c r="C3559" t="s">
        <v>904</v>
      </c>
      <c r="D3559" t="s">
        <v>906</v>
      </c>
      <c r="E3559" t="s">
        <v>4465</v>
      </c>
      <c r="F3559" t="s">
        <v>864</v>
      </c>
      <c r="G3559" t="s">
        <v>391</v>
      </c>
      <c r="H3559" s="6">
        <v>15278</v>
      </c>
      <c r="I3559" s="6">
        <v>6.4814941378877594E-5</v>
      </c>
      <c r="J3559" s="6">
        <v>270.1486756671618</v>
      </c>
      <c r="K3559" s="6">
        <v>0</v>
      </c>
      <c r="M3559" s="6">
        <f>SUM(H3559,J3559)</f>
        <v>15548.148675667162</v>
      </c>
      <c r="N3559" s="6">
        <f>K3559</f>
        <v>0</v>
      </c>
      <c r="O3559" s="6">
        <f>SUM(M3559:N3559)</f>
        <v>15548.148675667162</v>
      </c>
      <c r="P3559" s="8">
        <f>VLOOKUP(F3559,'LEAID Match'!$A$2:$B$436,2,FALSE)</f>
        <v>1800189</v>
      </c>
      <c r="Q3559" s="6">
        <f>COUNTIF($P$2:$P$3691,P3559)</f>
        <v>6</v>
      </c>
    </row>
    <row r="3560" spans="1:17" x14ac:dyDescent="0.2">
      <c r="A3560" s="16">
        <f>P3560</f>
        <v>1800189</v>
      </c>
      <c r="B3560">
        <v>2019</v>
      </c>
      <c r="C3560" t="s">
        <v>904</v>
      </c>
      <c r="D3560" t="s">
        <v>906</v>
      </c>
      <c r="E3560" t="s">
        <v>4466</v>
      </c>
      <c r="F3560" t="s">
        <v>864</v>
      </c>
      <c r="G3560" t="s">
        <v>391</v>
      </c>
      <c r="H3560" s="6">
        <v>17837</v>
      </c>
      <c r="I3560" s="6">
        <v>4.5377231262277269E-5</v>
      </c>
      <c r="J3560" s="6">
        <v>159.04719557428183</v>
      </c>
      <c r="K3560" s="6">
        <v>42831.568588463502</v>
      </c>
      <c r="M3560" s="6">
        <f>SUM(H3560,J3560)</f>
        <v>17996.047195574283</v>
      </c>
      <c r="N3560" s="6">
        <f>K3560</f>
        <v>42831.568588463502</v>
      </c>
      <c r="O3560" s="6">
        <f>SUM(M3560:N3560)</f>
        <v>60827.615784037785</v>
      </c>
      <c r="P3560" s="8">
        <f>VLOOKUP(F3560,'LEAID Match'!$A$2:$B$436,2,FALSE)</f>
        <v>1800189</v>
      </c>
      <c r="Q3560" s="6">
        <f>COUNTIF($P$2:$P$3691,P3560)</f>
        <v>6</v>
      </c>
    </row>
    <row r="3561" spans="1:17" x14ac:dyDescent="0.2">
      <c r="A3561" s="16">
        <f>P3561</f>
        <v>1800189</v>
      </c>
      <c r="B3561">
        <v>2020</v>
      </c>
      <c r="C3561" t="s">
        <v>904</v>
      </c>
      <c r="D3561" t="s">
        <v>906</v>
      </c>
      <c r="E3561" t="s">
        <v>4467</v>
      </c>
      <c r="F3561" t="s">
        <v>864</v>
      </c>
      <c r="G3561" t="s">
        <v>391</v>
      </c>
      <c r="H3561" s="6">
        <v>13602</v>
      </c>
      <c r="I3561" s="6">
        <v>7.207302221151507E-5</v>
      </c>
      <c r="J3561" s="6">
        <v>169.80404033032951</v>
      </c>
      <c r="K3561" s="6">
        <v>0</v>
      </c>
      <c r="M3561" s="6">
        <f>SUM(H3561,J3561)</f>
        <v>13771.804040330329</v>
      </c>
      <c r="N3561" s="6">
        <f>K3561</f>
        <v>0</v>
      </c>
      <c r="O3561" s="6">
        <f>SUM(M3561:N3561)</f>
        <v>13771.804040330329</v>
      </c>
      <c r="P3561" s="8">
        <f>VLOOKUP(F3561,'LEAID Match'!$A$2:$B$436,2,FALSE)</f>
        <v>1800189</v>
      </c>
      <c r="Q3561" s="6">
        <f>COUNTIF($P$2:$P$3691,P3561)</f>
        <v>6</v>
      </c>
    </row>
    <row r="3562" spans="1:17" x14ac:dyDescent="0.2">
      <c r="A3562" s="16">
        <f>P3562</f>
        <v>1800189</v>
      </c>
      <c r="B3562">
        <v>2021</v>
      </c>
      <c r="C3562" t="s">
        <v>904</v>
      </c>
      <c r="D3562" t="s">
        <v>906</v>
      </c>
      <c r="E3562" t="s">
        <v>4468</v>
      </c>
      <c r="F3562" t="s">
        <v>864</v>
      </c>
      <c r="G3562" t="s">
        <v>391</v>
      </c>
      <c r="H3562" s="6">
        <v>19453</v>
      </c>
      <c r="I3562" s="6">
        <v>9.609962910819184E-5</v>
      </c>
      <c r="J3562" s="6">
        <v>216.60856400986441</v>
      </c>
      <c r="K3562" s="6">
        <v>0</v>
      </c>
      <c r="M3562" s="6">
        <f>SUM(H3562,J3562)</f>
        <v>19669.608564009864</v>
      </c>
      <c r="N3562" s="6">
        <f>K3562</f>
        <v>0</v>
      </c>
      <c r="O3562" s="6">
        <f>SUM(M3562:N3562)</f>
        <v>19669.608564009864</v>
      </c>
      <c r="P3562" s="8">
        <f>VLOOKUP(F3562,'LEAID Match'!$A$2:$B$436,2,FALSE)</f>
        <v>1800189</v>
      </c>
      <c r="Q3562" s="6">
        <f>COUNTIF($P$2:$P$3691,P3562)</f>
        <v>6</v>
      </c>
    </row>
    <row r="3563" spans="1:17" x14ac:dyDescent="0.2">
      <c r="A3563" s="16">
        <f>P3563</f>
        <v>1800189</v>
      </c>
      <c r="B3563">
        <v>2022</v>
      </c>
      <c r="C3563" t="s">
        <v>904</v>
      </c>
      <c r="D3563" t="s">
        <v>906</v>
      </c>
      <c r="E3563" t="s">
        <v>4469</v>
      </c>
      <c r="F3563" t="s">
        <v>864</v>
      </c>
      <c r="G3563" t="s">
        <v>391</v>
      </c>
      <c r="H3563" s="6">
        <v>16931</v>
      </c>
      <c r="I3563" s="6">
        <v>8.0391534645574893E-5</v>
      </c>
      <c r="J3563" s="6">
        <v>177.26333389349264</v>
      </c>
      <c r="K3563" s="6">
        <v>0</v>
      </c>
      <c r="M3563" s="6">
        <f>SUM(H3563,J3563)</f>
        <v>17108.263333893494</v>
      </c>
      <c r="N3563" s="6">
        <f>K3563</f>
        <v>0</v>
      </c>
      <c r="O3563" s="6">
        <f>SUM(M3563:N3563)</f>
        <v>17108.263333893494</v>
      </c>
      <c r="P3563" s="8">
        <f>VLOOKUP(F3563,'LEAID Match'!$A$2:$B$436,2,FALSE)</f>
        <v>1800189</v>
      </c>
      <c r="Q3563" s="6">
        <f>COUNTIF($P$2:$P$3691,P3563)</f>
        <v>6</v>
      </c>
    </row>
    <row r="3564" spans="1:17" x14ac:dyDescent="0.2">
      <c r="A3564" s="16">
        <f>P3564</f>
        <v>1800189</v>
      </c>
      <c r="B3564">
        <v>2023</v>
      </c>
      <c r="C3564" t="s">
        <v>904</v>
      </c>
      <c r="D3564" t="s">
        <v>906</v>
      </c>
      <c r="E3564" t="s">
        <v>4470</v>
      </c>
      <c r="F3564" t="s">
        <v>864</v>
      </c>
      <c r="G3564" t="s">
        <v>391</v>
      </c>
      <c r="H3564" s="6">
        <v>20760</v>
      </c>
      <c r="I3564" s="6">
        <v>8.4896993365618951E-5</v>
      </c>
      <c r="J3564" s="6">
        <v>209.44088263298195</v>
      </c>
      <c r="K3564" s="6">
        <v>0</v>
      </c>
      <c r="M3564" s="6">
        <f>SUM(H3564,J3564)</f>
        <v>20969.440882632982</v>
      </c>
      <c r="N3564" s="6">
        <f>K3564</f>
        <v>0</v>
      </c>
      <c r="O3564" s="6">
        <f>SUM(M3564:N3564)</f>
        <v>20969.440882632982</v>
      </c>
      <c r="P3564" s="8">
        <f>VLOOKUP(F3564,'LEAID Match'!$A$2:$B$436,2,FALSE)</f>
        <v>1800189</v>
      </c>
      <c r="Q3564" s="6">
        <f>COUNTIF($P$2:$P$3691,P3564)</f>
        <v>6</v>
      </c>
    </row>
    <row r="3565" spans="1:17" x14ac:dyDescent="0.2">
      <c r="A3565" s="16">
        <f>P3565</f>
        <v>1800129</v>
      </c>
      <c r="B3565">
        <v>2018</v>
      </c>
      <c r="C3565" t="s">
        <v>904</v>
      </c>
      <c r="D3565" t="s">
        <v>906</v>
      </c>
      <c r="E3565" t="s">
        <v>4471</v>
      </c>
      <c r="F3565" t="s">
        <v>865</v>
      </c>
      <c r="G3565" t="s">
        <v>392</v>
      </c>
      <c r="H3565" s="6">
        <v>2107</v>
      </c>
      <c r="I3565" s="6">
        <v>8.9386753164874381E-6</v>
      </c>
      <c r="J3565" s="6">
        <v>37.256398719119645</v>
      </c>
      <c r="K3565" s="6">
        <v>0</v>
      </c>
      <c r="M3565" s="6">
        <f>SUM(H3565,J3565)</f>
        <v>2144.2563987191197</v>
      </c>
      <c r="N3565" s="6">
        <f>K3565</f>
        <v>0</v>
      </c>
      <c r="O3565" s="6">
        <f>SUM(M3565:N3565)</f>
        <v>2144.2563987191197</v>
      </c>
      <c r="P3565" s="8">
        <f>VLOOKUP(F3565,'LEAID Match'!$A$2:$B$436,2,FALSE)</f>
        <v>1800129</v>
      </c>
      <c r="Q3565" s="6">
        <f>COUNTIF($P$2:$P$3691,P3565)</f>
        <v>6</v>
      </c>
    </row>
    <row r="3566" spans="1:17" x14ac:dyDescent="0.2">
      <c r="A3566" s="16">
        <f>P3566</f>
        <v>1800129</v>
      </c>
      <c r="B3566">
        <v>2019</v>
      </c>
      <c r="C3566" t="s">
        <v>904</v>
      </c>
      <c r="D3566" t="s">
        <v>906</v>
      </c>
      <c r="E3566" t="s">
        <v>4472</v>
      </c>
      <c r="F3566" t="s">
        <v>865</v>
      </c>
      <c r="G3566" t="s">
        <v>392</v>
      </c>
      <c r="H3566" s="6">
        <v>10933</v>
      </c>
      <c r="I3566" s="6">
        <v>2.7813492705638695E-5</v>
      </c>
      <c r="J3566" s="6">
        <v>97.48629193326363</v>
      </c>
      <c r="K3566" s="6">
        <v>26253.155764852301</v>
      </c>
      <c r="M3566" s="6">
        <f>SUM(H3566,J3566)</f>
        <v>11030.486291933265</v>
      </c>
      <c r="N3566" s="6">
        <f>K3566</f>
        <v>26253.155764852301</v>
      </c>
      <c r="O3566" s="6">
        <f>SUM(M3566:N3566)</f>
        <v>37283.642056785568</v>
      </c>
      <c r="P3566" s="8">
        <f>VLOOKUP(F3566,'LEAID Match'!$A$2:$B$436,2,FALSE)</f>
        <v>1800129</v>
      </c>
      <c r="Q3566" s="6">
        <f>COUNTIF($P$2:$P$3691,P3566)</f>
        <v>6</v>
      </c>
    </row>
    <row r="3567" spans="1:17" x14ac:dyDescent="0.2">
      <c r="A3567" s="16">
        <f>P3567</f>
        <v>1800129</v>
      </c>
      <c r="B3567">
        <v>2020</v>
      </c>
      <c r="C3567" t="s">
        <v>904</v>
      </c>
      <c r="D3567" t="s">
        <v>906</v>
      </c>
      <c r="E3567" t="s">
        <v>4473</v>
      </c>
      <c r="F3567" t="s">
        <v>865</v>
      </c>
      <c r="G3567" t="s">
        <v>392</v>
      </c>
      <c r="H3567" s="6">
        <v>9468</v>
      </c>
      <c r="I3567" s="6">
        <v>5.0168164556581724E-5</v>
      </c>
      <c r="J3567" s="6">
        <v>118.19619569530654</v>
      </c>
      <c r="K3567" s="6">
        <v>0</v>
      </c>
      <c r="M3567" s="6">
        <f>SUM(H3567,J3567)</f>
        <v>9586.1961956953073</v>
      </c>
      <c r="N3567" s="6">
        <f>K3567</f>
        <v>0</v>
      </c>
      <c r="O3567" s="6">
        <f>SUM(M3567:N3567)</f>
        <v>9586.1961956953073</v>
      </c>
      <c r="P3567" s="8">
        <f>VLOOKUP(F3567,'LEAID Match'!$A$2:$B$436,2,FALSE)</f>
        <v>1800129</v>
      </c>
      <c r="Q3567" s="6">
        <f>COUNTIF($P$2:$P$3691,P3567)</f>
        <v>6</v>
      </c>
    </row>
    <row r="3568" spans="1:17" x14ac:dyDescent="0.2">
      <c r="A3568" s="16">
        <f>P3568</f>
        <v>1800129</v>
      </c>
      <c r="B3568">
        <v>2021</v>
      </c>
      <c r="C3568" t="s">
        <v>904</v>
      </c>
      <c r="D3568" t="s">
        <v>906</v>
      </c>
      <c r="E3568" t="s">
        <v>4474</v>
      </c>
      <c r="F3568" t="s">
        <v>865</v>
      </c>
      <c r="G3568" t="s">
        <v>392</v>
      </c>
      <c r="H3568" s="6">
        <v>8659</v>
      </c>
      <c r="I3568" s="6">
        <v>4.2776265277737784E-5</v>
      </c>
      <c r="J3568" s="6">
        <v>96.417701936020961</v>
      </c>
      <c r="K3568" s="6">
        <v>26693</v>
      </c>
      <c r="M3568" s="6">
        <f>SUM(H3568,J3568)</f>
        <v>8755.4177019360213</v>
      </c>
      <c r="N3568" s="6">
        <f>K3568</f>
        <v>26693</v>
      </c>
      <c r="O3568" s="6">
        <f>SUM(M3568:N3568)</f>
        <v>35448.417701936021</v>
      </c>
      <c r="P3568" s="8">
        <f>VLOOKUP(F3568,'LEAID Match'!$A$2:$B$436,2,FALSE)</f>
        <v>1800129</v>
      </c>
      <c r="Q3568" s="6">
        <f>COUNTIF($P$2:$P$3691,P3568)</f>
        <v>6</v>
      </c>
    </row>
    <row r="3569" spans="1:17" x14ac:dyDescent="0.2">
      <c r="A3569" s="16">
        <f>P3569</f>
        <v>1800129</v>
      </c>
      <c r="B3569">
        <v>2022</v>
      </c>
      <c r="C3569" t="s">
        <v>904</v>
      </c>
      <c r="D3569" t="s">
        <v>906</v>
      </c>
      <c r="E3569" t="s">
        <v>4475</v>
      </c>
      <c r="F3569" t="s">
        <v>865</v>
      </c>
      <c r="G3569" t="s">
        <v>392</v>
      </c>
      <c r="H3569" s="6">
        <v>4620</v>
      </c>
      <c r="I3569" s="6">
        <v>2.1936618632245939E-5</v>
      </c>
      <c r="J3569" s="6">
        <v>48.370244084102296</v>
      </c>
      <c r="K3569" s="6">
        <v>30853</v>
      </c>
      <c r="M3569" s="6">
        <f>SUM(H3569,J3569)</f>
        <v>4668.3702440841025</v>
      </c>
      <c r="N3569" s="6">
        <f>K3569</f>
        <v>30853</v>
      </c>
      <c r="O3569" s="6">
        <f>SUM(M3569:N3569)</f>
        <v>35521.370244084101</v>
      </c>
      <c r="P3569" s="8">
        <f>VLOOKUP(F3569,'LEAID Match'!$A$2:$B$436,2,FALSE)</f>
        <v>1800129</v>
      </c>
      <c r="Q3569" s="6">
        <f>COUNTIF($P$2:$P$3691,P3569)</f>
        <v>6</v>
      </c>
    </row>
    <row r="3570" spans="1:17" x14ac:dyDescent="0.2">
      <c r="A3570" s="16">
        <f>P3570</f>
        <v>1800129</v>
      </c>
      <c r="B3570">
        <v>2023</v>
      </c>
      <c r="C3570" t="s">
        <v>904</v>
      </c>
      <c r="D3570" t="s">
        <v>906</v>
      </c>
      <c r="E3570" t="s">
        <v>4476</v>
      </c>
      <c r="F3570" t="s">
        <v>865</v>
      </c>
      <c r="G3570" t="s">
        <v>392</v>
      </c>
      <c r="H3570" s="6">
        <v>1561</v>
      </c>
      <c r="I3570" s="6">
        <v>6.3836323046113279E-6</v>
      </c>
      <c r="J3570" s="6">
        <v>15.748420895476146</v>
      </c>
      <c r="K3570" s="6">
        <v>24140</v>
      </c>
      <c r="M3570" s="6">
        <f>SUM(H3570,J3570)</f>
        <v>1576.7484208954761</v>
      </c>
      <c r="N3570" s="6">
        <f>K3570</f>
        <v>24140</v>
      </c>
      <c r="O3570" s="6">
        <f>SUM(M3570:N3570)</f>
        <v>25716.748420895477</v>
      </c>
      <c r="P3570" s="8">
        <f>VLOOKUP(F3570,'LEAID Match'!$A$2:$B$436,2,FALSE)</f>
        <v>1800129</v>
      </c>
      <c r="Q3570" s="6">
        <f>COUNTIF($P$2:$P$3691,P3570)</f>
        <v>6</v>
      </c>
    </row>
    <row r="3571" spans="1:17" x14ac:dyDescent="0.2">
      <c r="A3571" s="16">
        <f>P3571</f>
        <v>0</v>
      </c>
      <c r="B3571">
        <v>2019</v>
      </c>
      <c r="C3571" t="s">
        <v>904</v>
      </c>
      <c r="D3571" t="s">
        <v>906</v>
      </c>
      <c r="E3571" t="s">
        <v>4477</v>
      </c>
      <c r="F3571" t="s">
        <v>869</v>
      </c>
      <c r="G3571" t="s">
        <v>393</v>
      </c>
      <c r="H3571" s="6">
        <v>12685</v>
      </c>
      <c r="I3571" s="6">
        <v>3.2270571203789157E-5</v>
      </c>
      <c r="J3571" s="6">
        <v>113.108352069281</v>
      </c>
      <c r="K3571" s="6">
        <v>30460.192159256501</v>
      </c>
      <c r="M3571" s="6">
        <f>SUM(H3571,J3571)</f>
        <v>12798.108352069281</v>
      </c>
      <c r="N3571" s="6">
        <f>K3571</f>
        <v>30460.192159256501</v>
      </c>
      <c r="O3571" s="6">
        <f>SUM(M3571:N3571)</f>
        <v>43258.300511325782</v>
      </c>
      <c r="P3571" s="8">
        <f>VLOOKUP(F3571,'LEAID Match'!$A$2:$B$436,2,FALSE)</f>
        <v>0</v>
      </c>
      <c r="Q3571" s="6">
        <f>COUNTIF($P$2:$P$3691,P3571)</f>
        <v>371</v>
      </c>
    </row>
    <row r="3572" spans="1:17" x14ac:dyDescent="0.2">
      <c r="A3572" s="16">
        <f>P3572</f>
        <v>0</v>
      </c>
      <c r="B3572">
        <v>2020</v>
      </c>
      <c r="C3572" t="s">
        <v>904</v>
      </c>
      <c r="D3572" t="s">
        <v>906</v>
      </c>
      <c r="E3572" t="s">
        <v>4478</v>
      </c>
      <c r="F3572" t="s">
        <v>869</v>
      </c>
      <c r="G3572" t="s">
        <v>393</v>
      </c>
      <c r="H3572" s="6">
        <v>11003</v>
      </c>
      <c r="I3572" s="6">
        <v>5.8301680884671388E-5</v>
      </c>
      <c r="J3572" s="6">
        <v>137.3587601642858</v>
      </c>
      <c r="K3572" s="6">
        <v>0</v>
      </c>
      <c r="M3572" s="6">
        <f>SUM(H3572,J3572)</f>
        <v>11140.358760164287</v>
      </c>
      <c r="N3572" s="6">
        <f>K3572</f>
        <v>0</v>
      </c>
      <c r="O3572" s="6">
        <f>SUM(M3572:N3572)</f>
        <v>11140.358760164287</v>
      </c>
      <c r="P3572" s="8">
        <f>VLOOKUP(F3572,'LEAID Match'!$A$2:$B$436,2,FALSE)</f>
        <v>0</v>
      </c>
      <c r="Q3572" s="6">
        <f>COUNTIF($P$2:$P$3691,P3572)</f>
        <v>371</v>
      </c>
    </row>
    <row r="3573" spans="1:17" x14ac:dyDescent="0.2">
      <c r="A3573" s="16">
        <f>P3573</f>
        <v>0</v>
      </c>
      <c r="B3573">
        <v>2021</v>
      </c>
      <c r="C3573" t="s">
        <v>904</v>
      </c>
      <c r="D3573" t="s">
        <v>906</v>
      </c>
      <c r="E3573" t="s">
        <v>4479</v>
      </c>
      <c r="F3573" t="s">
        <v>869</v>
      </c>
      <c r="G3573" t="s">
        <v>393</v>
      </c>
      <c r="H3573" s="6">
        <v>19123</v>
      </c>
      <c r="I3573" s="6">
        <v>9.4469398418544826E-5</v>
      </c>
      <c r="J3573" s="6">
        <v>212.93402403540003</v>
      </c>
      <c r="K3573" s="6">
        <v>0</v>
      </c>
      <c r="M3573" s="6">
        <f>SUM(H3573,J3573)</f>
        <v>19335.934024035399</v>
      </c>
      <c r="N3573" s="6">
        <f>K3573</f>
        <v>0</v>
      </c>
      <c r="O3573" s="6">
        <f>SUM(M3573:N3573)</f>
        <v>19335.934024035399</v>
      </c>
      <c r="P3573" s="8">
        <f>VLOOKUP(F3573,'LEAID Match'!$A$2:$B$436,2,FALSE)</f>
        <v>0</v>
      </c>
      <c r="Q3573" s="6">
        <f>COUNTIF($P$2:$P$3691,P3573)</f>
        <v>371</v>
      </c>
    </row>
    <row r="3574" spans="1:17" x14ac:dyDescent="0.2">
      <c r="A3574" s="16">
        <f>P3574</f>
        <v>0</v>
      </c>
      <c r="B3574">
        <v>2022</v>
      </c>
      <c r="C3574" t="s">
        <v>904</v>
      </c>
      <c r="D3574" t="s">
        <v>906</v>
      </c>
      <c r="E3574" t="s">
        <v>4480</v>
      </c>
      <c r="F3574" t="s">
        <v>869</v>
      </c>
      <c r="G3574" t="s">
        <v>393</v>
      </c>
      <c r="H3574" s="6">
        <v>27868</v>
      </c>
      <c r="I3574" s="6">
        <v>1.3232244329944369E-4</v>
      </c>
      <c r="J3574" s="6">
        <v>291.77098747527333</v>
      </c>
      <c r="K3574" s="6">
        <v>0</v>
      </c>
      <c r="M3574" s="6">
        <f>SUM(H3574,J3574)</f>
        <v>28159.770987475273</v>
      </c>
      <c r="N3574" s="6">
        <f>K3574</f>
        <v>0</v>
      </c>
      <c r="O3574" s="6">
        <f>SUM(M3574:N3574)</f>
        <v>28159.770987475273</v>
      </c>
      <c r="P3574" s="8">
        <f>VLOOKUP(F3574,'LEAID Match'!$A$2:$B$436,2,FALSE)</f>
        <v>0</v>
      </c>
      <c r="Q3574" s="6">
        <f>COUNTIF($P$2:$P$3691,P3574)</f>
        <v>371</v>
      </c>
    </row>
    <row r="3575" spans="1:17" x14ac:dyDescent="0.2">
      <c r="A3575" s="16">
        <f>P3575</f>
        <v>0</v>
      </c>
      <c r="B3575">
        <v>2023</v>
      </c>
      <c r="C3575" t="s">
        <v>904</v>
      </c>
      <c r="D3575" t="s">
        <v>906</v>
      </c>
      <c r="E3575" t="s">
        <v>4481</v>
      </c>
      <c r="F3575" t="s">
        <v>869</v>
      </c>
      <c r="G3575" t="s">
        <v>393</v>
      </c>
      <c r="H3575" s="6">
        <v>25429</v>
      </c>
      <c r="I3575" s="6">
        <v>1.0399063797178826E-4</v>
      </c>
      <c r="J3575" s="6">
        <v>256.54490387640163</v>
      </c>
      <c r="K3575" s="6">
        <v>0</v>
      </c>
      <c r="M3575" s="6">
        <f>SUM(H3575,J3575)</f>
        <v>25685.544903876402</v>
      </c>
      <c r="N3575" s="6">
        <f>K3575</f>
        <v>0</v>
      </c>
      <c r="O3575" s="6">
        <f>SUM(M3575:N3575)</f>
        <v>25685.544903876402</v>
      </c>
      <c r="P3575" s="8">
        <f>VLOOKUP(F3575,'LEAID Match'!$A$2:$B$436,2,FALSE)</f>
        <v>0</v>
      </c>
      <c r="Q3575" s="6">
        <f>COUNTIF($P$2:$P$3691,P3575)</f>
        <v>371</v>
      </c>
    </row>
    <row r="3576" spans="1:17" x14ac:dyDescent="0.2">
      <c r="A3576" s="16">
        <f>P3576</f>
        <v>0</v>
      </c>
      <c r="B3576">
        <v>2019</v>
      </c>
      <c r="C3576" t="s">
        <v>904</v>
      </c>
      <c r="D3576" t="s">
        <v>906</v>
      </c>
      <c r="E3576" t="s">
        <v>4482</v>
      </c>
      <c r="F3576" t="s">
        <v>870</v>
      </c>
      <c r="G3576" t="s">
        <v>394</v>
      </c>
      <c r="H3576" s="6">
        <v>85762</v>
      </c>
      <c r="I3576" s="6">
        <v>2.1817806287578758E-4</v>
      </c>
      <c r="J3576" s="6">
        <v>764.71411037963549</v>
      </c>
      <c r="K3576" s="6">
        <v>205938.27354845501</v>
      </c>
      <c r="M3576" s="6">
        <f>SUM(H3576,J3576)</f>
        <v>86526.714110379631</v>
      </c>
      <c r="N3576" s="6">
        <f>K3576</f>
        <v>205938.27354845501</v>
      </c>
      <c r="O3576" s="6">
        <f>SUM(M3576:N3576)</f>
        <v>292464.98765883467</v>
      </c>
      <c r="P3576" s="8">
        <f>VLOOKUP(F3576,'LEAID Match'!$A$2:$B$436,2,FALSE)</f>
        <v>0</v>
      </c>
      <c r="Q3576" s="6">
        <f>COUNTIF($P$2:$P$3691,P3576)</f>
        <v>371</v>
      </c>
    </row>
    <row r="3577" spans="1:17" x14ac:dyDescent="0.2">
      <c r="A3577" s="16">
        <f>P3577</f>
        <v>0</v>
      </c>
      <c r="B3577">
        <v>2020</v>
      </c>
      <c r="C3577" t="s">
        <v>904</v>
      </c>
      <c r="D3577" t="s">
        <v>906</v>
      </c>
      <c r="E3577" t="s">
        <v>4483</v>
      </c>
      <c r="F3577" t="s">
        <v>870</v>
      </c>
      <c r="G3577" t="s">
        <v>394</v>
      </c>
      <c r="H3577" s="6">
        <v>78817</v>
      </c>
      <c r="I3577" s="6">
        <v>4.1762824523194995E-4</v>
      </c>
      <c r="J3577" s="6">
        <v>983.93214576647404</v>
      </c>
      <c r="K3577" s="6">
        <v>28843</v>
      </c>
      <c r="M3577" s="6">
        <f>SUM(H3577,J3577)</f>
        <v>79800.932145766477</v>
      </c>
      <c r="N3577" s="6">
        <f>K3577</f>
        <v>28843</v>
      </c>
      <c r="O3577" s="6">
        <f>SUM(M3577:N3577)</f>
        <v>108643.93214576648</v>
      </c>
      <c r="P3577" s="8">
        <f>VLOOKUP(F3577,'LEAID Match'!$A$2:$B$436,2,FALSE)</f>
        <v>0</v>
      </c>
      <c r="Q3577" s="6">
        <f>COUNTIF($P$2:$P$3691,P3577)</f>
        <v>371</v>
      </c>
    </row>
    <row r="3578" spans="1:17" x14ac:dyDescent="0.2">
      <c r="A3578" s="16">
        <f>P3578</f>
        <v>0</v>
      </c>
      <c r="B3578">
        <v>2021</v>
      </c>
      <c r="C3578" t="s">
        <v>904</v>
      </c>
      <c r="D3578" t="s">
        <v>906</v>
      </c>
      <c r="E3578" t="s">
        <v>4484</v>
      </c>
      <c r="F3578" t="s">
        <v>870</v>
      </c>
      <c r="G3578" t="s">
        <v>394</v>
      </c>
      <c r="H3578" s="6">
        <v>85923</v>
      </c>
      <c r="I3578" s="6">
        <v>4.2446761074709129E-4</v>
      </c>
      <c r="J3578" s="6">
        <v>956.74999462394373</v>
      </c>
      <c r="K3578" s="6">
        <v>60578</v>
      </c>
      <c r="M3578" s="6">
        <f>SUM(H3578,J3578)</f>
        <v>86879.74999462394</v>
      </c>
      <c r="N3578" s="6">
        <f>K3578</f>
        <v>60578</v>
      </c>
      <c r="O3578" s="6">
        <f>SUM(M3578:N3578)</f>
        <v>147457.74999462394</v>
      </c>
      <c r="P3578" s="8">
        <f>VLOOKUP(F3578,'LEAID Match'!$A$2:$B$436,2,FALSE)</f>
        <v>0</v>
      </c>
      <c r="Q3578" s="6">
        <f>COUNTIF($P$2:$P$3691,P3578)</f>
        <v>371</v>
      </c>
    </row>
    <row r="3579" spans="1:17" x14ac:dyDescent="0.2">
      <c r="A3579" s="16">
        <f>P3579</f>
        <v>0</v>
      </c>
      <c r="B3579">
        <v>2022</v>
      </c>
      <c r="C3579" t="s">
        <v>904</v>
      </c>
      <c r="D3579" t="s">
        <v>906</v>
      </c>
      <c r="E3579" t="s">
        <v>4485</v>
      </c>
      <c r="F3579" t="s">
        <v>870</v>
      </c>
      <c r="G3579" t="s">
        <v>394</v>
      </c>
      <c r="H3579" s="6">
        <v>81933</v>
      </c>
      <c r="I3579" s="6">
        <v>3.8903311134108371E-4</v>
      </c>
      <c r="J3579" s="6">
        <v>857.81801050708953</v>
      </c>
      <c r="K3579" s="6">
        <v>7132</v>
      </c>
      <c r="M3579" s="6">
        <f>SUM(H3579,J3579)</f>
        <v>82790.818010507093</v>
      </c>
      <c r="N3579" s="6">
        <f>K3579</f>
        <v>7132</v>
      </c>
      <c r="O3579" s="6">
        <f>SUM(M3579:N3579)</f>
        <v>89922.818010507093</v>
      </c>
      <c r="P3579" s="8">
        <f>VLOOKUP(F3579,'LEAID Match'!$A$2:$B$436,2,FALSE)</f>
        <v>0</v>
      </c>
      <c r="Q3579" s="6">
        <f>COUNTIF($P$2:$P$3691,P3579)</f>
        <v>371</v>
      </c>
    </row>
    <row r="3580" spans="1:17" x14ac:dyDescent="0.2">
      <c r="A3580" s="16">
        <f>P3580</f>
        <v>0</v>
      </c>
      <c r="B3580">
        <v>2023</v>
      </c>
      <c r="C3580" t="s">
        <v>904</v>
      </c>
      <c r="D3580" t="s">
        <v>906</v>
      </c>
      <c r="E3580" t="s">
        <v>4486</v>
      </c>
      <c r="F3580" t="s">
        <v>870</v>
      </c>
      <c r="G3580" t="s">
        <v>394</v>
      </c>
      <c r="H3580" s="6">
        <v>98061</v>
      </c>
      <c r="I3580" s="6">
        <v>4.0101561013612523E-4</v>
      </c>
      <c r="J3580" s="6">
        <v>989.30551020582095</v>
      </c>
      <c r="K3580" s="6">
        <v>210480</v>
      </c>
      <c r="M3580" s="6">
        <f>SUM(H3580,J3580)</f>
        <v>99050.305510205828</v>
      </c>
      <c r="N3580" s="6">
        <f>K3580</f>
        <v>210480</v>
      </c>
      <c r="O3580" s="6">
        <f>SUM(M3580:N3580)</f>
        <v>309530.3055102058</v>
      </c>
      <c r="P3580" s="8">
        <f>VLOOKUP(F3580,'LEAID Match'!$A$2:$B$436,2,FALSE)</f>
        <v>0</v>
      </c>
      <c r="Q3580" s="6">
        <f>COUNTIF($P$2:$P$3691,P3580)</f>
        <v>371</v>
      </c>
    </row>
    <row r="3581" spans="1:17" x14ac:dyDescent="0.2">
      <c r="A3581" s="16">
        <f>P3581</f>
        <v>0</v>
      </c>
      <c r="B3581">
        <v>2019</v>
      </c>
      <c r="C3581" t="s">
        <v>904</v>
      </c>
      <c r="D3581" t="s">
        <v>906</v>
      </c>
      <c r="E3581" t="s">
        <v>4487</v>
      </c>
      <c r="F3581" t="s">
        <v>871</v>
      </c>
      <c r="G3581" t="s">
        <v>395</v>
      </c>
      <c r="H3581" s="6">
        <v>6369</v>
      </c>
      <c r="I3581" s="6">
        <v>1.620270145817368E-5</v>
      </c>
      <c r="J3581" s="6">
        <v>56.790468610898749</v>
      </c>
      <c r="K3581" s="6">
        <v>15293.729906370099</v>
      </c>
      <c r="M3581" s="6">
        <f>SUM(H3581,J3581)</f>
        <v>6425.7904686108986</v>
      </c>
      <c r="N3581" s="6">
        <f>K3581</f>
        <v>15293.729906370099</v>
      </c>
      <c r="O3581" s="6">
        <f>SUM(M3581:N3581)</f>
        <v>21719.520374980999</v>
      </c>
      <c r="P3581" s="8">
        <f>VLOOKUP(F3581,'LEAID Match'!$A$2:$B$436,2,FALSE)</f>
        <v>0</v>
      </c>
      <c r="Q3581" s="6">
        <f>COUNTIF($P$2:$P$3691,P3581)</f>
        <v>371</v>
      </c>
    </row>
    <row r="3582" spans="1:17" x14ac:dyDescent="0.2">
      <c r="A3582" s="16">
        <f>P3582</f>
        <v>0</v>
      </c>
      <c r="B3582">
        <v>2020</v>
      </c>
      <c r="C3582" t="s">
        <v>904</v>
      </c>
      <c r="D3582" t="s">
        <v>906</v>
      </c>
      <c r="E3582" t="s">
        <v>4488</v>
      </c>
      <c r="F3582" t="s">
        <v>871</v>
      </c>
      <c r="G3582" t="s">
        <v>395</v>
      </c>
      <c r="H3582" s="6">
        <v>8973</v>
      </c>
      <c r="I3582" s="6">
        <v>4.754530424231177E-5</v>
      </c>
      <c r="J3582" s="6">
        <v>112.01673679488653</v>
      </c>
      <c r="K3582" s="6">
        <v>0</v>
      </c>
      <c r="M3582" s="6">
        <f>SUM(H3582,J3582)</f>
        <v>9085.016736794887</v>
      </c>
      <c r="N3582" s="6">
        <f>K3582</f>
        <v>0</v>
      </c>
      <c r="O3582" s="6">
        <f>SUM(M3582:N3582)</f>
        <v>9085.016736794887</v>
      </c>
      <c r="P3582" s="8">
        <f>VLOOKUP(F3582,'LEAID Match'!$A$2:$B$436,2,FALSE)</f>
        <v>0</v>
      </c>
      <c r="Q3582" s="6">
        <f>COUNTIF($P$2:$P$3691,P3582)</f>
        <v>371</v>
      </c>
    </row>
    <row r="3583" spans="1:17" x14ac:dyDescent="0.2">
      <c r="A3583" s="16">
        <f>P3583</f>
        <v>0</v>
      </c>
      <c r="B3583">
        <v>2021</v>
      </c>
      <c r="C3583" t="s">
        <v>904</v>
      </c>
      <c r="D3583" t="s">
        <v>906</v>
      </c>
      <c r="E3583" t="s">
        <v>4489</v>
      </c>
      <c r="F3583" t="s">
        <v>871</v>
      </c>
      <c r="G3583" t="s">
        <v>395</v>
      </c>
      <c r="H3583" s="6">
        <v>4424</v>
      </c>
      <c r="I3583" s="6">
        <v>2.1854971427267807E-5</v>
      </c>
      <c r="J3583" s="6">
        <v>49.261105597061636</v>
      </c>
      <c r="K3583" s="6">
        <v>0</v>
      </c>
      <c r="M3583" s="6">
        <f>SUM(H3583,J3583)</f>
        <v>4473.2611055970619</v>
      </c>
      <c r="N3583" s="6">
        <f>K3583</f>
        <v>0</v>
      </c>
      <c r="O3583" s="6">
        <f>SUM(M3583:N3583)</f>
        <v>4473.2611055970619</v>
      </c>
      <c r="P3583" s="8">
        <f>VLOOKUP(F3583,'LEAID Match'!$A$2:$B$436,2,FALSE)</f>
        <v>0</v>
      </c>
      <c r="Q3583" s="6">
        <f>COUNTIF($P$2:$P$3691,P3583)</f>
        <v>371</v>
      </c>
    </row>
    <row r="3584" spans="1:17" x14ac:dyDescent="0.2">
      <c r="A3584" s="16">
        <f>P3584</f>
        <v>0</v>
      </c>
      <c r="B3584">
        <v>2022</v>
      </c>
      <c r="C3584" t="s">
        <v>904</v>
      </c>
      <c r="D3584" t="s">
        <v>906</v>
      </c>
      <c r="E3584" t="s">
        <v>4490</v>
      </c>
      <c r="F3584" t="s">
        <v>871</v>
      </c>
      <c r="G3584" t="s">
        <v>395</v>
      </c>
      <c r="H3584" s="6">
        <v>21739</v>
      </c>
      <c r="I3584" s="6">
        <v>1.0322081221783431E-4</v>
      </c>
      <c r="J3584" s="6">
        <v>227.60189094032464</v>
      </c>
      <c r="K3584" s="6">
        <v>97521</v>
      </c>
      <c r="M3584" s="6">
        <f>SUM(H3584,J3584)</f>
        <v>21966.601890940325</v>
      </c>
      <c r="N3584" s="6">
        <f>K3584</f>
        <v>97521</v>
      </c>
      <c r="O3584" s="6">
        <f>SUM(M3584:N3584)</f>
        <v>119487.60189094032</v>
      </c>
      <c r="P3584" s="8">
        <f>VLOOKUP(F3584,'LEAID Match'!$A$2:$B$436,2,FALSE)</f>
        <v>0</v>
      </c>
      <c r="Q3584" s="6">
        <f>COUNTIF($P$2:$P$3691,P3584)</f>
        <v>371</v>
      </c>
    </row>
    <row r="3585" spans="1:17" x14ac:dyDescent="0.2">
      <c r="A3585" s="16">
        <f>P3585</f>
        <v>0</v>
      </c>
      <c r="B3585">
        <v>2023</v>
      </c>
      <c r="C3585" t="s">
        <v>904</v>
      </c>
      <c r="D3585" t="s">
        <v>906</v>
      </c>
      <c r="E3585" t="s">
        <v>4491</v>
      </c>
      <c r="F3585" t="s">
        <v>871</v>
      </c>
      <c r="G3585" t="s">
        <v>395</v>
      </c>
      <c r="H3585" s="6">
        <v>16884</v>
      </c>
      <c r="I3585" s="6">
        <v>6.9046283043598761E-5</v>
      </c>
      <c r="J3585" s="6">
        <v>170.33718026855814</v>
      </c>
      <c r="K3585" s="6">
        <v>339224</v>
      </c>
      <c r="M3585" s="6">
        <f>SUM(H3585,J3585)</f>
        <v>17054.337180268558</v>
      </c>
      <c r="N3585" s="6">
        <f>K3585</f>
        <v>339224</v>
      </c>
      <c r="O3585" s="6">
        <f>SUM(M3585:N3585)</f>
        <v>356278.33718026854</v>
      </c>
      <c r="P3585" s="8">
        <f>VLOOKUP(F3585,'LEAID Match'!$A$2:$B$436,2,FALSE)</f>
        <v>0</v>
      </c>
      <c r="Q3585" s="6">
        <f>COUNTIF($P$2:$P$3691,P3585)</f>
        <v>371</v>
      </c>
    </row>
    <row r="3586" spans="1:17" x14ac:dyDescent="0.2">
      <c r="A3586" s="16">
        <f>P3586</f>
        <v>1800207</v>
      </c>
      <c r="B3586">
        <v>2020</v>
      </c>
      <c r="C3586" t="s">
        <v>904</v>
      </c>
      <c r="D3586" t="s">
        <v>906</v>
      </c>
      <c r="E3586" t="s">
        <v>4492</v>
      </c>
      <c r="F3586" t="s">
        <v>872</v>
      </c>
      <c r="G3586" t="s">
        <v>397</v>
      </c>
      <c r="H3586" s="6">
        <v>4231</v>
      </c>
      <c r="I3586" s="6">
        <v>2.2418832302376139E-5</v>
      </c>
      <c r="J3586" s="6">
        <v>52.818768904398183</v>
      </c>
      <c r="K3586" s="6">
        <v>0</v>
      </c>
      <c r="M3586" s="6">
        <f>SUM(H3586,J3586)</f>
        <v>4283.818768904398</v>
      </c>
      <c r="N3586" s="6">
        <f>K3586</f>
        <v>0</v>
      </c>
      <c r="O3586" s="6">
        <f>SUM(M3586:N3586)</f>
        <v>4283.818768904398</v>
      </c>
      <c r="P3586" s="8">
        <f>VLOOKUP(F3586,'LEAID Match'!$A$2:$B$436,2,FALSE)</f>
        <v>1800207</v>
      </c>
      <c r="Q3586" s="6">
        <f>COUNTIF($P$2:$P$3691,P3586)</f>
        <v>4</v>
      </c>
    </row>
    <row r="3587" spans="1:17" x14ac:dyDescent="0.2">
      <c r="A3587" s="16">
        <f>P3587</f>
        <v>1800207</v>
      </c>
      <c r="B3587">
        <v>2021</v>
      </c>
      <c r="C3587" t="s">
        <v>904</v>
      </c>
      <c r="D3587" t="s">
        <v>906</v>
      </c>
      <c r="E3587" t="s">
        <v>4493</v>
      </c>
      <c r="F3587" t="s">
        <v>872</v>
      </c>
      <c r="G3587" t="s">
        <v>397</v>
      </c>
      <c r="H3587" s="6">
        <v>7156</v>
      </c>
      <c r="I3587" s="6">
        <v>3.5351305500345488E-5</v>
      </c>
      <c r="J3587" s="6">
        <v>79.681842597778726</v>
      </c>
      <c r="K3587" s="6">
        <v>0</v>
      </c>
      <c r="M3587" s="6">
        <f>SUM(H3587,J3587)</f>
        <v>7235.681842597779</v>
      </c>
      <c r="N3587" s="6">
        <f>K3587</f>
        <v>0</v>
      </c>
      <c r="O3587" s="6">
        <f>SUM(M3587:N3587)</f>
        <v>7235.681842597779</v>
      </c>
      <c r="P3587" s="8">
        <f>VLOOKUP(F3587,'LEAID Match'!$A$2:$B$436,2,FALSE)</f>
        <v>1800207</v>
      </c>
      <c r="Q3587" s="6">
        <f>COUNTIF($P$2:$P$3691,P3587)</f>
        <v>4</v>
      </c>
    </row>
    <row r="3588" spans="1:17" x14ac:dyDescent="0.2">
      <c r="A3588" s="16">
        <f>P3588</f>
        <v>1800207</v>
      </c>
      <c r="B3588">
        <v>2022</v>
      </c>
      <c r="C3588" t="s">
        <v>904</v>
      </c>
      <c r="D3588" t="s">
        <v>906</v>
      </c>
      <c r="E3588" t="s">
        <v>4494</v>
      </c>
      <c r="F3588" t="s">
        <v>872</v>
      </c>
      <c r="G3588" t="s">
        <v>397</v>
      </c>
      <c r="H3588" s="6">
        <v>9385</v>
      </c>
      <c r="I3588" s="6">
        <v>4.4561724212906525E-5</v>
      </c>
      <c r="J3588" s="6">
        <v>98.258601889458888</v>
      </c>
      <c r="K3588" s="6">
        <v>0</v>
      </c>
      <c r="M3588" s="6">
        <f>SUM(H3588,J3588)</f>
        <v>9483.2586018894581</v>
      </c>
      <c r="N3588" s="6">
        <f>K3588</f>
        <v>0</v>
      </c>
      <c r="O3588" s="6">
        <f>SUM(M3588:N3588)</f>
        <v>9483.2586018894581</v>
      </c>
      <c r="P3588" s="8">
        <f>VLOOKUP(F3588,'LEAID Match'!$A$2:$B$436,2,FALSE)</f>
        <v>1800207</v>
      </c>
      <c r="Q3588" s="6">
        <f>COUNTIF($P$2:$P$3691,P3588)</f>
        <v>4</v>
      </c>
    </row>
    <row r="3589" spans="1:17" x14ac:dyDescent="0.2">
      <c r="A3589" s="16">
        <f>P3589</f>
        <v>1800207</v>
      </c>
      <c r="B3589">
        <v>2023</v>
      </c>
      <c r="C3589" t="s">
        <v>904</v>
      </c>
      <c r="D3589" t="s">
        <v>906</v>
      </c>
      <c r="E3589" t="s">
        <v>4495</v>
      </c>
      <c r="F3589" t="s">
        <v>872</v>
      </c>
      <c r="G3589" t="s">
        <v>397</v>
      </c>
      <c r="H3589" s="6">
        <v>24757</v>
      </c>
      <c r="I3589" s="6">
        <v>1.0124252720388382E-4</v>
      </c>
      <c r="J3589" s="6">
        <v>249.76531461198138</v>
      </c>
      <c r="K3589" s="6">
        <v>0</v>
      </c>
      <c r="M3589" s="6">
        <f>SUM(H3589,J3589)</f>
        <v>25006.765314611981</v>
      </c>
      <c r="N3589" s="6">
        <f>K3589</f>
        <v>0</v>
      </c>
      <c r="O3589" s="6">
        <f>SUM(M3589:N3589)</f>
        <v>25006.765314611981</v>
      </c>
      <c r="P3589" s="8">
        <f>VLOOKUP(F3589,'LEAID Match'!$A$2:$B$436,2,FALSE)</f>
        <v>1800207</v>
      </c>
      <c r="Q3589" s="6">
        <f>COUNTIF($P$2:$P$3691,P3589)</f>
        <v>4</v>
      </c>
    </row>
    <row r="3590" spans="1:17" x14ac:dyDescent="0.2">
      <c r="A3590" s="16">
        <f>P3590</f>
        <v>1800205</v>
      </c>
      <c r="B3590">
        <v>2020</v>
      </c>
      <c r="C3590" t="s">
        <v>904</v>
      </c>
      <c r="D3590" t="s">
        <v>906</v>
      </c>
      <c r="E3590" t="s">
        <v>4496</v>
      </c>
      <c r="F3590" t="s">
        <v>873</v>
      </c>
      <c r="G3590" t="s">
        <v>398</v>
      </c>
      <c r="H3590" s="6">
        <v>8201</v>
      </c>
      <c r="I3590" s="6">
        <v>4.3454701893591752E-5</v>
      </c>
      <c r="J3590" s="6">
        <v>102.37927766130217</v>
      </c>
      <c r="K3590" s="6">
        <v>0</v>
      </c>
      <c r="M3590" s="6">
        <f>SUM(H3590,J3590)</f>
        <v>8303.3792776613027</v>
      </c>
      <c r="N3590" s="6">
        <f>K3590</f>
        <v>0</v>
      </c>
      <c r="O3590" s="6">
        <f>SUM(M3590:N3590)</f>
        <v>8303.3792776613027</v>
      </c>
      <c r="P3590" s="8">
        <f>VLOOKUP(F3590,'LEAID Match'!$A$2:$B$436,2,FALSE)</f>
        <v>1800205</v>
      </c>
      <c r="Q3590" s="6">
        <f>COUNTIF($P$2:$P$3691,P3590)</f>
        <v>4</v>
      </c>
    </row>
    <row r="3591" spans="1:17" x14ac:dyDescent="0.2">
      <c r="A3591" s="16">
        <f>P3591</f>
        <v>1800205</v>
      </c>
      <c r="B3591">
        <v>2021</v>
      </c>
      <c r="C3591" t="s">
        <v>904</v>
      </c>
      <c r="D3591" t="s">
        <v>906</v>
      </c>
      <c r="E3591" t="s">
        <v>4497</v>
      </c>
      <c r="F3591" t="s">
        <v>873</v>
      </c>
      <c r="G3591" t="s">
        <v>398</v>
      </c>
      <c r="H3591" s="6">
        <v>12212</v>
      </c>
      <c r="I3591" s="6">
        <v>6.0328415702937272E-5</v>
      </c>
      <c r="J3591" s="6">
        <v>135.98024899442061</v>
      </c>
      <c r="K3591" s="6">
        <v>0</v>
      </c>
      <c r="M3591" s="6">
        <f>SUM(H3591,J3591)</f>
        <v>12347.980248994421</v>
      </c>
      <c r="N3591" s="6">
        <f>K3591</f>
        <v>0</v>
      </c>
      <c r="O3591" s="6">
        <f>SUM(M3591:N3591)</f>
        <v>12347.980248994421</v>
      </c>
      <c r="P3591" s="8">
        <f>VLOOKUP(F3591,'LEAID Match'!$A$2:$B$436,2,FALSE)</f>
        <v>1800205</v>
      </c>
      <c r="Q3591" s="6">
        <f>COUNTIF($P$2:$P$3691,P3591)</f>
        <v>4</v>
      </c>
    </row>
    <row r="3592" spans="1:17" x14ac:dyDescent="0.2">
      <c r="A3592" s="16">
        <f>P3592</f>
        <v>1800205</v>
      </c>
      <c r="B3592">
        <v>2022</v>
      </c>
      <c r="C3592" t="s">
        <v>904</v>
      </c>
      <c r="D3592" t="s">
        <v>906</v>
      </c>
      <c r="E3592" t="s">
        <v>4498</v>
      </c>
      <c r="F3592" t="s">
        <v>873</v>
      </c>
      <c r="G3592" t="s">
        <v>398</v>
      </c>
      <c r="H3592" s="6">
        <v>12557</v>
      </c>
      <c r="I3592" s="6">
        <v>5.9622969732708284E-5</v>
      </c>
      <c r="J3592" s="6">
        <v>131.46864826062176</v>
      </c>
      <c r="K3592" s="6">
        <v>0</v>
      </c>
      <c r="M3592" s="6">
        <f>SUM(H3592,J3592)</f>
        <v>12688.468648260621</v>
      </c>
      <c r="N3592" s="6">
        <f>K3592</f>
        <v>0</v>
      </c>
      <c r="O3592" s="6">
        <f>SUM(M3592:N3592)</f>
        <v>12688.468648260621</v>
      </c>
      <c r="P3592" s="8">
        <f>VLOOKUP(F3592,'LEAID Match'!$A$2:$B$436,2,FALSE)</f>
        <v>1800205</v>
      </c>
      <c r="Q3592" s="6">
        <f>COUNTIF($P$2:$P$3691,P3592)</f>
        <v>4</v>
      </c>
    </row>
    <row r="3593" spans="1:17" x14ac:dyDescent="0.2">
      <c r="A3593" s="16">
        <f>P3593</f>
        <v>1800205</v>
      </c>
      <c r="B3593">
        <v>2023</v>
      </c>
      <c r="C3593" t="s">
        <v>904</v>
      </c>
      <c r="D3593" t="s">
        <v>906</v>
      </c>
      <c r="E3593" t="s">
        <v>4499</v>
      </c>
      <c r="F3593" t="s">
        <v>873</v>
      </c>
      <c r="G3593" t="s">
        <v>398</v>
      </c>
      <c r="H3593" s="6">
        <v>7289</v>
      </c>
      <c r="I3593" s="6">
        <v>2.9808005040558597E-5</v>
      </c>
      <c r="J3593" s="6">
        <v>73.536348435058059</v>
      </c>
      <c r="K3593" s="6">
        <v>0</v>
      </c>
      <c r="M3593" s="6">
        <f>SUM(H3593,J3593)</f>
        <v>7362.5363484350582</v>
      </c>
      <c r="N3593" s="6">
        <f>K3593</f>
        <v>0</v>
      </c>
      <c r="O3593" s="6">
        <f>SUM(M3593:N3593)</f>
        <v>7362.5363484350582</v>
      </c>
      <c r="P3593" s="8">
        <f>VLOOKUP(F3593,'LEAID Match'!$A$2:$B$436,2,FALSE)</f>
        <v>1800205</v>
      </c>
      <c r="Q3593" s="6">
        <f>COUNTIF($P$2:$P$3691,P3593)</f>
        <v>4</v>
      </c>
    </row>
    <row r="3594" spans="1:17" x14ac:dyDescent="0.2">
      <c r="A3594" s="16">
        <f>P3594</f>
        <v>0</v>
      </c>
      <c r="B3594">
        <v>2021</v>
      </c>
      <c r="C3594" t="s">
        <v>904</v>
      </c>
      <c r="D3594" t="s">
        <v>906</v>
      </c>
      <c r="E3594" t="s">
        <v>4500</v>
      </c>
      <c r="F3594" t="s">
        <v>874</v>
      </c>
      <c r="G3594" t="s">
        <v>402</v>
      </c>
      <c r="H3594" s="6">
        <v>23965</v>
      </c>
      <c r="I3594" s="6">
        <v>1.1838932871936551E-4</v>
      </c>
      <c r="J3594" s="6">
        <v>266.84954693344986</v>
      </c>
      <c r="K3594" s="6">
        <v>72886</v>
      </c>
      <c r="M3594" s="6">
        <f>SUM(H3594,J3594)</f>
        <v>24231.849546933448</v>
      </c>
      <c r="N3594" s="6">
        <f>K3594</f>
        <v>72886</v>
      </c>
      <c r="O3594" s="6">
        <f>SUM(M3594:N3594)</f>
        <v>97117.849546933445</v>
      </c>
      <c r="P3594" s="8">
        <f>VLOOKUP(F3594,'LEAID Match'!$A$2:$B$436,2,FALSE)</f>
        <v>0</v>
      </c>
      <c r="Q3594" s="6">
        <f>COUNTIF($P$2:$P$3691,P3594)</f>
        <v>371</v>
      </c>
    </row>
    <row r="3595" spans="1:17" x14ac:dyDescent="0.2">
      <c r="A3595" s="16">
        <f>P3595</f>
        <v>0</v>
      </c>
      <c r="B3595">
        <v>2022</v>
      </c>
      <c r="C3595" t="s">
        <v>904</v>
      </c>
      <c r="D3595" t="s">
        <v>906</v>
      </c>
      <c r="E3595" t="s">
        <v>4501</v>
      </c>
      <c r="F3595" t="s">
        <v>874</v>
      </c>
      <c r="G3595" t="s">
        <v>402</v>
      </c>
      <c r="H3595" s="6">
        <v>39820</v>
      </c>
      <c r="I3595" s="6">
        <v>1.8907276059221501E-4</v>
      </c>
      <c r="J3595" s="6">
        <v>416.9054371058341</v>
      </c>
      <c r="K3595" s="6" t="s">
        <v>187</v>
      </c>
      <c r="M3595" s="6">
        <f>SUM(H3595,J3595)</f>
        <v>40236.905437105837</v>
      </c>
      <c r="N3595" s="6" t="str">
        <f>K3595</f>
        <v>-</v>
      </c>
      <c r="O3595" s="6">
        <f>SUM(M3595:N3595)</f>
        <v>40236.905437105837</v>
      </c>
      <c r="P3595" s="8">
        <f>VLOOKUP(F3595,'LEAID Match'!$A$2:$B$436,2,FALSE)</f>
        <v>0</v>
      </c>
      <c r="Q3595" s="6">
        <f>COUNTIF($P$2:$P$3691,P3595)</f>
        <v>371</v>
      </c>
    </row>
    <row r="3596" spans="1:17" x14ac:dyDescent="0.2">
      <c r="A3596" s="16">
        <f>P3596</f>
        <v>0</v>
      </c>
      <c r="B3596">
        <v>2023</v>
      </c>
      <c r="C3596" t="s">
        <v>904</v>
      </c>
      <c r="D3596" t="s">
        <v>906</v>
      </c>
      <c r="E3596" t="s">
        <v>4502</v>
      </c>
      <c r="F3596" t="s">
        <v>874</v>
      </c>
      <c r="G3596" t="s">
        <v>402</v>
      </c>
      <c r="H3596" s="6">
        <v>50037</v>
      </c>
      <c r="I3596" s="6">
        <v>2.0462383704409804E-4</v>
      </c>
      <c r="J3596" s="6">
        <v>504.80700598778986</v>
      </c>
      <c r="K3596" s="6" t="s">
        <v>187</v>
      </c>
      <c r="M3596" s="6">
        <f>SUM(H3596,J3596)</f>
        <v>50541.807005987786</v>
      </c>
      <c r="N3596" s="6" t="str">
        <f>K3596</f>
        <v>-</v>
      </c>
      <c r="O3596" s="6">
        <f>SUM(M3596:N3596)</f>
        <v>50541.807005987786</v>
      </c>
      <c r="P3596" s="8">
        <f>VLOOKUP(F3596,'LEAID Match'!$A$2:$B$436,2,FALSE)</f>
        <v>0</v>
      </c>
      <c r="Q3596" s="6">
        <f>COUNTIF($P$2:$P$3691,P3596)</f>
        <v>371</v>
      </c>
    </row>
    <row r="3597" spans="1:17" x14ac:dyDescent="0.2">
      <c r="A3597" s="16">
        <f>P3597</f>
        <v>1800225</v>
      </c>
      <c r="B3597">
        <v>2021</v>
      </c>
      <c r="C3597" t="s">
        <v>904</v>
      </c>
      <c r="D3597" t="s">
        <v>906</v>
      </c>
      <c r="E3597" t="s">
        <v>4503</v>
      </c>
      <c r="F3597" t="s">
        <v>875</v>
      </c>
      <c r="G3597" t="s">
        <v>403</v>
      </c>
      <c r="H3597" s="6">
        <v>34862</v>
      </c>
      <c r="I3597" s="6">
        <v>1.722215221287094E-4</v>
      </c>
      <c r="J3597" s="6">
        <v>388.18731087811096</v>
      </c>
      <c r="K3597" s="6">
        <v>78161</v>
      </c>
      <c r="M3597" s="6">
        <f>SUM(H3597,J3597)</f>
        <v>35250.187310878107</v>
      </c>
      <c r="N3597" s="6">
        <f>K3597</f>
        <v>78161</v>
      </c>
      <c r="O3597" s="6">
        <f>SUM(M3597:N3597)</f>
        <v>113411.1873108781</v>
      </c>
      <c r="P3597" s="8">
        <f>VLOOKUP(F3597,'LEAID Match'!$A$2:$B$436,2,FALSE)</f>
        <v>1800225</v>
      </c>
      <c r="Q3597" s="6">
        <f>COUNTIF($P$2:$P$3691,P3597)</f>
        <v>3</v>
      </c>
    </row>
    <row r="3598" spans="1:17" x14ac:dyDescent="0.2">
      <c r="A3598" s="16">
        <f>P3598</f>
        <v>1800225</v>
      </c>
      <c r="B3598">
        <v>2022</v>
      </c>
      <c r="C3598" t="s">
        <v>904</v>
      </c>
      <c r="D3598" t="s">
        <v>906</v>
      </c>
      <c r="E3598" t="s">
        <v>4504</v>
      </c>
      <c r="F3598" t="s">
        <v>875</v>
      </c>
      <c r="G3598" t="s">
        <v>403</v>
      </c>
      <c r="H3598" s="6">
        <v>32508</v>
      </c>
      <c r="I3598" s="6">
        <v>1.5435402564871234E-4</v>
      </c>
      <c r="J3598" s="6">
        <v>340.35062655541071</v>
      </c>
      <c r="K3598" s="6">
        <v>33334</v>
      </c>
      <c r="M3598" s="6">
        <f>SUM(H3598,J3598)</f>
        <v>32848.35062655541</v>
      </c>
      <c r="N3598" s="6">
        <f>K3598</f>
        <v>33334</v>
      </c>
      <c r="O3598" s="6">
        <f>SUM(M3598:N3598)</f>
        <v>66182.350626555417</v>
      </c>
      <c r="P3598" s="8">
        <f>VLOOKUP(F3598,'LEAID Match'!$A$2:$B$436,2,FALSE)</f>
        <v>1800225</v>
      </c>
      <c r="Q3598" s="6">
        <f>COUNTIF($P$2:$P$3691,P3598)</f>
        <v>3</v>
      </c>
    </row>
    <row r="3599" spans="1:17" x14ac:dyDescent="0.2">
      <c r="A3599" s="16">
        <f>P3599</f>
        <v>1800225</v>
      </c>
      <c r="B3599">
        <v>2023</v>
      </c>
      <c r="C3599" t="s">
        <v>904</v>
      </c>
      <c r="D3599" t="s">
        <v>906</v>
      </c>
      <c r="E3599" t="s">
        <v>4505</v>
      </c>
      <c r="F3599" t="s">
        <v>875</v>
      </c>
      <c r="G3599" t="s">
        <v>403</v>
      </c>
      <c r="H3599" s="6">
        <v>22173</v>
      </c>
      <c r="I3599" s="6">
        <v>9.0675386989203698E-5</v>
      </c>
      <c r="J3599" s="6">
        <v>223.69617970236553</v>
      </c>
      <c r="K3599" s="6">
        <v>4235</v>
      </c>
      <c r="M3599" s="6">
        <f>SUM(H3599,J3599)</f>
        <v>22396.696179702365</v>
      </c>
      <c r="N3599" s="6">
        <f>K3599</f>
        <v>4235</v>
      </c>
      <c r="O3599" s="6">
        <f>SUM(M3599:N3599)</f>
        <v>26631.696179702365</v>
      </c>
      <c r="P3599" s="8">
        <f>VLOOKUP(F3599,'LEAID Match'!$A$2:$B$436,2,FALSE)</f>
        <v>1800225</v>
      </c>
      <c r="Q3599" s="6">
        <f>COUNTIF($P$2:$P$3691,P3599)</f>
        <v>3</v>
      </c>
    </row>
    <row r="3600" spans="1:17" x14ac:dyDescent="0.2">
      <c r="A3600" s="16">
        <f>P3600</f>
        <v>0</v>
      </c>
      <c r="B3600">
        <v>2021</v>
      </c>
      <c r="C3600" t="s">
        <v>904</v>
      </c>
      <c r="D3600" t="s">
        <v>906</v>
      </c>
      <c r="E3600" t="s">
        <v>4506</v>
      </c>
      <c r="F3600" t="s">
        <v>876</v>
      </c>
      <c r="G3600" t="s">
        <v>404</v>
      </c>
      <c r="H3600" s="6">
        <v>67729</v>
      </c>
      <c r="I3600" s="6">
        <v>3.3458755872455275E-4</v>
      </c>
      <c r="J3600" s="6">
        <v>754.16035736514186</v>
      </c>
      <c r="K3600" s="6">
        <v>0</v>
      </c>
      <c r="M3600" s="6">
        <f>SUM(H3600,J3600)</f>
        <v>68483.160357365137</v>
      </c>
      <c r="N3600" s="6">
        <f>K3600</f>
        <v>0</v>
      </c>
      <c r="O3600" s="6">
        <f>SUM(M3600:N3600)</f>
        <v>68483.160357365137</v>
      </c>
      <c r="P3600" s="8">
        <f>VLOOKUP(F3600,'LEAID Match'!$A$2:$B$436,2,FALSE)</f>
        <v>0</v>
      </c>
      <c r="Q3600" s="6">
        <f>COUNTIF($P$2:$P$3691,P3600)</f>
        <v>371</v>
      </c>
    </row>
    <row r="3601" spans="1:17" x14ac:dyDescent="0.2">
      <c r="A3601" s="16">
        <f>P3601</f>
        <v>0</v>
      </c>
      <c r="B3601">
        <v>2022</v>
      </c>
      <c r="C3601" t="s">
        <v>904</v>
      </c>
      <c r="D3601" t="s">
        <v>906</v>
      </c>
      <c r="E3601" t="s">
        <v>4507</v>
      </c>
      <c r="F3601" t="s">
        <v>876</v>
      </c>
      <c r="G3601" t="s">
        <v>404</v>
      </c>
      <c r="H3601" s="6">
        <v>66815</v>
      </c>
      <c r="I3601" s="6">
        <v>3.1725003764361743E-4</v>
      </c>
      <c r="J3601" s="6">
        <v>699.53633300417641</v>
      </c>
      <c r="K3601" s="6">
        <v>0</v>
      </c>
      <c r="M3601" s="6">
        <f>SUM(H3601,J3601)</f>
        <v>67514.536333004173</v>
      </c>
      <c r="N3601" s="6">
        <f>K3601</f>
        <v>0</v>
      </c>
      <c r="O3601" s="6">
        <f>SUM(M3601:N3601)</f>
        <v>67514.536333004173</v>
      </c>
      <c r="P3601" s="8">
        <f>VLOOKUP(F3601,'LEAID Match'!$A$2:$B$436,2,FALSE)</f>
        <v>0</v>
      </c>
      <c r="Q3601" s="6">
        <f>COUNTIF($P$2:$P$3691,P3601)</f>
        <v>371</v>
      </c>
    </row>
    <row r="3602" spans="1:17" x14ac:dyDescent="0.2">
      <c r="A3602" s="16">
        <f>P3602</f>
        <v>0</v>
      </c>
      <c r="B3602">
        <v>2023</v>
      </c>
      <c r="C3602" t="s">
        <v>904</v>
      </c>
      <c r="D3602" t="s">
        <v>906</v>
      </c>
      <c r="E3602" t="s">
        <v>4508</v>
      </c>
      <c r="F3602" t="s">
        <v>876</v>
      </c>
      <c r="G3602" t="s">
        <v>404</v>
      </c>
      <c r="H3602" s="6">
        <v>82775</v>
      </c>
      <c r="I3602" s="6">
        <v>3.3850426906739445E-4</v>
      </c>
      <c r="J3602" s="6">
        <v>835.09003178926207</v>
      </c>
      <c r="K3602" s="6">
        <v>185070</v>
      </c>
      <c r="M3602" s="6">
        <f>SUM(H3602,J3602)</f>
        <v>83610.090031789267</v>
      </c>
      <c r="N3602" s="6">
        <f>K3602</f>
        <v>185070</v>
      </c>
      <c r="O3602" s="6">
        <f>SUM(M3602:N3602)</f>
        <v>268680.09003178927</v>
      </c>
      <c r="P3602" s="8">
        <f>VLOOKUP(F3602,'LEAID Match'!$A$2:$B$436,2,FALSE)</f>
        <v>0</v>
      </c>
      <c r="Q3602" s="6">
        <f>COUNTIF($P$2:$P$3691,P3602)</f>
        <v>371</v>
      </c>
    </row>
    <row r="3603" spans="1:17" x14ac:dyDescent="0.2">
      <c r="A3603" s="16">
        <f>P3603</f>
        <v>1800228</v>
      </c>
      <c r="B3603">
        <v>2021</v>
      </c>
      <c r="C3603" t="s">
        <v>904</v>
      </c>
      <c r="D3603" t="s">
        <v>906</v>
      </c>
      <c r="E3603" t="s">
        <v>4509</v>
      </c>
      <c r="F3603" t="s">
        <v>877</v>
      </c>
      <c r="G3603" t="s">
        <v>405</v>
      </c>
      <c r="H3603" s="6">
        <v>4354</v>
      </c>
      <c r="I3603" s="6">
        <v>2.1509164917342684E-5</v>
      </c>
      <c r="J3603" s="6">
        <v>48.481657723690411</v>
      </c>
      <c r="K3603" s="6">
        <v>0</v>
      </c>
      <c r="M3603" s="6">
        <f>SUM(H3603,J3603)</f>
        <v>4402.4816577236907</v>
      </c>
      <c r="N3603" s="6">
        <f>K3603</f>
        <v>0</v>
      </c>
      <c r="O3603" s="6">
        <f>SUM(M3603:N3603)</f>
        <v>4402.4816577236907</v>
      </c>
      <c r="P3603" s="8">
        <f>VLOOKUP(F3603,'LEAID Match'!$A$2:$B$436,2,FALSE)</f>
        <v>1800228</v>
      </c>
      <c r="Q3603" s="6">
        <f>COUNTIF($P$2:$P$3691,P3603)</f>
        <v>3</v>
      </c>
    </row>
    <row r="3604" spans="1:17" x14ac:dyDescent="0.2">
      <c r="A3604" s="16">
        <f>P3604</f>
        <v>1800228</v>
      </c>
      <c r="B3604">
        <v>2022</v>
      </c>
      <c r="C3604" t="s">
        <v>904</v>
      </c>
      <c r="D3604" t="s">
        <v>906</v>
      </c>
      <c r="E3604" t="s">
        <v>4510</v>
      </c>
      <c r="F3604" t="s">
        <v>877</v>
      </c>
      <c r="G3604" t="s">
        <v>405</v>
      </c>
      <c r="H3604" s="6">
        <v>10898</v>
      </c>
      <c r="I3604" s="6">
        <v>5.1745729405674518E-5</v>
      </c>
      <c r="J3604" s="6">
        <v>114.09933333951231</v>
      </c>
      <c r="K3604" s="6">
        <v>0</v>
      </c>
      <c r="M3604" s="6">
        <f>SUM(H3604,J3604)</f>
        <v>11012.099333339513</v>
      </c>
      <c r="N3604" s="6">
        <f>K3604</f>
        <v>0</v>
      </c>
      <c r="O3604" s="6">
        <f>SUM(M3604:N3604)</f>
        <v>11012.099333339513</v>
      </c>
      <c r="P3604" s="8">
        <f>VLOOKUP(F3604,'LEAID Match'!$A$2:$B$436,2,FALSE)</f>
        <v>1800228</v>
      </c>
      <c r="Q3604" s="6">
        <f>COUNTIF($P$2:$P$3691,P3604)</f>
        <v>3</v>
      </c>
    </row>
    <row r="3605" spans="1:17" x14ac:dyDescent="0.2">
      <c r="A3605" s="16">
        <f>P3605</f>
        <v>1800228</v>
      </c>
      <c r="B3605">
        <v>2023</v>
      </c>
      <c r="C3605" t="s">
        <v>904</v>
      </c>
      <c r="D3605" t="s">
        <v>906</v>
      </c>
      <c r="E3605" t="s">
        <v>4511</v>
      </c>
      <c r="F3605" t="s">
        <v>877</v>
      </c>
      <c r="G3605" t="s">
        <v>405</v>
      </c>
      <c r="H3605" s="6">
        <v>16676</v>
      </c>
      <c r="I3605" s="6">
        <v>6.8195677329723579E-5</v>
      </c>
      <c r="J3605" s="6">
        <v>168.23873597242806</v>
      </c>
      <c r="K3605" s="6">
        <v>0</v>
      </c>
      <c r="M3605" s="6">
        <f>SUM(H3605,J3605)</f>
        <v>16844.238735972427</v>
      </c>
      <c r="N3605" s="6">
        <f>K3605</f>
        <v>0</v>
      </c>
      <c r="O3605" s="6">
        <f>SUM(M3605:N3605)</f>
        <v>16844.238735972427</v>
      </c>
      <c r="P3605" s="8">
        <f>VLOOKUP(F3605,'LEAID Match'!$A$2:$B$436,2,FALSE)</f>
        <v>1800228</v>
      </c>
      <c r="Q3605" s="6">
        <f>COUNTIF($P$2:$P$3691,P3605)</f>
        <v>3</v>
      </c>
    </row>
    <row r="3606" spans="1:17" x14ac:dyDescent="0.2">
      <c r="A3606" s="16">
        <f>P3606</f>
        <v>1800193</v>
      </c>
      <c r="B3606">
        <v>2021</v>
      </c>
      <c r="C3606" t="s">
        <v>904</v>
      </c>
      <c r="D3606" t="s">
        <v>906</v>
      </c>
      <c r="E3606" t="s">
        <v>4512</v>
      </c>
      <c r="F3606" t="s">
        <v>878</v>
      </c>
      <c r="G3606" t="s">
        <v>406</v>
      </c>
      <c r="H3606" s="6">
        <v>4871</v>
      </c>
      <c r="I3606" s="6">
        <v>2.4063192997789669E-5</v>
      </c>
      <c r="J3606" s="6">
        <v>54.238437017017915</v>
      </c>
      <c r="K3606" s="6">
        <v>0</v>
      </c>
      <c r="M3606" s="6">
        <f>SUM(H3606,J3606)</f>
        <v>4925.2384370170175</v>
      </c>
      <c r="N3606" s="6">
        <f>K3606</f>
        <v>0</v>
      </c>
      <c r="O3606" s="6">
        <f>SUM(M3606:N3606)</f>
        <v>4925.2384370170175</v>
      </c>
      <c r="P3606" s="8">
        <f>VLOOKUP(F3606,'LEAID Match'!$A$2:$B$436,2,FALSE)</f>
        <v>1800193</v>
      </c>
      <c r="Q3606" s="6">
        <f>COUNTIF($P$2:$P$3691,P3606)</f>
        <v>3</v>
      </c>
    </row>
    <row r="3607" spans="1:17" x14ac:dyDescent="0.2">
      <c r="A3607" s="16">
        <f>P3607</f>
        <v>1800193</v>
      </c>
      <c r="B3607">
        <v>2022</v>
      </c>
      <c r="C3607" t="s">
        <v>904</v>
      </c>
      <c r="D3607" t="s">
        <v>906</v>
      </c>
      <c r="E3607" t="s">
        <v>4513</v>
      </c>
      <c r="F3607" t="s">
        <v>878</v>
      </c>
      <c r="G3607" t="s">
        <v>406</v>
      </c>
      <c r="H3607" s="6">
        <v>21033</v>
      </c>
      <c r="I3607" s="6">
        <v>9.9868593006932662E-5</v>
      </c>
      <c r="J3607" s="6">
        <v>220.21024758028651</v>
      </c>
      <c r="K3607" s="6">
        <v>0</v>
      </c>
      <c r="M3607" s="6">
        <f>SUM(H3607,J3607)</f>
        <v>21253.210247580286</v>
      </c>
      <c r="N3607" s="6">
        <f>K3607</f>
        <v>0</v>
      </c>
      <c r="O3607" s="6">
        <f>SUM(M3607:N3607)</f>
        <v>21253.210247580286</v>
      </c>
      <c r="P3607" s="8">
        <f>VLOOKUP(F3607,'LEAID Match'!$A$2:$B$436,2,FALSE)</f>
        <v>1800193</v>
      </c>
      <c r="Q3607" s="6">
        <f>COUNTIF($P$2:$P$3691,P3607)</f>
        <v>3</v>
      </c>
    </row>
    <row r="3608" spans="1:17" x14ac:dyDescent="0.2">
      <c r="A3608" s="16">
        <f>P3608</f>
        <v>1800193</v>
      </c>
      <c r="B3608">
        <v>2023</v>
      </c>
      <c r="C3608" t="s">
        <v>904</v>
      </c>
      <c r="D3608" t="s">
        <v>906</v>
      </c>
      <c r="E3608" t="s">
        <v>4514</v>
      </c>
      <c r="F3608" t="s">
        <v>878</v>
      </c>
      <c r="G3608" t="s">
        <v>406</v>
      </c>
      <c r="H3608" s="6">
        <v>12712</v>
      </c>
      <c r="I3608" s="6">
        <v>5.1985095359525436E-5</v>
      </c>
      <c r="J3608" s="6">
        <v>128.24723025194925</v>
      </c>
      <c r="K3608" s="6">
        <v>0</v>
      </c>
      <c r="M3608" s="6">
        <f>SUM(H3608,J3608)</f>
        <v>12840.247230251949</v>
      </c>
      <c r="N3608" s="6">
        <f>K3608</f>
        <v>0</v>
      </c>
      <c r="O3608" s="6">
        <f>SUM(M3608:N3608)</f>
        <v>12840.247230251949</v>
      </c>
      <c r="P3608" s="8">
        <f>VLOOKUP(F3608,'LEAID Match'!$A$2:$B$436,2,FALSE)</f>
        <v>1800193</v>
      </c>
      <c r="Q3608" s="6">
        <f>COUNTIF($P$2:$P$3691,P3608)</f>
        <v>3</v>
      </c>
    </row>
    <row r="3609" spans="1:17" x14ac:dyDescent="0.2">
      <c r="A3609" s="16">
        <f>P3609</f>
        <v>0</v>
      </c>
      <c r="B3609">
        <v>2022</v>
      </c>
      <c r="C3609" t="s">
        <v>904</v>
      </c>
      <c r="D3609" t="s">
        <v>906</v>
      </c>
      <c r="E3609" t="s">
        <v>4515</v>
      </c>
      <c r="F3609" t="s">
        <v>892</v>
      </c>
      <c r="G3609" t="s">
        <v>407</v>
      </c>
      <c r="H3609" s="6">
        <v>745</v>
      </c>
      <c r="I3609" s="6">
        <v>3.5373984590959365E-6</v>
      </c>
      <c r="J3609" s="6">
        <v>7.7999636023065397</v>
      </c>
      <c r="K3609" s="6">
        <v>0</v>
      </c>
      <c r="M3609" s="6">
        <f>SUM(H3609,J3609)</f>
        <v>752.79996360230655</v>
      </c>
      <c r="N3609" s="6">
        <f>K3609</f>
        <v>0</v>
      </c>
      <c r="O3609" s="6">
        <f>SUM(M3609:N3609)</f>
        <v>752.79996360230655</v>
      </c>
      <c r="P3609" s="8"/>
      <c r="Q3609" s="6">
        <f>COUNTIF($P$2:$P$3691,P3609)</f>
        <v>371</v>
      </c>
    </row>
    <row r="3610" spans="1:17" x14ac:dyDescent="0.2">
      <c r="A3610" s="16">
        <f>P3610</f>
        <v>0</v>
      </c>
      <c r="B3610">
        <v>2023</v>
      </c>
      <c r="C3610" t="s">
        <v>904</v>
      </c>
      <c r="D3610" t="s">
        <v>906</v>
      </c>
      <c r="E3610" t="s">
        <v>4516</v>
      </c>
      <c r="F3610" t="s">
        <v>892</v>
      </c>
      <c r="G3610" t="s">
        <v>407</v>
      </c>
      <c r="H3610" s="6">
        <v>27386</v>
      </c>
      <c r="I3610" s="6">
        <v>1.119936926932004E-4</v>
      </c>
      <c r="J3610" s="6">
        <v>276.2884398741254</v>
      </c>
      <c r="K3610" s="6">
        <v>972356</v>
      </c>
      <c r="M3610" s="6">
        <f>SUM(H3610,J3610)</f>
        <v>27662.288439874126</v>
      </c>
      <c r="N3610" s="6">
        <f>K3610</f>
        <v>972356</v>
      </c>
      <c r="O3610" s="6">
        <f>SUM(M3610:N3610)</f>
        <v>1000018.2884398741</v>
      </c>
      <c r="P3610" s="8"/>
      <c r="Q3610" s="6">
        <f>COUNTIF($P$2:$P$3691,P3610)</f>
        <v>371</v>
      </c>
    </row>
    <row r="3611" spans="1:17" x14ac:dyDescent="0.2">
      <c r="A3611" s="16">
        <f>P3611</f>
        <v>0</v>
      </c>
      <c r="B3611">
        <v>2022</v>
      </c>
      <c r="C3611" t="s">
        <v>904</v>
      </c>
      <c r="D3611" t="s">
        <v>906</v>
      </c>
      <c r="E3611" t="s">
        <v>4517</v>
      </c>
      <c r="F3611" t="s">
        <v>892</v>
      </c>
      <c r="G3611" t="s">
        <v>408</v>
      </c>
      <c r="H3611" s="6">
        <v>2166</v>
      </c>
      <c r="I3611" s="6">
        <v>1.0284570553559461E-5</v>
      </c>
      <c r="J3611" s="6">
        <v>22.67747807059861</v>
      </c>
      <c r="K3611" s="6">
        <v>0</v>
      </c>
      <c r="M3611" s="6">
        <f>SUM(H3611,J3611)</f>
        <v>2188.6774780705987</v>
      </c>
      <c r="N3611" s="6">
        <f>K3611</f>
        <v>0</v>
      </c>
      <c r="O3611" s="6">
        <f>SUM(M3611:N3611)</f>
        <v>2188.6774780705987</v>
      </c>
      <c r="P3611" s="8"/>
      <c r="Q3611" s="6">
        <f>COUNTIF($P$2:$P$3691,P3611)</f>
        <v>371</v>
      </c>
    </row>
    <row r="3612" spans="1:17" x14ac:dyDescent="0.2">
      <c r="A3612" s="16">
        <f>P3612</f>
        <v>0</v>
      </c>
      <c r="B3612">
        <v>2023</v>
      </c>
      <c r="C3612" t="s">
        <v>904</v>
      </c>
      <c r="D3612" t="s">
        <v>906</v>
      </c>
      <c r="E3612" t="s">
        <v>4518</v>
      </c>
      <c r="F3612" t="s">
        <v>892</v>
      </c>
      <c r="G3612" t="s">
        <v>408</v>
      </c>
      <c r="H3612" s="6">
        <v>6675</v>
      </c>
      <c r="I3612" s="6">
        <v>2.7297082404407824E-5</v>
      </c>
      <c r="J3612" s="6">
        <v>67.341902291674103</v>
      </c>
      <c r="K3612" s="6">
        <v>0</v>
      </c>
      <c r="M3612" s="6">
        <f>SUM(H3612,J3612)</f>
        <v>6742.3419022916742</v>
      </c>
      <c r="N3612" s="6">
        <f>K3612</f>
        <v>0</v>
      </c>
      <c r="O3612" s="6">
        <f>SUM(M3612:N3612)</f>
        <v>6742.3419022916742</v>
      </c>
      <c r="P3612" s="8"/>
      <c r="Q3612" s="6">
        <f>COUNTIF($P$2:$P$3691,P3612)</f>
        <v>371</v>
      </c>
    </row>
    <row r="3613" spans="1:17" x14ac:dyDescent="0.2">
      <c r="A3613" s="16">
        <f>P3613</f>
        <v>0</v>
      </c>
      <c r="B3613">
        <v>2022</v>
      </c>
      <c r="C3613" t="s">
        <v>904</v>
      </c>
      <c r="D3613" t="s">
        <v>906</v>
      </c>
      <c r="E3613" t="s">
        <v>4519</v>
      </c>
      <c r="F3613" t="s">
        <v>892</v>
      </c>
      <c r="G3613" t="s">
        <v>409</v>
      </c>
      <c r="H3613" s="6">
        <v>1100</v>
      </c>
      <c r="I3613" s="6">
        <v>5.2230044362490338E-6</v>
      </c>
      <c r="J3613" s="6">
        <v>11.516724781929119</v>
      </c>
      <c r="K3613" s="6">
        <v>0</v>
      </c>
      <c r="M3613" s="6">
        <f>SUM(H3613,J3613)</f>
        <v>1111.516724781929</v>
      </c>
      <c r="N3613" s="6">
        <f>K3613</f>
        <v>0</v>
      </c>
      <c r="O3613" s="6">
        <f>SUM(M3613:N3613)</f>
        <v>1111.516724781929</v>
      </c>
      <c r="P3613" s="8"/>
      <c r="Q3613" s="6">
        <f>COUNTIF($P$2:$P$3691,P3613)</f>
        <v>371</v>
      </c>
    </row>
    <row r="3614" spans="1:17" x14ac:dyDescent="0.2">
      <c r="A3614" s="16">
        <f>P3614</f>
        <v>0</v>
      </c>
      <c r="B3614">
        <v>2023</v>
      </c>
      <c r="C3614" t="s">
        <v>904</v>
      </c>
      <c r="D3614" t="s">
        <v>906</v>
      </c>
      <c r="E3614" t="s">
        <v>4520</v>
      </c>
      <c r="F3614" t="s">
        <v>892</v>
      </c>
      <c r="G3614" t="s">
        <v>409</v>
      </c>
      <c r="H3614" s="6">
        <v>5069</v>
      </c>
      <c r="I3614" s="6">
        <v>2.072942482516004E-5</v>
      </c>
      <c r="J3614" s="6">
        <v>51.139491043669821</v>
      </c>
      <c r="K3614" s="6">
        <v>0</v>
      </c>
      <c r="M3614" s="6">
        <f>SUM(H3614,J3614)</f>
        <v>5120.1394910436702</v>
      </c>
      <c r="N3614" s="6">
        <f>K3614</f>
        <v>0</v>
      </c>
      <c r="O3614" s="6">
        <f>SUM(M3614:N3614)</f>
        <v>5120.1394910436702</v>
      </c>
      <c r="P3614" s="8"/>
      <c r="Q3614" s="6">
        <f>COUNTIF($P$2:$P$3691,P3614)</f>
        <v>371</v>
      </c>
    </row>
    <row r="3615" spans="1:17" x14ac:dyDescent="0.2">
      <c r="A3615" s="16">
        <f>P3615</f>
        <v>0</v>
      </c>
      <c r="B3615">
        <v>2023</v>
      </c>
      <c r="C3615" t="s">
        <v>904</v>
      </c>
      <c r="D3615" t="s">
        <v>906</v>
      </c>
      <c r="E3615" t="s">
        <v>4521</v>
      </c>
      <c r="F3615" t="s">
        <v>892</v>
      </c>
      <c r="G3615" t="s">
        <v>411</v>
      </c>
      <c r="H3615" s="6" t="s">
        <v>187</v>
      </c>
      <c r="I3615" s="6">
        <v>0</v>
      </c>
      <c r="J3615" s="6">
        <v>0</v>
      </c>
      <c r="K3615" s="6">
        <v>0</v>
      </c>
      <c r="M3615" s="6">
        <f>SUM(H3615,J3615)</f>
        <v>0</v>
      </c>
      <c r="N3615" s="6">
        <f>K3615</f>
        <v>0</v>
      </c>
      <c r="O3615" s="6">
        <f>SUM(M3615:N3615)</f>
        <v>0</v>
      </c>
      <c r="P3615" s="8"/>
      <c r="Q3615" s="6">
        <f>COUNTIF($P$2:$P$3691,P3615)</f>
        <v>371</v>
      </c>
    </row>
    <row r="3616" spans="1:17" x14ac:dyDescent="0.2">
      <c r="A3616" s="16">
        <f>P3616</f>
        <v>0</v>
      </c>
      <c r="B3616">
        <v>2023</v>
      </c>
      <c r="C3616" t="s">
        <v>904</v>
      </c>
      <c r="D3616" t="s">
        <v>906</v>
      </c>
      <c r="E3616" t="s">
        <v>4522</v>
      </c>
      <c r="F3616" t="s">
        <v>892</v>
      </c>
      <c r="G3616" t="s">
        <v>412</v>
      </c>
      <c r="H3616" s="6" t="s">
        <v>187</v>
      </c>
      <c r="I3616" s="6">
        <v>0</v>
      </c>
      <c r="J3616" s="6">
        <v>0</v>
      </c>
      <c r="K3616" s="6">
        <v>0</v>
      </c>
      <c r="M3616" s="6">
        <f>SUM(H3616,J3616)</f>
        <v>0</v>
      </c>
      <c r="N3616" s="6">
        <f>K3616</f>
        <v>0</v>
      </c>
      <c r="O3616" s="6">
        <f>SUM(M3616:N3616)</f>
        <v>0</v>
      </c>
      <c r="P3616" s="8"/>
      <c r="Q3616" s="6">
        <f>COUNTIF($P$2:$P$3691,P3616)</f>
        <v>371</v>
      </c>
    </row>
    <row r="3617" spans="1:17" x14ac:dyDescent="0.2">
      <c r="A3617" s="16">
        <f t="shared" ref="A3587:A3650" si="124">P3617</f>
        <v>0</v>
      </c>
      <c r="B3617">
        <v>2018</v>
      </c>
      <c r="C3617" t="s">
        <v>904</v>
      </c>
      <c r="D3617" t="s">
        <v>906</v>
      </c>
      <c r="E3617" t="s">
        <v>4523</v>
      </c>
      <c r="F3617" t="s">
        <v>886</v>
      </c>
      <c r="G3617" t="s">
        <v>444</v>
      </c>
      <c r="H3617" s="6">
        <v>0</v>
      </c>
      <c r="I3617" s="6">
        <v>0</v>
      </c>
      <c r="J3617" s="6">
        <v>0</v>
      </c>
      <c r="K3617" s="6">
        <v>96288</v>
      </c>
      <c r="M3617" s="6">
        <f t="shared" ref="M3587:M3650" si="125">SUM(H3617,J3617)</f>
        <v>0</v>
      </c>
      <c r="N3617" s="6">
        <f t="shared" ref="N3587:N3650" si="126">K3617</f>
        <v>96288</v>
      </c>
      <c r="O3617" s="6">
        <f t="shared" ref="O3587:O3650" si="127">SUM(M3617:N3617)</f>
        <v>96288</v>
      </c>
      <c r="P3617" s="8">
        <f>VLOOKUP(F3617,'LEAID Match'!$A$2:$B$436,2,FALSE)</f>
        <v>0</v>
      </c>
      <c r="Q3617" s="6">
        <f t="shared" ref="Q3587:Q3650" si="128">COUNTIF($P$2:$P$3691,P3617)</f>
        <v>371</v>
      </c>
    </row>
    <row r="3618" spans="1:17" x14ac:dyDescent="0.2">
      <c r="A3618" s="16">
        <f t="shared" si="124"/>
        <v>0</v>
      </c>
      <c r="B3618">
        <v>2020</v>
      </c>
      <c r="C3618" t="s">
        <v>904</v>
      </c>
      <c r="D3618" t="s">
        <v>906</v>
      </c>
      <c r="E3618" t="s">
        <v>4524</v>
      </c>
      <c r="F3618" t="s">
        <v>886</v>
      </c>
      <c r="G3618" t="s">
        <v>444</v>
      </c>
      <c r="H3618" s="6">
        <v>0</v>
      </c>
      <c r="I3618" s="6">
        <v>0</v>
      </c>
      <c r="J3618" s="6">
        <v>0</v>
      </c>
      <c r="K3618" s="6">
        <v>91869</v>
      </c>
      <c r="M3618" s="6">
        <f t="shared" si="125"/>
        <v>0</v>
      </c>
      <c r="N3618" s="6">
        <f t="shared" si="126"/>
        <v>91869</v>
      </c>
      <c r="O3618" s="6">
        <f t="shared" si="127"/>
        <v>91869</v>
      </c>
      <c r="P3618" s="8">
        <f>VLOOKUP(F3618,'LEAID Match'!$A$2:$B$436,2,FALSE)</f>
        <v>0</v>
      </c>
      <c r="Q3618" s="6">
        <f t="shared" si="128"/>
        <v>371</v>
      </c>
    </row>
    <row r="3619" spans="1:17" x14ac:dyDescent="0.2">
      <c r="A3619" s="16">
        <f t="shared" si="124"/>
        <v>0</v>
      </c>
      <c r="B3619">
        <v>2021</v>
      </c>
      <c r="C3619" t="s">
        <v>904</v>
      </c>
      <c r="D3619" t="s">
        <v>906</v>
      </c>
      <c r="E3619" t="s">
        <v>4525</v>
      </c>
      <c r="F3619" t="s">
        <v>886</v>
      </c>
      <c r="G3619" t="s">
        <v>444</v>
      </c>
      <c r="H3619" s="6" t="s">
        <v>893</v>
      </c>
      <c r="K3619" s="6">
        <v>135702</v>
      </c>
      <c r="M3619" s="6">
        <f t="shared" si="125"/>
        <v>0</v>
      </c>
      <c r="N3619" s="6">
        <f t="shared" si="126"/>
        <v>135702</v>
      </c>
      <c r="O3619" s="6">
        <f t="shared" si="127"/>
        <v>135702</v>
      </c>
      <c r="P3619" s="8">
        <f>VLOOKUP(F3619,'LEAID Match'!$A$2:$B$436,2,FALSE)</f>
        <v>0</v>
      </c>
      <c r="Q3619" s="6">
        <f t="shared" si="128"/>
        <v>371</v>
      </c>
    </row>
    <row r="3620" spans="1:17" x14ac:dyDescent="0.2">
      <c r="A3620" s="16">
        <f t="shared" si="124"/>
        <v>0</v>
      </c>
      <c r="B3620">
        <v>2022</v>
      </c>
      <c r="C3620" t="s">
        <v>904</v>
      </c>
      <c r="D3620" t="s">
        <v>906</v>
      </c>
      <c r="E3620" t="s">
        <v>4526</v>
      </c>
      <c r="F3620" t="s">
        <v>886</v>
      </c>
      <c r="G3620" t="s">
        <v>444</v>
      </c>
      <c r="H3620" s="6" t="s">
        <v>893</v>
      </c>
      <c r="K3620" s="6">
        <v>124188</v>
      </c>
      <c r="M3620" s="6">
        <f t="shared" si="125"/>
        <v>0</v>
      </c>
      <c r="N3620" s="6">
        <f t="shared" si="126"/>
        <v>124188</v>
      </c>
      <c r="O3620" s="6">
        <f t="shared" si="127"/>
        <v>124188</v>
      </c>
      <c r="P3620" s="8">
        <f>VLOOKUP(F3620,'LEAID Match'!$A$2:$B$436,2,FALSE)</f>
        <v>0</v>
      </c>
      <c r="Q3620" s="6">
        <f t="shared" si="128"/>
        <v>371</v>
      </c>
    </row>
    <row r="3621" spans="1:17" x14ac:dyDescent="0.2">
      <c r="A3621" s="16">
        <f t="shared" si="124"/>
        <v>0</v>
      </c>
      <c r="B3621">
        <v>2023</v>
      </c>
      <c r="C3621" t="s">
        <v>904</v>
      </c>
      <c r="D3621" t="s">
        <v>906</v>
      </c>
      <c r="E3621" t="s">
        <v>4527</v>
      </c>
      <c r="F3621" t="s">
        <v>886</v>
      </c>
      <c r="G3621" t="s">
        <v>444</v>
      </c>
      <c r="H3621" s="6" t="s">
        <v>893</v>
      </c>
      <c r="K3621" s="6">
        <v>269770</v>
      </c>
      <c r="M3621" s="6">
        <f t="shared" si="125"/>
        <v>0</v>
      </c>
      <c r="N3621" s="6">
        <f t="shared" si="126"/>
        <v>269770</v>
      </c>
      <c r="O3621" s="6">
        <f t="shared" si="127"/>
        <v>269770</v>
      </c>
      <c r="P3621" s="8">
        <f>VLOOKUP(F3621,'LEAID Match'!$A$2:$B$436,2,FALSE)</f>
        <v>0</v>
      </c>
      <c r="Q3621" s="6">
        <f t="shared" si="128"/>
        <v>371</v>
      </c>
    </row>
    <row r="3622" spans="1:17" x14ac:dyDescent="0.2">
      <c r="A3622" s="16">
        <f t="shared" si="124"/>
        <v>0</v>
      </c>
      <c r="B3622">
        <v>2018</v>
      </c>
      <c r="C3622" t="s">
        <v>904</v>
      </c>
      <c r="D3622" t="s">
        <v>906</v>
      </c>
      <c r="E3622" t="s">
        <v>4528</v>
      </c>
      <c r="F3622" t="s">
        <v>887</v>
      </c>
      <c r="G3622" t="s">
        <v>445</v>
      </c>
      <c r="H3622" s="6">
        <v>0</v>
      </c>
      <c r="I3622" s="6">
        <v>0</v>
      </c>
      <c r="J3622" s="6">
        <v>0</v>
      </c>
      <c r="K3622" s="6">
        <v>405712</v>
      </c>
      <c r="M3622" s="6">
        <f t="shared" si="125"/>
        <v>0</v>
      </c>
      <c r="N3622" s="6">
        <f t="shared" si="126"/>
        <v>405712</v>
      </c>
      <c r="O3622" s="6">
        <f t="shared" si="127"/>
        <v>405712</v>
      </c>
      <c r="P3622" s="8">
        <f>VLOOKUP(F3622,'LEAID Match'!$A$2:$B$436,2,FALSE)</f>
        <v>0</v>
      </c>
      <c r="Q3622" s="6">
        <f t="shared" si="128"/>
        <v>371</v>
      </c>
    </row>
    <row r="3623" spans="1:17" x14ac:dyDescent="0.2">
      <c r="A3623" s="16">
        <f t="shared" si="124"/>
        <v>0</v>
      </c>
      <c r="B3623">
        <v>2020</v>
      </c>
      <c r="C3623" t="s">
        <v>904</v>
      </c>
      <c r="D3623" t="s">
        <v>906</v>
      </c>
      <c r="E3623" t="s">
        <v>4529</v>
      </c>
      <c r="F3623" t="s">
        <v>887</v>
      </c>
      <c r="G3623" t="s">
        <v>445</v>
      </c>
      <c r="H3623" s="6">
        <v>0</v>
      </c>
      <c r="I3623" s="6">
        <v>0</v>
      </c>
      <c r="J3623" s="6">
        <v>0</v>
      </c>
      <c r="K3623" s="6">
        <v>428755</v>
      </c>
      <c r="M3623" s="6">
        <f t="shared" si="125"/>
        <v>0</v>
      </c>
      <c r="N3623" s="6">
        <f t="shared" si="126"/>
        <v>428755</v>
      </c>
      <c r="O3623" s="6">
        <f t="shared" si="127"/>
        <v>428755</v>
      </c>
      <c r="P3623" s="8">
        <f>VLOOKUP(F3623,'LEAID Match'!$A$2:$B$436,2,FALSE)</f>
        <v>0</v>
      </c>
      <c r="Q3623" s="6">
        <f t="shared" si="128"/>
        <v>371</v>
      </c>
    </row>
    <row r="3624" spans="1:17" x14ac:dyDescent="0.2">
      <c r="A3624" s="16">
        <f t="shared" si="124"/>
        <v>0</v>
      </c>
      <c r="B3624">
        <v>2021</v>
      </c>
      <c r="C3624" t="s">
        <v>904</v>
      </c>
      <c r="D3624" t="s">
        <v>906</v>
      </c>
      <c r="E3624" t="s">
        <v>4530</v>
      </c>
      <c r="F3624" t="s">
        <v>887</v>
      </c>
      <c r="G3624" t="s">
        <v>445</v>
      </c>
      <c r="H3624" s="6" t="s">
        <v>893</v>
      </c>
      <c r="K3624" s="6">
        <v>606264</v>
      </c>
      <c r="M3624" s="6">
        <f t="shared" si="125"/>
        <v>0</v>
      </c>
      <c r="N3624" s="6">
        <f t="shared" si="126"/>
        <v>606264</v>
      </c>
      <c r="O3624" s="6">
        <f t="shared" si="127"/>
        <v>606264</v>
      </c>
      <c r="P3624" s="8">
        <f>VLOOKUP(F3624,'LEAID Match'!$A$2:$B$436,2,FALSE)</f>
        <v>0</v>
      </c>
      <c r="Q3624" s="6">
        <f t="shared" si="128"/>
        <v>371</v>
      </c>
    </row>
    <row r="3625" spans="1:17" x14ac:dyDescent="0.2">
      <c r="A3625" s="16">
        <f t="shared" si="124"/>
        <v>0</v>
      </c>
      <c r="B3625">
        <v>2022</v>
      </c>
      <c r="C3625" t="s">
        <v>904</v>
      </c>
      <c r="D3625" t="s">
        <v>906</v>
      </c>
      <c r="E3625" t="s">
        <v>4531</v>
      </c>
      <c r="F3625" t="s">
        <v>887</v>
      </c>
      <c r="G3625" t="s">
        <v>445</v>
      </c>
      <c r="H3625" s="6" t="s">
        <v>893</v>
      </c>
      <c r="K3625" s="6">
        <v>582799</v>
      </c>
      <c r="M3625" s="6">
        <f t="shared" si="125"/>
        <v>0</v>
      </c>
      <c r="N3625" s="6">
        <f t="shared" si="126"/>
        <v>582799</v>
      </c>
      <c r="O3625" s="6">
        <f t="shared" si="127"/>
        <v>582799</v>
      </c>
      <c r="P3625" s="8">
        <f>VLOOKUP(F3625,'LEAID Match'!$A$2:$B$436,2,FALSE)</f>
        <v>0</v>
      </c>
      <c r="Q3625" s="6">
        <f t="shared" si="128"/>
        <v>371</v>
      </c>
    </row>
    <row r="3626" spans="1:17" x14ac:dyDescent="0.2">
      <c r="A3626" s="16">
        <f t="shared" si="124"/>
        <v>0</v>
      </c>
      <c r="B3626">
        <v>2023</v>
      </c>
      <c r="C3626" t="s">
        <v>904</v>
      </c>
      <c r="D3626" t="s">
        <v>906</v>
      </c>
      <c r="E3626" t="s">
        <v>4532</v>
      </c>
      <c r="F3626" t="s">
        <v>887</v>
      </c>
      <c r="G3626" t="s">
        <v>445</v>
      </c>
      <c r="H3626" s="6" t="s">
        <v>893</v>
      </c>
      <c r="K3626" s="6">
        <v>1223915</v>
      </c>
      <c r="M3626" s="6">
        <f t="shared" si="125"/>
        <v>0</v>
      </c>
      <c r="N3626" s="6">
        <f t="shared" si="126"/>
        <v>1223915</v>
      </c>
      <c r="O3626" s="6">
        <f t="shared" si="127"/>
        <v>1223915</v>
      </c>
      <c r="P3626" s="8">
        <f>VLOOKUP(F3626,'LEAID Match'!$A$2:$B$436,2,FALSE)</f>
        <v>0</v>
      </c>
      <c r="Q3626" s="6">
        <f t="shared" si="128"/>
        <v>371</v>
      </c>
    </row>
    <row r="3627" spans="1:17" x14ac:dyDescent="0.2">
      <c r="A3627" s="16">
        <f t="shared" si="124"/>
        <v>0</v>
      </c>
      <c r="B3627">
        <v>2018</v>
      </c>
      <c r="C3627" t="s">
        <v>904</v>
      </c>
      <c r="D3627" t="s">
        <v>906</v>
      </c>
      <c r="E3627" t="s">
        <v>4533</v>
      </c>
      <c r="F3627" t="s">
        <v>888</v>
      </c>
      <c r="G3627" t="s">
        <v>446</v>
      </c>
      <c r="H3627" s="6">
        <v>0</v>
      </c>
      <c r="I3627" s="6">
        <v>0</v>
      </c>
      <c r="J3627" s="6">
        <v>0</v>
      </c>
      <c r="K3627" s="6">
        <v>19827</v>
      </c>
      <c r="M3627" s="6">
        <f t="shared" si="125"/>
        <v>0</v>
      </c>
      <c r="N3627" s="6">
        <f t="shared" si="126"/>
        <v>19827</v>
      </c>
      <c r="O3627" s="6">
        <f t="shared" si="127"/>
        <v>19827</v>
      </c>
      <c r="P3627" s="8">
        <f>VLOOKUP(F3627,'LEAID Match'!$A$2:$B$436,2,FALSE)</f>
        <v>0</v>
      </c>
      <c r="Q3627" s="6">
        <f t="shared" si="128"/>
        <v>371</v>
      </c>
    </row>
    <row r="3628" spans="1:17" x14ac:dyDescent="0.2">
      <c r="A3628" s="16">
        <f t="shared" si="124"/>
        <v>0</v>
      </c>
      <c r="B3628">
        <v>2020</v>
      </c>
      <c r="C3628" t="s">
        <v>904</v>
      </c>
      <c r="D3628" t="s">
        <v>906</v>
      </c>
      <c r="E3628" t="s">
        <v>4534</v>
      </c>
      <c r="F3628" t="s">
        <v>888</v>
      </c>
      <c r="G3628" t="s">
        <v>446</v>
      </c>
      <c r="H3628" s="6">
        <v>0</v>
      </c>
      <c r="I3628" s="6">
        <v>0</v>
      </c>
      <c r="J3628" s="6">
        <v>0</v>
      </c>
      <c r="K3628" s="6">
        <v>21462</v>
      </c>
      <c r="M3628" s="6">
        <f t="shared" si="125"/>
        <v>0</v>
      </c>
      <c r="N3628" s="6">
        <f t="shared" si="126"/>
        <v>21462</v>
      </c>
      <c r="O3628" s="6">
        <f t="shared" si="127"/>
        <v>21462</v>
      </c>
      <c r="P3628" s="8">
        <f>VLOOKUP(F3628,'LEAID Match'!$A$2:$B$436,2,FALSE)</f>
        <v>0</v>
      </c>
      <c r="Q3628" s="6">
        <f t="shared" si="128"/>
        <v>371</v>
      </c>
    </row>
    <row r="3629" spans="1:17" x14ac:dyDescent="0.2">
      <c r="A3629" s="16">
        <f t="shared" si="124"/>
        <v>0</v>
      </c>
      <c r="B3629">
        <v>2021</v>
      </c>
      <c r="C3629" t="s">
        <v>904</v>
      </c>
      <c r="D3629" t="s">
        <v>906</v>
      </c>
      <c r="E3629" t="s">
        <v>4535</v>
      </c>
      <c r="F3629" t="s">
        <v>888</v>
      </c>
      <c r="G3629" t="s">
        <v>446</v>
      </c>
      <c r="H3629" s="6" t="s">
        <v>893</v>
      </c>
      <c r="K3629" s="6">
        <v>33886</v>
      </c>
      <c r="M3629" s="6">
        <f t="shared" si="125"/>
        <v>0</v>
      </c>
      <c r="N3629" s="6">
        <f t="shared" si="126"/>
        <v>33886</v>
      </c>
      <c r="O3629" s="6">
        <f t="shared" si="127"/>
        <v>33886</v>
      </c>
      <c r="P3629" s="8">
        <f>VLOOKUP(F3629,'LEAID Match'!$A$2:$B$436,2,FALSE)</f>
        <v>0</v>
      </c>
      <c r="Q3629" s="6">
        <f t="shared" si="128"/>
        <v>371</v>
      </c>
    </row>
    <row r="3630" spans="1:17" x14ac:dyDescent="0.2">
      <c r="A3630" s="16">
        <f t="shared" si="124"/>
        <v>0</v>
      </c>
      <c r="B3630">
        <v>2022</v>
      </c>
      <c r="C3630" t="s">
        <v>904</v>
      </c>
      <c r="D3630" t="s">
        <v>906</v>
      </c>
      <c r="E3630" t="s">
        <v>4536</v>
      </c>
      <c r="F3630" t="s">
        <v>888</v>
      </c>
      <c r="G3630" t="s">
        <v>446</v>
      </c>
      <c r="H3630" s="6" t="s">
        <v>893</v>
      </c>
      <c r="K3630" s="6">
        <v>33024</v>
      </c>
      <c r="M3630" s="6">
        <f t="shared" si="125"/>
        <v>0</v>
      </c>
      <c r="N3630" s="6">
        <f t="shared" si="126"/>
        <v>33024</v>
      </c>
      <c r="O3630" s="6">
        <f t="shared" si="127"/>
        <v>33024</v>
      </c>
      <c r="P3630" s="8">
        <f>VLOOKUP(F3630,'LEAID Match'!$A$2:$B$436,2,FALSE)</f>
        <v>0</v>
      </c>
      <c r="Q3630" s="6">
        <f t="shared" si="128"/>
        <v>371</v>
      </c>
    </row>
    <row r="3631" spans="1:17" x14ac:dyDescent="0.2">
      <c r="A3631" s="16">
        <f t="shared" si="124"/>
        <v>0</v>
      </c>
      <c r="B3631">
        <v>2023</v>
      </c>
      <c r="C3631" t="s">
        <v>904</v>
      </c>
      <c r="D3631" t="s">
        <v>906</v>
      </c>
      <c r="E3631" t="s">
        <v>4537</v>
      </c>
      <c r="F3631" t="s">
        <v>888</v>
      </c>
      <c r="G3631" t="s">
        <v>446</v>
      </c>
      <c r="H3631" s="6" t="s">
        <v>893</v>
      </c>
      <c r="K3631" s="6">
        <v>71995</v>
      </c>
      <c r="M3631" s="6">
        <f t="shared" si="125"/>
        <v>0</v>
      </c>
      <c r="N3631" s="6">
        <f t="shared" si="126"/>
        <v>71995</v>
      </c>
      <c r="O3631" s="6">
        <f t="shared" si="127"/>
        <v>71995</v>
      </c>
      <c r="P3631" s="8">
        <f>VLOOKUP(F3631,'LEAID Match'!$A$2:$B$436,2,FALSE)</f>
        <v>0</v>
      </c>
      <c r="Q3631" s="6">
        <f t="shared" si="128"/>
        <v>371</v>
      </c>
    </row>
    <row r="3632" spans="1:17" x14ac:dyDescent="0.2">
      <c r="A3632" s="16">
        <f t="shared" si="124"/>
        <v>0</v>
      </c>
      <c r="B3632">
        <v>2018</v>
      </c>
      <c r="C3632" t="s">
        <v>904</v>
      </c>
      <c r="D3632" t="s">
        <v>906</v>
      </c>
      <c r="E3632" t="s">
        <v>4538</v>
      </c>
      <c r="F3632" t="s">
        <v>889</v>
      </c>
      <c r="G3632" t="s">
        <v>447</v>
      </c>
      <c r="H3632" s="6">
        <v>0</v>
      </c>
      <c r="I3632" s="6">
        <v>0</v>
      </c>
      <c r="J3632" s="6">
        <v>0</v>
      </c>
      <c r="K3632" s="6">
        <v>60581</v>
      </c>
      <c r="M3632" s="6">
        <f t="shared" si="125"/>
        <v>0</v>
      </c>
      <c r="N3632" s="6">
        <f t="shared" si="126"/>
        <v>60581</v>
      </c>
      <c r="O3632" s="6">
        <f t="shared" si="127"/>
        <v>60581</v>
      </c>
      <c r="P3632" s="8">
        <f>VLOOKUP(F3632,'LEAID Match'!$A$2:$B$436,2,FALSE)</f>
        <v>0</v>
      </c>
      <c r="Q3632" s="6">
        <f t="shared" si="128"/>
        <v>371</v>
      </c>
    </row>
    <row r="3633" spans="1:17" x14ac:dyDescent="0.2">
      <c r="A3633" s="16">
        <f t="shared" si="124"/>
        <v>0</v>
      </c>
      <c r="B3633">
        <v>2020</v>
      </c>
      <c r="C3633" t="s">
        <v>904</v>
      </c>
      <c r="D3633" t="s">
        <v>906</v>
      </c>
      <c r="E3633" t="s">
        <v>4539</v>
      </c>
      <c r="F3633" t="s">
        <v>889</v>
      </c>
      <c r="G3633" t="s">
        <v>447</v>
      </c>
      <c r="H3633" s="6">
        <v>0</v>
      </c>
      <c r="I3633" s="6">
        <v>0</v>
      </c>
      <c r="J3633" s="6">
        <v>0</v>
      </c>
      <c r="K3633" s="6">
        <v>65551</v>
      </c>
      <c r="M3633" s="6">
        <f t="shared" si="125"/>
        <v>0</v>
      </c>
      <c r="N3633" s="6">
        <f t="shared" si="126"/>
        <v>65551</v>
      </c>
      <c r="O3633" s="6">
        <f t="shared" si="127"/>
        <v>65551</v>
      </c>
      <c r="P3633" s="8">
        <f>VLOOKUP(F3633,'LEAID Match'!$A$2:$B$436,2,FALSE)</f>
        <v>0</v>
      </c>
      <c r="Q3633" s="6">
        <f t="shared" si="128"/>
        <v>371</v>
      </c>
    </row>
    <row r="3634" spans="1:17" x14ac:dyDescent="0.2">
      <c r="A3634" s="16">
        <f t="shared" si="124"/>
        <v>0</v>
      </c>
      <c r="B3634">
        <v>2021</v>
      </c>
      <c r="C3634" t="s">
        <v>904</v>
      </c>
      <c r="D3634" t="s">
        <v>906</v>
      </c>
      <c r="E3634" t="s">
        <v>4540</v>
      </c>
      <c r="F3634" t="s">
        <v>889</v>
      </c>
      <c r="G3634" t="s">
        <v>447</v>
      </c>
      <c r="H3634" s="6" t="s">
        <v>893</v>
      </c>
      <c r="K3634" s="6">
        <v>88230</v>
      </c>
      <c r="M3634" s="6">
        <f t="shared" si="125"/>
        <v>0</v>
      </c>
      <c r="N3634" s="6">
        <f t="shared" si="126"/>
        <v>88230</v>
      </c>
      <c r="O3634" s="6">
        <f t="shared" si="127"/>
        <v>88230</v>
      </c>
      <c r="P3634" s="8">
        <f>VLOOKUP(F3634,'LEAID Match'!$A$2:$B$436,2,FALSE)</f>
        <v>0</v>
      </c>
      <c r="Q3634" s="6">
        <f t="shared" si="128"/>
        <v>371</v>
      </c>
    </row>
    <row r="3635" spans="1:17" x14ac:dyDescent="0.2">
      <c r="A3635" s="16">
        <f t="shared" si="124"/>
        <v>0</v>
      </c>
      <c r="B3635">
        <v>2022</v>
      </c>
      <c r="C3635" t="s">
        <v>904</v>
      </c>
      <c r="D3635" t="s">
        <v>906</v>
      </c>
      <c r="E3635" t="s">
        <v>4541</v>
      </c>
      <c r="F3635" t="s">
        <v>889</v>
      </c>
      <c r="G3635" t="s">
        <v>447</v>
      </c>
      <c r="H3635" s="6" t="s">
        <v>893</v>
      </c>
      <c r="K3635" s="6">
        <v>75350</v>
      </c>
      <c r="M3635" s="6">
        <f t="shared" si="125"/>
        <v>0</v>
      </c>
      <c r="N3635" s="6">
        <f t="shared" si="126"/>
        <v>75350</v>
      </c>
      <c r="O3635" s="6">
        <f t="shared" si="127"/>
        <v>75350</v>
      </c>
      <c r="P3635" s="8">
        <f>VLOOKUP(F3635,'LEAID Match'!$A$2:$B$436,2,FALSE)</f>
        <v>0</v>
      </c>
      <c r="Q3635" s="6">
        <f t="shared" si="128"/>
        <v>371</v>
      </c>
    </row>
    <row r="3636" spans="1:17" x14ac:dyDescent="0.2">
      <c r="A3636" s="16">
        <f t="shared" si="124"/>
        <v>0</v>
      </c>
      <c r="B3636">
        <v>2023</v>
      </c>
      <c r="C3636" t="s">
        <v>904</v>
      </c>
      <c r="D3636" t="s">
        <v>906</v>
      </c>
      <c r="E3636" t="s">
        <v>4542</v>
      </c>
      <c r="F3636" t="s">
        <v>889</v>
      </c>
      <c r="G3636" t="s">
        <v>447</v>
      </c>
      <c r="H3636" s="6" t="s">
        <v>893</v>
      </c>
      <c r="K3636" s="6">
        <v>130015</v>
      </c>
      <c r="M3636" s="6">
        <f t="shared" si="125"/>
        <v>0</v>
      </c>
      <c r="N3636" s="6">
        <f t="shared" si="126"/>
        <v>130015</v>
      </c>
      <c r="O3636" s="6">
        <f t="shared" si="127"/>
        <v>130015</v>
      </c>
      <c r="P3636" s="8">
        <f>VLOOKUP(F3636,'LEAID Match'!$A$2:$B$436,2,FALSE)</f>
        <v>0</v>
      </c>
      <c r="Q3636" s="6">
        <f t="shared" si="128"/>
        <v>371</v>
      </c>
    </row>
    <row r="3637" spans="1:17" x14ac:dyDescent="0.2">
      <c r="A3637" s="16">
        <f t="shared" si="124"/>
        <v>0</v>
      </c>
      <c r="B3637">
        <v>2018</v>
      </c>
      <c r="C3637" t="s">
        <v>904</v>
      </c>
      <c r="D3637" t="s">
        <v>906</v>
      </c>
      <c r="E3637" t="s">
        <v>4543</v>
      </c>
      <c r="F3637" t="s">
        <v>890</v>
      </c>
      <c r="G3637" t="s">
        <v>448</v>
      </c>
      <c r="H3637" s="6">
        <v>0</v>
      </c>
      <c r="I3637" s="6">
        <v>0</v>
      </c>
      <c r="J3637" s="6">
        <v>0</v>
      </c>
      <c r="K3637" s="6">
        <v>21938</v>
      </c>
      <c r="M3637" s="6">
        <f t="shared" si="125"/>
        <v>0</v>
      </c>
      <c r="N3637" s="6">
        <f t="shared" si="126"/>
        <v>21938</v>
      </c>
      <c r="O3637" s="6">
        <f t="shared" si="127"/>
        <v>21938</v>
      </c>
      <c r="P3637" s="8">
        <f>VLOOKUP(F3637,'LEAID Match'!$A$2:$B$436,2,FALSE)</f>
        <v>0</v>
      </c>
      <c r="Q3637" s="6">
        <f t="shared" si="128"/>
        <v>371</v>
      </c>
    </row>
    <row r="3638" spans="1:17" x14ac:dyDescent="0.2">
      <c r="A3638" s="16">
        <f t="shared" si="124"/>
        <v>0</v>
      </c>
      <c r="B3638">
        <v>2020</v>
      </c>
      <c r="C3638" t="s">
        <v>904</v>
      </c>
      <c r="D3638" t="s">
        <v>906</v>
      </c>
      <c r="E3638" t="s">
        <v>4544</v>
      </c>
      <c r="F3638" t="s">
        <v>890</v>
      </c>
      <c r="G3638" t="s">
        <v>448</v>
      </c>
      <c r="H3638" s="6">
        <v>0</v>
      </c>
      <c r="I3638" s="6">
        <v>0</v>
      </c>
      <c r="J3638" s="6">
        <v>0</v>
      </c>
      <c r="K3638" s="6">
        <v>23696</v>
      </c>
      <c r="M3638" s="6">
        <f t="shared" si="125"/>
        <v>0</v>
      </c>
      <c r="N3638" s="6">
        <f t="shared" si="126"/>
        <v>23696</v>
      </c>
      <c r="O3638" s="6">
        <f t="shared" si="127"/>
        <v>23696</v>
      </c>
      <c r="P3638" s="8">
        <f>VLOOKUP(F3638,'LEAID Match'!$A$2:$B$436,2,FALSE)</f>
        <v>0</v>
      </c>
      <c r="Q3638" s="6">
        <f t="shared" si="128"/>
        <v>371</v>
      </c>
    </row>
    <row r="3639" spans="1:17" x14ac:dyDescent="0.2">
      <c r="A3639" s="16">
        <f t="shared" si="124"/>
        <v>0</v>
      </c>
      <c r="B3639">
        <v>2021</v>
      </c>
      <c r="C3639" t="s">
        <v>904</v>
      </c>
      <c r="D3639" t="s">
        <v>906</v>
      </c>
      <c r="E3639" t="s">
        <v>4545</v>
      </c>
      <c r="F3639" t="s">
        <v>890</v>
      </c>
      <c r="G3639" t="s">
        <v>448</v>
      </c>
      <c r="H3639" s="6" t="s">
        <v>893</v>
      </c>
      <c r="K3639" s="6">
        <v>37562</v>
      </c>
      <c r="M3639" s="6">
        <f t="shared" si="125"/>
        <v>0</v>
      </c>
      <c r="N3639" s="6">
        <f t="shared" si="126"/>
        <v>37562</v>
      </c>
      <c r="O3639" s="6">
        <f t="shared" si="127"/>
        <v>37562</v>
      </c>
      <c r="P3639" s="8">
        <f>VLOOKUP(F3639,'LEAID Match'!$A$2:$B$436,2,FALSE)</f>
        <v>0</v>
      </c>
      <c r="Q3639" s="6">
        <f t="shared" si="128"/>
        <v>371</v>
      </c>
    </row>
    <row r="3640" spans="1:17" x14ac:dyDescent="0.2">
      <c r="A3640" s="16">
        <f t="shared" si="124"/>
        <v>0</v>
      </c>
      <c r="B3640">
        <v>2022</v>
      </c>
      <c r="C3640" t="s">
        <v>904</v>
      </c>
      <c r="D3640" t="s">
        <v>906</v>
      </c>
      <c r="E3640" t="s">
        <v>4546</v>
      </c>
      <c r="F3640" t="s">
        <v>890</v>
      </c>
      <c r="G3640" t="s">
        <v>448</v>
      </c>
      <c r="H3640" s="6" t="s">
        <v>893</v>
      </c>
      <c r="K3640" s="6">
        <v>36745</v>
      </c>
      <c r="M3640" s="6">
        <f t="shared" si="125"/>
        <v>0</v>
      </c>
      <c r="N3640" s="6">
        <f t="shared" si="126"/>
        <v>36745</v>
      </c>
      <c r="O3640" s="6">
        <f t="shared" si="127"/>
        <v>36745</v>
      </c>
      <c r="P3640" s="8">
        <f>VLOOKUP(F3640,'LEAID Match'!$A$2:$B$436,2,FALSE)</f>
        <v>0</v>
      </c>
      <c r="Q3640" s="6">
        <f t="shared" si="128"/>
        <v>371</v>
      </c>
    </row>
    <row r="3641" spans="1:17" x14ac:dyDescent="0.2">
      <c r="A3641" s="16">
        <f t="shared" si="124"/>
        <v>0</v>
      </c>
      <c r="B3641">
        <v>2023</v>
      </c>
      <c r="C3641" t="s">
        <v>904</v>
      </c>
      <c r="D3641" t="s">
        <v>906</v>
      </c>
      <c r="E3641" t="s">
        <v>4547</v>
      </c>
      <c r="F3641" t="s">
        <v>890</v>
      </c>
      <c r="G3641" t="s">
        <v>448</v>
      </c>
      <c r="H3641" s="6" t="s">
        <v>893</v>
      </c>
      <c r="K3641" s="6">
        <v>79618</v>
      </c>
      <c r="M3641" s="6">
        <f t="shared" si="125"/>
        <v>0</v>
      </c>
      <c r="N3641" s="6">
        <f t="shared" si="126"/>
        <v>79618</v>
      </c>
      <c r="O3641" s="6">
        <f t="shared" si="127"/>
        <v>79618</v>
      </c>
      <c r="P3641" s="8">
        <f>VLOOKUP(F3641,'LEAID Match'!$A$2:$B$436,2,FALSE)</f>
        <v>0</v>
      </c>
      <c r="Q3641" s="6">
        <f t="shared" si="128"/>
        <v>371</v>
      </c>
    </row>
    <row r="3642" spans="1:17" x14ac:dyDescent="0.2">
      <c r="A3642" s="16">
        <f t="shared" si="124"/>
        <v>0</v>
      </c>
      <c r="B3642">
        <v>2018</v>
      </c>
      <c r="C3642" t="s">
        <v>904</v>
      </c>
      <c r="D3642" t="s">
        <v>906</v>
      </c>
      <c r="E3642" t="s">
        <v>4548</v>
      </c>
      <c r="F3642" t="s">
        <v>891</v>
      </c>
      <c r="G3642" t="s">
        <v>449</v>
      </c>
      <c r="H3642" s="6">
        <v>0</v>
      </c>
      <c r="I3642" s="6">
        <v>0</v>
      </c>
      <c r="J3642" s="6">
        <v>0</v>
      </c>
      <c r="K3642" s="6">
        <v>6334</v>
      </c>
      <c r="M3642" s="6">
        <f t="shared" si="125"/>
        <v>0</v>
      </c>
      <c r="N3642" s="6">
        <f t="shared" si="126"/>
        <v>6334</v>
      </c>
      <c r="O3642" s="6">
        <f t="shared" si="127"/>
        <v>6334</v>
      </c>
      <c r="P3642" s="8">
        <f>VLOOKUP(F3642,'LEAID Match'!$A$2:$B$436,2,FALSE)</f>
        <v>0</v>
      </c>
      <c r="Q3642" s="6">
        <f t="shared" si="128"/>
        <v>371</v>
      </c>
    </row>
    <row r="3643" spans="1:17" x14ac:dyDescent="0.2">
      <c r="A3643" s="16">
        <f t="shared" si="124"/>
        <v>0</v>
      </c>
      <c r="B3643">
        <v>2020</v>
      </c>
      <c r="C3643" t="s">
        <v>904</v>
      </c>
      <c r="D3643" t="s">
        <v>906</v>
      </c>
      <c r="E3643" t="s">
        <v>4549</v>
      </c>
      <c r="F3643" t="s">
        <v>891</v>
      </c>
      <c r="G3643" t="s">
        <v>449</v>
      </c>
      <c r="H3643" s="6">
        <v>0</v>
      </c>
      <c r="I3643" s="6">
        <v>0</v>
      </c>
      <c r="J3643" s="6">
        <v>0</v>
      </c>
      <c r="K3643" s="6">
        <v>6798</v>
      </c>
      <c r="M3643" s="6">
        <f t="shared" si="125"/>
        <v>0</v>
      </c>
      <c r="N3643" s="6">
        <f t="shared" si="126"/>
        <v>6798</v>
      </c>
      <c r="O3643" s="6">
        <f t="shared" si="127"/>
        <v>6798</v>
      </c>
      <c r="P3643" s="8">
        <f>VLOOKUP(F3643,'LEAID Match'!$A$2:$B$436,2,FALSE)</f>
        <v>0</v>
      </c>
      <c r="Q3643" s="6">
        <f t="shared" si="128"/>
        <v>371</v>
      </c>
    </row>
    <row r="3644" spans="1:17" x14ac:dyDescent="0.2">
      <c r="A3644" s="16">
        <f t="shared" si="124"/>
        <v>0</v>
      </c>
      <c r="B3644">
        <v>2021</v>
      </c>
      <c r="C3644" t="s">
        <v>904</v>
      </c>
      <c r="D3644" t="s">
        <v>906</v>
      </c>
      <c r="E3644" t="s">
        <v>4550</v>
      </c>
      <c r="F3644" t="s">
        <v>891</v>
      </c>
      <c r="G3644" t="s">
        <v>449</v>
      </c>
      <c r="H3644" s="6" t="s">
        <v>893</v>
      </c>
      <c r="K3644" s="6">
        <v>10389</v>
      </c>
      <c r="M3644" s="6">
        <f t="shared" si="125"/>
        <v>0</v>
      </c>
      <c r="N3644" s="6">
        <f t="shared" si="126"/>
        <v>10389</v>
      </c>
      <c r="O3644" s="6">
        <f t="shared" si="127"/>
        <v>10389</v>
      </c>
      <c r="P3644" s="8">
        <f>VLOOKUP(F3644,'LEAID Match'!$A$2:$B$436,2,FALSE)</f>
        <v>0</v>
      </c>
      <c r="Q3644" s="6">
        <f t="shared" si="128"/>
        <v>371</v>
      </c>
    </row>
    <row r="3645" spans="1:17" x14ac:dyDescent="0.2">
      <c r="A3645" s="16">
        <f t="shared" si="124"/>
        <v>0</v>
      </c>
      <c r="B3645">
        <v>2022</v>
      </c>
      <c r="C3645" t="s">
        <v>904</v>
      </c>
      <c r="D3645" t="s">
        <v>906</v>
      </c>
      <c r="E3645" t="s">
        <v>4551</v>
      </c>
      <c r="F3645" t="s">
        <v>891</v>
      </c>
      <c r="G3645" t="s">
        <v>449</v>
      </c>
      <c r="H3645" s="6" t="s">
        <v>893</v>
      </c>
      <c r="K3645" s="6">
        <v>8837</v>
      </c>
      <c r="M3645" s="6">
        <f t="shared" si="125"/>
        <v>0</v>
      </c>
      <c r="N3645" s="6">
        <f t="shared" si="126"/>
        <v>8837</v>
      </c>
      <c r="O3645" s="6">
        <f t="shared" si="127"/>
        <v>8837</v>
      </c>
      <c r="P3645" s="8">
        <f>VLOOKUP(F3645,'LEAID Match'!$A$2:$B$436,2,FALSE)</f>
        <v>0</v>
      </c>
      <c r="Q3645" s="6">
        <f t="shared" si="128"/>
        <v>371</v>
      </c>
    </row>
    <row r="3646" spans="1:17" x14ac:dyDescent="0.2">
      <c r="A3646" s="16">
        <f t="shared" si="124"/>
        <v>0</v>
      </c>
      <c r="B3646">
        <v>2023</v>
      </c>
      <c r="C3646" t="s">
        <v>904</v>
      </c>
      <c r="D3646" t="s">
        <v>906</v>
      </c>
      <c r="E3646" t="s">
        <v>4552</v>
      </c>
      <c r="F3646" t="s">
        <v>891</v>
      </c>
      <c r="G3646" t="s">
        <v>449</v>
      </c>
      <c r="H3646" s="6" t="s">
        <v>893</v>
      </c>
      <c r="K3646" s="6">
        <v>19058</v>
      </c>
      <c r="M3646" s="6">
        <f t="shared" si="125"/>
        <v>0</v>
      </c>
      <c r="N3646" s="6">
        <f t="shared" si="126"/>
        <v>19058</v>
      </c>
      <c r="O3646" s="6">
        <f t="shared" si="127"/>
        <v>19058</v>
      </c>
      <c r="P3646" s="8">
        <f>VLOOKUP(F3646,'LEAID Match'!$A$2:$B$436,2,FALSE)</f>
        <v>0</v>
      </c>
      <c r="Q3646" s="6">
        <f t="shared" si="128"/>
        <v>371</v>
      </c>
    </row>
    <row r="3647" spans="1:17" x14ac:dyDescent="0.2">
      <c r="A3647" s="16">
        <f t="shared" si="124"/>
        <v>0</v>
      </c>
      <c r="B3647">
        <v>2015</v>
      </c>
      <c r="C3647" t="s">
        <v>904</v>
      </c>
      <c r="D3647" t="s">
        <v>906</v>
      </c>
      <c r="E3647" t="s">
        <v>4553</v>
      </c>
      <c r="F3647" t="s">
        <v>830</v>
      </c>
      <c r="G3647" t="s">
        <v>368</v>
      </c>
      <c r="H3647" s="6">
        <v>771627</v>
      </c>
      <c r="I3647" s="6">
        <v>3.7521960592913762E-3</v>
      </c>
      <c r="J3647" s="6">
        <v>21804.011300542188</v>
      </c>
      <c r="K3647" s="6">
        <v>3172917.0228737299</v>
      </c>
      <c r="M3647" s="6">
        <f t="shared" si="125"/>
        <v>793431.01130054216</v>
      </c>
      <c r="N3647" s="6">
        <f t="shared" si="126"/>
        <v>3172917.0228737299</v>
      </c>
      <c r="O3647" s="6">
        <f t="shared" si="127"/>
        <v>3966348.0341742719</v>
      </c>
      <c r="P3647" s="8">
        <f>VLOOKUP(F3647,'LEAID Match'!$A$2:$B$436,2,FALSE)</f>
        <v>0</v>
      </c>
      <c r="Q3647" s="6">
        <f t="shared" si="128"/>
        <v>371</v>
      </c>
    </row>
    <row r="3648" spans="1:17" x14ac:dyDescent="0.2">
      <c r="A3648" s="16">
        <f t="shared" si="124"/>
        <v>0</v>
      </c>
      <c r="B3648">
        <v>2016</v>
      </c>
      <c r="C3648" t="s">
        <v>904</v>
      </c>
      <c r="D3648" t="s">
        <v>906</v>
      </c>
      <c r="E3648" t="s">
        <v>4554</v>
      </c>
      <c r="F3648" t="s">
        <v>830</v>
      </c>
      <c r="G3648" t="s">
        <v>368</v>
      </c>
      <c r="H3648" s="6">
        <v>758090</v>
      </c>
      <c r="I3648" s="6">
        <v>3.5176307057751622E-3</v>
      </c>
      <c r="J3648" s="6">
        <v>17756.99980275302</v>
      </c>
      <c r="K3648" s="6">
        <v>3121897.2513754498</v>
      </c>
      <c r="M3648" s="6">
        <f t="shared" si="125"/>
        <v>775846.99980275298</v>
      </c>
      <c r="N3648" s="6">
        <f t="shared" si="126"/>
        <v>3121897.2513754498</v>
      </c>
      <c r="O3648" s="6">
        <f t="shared" si="127"/>
        <v>3897744.2511782027</v>
      </c>
      <c r="P3648" s="8">
        <f>VLOOKUP(F3648,'LEAID Match'!$A$2:$B$436,2,FALSE)</f>
        <v>0</v>
      </c>
      <c r="Q3648" s="6">
        <f t="shared" si="128"/>
        <v>371</v>
      </c>
    </row>
    <row r="3649" spans="1:17" x14ac:dyDescent="0.2">
      <c r="A3649" s="16">
        <f t="shared" si="124"/>
        <v>0</v>
      </c>
      <c r="B3649">
        <v>2017</v>
      </c>
      <c r="C3649" t="s">
        <v>904</v>
      </c>
      <c r="D3649" t="s">
        <v>906</v>
      </c>
      <c r="E3649" t="s">
        <v>4555</v>
      </c>
      <c r="F3649" t="s">
        <v>830</v>
      </c>
      <c r="G3649" t="s">
        <v>368</v>
      </c>
      <c r="H3649" s="6">
        <v>879172</v>
      </c>
      <c r="I3649" s="6">
        <v>3.8713704311469704E-3</v>
      </c>
      <c r="J3649" s="6">
        <v>17517.951200940042</v>
      </c>
      <c r="K3649" s="6">
        <v>3371963.6455290099</v>
      </c>
      <c r="M3649" s="6">
        <f t="shared" si="125"/>
        <v>896689.95120094006</v>
      </c>
      <c r="N3649" s="6">
        <f t="shared" si="126"/>
        <v>3371963.6455290099</v>
      </c>
      <c r="O3649" s="6">
        <f t="shared" si="127"/>
        <v>4268653.59672995</v>
      </c>
      <c r="P3649" s="8">
        <f>VLOOKUP(F3649,'LEAID Match'!$A$2:$B$436,2,FALSE)</f>
        <v>0</v>
      </c>
      <c r="Q3649" s="6">
        <f t="shared" si="128"/>
        <v>371</v>
      </c>
    </row>
    <row r="3650" spans="1:17" x14ac:dyDescent="0.2">
      <c r="A3650" s="16">
        <f t="shared" si="124"/>
        <v>0</v>
      </c>
      <c r="B3650">
        <v>2018</v>
      </c>
      <c r="C3650" t="s">
        <v>904</v>
      </c>
      <c r="D3650" t="s">
        <v>906</v>
      </c>
      <c r="E3650" t="s">
        <v>4556</v>
      </c>
      <c r="F3650" t="s">
        <v>830</v>
      </c>
      <c r="G3650" t="s">
        <v>368</v>
      </c>
      <c r="H3650" s="6">
        <v>813589</v>
      </c>
      <c r="I3650" s="6">
        <v>3.4515462325893208E-3</v>
      </c>
      <c r="J3650" s="6">
        <v>14386.044697432289</v>
      </c>
      <c r="K3650" s="6">
        <v>6074111</v>
      </c>
      <c r="M3650" s="6">
        <f t="shared" si="125"/>
        <v>827975.04469743231</v>
      </c>
      <c r="N3650" s="6">
        <f t="shared" si="126"/>
        <v>6074111</v>
      </c>
      <c r="O3650" s="6">
        <f t="shared" si="127"/>
        <v>6902086.0446974318</v>
      </c>
      <c r="P3650" s="8">
        <f>VLOOKUP(F3650,'LEAID Match'!$A$2:$B$436,2,FALSE)</f>
        <v>0</v>
      </c>
      <c r="Q3650" s="6">
        <f t="shared" si="128"/>
        <v>371</v>
      </c>
    </row>
    <row r="3651" spans="1:17" x14ac:dyDescent="0.2">
      <c r="A3651" s="16">
        <f t="shared" ref="A3651:A3691" si="129">P3651</f>
        <v>0</v>
      </c>
      <c r="B3651">
        <v>2019</v>
      </c>
      <c r="C3651" t="s">
        <v>904</v>
      </c>
      <c r="D3651" t="s">
        <v>906</v>
      </c>
      <c r="E3651" t="s">
        <v>4557</v>
      </c>
      <c r="F3651" t="s">
        <v>830</v>
      </c>
      <c r="G3651" t="s">
        <v>368</v>
      </c>
      <c r="H3651" s="6">
        <v>150833248</v>
      </c>
      <c r="I3651" s="6">
        <v>0.38371896487842239</v>
      </c>
      <c r="J3651" s="6">
        <v>1344934.9718988705</v>
      </c>
      <c r="K3651" s="6">
        <v>362192330.94874197</v>
      </c>
      <c r="M3651" s="6">
        <f t="shared" ref="M3651:M3691" si="130">SUM(H3651,J3651)</f>
        <v>152178182.97189888</v>
      </c>
      <c r="N3651" s="6">
        <f t="shared" ref="N3651:N3691" si="131">K3651</f>
        <v>362192330.94874197</v>
      </c>
      <c r="O3651" s="6">
        <f t="shared" ref="O3651:O3691" si="132">SUM(M3651:N3651)</f>
        <v>514370513.92064083</v>
      </c>
      <c r="P3651" s="8">
        <f>VLOOKUP(F3651,'LEAID Match'!$A$2:$B$436,2,FALSE)</f>
        <v>0</v>
      </c>
      <c r="Q3651" s="6">
        <f t="shared" ref="Q3651:Q3691" si="133">COUNTIF($P$2:$P$3691,P3651)</f>
        <v>371</v>
      </c>
    </row>
    <row r="3652" spans="1:17" x14ac:dyDescent="0.2">
      <c r="A3652" s="16">
        <f t="shared" si="129"/>
        <v>0</v>
      </c>
      <c r="B3652">
        <v>2020</v>
      </c>
      <c r="C3652" t="s">
        <v>904</v>
      </c>
      <c r="D3652" t="s">
        <v>906</v>
      </c>
      <c r="E3652" t="s">
        <v>4558</v>
      </c>
      <c r="F3652" t="s">
        <v>830</v>
      </c>
      <c r="G3652" t="s">
        <v>368</v>
      </c>
      <c r="H3652" s="6">
        <v>604591</v>
      </c>
      <c r="I3652" s="6">
        <v>3.2035509904339145E-3</v>
      </c>
      <c r="J3652" s="6">
        <v>7547.5661334623028</v>
      </c>
      <c r="K3652" s="6">
        <v>6406169</v>
      </c>
      <c r="M3652" s="6">
        <f t="shared" si="130"/>
        <v>612138.56613346236</v>
      </c>
      <c r="N3652" s="6">
        <f t="shared" si="131"/>
        <v>6406169</v>
      </c>
      <c r="O3652" s="6">
        <f t="shared" si="132"/>
        <v>7018307.5661334619</v>
      </c>
      <c r="P3652" s="8">
        <f>VLOOKUP(F3652,'LEAID Match'!$A$2:$B$436,2,FALSE)</f>
        <v>0</v>
      </c>
      <c r="Q3652" s="6">
        <f t="shared" si="133"/>
        <v>371</v>
      </c>
    </row>
    <row r="3653" spans="1:17" x14ac:dyDescent="0.2">
      <c r="A3653" s="16">
        <f t="shared" si="129"/>
        <v>0</v>
      </c>
      <c r="B3653">
        <v>2021</v>
      </c>
      <c r="C3653" t="s">
        <v>904</v>
      </c>
      <c r="D3653" t="s">
        <v>906</v>
      </c>
      <c r="E3653" t="s">
        <v>4559</v>
      </c>
      <c r="F3653" t="s">
        <v>830</v>
      </c>
      <c r="G3653" t="s">
        <v>368</v>
      </c>
      <c r="H3653" s="6">
        <v>604487</v>
      </c>
      <c r="I3653" s="6">
        <v>2.9862219966444023E-3</v>
      </c>
      <c r="J3653" s="6">
        <v>6730.9443804364828</v>
      </c>
      <c r="K3653" s="6">
        <v>10009823</v>
      </c>
      <c r="M3653" s="6">
        <f t="shared" si="130"/>
        <v>611217.94438043644</v>
      </c>
      <c r="N3653" s="6">
        <f t="shared" si="131"/>
        <v>10009823</v>
      </c>
      <c r="O3653" s="6">
        <f t="shared" si="132"/>
        <v>10621040.944380436</v>
      </c>
      <c r="P3653" s="8">
        <f>VLOOKUP(F3653,'LEAID Match'!$A$2:$B$436,2,FALSE)</f>
        <v>0</v>
      </c>
      <c r="Q3653" s="6">
        <f t="shared" si="133"/>
        <v>371</v>
      </c>
    </row>
    <row r="3654" spans="1:17" x14ac:dyDescent="0.2">
      <c r="A3654" s="16">
        <f t="shared" si="129"/>
        <v>0</v>
      </c>
      <c r="B3654">
        <v>2022</v>
      </c>
      <c r="C3654" t="s">
        <v>904</v>
      </c>
      <c r="D3654" t="s">
        <v>906</v>
      </c>
      <c r="E3654" t="s">
        <v>4560</v>
      </c>
      <c r="F3654" t="s">
        <v>830</v>
      </c>
      <c r="G3654" t="s">
        <v>368</v>
      </c>
      <c r="H3654" s="6">
        <v>621745</v>
      </c>
      <c r="I3654" s="6">
        <v>2.952160812014232E-3</v>
      </c>
      <c r="J3654" s="6">
        <v>6509.5145904913816</v>
      </c>
      <c r="K3654" s="6">
        <v>9781384</v>
      </c>
      <c r="M3654" s="6">
        <f t="shared" si="130"/>
        <v>628254.51459049142</v>
      </c>
      <c r="N3654" s="6">
        <f t="shared" si="131"/>
        <v>9781384</v>
      </c>
      <c r="O3654" s="6">
        <f t="shared" si="132"/>
        <v>10409638.514590491</v>
      </c>
      <c r="P3654" s="8">
        <f>VLOOKUP(F3654,'LEAID Match'!$A$2:$B$436,2,FALSE)</f>
        <v>0</v>
      </c>
      <c r="Q3654" s="6">
        <f t="shared" si="133"/>
        <v>371</v>
      </c>
    </row>
    <row r="3655" spans="1:17" x14ac:dyDescent="0.2">
      <c r="A3655" s="16">
        <f t="shared" si="129"/>
        <v>0</v>
      </c>
      <c r="B3655">
        <v>2023</v>
      </c>
      <c r="C3655" t="s">
        <v>904</v>
      </c>
      <c r="D3655" t="s">
        <v>906</v>
      </c>
      <c r="E3655" t="s">
        <v>4561</v>
      </c>
      <c r="F3655" t="s">
        <v>830</v>
      </c>
      <c r="G3655" t="s">
        <v>368</v>
      </c>
      <c r="H3655" s="6">
        <v>820053</v>
      </c>
      <c r="I3655" s="6">
        <v>3.353566189810015E-3</v>
      </c>
      <c r="J3655" s="6">
        <v>8273.2477902613064</v>
      </c>
      <c r="K3655" s="6">
        <v>24335581</v>
      </c>
      <c r="M3655" s="6">
        <f t="shared" si="130"/>
        <v>828326.24779026129</v>
      </c>
      <c r="N3655" s="6">
        <f t="shared" si="131"/>
        <v>24335581</v>
      </c>
      <c r="O3655" s="6">
        <f t="shared" si="132"/>
        <v>25163907.247790262</v>
      </c>
      <c r="P3655" s="8">
        <f>VLOOKUP(F3655,'LEAID Match'!$A$2:$B$436,2,FALSE)</f>
        <v>0</v>
      </c>
      <c r="Q3655" s="6">
        <f t="shared" si="133"/>
        <v>371</v>
      </c>
    </row>
    <row r="3656" spans="1:17" x14ac:dyDescent="0.2">
      <c r="A3656" s="16">
        <f t="shared" si="129"/>
        <v>0</v>
      </c>
      <c r="B3656">
        <v>2016</v>
      </c>
      <c r="C3656" t="s">
        <v>904</v>
      </c>
      <c r="D3656" t="s">
        <v>906</v>
      </c>
      <c r="E3656" t="s">
        <v>4562</v>
      </c>
      <c r="F3656" t="s">
        <v>866</v>
      </c>
      <c r="G3656" t="s">
        <v>380</v>
      </c>
      <c r="H3656" s="6" t="s">
        <v>187</v>
      </c>
      <c r="I3656" s="6">
        <v>0</v>
      </c>
      <c r="J3656" s="6">
        <v>0</v>
      </c>
      <c r="K3656" s="6">
        <v>0</v>
      </c>
      <c r="M3656" s="6">
        <f t="shared" si="130"/>
        <v>0</v>
      </c>
      <c r="N3656" s="6">
        <f t="shared" si="131"/>
        <v>0</v>
      </c>
      <c r="O3656" s="6">
        <f t="shared" si="132"/>
        <v>0</v>
      </c>
      <c r="P3656" s="8">
        <f>VLOOKUP(F3656,'LEAID Match'!$A$2:$B$436,2,FALSE)</f>
        <v>0</v>
      </c>
      <c r="Q3656" s="6">
        <f t="shared" si="133"/>
        <v>371</v>
      </c>
    </row>
    <row r="3657" spans="1:17" x14ac:dyDescent="0.2">
      <c r="A3657" s="16">
        <f t="shared" si="129"/>
        <v>0</v>
      </c>
      <c r="B3657">
        <v>2017</v>
      </c>
      <c r="C3657" t="s">
        <v>904</v>
      </c>
      <c r="D3657" t="s">
        <v>906</v>
      </c>
      <c r="E3657" t="s">
        <v>4563</v>
      </c>
      <c r="F3657" t="s">
        <v>866</v>
      </c>
      <c r="G3657" t="s">
        <v>380</v>
      </c>
      <c r="H3657" s="6" t="s">
        <v>187</v>
      </c>
      <c r="I3657" s="6">
        <v>0</v>
      </c>
      <c r="J3657" s="6">
        <v>0</v>
      </c>
      <c r="K3657" s="6">
        <v>0</v>
      </c>
      <c r="M3657" s="6">
        <f t="shared" si="130"/>
        <v>0</v>
      </c>
      <c r="N3657" s="6">
        <f t="shared" si="131"/>
        <v>0</v>
      </c>
      <c r="O3657" s="6">
        <f t="shared" si="132"/>
        <v>0</v>
      </c>
      <c r="P3657" s="8">
        <f>VLOOKUP(F3657,'LEAID Match'!$A$2:$B$436,2,FALSE)</f>
        <v>0</v>
      </c>
      <c r="Q3657" s="6">
        <f t="shared" si="133"/>
        <v>371</v>
      </c>
    </row>
    <row r="3658" spans="1:17" x14ac:dyDescent="0.2">
      <c r="A3658" s="16">
        <f t="shared" si="129"/>
        <v>0</v>
      </c>
      <c r="B3658">
        <v>2018</v>
      </c>
      <c r="C3658" t="s">
        <v>904</v>
      </c>
      <c r="D3658" t="s">
        <v>906</v>
      </c>
      <c r="E3658" t="s">
        <v>4564</v>
      </c>
      <c r="F3658" t="s">
        <v>866</v>
      </c>
      <c r="G3658" t="s">
        <v>380</v>
      </c>
      <c r="H3658" s="6" t="s">
        <v>187</v>
      </c>
      <c r="I3658" s="6">
        <v>0</v>
      </c>
      <c r="J3658" s="6">
        <v>0</v>
      </c>
      <c r="K3658" s="6">
        <v>0</v>
      </c>
      <c r="M3658" s="6">
        <f t="shared" si="130"/>
        <v>0</v>
      </c>
      <c r="N3658" s="6">
        <f t="shared" si="131"/>
        <v>0</v>
      </c>
      <c r="O3658" s="6">
        <f t="shared" si="132"/>
        <v>0</v>
      </c>
      <c r="P3658" s="8">
        <f>VLOOKUP(F3658,'LEAID Match'!$A$2:$B$436,2,FALSE)</f>
        <v>0</v>
      </c>
      <c r="Q3658" s="6">
        <f t="shared" si="133"/>
        <v>371</v>
      </c>
    </row>
    <row r="3659" spans="1:17" x14ac:dyDescent="0.2">
      <c r="A3659" s="16">
        <f t="shared" si="129"/>
        <v>0</v>
      </c>
      <c r="B3659">
        <v>2019</v>
      </c>
      <c r="C3659" t="s">
        <v>904</v>
      </c>
      <c r="D3659" t="s">
        <v>906</v>
      </c>
      <c r="E3659" t="s">
        <v>4565</v>
      </c>
      <c r="F3659" t="s">
        <v>866</v>
      </c>
      <c r="G3659" t="s">
        <v>380</v>
      </c>
      <c r="H3659" s="6" t="s">
        <v>187</v>
      </c>
      <c r="I3659" s="6">
        <v>0</v>
      </c>
      <c r="J3659" s="6">
        <v>0</v>
      </c>
      <c r="K3659" s="6">
        <v>0</v>
      </c>
      <c r="M3659" s="6">
        <f t="shared" si="130"/>
        <v>0</v>
      </c>
      <c r="N3659" s="6">
        <f t="shared" si="131"/>
        <v>0</v>
      </c>
      <c r="O3659" s="6">
        <f t="shared" si="132"/>
        <v>0</v>
      </c>
      <c r="P3659" s="8">
        <f>VLOOKUP(F3659,'LEAID Match'!$A$2:$B$436,2,FALSE)</f>
        <v>0</v>
      </c>
      <c r="Q3659" s="6">
        <f t="shared" si="133"/>
        <v>371</v>
      </c>
    </row>
    <row r="3660" spans="1:17" x14ac:dyDescent="0.2">
      <c r="A3660" s="16">
        <f t="shared" si="129"/>
        <v>0</v>
      </c>
      <c r="B3660">
        <v>2020</v>
      </c>
      <c r="C3660" t="s">
        <v>904</v>
      </c>
      <c r="D3660" t="s">
        <v>906</v>
      </c>
      <c r="E3660" t="s">
        <v>4566</v>
      </c>
      <c r="F3660" t="s">
        <v>866</v>
      </c>
      <c r="G3660" t="s">
        <v>380</v>
      </c>
      <c r="H3660" s="6" t="s">
        <v>187</v>
      </c>
      <c r="I3660" s="6">
        <v>0</v>
      </c>
      <c r="J3660" s="6">
        <v>0</v>
      </c>
      <c r="K3660" s="6">
        <v>0</v>
      </c>
      <c r="M3660" s="6">
        <f t="shared" si="130"/>
        <v>0</v>
      </c>
      <c r="N3660" s="6">
        <f t="shared" si="131"/>
        <v>0</v>
      </c>
      <c r="O3660" s="6">
        <f t="shared" si="132"/>
        <v>0</v>
      </c>
      <c r="P3660" s="8">
        <f>VLOOKUP(F3660,'LEAID Match'!$A$2:$B$436,2,FALSE)</f>
        <v>0</v>
      </c>
      <c r="Q3660" s="6">
        <f t="shared" si="133"/>
        <v>371</v>
      </c>
    </row>
    <row r="3661" spans="1:17" x14ac:dyDescent="0.2">
      <c r="A3661" s="16">
        <f t="shared" si="129"/>
        <v>0</v>
      </c>
      <c r="B3661">
        <v>2021</v>
      </c>
      <c r="C3661" t="s">
        <v>904</v>
      </c>
      <c r="D3661" t="s">
        <v>906</v>
      </c>
      <c r="E3661" t="s">
        <v>4567</v>
      </c>
      <c r="F3661" t="s">
        <v>866</v>
      </c>
      <c r="G3661" t="s">
        <v>380</v>
      </c>
      <c r="H3661" s="6" t="s">
        <v>187</v>
      </c>
      <c r="I3661" s="6">
        <v>0</v>
      </c>
      <c r="J3661" s="6">
        <v>0</v>
      </c>
      <c r="K3661" s="6">
        <v>0</v>
      </c>
      <c r="M3661" s="6">
        <f t="shared" si="130"/>
        <v>0</v>
      </c>
      <c r="N3661" s="6">
        <f t="shared" si="131"/>
        <v>0</v>
      </c>
      <c r="O3661" s="6">
        <f t="shared" si="132"/>
        <v>0</v>
      </c>
      <c r="P3661" s="8">
        <f>VLOOKUP(F3661,'LEAID Match'!$A$2:$B$436,2,FALSE)</f>
        <v>0</v>
      </c>
      <c r="Q3661" s="6">
        <f t="shared" si="133"/>
        <v>371</v>
      </c>
    </row>
    <row r="3662" spans="1:17" x14ac:dyDescent="0.2">
      <c r="A3662" s="16">
        <f t="shared" si="129"/>
        <v>0</v>
      </c>
      <c r="B3662">
        <v>2022</v>
      </c>
      <c r="C3662" t="s">
        <v>904</v>
      </c>
      <c r="D3662" t="s">
        <v>906</v>
      </c>
      <c r="E3662" t="s">
        <v>4568</v>
      </c>
      <c r="F3662" t="s">
        <v>866</v>
      </c>
      <c r="G3662" t="s">
        <v>380</v>
      </c>
      <c r="H3662" s="6" t="s">
        <v>187</v>
      </c>
      <c r="I3662" s="6">
        <v>0</v>
      </c>
      <c r="J3662" s="6">
        <v>0</v>
      </c>
      <c r="K3662" s="6">
        <v>0</v>
      </c>
      <c r="M3662" s="6">
        <f t="shared" si="130"/>
        <v>0</v>
      </c>
      <c r="N3662" s="6">
        <f t="shared" si="131"/>
        <v>0</v>
      </c>
      <c r="O3662" s="6">
        <f t="shared" si="132"/>
        <v>0</v>
      </c>
      <c r="P3662" s="8">
        <f>VLOOKUP(F3662,'LEAID Match'!$A$2:$B$436,2,FALSE)</f>
        <v>0</v>
      </c>
      <c r="Q3662" s="6">
        <f t="shared" si="133"/>
        <v>371</v>
      </c>
    </row>
    <row r="3663" spans="1:17" x14ac:dyDescent="0.2">
      <c r="A3663" s="16">
        <f t="shared" si="129"/>
        <v>0</v>
      </c>
      <c r="B3663">
        <v>2023</v>
      </c>
      <c r="C3663" t="s">
        <v>904</v>
      </c>
      <c r="D3663" t="s">
        <v>906</v>
      </c>
      <c r="E3663" t="s">
        <v>4569</v>
      </c>
      <c r="F3663" t="s">
        <v>866</v>
      </c>
      <c r="G3663" t="s">
        <v>380</v>
      </c>
      <c r="H3663" s="6" t="s">
        <v>187</v>
      </c>
      <c r="I3663" s="6">
        <v>0</v>
      </c>
      <c r="J3663" s="6">
        <v>0</v>
      </c>
      <c r="K3663" s="6">
        <v>0</v>
      </c>
      <c r="M3663" s="6">
        <f t="shared" si="130"/>
        <v>0</v>
      </c>
      <c r="N3663" s="6">
        <f t="shared" si="131"/>
        <v>0</v>
      </c>
      <c r="O3663" s="6">
        <f t="shared" si="132"/>
        <v>0</v>
      </c>
      <c r="P3663" s="8">
        <f>VLOOKUP(F3663,'LEAID Match'!$A$2:$B$436,2,FALSE)</f>
        <v>0</v>
      </c>
      <c r="Q3663" s="6">
        <f t="shared" si="133"/>
        <v>371</v>
      </c>
    </row>
    <row r="3664" spans="1:17" x14ac:dyDescent="0.2">
      <c r="A3664" s="16">
        <f t="shared" si="129"/>
        <v>0</v>
      </c>
      <c r="B3664">
        <v>2015</v>
      </c>
      <c r="C3664" t="s">
        <v>904</v>
      </c>
      <c r="D3664" t="s">
        <v>906</v>
      </c>
      <c r="E3664" t="s">
        <v>4570</v>
      </c>
      <c r="F3664" t="s">
        <v>831</v>
      </c>
      <c r="G3664" t="s">
        <v>369</v>
      </c>
      <c r="H3664" s="6">
        <v>1304966</v>
      </c>
      <c r="I3664" s="6">
        <v>6.34566737906946E-3</v>
      </c>
      <c r="J3664" s="6">
        <v>36874.673139772633</v>
      </c>
      <c r="K3664" s="6">
        <v>5365997.8664191999</v>
      </c>
      <c r="M3664" s="6">
        <f t="shared" si="130"/>
        <v>1341840.6731397726</v>
      </c>
      <c r="N3664" s="6">
        <f t="shared" si="131"/>
        <v>5365997.8664191999</v>
      </c>
      <c r="O3664" s="6">
        <f t="shared" si="132"/>
        <v>6707838.5395589722</v>
      </c>
      <c r="P3664" s="8">
        <f>VLOOKUP(F3664,'LEAID Match'!$A$2:$B$436,2,FALSE)</f>
        <v>0</v>
      </c>
      <c r="Q3664" s="6">
        <f t="shared" si="133"/>
        <v>371</v>
      </c>
    </row>
    <row r="3665" spans="1:17" x14ac:dyDescent="0.2">
      <c r="A3665" s="16">
        <f t="shared" si="129"/>
        <v>0</v>
      </c>
      <c r="B3665">
        <v>2016</v>
      </c>
      <c r="C3665" t="s">
        <v>904</v>
      </c>
      <c r="D3665" t="s">
        <v>906</v>
      </c>
      <c r="E3665" t="s">
        <v>4571</v>
      </c>
      <c r="F3665" t="s">
        <v>831</v>
      </c>
      <c r="G3665" t="s">
        <v>369</v>
      </c>
      <c r="H3665" s="6">
        <v>1366970</v>
      </c>
      <c r="I3665" s="6">
        <v>6.3429086861368352E-3</v>
      </c>
      <c r="J3665" s="6">
        <v>32019.003047618746</v>
      </c>
      <c r="K3665" s="6">
        <v>5629331.4589464404</v>
      </c>
      <c r="M3665" s="6">
        <f t="shared" si="130"/>
        <v>1398989.0030476188</v>
      </c>
      <c r="N3665" s="6">
        <f t="shared" si="131"/>
        <v>5629331.4589464404</v>
      </c>
      <c r="O3665" s="6">
        <f t="shared" si="132"/>
        <v>7028320.4619940594</v>
      </c>
      <c r="P3665" s="8">
        <f>VLOOKUP(F3665,'LEAID Match'!$A$2:$B$436,2,FALSE)</f>
        <v>0</v>
      </c>
      <c r="Q3665" s="6">
        <f t="shared" si="133"/>
        <v>371</v>
      </c>
    </row>
    <row r="3666" spans="1:17" x14ac:dyDescent="0.2">
      <c r="A3666" s="16">
        <f t="shared" si="129"/>
        <v>0</v>
      </c>
      <c r="B3666">
        <v>2017</v>
      </c>
      <c r="C3666" t="s">
        <v>904</v>
      </c>
      <c r="D3666" t="s">
        <v>906</v>
      </c>
      <c r="E3666" t="s">
        <v>4572</v>
      </c>
      <c r="F3666" t="s">
        <v>831</v>
      </c>
      <c r="G3666" t="s">
        <v>369</v>
      </c>
      <c r="H3666" s="6">
        <v>1555479</v>
      </c>
      <c r="I3666" s="6">
        <v>6.8494394804089051E-3</v>
      </c>
      <c r="J3666" s="6">
        <v>30993.713648850295</v>
      </c>
      <c r="K3666" s="6">
        <v>5965861.78743615</v>
      </c>
      <c r="M3666" s="6">
        <f t="shared" si="130"/>
        <v>1586472.7136488503</v>
      </c>
      <c r="N3666" s="6">
        <f t="shared" si="131"/>
        <v>5965861.78743615</v>
      </c>
      <c r="O3666" s="6">
        <f t="shared" si="132"/>
        <v>7552334.5010850001</v>
      </c>
      <c r="P3666" s="8">
        <f>VLOOKUP(F3666,'LEAID Match'!$A$2:$B$436,2,FALSE)</f>
        <v>0</v>
      </c>
      <c r="Q3666" s="6">
        <f t="shared" si="133"/>
        <v>371</v>
      </c>
    </row>
    <row r="3667" spans="1:17" x14ac:dyDescent="0.2">
      <c r="A3667" s="16">
        <f t="shared" si="129"/>
        <v>0</v>
      </c>
      <c r="B3667">
        <v>2018</v>
      </c>
      <c r="C3667" t="s">
        <v>904</v>
      </c>
      <c r="D3667" t="s">
        <v>906</v>
      </c>
      <c r="E3667" t="s">
        <v>4573</v>
      </c>
      <c r="F3667" t="s">
        <v>831</v>
      </c>
      <c r="G3667" t="s">
        <v>369</v>
      </c>
      <c r="H3667" s="6">
        <v>1643410</v>
      </c>
      <c r="I3667" s="6">
        <v>6.9719546283192324E-3</v>
      </c>
      <c r="J3667" s="6">
        <v>29059.106890834562</v>
      </c>
      <c r="K3667" s="6">
        <v>9615553</v>
      </c>
      <c r="M3667" s="6">
        <f t="shared" si="130"/>
        <v>1672469.1068908346</v>
      </c>
      <c r="N3667" s="6">
        <f t="shared" si="131"/>
        <v>9615553</v>
      </c>
      <c r="O3667" s="6">
        <f t="shared" si="132"/>
        <v>11288022.106890835</v>
      </c>
      <c r="P3667" s="8">
        <f>VLOOKUP(F3667,'LEAID Match'!$A$2:$B$436,2,FALSE)</f>
        <v>0</v>
      </c>
      <c r="Q3667" s="6">
        <f t="shared" si="133"/>
        <v>371</v>
      </c>
    </row>
    <row r="3668" spans="1:17" x14ac:dyDescent="0.2">
      <c r="A3668" s="16">
        <f t="shared" si="129"/>
        <v>0</v>
      </c>
      <c r="B3668">
        <v>2019</v>
      </c>
      <c r="C3668" t="s">
        <v>904</v>
      </c>
      <c r="D3668" t="s">
        <v>906</v>
      </c>
      <c r="E3668" t="s">
        <v>4574</v>
      </c>
      <c r="F3668" t="s">
        <v>831</v>
      </c>
      <c r="G3668" t="s">
        <v>369</v>
      </c>
      <c r="H3668" s="6">
        <v>1772451</v>
      </c>
      <c r="I3668" s="6">
        <v>4.5091057312358924E-3</v>
      </c>
      <c r="J3668" s="6">
        <v>15804.415587981803</v>
      </c>
      <c r="K3668" s="6">
        <v>4256144.8997135498</v>
      </c>
      <c r="M3668" s="6">
        <f t="shared" si="130"/>
        <v>1788255.4155879817</v>
      </c>
      <c r="N3668" s="6">
        <f t="shared" si="131"/>
        <v>4256144.8997135498</v>
      </c>
      <c r="O3668" s="6">
        <f t="shared" si="132"/>
        <v>6044400.3153015319</v>
      </c>
      <c r="P3668" s="8">
        <f>VLOOKUP(F3668,'LEAID Match'!$A$2:$B$436,2,FALSE)</f>
        <v>0</v>
      </c>
      <c r="Q3668" s="6">
        <f t="shared" si="133"/>
        <v>371</v>
      </c>
    </row>
    <row r="3669" spans="1:17" x14ac:dyDescent="0.2">
      <c r="A3669" s="16">
        <f t="shared" si="129"/>
        <v>0</v>
      </c>
      <c r="B3669">
        <v>2020</v>
      </c>
      <c r="C3669" t="s">
        <v>904</v>
      </c>
      <c r="D3669" t="s">
        <v>906</v>
      </c>
      <c r="E3669" t="s">
        <v>4575</v>
      </c>
      <c r="F3669" t="s">
        <v>831</v>
      </c>
      <c r="G3669" t="s">
        <v>369</v>
      </c>
      <c r="H3669" s="6">
        <v>1272972</v>
      </c>
      <c r="I3669" s="6">
        <v>6.74510654540779E-3</v>
      </c>
      <c r="J3669" s="6">
        <v>15891.471020980753</v>
      </c>
      <c r="K3669" s="6">
        <v>9845239</v>
      </c>
      <c r="M3669" s="6">
        <f t="shared" si="130"/>
        <v>1288863.4710209807</v>
      </c>
      <c r="N3669" s="6">
        <f t="shared" si="131"/>
        <v>9845239</v>
      </c>
      <c r="O3669" s="6">
        <f t="shared" si="132"/>
        <v>11134102.471020982</v>
      </c>
      <c r="P3669" s="8">
        <f>VLOOKUP(F3669,'LEAID Match'!$A$2:$B$436,2,FALSE)</f>
        <v>0</v>
      </c>
      <c r="Q3669" s="6">
        <f t="shared" si="133"/>
        <v>371</v>
      </c>
    </row>
    <row r="3670" spans="1:17" x14ac:dyDescent="0.2">
      <c r="A3670" s="16">
        <f t="shared" si="129"/>
        <v>0</v>
      </c>
      <c r="B3670">
        <v>2021</v>
      </c>
      <c r="C3670" t="s">
        <v>904</v>
      </c>
      <c r="D3670" t="s">
        <v>906</v>
      </c>
      <c r="E3670" t="s">
        <v>4576</v>
      </c>
      <c r="F3670" t="s">
        <v>831</v>
      </c>
      <c r="G3670" t="s">
        <v>369</v>
      </c>
      <c r="H3670" s="6">
        <v>1272852</v>
      </c>
      <c r="I3670" s="6">
        <v>6.288007253874477E-3</v>
      </c>
      <c r="J3670" s="6">
        <v>14173.168350233071</v>
      </c>
      <c r="K3670" s="6">
        <v>14990999</v>
      </c>
      <c r="M3670" s="6">
        <f t="shared" si="130"/>
        <v>1287025.168350233</v>
      </c>
      <c r="N3670" s="6">
        <f t="shared" si="131"/>
        <v>14990999</v>
      </c>
      <c r="O3670" s="6">
        <f t="shared" si="132"/>
        <v>16278024.168350233</v>
      </c>
      <c r="P3670" s="8">
        <f>VLOOKUP(F3670,'LEAID Match'!$A$2:$B$436,2,FALSE)</f>
        <v>0</v>
      </c>
      <c r="Q3670" s="6">
        <f t="shared" si="133"/>
        <v>371</v>
      </c>
    </row>
    <row r="3671" spans="1:17" x14ac:dyDescent="0.2">
      <c r="A3671" s="16">
        <f t="shared" si="129"/>
        <v>0</v>
      </c>
      <c r="B3671">
        <v>2022</v>
      </c>
      <c r="C3671" t="s">
        <v>904</v>
      </c>
      <c r="D3671" t="s">
        <v>906</v>
      </c>
      <c r="E3671" t="s">
        <v>4577</v>
      </c>
      <c r="F3671" t="s">
        <v>831</v>
      </c>
      <c r="G3671" t="s">
        <v>369</v>
      </c>
      <c r="H3671" s="6">
        <v>1353895</v>
      </c>
      <c r="I3671" s="6">
        <v>6.4285450829230772E-3</v>
      </c>
      <c r="J3671" s="6">
        <v>14174.941907845385</v>
      </c>
      <c r="K3671" s="6">
        <v>14069664</v>
      </c>
      <c r="M3671" s="6">
        <f t="shared" si="130"/>
        <v>1368069.9419078454</v>
      </c>
      <c r="N3671" s="6">
        <f t="shared" si="131"/>
        <v>14069664</v>
      </c>
      <c r="O3671" s="6">
        <f t="shared" si="132"/>
        <v>15437733.941907845</v>
      </c>
      <c r="P3671" s="8">
        <f>VLOOKUP(F3671,'LEAID Match'!$A$2:$B$436,2,FALSE)</f>
        <v>0</v>
      </c>
      <c r="Q3671" s="6">
        <f t="shared" si="133"/>
        <v>371</v>
      </c>
    </row>
    <row r="3672" spans="1:17" x14ac:dyDescent="0.2">
      <c r="A3672" s="16">
        <f t="shared" si="129"/>
        <v>0</v>
      </c>
      <c r="B3672">
        <v>2023</v>
      </c>
      <c r="C3672" t="s">
        <v>904</v>
      </c>
      <c r="D3672" t="s">
        <v>906</v>
      </c>
      <c r="E3672" t="s">
        <v>4578</v>
      </c>
      <c r="F3672" t="s">
        <v>831</v>
      </c>
      <c r="G3672" t="s">
        <v>369</v>
      </c>
      <c r="H3672" s="6">
        <v>1671833</v>
      </c>
      <c r="I3672" s="6">
        <v>6.8368783771398274E-3</v>
      </c>
      <c r="J3672" s="6">
        <v>16866.578956403955</v>
      </c>
      <c r="K3672" s="6">
        <v>32395633</v>
      </c>
      <c r="M3672" s="6">
        <f t="shared" si="130"/>
        <v>1688699.578956404</v>
      </c>
      <c r="N3672" s="6">
        <f t="shared" si="131"/>
        <v>32395633</v>
      </c>
      <c r="O3672" s="6">
        <f t="shared" si="132"/>
        <v>34084332.578956403</v>
      </c>
      <c r="P3672" s="8">
        <f>VLOOKUP(F3672,'LEAID Match'!$A$2:$B$436,2,FALSE)</f>
        <v>0</v>
      </c>
      <c r="Q3672" s="6">
        <f t="shared" si="133"/>
        <v>371</v>
      </c>
    </row>
    <row r="3673" spans="1:17" x14ac:dyDescent="0.2">
      <c r="A3673" s="16">
        <f t="shared" si="129"/>
        <v>0</v>
      </c>
      <c r="B3673">
        <v>2018</v>
      </c>
      <c r="C3673" t="s">
        <v>904</v>
      </c>
      <c r="D3673" t="s">
        <v>906</v>
      </c>
      <c r="E3673" t="s">
        <v>4579</v>
      </c>
      <c r="F3673" t="s">
        <v>832</v>
      </c>
      <c r="G3673" t="s">
        <v>450</v>
      </c>
      <c r="H3673" s="6">
        <v>0</v>
      </c>
      <c r="I3673" s="6">
        <v>0</v>
      </c>
      <c r="J3673" s="6">
        <v>0</v>
      </c>
      <c r="K3673" s="6">
        <v>1013545</v>
      </c>
      <c r="M3673" s="6">
        <f t="shared" si="130"/>
        <v>0</v>
      </c>
      <c r="N3673" s="6">
        <f t="shared" si="131"/>
        <v>1013545</v>
      </c>
      <c r="O3673" s="6">
        <f t="shared" si="132"/>
        <v>1013545</v>
      </c>
      <c r="P3673" s="8">
        <f>VLOOKUP(F3673,'LEAID Match'!$A$2:$B$436,2,FALSE)</f>
        <v>0</v>
      </c>
      <c r="Q3673" s="6">
        <f t="shared" si="133"/>
        <v>371</v>
      </c>
    </row>
    <row r="3674" spans="1:17" x14ac:dyDescent="0.2">
      <c r="A3674" s="16">
        <f t="shared" si="129"/>
        <v>0</v>
      </c>
      <c r="B3674">
        <v>2020</v>
      </c>
      <c r="C3674" t="s">
        <v>904</v>
      </c>
      <c r="D3674" t="s">
        <v>906</v>
      </c>
      <c r="E3674" t="s">
        <v>4580</v>
      </c>
      <c r="F3674" t="s">
        <v>832</v>
      </c>
      <c r="G3674" t="s">
        <v>450</v>
      </c>
      <c r="H3674" s="6">
        <v>0</v>
      </c>
      <c r="I3674" s="6">
        <v>0</v>
      </c>
      <c r="J3674" s="6">
        <v>0</v>
      </c>
      <c r="K3674" s="6">
        <v>950350</v>
      </c>
      <c r="M3674" s="6">
        <f t="shared" si="130"/>
        <v>0</v>
      </c>
      <c r="N3674" s="6">
        <f t="shared" si="131"/>
        <v>950350</v>
      </c>
      <c r="O3674" s="6">
        <f t="shared" si="132"/>
        <v>950350</v>
      </c>
      <c r="P3674" s="8">
        <f>VLOOKUP(F3674,'LEAID Match'!$A$2:$B$436,2,FALSE)</f>
        <v>0</v>
      </c>
      <c r="Q3674" s="6">
        <f t="shared" si="133"/>
        <v>371</v>
      </c>
    </row>
    <row r="3675" spans="1:17" x14ac:dyDescent="0.2">
      <c r="A3675" s="16">
        <f t="shared" si="129"/>
        <v>0</v>
      </c>
      <c r="B3675">
        <v>2021</v>
      </c>
      <c r="C3675" t="s">
        <v>904</v>
      </c>
      <c r="D3675" t="s">
        <v>906</v>
      </c>
      <c r="E3675" t="s">
        <v>4581</v>
      </c>
      <c r="F3675" t="s">
        <v>832</v>
      </c>
      <c r="G3675" t="s">
        <v>450</v>
      </c>
      <c r="H3675" s="6" t="s">
        <v>893</v>
      </c>
      <c r="K3675" s="6">
        <v>1423673</v>
      </c>
      <c r="M3675" s="6">
        <f t="shared" si="130"/>
        <v>0</v>
      </c>
      <c r="N3675" s="6">
        <f t="shared" si="131"/>
        <v>1423673</v>
      </c>
      <c r="O3675" s="6">
        <f t="shared" si="132"/>
        <v>1423673</v>
      </c>
      <c r="P3675" s="8">
        <f>VLOOKUP(F3675,'LEAID Match'!$A$2:$B$436,2,FALSE)</f>
        <v>0</v>
      </c>
      <c r="Q3675" s="6">
        <f t="shared" si="133"/>
        <v>371</v>
      </c>
    </row>
    <row r="3676" spans="1:17" x14ac:dyDescent="0.2">
      <c r="A3676" s="16">
        <f t="shared" si="129"/>
        <v>0</v>
      </c>
      <c r="B3676">
        <v>2022</v>
      </c>
      <c r="C3676" t="s">
        <v>904</v>
      </c>
      <c r="D3676" t="s">
        <v>906</v>
      </c>
      <c r="E3676" t="s">
        <v>4582</v>
      </c>
      <c r="F3676" t="s">
        <v>832</v>
      </c>
      <c r="G3676" t="s">
        <v>450</v>
      </c>
      <c r="H3676" s="6" t="s">
        <v>893</v>
      </c>
      <c r="K3676" s="6">
        <v>1340640</v>
      </c>
      <c r="M3676" s="6">
        <f t="shared" si="130"/>
        <v>0</v>
      </c>
      <c r="N3676" s="6">
        <f t="shared" si="131"/>
        <v>1340640</v>
      </c>
      <c r="O3676" s="6">
        <f t="shared" si="132"/>
        <v>1340640</v>
      </c>
      <c r="P3676" s="8">
        <f>VLOOKUP(F3676,'LEAID Match'!$A$2:$B$436,2,FALSE)</f>
        <v>0</v>
      </c>
      <c r="Q3676" s="6">
        <f t="shared" si="133"/>
        <v>371</v>
      </c>
    </row>
    <row r="3677" spans="1:17" x14ac:dyDescent="0.2">
      <c r="A3677" s="16">
        <f t="shared" si="129"/>
        <v>0</v>
      </c>
      <c r="B3677">
        <v>2023</v>
      </c>
      <c r="C3677" t="s">
        <v>904</v>
      </c>
      <c r="D3677" t="s">
        <v>906</v>
      </c>
      <c r="E3677" t="s">
        <v>4583</v>
      </c>
      <c r="F3677" t="s">
        <v>832</v>
      </c>
      <c r="G3677" t="s">
        <v>450</v>
      </c>
      <c r="H3677" s="6" t="s">
        <v>893</v>
      </c>
      <c r="K3677" s="6">
        <v>2722682</v>
      </c>
      <c r="M3677" s="6">
        <f t="shared" si="130"/>
        <v>0</v>
      </c>
      <c r="N3677" s="6">
        <f t="shared" si="131"/>
        <v>2722682</v>
      </c>
      <c r="O3677" s="6">
        <f t="shared" si="132"/>
        <v>2722682</v>
      </c>
      <c r="P3677" s="8">
        <f>VLOOKUP(F3677,'LEAID Match'!$A$2:$B$436,2,FALSE)</f>
        <v>0</v>
      </c>
      <c r="Q3677" s="6">
        <f t="shared" si="133"/>
        <v>371</v>
      </c>
    </row>
    <row r="3678" spans="1:17" x14ac:dyDescent="0.2">
      <c r="A3678" s="16">
        <f t="shared" si="129"/>
        <v>0</v>
      </c>
      <c r="B3678">
        <v>2015</v>
      </c>
      <c r="C3678" t="s">
        <v>904</v>
      </c>
      <c r="D3678" t="s">
        <v>906</v>
      </c>
      <c r="E3678" t="s">
        <v>4584</v>
      </c>
      <c r="F3678" t="s">
        <v>833</v>
      </c>
      <c r="G3678" t="s">
        <v>370</v>
      </c>
      <c r="H3678" s="6">
        <v>84313</v>
      </c>
      <c r="I3678" s="6">
        <v>4.0998942020825321E-4</v>
      </c>
      <c r="J3678" s="6">
        <v>2382.4485208301594</v>
      </c>
      <c r="K3678" s="6">
        <v>346693.61355882202</v>
      </c>
      <c r="M3678" s="6">
        <f t="shared" si="130"/>
        <v>86695.448520830163</v>
      </c>
      <c r="N3678" s="6">
        <f t="shared" si="131"/>
        <v>346693.61355882202</v>
      </c>
      <c r="O3678" s="6">
        <f t="shared" si="132"/>
        <v>433389.06207965221</v>
      </c>
      <c r="P3678" s="8">
        <f>VLOOKUP(F3678,'LEAID Match'!$A$2:$B$436,2,FALSE)</f>
        <v>0</v>
      </c>
      <c r="Q3678" s="6">
        <f t="shared" si="133"/>
        <v>371</v>
      </c>
    </row>
    <row r="3679" spans="1:17" x14ac:dyDescent="0.2">
      <c r="A3679" s="16">
        <f t="shared" si="129"/>
        <v>0</v>
      </c>
      <c r="B3679">
        <v>2016</v>
      </c>
      <c r="C3679" t="s">
        <v>904</v>
      </c>
      <c r="D3679" t="s">
        <v>906</v>
      </c>
      <c r="E3679" t="s">
        <v>4585</v>
      </c>
      <c r="F3679" t="s">
        <v>833</v>
      </c>
      <c r="G3679" t="s">
        <v>370</v>
      </c>
      <c r="H3679" s="6">
        <v>78351</v>
      </c>
      <c r="I3679" s="6">
        <v>3.6355826277643781E-4</v>
      </c>
      <c r="J3679" s="6">
        <v>1835.2421104954581</v>
      </c>
      <c r="K3679" s="6">
        <v>322657.95821408799</v>
      </c>
      <c r="M3679" s="6">
        <f t="shared" si="130"/>
        <v>80186.242110495456</v>
      </c>
      <c r="N3679" s="6">
        <f t="shared" si="131"/>
        <v>322657.95821408799</v>
      </c>
      <c r="O3679" s="6">
        <f t="shared" si="132"/>
        <v>402844.20032458345</v>
      </c>
      <c r="P3679" s="8">
        <f>VLOOKUP(F3679,'LEAID Match'!$A$2:$B$436,2,FALSE)</f>
        <v>0</v>
      </c>
      <c r="Q3679" s="6">
        <f t="shared" si="133"/>
        <v>371</v>
      </c>
    </row>
    <row r="3680" spans="1:17" x14ac:dyDescent="0.2">
      <c r="A3680" s="16">
        <f t="shared" si="129"/>
        <v>0</v>
      </c>
      <c r="B3680">
        <v>2017</v>
      </c>
      <c r="C3680" t="s">
        <v>904</v>
      </c>
      <c r="D3680" t="s">
        <v>906</v>
      </c>
      <c r="E3680" t="s">
        <v>4586</v>
      </c>
      <c r="F3680" t="s">
        <v>833</v>
      </c>
      <c r="G3680" t="s">
        <v>370</v>
      </c>
      <c r="H3680" s="6">
        <v>71099</v>
      </c>
      <c r="I3680" s="6">
        <v>3.130793135860997E-4</v>
      </c>
      <c r="J3680" s="6">
        <v>1416.6838939771012</v>
      </c>
      <c r="K3680" s="6">
        <v>272692.08213349199</v>
      </c>
      <c r="M3680" s="6">
        <f t="shared" si="130"/>
        <v>72515.683893977097</v>
      </c>
      <c r="N3680" s="6">
        <f t="shared" si="131"/>
        <v>272692.08213349199</v>
      </c>
      <c r="O3680" s="6">
        <f t="shared" si="132"/>
        <v>345207.76602746907</v>
      </c>
      <c r="P3680" s="8">
        <f>VLOOKUP(F3680,'LEAID Match'!$A$2:$B$436,2,FALSE)</f>
        <v>0</v>
      </c>
      <c r="Q3680" s="6">
        <f t="shared" si="133"/>
        <v>371</v>
      </c>
    </row>
    <row r="3681" spans="1:17" x14ac:dyDescent="0.2">
      <c r="A3681" s="16">
        <f t="shared" si="129"/>
        <v>0</v>
      </c>
      <c r="B3681">
        <v>2018</v>
      </c>
      <c r="C3681" t="s">
        <v>904</v>
      </c>
      <c r="D3681" t="s">
        <v>906</v>
      </c>
      <c r="E3681" t="s">
        <v>4587</v>
      </c>
      <c r="F3681" t="s">
        <v>833</v>
      </c>
      <c r="G3681" t="s">
        <v>370</v>
      </c>
      <c r="H3681" s="6">
        <v>67271</v>
      </c>
      <c r="I3681" s="6">
        <v>2.8538852739222898E-4</v>
      </c>
      <c r="J3681" s="6">
        <v>1189.4993821708103</v>
      </c>
      <c r="K3681" s="6">
        <v>4782810</v>
      </c>
      <c r="M3681" s="6">
        <f t="shared" si="130"/>
        <v>68460.499382170805</v>
      </c>
      <c r="N3681" s="6">
        <f t="shared" si="131"/>
        <v>4782810</v>
      </c>
      <c r="O3681" s="6">
        <f t="shared" si="132"/>
        <v>4851270.4993821708</v>
      </c>
      <c r="P3681" s="8">
        <f>VLOOKUP(F3681,'LEAID Match'!$A$2:$B$436,2,FALSE)</f>
        <v>0</v>
      </c>
      <c r="Q3681" s="6">
        <f t="shared" si="133"/>
        <v>371</v>
      </c>
    </row>
    <row r="3682" spans="1:17" x14ac:dyDescent="0.2">
      <c r="A3682" s="16">
        <f t="shared" si="129"/>
        <v>0</v>
      </c>
      <c r="B3682">
        <v>2019</v>
      </c>
      <c r="C3682" t="s">
        <v>904</v>
      </c>
      <c r="D3682" t="s">
        <v>906</v>
      </c>
      <c r="E3682" t="s">
        <v>4588</v>
      </c>
      <c r="F3682" t="s">
        <v>833</v>
      </c>
      <c r="G3682" t="s">
        <v>370</v>
      </c>
      <c r="H3682" s="6">
        <v>49680</v>
      </c>
      <c r="I3682" s="6">
        <v>1.2638565056399253E-4</v>
      </c>
      <c r="J3682" s="6">
        <v>442.98170522679385</v>
      </c>
      <c r="K3682" s="6">
        <v>119295.415567352</v>
      </c>
      <c r="M3682" s="6">
        <f t="shared" si="130"/>
        <v>50122.981705226797</v>
      </c>
      <c r="N3682" s="6">
        <f t="shared" si="131"/>
        <v>119295.415567352</v>
      </c>
      <c r="O3682" s="6">
        <f t="shared" si="132"/>
        <v>169418.39727257879</v>
      </c>
      <c r="P3682" s="8">
        <f>VLOOKUP(F3682,'LEAID Match'!$A$2:$B$436,2,FALSE)</f>
        <v>0</v>
      </c>
      <c r="Q3682" s="6">
        <f t="shared" si="133"/>
        <v>371</v>
      </c>
    </row>
    <row r="3683" spans="1:17" x14ac:dyDescent="0.2">
      <c r="A3683" s="16">
        <f t="shared" si="129"/>
        <v>0</v>
      </c>
      <c r="B3683">
        <v>2020</v>
      </c>
      <c r="C3683" t="s">
        <v>904</v>
      </c>
      <c r="D3683" t="s">
        <v>906</v>
      </c>
      <c r="E3683" t="s">
        <v>4589</v>
      </c>
      <c r="F3683" t="s">
        <v>833</v>
      </c>
      <c r="G3683" t="s">
        <v>370</v>
      </c>
      <c r="H3683" s="6">
        <v>27784</v>
      </c>
      <c r="I3683" s="6">
        <v>1.4721929489227575E-4</v>
      </c>
      <c r="J3683" s="6">
        <v>346.84865876620165</v>
      </c>
      <c r="K3683" s="6">
        <v>4896642</v>
      </c>
      <c r="M3683" s="6">
        <f t="shared" si="130"/>
        <v>28130.848658766201</v>
      </c>
      <c r="N3683" s="6">
        <f t="shared" si="131"/>
        <v>4896642</v>
      </c>
      <c r="O3683" s="6">
        <f t="shared" si="132"/>
        <v>4924772.8486587666</v>
      </c>
      <c r="P3683" s="8">
        <f>VLOOKUP(F3683,'LEAID Match'!$A$2:$B$436,2,FALSE)</f>
        <v>0</v>
      </c>
      <c r="Q3683" s="6">
        <f t="shared" si="133"/>
        <v>371</v>
      </c>
    </row>
    <row r="3684" spans="1:17" x14ac:dyDescent="0.2">
      <c r="A3684" s="16">
        <f t="shared" si="129"/>
        <v>0</v>
      </c>
      <c r="B3684">
        <v>2021</v>
      </c>
      <c r="C3684" t="s">
        <v>904</v>
      </c>
      <c r="D3684" t="s">
        <v>906</v>
      </c>
      <c r="E3684" t="s">
        <v>4590</v>
      </c>
      <c r="F3684" t="s">
        <v>833</v>
      </c>
      <c r="G3684" t="s">
        <v>370</v>
      </c>
      <c r="H3684" s="6">
        <v>5024602</v>
      </c>
      <c r="I3684" s="6">
        <v>2.4822001162611365E-2</v>
      </c>
      <c r="J3684" s="6">
        <v>55948.790620526015</v>
      </c>
      <c r="K3684" s="6">
        <v>7815734</v>
      </c>
      <c r="M3684" s="6">
        <f t="shared" si="130"/>
        <v>5080550.7906205263</v>
      </c>
      <c r="N3684" s="6">
        <f t="shared" si="131"/>
        <v>7815734</v>
      </c>
      <c r="O3684" s="6">
        <f t="shared" si="132"/>
        <v>12896284.790620526</v>
      </c>
      <c r="P3684" s="8">
        <f>VLOOKUP(F3684,'LEAID Match'!$A$2:$B$436,2,FALSE)</f>
        <v>0</v>
      </c>
      <c r="Q3684" s="6">
        <f t="shared" si="133"/>
        <v>371</v>
      </c>
    </row>
    <row r="3685" spans="1:17" x14ac:dyDescent="0.2">
      <c r="A3685" s="16">
        <f t="shared" si="129"/>
        <v>0</v>
      </c>
      <c r="B3685">
        <v>2022</v>
      </c>
      <c r="C3685" t="s">
        <v>904</v>
      </c>
      <c r="D3685" t="s">
        <v>906</v>
      </c>
      <c r="E3685" t="s">
        <v>4591</v>
      </c>
      <c r="F3685" t="s">
        <v>833</v>
      </c>
      <c r="G3685" t="s">
        <v>370</v>
      </c>
      <c r="H3685" s="6">
        <v>20071</v>
      </c>
      <c r="I3685" s="6">
        <v>9.5300838218140323E-5</v>
      </c>
      <c r="J3685" s="6">
        <v>210.13834827099942</v>
      </c>
      <c r="K3685" s="6">
        <v>7431582</v>
      </c>
      <c r="M3685" s="6">
        <f t="shared" si="130"/>
        <v>20281.138348271001</v>
      </c>
      <c r="N3685" s="6">
        <f t="shared" si="131"/>
        <v>7431582</v>
      </c>
      <c r="O3685" s="6">
        <f t="shared" si="132"/>
        <v>7451863.1383482711</v>
      </c>
      <c r="P3685" s="8">
        <f>VLOOKUP(F3685,'LEAID Match'!$A$2:$B$436,2,FALSE)</f>
        <v>0</v>
      </c>
      <c r="Q3685" s="6">
        <f t="shared" si="133"/>
        <v>371</v>
      </c>
    </row>
    <row r="3686" spans="1:17" x14ac:dyDescent="0.2">
      <c r="A3686" s="16">
        <f t="shared" si="129"/>
        <v>0</v>
      </c>
      <c r="B3686">
        <v>2023</v>
      </c>
      <c r="C3686" t="s">
        <v>904</v>
      </c>
      <c r="D3686" t="s">
        <v>906</v>
      </c>
      <c r="E3686" t="s">
        <v>4592</v>
      </c>
      <c r="F3686" t="s">
        <v>833</v>
      </c>
      <c r="G3686" t="s">
        <v>370</v>
      </c>
      <c r="H3686" s="6">
        <v>23263</v>
      </c>
      <c r="I3686" s="6">
        <v>9.5132888085953447E-5</v>
      </c>
      <c r="J3686" s="6">
        <v>234.69283490804716</v>
      </c>
      <c r="K3686" s="6">
        <v>18146975</v>
      </c>
      <c r="M3686" s="6">
        <f t="shared" si="130"/>
        <v>23497.692834908048</v>
      </c>
      <c r="N3686" s="6">
        <f t="shared" si="131"/>
        <v>18146975</v>
      </c>
      <c r="O3686" s="6">
        <f t="shared" si="132"/>
        <v>18170472.692834906</v>
      </c>
      <c r="P3686" s="8">
        <f>VLOOKUP(F3686,'LEAID Match'!$A$2:$B$436,2,FALSE)</f>
        <v>0</v>
      </c>
      <c r="Q3686" s="6">
        <f t="shared" si="133"/>
        <v>371</v>
      </c>
    </row>
    <row r="3687" spans="1:17" x14ac:dyDescent="0.2">
      <c r="A3687" s="16">
        <f t="shared" si="129"/>
        <v>0</v>
      </c>
      <c r="B3687">
        <v>2018</v>
      </c>
      <c r="C3687" t="s">
        <v>904</v>
      </c>
      <c r="D3687" t="s">
        <v>906</v>
      </c>
      <c r="E3687" t="s">
        <v>4593</v>
      </c>
      <c r="F3687" t="s">
        <v>834</v>
      </c>
      <c r="G3687" t="s">
        <v>451</v>
      </c>
      <c r="H3687" s="6">
        <v>0</v>
      </c>
      <c r="I3687" s="6">
        <v>0</v>
      </c>
      <c r="J3687" s="6">
        <v>0</v>
      </c>
      <c r="K3687" s="6">
        <v>284182</v>
      </c>
      <c r="M3687" s="6">
        <f t="shared" si="130"/>
        <v>0</v>
      </c>
      <c r="N3687" s="6">
        <f t="shared" si="131"/>
        <v>284182</v>
      </c>
      <c r="O3687" s="6">
        <f t="shared" si="132"/>
        <v>284182</v>
      </c>
      <c r="P3687" s="8">
        <f>VLOOKUP(F3687,'LEAID Match'!$A$2:$B$436,2,FALSE)</f>
        <v>0</v>
      </c>
      <c r="Q3687" s="6">
        <f t="shared" si="133"/>
        <v>371</v>
      </c>
    </row>
    <row r="3688" spans="1:17" x14ac:dyDescent="0.2">
      <c r="A3688" s="16">
        <f t="shared" si="129"/>
        <v>0</v>
      </c>
      <c r="B3688">
        <v>2020</v>
      </c>
      <c r="C3688" t="s">
        <v>904</v>
      </c>
      <c r="D3688" t="s">
        <v>906</v>
      </c>
      <c r="E3688" t="s">
        <v>4594</v>
      </c>
      <c r="F3688" t="s">
        <v>834</v>
      </c>
      <c r="G3688" t="s">
        <v>451</v>
      </c>
      <c r="H3688" s="6">
        <v>0</v>
      </c>
      <c r="I3688" s="6">
        <v>0</v>
      </c>
      <c r="J3688" s="6">
        <v>0</v>
      </c>
      <c r="K3688" s="6">
        <v>261623</v>
      </c>
      <c r="M3688" s="6">
        <f t="shared" si="130"/>
        <v>0</v>
      </c>
      <c r="N3688" s="6">
        <f t="shared" si="131"/>
        <v>261623</v>
      </c>
      <c r="O3688" s="6">
        <f t="shared" si="132"/>
        <v>261623</v>
      </c>
      <c r="P3688" s="8">
        <f>VLOOKUP(F3688,'LEAID Match'!$A$2:$B$436,2,FALSE)</f>
        <v>0</v>
      </c>
      <c r="Q3688" s="6">
        <f t="shared" si="133"/>
        <v>371</v>
      </c>
    </row>
    <row r="3689" spans="1:17" x14ac:dyDescent="0.2">
      <c r="A3689" s="16">
        <f t="shared" si="129"/>
        <v>0</v>
      </c>
      <c r="B3689">
        <v>2021</v>
      </c>
      <c r="C3689" t="s">
        <v>904</v>
      </c>
      <c r="D3689" t="s">
        <v>906</v>
      </c>
      <c r="E3689" t="s">
        <v>4595</v>
      </c>
      <c r="F3689" t="s">
        <v>834</v>
      </c>
      <c r="G3689" t="s">
        <v>451</v>
      </c>
      <c r="H3689" s="6" t="s">
        <v>893</v>
      </c>
      <c r="K3689" s="6">
        <v>350364</v>
      </c>
      <c r="M3689" s="6">
        <f t="shared" si="130"/>
        <v>0</v>
      </c>
      <c r="N3689" s="6">
        <f t="shared" si="131"/>
        <v>350364</v>
      </c>
      <c r="O3689" s="6">
        <f t="shared" si="132"/>
        <v>350364</v>
      </c>
      <c r="P3689" s="8">
        <f>VLOOKUP(F3689,'LEAID Match'!$A$2:$B$436,2,FALSE)</f>
        <v>0</v>
      </c>
      <c r="Q3689" s="6">
        <f t="shared" si="133"/>
        <v>371</v>
      </c>
    </row>
    <row r="3690" spans="1:17" x14ac:dyDescent="0.2">
      <c r="A3690" s="16">
        <f t="shared" si="129"/>
        <v>0</v>
      </c>
      <c r="B3690">
        <v>2022</v>
      </c>
      <c r="C3690" t="s">
        <v>904</v>
      </c>
      <c r="D3690" t="s">
        <v>906</v>
      </c>
      <c r="E3690" t="s">
        <v>4596</v>
      </c>
      <c r="F3690" t="s">
        <v>834</v>
      </c>
      <c r="G3690" t="s">
        <v>451</v>
      </c>
      <c r="H3690" s="6" t="s">
        <v>893</v>
      </c>
      <c r="K3690" s="6">
        <v>301710</v>
      </c>
      <c r="M3690" s="6">
        <f t="shared" si="130"/>
        <v>0</v>
      </c>
      <c r="N3690" s="6">
        <f t="shared" si="131"/>
        <v>301710</v>
      </c>
      <c r="O3690" s="6">
        <f t="shared" si="132"/>
        <v>301710</v>
      </c>
      <c r="P3690" s="8">
        <f>VLOOKUP(F3690,'LEAID Match'!$A$2:$B$436,2,FALSE)</f>
        <v>0</v>
      </c>
      <c r="Q3690" s="6">
        <f t="shared" si="133"/>
        <v>371</v>
      </c>
    </row>
    <row r="3691" spans="1:17" x14ac:dyDescent="0.2">
      <c r="A3691" s="16">
        <f t="shared" si="129"/>
        <v>0</v>
      </c>
      <c r="B3691">
        <v>2023</v>
      </c>
      <c r="C3691" t="s">
        <v>904</v>
      </c>
      <c r="D3691" t="s">
        <v>906</v>
      </c>
      <c r="E3691" t="s">
        <v>4597</v>
      </c>
      <c r="F3691" t="s">
        <v>834</v>
      </c>
      <c r="G3691" t="s">
        <v>451</v>
      </c>
      <c r="H3691" s="6" t="s">
        <v>893</v>
      </c>
      <c r="K3691" s="6">
        <v>652614</v>
      </c>
      <c r="M3691" s="6">
        <f t="shared" si="130"/>
        <v>0</v>
      </c>
      <c r="N3691" s="6">
        <f t="shared" si="131"/>
        <v>652614</v>
      </c>
      <c r="O3691" s="6">
        <f t="shared" si="132"/>
        <v>652614</v>
      </c>
      <c r="P3691" s="8">
        <f>VLOOKUP(F3691,'LEAID Match'!$A$2:$B$436,2,FALSE)</f>
        <v>0</v>
      </c>
      <c r="Q3691" s="6">
        <f t="shared" si="133"/>
        <v>371</v>
      </c>
    </row>
  </sheetData>
  <mergeCells count="2">
    <mergeCell ref="R11:S11"/>
    <mergeCell ref="R1:U1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BBE5-22DE-B94C-9DF8-87A01CEBA010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6358-C90B-0B41-B027-7DCFBB9EAEBB}">
  <sheetPr>
    <tabColor rgb="FFFFFF00"/>
  </sheetPr>
  <dimension ref="A1:L12"/>
  <sheetViews>
    <sheetView zoomScale="140" workbookViewId="0">
      <selection activeCell="C20" sqref="C20"/>
    </sheetView>
  </sheetViews>
  <sheetFormatPr baseColWidth="10" defaultColWidth="5.33203125" defaultRowHeight="16" x14ac:dyDescent="0.2"/>
  <cols>
    <col min="1" max="1" width="5.33203125" bestFit="1" customWidth="1"/>
    <col min="2" max="2" width="15.5" bestFit="1" customWidth="1"/>
    <col min="3" max="3" width="17.1640625" bestFit="1" customWidth="1"/>
    <col min="4" max="4" width="11.33203125" bestFit="1" customWidth="1"/>
    <col min="5" max="5" width="25.33203125" bestFit="1" customWidth="1"/>
    <col min="8" max="8" width="5.33203125" bestFit="1" customWidth="1"/>
    <col min="9" max="9" width="13.5" bestFit="1" customWidth="1"/>
    <col min="10" max="10" width="17" bestFit="1" customWidth="1"/>
    <col min="11" max="11" width="13.33203125" bestFit="1" customWidth="1"/>
    <col min="12" max="12" width="12.83203125" bestFit="1" customWidth="1"/>
  </cols>
  <sheetData>
    <row r="1" spans="1:12" x14ac:dyDescent="0.2">
      <c r="A1" s="9" t="s">
        <v>416</v>
      </c>
      <c r="B1" s="9"/>
      <c r="C1" s="9"/>
      <c r="D1" s="9"/>
      <c r="H1" s="9" t="s">
        <v>452</v>
      </c>
      <c r="I1" s="9"/>
      <c r="J1" s="9"/>
      <c r="K1" s="9"/>
    </row>
    <row r="2" spans="1:12" x14ac:dyDescent="0.2">
      <c r="A2" s="2" t="s">
        <v>417</v>
      </c>
      <c r="B2" s="2" t="s">
        <v>418</v>
      </c>
      <c r="C2" s="2" t="s">
        <v>419</v>
      </c>
      <c r="D2" s="2" t="s">
        <v>420</v>
      </c>
      <c r="E2" s="2"/>
      <c r="H2" s="2" t="s">
        <v>417</v>
      </c>
      <c r="I2" s="2" t="s">
        <v>418</v>
      </c>
      <c r="J2" s="2" t="s">
        <v>419</v>
      </c>
      <c r="K2" s="2" t="s">
        <v>453</v>
      </c>
    </row>
    <row r="3" spans="1:12" x14ac:dyDescent="0.2">
      <c r="A3" s="1">
        <v>2015</v>
      </c>
      <c r="B3" s="3">
        <v>205646770</v>
      </c>
      <c r="C3" s="3">
        <f>SUMIF(Summary!B:B,'Check w GASB 68 Reports'!A3,Summary!H:H)</f>
        <v>205646770</v>
      </c>
      <c r="D3">
        <f>B3-C3</f>
        <v>0</v>
      </c>
      <c r="E3" s="5"/>
      <c r="H3" s="1">
        <v>2015</v>
      </c>
      <c r="I3">
        <v>845616000</v>
      </c>
      <c r="J3" s="6">
        <f>SUMIF(Summary!B:B,'Check w GASB 68 Reports'!A3,Summary!K:K)</f>
        <v>845615999.99999809</v>
      </c>
      <c r="K3" s="8">
        <f>I3-J3</f>
        <v>1.9073486328125E-6</v>
      </c>
      <c r="L3" s="7"/>
    </row>
    <row r="4" spans="1:12" x14ac:dyDescent="0.2">
      <c r="A4" s="1">
        <v>2016</v>
      </c>
      <c r="B4" s="3">
        <v>215511537</v>
      </c>
      <c r="C4" s="3">
        <f>SUMIF(Summary!B:B,'Check w GASB 68 Reports'!A4,Summary!H:H)</f>
        <v>215511537</v>
      </c>
      <c r="D4">
        <f t="shared" ref="D4:D11" si="0">B4-C4</f>
        <v>0</v>
      </c>
      <c r="E4" s="5"/>
      <c r="H4" s="1">
        <v>2016</v>
      </c>
      <c r="I4">
        <v>887500000</v>
      </c>
      <c r="J4" s="6">
        <f>SUMIF(Summary!B:B,'Check w GASB 68 Reports'!A4,Summary!K:K)</f>
        <v>887499999.99999905</v>
      </c>
      <c r="K4" s="8">
        <f t="shared" ref="K4:K11" si="1">I4-J4</f>
        <v>9.5367431640625E-7</v>
      </c>
    </row>
    <row r="5" spans="1:12" x14ac:dyDescent="0.2">
      <c r="A5" s="1">
        <v>2017</v>
      </c>
      <c r="B5" s="3">
        <v>227095809</v>
      </c>
      <c r="C5" s="3">
        <f>SUMIF(Summary!B:B,'Check w GASB 68 Reports'!A5,Summary!H:H)</f>
        <v>227095809</v>
      </c>
      <c r="D5">
        <f t="shared" si="0"/>
        <v>0</v>
      </c>
      <c r="E5" s="5"/>
      <c r="H5" s="1">
        <v>2017</v>
      </c>
      <c r="I5">
        <v>871000000</v>
      </c>
      <c r="J5" s="6">
        <f>SUMIF(Summary!B:B,'Check w GASB 68 Reports'!A5,Summary!K:K)</f>
        <v>870999999.99999785</v>
      </c>
      <c r="K5" s="8">
        <f t="shared" si="1"/>
        <v>2.1457672119140625E-6</v>
      </c>
    </row>
    <row r="6" spans="1:12" x14ac:dyDescent="0.2">
      <c r="A6" s="1">
        <v>2018</v>
      </c>
      <c r="B6" s="3">
        <v>235717254</v>
      </c>
      <c r="C6" s="3">
        <f>SUMIF(Summary!B:B,'Check w GASB 68 Reports'!A6,Summary!H:H)</f>
        <v>235717254</v>
      </c>
      <c r="D6">
        <f t="shared" si="0"/>
        <v>0</v>
      </c>
      <c r="E6" s="5"/>
      <c r="H6" s="1">
        <v>2018</v>
      </c>
      <c r="I6">
        <v>917900000</v>
      </c>
      <c r="J6" s="6">
        <f>SUMIF(Summary!B:B,'Check w GASB 68 Reports'!A6,Summary!K:K)</f>
        <v>917900000</v>
      </c>
      <c r="K6" s="8">
        <f t="shared" si="1"/>
        <v>0</v>
      </c>
    </row>
    <row r="7" spans="1:12" x14ac:dyDescent="0.2">
      <c r="A7" s="1">
        <v>2019</v>
      </c>
      <c r="B7" s="3">
        <v>393082599</v>
      </c>
      <c r="C7" s="3">
        <f>SUMIF(Summary!B:B,'Check w GASB 68 Reports'!A7,Summary!H:H)</f>
        <v>393082599</v>
      </c>
      <c r="D7">
        <f t="shared" si="0"/>
        <v>0</v>
      </c>
      <c r="E7" s="5"/>
      <c r="H7" s="1">
        <v>2019</v>
      </c>
      <c r="I7">
        <v>943900000</v>
      </c>
      <c r="J7" s="6">
        <f>SUMIF(Summary!B:B,'Check w GASB 68 Reports'!A7,Summary!K:K)</f>
        <v>943899999.99999809</v>
      </c>
      <c r="K7" s="8">
        <f t="shared" si="1"/>
        <v>1.9073486328125E-6</v>
      </c>
    </row>
    <row r="8" spans="1:12" x14ac:dyDescent="0.2">
      <c r="A8" s="1">
        <v>2020</v>
      </c>
      <c r="B8" s="3">
        <v>188725262</v>
      </c>
      <c r="C8" s="3">
        <f>SUMIF(Summary!B:B,'Check w GASB 68 Reports'!A8,Summary!H:H)</f>
        <v>188725262</v>
      </c>
      <c r="D8">
        <f t="shared" si="0"/>
        <v>0</v>
      </c>
      <c r="E8" s="5"/>
      <c r="H8" s="1">
        <v>2020</v>
      </c>
      <c r="I8">
        <v>971132000</v>
      </c>
      <c r="J8" s="6">
        <f>SUMIF(Summary!B:B,'Check w GASB 68 Reports'!A8,Summary!K:K)</f>
        <v>971132000</v>
      </c>
      <c r="K8" s="8">
        <f t="shared" si="1"/>
        <v>0</v>
      </c>
    </row>
    <row r="9" spans="1:12" x14ac:dyDescent="0.2">
      <c r="A9" s="1">
        <v>2021</v>
      </c>
      <c r="B9" s="3">
        <v>202425339</v>
      </c>
      <c r="C9" s="3">
        <f>SUMIF(Summary!B:B,'Check w GASB 68 Reports'!A9,Summary!H:H)</f>
        <v>202425339</v>
      </c>
      <c r="D9">
        <f t="shared" si="0"/>
        <v>0</v>
      </c>
      <c r="E9" s="5"/>
      <c r="H9" s="1">
        <v>2021</v>
      </c>
      <c r="I9">
        <v>1598375000</v>
      </c>
      <c r="J9" s="6">
        <f>SUMIF(Summary!B:B,'Check w GASB 68 Reports'!A9,Summary!K:K)</f>
        <v>1598375000</v>
      </c>
      <c r="K9" s="8">
        <f>I9-J9</f>
        <v>0</v>
      </c>
    </row>
    <row r="10" spans="1:12" x14ac:dyDescent="0.2">
      <c r="A10" s="1">
        <v>2022</v>
      </c>
      <c r="B10" s="3">
        <v>210606752</v>
      </c>
      <c r="C10" s="3">
        <f>SUMIF(Summary!B:B,'Check w GASB 68 Reports'!A10,Summary!H:H)</f>
        <v>210606752</v>
      </c>
      <c r="D10">
        <f t="shared" si="0"/>
        <v>0</v>
      </c>
      <c r="E10" s="5"/>
      <c r="H10" s="1">
        <v>2022</v>
      </c>
      <c r="I10">
        <v>1550410326</v>
      </c>
      <c r="J10" s="6">
        <f>SUMIF(Summary!B:B,'Check w GASB 68 Reports'!A10,Summary!K:K)</f>
        <v>1550410326</v>
      </c>
      <c r="K10" s="8">
        <f t="shared" si="1"/>
        <v>0</v>
      </c>
    </row>
    <row r="11" spans="1:12" x14ac:dyDescent="0.2">
      <c r="A11" s="1">
        <v>2023</v>
      </c>
      <c r="B11" s="3">
        <v>244531628</v>
      </c>
      <c r="C11" s="3">
        <f>SUMIF(Summary!B:B,'Check w GASB 68 Reports'!A11,Summary!H:H)</f>
        <v>244531628</v>
      </c>
      <c r="D11">
        <f t="shared" si="0"/>
        <v>0</v>
      </c>
      <c r="E11" s="5"/>
      <c r="H11" s="1">
        <v>2023</v>
      </c>
      <c r="I11">
        <v>4235000000</v>
      </c>
      <c r="J11" s="6">
        <f>SUMIF(Summary!B:B,'Check w GASB 68 Reports'!A11,Summary!K:K)</f>
        <v>4235000000</v>
      </c>
      <c r="K11" s="8">
        <f t="shared" si="1"/>
        <v>0</v>
      </c>
    </row>
    <row r="12" spans="1:12" x14ac:dyDescent="0.2">
      <c r="E12" s="4"/>
    </row>
  </sheetData>
  <mergeCells count="2">
    <mergeCell ref="A1:D1"/>
    <mergeCell ref="H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126F-C072-6041-B2C3-DC748976B022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D237-21CA-8B46-830E-822156E88075}">
  <sheetPr>
    <tabColor rgb="FFFFFF00"/>
  </sheetPr>
  <dimension ref="A1:C436"/>
  <sheetViews>
    <sheetView workbookViewId="0">
      <selection activeCell="A5" sqref="A5"/>
    </sheetView>
  </sheetViews>
  <sheetFormatPr baseColWidth="10" defaultRowHeight="16" x14ac:dyDescent="0.2"/>
  <cols>
    <col min="1" max="1" width="51.33203125" bestFit="1" customWidth="1"/>
  </cols>
  <sheetData>
    <row r="1" spans="1:3" x14ac:dyDescent="0.2">
      <c r="A1" t="s">
        <v>902</v>
      </c>
      <c r="B1" t="s">
        <v>900</v>
      </c>
      <c r="C1" t="s">
        <v>4598</v>
      </c>
    </row>
    <row r="2" spans="1:3" x14ac:dyDescent="0.2">
      <c r="A2" t="s">
        <v>594</v>
      </c>
      <c r="B2">
        <v>1810860</v>
      </c>
      <c r="C2" s="17">
        <f>COUNTIF($B$2:$B$380,B2)</f>
        <v>1</v>
      </c>
    </row>
    <row r="3" spans="1:3" x14ac:dyDescent="0.2">
      <c r="A3" t="s">
        <v>585</v>
      </c>
      <c r="B3">
        <v>1810830</v>
      </c>
      <c r="C3" s="17">
        <f>COUNTIF($B$2:$B$380,B3)</f>
        <v>1</v>
      </c>
    </row>
    <row r="4" spans="1:3" x14ac:dyDescent="0.2">
      <c r="A4" t="s">
        <v>578</v>
      </c>
      <c r="B4">
        <v>1809750</v>
      </c>
      <c r="C4" s="17">
        <f>COUNTIF($B$2:$B$380,B4)</f>
        <v>1</v>
      </c>
    </row>
    <row r="5" spans="1:3" x14ac:dyDescent="0.2">
      <c r="A5" t="s">
        <v>536</v>
      </c>
      <c r="B5">
        <v>1808820</v>
      </c>
      <c r="C5" s="17">
        <f>COUNTIF($B$2:$B$380,B5)</f>
        <v>1</v>
      </c>
    </row>
    <row r="6" spans="1:3" x14ac:dyDescent="0.2">
      <c r="A6" t="s">
        <v>746</v>
      </c>
      <c r="B6">
        <v>1801740</v>
      </c>
      <c r="C6" s="17">
        <f>COUNTIF($B$2:$B$380,B6)</f>
        <v>1</v>
      </c>
    </row>
    <row r="7" spans="1:3" x14ac:dyDescent="0.2">
      <c r="A7" t="s">
        <v>538</v>
      </c>
      <c r="B7">
        <v>1812720</v>
      </c>
      <c r="C7" s="17">
        <f>COUNTIF($B$2:$B$380,B7)</f>
        <v>1</v>
      </c>
    </row>
    <row r="8" spans="1:3" x14ac:dyDescent="0.2">
      <c r="A8" t="s">
        <v>702</v>
      </c>
      <c r="B8">
        <v>1813230</v>
      </c>
      <c r="C8" s="17">
        <f>COUNTIF($B$2:$B$380,B8)</f>
        <v>1</v>
      </c>
    </row>
    <row r="9" spans="1:3" x14ac:dyDescent="0.2">
      <c r="A9" t="s">
        <v>521</v>
      </c>
      <c r="B9">
        <v>1813200</v>
      </c>
      <c r="C9" s="17">
        <f>COUNTIF($B$2:$B$380,B9)</f>
        <v>1</v>
      </c>
    </row>
    <row r="10" spans="1:3" x14ac:dyDescent="0.2">
      <c r="A10" t="s">
        <v>514</v>
      </c>
      <c r="B10">
        <v>1813110</v>
      </c>
      <c r="C10" s="17">
        <f>COUNTIF($B$2:$B$380,B10)</f>
        <v>1</v>
      </c>
    </row>
    <row r="11" spans="1:3" x14ac:dyDescent="0.2">
      <c r="A11" t="s">
        <v>491</v>
      </c>
      <c r="B11">
        <v>1813080</v>
      </c>
      <c r="C11" s="17">
        <f>COUNTIF($B$2:$B$380,B11)</f>
        <v>1</v>
      </c>
    </row>
    <row r="12" spans="1:3" x14ac:dyDescent="0.2">
      <c r="A12" t="s">
        <v>610</v>
      </c>
      <c r="B12">
        <v>1813050</v>
      </c>
      <c r="C12" s="17">
        <f>COUNTIF($B$2:$B$380,B12)</f>
        <v>1</v>
      </c>
    </row>
    <row r="13" spans="1:3" x14ac:dyDescent="0.2">
      <c r="A13" t="s">
        <v>628</v>
      </c>
      <c r="B13">
        <v>1812990</v>
      </c>
      <c r="C13" s="17">
        <f>COUNTIF($B$2:$B$380,B13)</f>
        <v>1</v>
      </c>
    </row>
    <row r="14" spans="1:3" x14ac:dyDescent="0.2">
      <c r="A14" t="s">
        <v>608</v>
      </c>
      <c r="B14">
        <v>1812930</v>
      </c>
      <c r="C14" s="17">
        <f>COUNTIF($B$2:$B$380,B14)</f>
        <v>1</v>
      </c>
    </row>
    <row r="15" spans="1:3" x14ac:dyDescent="0.2">
      <c r="A15" t="s">
        <v>558</v>
      </c>
      <c r="B15">
        <v>1812900</v>
      </c>
      <c r="C15" s="17">
        <f>COUNTIF($B$2:$B$380,B15)</f>
        <v>1</v>
      </c>
    </row>
    <row r="16" spans="1:3" x14ac:dyDescent="0.2">
      <c r="A16" t="s">
        <v>533</v>
      </c>
      <c r="B16">
        <v>1812880</v>
      </c>
      <c r="C16" s="17">
        <f>COUNTIF($B$2:$B$380,B16)</f>
        <v>1</v>
      </c>
    </row>
    <row r="17" spans="1:3" x14ac:dyDescent="0.2">
      <c r="A17" t="s">
        <v>772</v>
      </c>
      <c r="B17">
        <v>1812870</v>
      </c>
      <c r="C17" s="17">
        <f>COUNTIF($B$2:$B$380,B17)</f>
        <v>1</v>
      </c>
    </row>
    <row r="18" spans="1:3" x14ac:dyDescent="0.2">
      <c r="A18" t="s">
        <v>534</v>
      </c>
      <c r="B18">
        <v>1812810</v>
      </c>
      <c r="C18" s="17">
        <f>COUNTIF($B$2:$B$380,B18)</f>
        <v>1</v>
      </c>
    </row>
    <row r="19" spans="1:3" x14ac:dyDescent="0.2">
      <c r="A19" t="s">
        <v>640</v>
      </c>
      <c r="B19">
        <v>1812450</v>
      </c>
      <c r="C19" s="17">
        <f>COUNTIF($B$2:$B$380,B19)</f>
        <v>1</v>
      </c>
    </row>
    <row r="20" spans="1:3" x14ac:dyDescent="0.2">
      <c r="A20" t="s">
        <v>700</v>
      </c>
      <c r="B20">
        <v>1812420</v>
      </c>
      <c r="C20" s="17">
        <f>COUNTIF($B$2:$B$380,B20)</f>
        <v>1</v>
      </c>
    </row>
    <row r="21" spans="1:3" x14ac:dyDescent="0.2">
      <c r="A21" t="s">
        <v>606</v>
      </c>
      <c r="B21">
        <v>1812390</v>
      </c>
      <c r="C21" s="17">
        <f>COUNTIF($B$2:$B$380,B21)</f>
        <v>1</v>
      </c>
    </row>
    <row r="22" spans="1:3" x14ac:dyDescent="0.2">
      <c r="A22" t="s">
        <v>720</v>
      </c>
      <c r="B22">
        <v>1812360</v>
      </c>
      <c r="C22" s="17">
        <f>COUNTIF($B$2:$B$380,B22)</f>
        <v>1</v>
      </c>
    </row>
    <row r="23" spans="1:3" x14ac:dyDescent="0.2">
      <c r="A23" t="s">
        <v>471</v>
      </c>
      <c r="B23">
        <v>1812240</v>
      </c>
      <c r="C23" s="17">
        <f>COUNTIF($B$2:$B$380,B23)</f>
        <v>1</v>
      </c>
    </row>
    <row r="24" spans="1:3" x14ac:dyDescent="0.2">
      <c r="A24" t="s">
        <v>603</v>
      </c>
      <c r="B24">
        <v>1812180</v>
      </c>
      <c r="C24" s="17">
        <f>COUNTIF($B$2:$B$380,B24)</f>
        <v>1</v>
      </c>
    </row>
    <row r="25" spans="1:3" x14ac:dyDescent="0.2">
      <c r="A25" t="s">
        <v>604</v>
      </c>
      <c r="B25">
        <v>1812150</v>
      </c>
      <c r="C25" s="17">
        <f>COUNTIF($B$2:$B$380,B25)</f>
        <v>1</v>
      </c>
    </row>
    <row r="26" spans="1:3" x14ac:dyDescent="0.2">
      <c r="A26" t="s">
        <v>511</v>
      </c>
      <c r="B26">
        <v>1812120</v>
      </c>
      <c r="C26" s="17">
        <f>COUNTIF($B$2:$B$380,B26)</f>
        <v>1</v>
      </c>
    </row>
    <row r="27" spans="1:3" x14ac:dyDescent="0.2">
      <c r="A27" t="s">
        <v>601</v>
      </c>
      <c r="B27">
        <v>1812090</v>
      </c>
      <c r="C27" s="17">
        <f>COUNTIF($B$2:$B$380,B27)</f>
        <v>1</v>
      </c>
    </row>
    <row r="28" spans="1:3" x14ac:dyDescent="0.2">
      <c r="A28" t="s">
        <v>688</v>
      </c>
      <c r="B28">
        <v>1812060</v>
      </c>
      <c r="C28" s="17">
        <f>COUNTIF($B$2:$B$380,B28)</f>
        <v>1</v>
      </c>
    </row>
    <row r="29" spans="1:3" x14ac:dyDescent="0.2">
      <c r="A29" t="s">
        <v>750</v>
      </c>
      <c r="B29">
        <v>1811970</v>
      </c>
      <c r="C29" s="17">
        <f>COUNTIF($B$2:$B$380,B29)</f>
        <v>1</v>
      </c>
    </row>
    <row r="30" spans="1:3" x14ac:dyDescent="0.2">
      <c r="A30" t="s">
        <v>777</v>
      </c>
      <c r="B30">
        <v>1811930</v>
      </c>
      <c r="C30" s="17">
        <f>COUNTIF($B$2:$B$380,B30)</f>
        <v>1</v>
      </c>
    </row>
    <row r="31" spans="1:3" x14ac:dyDescent="0.2">
      <c r="A31" t="s">
        <v>581</v>
      </c>
      <c r="B31">
        <v>1811910</v>
      </c>
      <c r="C31" s="17">
        <f>COUNTIF($B$2:$B$380,B31)</f>
        <v>1</v>
      </c>
    </row>
    <row r="32" spans="1:3" x14ac:dyDescent="0.2">
      <c r="A32" t="s">
        <v>570</v>
      </c>
      <c r="B32">
        <v>1811730</v>
      </c>
      <c r="C32" s="17">
        <f>COUNTIF($B$2:$B$380,B32)</f>
        <v>1</v>
      </c>
    </row>
    <row r="33" spans="1:3" x14ac:dyDescent="0.2">
      <c r="A33" t="s">
        <v>748</v>
      </c>
      <c r="B33">
        <v>1811700</v>
      </c>
      <c r="C33" s="17">
        <f>COUNTIF($B$2:$B$380,B33)</f>
        <v>1</v>
      </c>
    </row>
    <row r="34" spans="1:3" x14ac:dyDescent="0.2">
      <c r="A34" t="s">
        <v>599</v>
      </c>
      <c r="B34">
        <v>1811610</v>
      </c>
      <c r="C34" s="17">
        <f>COUNTIF($B$2:$B$380,B34)</f>
        <v>1</v>
      </c>
    </row>
    <row r="35" spans="1:3" x14ac:dyDescent="0.2">
      <c r="A35" t="s">
        <v>643</v>
      </c>
      <c r="B35">
        <v>1811600</v>
      </c>
      <c r="C35" s="17">
        <f>COUNTIF($B$2:$B$380,B35)</f>
        <v>1</v>
      </c>
    </row>
    <row r="36" spans="1:3" x14ac:dyDescent="0.2">
      <c r="A36" t="s">
        <v>613</v>
      </c>
      <c r="B36">
        <v>1811580</v>
      </c>
      <c r="C36" s="17">
        <f>COUNTIF($B$2:$B$380,B36)</f>
        <v>1</v>
      </c>
    </row>
    <row r="37" spans="1:3" x14ac:dyDescent="0.2">
      <c r="A37" t="s">
        <v>545</v>
      </c>
      <c r="B37">
        <v>1811490</v>
      </c>
      <c r="C37" s="17">
        <f>COUNTIF($B$2:$B$380,B37)</f>
        <v>1</v>
      </c>
    </row>
    <row r="38" spans="1:3" x14ac:dyDescent="0.2">
      <c r="A38" t="s">
        <v>523</v>
      </c>
      <c r="B38">
        <v>1811460</v>
      </c>
      <c r="C38" s="17">
        <f>COUNTIF($B$2:$B$380,B38)</f>
        <v>1</v>
      </c>
    </row>
    <row r="39" spans="1:3" x14ac:dyDescent="0.2">
      <c r="A39" t="s">
        <v>614</v>
      </c>
      <c r="B39">
        <v>1811430</v>
      </c>
      <c r="C39" s="17">
        <f>COUNTIF($B$2:$B$380,B39)</f>
        <v>1</v>
      </c>
    </row>
    <row r="40" spans="1:3" x14ac:dyDescent="0.2">
      <c r="A40" t="s">
        <v>773</v>
      </c>
      <c r="B40">
        <v>1811400</v>
      </c>
      <c r="C40" s="17">
        <f>COUNTIF($B$2:$B$380,B40)</f>
        <v>1</v>
      </c>
    </row>
    <row r="41" spans="1:3" x14ac:dyDescent="0.2">
      <c r="A41" t="s">
        <v>512</v>
      </c>
      <c r="B41">
        <v>1811370</v>
      </c>
      <c r="C41" s="17">
        <f>COUNTIF($B$2:$B$380,B41)</f>
        <v>1</v>
      </c>
    </row>
    <row r="42" spans="1:3" x14ac:dyDescent="0.2">
      <c r="A42" t="s">
        <v>596</v>
      </c>
      <c r="B42">
        <v>1811340</v>
      </c>
      <c r="C42" s="17">
        <f>COUNTIF($B$2:$B$380,B42)</f>
        <v>1</v>
      </c>
    </row>
    <row r="43" spans="1:3" x14ac:dyDescent="0.2">
      <c r="A43" t="s">
        <v>745</v>
      </c>
      <c r="B43">
        <v>1811260</v>
      </c>
      <c r="C43" s="17">
        <f>COUNTIF($B$2:$B$380,B43)</f>
        <v>1</v>
      </c>
    </row>
    <row r="44" spans="1:3" x14ac:dyDescent="0.2">
      <c r="A44" t="s">
        <v>685</v>
      </c>
      <c r="B44">
        <v>1811250</v>
      </c>
      <c r="C44" s="17">
        <f>COUNTIF($B$2:$B$380,B44)</f>
        <v>1</v>
      </c>
    </row>
    <row r="45" spans="1:3" x14ac:dyDescent="0.2">
      <c r="A45" t="s">
        <v>771</v>
      </c>
      <c r="B45">
        <v>1811220</v>
      </c>
      <c r="C45" s="17">
        <f>COUNTIF($B$2:$B$380,B45)</f>
        <v>1</v>
      </c>
    </row>
    <row r="46" spans="1:3" x14ac:dyDescent="0.2">
      <c r="A46" t="s">
        <v>761</v>
      </c>
      <c r="B46">
        <v>1811190</v>
      </c>
      <c r="C46" s="17">
        <f>COUNTIF($B$2:$B$380,B46)</f>
        <v>1</v>
      </c>
    </row>
    <row r="47" spans="1:3" x14ac:dyDescent="0.2">
      <c r="A47" t="s">
        <v>592</v>
      </c>
      <c r="B47">
        <v>1811100</v>
      </c>
      <c r="C47" s="17">
        <f>COUNTIF($B$2:$B$380,B47)</f>
        <v>1</v>
      </c>
    </row>
    <row r="48" spans="1:3" x14ac:dyDescent="0.2">
      <c r="A48" t="s">
        <v>736</v>
      </c>
      <c r="B48">
        <v>1810980</v>
      </c>
      <c r="C48" s="17">
        <f>COUNTIF($B$2:$B$380,B48)</f>
        <v>1</v>
      </c>
    </row>
    <row r="49" spans="1:3" x14ac:dyDescent="0.2">
      <c r="A49" t="s">
        <v>740</v>
      </c>
      <c r="B49">
        <v>1810950</v>
      </c>
      <c r="C49" s="17">
        <f>COUNTIF($B$2:$B$380,B49)</f>
        <v>1</v>
      </c>
    </row>
    <row r="50" spans="1:3" x14ac:dyDescent="0.2">
      <c r="A50" t="s">
        <v>541</v>
      </c>
      <c r="B50">
        <v>1810920</v>
      </c>
      <c r="C50" s="17">
        <f>COUNTIF($B$2:$B$380,B50)</f>
        <v>1</v>
      </c>
    </row>
    <row r="51" spans="1:3" x14ac:dyDescent="0.2">
      <c r="A51" t="s">
        <v>741</v>
      </c>
      <c r="B51">
        <v>1810900</v>
      </c>
      <c r="C51" s="17">
        <f>COUNTIF($B$2:$B$380,B51)</f>
        <v>1</v>
      </c>
    </row>
    <row r="52" spans="1:3" x14ac:dyDescent="0.2">
      <c r="A52" t="s">
        <v>655</v>
      </c>
      <c r="B52">
        <v>1810870</v>
      </c>
      <c r="C52" s="17">
        <f>COUNTIF($B$2:$B$380,B52)</f>
        <v>1</v>
      </c>
    </row>
    <row r="53" spans="1:3" x14ac:dyDescent="0.2">
      <c r="A53" t="s">
        <v>691</v>
      </c>
      <c r="B53">
        <v>1810800</v>
      </c>
      <c r="C53" s="17">
        <f>COUNTIF($B$2:$B$380,B53)</f>
        <v>1</v>
      </c>
    </row>
    <row r="54" spans="1:3" x14ac:dyDescent="0.2">
      <c r="A54" t="s">
        <v>784</v>
      </c>
      <c r="B54">
        <v>1810770</v>
      </c>
      <c r="C54" s="17">
        <f>COUNTIF($B$2:$B$380,B54)</f>
        <v>1</v>
      </c>
    </row>
    <row r="55" spans="1:3" x14ac:dyDescent="0.2">
      <c r="A55" t="s">
        <v>574</v>
      </c>
      <c r="B55">
        <v>1810740</v>
      </c>
      <c r="C55" s="17">
        <f>COUNTIF($B$2:$B$380,B55)</f>
        <v>1</v>
      </c>
    </row>
    <row r="56" spans="1:3" x14ac:dyDescent="0.2">
      <c r="A56" t="s">
        <v>675</v>
      </c>
      <c r="B56">
        <v>1810710</v>
      </c>
      <c r="C56" s="17">
        <f>COUNTIF($B$2:$B$380,B56)</f>
        <v>1</v>
      </c>
    </row>
    <row r="57" spans="1:3" x14ac:dyDescent="0.2">
      <c r="A57" t="s">
        <v>632</v>
      </c>
      <c r="B57">
        <v>1810680</v>
      </c>
      <c r="C57" s="17">
        <f>COUNTIF($B$2:$B$380,B57)</f>
        <v>1</v>
      </c>
    </row>
    <row r="58" spans="1:3" x14ac:dyDescent="0.2">
      <c r="A58" t="s">
        <v>577</v>
      </c>
      <c r="B58">
        <v>1810660</v>
      </c>
      <c r="C58" s="17">
        <f>COUNTIF($B$2:$B$380,B58)</f>
        <v>1</v>
      </c>
    </row>
    <row r="59" spans="1:3" x14ac:dyDescent="0.2">
      <c r="A59" t="s">
        <v>490</v>
      </c>
      <c r="B59">
        <v>1810650</v>
      </c>
      <c r="C59" s="17">
        <f>COUNTIF($B$2:$B$380,B59)</f>
        <v>1</v>
      </c>
    </row>
    <row r="60" spans="1:3" x14ac:dyDescent="0.2">
      <c r="A60" t="s">
        <v>654</v>
      </c>
      <c r="B60">
        <v>1810640</v>
      </c>
      <c r="C60" s="17">
        <f>COUNTIF($B$2:$B$380,B60)</f>
        <v>1</v>
      </c>
    </row>
    <row r="61" spans="1:3" x14ac:dyDescent="0.2">
      <c r="A61" t="s">
        <v>473</v>
      </c>
      <c r="B61">
        <v>1810620</v>
      </c>
      <c r="C61" s="17">
        <f>COUNTIF($B$2:$B$380,B61)</f>
        <v>1</v>
      </c>
    </row>
    <row r="62" spans="1:3" x14ac:dyDescent="0.2">
      <c r="A62" t="s">
        <v>775</v>
      </c>
      <c r="B62">
        <v>1810590</v>
      </c>
      <c r="C62" s="17">
        <f>COUNTIF($B$2:$B$380,B62)</f>
        <v>1</v>
      </c>
    </row>
    <row r="63" spans="1:3" x14ac:dyDescent="0.2">
      <c r="A63" t="s">
        <v>768</v>
      </c>
      <c r="B63">
        <v>1810560</v>
      </c>
      <c r="C63" s="17">
        <f>COUNTIF($B$2:$B$380,B63)</f>
        <v>1</v>
      </c>
    </row>
    <row r="64" spans="1:3" x14ac:dyDescent="0.2">
      <c r="A64" t="s">
        <v>762</v>
      </c>
      <c r="B64">
        <v>1810530</v>
      </c>
      <c r="C64" s="17">
        <f>COUNTIF($B$2:$B$380,B64)</f>
        <v>1</v>
      </c>
    </row>
    <row r="65" spans="1:3" x14ac:dyDescent="0.2">
      <c r="A65" t="s">
        <v>756</v>
      </c>
      <c r="B65">
        <v>1810500</v>
      </c>
      <c r="C65" s="17">
        <f>COUNTIF($B$2:$B$380,B65)</f>
        <v>1</v>
      </c>
    </row>
    <row r="66" spans="1:3" x14ac:dyDescent="0.2">
      <c r="A66" t="s">
        <v>555</v>
      </c>
      <c r="B66">
        <v>1810470</v>
      </c>
      <c r="C66" s="17">
        <f>COUNTIF($B$2:$B$380,B66)</f>
        <v>1</v>
      </c>
    </row>
    <row r="67" spans="1:3" x14ac:dyDescent="0.2">
      <c r="A67" t="s">
        <v>731</v>
      </c>
      <c r="B67">
        <v>1810450</v>
      </c>
      <c r="C67" s="17">
        <f>COUNTIF($B$2:$B$380,B67)</f>
        <v>1</v>
      </c>
    </row>
    <row r="68" spans="1:3" x14ac:dyDescent="0.2">
      <c r="A68" t="s">
        <v>718</v>
      </c>
      <c r="B68">
        <v>1810440</v>
      </c>
      <c r="C68" s="17">
        <f>COUNTIF($B$2:$B$380,B68)</f>
        <v>1</v>
      </c>
    </row>
    <row r="69" spans="1:3" x14ac:dyDescent="0.2">
      <c r="A69" t="s">
        <v>699</v>
      </c>
      <c r="B69">
        <v>1810410</v>
      </c>
      <c r="C69" s="17">
        <f>COUNTIF($B$2:$B$380,B69)</f>
        <v>1</v>
      </c>
    </row>
    <row r="70" spans="1:3" x14ac:dyDescent="0.2">
      <c r="A70" t="s">
        <v>499</v>
      </c>
      <c r="B70">
        <v>1810380</v>
      </c>
      <c r="C70" s="17">
        <f>COUNTIF($B$2:$B$380,B70)</f>
        <v>1</v>
      </c>
    </row>
    <row r="71" spans="1:3" x14ac:dyDescent="0.2">
      <c r="A71" t="s">
        <v>677</v>
      </c>
      <c r="B71">
        <v>1810360</v>
      </c>
      <c r="C71" s="17">
        <f>COUNTIF($B$2:$B$380,B71)</f>
        <v>1</v>
      </c>
    </row>
    <row r="72" spans="1:3" x14ac:dyDescent="0.2">
      <c r="A72" t="s">
        <v>477</v>
      </c>
      <c r="B72">
        <v>1810350</v>
      </c>
      <c r="C72" s="17">
        <f>COUNTIF($B$2:$B$380,B72)</f>
        <v>1</v>
      </c>
    </row>
    <row r="73" spans="1:3" x14ac:dyDescent="0.2">
      <c r="A73" t="s">
        <v>779</v>
      </c>
      <c r="B73">
        <v>1810310</v>
      </c>
      <c r="C73" s="17">
        <f>COUNTIF($B$2:$B$380,B73)</f>
        <v>1</v>
      </c>
    </row>
    <row r="74" spans="1:3" x14ac:dyDescent="0.2">
      <c r="A74" t="s">
        <v>765</v>
      </c>
      <c r="B74">
        <v>1810290</v>
      </c>
      <c r="C74" s="17">
        <f>COUNTIF($B$2:$B$380,B74)</f>
        <v>1</v>
      </c>
    </row>
    <row r="75" spans="1:3" x14ac:dyDescent="0.2">
      <c r="A75" t="s">
        <v>457</v>
      </c>
      <c r="B75">
        <v>1810260</v>
      </c>
      <c r="C75" s="17">
        <f>COUNTIF($B$2:$B$380,B75)</f>
        <v>1</v>
      </c>
    </row>
    <row r="76" spans="1:3" x14ac:dyDescent="0.2">
      <c r="A76" t="s">
        <v>616</v>
      </c>
      <c r="B76">
        <v>1810230</v>
      </c>
      <c r="C76" s="17">
        <f>COUNTIF($B$2:$B$380,B76)</f>
        <v>1</v>
      </c>
    </row>
    <row r="77" spans="1:3" x14ac:dyDescent="0.2">
      <c r="A77" t="s">
        <v>546</v>
      </c>
      <c r="B77">
        <v>1810170</v>
      </c>
      <c r="C77" s="17">
        <f>COUNTIF($B$2:$B$380,B77)</f>
        <v>1</v>
      </c>
    </row>
    <row r="78" spans="1:3" x14ac:dyDescent="0.2">
      <c r="A78" t="s">
        <v>586</v>
      </c>
      <c r="B78">
        <v>1810140</v>
      </c>
      <c r="C78" s="17">
        <f>COUNTIF($B$2:$B$380,B78)</f>
        <v>1</v>
      </c>
    </row>
    <row r="79" spans="1:3" x14ac:dyDescent="0.2">
      <c r="A79" t="s">
        <v>485</v>
      </c>
      <c r="B79">
        <v>1810110</v>
      </c>
      <c r="C79" s="17">
        <f>COUNTIF($B$2:$B$380,B79)</f>
        <v>1</v>
      </c>
    </row>
    <row r="80" spans="1:3" x14ac:dyDescent="0.2">
      <c r="A80" t="s">
        <v>689</v>
      </c>
      <c r="B80">
        <v>1810080</v>
      </c>
      <c r="C80" s="17">
        <f>COUNTIF($B$2:$B$380,B80)</f>
        <v>1</v>
      </c>
    </row>
    <row r="81" spans="1:3" x14ac:dyDescent="0.2">
      <c r="A81" t="s">
        <v>583</v>
      </c>
      <c r="B81">
        <v>1810020</v>
      </c>
      <c r="C81" s="17">
        <f>COUNTIF($B$2:$B$380,B81)</f>
        <v>1</v>
      </c>
    </row>
    <row r="82" spans="1:3" x14ac:dyDescent="0.2">
      <c r="A82" t="s">
        <v>766</v>
      </c>
      <c r="B82">
        <v>1809990</v>
      </c>
      <c r="C82" s="17">
        <f>COUNTIF($B$2:$B$380,B82)</f>
        <v>1</v>
      </c>
    </row>
    <row r="83" spans="1:3" x14ac:dyDescent="0.2">
      <c r="A83" t="s">
        <v>650</v>
      </c>
      <c r="B83">
        <v>1809840</v>
      </c>
      <c r="C83" s="17">
        <f>COUNTIF($B$2:$B$380,B83)</f>
        <v>1</v>
      </c>
    </row>
    <row r="84" spans="1:3" x14ac:dyDescent="0.2">
      <c r="A84" t="s">
        <v>778</v>
      </c>
      <c r="B84">
        <v>1809810</v>
      </c>
      <c r="C84" s="17">
        <f>COUNTIF($B$2:$B$380,B84)</f>
        <v>1</v>
      </c>
    </row>
    <row r="85" spans="1:3" x14ac:dyDescent="0.2">
      <c r="A85" t="s">
        <v>465</v>
      </c>
      <c r="B85">
        <v>1809720</v>
      </c>
      <c r="C85" s="17">
        <f>COUNTIF($B$2:$B$380,B85)</f>
        <v>1</v>
      </c>
    </row>
    <row r="86" spans="1:3" x14ac:dyDescent="0.2">
      <c r="A86" t="s">
        <v>706</v>
      </c>
      <c r="B86">
        <v>1809690</v>
      </c>
      <c r="C86" s="17">
        <f>COUNTIF($B$2:$B$380,B86)</f>
        <v>1</v>
      </c>
    </row>
    <row r="87" spans="1:3" x14ac:dyDescent="0.2">
      <c r="A87" t="s">
        <v>475</v>
      </c>
      <c r="B87">
        <v>1809630</v>
      </c>
      <c r="C87" s="17">
        <f>COUNTIF($B$2:$B$380,B87)</f>
        <v>1</v>
      </c>
    </row>
    <row r="88" spans="1:3" x14ac:dyDescent="0.2">
      <c r="A88" t="s">
        <v>735</v>
      </c>
      <c r="B88">
        <v>1809600</v>
      </c>
      <c r="C88" s="17">
        <f>COUNTIF($B$2:$B$380,B88)</f>
        <v>1</v>
      </c>
    </row>
    <row r="89" spans="1:3" x14ac:dyDescent="0.2">
      <c r="A89" t="s">
        <v>782</v>
      </c>
      <c r="B89">
        <v>1809510</v>
      </c>
      <c r="C89" s="17">
        <f>COUNTIF($B$2:$B$380,B89)</f>
        <v>1</v>
      </c>
    </row>
    <row r="90" spans="1:3" x14ac:dyDescent="0.2">
      <c r="A90" t="s">
        <v>550</v>
      </c>
      <c r="B90">
        <v>1809480</v>
      </c>
      <c r="C90" s="17">
        <f>COUNTIF($B$2:$B$380,B90)</f>
        <v>1</v>
      </c>
    </row>
    <row r="91" spans="1:3" x14ac:dyDescent="0.2">
      <c r="A91" t="s">
        <v>503</v>
      </c>
      <c r="B91">
        <v>1809420</v>
      </c>
      <c r="C91" s="17">
        <f>COUNTIF($B$2:$B$380,B91)</f>
        <v>1</v>
      </c>
    </row>
    <row r="92" spans="1:3" x14ac:dyDescent="0.2">
      <c r="A92" t="s">
        <v>633</v>
      </c>
      <c r="B92">
        <v>1809370</v>
      </c>
      <c r="C92" s="17">
        <f>COUNTIF($B$2:$B$380,B92)</f>
        <v>1</v>
      </c>
    </row>
    <row r="93" spans="1:3" x14ac:dyDescent="0.2">
      <c r="A93" t="s">
        <v>568</v>
      </c>
      <c r="B93">
        <v>1809360</v>
      </c>
      <c r="C93" s="17">
        <f>COUNTIF($B$2:$B$380,B93)</f>
        <v>1</v>
      </c>
    </row>
    <row r="94" spans="1:3" x14ac:dyDescent="0.2">
      <c r="A94" t="s">
        <v>703</v>
      </c>
      <c r="B94">
        <v>1809300</v>
      </c>
      <c r="C94" s="17">
        <f>COUNTIF($B$2:$B$380,B94)</f>
        <v>1</v>
      </c>
    </row>
    <row r="95" spans="1:3" x14ac:dyDescent="0.2">
      <c r="A95" t="s">
        <v>562</v>
      </c>
      <c r="B95">
        <v>1809180</v>
      </c>
      <c r="C95" s="17">
        <f>COUNTIF($B$2:$B$380,B95)</f>
        <v>1</v>
      </c>
    </row>
    <row r="96" spans="1:3" x14ac:dyDescent="0.2">
      <c r="A96" t="s">
        <v>563</v>
      </c>
      <c r="B96">
        <v>1809150</v>
      </c>
      <c r="C96" s="17">
        <f>COUNTIF($B$2:$B$380,B96)</f>
        <v>1</v>
      </c>
    </row>
    <row r="97" spans="1:3" x14ac:dyDescent="0.2">
      <c r="A97" t="s">
        <v>564</v>
      </c>
      <c r="B97">
        <v>1809130</v>
      </c>
      <c r="C97" s="17">
        <f>COUNTIF($B$2:$B$380,B97)</f>
        <v>1</v>
      </c>
    </row>
    <row r="98" spans="1:3" x14ac:dyDescent="0.2">
      <c r="A98" t="s">
        <v>582</v>
      </c>
      <c r="B98">
        <v>1809120</v>
      </c>
      <c r="C98" s="17">
        <f>COUNTIF($B$2:$B$380,B98)</f>
        <v>1</v>
      </c>
    </row>
    <row r="99" spans="1:3" x14ac:dyDescent="0.2">
      <c r="A99" t="s">
        <v>725</v>
      </c>
      <c r="B99">
        <v>1809060</v>
      </c>
      <c r="C99" s="17">
        <f>COUNTIF($B$2:$B$380,B99)</f>
        <v>1</v>
      </c>
    </row>
    <row r="100" spans="1:3" x14ac:dyDescent="0.2">
      <c r="A100" t="s">
        <v>566</v>
      </c>
      <c r="B100">
        <v>1809000</v>
      </c>
      <c r="C100" s="17">
        <f>COUNTIF($B$2:$B$380,B100)</f>
        <v>1</v>
      </c>
    </row>
    <row r="101" spans="1:3" x14ac:dyDescent="0.2">
      <c r="A101" t="s">
        <v>681</v>
      </c>
      <c r="B101">
        <v>1808970</v>
      </c>
      <c r="C101" s="17">
        <f>COUNTIF($B$2:$B$380,B101)</f>
        <v>1</v>
      </c>
    </row>
    <row r="102" spans="1:3" x14ac:dyDescent="0.2">
      <c r="A102" t="s">
        <v>461</v>
      </c>
      <c r="B102">
        <v>1808940</v>
      </c>
      <c r="C102" s="17">
        <f>COUNTIF($B$2:$B$380,B102)</f>
        <v>1</v>
      </c>
    </row>
    <row r="103" spans="1:3" x14ac:dyDescent="0.2">
      <c r="A103" t="s">
        <v>537</v>
      </c>
      <c r="B103">
        <v>1808910</v>
      </c>
      <c r="C103" s="17">
        <f>COUNTIF($B$2:$B$380,B103)</f>
        <v>1</v>
      </c>
    </row>
    <row r="104" spans="1:3" x14ac:dyDescent="0.2">
      <c r="A104" t="s">
        <v>560</v>
      </c>
      <c r="B104">
        <v>1808900</v>
      </c>
      <c r="C104" s="17">
        <f>COUNTIF($B$2:$B$380,B104)</f>
        <v>1</v>
      </c>
    </row>
    <row r="105" spans="1:3" x14ac:dyDescent="0.2">
      <c r="A105" t="s">
        <v>728</v>
      </c>
      <c r="B105">
        <v>1808850</v>
      </c>
      <c r="C105" s="17">
        <f>COUNTIF($B$2:$B$380,B105)</f>
        <v>1</v>
      </c>
    </row>
    <row r="106" spans="1:3" x14ac:dyDescent="0.2">
      <c r="A106" t="s">
        <v>580</v>
      </c>
      <c r="B106">
        <v>1808760</v>
      </c>
      <c r="C106" s="17">
        <f>COUNTIF($B$2:$B$380,B106)</f>
        <v>1</v>
      </c>
    </row>
    <row r="107" spans="1:3" x14ac:dyDescent="0.2">
      <c r="A107" t="s">
        <v>738</v>
      </c>
      <c r="B107">
        <v>1808640</v>
      </c>
      <c r="C107" s="17">
        <f>COUNTIF($B$2:$B$380,B107)</f>
        <v>1</v>
      </c>
    </row>
    <row r="108" spans="1:3" x14ac:dyDescent="0.2">
      <c r="A108" t="s">
        <v>737</v>
      </c>
      <c r="B108">
        <v>1808490</v>
      </c>
      <c r="C108" s="17">
        <f>COUNTIF($B$2:$B$380,B108)</f>
        <v>1</v>
      </c>
    </row>
    <row r="109" spans="1:3" x14ac:dyDescent="0.2">
      <c r="A109" t="s">
        <v>590</v>
      </c>
      <c r="B109">
        <v>1808460</v>
      </c>
      <c r="C109" s="17">
        <f>COUNTIF($B$2:$B$380,B109)</f>
        <v>1</v>
      </c>
    </row>
    <row r="110" spans="1:3" x14ac:dyDescent="0.2">
      <c r="A110" t="s">
        <v>549</v>
      </c>
      <c r="B110">
        <v>1808340</v>
      </c>
      <c r="C110" s="17">
        <f>COUNTIF($B$2:$B$380,B110)</f>
        <v>1</v>
      </c>
    </row>
    <row r="111" spans="1:3" x14ac:dyDescent="0.2">
      <c r="A111" t="s">
        <v>526</v>
      </c>
      <c r="B111">
        <v>1808320</v>
      </c>
      <c r="C111" s="17">
        <f>COUNTIF($B$2:$B$380,B111)</f>
        <v>1</v>
      </c>
    </row>
    <row r="112" spans="1:3" x14ac:dyDescent="0.2">
      <c r="A112" t="s">
        <v>584</v>
      </c>
      <c r="B112">
        <v>1808310</v>
      </c>
      <c r="C112" s="17">
        <f>COUNTIF($B$2:$B$380,B112)</f>
        <v>1</v>
      </c>
    </row>
    <row r="113" spans="1:3" x14ac:dyDescent="0.2">
      <c r="A113" t="s">
        <v>498</v>
      </c>
      <c r="B113">
        <v>1808280</v>
      </c>
      <c r="C113" s="17">
        <f>COUNTIF($B$2:$B$380,B113)</f>
        <v>1</v>
      </c>
    </row>
    <row r="114" spans="1:3" x14ac:dyDescent="0.2">
      <c r="A114" t="s">
        <v>622</v>
      </c>
      <c r="B114">
        <v>1808250</v>
      </c>
      <c r="C114" s="17">
        <f>COUNTIF($B$2:$B$380,B114)</f>
        <v>1</v>
      </c>
    </row>
    <row r="115" spans="1:3" x14ac:dyDescent="0.2">
      <c r="A115" t="s">
        <v>783</v>
      </c>
      <c r="B115">
        <v>1808220</v>
      </c>
      <c r="C115" s="17">
        <f>COUNTIF($B$2:$B$380,B115)</f>
        <v>1</v>
      </c>
    </row>
    <row r="116" spans="1:3" x14ac:dyDescent="0.2">
      <c r="A116" t="s">
        <v>609</v>
      </c>
      <c r="B116">
        <v>1808190</v>
      </c>
      <c r="C116" s="17">
        <f>COUNTIF($B$2:$B$380,B116)</f>
        <v>1</v>
      </c>
    </row>
    <row r="117" spans="1:3" x14ac:dyDescent="0.2">
      <c r="A117" t="s">
        <v>595</v>
      </c>
      <c r="B117">
        <v>1808160</v>
      </c>
      <c r="C117" s="17">
        <f>COUNTIF($B$2:$B$380,B117)</f>
        <v>1</v>
      </c>
    </row>
    <row r="118" spans="1:3" x14ac:dyDescent="0.2">
      <c r="A118" t="s">
        <v>612</v>
      </c>
      <c r="B118">
        <v>1808130</v>
      </c>
      <c r="C118" s="17">
        <f>COUNTIF($B$2:$B$380,B118)</f>
        <v>1</v>
      </c>
    </row>
    <row r="119" spans="1:3" x14ac:dyDescent="0.2">
      <c r="A119" t="s">
        <v>656</v>
      </c>
      <c r="B119">
        <v>1808120</v>
      </c>
      <c r="C119" s="17">
        <f>COUNTIF($B$2:$B$380,B119)</f>
        <v>1</v>
      </c>
    </row>
    <row r="120" spans="1:3" x14ac:dyDescent="0.2">
      <c r="A120" t="s">
        <v>495</v>
      </c>
      <c r="B120">
        <v>1808100</v>
      </c>
      <c r="C120" s="17">
        <f>COUNTIF($B$2:$B$380,B120)</f>
        <v>1</v>
      </c>
    </row>
    <row r="121" spans="1:3" x14ac:dyDescent="0.2">
      <c r="A121" t="s">
        <v>774</v>
      </c>
      <c r="B121">
        <v>1808070</v>
      </c>
      <c r="C121" s="17">
        <f>COUNTIF($B$2:$B$380,B121)</f>
        <v>1</v>
      </c>
    </row>
    <row r="122" spans="1:3" x14ac:dyDescent="0.2">
      <c r="A122" t="s">
        <v>598</v>
      </c>
      <c r="B122">
        <v>1808040</v>
      </c>
      <c r="C122" s="17">
        <f>COUNTIF($B$2:$B$380,B122)</f>
        <v>1</v>
      </c>
    </row>
    <row r="123" spans="1:3" x14ac:dyDescent="0.2">
      <c r="A123" t="s">
        <v>589</v>
      </c>
      <c r="B123">
        <v>1808010</v>
      </c>
      <c r="C123" s="17">
        <f>COUNTIF($B$2:$B$380,B123)</f>
        <v>1</v>
      </c>
    </row>
    <row r="124" spans="1:3" x14ac:dyDescent="0.2">
      <c r="A124" t="s">
        <v>757</v>
      </c>
      <c r="B124">
        <v>1807980</v>
      </c>
      <c r="C124" s="17">
        <f>COUNTIF($B$2:$B$380,B124)</f>
        <v>1</v>
      </c>
    </row>
    <row r="125" spans="1:3" x14ac:dyDescent="0.2">
      <c r="A125" t="s">
        <v>752</v>
      </c>
      <c r="B125">
        <v>1807950</v>
      </c>
      <c r="C125" s="17">
        <f>COUNTIF($B$2:$B$380,B125)</f>
        <v>1</v>
      </c>
    </row>
    <row r="126" spans="1:3" x14ac:dyDescent="0.2">
      <c r="A126" t="s">
        <v>556</v>
      </c>
      <c r="B126">
        <v>1807920</v>
      </c>
      <c r="C126" s="17">
        <f>COUNTIF($B$2:$B$380,B126)</f>
        <v>1</v>
      </c>
    </row>
    <row r="127" spans="1:3" x14ac:dyDescent="0.2">
      <c r="A127" t="s">
        <v>732</v>
      </c>
      <c r="B127">
        <v>1807900</v>
      </c>
      <c r="C127" s="17">
        <f>COUNTIF($B$2:$B$380,B127)</f>
        <v>1</v>
      </c>
    </row>
    <row r="128" spans="1:3" x14ac:dyDescent="0.2">
      <c r="A128" t="s">
        <v>727</v>
      </c>
      <c r="B128">
        <v>1807890</v>
      </c>
      <c r="C128" s="17">
        <f>COUNTIF($B$2:$B$380,B128)</f>
        <v>1</v>
      </c>
    </row>
    <row r="129" spans="1:3" x14ac:dyDescent="0.2">
      <c r="A129" t="s">
        <v>532</v>
      </c>
      <c r="B129">
        <v>1807860</v>
      </c>
      <c r="C129" s="17">
        <f>COUNTIF($B$2:$B$380,B129)</f>
        <v>1</v>
      </c>
    </row>
    <row r="130" spans="1:3" x14ac:dyDescent="0.2">
      <c r="A130" t="s">
        <v>510</v>
      </c>
      <c r="B130">
        <v>1807830</v>
      </c>
      <c r="C130" s="17">
        <f>COUNTIF($B$2:$B$380,B130)</f>
        <v>1</v>
      </c>
    </row>
    <row r="131" spans="1:3" x14ac:dyDescent="0.2">
      <c r="A131" t="s">
        <v>591</v>
      </c>
      <c r="B131">
        <v>1807800</v>
      </c>
      <c r="C131" s="17">
        <f>COUNTIF($B$2:$B$380,B131)</f>
        <v>1</v>
      </c>
    </row>
    <row r="132" spans="1:3" x14ac:dyDescent="0.2">
      <c r="A132" t="s">
        <v>476</v>
      </c>
      <c r="B132">
        <v>1807770</v>
      </c>
      <c r="C132" s="17">
        <f>COUNTIF($B$2:$B$380,B132)</f>
        <v>1</v>
      </c>
    </row>
    <row r="133" spans="1:3" x14ac:dyDescent="0.2">
      <c r="A133" t="s">
        <v>642</v>
      </c>
      <c r="B133">
        <v>1807710</v>
      </c>
      <c r="C133" s="17">
        <f>COUNTIF($B$2:$B$380,B133)</f>
        <v>1</v>
      </c>
    </row>
    <row r="134" spans="1:3" x14ac:dyDescent="0.2">
      <c r="A134" t="s">
        <v>619</v>
      </c>
      <c r="B134">
        <v>1807680</v>
      </c>
      <c r="C134" s="17">
        <f>COUNTIF($B$2:$B$380,B134)</f>
        <v>1</v>
      </c>
    </row>
    <row r="135" spans="1:3" x14ac:dyDescent="0.2">
      <c r="A135" t="s">
        <v>487</v>
      </c>
      <c r="B135">
        <v>1807650</v>
      </c>
      <c r="C135" s="17">
        <f>COUNTIF($B$2:$B$380,B135)</f>
        <v>1</v>
      </c>
    </row>
    <row r="136" spans="1:3" x14ac:dyDescent="0.2">
      <c r="A136" t="s">
        <v>507</v>
      </c>
      <c r="B136">
        <v>1807620</v>
      </c>
      <c r="C136" s="17">
        <f>COUNTIF($B$2:$B$380,B136)</f>
        <v>1</v>
      </c>
    </row>
    <row r="137" spans="1:3" x14ac:dyDescent="0.2">
      <c r="A137" t="s">
        <v>529</v>
      </c>
      <c r="B137">
        <v>1807560</v>
      </c>
      <c r="C137" s="17">
        <f>COUNTIF($B$2:$B$380,B137)</f>
        <v>1</v>
      </c>
    </row>
    <row r="138" spans="1:3" x14ac:dyDescent="0.2">
      <c r="A138" t="s">
        <v>527</v>
      </c>
      <c r="B138">
        <v>1807470</v>
      </c>
      <c r="C138" s="17">
        <f>COUNTIF($B$2:$B$380,B138)</f>
        <v>1</v>
      </c>
    </row>
    <row r="139" spans="1:3" x14ac:dyDescent="0.2">
      <c r="A139" t="s">
        <v>683</v>
      </c>
      <c r="B139">
        <v>1807440</v>
      </c>
      <c r="C139" s="17">
        <f>COUNTIF($B$2:$B$380,B139)</f>
        <v>1</v>
      </c>
    </row>
    <row r="140" spans="1:3" x14ac:dyDescent="0.2">
      <c r="A140" t="s">
        <v>664</v>
      </c>
      <c r="B140">
        <v>1807410</v>
      </c>
      <c r="C140" s="17">
        <f>COUNTIF($B$2:$B$380,B140)</f>
        <v>1</v>
      </c>
    </row>
    <row r="141" spans="1:3" x14ac:dyDescent="0.2">
      <c r="A141" t="s">
        <v>781</v>
      </c>
      <c r="B141">
        <v>1807380</v>
      </c>
      <c r="C141" s="17">
        <f>COUNTIF($B$2:$B$380,B141)</f>
        <v>1</v>
      </c>
    </row>
    <row r="142" spans="1:3" x14ac:dyDescent="0.2">
      <c r="A142" t="s">
        <v>520</v>
      </c>
      <c r="B142">
        <v>1807350</v>
      </c>
      <c r="C142" s="17">
        <f>COUNTIF($B$2:$B$380,B142)</f>
        <v>1</v>
      </c>
    </row>
    <row r="143" spans="1:3" x14ac:dyDescent="0.2">
      <c r="A143" t="s">
        <v>651</v>
      </c>
      <c r="B143">
        <v>1807320</v>
      </c>
      <c r="C143" s="17">
        <f>COUNTIF($B$2:$B$380,B143)</f>
        <v>1</v>
      </c>
    </row>
    <row r="144" spans="1:3" x14ac:dyDescent="0.2">
      <c r="A144" t="s">
        <v>567</v>
      </c>
      <c r="B144">
        <v>1807290</v>
      </c>
      <c r="C144" s="17">
        <f>COUNTIF($B$2:$B$380,B144)</f>
        <v>1</v>
      </c>
    </row>
    <row r="145" spans="1:3" x14ac:dyDescent="0.2">
      <c r="A145" t="s">
        <v>674</v>
      </c>
      <c r="B145">
        <v>1807260</v>
      </c>
      <c r="C145" s="17">
        <f>COUNTIF($B$2:$B$380,B145)</f>
        <v>1</v>
      </c>
    </row>
    <row r="146" spans="1:3" x14ac:dyDescent="0.2">
      <c r="A146" t="s">
        <v>469</v>
      </c>
      <c r="B146">
        <v>1807230</v>
      </c>
      <c r="C146" s="17">
        <f>COUNTIF($B$2:$B$380,B146)</f>
        <v>1</v>
      </c>
    </row>
    <row r="147" spans="1:3" x14ac:dyDescent="0.2">
      <c r="A147" t="s">
        <v>553</v>
      </c>
      <c r="B147">
        <v>1807140</v>
      </c>
      <c r="C147" s="17">
        <f>COUNTIF($B$2:$B$380,B147)</f>
        <v>1</v>
      </c>
    </row>
    <row r="148" spans="1:3" x14ac:dyDescent="0.2">
      <c r="A148" t="s">
        <v>753</v>
      </c>
      <c r="B148">
        <v>1807110</v>
      </c>
      <c r="C148" s="17">
        <f>COUNTIF($B$2:$B$380,B148)</f>
        <v>1</v>
      </c>
    </row>
    <row r="149" spans="1:3" x14ac:dyDescent="0.2">
      <c r="A149" t="s">
        <v>571</v>
      </c>
      <c r="B149">
        <v>1807080</v>
      </c>
      <c r="C149" s="17">
        <f>COUNTIF($B$2:$B$380,B149)</f>
        <v>1</v>
      </c>
    </row>
    <row r="150" spans="1:3" x14ac:dyDescent="0.2">
      <c r="A150" t="s">
        <v>649</v>
      </c>
      <c r="B150">
        <v>1807020</v>
      </c>
      <c r="C150" s="17">
        <f>COUNTIF($B$2:$B$380,B150)</f>
        <v>1</v>
      </c>
    </row>
    <row r="151" spans="1:3" x14ac:dyDescent="0.2">
      <c r="A151" t="s">
        <v>531</v>
      </c>
      <c r="B151">
        <v>1806900</v>
      </c>
      <c r="C151" s="17">
        <f>COUNTIF($B$2:$B$380,B151)</f>
        <v>1</v>
      </c>
    </row>
    <row r="152" spans="1:3" x14ac:dyDescent="0.2">
      <c r="A152" t="s">
        <v>669</v>
      </c>
      <c r="B152">
        <v>1806870</v>
      </c>
      <c r="C152" s="17">
        <f>COUNTIF($B$2:$B$380,B152)</f>
        <v>1</v>
      </c>
    </row>
    <row r="153" spans="1:3" x14ac:dyDescent="0.2">
      <c r="A153" t="s">
        <v>579</v>
      </c>
      <c r="B153">
        <v>1806840</v>
      </c>
      <c r="C153" s="17">
        <f>COUNTIF($B$2:$B$380,B153)</f>
        <v>1</v>
      </c>
    </row>
    <row r="154" spans="1:3" x14ac:dyDescent="0.2">
      <c r="A154" t="s">
        <v>682</v>
      </c>
      <c r="B154">
        <v>1806660</v>
      </c>
      <c r="C154" s="17">
        <f>COUNTIF($B$2:$B$380,B154)</f>
        <v>1</v>
      </c>
    </row>
    <row r="155" spans="1:3" x14ac:dyDescent="0.2">
      <c r="A155" t="s">
        <v>760</v>
      </c>
      <c r="B155">
        <v>1806630</v>
      </c>
      <c r="C155" s="17">
        <f>COUNTIF($B$2:$B$380,B155)</f>
        <v>1</v>
      </c>
    </row>
    <row r="156" spans="1:3" x14ac:dyDescent="0.2">
      <c r="A156" t="s">
        <v>659</v>
      </c>
      <c r="B156">
        <v>1806600</v>
      </c>
      <c r="C156" s="17">
        <f>COUNTIF($B$2:$B$380,B156)</f>
        <v>1</v>
      </c>
    </row>
    <row r="157" spans="1:3" x14ac:dyDescent="0.2">
      <c r="A157" t="s">
        <v>530</v>
      </c>
      <c r="B157">
        <v>1806570</v>
      </c>
      <c r="C157" s="17">
        <f>COUNTIF($B$2:$B$380,B157)</f>
        <v>1</v>
      </c>
    </row>
    <row r="158" spans="1:3" x14ac:dyDescent="0.2">
      <c r="A158" t="s">
        <v>552</v>
      </c>
      <c r="B158">
        <v>1806510</v>
      </c>
      <c r="C158" s="17">
        <f>COUNTIF($B$2:$B$380,B158)</f>
        <v>1</v>
      </c>
    </row>
    <row r="159" spans="1:3" x14ac:dyDescent="0.2">
      <c r="A159" t="s">
        <v>492</v>
      </c>
      <c r="B159">
        <v>1806480</v>
      </c>
      <c r="C159" s="17">
        <f>COUNTIF($B$2:$B$380,B159)</f>
        <v>1</v>
      </c>
    </row>
    <row r="160" spans="1:3" x14ac:dyDescent="0.2">
      <c r="A160" t="s">
        <v>479</v>
      </c>
      <c r="B160">
        <v>1806390</v>
      </c>
      <c r="C160" s="17">
        <f>COUNTIF($B$2:$B$380,B160)</f>
        <v>1</v>
      </c>
    </row>
    <row r="161" spans="1:3" x14ac:dyDescent="0.2">
      <c r="A161" t="s">
        <v>776</v>
      </c>
      <c r="B161">
        <v>1806270</v>
      </c>
      <c r="C161" s="17">
        <f>COUNTIF($B$2:$B$380,B161)</f>
        <v>1</v>
      </c>
    </row>
    <row r="162" spans="1:3" x14ac:dyDescent="0.2">
      <c r="A162" t="s">
        <v>480</v>
      </c>
      <c r="B162">
        <v>1806240</v>
      </c>
      <c r="C162" s="17">
        <f>COUNTIF($B$2:$B$380,B162)</f>
        <v>1</v>
      </c>
    </row>
    <row r="163" spans="1:3" x14ac:dyDescent="0.2">
      <c r="A163" t="s">
        <v>506</v>
      </c>
      <c r="B163">
        <v>1806120</v>
      </c>
      <c r="C163" s="17">
        <f>COUNTIF($B$2:$B$380,B163)</f>
        <v>1</v>
      </c>
    </row>
    <row r="164" spans="1:3" x14ac:dyDescent="0.2">
      <c r="A164" t="s">
        <v>692</v>
      </c>
      <c r="B164">
        <v>1806100</v>
      </c>
      <c r="C164" s="17">
        <f>COUNTIF($B$2:$B$380,B164)</f>
        <v>1</v>
      </c>
    </row>
    <row r="165" spans="1:3" x14ac:dyDescent="0.2">
      <c r="A165" t="s">
        <v>548</v>
      </c>
      <c r="B165">
        <v>1806090</v>
      </c>
      <c r="C165" s="17">
        <f>COUNTIF($B$2:$B$380,B165)</f>
        <v>1</v>
      </c>
    </row>
    <row r="166" spans="1:3" x14ac:dyDescent="0.2">
      <c r="A166" t="s">
        <v>605</v>
      </c>
      <c r="B166">
        <v>1806080</v>
      </c>
      <c r="C166" s="17">
        <f>COUNTIF($B$2:$B$380,B166)</f>
        <v>1</v>
      </c>
    </row>
    <row r="167" spans="1:3" x14ac:dyDescent="0.2">
      <c r="A167" t="s">
        <v>726</v>
      </c>
      <c r="B167">
        <v>1806060</v>
      </c>
      <c r="C167" s="17">
        <f>COUNTIF($B$2:$B$380,B167)</f>
        <v>1</v>
      </c>
    </row>
    <row r="168" spans="1:3" x14ac:dyDescent="0.2">
      <c r="A168" t="s">
        <v>460</v>
      </c>
      <c r="B168">
        <v>1806030</v>
      </c>
      <c r="C168" s="17">
        <f>COUNTIF($B$2:$B$380,B168)</f>
        <v>1</v>
      </c>
    </row>
    <row r="169" spans="1:3" x14ac:dyDescent="0.2">
      <c r="A169" t="s">
        <v>482</v>
      </c>
      <c r="B169">
        <v>1805910</v>
      </c>
      <c r="C169" s="17">
        <f>COUNTIF($B$2:$B$380,B169)</f>
        <v>1</v>
      </c>
    </row>
    <row r="170" spans="1:3" x14ac:dyDescent="0.2">
      <c r="A170" t="s">
        <v>652</v>
      </c>
      <c r="B170">
        <v>1805880</v>
      </c>
      <c r="C170" s="17">
        <f>COUNTIF($B$2:$B$380,B170)</f>
        <v>1</v>
      </c>
    </row>
    <row r="171" spans="1:3" x14ac:dyDescent="0.2">
      <c r="A171" t="s">
        <v>627</v>
      </c>
      <c r="B171">
        <v>1805790</v>
      </c>
      <c r="C171" s="17">
        <f>COUNTIF($B$2:$B$380,B171)</f>
        <v>1</v>
      </c>
    </row>
    <row r="172" spans="1:3" x14ac:dyDescent="0.2">
      <c r="A172" t="s">
        <v>644</v>
      </c>
      <c r="B172">
        <v>1805700</v>
      </c>
      <c r="C172" s="17">
        <f>COUNTIF($B$2:$B$380,B172)</f>
        <v>1</v>
      </c>
    </row>
    <row r="173" spans="1:3" x14ac:dyDescent="0.2">
      <c r="A173" t="s">
        <v>535</v>
      </c>
      <c r="B173">
        <v>1805670</v>
      </c>
      <c r="C173" s="17">
        <f>COUNTIF($B$2:$B$380,B173)</f>
        <v>1</v>
      </c>
    </row>
    <row r="174" spans="1:3" x14ac:dyDescent="0.2">
      <c r="A174" t="s">
        <v>714</v>
      </c>
      <c r="B174">
        <v>1805580</v>
      </c>
      <c r="C174" s="17">
        <f>COUNTIF($B$2:$B$380,B174)</f>
        <v>1</v>
      </c>
    </row>
    <row r="175" spans="1:3" x14ac:dyDescent="0.2">
      <c r="A175" t="s">
        <v>701</v>
      </c>
      <c r="B175">
        <v>1805550</v>
      </c>
      <c r="C175" s="17">
        <f>COUNTIF($B$2:$B$380,B175)</f>
        <v>1</v>
      </c>
    </row>
    <row r="176" spans="1:3" x14ac:dyDescent="0.2">
      <c r="A176" t="s">
        <v>513</v>
      </c>
      <c r="B176">
        <v>1805520</v>
      </c>
      <c r="C176" s="17">
        <f>COUNTIF($B$2:$B$380,B176)</f>
        <v>1</v>
      </c>
    </row>
    <row r="177" spans="1:3" x14ac:dyDescent="0.2">
      <c r="A177" t="s">
        <v>522</v>
      </c>
      <c r="B177">
        <v>1805460</v>
      </c>
      <c r="C177" s="17">
        <f>COUNTIF($B$2:$B$380,B177)</f>
        <v>1</v>
      </c>
    </row>
    <row r="178" spans="1:3" x14ac:dyDescent="0.2">
      <c r="A178" t="s">
        <v>524</v>
      </c>
      <c r="B178">
        <v>1805450</v>
      </c>
      <c r="C178" s="17">
        <f>COUNTIF($B$2:$B$380,B178)</f>
        <v>1</v>
      </c>
    </row>
    <row r="179" spans="1:3" x14ac:dyDescent="0.2">
      <c r="A179" t="s">
        <v>597</v>
      </c>
      <c r="B179">
        <v>1805400</v>
      </c>
      <c r="C179" s="17">
        <f>COUNTIF($B$2:$B$380,B179)</f>
        <v>1</v>
      </c>
    </row>
    <row r="180" spans="1:3" x14ac:dyDescent="0.2">
      <c r="A180" t="s">
        <v>502</v>
      </c>
      <c r="B180">
        <v>1805370</v>
      </c>
      <c r="C180" s="17">
        <f>COUNTIF($B$2:$B$380,B180)</f>
        <v>1</v>
      </c>
    </row>
    <row r="181" spans="1:3" x14ac:dyDescent="0.2">
      <c r="A181" t="s">
        <v>769</v>
      </c>
      <c r="B181">
        <v>1805340</v>
      </c>
      <c r="C181" s="17">
        <f>COUNTIF($B$2:$B$380,B181)</f>
        <v>1</v>
      </c>
    </row>
    <row r="182" spans="1:3" x14ac:dyDescent="0.2">
      <c r="A182" t="s">
        <v>504</v>
      </c>
      <c r="B182">
        <v>1805280</v>
      </c>
      <c r="C182" s="17">
        <f>COUNTIF($B$2:$B$380,B182)</f>
        <v>1</v>
      </c>
    </row>
    <row r="183" spans="1:3" x14ac:dyDescent="0.2">
      <c r="A183" t="s">
        <v>698</v>
      </c>
      <c r="B183">
        <v>1805240</v>
      </c>
      <c r="C183" s="17">
        <f>COUNTIF($B$2:$B$380,B183)</f>
        <v>1</v>
      </c>
    </row>
    <row r="184" spans="1:3" x14ac:dyDescent="0.2">
      <c r="A184" t="s">
        <v>693</v>
      </c>
      <c r="B184">
        <v>1805190</v>
      </c>
      <c r="C184" s="17">
        <f>COUNTIF($B$2:$B$380,B184)</f>
        <v>1</v>
      </c>
    </row>
    <row r="185" spans="1:3" x14ac:dyDescent="0.2">
      <c r="A185" t="s">
        <v>505</v>
      </c>
      <c r="B185">
        <v>1804980</v>
      </c>
      <c r="C185" s="17">
        <f>COUNTIF($B$2:$B$380,B185)</f>
        <v>1</v>
      </c>
    </row>
    <row r="186" spans="1:3" x14ac:dyDescent="0.2">
      <c r="A186" t="s">
        <v>576</v>
      </c>
      <c r="B186">
        <v>1804800</v>
      </c>
      <c r="C186" s="17">
        <f>COUNTIF($B$2:$B$380,B186)</f>
        <v>1</v>
      </c>
    </row>
    <row r="187" spans="1:3" x14ac:dyDescent="0.2">
      <c r="A187" t="s">
        <v>540</v>
      </c>
      <c r="B187">
        <v>1804770</v>
      </c>
      <c r="C187" s="17">
        <f>COUNTIF($B$2:$B$380,B187)</f>
        <v>1</v>
      </c>
    </row>
    <row r="188" spans="1:3" x14ac:dyDescent="0.2">
      <c r="A188" t="s">
        <v>686</v>
      </c>
      <c r="B188">
        <v>1804710</v>
      </c>
      <c r="C188" s="17">
        <f>COUNTIF($B$2:$B$380,B188)</f>
        <v>1</v>
      </c>
    </row>
    <row r="189" spans="1:3" x14ac:dyDescent="0.2">
      <c r="A189" t="s">
        <v>704</v>
      </c>
      <c r="B189">
        <v>1804620</v>
      </c>
      <c r="C189" s="17">
        <f>COUNTIF($B$2:$B$380,B189)</f>
        <v>1</v>
      </c>
    </row>
    <row r="190" spans="1:3" x14ac:dyDescent="0.2">
      <c r="A190" t="s">
        <v>519</v>
      </c>
      <c r="B190">
        <v>1804590</v>
      </c>
      <c r="C190" s="17">
        <f>COUNTIF($B$2:$B$380,B190)</f>
        <v>1</v>
      </c>
    </row>
    <row r="191" spans="1:3" x14ac:dyDescent="0.2">
      <c r="A191" t="s">
        <v>518</v>
      </c>
      <c r="B191">
        <v>1804560</v>
      </c>
      <c r="C191" s="17">
        <f>COUNTIF($B$2:$B$380,B191)</f>
        <v>1</v>
      </c>
    </row>
    <row r="192" spans="1:3" x14ac:dyDescent="0.2">
      <c r="A192" t="s">
        <v>468</v>
      </c>
      <c r="B192">
        <v>1804500</v>
      </c>
      <c r="C192" s="17">
        <f>COUNTIF($B$2:$B$380,B192)</f>
        <v>1</v>
      </c>
    </row>
    <row r="193" spans="1:3" x14ac:dyDescent="0.2">
      <c r="A193" t="s">
        <v>501</v>
      </c>
      <c r="B193">
        <v>1804470</v>
      </c>
      <c r="C193" s="17">
        <f>COUNTIF($B$2:$B$380,B193)</f>
        <v>1</v>
      </c>
    </row>
    <row r="194" spans="1:3" x14ac:dyDescent="0.2">
      <c r="A194" t="s">
        <v>525</v>
      </c>
      <c r="B194">
        <v>1804350</v>
      </c>
      <c r="C194" s="17">
        <f>COUNTIF($B$2:$B$380,B194)</f>
        <v>1</v>
      </c>
    </row>
    <row r="195" spans="1:3" x14ac:dyDescent="0.2">
      <c r="A195" t="s">
        <v>517</v>
      </c>
      <c r="B195">
        <v>1804320</v>
      </c>
      <c r="C195" s="17">
        <f>COUNTIF($B$2:$B$380,B195)</f>
        <v>1</v>
      </c>
    </row>
    <row r="196" spans="1:3" x14ac:dyDescent="0.2">
      <c r="A196" t="s">
        <v>489</v>
      </c>
      <c r="B196">
        <v>1804260</v>
      </c>
      <c r="C196" s="17">
        <f>COUNTIF($B$2:$B$380,B196)</f>
        <v>1</v>
      </c>
    </row>
    <row r="197" spans="1:3" x14ac:dyDescent="0.2">
      <c r="A197" t="s">
        <v>770</v>
      </c>
      <c r="B197">
        <v>1804230</v>
      </c>
      <c r="C197" s="17">
        <f>COUNTIF($B$2:$B$380,B197)</f>
        <v>1</v>
      </c>
    </row>
    <row r="198" spans="1:3" x14ac:dyDescent="0.2">
      <c r="A198" t="s">
        <v>516</v>
      </c>
      <c r="B198">
        <v>1804170</v>
      </c>
      <c r="C198" s="17">
        <f>COUNTIF($B$2:$B$380,B198)</f>
        <v>1</v>
      </c>
    </row>
    <row r="199" spans="1:3" x14ac:dyDescent="0.2">
      <c r="A199" t="s">
        <v>554</v>
      </c>
      <c r="B199">
        <v>1804140</v>
      </c>
      <c r="C199" s="17">
        <f>COUNTIF($B$2:$B$380,B199)</f>
        <v>1</v>
      </c>
    </row>
    <row r="200" spans="1:3" x14ac:dyDescent="0.2">
      <c r="A200" t="s">
        <v>509</v>
      </c>
      <c r="B200">
        <v>1804110</v>
      </c>
      <c r="C200" s="17">
        <f>COUNTIF($B$2:$B$380,B200)</f>
        <v>1</v>
      </c>
    </row>
    <row r="201" spans="1:3" x14ac:dyDescent="0.2">
      <c r="A201" t="s">
        <v>466</v>
      </c>
      <c r="B201">
        <v>1804080</v>
      </c>
      <c r="C201" s="17">
        <f>COUNTIF($B$2:$B$380,B201)</f>
        <v>1</v>
      </c>
    </row>
    <row r="202" spans="1:3" x14ac:dyDescent="0.2">
      <c r="A202" t="s">
        <v>673</v>
      </c>
      <c r="B202">
        <v>1804050</v>
      </c>
      <c r="C202" s="17">
        <f>COUNTIF($B$2:$B$380,B202)</f>
        <v>1</v>
      </c>
    </row>
    <row r="203" spans="1:3" x14ac:dyDescent="0.2">
      <c r="A203" t="s">
        <v>755</v>
      </c>
      <c r="B203">
        <v>1803990</v>
      </c>
      <c r="C203" s="17">
        <f>COUNTIF($B$2:$B$380,B203)</f>
        <v>1</v>
      </c>
    </row>
    <row r="204" spans="1:3" x14ac:dyDescent="0.2">
      <c r="A204" t="s">
        <v>470</v>
      </c>
      <c r="B204">
        <v>1803960</v>
      </c>
      <c r="C204" s="17">
        <f>COUNTIF($B$2:$B$380,B204)</f>
        <v>1</v>
      </c>
    </row>
    <row r="205" spans="1:3" x14ac:dyDescent="0.2">
      <c r="A205" t="s">
        <v>635</v>
      </c>
      <c r="B205">
        <v>1803940</v>
      </c>
      <c r="C205" s="17">
        <f>COUNTIF($B$2:$B$380,B205)</f>
        <v>1</v>
      </c>
    </row>
    <row r="206" spans="1:3" x14ac:dyDescent="0.2">
      <c r="A206" t="s">
        <v>658</v>
      </c>
      <c r="B206">
        <v>1803930</v>
      </c>
      <c r="C206" s="17">
        <f>COUNTIF($B$2:$B$380,B206)</f>
        <v>1</v>
      </c>
    </row>
    <row r="207" spans="1:3" x14ac:dyDescent="0.2">
      <c r="A207" t="s">
        <v>707</v>
      </c>
      <c r="B207">
        <v>1803870</v>
      </c>
      <c r="C207" s="17">
        <f>COUNTIF($B$2:$B$380,B207)</f>
        <v>1</v>
      </c>
    </row>
    <row r="208" spans="1:3" x14ac:dyDescent="0.2">
      <c r="A208" t="s">
        <v>648</v>
      </c>
      <c r="B208">
        <v>1803840</v>
      </c>
      <c r="C208" s="17">
        <f>COUNTIF($B$2:$B$380,B208)</f>
        <v>1</v>
      </c>
    </row>
    <row r="209" spans="1:3" x14ac:dyDescent="0.2">
      <c r="A209" t="s">
        <v>615</v>
      </c>
      <c r="B209">
        <v>1803810</v>
      </c>
      <c r="C209" s="17">
        <f>COUNTIF($B$2:$B$380,B209)</f>
        <v>1</v>
      </c>
    </row>
    <row r="210" spans="1:3" x14ac:dyDescent="0.2">
      <c r="A210" t="s">
        <v>593</v>
      </c>
      <c r="B210">
        <v>1803780</v>
      </c>
      <c r="C210" s="17">
        <f>COUNTIF($B$2:$B$380,B210)</f>
        <v>1</v>
      </c>
    </row>
    <row r="211" spans="1:3" x14ac:dyDescent="0.2">
      <c r="A211" t="s">
        <v>721</v>
      </c>
      <c r="B211">
        <v>1803750</v>
      </c>
      <c r="C211" s="17">
        <f>COUNTIF($B$2:$B$380,B211)</f>
        <v>1</v>
      </c>
    </row>
    <row r="212" spans="1:3" x14ac:dyDescent="0.2">
      <c r="A212" t="s">
        <v>493</v>
      </c>
      <c r="B212">
        <v>1803720</v>
      </c>
      <c r="C212" s="17">
        <f>COUNTIF($B$2:$B$380,B212)</f>
        <v>1</v>
      </c>
    </row>
    <row r="213" spans="1:3" x14ac:dyDescent="0.2">
      <c r="A213" t="s">
        <v>667</v>
      </c>
      <c r="B213">
        <v>1803700</v>
      </c>
      <c r="C213" s="17">
        <f>COUNTIF($B$2:$B$380,B213)</f>
        <v>1</v>
      </c>
    </row>
    <row r="214" spans="1:3" x14ac:dyDescent="0.2">
      <c r="A214" t="s">
        <v>695</v>
      </c>
      <c r="B214">
        <v>1803690</v>
      </c>
      <c r="C214" s="17">
        <f>COUNTIF($B$2:$B$380,B214)</f>
        <v>1</v>
      </c>
    </row>
    <row r="215" spans="1:3" x14ac:dyDescent="0.2">
      <c r="A215" t="s">
        <v>638</v>
      </c>
      <c r="B215">
        <v>1803660</v>
      </c>
      <c r="C215" s="17">
        <f>COUNTIF($B$2:$B$380,B215)</f>
        <v>1</v>
      </c>
    </row>
    <row r="216" spans="1:3" x14ac:dyDescent="0.2">
      <c r="A216" t="s">
        <v>620</v>
      </c>
      <c r="B216">
        <v>1803630</v>
      </c>
      <c r="C216" s="17">
        <f>COUNTIF($B$2:$B$380,B216)</f>
        <v>1</v>
      </c>
    </row>
    <row r="217" spans="1:3" x14ac:dyDescent="0.2">
      <c r="A217" t="s">
        <v>458</v>
      </c>
      <c r="B217">
        <v>1803570</v>
      </c>
      <c r="C217" s="17">
        <f>COUNTIF($B$2:$B$380,B217)</f>
        <v>1</v>
      </c>
    </row>
    <row r="218" spans="1:3" x14ac:dyDescent="0.2">
      <c r="A218" t="s">
        <v>662</v>
      </c>
      <c r="B218">
        <v>1803510</v>
      </c>
      <c r="C218" s="17">
        <f>COUNTIF($B$2:$B$380,B218)</f>
        <v>1</v>
      </c>
    </row>
    <row r="219" spans="1:3" x14ac:dyDescent="0.2">
      <c r="A219" t="s">
        <v>660</v>
      </c>
      <c r="B219">
        <v>1803480</v>
      </c>
      <c r="C219" s="17">
        <f>COUNTIF($B$2:$B$380,B219)</f>
        <v>1</v>
      </c>
    </row>
    <row r="220" spans="1:3" x14ac:dyDescent="0.2">
      <c r="A220" t="s">
        <v>600</v>
      </c>
      <c r="B220">
        <v>1803450</v>
      </c>
      <c r="C220" s="17">
        <f>COUNTIF($B$2:$B$380,B220)</f>
        <v>1</v>
      </c>
    </row>
    <row r="221" spans="1:3" x14ac:dyDescent="0.2">
      <c r="A221" t="s">
        <v>551</v>
      </c>
      <c r="B221">
        <v>1803330</v>
      </c>
      <c r="C221" s="17">
        <f>COUNTIF($B$2:$B$380,B221)</f>
        <v>1</v>
      </c>
    </row>
    <row r="222" spans="1:3" x14ac:dyDescent="0.2">
      <c r="A222" t="s">
        <v>717</v>
      </c>
      <c r="B222">
        <v>1803300</v>
      </c>
      <c r="C222" s="17">
        <f>COUNTIF($B$2:$B$380,B222)</f>
        <v>1</v>
      </c>
    </row>
    <row r="223" spans="1:3" x14ac:dyDescent="0.2">
      <c r="A223" t="s">
        <v>661</v>
      </c>
      <c r="B223">
        <v>1803270</v>
      </c>
      <c r="C223" s="17">
        <f>COUNTIF($B$2:$B$380,B223)</f>
        <v>1</v>
      </c>
    </row>
    <row r="224" spans="1:3" x14ac:dyDescent="0.2">
      <c r="A224" t="s">
        <v>508</v>
      </c>
      <c r="B224">
        <v>1803240</v>
      </c>
      <c r="C224" s="17">
        <f>COUNTIF($B$2:$B$380,B224)</f>
        <v>1</v>
      </c>
    </row>
    <row r="225" spans="1:3" x14ac:dyDescent="0.2">
      <c r="A225" t="s">
        <v>587</v>
      </c>
      <c r="B225">
        <v>1803210</v>
      </c>
      <c r="C225" s="17">
        <f>COUNTIF($B$2:$B$380,B225)</f>
        <v>1</v>
      </c>
    </row>
    <row r="226" spans="1:3" x14ac:dyDescent="0.2">
      <c r="A226" t="s">
        <v>572</v>
      </c>
      <c r="B226">
        <v>1803180</v>
      </c>
      <c r="C226" s="17">
        <f>COUNTIF($B$2:$B$380,B226)</f>
        <v>1</v>
      </c>
    </row>
    <row r="227" spans="1:3" x14ac:dyDescent="0.2">
      <c r="A227" t="s">
        <v>500</v>
      </c>
      <c r="B227">
        <v>1803150</v>
      </c>
      <c r="C227" s="17">
        <f>COUNTIF($B$2:$B$380,B227)</f>
        <v>1</v>
      </c>
    </row>
    <row r="228" spans="1:3" x14ac:dyDescent="0.2">
      <c r="A228" t="s">
        <v>672</v>
      </c>
      <c r="B228">
        <v>1803120</v>
      </c>
      <c r="C228" s="17">
        <f>COUNTIF($B$2:$B$380,B228)</f>
        <v>1</v>
      </c>
    </row>
    <row r="229" spans="1:3" x14ac:dyDescent="0.2">
      <c r="A229" t="s">
        <v>481</v>
      </c>
      <c r="B229">
        <v>1803090</v>
      </c>
      <c r="C229" s="17">
        <f>COUNTIF($B$2:$B$380,B229)</f>
        <v>1</v>
      </c>
    </row>
    <row r="230" spans="1:3" x14ac:dyDescent="0.2">
      <c r="A230" t="s">
        <v>647</v>
      </c>
      <c r="B230">
        <v>1803060</v>
      </c>
      <c r="C230" s="17">
        <f>COUNTIF($B$2:$B$380,B230)</f>
        <v>1</v>
      </c>
    </row>
    <row r="231" spans="1:3" x14ac:dyDescent="0.2">
      <c r="A231" t="s">
        <v>670</v>
      </c>
      <c r="B231">
        <v>1803030</v>
      </c>
      <c r="C231" s="17">
        <f>COUNTIF($B$2:$B$380,B231)</f>
        <v>1</v>
      </c>
    </row>
    <row r="232" spans="1:3" x14ac:dyDescent="0.2">
      <c r="A232" t="s">
        <v>607</v>
      </c>
      <c r="B232">
        <v>1803000</v>
      </c>
      <c r="C232" s="17">
        <f>COUNTIF($B$2:$B$380,B232)</f>
        <v>1</v>
      </c>
    </row>
    <row r="233" spans="1:3" x14ac:dyDescent="0.2">
      <c r="A233" t="s">
        <v>557</v>
      </c>
      <c r="B233">
        <v>1802970</v>
      </c>
      <c r="C233" s="17">
        <f>COUNTIF($B$2:$B$380,B233)</f>
        <v>1</v>
      </c>
    </row>
    <row r="234" spans="1:3" x14ac:dyDescent="0.2">
      <c r="A234" t="s">
        <v>478</v>
      </c>
      <c r="B234">
        <v>1802940</v>
      </c>
      <c r="C234" s="17">
        <f>COUNTIF($B$2:$B$380,B234)</f>
        <v>1</v>
      </c>
    </row>
    <row r="235" spans="1:3" x14ac:dyDescent="0.2">
      <c r="A235" t="s">
        <v>705</v>
      </c>
      <c r="B235">
        <v>1802910</v>
      </c>
      <c r="C235" s="17">
        <f>COUNTIF($B$2:$B$380,B235)</f>
        <v>1</v>
      </c>
    </row>
    <row r="236" spans="1:3" x14ac:dyDescent="0.2">
      <c r="A236" t="s">
        <v>515</v>
      </c>
      <c r="B236">
        <v>1802880</v>
      </c>
      <c r="C236" s="17">
        <f>COUNTIF($B$2:$B$380,B236)</f>
        <v>1</v>
      </c>
    </row>
    <row r="237" spans="1:3" x14ac:dyDescent="0.2">
      <c r="A237" t="s">
        <v>621</v>
      </c>
      <c r="B237">
        <v>1802850</v>
      </c>
      <c r="C237" s="17">
        <f>COUNTIF($B$2:$B$380,B237)</f>
        <v>1</v>
      </c>
    </row>
    <row r="238" spans="1:3" x14ac:dyDescent="0.2">
      <c r="A238" t="s">
        <v>626</v>
      </c>
      <c r="B238">
        <v>1802830</v>
      </c>
      <c r="C238" s="17">
        <f>COUNTIF($B$2:$B$380,B238)</f>
        <v>1</v>
      </c>
    </row>
    <row r="239" spans="1:3" x14ac:dyDescent="0.2">
      <c r="A239" t="s">
        <v>565</v>
      </c>
      <c r="B239">
        <v>1802800</v>
      </c>
      <c r="C239" s="17">
        <f>COUNTIF($B$2:$B$380,B239)</f>
        <v>1</v>
      </c>
    </row>
    <row r="240" spans="1:3" x14ac:dyDescent="0.2">
      <c r="A240" t="s">
        <v>631</v>
      </c>
      <c r="B240">
        <v>1802700</v>
      </c>
      <c r="C240" s="17">
        <f>COUNTIF($B$2:$B$380,B240)</f>
        <v>1</v>
      </c>
    </row>
    <row r="241" spans="1:3" x14ac:dyDescent="0.2">
      <c r="A241" t="s">
        <v>653</v>
      </c>
      <c r="B241">
        <v>1802660</v>
      </c>
      <c r="C241" s="17">
        <f>COUNTIF($B$2:$B$380,B241)</f>
        <v>1</v>
      </c>
    </row>
    <row r="242" spans="1:3" x14ac:dyDescent="0.2">
      <c r="A242" t="s">
        <v>719</v>
      </c>
      <c r="B242">
        <v>1802640</v>
      </c>
      <c r="C242" s="17">
        <f>COUNTIF($B$2:$B$380,B242)</f>
        <v>1</v>
      </c>
    </row>
    <row r="243" spans="1:3" x14ac:dyDescent="0.2">
      <c r="A243" t="s">
        <v>646</v>
      </c>
      <c r="B243">
        <v>1802610</v>
      </c>
      <c r="C243" s="17">
        <f>COUNTIF($B$2:$B$380,B243)</f>
        <v>1</v>
      </c>
    </row>
    <row r="244" spans="1:3" x14ac:dyDescent="0.2">
      <c r="A244" t="s">
        <v>547</v>
      </c>
      <c r="B244">
        <v>1802580</v>
      </c>
      <c r="C244" s="17">
        <f>COUNTIF($B$2:$B$380,B244)</f>
        <v>1</v>
      </c>
    </row>
    <row r="245" spans="1:3" x14ac:dyDescent="0.2">
      <c r="A245" t="s">
        <v>680</v>
      </c>
      <c r="B245">
        <v>1802550</v>
      </c>
      <c r="C245" s="17">
        <f>COUNTIF($B$2:$B$380,B245)</f>
        <v>1</v>
      </c>
    </row>
    <row r="246" spans="1:3" x14ac:dyDescent="0.2">
      <c r="A246" t="s">
        <v>723</v>
      </c>
      <c r="B246">
        <v>1802520</v>
      </c>
      <c r="C246" s="17">
        <f>COUNTIF($B$2:$B$380,B246)</f>
        <v>1</v>
      </c>
    </row>
    <row r="247" spans="1:3" x14ac:dyDescent="0.2">
      <c r="A247" t="s">
        <v>708</v>
      </c>
      <c r="B247">
        <v>1802490</v>
      </c>
      <c r="C247" s="17">
        <f>COUNTIF($B$2:$B$380,B247)</f>
        <v>1</v>
      </c>
    </row>
    <row r="248" spans="1:3" x14ac:dyDescent="0.2">
      <c r="A248" t="s">
        <v>730</v>
      </c>
      <c r="B248">
        <v>1802460</v>
      </c>
      <c r="C248" s="17">
        <f>COUNTIF($B$2:$B$380,B248)</f>
        <v>1</v>
      </c>
    </row>
    <row r="249" spans="1:3" x14ac:dyDescent="0.2">
      <c r="A249" t="s">
        <v>639</v>
      </c>
      <c r="B249">
        <v>1802440</v>
      </c>
      <c r="C249" s="17">
        <f>COUNTIF($B$2:$B$380,B249)</f>
        <v>1</v>
      </c>
    </row>
    <row r="250" spans="1:3" x14ac:dyDescent="0.2">
      <c r="A250" t="s">
        <v>666</v>
      </c>
      <c r="B250">
        <v>1802430</v>
      </c>
      <c r="C250" s="17">
        <f>COUNTIF($B$2:$B$380,B250)</f>
        <v>1</v>
      </c>
    </row>
    <row r="251" spans="1:3" x14ac:dyDescent="0.2">
      <c r="A251" t="s">
        <v>602</v>
      </c>
      <c r="B251">
        <v>1802420</v>
      </c>
      <c r="C251" s="17">
        <f>COUNTIF($B$2:$B$380,B251)</f>
        <v>1</v>
      </c>
    </row>
    <row r="252" spans="1:3" x14ac:dyDescent="0.2">
      <c r="A252" t="s">
        <v>657</v>
      </c>
      <c r="B252">
        <v>1802400</v>
      </c>
      <c r="C252" s="17">
        <f>COUNTIF($B$2:$B$380,B252)</f>
        <v>1</v>
      </c>
    </row>
    <row r="253" spans="1:3" x14ac:dyDescent="0.2">
      <c r="A253" t="s">
        <v>617</v>
      </c>
      <c r="B253">
        <v>1802280</v>
      </c>
      <c r="C253" s="17">
        <f>COUNTIF($B$2:$B$380,B253)</f>
        <v>1</v>
      </c>
    </row>
    <row r="254" spans="1:3" x14ac:dyDescent="0.2">
      <c r="A254" t="s">
        <v>754</v>
      </c>
      <c r="B254">
        <v>1802220</v>
      </c>
      <c r="C254" s="17">
        <f>COUNTIF($B$2:$B$380,B254)</f>
        <v>1</v>
      </c>
    </row>
    <row r="255" spans="1:3" x14ac:dyDescent="0.2">
      <c r="A255" t="s">
        <v>712</v>
      </c>
      <c r="B255">
        <v>1802190</v>
      </c>
      <c r="C255" s="17">
        <f>COUNTIF($B$2:$B$380,B255)</f>
        <v>1</v>
      </c>
    </row>
    <row r="256" spans="1:3" x14ac:dyDescent="0.2">
      <c r="A256" t="s">
        <v>637</v>
      </c>
      <c r="B256">
        <v>1802160</v>
      </c>
      <c r="C256" s="17">
        <f>COUNTIF($B$2:$B$380,B256)</f>
        <v>1</v>
      </c>
    </row>
    <row r="257" spans="1:3" x14ac:dyDescent="0.2">
      <c r="A257" t="s">
        <v>464</v>
      </c>
      <c r="B257">
        <v>1802130</v>
      </c>
      <c r="C257" s="17">
        <f>COUNTIF($B$2:$B$380,B257)</f>
        <v>1</v>
      </c>
    </row>
    <row r="258" spans="1:3" x14ac:dyDescent="0.2">
      <c r="A258" t="s">
        <v>684</v>
      </c>
      <c r="B258">
        <v>1802040</v>
      </c>
      <c r="C258" s="17">
        <f>COUNTIF($B$2:$B$380,B258)</f>
        <v>1</v>
      </c>
    </row>
    <row r="259" spans="1:3" x14ac:dyDescent="0.2">
      <c r="A259" t="s">
        <v>634</v>
      </c>
      <c r="B259">
        <v>1801920</v>
      </c>
      <c r="C259" s="17">
        <f>COUNTIF($B$2:$B$380,B259)</f>
        <v>1</v>
      </c>
    </row>
    <row r="260" spans="1:3" x14ac:dyDescent="0.2">
      <c r="A260" t="s">
        <v>697</v>
      </c>
      <c r="B260">
        <v>1801890</v>
      </c>
      <c r="C260" s="17">
        <f>COUNTIF($B$2:$B$380,B260)</f>
        <v>1</v>
      </c>
    </row>
    <row r="261" spans="1:3" x14ac:dyDescent="0.2">
      <c r="A261" t="s">
        <v>573</v>
      </c>
      <c r="B261">
        <v>1801770</v>
      </c>
      <c r="C261" s="17">
        <f>COUNTIF($B$2:$B$380,B261)</f>
        <v>1</v>
      </c>
    </row>
    <row r="262" spans="1:3" x14ac:dyDescent="0.2">
      <c r="A262" t="s">
        <v>734</v>
      </c>
      <c r="B262">
        <v>1801710</v>
      </c>
      <c r="C262" s="17">
        <f>COUNTIF($B$2:$B$380,B262)</f>
        <v>1</v>
      </c>
    </row>
    <row r="263" spans="1:3" x14ac:dyDescent="0.2">
      <c r="A263" t="s">
        <v>467</v>
      </c>
      <c r="B263">
        <v>1801590</v>
      </c>
      <c r="C263" s="17">
        <f>COUNTIF($B$2:$B$380,B263)</f>
        <v>1</v>
      </c>
    </row>
    <row r="264" spans="1:3" x14ac:dyDescent="0.2">
      <c r="A264" t="s">
        <v>780</v>
      </c>
      <c r="B264">
        <v>1801560</v>
      </c>
      <c r="C264" s="17">
        <f>COUNTIF($B$2:$B$380,B264)</f>
        <v>1</v>
      </c>
    </row>
    <row r="265" spans="1:3" x14ac:dyDescent="0.2">
      <c r="A265" t="s">
        <v>696</v>
      </c>
      <c r="B265">
        <v>1801470</v>
      </c>
      <c r="C265" s="17">
        <f>COUNTIF($B$2:$B$380,B265)</f>
        <v>1</v>
      </c>
    </row>
    <row r="266" spans="1:3" x14ac:dyDescent="0.2">
      <c r="A266" t="s">
        <v>694</v>
      </c>
      <c r="B266">
        <v>1801440</v>
      </c>
      <c r="C266" s="17">
        <f>COUNTIF($B$2:$B$380,B266)</f>
        <v>1</v>
      </c>
    </row>
    <row r="267" spans="1:3" x14ac:dyDescent="0.2">
      <c r="A267" t="s">
        <v>474</v>
      </c>
      <c r="B267">
        <v>1801410</v>
      </c>
      <c r="C267" s="17">
        <f>COUNTIF($B$2:$B$380,B267)</f>
        <v>1</v>
      </c>
    </row>
    <row r="268" spans="1:3" x14ac:dyDescent="0.2">
      <c r="A268" t="s">
        <v>630</v>
      </c>
      <c r="B268">
        <v>1801290</v>
      </c>
      <c r="C268" s="17">
        <f>COUNTIF($B$2:$B$380,B268)</f>
        <v>1</v>
      </c>
    </row>
    <row r="269" spans="1:3" x14ac:dyDescent="0.2">
      <c r="A269" t="s">
        <v>687</v>
      </c>
      <c r="B269">
        <v>1801230</v>
      </c>
      <c r="C269" s="17">
        <f>COUNTIF($B$2:$B$380,B269)</f>
        <v>1</v>
      </c>
    </row>
    <row r="270" spans="1:3" x14ac:dyDescent="0.2">
      <c r="A270" t="s">
        <v>488</v>
      </c>
      <c r="B270">
        <v>1801200</v>
      </c>
      <c r="C270" s="17">
        <f>COUNTIF($B$2:$B$380,B270)</f>
        <v>1</v>
      </c>
    </row>
    <row r="271" spans="1:3" x14ac:dyDescent="0.2">
      <c r="A271" t="s">
        <v>744</v>
      </c>
      <c r="B271">
        <v>1801170</v>
      </c>
      <c r="C271" s="17">
        <f>COUNTIF($B$2:$B$380,B271)</f>
        <v>1</v>
      </c>
    </row>
    <row r="272" spans="1:3" x14ac:dyDescent="0.2">
      <c r="A272" t="s">
        <v>690</v>
      </c>
      <c r="B272">
        <v>1801050</v>
      </c>
      <c r="C272" s="17">
        <f>COUNTIF($B$2:$B$380,B272)</f>
        <v>1</v>
      </c>
    </row>
    <row r="273" spans="1:3" x14ac:dyDescent="0.2">
      <c r="A273" t="s">
        <v>494</v>
      </c>
      <c r="B273">
        <v>1801020</v>
      </c>
      <c r="C273" s="17">
        <f>COUNTIF($B$2:$B$380,B273)</f>
        <v>1</v>
      </c>
    </row>
    <row r="274" spans="1:3" x14ac:dyDescent="0.2">
      <c r="A274" t="s">
        <v>629</v>
      </c>
      <c r="B274">
        <v>1800960</v>
      </c>
      <c r="C274" s="17">
        <f>COUNTIF($B$2:$B$380,B274)</f>
        <v>1</v>
      </c>
    </row>
    <row r="275" spans="1:3" x14ac:dyDescent="0.2">
      <c r="A275" t="s">
        <v>544</v>
      </c>
      <c r="B275">
        <v>1800900</v>
      </c>
      <c r="C275" s="17">
        <f>COUNTIF($B$2:$B$380,B275)</f>
        <v>1</v>
      </c>
    </row>
    <row r="276" spans="1:3" x14ac:dyDescent="0.2">
      <c r="A276" t="s">
        <v>463</v>
      </c>
      <c r="B276">
        <v>1800840</v>
      </c>
      <c r="C276" s="17">
        <f>COUNTIF($B$2:$B$380,B276)</f>
        <v>1</v>
      </c>
    </row>
    <row r="277" spans="1:3" x14ac:dyDescent="0.2">
      <c r="A277" t="s">
        <v>561</v>
      </c>
      <c r="B277">
        <v>1800750</v>
      </c>
      <c r="C277" s="17">
        <f>COUNTIF($B$2:$B$380,B277)</f>
        <v>1</v>
      </c>
    </row>
    <row r="278" spans="1:3" x14ac:dyDescent="0.2">
      <c r="A278" t="s">
        <v>611</v>
      </c>
      <c r="B278">
        <v>1800720</v>
      </c>
      <c r="C278" s="17">
        <f>COUNTIF($B$2:$B$380,B278)</f>
        <v>1</v>
      </c>
    </row>
    <row r="279" spans="1:3" x14ac:dyDescent="0.2">
      <c r="A279" t="s">
        <v>678</v>
      </c>
      <c r="B279">
        <v>1800690</v>
      </c>
      <c r="C279" s="17">
        <f>COUNTIF($B$2:$B$380,B279)</f>
        <v>1</v>
      </c>
    </row>
    <row r="280" spans="1:3" x14ac:dyDescent="0.2">
      <c r="A280" t="s">
        <v>496</v>
      </c>
      <c r="B280">
        <v>1800660</v>
      </c>
      <c r="C280" s="17">
        <f>COUNTIF($B$2:$B$380,B280)</f>
        <v>1</v>
      </c>
    </row>
    <row r="281" spans="1:3" x14ac:dyDescent="0.2">
      <c r="A281" t="s">
        <v>729</v>
      </c>
      <c r="B281">
        <v>1800630</v>
      </c>
      <c r="C281" s="17">
        <f>COUNTIF($B$2:$B$380,B281)</f>
        <v>1</v>
      </c>
    </row>
    <row r="282" spans="1:3" x14ac:dyDescent="0.2">
      <c r="A282" t="s">
        <v>483</v>
      </c>
      <c r="B282">
        <v>1800600</v>
      </c>
      <c r="C282" s="17">
        <f>COUNTIF($B$2:$B$380,B282)</f>
        <v>1</v>
      </c>
    </row>
    <row r="283" spans="1:3" x14ac:dyDescent="0.2">
      <c r="A283" t="s">
        <v>625</v>
      </c>
      <c r="B283">
        <v>1800570</v>
      </c>
      <c r="C283" s="17">
        <f>COUNTIF($B$2:$B$380,B283)</f>
        <v>1</v>
      </c>
    </row>
    <row r="284" spans="1:3" x14ac:dyDescent="0.2">
      <c r="A284" t="s">
        <v>624</v>
      </c>
      <c r="B284">
        <v>1800480</v>
      </c>
      <c r="C284" s="17">
        <f>COUNTIF($B$2:$B$380,B284)</f>
        <v>1</v>
      </c>
    </row>
    <row r="285" spans="1:3" x14ac:dyDescent="0.2">
      <c r="A285" t="s">
        <v>539</v>
      </c>
      <c r="B285">
        <v>1800450</v>
      </c>
      <c r="C285" s="17">
        <f>COUNTIF($B$2:$B$380,B285)</f>
        <v>1</v>
      </c>
    </row>
    <row r="286" spans="1:3" x14ac:dyDescent="0.2">
      <c r="A286" t="s">
        <v>472</v>
      </c>
      <c r="B286">
        <v>1800420</v>
      </c>
      <c r="C286" s="17">
        <f>COUNTIF($B$2:$B$380,B286)</f>
        <v>1</v>
      </c>
    </row>
    <row r="287" spans="1:3" x14ac:dyDescent="0.2">
      <c r="A287" t="s">
        <v>759</v>
      </c>
      <c r="B287">
        <v>1800390</v>
      </c>
      <c r="C287" s="17">
        <f>COUNTIF($B$2:$B$380,B287)</f>
        <v>1</v>
      </c>
    </row>
    <row r="288" spans="1:3" x14ac:dyDescent="0.2">
      <c r="A288" t="s">
        <v>459</v>
      </c>
      <c r="B288">
        <v>1800360</v>
      </c>
      <c r="C288" s="17">
        <f>COUNTIF($B$2:$B$380,B288)</f>
        <v>1</v>
      </c>
    </row>
    <row r="289" spans="1:3" x14ac:dyDescent="0.2">
      <c r="A289" t="s">
        <v>641</v>
      </c>
      <c r="B289">
        <v>1800330</v>
      </c>
      <c r="C289" s="17">
        <f>COUNTIF($B$2:$B$380,B289)</f>
        <v>1</v>
      </c>
    </row>
    <row r="290" spans="1:3" x14ac:dyDescent="0.2">
      <c r="A290" t="s">
        <v>679</v>
      </c>
      <c r="B290">
        <v>1800270</v>
      </c>
      <c r="C290" s="17">
        <f>COUNTIF($B$2:$B$380,B290)</f>
        <v>1</v>
      </c>
    </row>
    <row r="291" spans="1:3" x14ac:dyDescent="0.2">
      <c r="A291" t="s">
        <v>645</v>
      </c>
      <c r="B291">
        <v>1800240</v>
      </c>
      <c r="C291" s="17">
        <f>COUNTIF($B$2:$B$380,B291)</f>
        <v>1</v>
      </c>
    </row>
    <row r="292" spans="1:3" x14ac:dyDescent="0.2">
      <c r="A292" t="s">
        <v>877</v>
      </c>
      <c r="B292">
        <v>1800228</v>
      </c>
      <c r="C292" s="17">
        <f>COUNTIF($B$2:$B$380,B292)</f>
        <v>1</v>
      </c>
    </row>
    <row r="293" spans="1:3" x14ac:dyDescent="0.2">
      <c r="A293" t="s">
        <v>875</v>
      </c>
      <c r="B293">
        <v>1800225</v>
      </c>
      <c r="C293" s="17">
        <f>COUNTIF($B$2:$B$380,B293)</f>
        <v>1</v>
      </c>
    </row>
    <row r="294" spans="1:3" x14ac:dyDescent="0.2">
      <c r="A294" t="s">
        <v>822</v>
      </c>
      <c r="B294">
        <v>1800218</v>
      </c>
      <c r="C294" s="17">
        <f>COUNTIF($B$2:$B$380,B294)</f>
        <v>1</v>
      </c>
    </row>
    <row r="295" spans="1:3" x14ac:dyDescent="0.2">
      <c r="A295" t="s">
        <v>462</v>
      </c>
      <c r="B295">
        <v>1800213</v>
      </c>
      <c r="C295" s="17">
        <f>COUNTIF($B$2:$B$380,B295)</f>
        <v>1</v>
      </c>
    </row>
    <row r="296" spans="1:3" x14ac:dyDescent="0.2">
      <c r="A296" t="s">
        <v>867</v>
      </c>
      <c r="B296">
        <v>1800212</v>
      </c>
      <c r="C296" s="17">
        <f>COUNTIF($B$2:$B$380,B296)</f>
        <v>1</v>
      </c>
    </row>
    <row r="297" spans="1:3" x14ac:dyDescent="0.2">
      <c r="A297" t="s">
        <v>665</v>
      </c>
      <c r="B297">
        <v>1800210</v>
      </c>
      <c r="C297" s="17">
        <f>COUNTIF($B$2:$B$380,B297)</f>
        <v>1</v>
      </c>
    </row>
    <row r="298" spans="1:3" x14ac:dyDescent="0.2">
      <c r="A298" t="s">
        <v>872</v>
      </c>
      <c r="B298">
        <v>1800207</v>
      </c>
      <c r="C298" s="17">
        <f>COUNTIF($B$2:$B$380,B298)</f>
        <v>1</v>
      </c>
    </row>
    <row r="299" spans="1:3" x14ac:dyDescent="0.2">
      <c r="A299" t="s">
        <v>873</v>
      </c>
      <c r="B299">
        <v>1800205</v>
      </c>
      <c r="C299" s="17">
        <f>COUNTIF($B$2:$B$380,B299)</f>
        <v>1</v>
      </c>
    </row>
    <row r="300" spans="1:3" x14ac:dyDescent="0.2">
      <c r="A300" t="s">
        <v>878</v>
      </c>
      <c r="B300">
        <v>1800193</v>
      </c>
      <c r="C300" s="17">
        <f>COUNTIF($B$2:$B$380,B300)</f>
        <v>1</v>
      </c>
    </row>
    <row r="301" spans="1:3" x14ac:dyDescent="0.2">
      <c r="A301" t="s">
        <v>863</v>
      </c>
      <c r="B301">
        <v>1800190</v>
      </c>
      <c r="C301" s="17">
        <f>COUNTIF($B$2:$B$380,B301)</f>
        <v>1</v>
      </c>
    </row>
    <row r="302" spans="1:3" x14ac:dyDescent="0.2">
      <c r="A302" t="s">
        <v>864</v>
      </c>
      <c r="B302">
        <v>1800189</v>
      </c>
      <c r="C302" s="17">
        <f>COUNTIF($B$2:$B$380,B302)</f>
        <v>1</v>
      </c>
    </row>
    <row r="303" spans="1:3" x14ac:dyDescent="0.2">
      <c r="A303" t="s">
        <v>861</v>
      </c>
      <c r="B303">
        <v>1800183</v>
      </c>
      <c r="C303" s="17">
        <f>COUNTIF($B$2:$B$380,B303)</f>
        <v>1</v>
      </c>
    </row>
    <row r="304" spans="1:3" x14ac:dyDescent="0.2">
      <c r="A304" t="s">
        <v>724</v>
      </c>
      <c r="B304">
        <v>1800180</v>
      </c>
      <c r="C304" s="17">
        <f>COUNTIF($B$2:$B$380,B304)</f>
        <v>1</v>
      </c>
    </row>
    <row r="305" spans="1:3" x14ac:dyDescent="0.2">
      <c r="A305" t="s">
        <v>827</v>
      </c>
      <c r="B305">
        <v>1800179</v>
      </c>
      <c r="C305" s="17">
        <f>COUNTIF($B$2:$B$380,B305)</f>
        <v>1</v>
      </c>
    </row>
    <row r="306" spans="1:3" x14ac:dyDescent="0.2">
      <c r="A306" t="s">
        <v>862</v>
      </c>
      <c r="B306">
        <v>1800177</v>
      </c>
      <c r="C306" s="17">
        <f>COUNTIF($B$2:$B$380,B306)</f>
        <v>1</v>
      </c>
    </row>
    <row r="307" spans="1:3" x14ac:dyDescent="0.2">
      <c r="A307" t="s">
        <v>825</v>
      </c>
      <c r="B307">
        <v>1800176</v>
      </c>
      <c r="C307" s="17">
        <f>COUNTIF($B$2:$B$380,B307)</f>
        <v>1</v>
      </c>
    </row>
    <row r="308" spans="1:3" x14ac:dyDescent="0.2">
      <c r="A308" t="s">
        <v>860</v>
      </c>
      <c r="B308">
        <v>1800171</v>
      </c>
      <c r="C308" s="17">
        <f>COUNTIF($B$2:$B$380,B308)</f>
        <v>1</v>
      </c>
    </row>
    <row r="309" spans="1:3" x14ac:dyDescent="0.2">
      <c r="A309" t="s">
        <v>859</v>
      </c>
      <c r="B309">
        <v>1800170</v>
      </c>
      <c r="C309" s="17">
        <f>COUNTIF($B$2:$B$380,B309)</f>
        <v>1</v>
      </c>
    </row>
    <row r="310" spans="1:3" x14ac:dyDescent="0.2">
      <c r="A310" t="s">
        <v>820</v>
      </c>
      <c r="B310">
        <v>1800165</v>
      </c>
      <c r="C310" s="17">
        <f>COUNTIF($B$2:$B$380,B310)</f>
        <v>1</v>
      </c>
    </row>
    <row r="311" spans="1:3" x14ac:dyDescent="0.2">
      <c r="A311" t="s">
        <v>857</v>
      </c>
      <c r="B311">
        <v>1800158</v>
      </c>
      <c r="C311" s="17">
        <f>COUNTIF($B$2:$B$380,B311)</f>
        <v>1</v>
      </c>
    </row>
    <row r="312" spans="1:3" x14ac:dyDescent="0.2">
      <c r="A312" t="s">
        <v>716</v>
      </c>
      <c r="B312">
        <v>1800150</v>
      </c>
      <c r="C312" s="17">
        <f>COUNTIF($B$2:$B$380,B312)</f>
        <v>1</v>
      </c>
    </row>
    <row r="313" spans="1:3" x14ac:dyDescent="0.2">
      <c r="A313" t="s">
        <v>855</v>
      </c>
      <c r="B313">
        <v>1800143</v>
      </c>
      <c r="C313" s="17">
        <f>COUNTIF($B$2:$B$380,B313)</f>
        <v>1</v>
      </c>
    </row>
    <row r="314" spans="1:3" x14ac:dyDescent="0.2">
      <c r="A314" t="s">
        <v>542</v>
      </c>
      <c r="B314">
        <v>1800140</v>
      </c>
      <c r="C314" s="17">
        <f>COUNTIF($B$2:$B$380,B314)</f>
        <v>1</v>
      </c>
    </row>
    <row r="315" spans="1:3" x14ac:dyDescent="0.2">
      <c r="A315" t="s">
        <v>824</v>
      </c>
      <c r="B315">
        <v>1800137</v>
      </c>
      <c r="C315" s="17">
        <f>COUNTIF($B$2:$B$380,B315)</f>
        <v>1</v>
      </c>
    </row>
    <row r="316" spans="1:3" x14ac:dyDescent="0.2">
      <c r="A316" t="s">
        <v>764</v>
      </c>
      <c r="B316">
        <v>1800133</v>
      </c>
      <c r="C316" s="17">
        <f>COUNTIF($B$2:$B$380,B316)</f>
        <v>1</v>
      </c>
    </row>
    <row r="317" spans="1:3" x14ac:dyDescent="0.2">
      <c r="A317" t="s">
        <v>837</v>
      </c>
      <c r="B317">
        <v>1800130</v>
      </c>
      <c r="C317" s="17">
        <f>COUNTIF($B$2:$B$380,B317)</f>
        <v>1</v>
      </c>
    </row>
    <row r="318" spans="1:3" x14ac:dyDescent="0.2">
      <c r="A318" t="s">
        <v>865</v>
      </c>
      <c r="B318">
        <v>1800129</v>
      </c>
      <c r="C318" s="17">
        <f>COUNTIF($B$2:$B$380,B318)</f>
        <v>1</v>
      </c>
    </row>
    <row r="319" spans="1:3" x14ac:dyDescent="0.2">
      <c r="A319" t="s">
        <v>819</v>
      </c>
      <c r="B319">
        <v>1800124</v>
      </c>
      <c r="C319" s="17">
        <f>COUNTIF($B$2:$B$380,B319)</f>
        <v>1</v>
      </c>
    </row>
    <row r="320" spans="1:3" x14ac:dyDescent="0.2">
      <c r="A320" t="s">
        <v>854</v>
      </c>
      <c r="B320">
        <v>1800123</v>
      </c>
      <c r="C320" s="17">
        <f>COUNTIF($B$2:$B$380,B320)</f>
        <v>1</v>
      </c>
    </row>
    <row r="321" spans="1:3" x14ac:dyDescent="0.2">
      <c r="A321" t="s">
        <v>818</v>
      </c>
      <c r="B321">
        <v>1800121</v>
      </c>
      <c r="C321" s="17">
        <f>COUNTIF($B$2:$B$380,B321)</f>
        <v>1</v>
      </c>
    </row>
    <row r="322" spans="1:3" x14ac:dyDescent="0.2">
      <c r="A322" t="s">
        <v>715</v>
      </c>
      <c r="B322">
        <v>1800120</v>
      </c>
      <c r="C322" s="17">
        <f>COUNTIF($B$2:$B$380,B322)</f>
        <v>1</v>
      </c>
    </row>
    <row r="323" spans="1:3" x14ac:dyDescent="0.2">
      <c r="A323" t="s">
        <v>559</v>
      </c>
      <c r="B323">
        <v>1800118</v>
      </c>
      <c r="C323" s="17">
        <f>COUNTIF($B$2:$B$380,B323)</f>
        <v>1</v>
      </c>
    </row>
    <row r="324" spans="1:3" x14ac:dyDescent="0.2">
      <c r="A324" t="s">
        <v>835</v>
      </c>
      <c r="B324">
        <v>1800110</v>
      </c>
      <c r="C324" s="17">
        <f>COUNTIF($B$2:$B$380,B324)</f>
        <v>1</v>
      </c>
    </row>
    <row r="325" spans="1:3" x14ac:dyDescent="0.2">
      <c r="A325" t="s">
        <v>528</v>
      </c>
      <c r="B325">
        <v>1800107</v>
      </c>
      <c r="C325" s="17">
        <f>COUNTIF($B$2:$B$380,B325)</f>
        <v>1</v>
      </c>
    </row>
    <row r="326" spans="1:3" x14ac:dyDescent="0.2">
      <c r="A326" t="s">
        <v>763</v>
      </c>
      <c r="B326">
        <v>1800106</v>
      </c>
      <c r="C326" s="17">
        <f>COUNTIF($B$2:$B$380,B326)</f>
        <v>1</v>
      </c>
    </row>
    <row r="327" spans="1:3" x14ac:dyDescent="0.2">
      <c r="A327" t="s">
        <v>543</v>
      </c>
      <c r="B327">
        <v>1800105</v>
      </c>
      <c r="C327" s="17">
        <f>COUNTIF($B$2:$B$380,B327)</f>
        <v>1</v>
      </c>
    </row>
    <row r="328" spans="1:3" x14ac:dyDescent="0.2">
      <c r="A328" t="s">
        <v>676</v>
      </c>
      <c r="B328">
        <v>1800104</v>
      </c>
      <c r="C328" s="17">
        <f>COUNTIF($B$2:$B$380,B328)</f>
        <v>1</v>
      </c>
    </row>
    <row r="329" spans="1:3" x14ac:dyDescent="0.2">
      <c r="A329" t="s">
        <v>814</v>
      </c>
      <c r="B329">
        <v>1800102</v>
      </c>
      <c r="C329" s="17">
        <f>COUNTIF($B$2:$B$380,B329)</f>
        <v>1</v>
      </c>
    </row>
    <row r="330" spans="1:3" x14ac:dyDescent="0.2">
      <c r="A330" t="s">
        <v>853</v>
      </c>
      <c r="B330">
        <v>1800094</v>
      </c>
      <c r="C330" s="17">
        <f>COUNTIF($B$2:$B$380,B330)</f>
        <v>1</v>
      </c>
    </row>
    <row r="331" spans="1:3" x14ac:dyDescent="0.2">
      <c r="A331" t="s">
        <v>851</v>
      </c>
      <c r="B331">
        <v>1800088</v>
      </c>
      <c r="C331" s="17">
        <f>COUNTIF($B$2:$B$380,B331)</f>
        <v>1</v>
      </c>
    </row>
    <row r="332" spans="1:3" x14ac:dyDescent="0.2">
      <c r="A332" t="s">
        <v>809</v>
      </c>
      <c r="B332">
        <v>1800087</v>
      </c>
      <c r="C332" s="17">
        <f>COUNTIF($B$2:$B$380,B332)</f>
        <v>1</v>
      </c>
    </row>
    <row r="333" spans="1:3" x14ac:dyDescent="0.2">
      <c r="A333" t="s">
        <v>811</v>
      </c>
      <c r="B333">
        <v>1800086</v>
      </c>
      <c r="C333" s="17">
        <f>COUNTIF($B$2:$B$380,B333)</f>
        <v>1</v>
      </c>
    </row>
    <row r="334" spans="1:3" x14ac:dyDescent="0.2">
      <c r="A334" t="s">
        <v>850</v>
      </c>
      <c r="B334">
        <v>1800085</v>
      </c>
      <c r="C334" s="17">
        <f>COUNTIF($B$2:$B$380,B334)</f>
        <v>1</v>
      </c>
    </row>
    <row r="335" spans="1:3" x14ac:dyDescent="0.2">
      <c r="A335" t="s">
        <v>810</v>
      </c>
      <c r="B335">
        <v>1800083</v>
      </c>
      <c r="C335" s="17">
        <f>COUNTIF($B$2:$B$380,B335)</f>
        <v>1</v>
      </c>
    </row>
    <row r="336" spans="1:3" x14ac:dyDescent="0.2">
      <c r="A336" t="s">
        <v>812</v>
      </c>
      <c r="B336">
        <v>1800082</v>
      </c>
      <c r="C336" s="17">
        <f>COUNTIF($B$2:$B$380,B336)</f>
        <v>1</v>
      </c>
    </row>
    <row r="337" spans="1:3" x14ac:dyDescent="0.2">
      <c r="A337" t="s">
        <v>846</v>
      </c>
      <c r="B337">
        <v>1800081</v>
      </c>
      <c r="C337" s="17">
        <f>COUNTIF($B$2:$B$380,B337)</f>
        <v>1</v>
      </c>
    </row>
    <row r="338" spans="1:3" x14ac:dyDescent="0.2">
      <c r="A338" t="s">
        <v>636</v>
      </c>
      <c r="B338">
        <v>1800080</v>
      </c>
      <c r="C338" s="17">
        <f>COUNTIF($B$2:$B$380,B338)</f>
        <v>1</v>
      </c>
    </row>
    <row r="339" spans="1:3" x14ac:dyDescent="0.2">
      <c r="A339" t="s">
        <v>569</v>
      </c>
      <c r="B339">
        <v>1800078</v>
      </c>
      <c r="C339" s="17">
        <f>COUNTIF($B$2:$B$380,B339)</f>
        <v>1</v>
      </c>
    </row>
    <row r="340" spans="1:3" x14ac:dyDescent="0.2">
      <c r="A340" t="s">
        <v>808</v>
      </c>
      <c r="B340">
        <v>1800077</v>
      </c>
      <c r="C340" s="17">
        <f>COUNTIF($B$2:$B$380,B340)</f>
        <v>1</v>
      </c>
    </row>
    <row r="341" spans="1:3" x14ac:dyDescent="0.2">
      <c r="A341" t="s">
        <v>849</v>
      </c>
      <c r="B341">
        <v>1800075</v>
      </c>
      <c r="C341" s="17">
        <f>COUNTIF($B$2:$B$380,B341)</f>
        <v>1</v>
      </c>
    </row>
    <row r="342" spans="1:3" x14ac:dyDescent="0.2">
      <c r="A342" t="s">
        <v>807</v>
      </c>
      <c r="B342">
        <v>1800072</v>
      </c>
      <c r="C342" s="17">
        <f>COUNTIF($B$2:$B$380,B342)</f>
        <v>1</v>
      </c>
    </row>
    <row r="343" spans="1:3" x14ac:dyDescent="0.2">
      <c r="A343" t="s">
        <v>663</v>
      </c>
      <c r="B343">
        <v>1800070</v>
      </c>
      <c r="C343" s="17">
        <f>COUNTIF($B$2:$B$380,B343)</f>
        <v>1</v>
      </c>
    </row>
    <row r="344" spans="1:3" x14ac:dyDescent="0.2">
      <c r="A344" t="s">
        <v>847</v>
      </c>
      <c r="B344">
        <v>1800065</v>
      </c>
      <c r="C344" s="17">
        <f>COUNTIF($B$2:$B$380,B344)</f>
        <v>1</v>
      </c>
    </row>
    <row r="345" spans="1:3" x14ac:dyDescent="0.2">
      <c r="A345" t="s">
        <v>868</v>
      </c>
      <c r="B345">
        <v>1800061</v>
      </c>
      <c r="C345" s="17">
        <f>COUNTIF($B$2:$B$380,B345)</f>
        <v>1</v>
      </c>
    </row>
    <row r="346" spans="1:3" x14ac:dyDescent="0.2">
      <c r="A346" t="s">
        <v>618</v>
      </c>
      <c r="B346">
        <v>1800060</v>
      </c>
      <c r="C346" s="17">
        <f>COUNTIF($B$2:$B$380,B346)</f>
        <v>1</v>
      </c>
    </row>
    <row r="347" spans="1:3" x14ac:dyDescent="0.2">
      <c r="A347" t="s">
        <v>803</v>
      </c>
      <c r="B347">
        <v>1800059</v>
      </c>
      <c r="C347" s="17">
        <f>COUNTIF($B$2:$B$380,B347)</f>
        <v>1</v>
      </c>
    </row>
    <row r="348" spans="1:3" x14ac:dyDescent="0.2">
      <c r="A348" t="s">
        <v>805</v>
      </c>
      <c r="B348">
        <v>1800058</v>
      </c>
      <c r="C348" s="17">
        <f>COUNTIF($B$2:$B$380,B348)</f>
        <v>1</v>
      </c>
    </row>
    <row r="349" spans="1:3" x14ac:dyDescent="0.2">
      <c r="A349" t="s">
        <v>802</v>
      </c>
      <c r="B349">
        <v>1800057</v>
      </c>
      <c r="C349" s="17">
        <f>COUNTIF($B$2:$B$380,B349)</f>
        <v>1</v>
      </c>
    </row>
    <row r="350" spans="1:3" x14ac:dyDescent="0.2">
      <c r="A350" t="s">
        <v>845</v>
      </c>
      <c r="B350">
        <v>1800056</v>
      </c>
      <c r="C350" s="17">
        <f>COUNTIF($B$2:$B$380,B350)</f>
        <v>1</v>
      </c>
    </row>
    <row r="351" spans="1:3" x14ac:dyDescent="0.2">
      <c r="A351" t="s">
        <v>804</v>
      </c>
      <c r="B351">
        <v>1800053</v>
      </c>
      <c r="C351" s="17">
        <f>COUNTIF($B$2:$B$380,B351)</f>
        <v>1</v>
      </c>
    </row>
    <row r="352" spans="1:3" x14ac:dyDescent="0.2">
      <c r="A352" t="s">
        <v>800</v>
      </c>
      <c r="B352">
        <v>1800051</v>
      </c>
      <c r="C352" s="17">
        <f>COUNTIF($B$2:$B$380,B352)</f>
        <v>1</v>
      </c>
    </row>
    <row r="353" spans="1:3" x14ac:dyDescent="0.2">
      <c r="A353" t="s">
        <v>843</v>
      </c>
      <c r="B353">
        <v>1800048</v>
      </c>
      <c r="C353" s="17">
        <f>COUNTIF($B$2:$B$380,B353)</f>
        <v>1</v>
      </c>
    </row>
    <row r="354" spans="1:3" x14ac:dyDescent="0.2">
      <c r="A354" t="s">
        <v>801</v>
      </c>
      <c r="B354">
        <v>1800046</v>
      </c>
      <c r="C354" s="17">
        <f>COUNTIF($B$2:$B$380,B354)</f>
        <v>1</v>
      </c>
    </row>
    <row r="355" spans="1:3" x14ac:dyDescent="0.2">
      <c r="A355" t="s">
        <v>798</v>
      </c>
      <c r="B355">
        <v>1800045</v>
      </c>
      <c r="C355" s="17">
        <f>COUNTIF($B$2:$B$380,B355)</f>
        <v>1</v>
      </c>
    </row>
    <row r="356" spans="1:3" x14ac:dyDescent="0.2">
      <c r="A356" t="s">
        <v>795</v>
      </c>
      <c r="B356">
        <v>1800043</v>
      </c>
      <c r="C356" s="17">
        <f>COUNTIF($B$2:$B$380,B356)</f>
        <v>1</v>
      </c>
    </row>
    <row r="357" spans="1:3" x14ac:dyDescent="0.2">
      <c r="A357" t="s">
        <v>848</v>
      </c>
      <c r="B357">
        <v>1800041</v>
      </c>
      <c r="C357" s="17">
        <f>COUNTIF($B$2:$B$380,B357)</f>
        <v>1</v>
      </c>
    </row>
    <row r="358" spans="1:3" x14ac:dyDescent="0.2">
      <c r="A358" t="s">
        <v>799</v>
      </c>
      <c r="B358">
        <v>1800037</v>
      </c>
      <c r="C358" s="17">
        <f>COUNTIF($B$2:$B$380,B358)</f>
        <v>1</v>
      </c>
    </row>
    <row r="359" spans="1:3" x14ac:dyDescent="0.2">
      <c r="A359" t="s">
        <v>739</v>
      </c>
      <c r="B359">
        <v>1800036</v>
      </c>
      <c r="C359" s="17">
        <f>COUNTIF($B$2:$B$380,B359)</f>
        <v>1</v>
      </c>
    </row>
    <row r="360" spans="1:3" x14ac:dyDescent="0.2">
      <c r="A360" t="s">
        <v>794</v>
      </c>
      <c r="B360">
        <v>1800034</v>
      </c>
      <c r="C360" s="17">
        <f>COUNTIF($B$2:$B$380,B360)</f>
        <v>1</v>
      </c>
    </row>
    <row r="361" spans="1:3" x14ac:dyDescent="0.2">
      <c r="A361" t="s">
        <v>623</v>
      </c>
      <c r="B361">
        <v>1800030</v>
      </c>
      <c r="C361" s="17">
        <f>COUNTIF($B$2:$B$380,B361)</f>
        <v>1</v>
      </c>
    </row>
    <row r="362" spans="1:3" x14ac:dyDescent="0.2">
      <c r="A362" t="s">
        <v>840</v>
      </c>
      <c r="B362">
        <v>1800028</v>
      </c>
      <c r="C362" s="17">
        <f>COUNTIF($B$2:$B$380,B362)</f>
        <v>1</v>
      </c>
    </row>
    <row r="363" spans="1:3" x14ac:dyDescent="0.2">
      <c r="A363" t="s">
        <v>852</v>
      </c>
      <c r="B363">
        <v>1800027</v>
      </c>
      <c r="C363" s="17">
        <f>COUNTIF($B$2:$B$380,B363)</f>
        <v>1</v>
      </c>
    </row>
    <row r="364" spans="1:3" x14ac:dyDescent="0.2">
      <c r="A364" t="s">
        <v>793</v>
      </c>
      <c r="B364">
        <v>1800025</v>
      </c>
      <c r="C364" s="17">
        <f>COUNTIF($B$2:$B$380,B364)</f>
        <v>1</v>
      </c>
    </row>
    <row r="365" spans="1:3" x14ac:dyDescent="0.2">
      <c r="A365" t="s">
        <v>789</v>
      </c>
      <c r="B365">
        <v>1800021</v>
      </c>
      <c r="C365" s="17">
        <f>COUNTIF($B$2:$B$380,B365)</f>
        <v>1</v>
      </c>
    </row>
    <row r="366" spans="1:3" x14ac:dyDescent="0.2">
      <c r="A366" t="s">
        <v>758</v>
      </c>
      <c r="B366">
        <v>1800020</v>
      </c>
      <c r="C366" s="17">
        <f>COUNTIF($B$2:$B$380,B366)</f>
        <v>1</v>
      </c>
    </row>
    <row r="367" spans="1:3" x14ac:dyDescent="0.2">
      <c r="A367" t="s">
        <v>838</v>
      </c>
      <c r="B367">
        <v>1800019</v>
      </c>
      <c r="C367" s="17">
        <f>COUNTIF($B$2:$B$380,B367)</f>
        <v>1</v>
      </c>
    </row>
    <row r="368" spans="1:3" x14ac:dyDescent="0.2">
      <c r="A368" t="s">
        <v>787</v>
      </c>
      <c r="B368">
        <v>1800018</v>
      </c>
      <c r="C368" s="17">
        <f>COUNTIF($B$2:$B$380,B368)</f>
        <v>1</v>
      </c>
    </row>
    <row r="369" spans="1:3" x14ac:dyDescent="0.2">
      <c r="A369" t="s">
        <v>792</v>
      </c>
      <c r="B369">
        <v>1800017</v>
      </c>
      <c r="C369" s="17">
        <f>COUNTIF($B$2:$B$380,B369)</f>
        <v>1</v>
      </c>
    </row>
    <row r="370" spans="1:3" x14ac:dyDescent="0.2">
      <c r="A370" t="s">
        <v>790</v>
      </c>
      <c r="B370">
        <v>1800016</v>
      </c>
      <c r="C370" s="17">
        <f>COUNTIF($B$2:$B$380,B370)</f>
        <v>1</v>
      </c>
    </row>
    <row r="371" spans="1:3" x14ac:dyDescent="0.2">
      <c r="A371" t="s">
        <v>839</v>
      </c>
      <c r="B371">
        <v>1800015</v>
      </c>
      <c r="C371" s="17">
        <f>COUNTIF($B$2:$B$380,B371)</f>
        <v>1</v>
      </c>
    </row>
    <row r="372" spans="1:3" x14ac:dyDescent="0.2">
      <c r="A372" t="s">
        <v>791</v>
      </c>
      <c r="B372">
        <v>1800014</v>
      </c>
      <c r="C372" s="17">
        <f>COUNTIF($B$2:$B$380,B372)</f>
        <v>1</v>
      </c>
    </row>
    <row r="373" spans="1:3" x14ac:dyDescent="0.2">
      <c r="A373" t="s">
        <v>788</v>
      </c>
      <c r="B373">
        <v>1800012</v>
      </c>
      <c r="C373" s="17">
        <f>COUNTIF($B$2:$B$380,B373)</f>
        <v>1</v>
      </c>
    </row>
    <row r="374" spans="1:3" x14ac:dyDescent="0.2">
      <c r="A374" t="s">
        <v>786</v>
      </c>
      <c r="B374">
        <v>1800011</v>
      </c>
      <c r="C374" s="17">
        <f>COUNTIF($B$2:$B$380,B374)</f>
        <v>1</v>
      </c>
    </row>
    <row r="375" spans="1:3" x14ac:dyDescent="0.2">
      <c r="A375" t="s">
        <v>575</v>
      </c>
      <c r="B375">
        <v>1800010</v>
      </c>
      <c r="C375" s="17">
        <f>COUNTIF($B$2:$B$380,B375)</f>
        <v>1</v>
      </c>
    </row>
    <row r="376" spans="1:3" x14ac:dyDescent="0.2">
      <c r="A376" t="s">
        <v>588</v>
      </c>
      <c r="B376">
        <v>1800009</v>
      </c>
      <c r="C376" s="17">
        <f>COUNTIF($B$2:$B$380,B376)</f>
        <v>1</v>
      </c>
    </row>
    <row r="377" spans="1:3" x14ac:dyDescent="0.2">
      <c r="A377" t="s">
        <v>484</v>
      </c>
      <c r="B377">
        <v>1800008</v>
      </c>
      <c r="C377" s="17">
        <f>COUNTIF($B$2:$B$380,B377)</f>
        <v>1</v>
      </c>
    </row>
    <row r="378" spans="1:3" x14ac:dyDescent="0.2">
      <c r="A378" t="s">
        <v>486</v>
      </c>
      <c r="B378">
        <v>1800007</v>
      </c>
      <c r="C378" s="17">
        <f>COUNTIF($B$2:$B$380,B378)</f>
        <v>1</v>
      </c>
    </row>
    <row r="379" spans="1:3" x14ac:dyDescent="0.2">
      <c r="A379" t="s">
        <v>858</v>
      </c>
      <c r="C379" s="17">
        <f>COUNTIF($B$2:$B$380,B379)</f>
        <v>0</v>
      </c>
    </row>
    <row r="380" spans="1:3" x14ac:dyDescent="0.2">
      <c r="A380" t="s">
        <v>749</v>
      </c>
      <c r="C380" s="17">
        <f>COUNTIF($B$2:$B$380,B380)</f>
        <v>0</v>
      </c>
    </row>
    <row r="381" spans="1:3" x14ac:dyDescent="0.2">
      <c r="A381" t="s">
        <v>883</v>
      </c>
      <c r="C381" s="17">
        <f>COUNTIF($B$2:$B$380,B381)</f>
        <v>0</v>
      </c>
    </row>
    <row r="382" spans="1:3" x14ac:dyDescent="0.2">
      <c r="A382" t="s">
        <v>821</v>
      </c>
      <c r="C382" s="17">
        <f>COUNTIF($B$2:$B$380,B382)</f>
        <v>0</v>
      </c>
    </row>
    <row r="383" spans="1:3" x14ac:dyDescent="0.2">
      <c r="A383" t="s">
        <v>836</v>
      </c>
      <c r="C383" s="17">
        <f>COUNTIF($B$2:$B$380,B383)</f>
        <v>0</v>
      </c>
    </row>
    <row r="384" spans="1:3" x14ac:dyDescent="0.2">
      <c r="A384" t="s">
        <v>831</v>
      </c>
      <c r="C384" s="17">
        <f>COUNTIF($B$2:$B$380,B384)</f>
        <v>0</v>
      </c>
    </row>
    <row r="385" spans="1:3" x14ac:dyDescent="0.2">
      <c r="A385" t="s">
        <v>767</v>
      </c>
      <c r="C385" s="17">
        <f>COUNTIF($B$2:$B$380,B385)</f>
        <v>0</v>
      </c>
    </row>
    <row r="386" spans="1:3" x14ac:dyDescent="0.2">
      <c r="A386" t="s">
        <v>856</v>
      </c>
      <c r="C386" s="17">
        <f>COUNTIF($B$2:$B$380,B386)</f>
        <v>0</v>
      </c>
    </row>
    <row r="387" spans="1:3" x14ac:dyDescent="0.2">
      <c r="A387" t="s">
        <v>709</v>
      </c>
      <c r="C387" s="17">
        <f>COUNTIF($B$2:$B$380,B387)</f>
        <v>0</v>
      </c>
    </row>
    <row r="388" spans="1:3" x14ac:dyDescent="0.2">
      <c r="A388" t="s">
        <v>497</v>
      </c>
      <c r="C388" s="17">
        <f>COUNTIF($B$2:$B$380,B388)</f>
        <v>0</v>
      </c>
    </row>
    <row r="389" spans="1:3" x14ac:dyDescent="0.2">
      <c r="A389" t="s">
        <v>815</v>
      </c>
      <c r="C389" s="17">
        <f>COUNTIF($B$2:$B$380,B389)</f>
        <v>0</v>
      </c>
    </row>
    <row r="390" spans="1:3" x14ac:dyDescent="0.2">
      <c r="A390" t="s">
        <v>826</v>
      </c>
      <c r="C390" s="17">
        <f>COUNTIF($B$2:$B$380,B390)</f>
        <v>0</v>
      </c>
    </row>
    <row r="391" spans="1:3" x14ac:dyDescent="0.2">
      <c r="A391" t="s">
        <v>710</v>
      </c>
      <c r="C391" s="17">
        <f>COUNTIF($B$2:$B$380,B391)</f>
        <v>0</v>
      </c>
    </row>
    <row r="392" spans="1:3" x14ac:dyDescent="0.2">
      <c r="A392" t="s">
        <v>871</v>
      </c>
      <c r="C392" s="17">
        <f>COUNTIF($B$2:$B$380,B392)</f>
        <v>0</v>
      </c>
    </row>
    <row r="393" spans="1:3" x14ac:dyDescent="0.2">
      <c r="A393" t="s">
        <v>817</v>
      </c>
      <c r="C393" s="17">
        <f>COUNTIF($B$2:$B$380,B393)</f>
        <v>0</v>
      </c>
    </row>
    <row r="394" spans="1:3" x14ac:dyDescent="0.2">
      <c r="A394" t="s">
        <v>828</v>
      </c>
      <c r="C394" s="17">
        <f>COUNTIF($B$2:$B$380,B394)</f>
        <v>0</v>
      </c>
    </row>
    <row r="395" spans="1:3" x14ac:dyDescent="0.2">
      <c r="A395" t="s">
        <v>841</v>
      </c>
      <c r="C395" s="17">
        <f>COUNTIF($B$2:$B$380,B395)</f>
        <v>0</v>
      </c>
    </row>
    <row r="396" spans="1:3" x14ac:dyDescent="0.2">
      <c r="A396" t="s">
        <v>874</v>
      </c>
      <c r="C396" s="17">
        <f>COUNTIF($B$2:$B$380,B396)</f>
        <v>0</v>
      </c>
    </row>
    <row r="397" spans="1:3" x14ac:dyDescent="0.2">
      <c r="A397" t="s">
        <v>668</v>
      </c>
      <c r="C397" s="17">
        <f>COUNTIF($B$2:$B$380,B397)</f>
        <v>0</v>
      </c>
    </row>
    <row r="398" spans="1:3" x14ac:dyDescent="0.2">
      <c r="A398" t="s">
        <v>796</v>
      </c>
      <c r="C398" s="17">
        <f>COUNTIF($B$2:$B$380,B398)</f>
        <v>0</v>
      </c>
    </row>
    <row r="399" spans="1:3" x14ac:dyDescent="0.2">
      <c r="A399" t="s">
        <v>823</v>
      </c>
      <c r="C399" s="17">
        <f>COUNTIF($B$2:$B$380,B399)</f>
        <v>0</v>
      </c>
    </row>
    <row r="400" spans="1:3" x14ac:dyDescent="0.2">
      <c r="A400" t="s">
        <v>671</v>
      </c>
      <c r="C400" s="17">
        <f>COUNTIF($B$2:$B$380,B400)</f>
        <v>0</v>
      </c>
    </row>
    <row r="401" spans="1:3" x14ac:dyDescent="0.2">
      <c r="A401" t="s">
        <v>889</v>
      </c>
      <c r="C401" s="17">
        <f>COUNTIF($B$2:$B$380,B401)</f>
        <v>0</v>
      </c>
    </row>
    <row r="402" spans="1:3" x14ac:dyDescent="0.2">
      <c r="A402" t="s">
        <v>890</v>
      </c>
      <c r="C402" s="17">
        <f>COUNTIF($B$2:$B$380,B402)</f>
        <v>0</v>
      </c>
    </row>
    <row r="403" spans="1:3" x14ac:dyDescent="0.2">
      <c r="A403" t="s">
        <v>886</v>
      </c>
      <c r="C403" s="17">
        <f>COUNTIF($B$2:$B$380,B403)</f>
        <v>0</v>
      </c>
    </row>
    <row r="404" spans="1:3" x14ac:dyDescent="0.2">
      <c r="A404" t="s">
        <v>888</v>
      </c>
      <c r="C404" s="17">
        <f>COUNTIF($B$2:$B$380,B404)</f>
        <v>0</v>
      </c>
    </row>
    <row r="405" spans="1:3" x14ac:dyDescent="0.2">
      <c r="A405" t="s">
        <v>887</v>
      </c>
      <c r="C405" s="17">
        <f>COUNTIF($B$2:$B$380,B405)</f>
        <v>0</v>
      </c>
    </row>
    <row r="406" spans="1:3" x14ac:dyDescent="0.2">
      <c r="A406" t="s">
        <v>866</v>
      </c>
      <c r="C406" s="17">
        <f>COUNTIF($B$2:$B$380,B406)</f>
        <v>0</v>
      </c>
    </row>
    <row r="407" spans="1:3" x14ac:dyDescent="0.2">
      <c r="A407" t="s">
        <v>832</v>
      </c>
      <c r="C407" s="17">
        <f>COUNTIF($B$2:$B$380,B407)</f>
        <v>0</v>
      </c>
    </row>
    <row r="408" spans="1:3" x14ac:dyDescent="0.2">
      <c r="A408" t="s">
        <v>722</v>
      </c>
      <c r="C408" s="17">
        <f>COUNTIF($B$2:$B$380,B408)</f>
        <v>0</v>
      </c>
    </row>
    <row r="409" spans="1:3" x14ac:dyDescent="0.2">
      <c r="A409" t="s">
        <v>891</v>
      </c>
      <c r="C409" s="17">
        <f>COUNTIF($B$2:$B$380,B409)</f>
        <v>0</v>
      </c>
    </row>
    <row r="410" spans="1:3" x14ac:dyDescent="0.2">
      <c r="A410" t="s">
        <v>879</v>
      </c>
      <c r="C410" s="17">
        <f>COUNTIF($B$2:$B$380,B410)</f>
        <v>0</v>
      </c>
    </row>
    <row r="411" spans="1:3" x14ac:dyDescent="0.2">
      <c r="A411" t="s">
        <v>785</v>
      </c>
      <c r="C411" s="17">
        <f>COUNTIF($B$2:$B$380,B411)</f>
        <v>0</v>
      </c>
    </row>
    <row r="412" spans="1:3" x14ac:dyDescent="0.2">
      <c r="A412" t="s">
        <v>842</v>
      </c>
      <c r="C412" s="17">
        <f>COUNTIF($B$2:$B$380,B412)</f>
        <v>0</v>
      </c>
    </row>
    <row r="413" spans="1:3" x14ac:dyDescent="0.2">
      <c r="A413" t="s">
        <v>844</v>
      </c>
      <c r="C413" s="17">
        <f>COUNTIF($B$2:$B$380,B413)</f>
        <v>0</v>
      </c>
    </row>
    <row r="414" spans="1:3" x14ac:dyDescent="0.2">
      <c r="A414" t="s">
        <v>713</v>
      </c>
      <c r="C414" s="17">
        <f>COUNTIF($B$2:$B$380,B414)</f>
        <v>0</v>
      </c>
    </row>
    <row r="415" spans="1:3" x14ac:dyDescent="0.2">
      <c r="A415" t="s">
        <v>711</v>
      </c>
      <c r="C415" s="17">
        <f>COUNTIF($B$2:$B$380,B415)</f>
        <v>0</v>
      </c>
    </row>
    <row r="416" spans="1:3" x14ac:dyDescent="0.2">
      <c r="A416" t="s">
        <v>806</v>
      </c>
      <c r="C416" s="17">
        <f>COUNTIF($B$2:$B$380,B416)</f>
        <v>0</v>
      </c>
    </row>
    <row r="417" spans="1:3" x14ac:dyDescent="0.2">
      <c r="A417" t="s">
        <v>733</v>
      </c>
      <c r="C417" s="17">
        <f>COUNTIF($B$2:$B$380,B417)</f>
        <v>0</v>
      </c>
    </row>
    <row r="418" spans="1:3" x14ac:dyDescent="0.2">
      <c r="A418" t="s">
        <v>880</v>
      </c>
      <c r="C418" s="17">
        <f>COUNTIF($B$2:$B$380,B418)</f>
        <v>0</v>
      </c>
    </row>
    <row r="419" spans="1:3" x14ac:dyDescent="0.2">
      <c r="A419" t="s">
        <v>829</v>
      </c>
      <c r="C419" s="17">
        <f>COUNTIF($B$2:$B$380,B419)</f>
        <v>0</v>
      </c>
    </row>
    <row r="420" spans="1:3" x14ac:dyDescent="0.2">
      <c r="A420" t="s">
        <v>881</v>
      </c>
      <c r="C420" s="17">
        <f>COUNTIF($B$2:$B$380,B420)</f>
        <v>0</v>
      </c>
    </row>
    <row r="421" spans="1:3" x14ac:dyDescent="0.2">
      <c r="A421" t="s">
        <v>747</v>
      </c>
      <c r="C421" s="17">
        <f>COUNTIF($B$2:$B$380,B421)</f>
        <v>0</v>
      </c>
    </row>
    <row r="422" spans="1:3" x14ac:dyDescent="0.2">
      <c r="A422" t="s">
        <v>751</v>
      </c>
      <c r="C422" s="17">
        <f>COUNTIF($B$2:$B$380,B422)</f>
        <v>0</v>
      </c>
    </row>
    <row r="423" spans="1:3" x14ac:dyDescent="0.2">
      <c r="A423" t="s">
        <v>882</v>
      </c>
      <c r="C423" s="17">
        <f>COUNTIF($B$2:$B$380,B423)</f>
        <v>0</v>
      </c>
    </row>
    <row r="424" spans="1:3" x14ac:dyDescent="0.2">
      <c r="A424" t="s">
        <v>885</v>
      </c>
      <c r="C424" s="17">
        <f>COUNTIF($B$2:$B$380,B424)</f>
        <v>0</v>
      </c>
    </row>
    <row r="425" spans="1:3" x14ac:dyDescent="0.2">
      <c r="A425" t="s">
        <v>743</v>
      </c>
      <c r="C425" s="17">
        <f>COUNTIF($B$2:$B$380,B425)</f>
        <v>0</v>
      </c>
    </row>
    <row r="426" spans="1:3" x14ac:dyDescent="0.2">
      <c r="A426" t="s">
        <v>876</v>
      </c>
      <c r="C426" s="17">
        <f>COUNTIF($B$2:$B$380,B426)</f>
        <v>0</v>
      </c>
    </row>
    <row r="427" spans="1:3" x14ac:dyDescent="0.2">
      <c r="A427" t="s">
        <v>813</v>
      </c>
      <c r="C427" s="17">
        <f>COUNTIF($B$2:$B$380,B427)</f>
        <v>0</v>
      </c>
    </row>
    <row r="428" spans="1:3" x14ac:dyDescent="0.2">
      <c r="A428" t="s">
        <v>797</v>
      </c>
      <c r="C428" s="17">
        <f>COUNTIF($B$2:$B$380,B428)</f>
        <v>0</v>
      </c>
    </row>
    <row r="429" spans="1:3" x14ac:dyDescent="0.2">
      <c r="A429" t="s">
        <v>830</v>
      </c>
      <c r="C429" s="17">
        <f>COUNTIF($B$2:$B$380,B429)</f>
        <v>0</v>
      </c>
    </row>
    <row r="430" spans="1:3" x14ac:dyDescent="0.2">
      <c r="A430" t="s">
        <v>870</v>
      </c>
      <c r="C430" s="17">
        <f>COUNTIF($B$2:$B$380,B430)</f>
        <v>0</v>
      </c>
    </row>
    <row r="431" spans="1:3" x14ac:dyDescent="0.2">
      <c r="A431" t="s">
        <v>816</v>
      </c>
      <c r="C431" s="17">
        <f>COUNTIF($B$2:$B$380,B431)</f>
        <v>0</v>
      </c>
    </row>
    <row r="432" spans="1:3" x14ac:dyDescent="0.2">
      <c r="A432" t="s">
        <v>869</v>
      </c>
      <c r="C432" s="17">
        <f>COUNTIF($B$2:$B$380,B432)</f>
        <v>0</v>
      </c>
    </row>
    <row r="433" spans="1:3" x14ac:dyDescent="0.2">
      <c r="A433" t="s">
        <v>742</v>
      </c>
      <c r="C433" s="17">
        <f>COUNTIF($B$2:$B$380,B433)</f>
        <v>0</v>
      </c>
    </row>
    <row r="434" spans="1:3" x14ac:dyDescent="0.2">
      <c r="A434" t="s">
        <v>834</v>
      </c>
      <c r="C434" s="17">
        <f>COUNTIF($B$2:$B$380,B434)</f>
        <v>0</v>
      </c>
    </row>
    <row r="435" spans="1:3" x14ac:dyDescent="0.2">
      <c r="A435" t="s">
        <v>833</v>
      </c>
      <c r="C435" s="17">
        <f>COUNTIF($B$2:$B$380,B435)</f>
        <v>0</v>
      </c>
    </row>
    <row r="436" spans="1:3" x14ac:dyDescent="0.2">
      <c r="A436" t="s">
        <v>884</v>
      </c>
      <c r="C436" s="17">
        <f>COUNTIF($B$2:$B$380,B436)</f>
        <v>0</v>
      </c>
    </row>
  </sheetData>
  <autoFilter ref="A1:C1" xr:uid="{EDB8D237-21CA-8B46-830E-822156E88075}">
    <sortState xmlns:xlrd2="http://schemas.microsoft.com/office/spreadsheetml/2017/richdata2" ref="A2:C436">
      <sortCondition descending="1" ref="C1:C4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GASB Data --&gt;</vt:lpstr>
      <vt:lpstr>Check w GASB 68 Reports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2025-02-17T20:39:58Z</dcterms:created>
  <dcterms:modified xsi:type="dcterms:W3CDTF">2025-02-21T23:56:21Z</dcterms:modified>
</cp:coreProperties>
</file>